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mary energy use data " sheetId="1" r:id="rId5"/>
    <sheet state="visible" name="calculated data " sheetId="2" r:id="rId6"/>
    <sheet state="visible" name="DashBoard " sheetId="3" r:id="rId7"/>
  </sheets>
  <definedNames>
    <definedName hidden="1" localSheetId="0" name="Z_EF14152D_3269_4482_9F67_5986A1D327CD_.wvu.FilterData">'primary energy use data '!$A$1:$F$11317</definedName>
    <definedName hidden="1" localSheetId="1" name="Z_08760490_4481_4B0B_AB70_FD363AC6D758_.wvu.FilterData">'calculated data '!$A$2:$E$6</definedName>
    <definedName hidden="1" localSheetId="1" name="Z_70120C03_5D33_4B72_841F_E311CAEF5316_.wvu.FilterData">'calculated data '!$A$3:$A$6</definedName>
    <definedName hidden="1" localSheetId="0" name="Z_70120C03_5D33_4B72_841F_E311CAEF5316_.wvu.FilterData">'primary energy use data '!$A$1:$F$11317</definedName>
    <definedName hidden="1" localSheetId="0" name="Z_70120C03_5D33_4B72_841F_E311CAEF5316_.wvu.FilterData">'primary energy use data '!$A$1:$F$11317</definedName>
    <definedName name="SlicerCache_Table_1_Col_1">#N/A</definedName>
    <definedName name="SlicerCache_Table_3_Col_1">#N/A</definedName>
    <definedName name="SlicerCache_Table_3_Col_3">#N/A</definedName>
    <definedName name="SlicerCache_Table_3_Col_5">#N/A</definedName>
  </definedNames>
  <calcPr/>
  <customWorkbookViews>
    <customWorkbookView activeSheetId="0" maximized="1" windowHeight="0" windowWidth="0" guid="{EF14152D-3269-4482-9F67-5986A1D327CD}" name="Table1 filter view"/>
    <customWorkbookView activeSheetId="0" maximized="1" windowHeight="0" windowWidth="0" guid="{08760490-4481-4B0B-AB70-FD363AC6D758}" name="Table2 filter view"/>
    <customWorkbookView activeSheetId="0" maximized="1" windowHeight="0" windowWidth="0" guid="{70120C03-5D33-4B72-841F-E311CAEF5316}" name="Filter 1"/>
  </customWorkbookViews>
  <pivotCaches>
    <pivotCache cacheId="0" r:id="rId8"/>
  </pivotCaches>
  <extLst>
    <ext uri="{46BE6895-7355-4a93-B00E-2C351335B9C9}">
      <x15:slicerCaches>
        <x14:slicerCache r:id="rId9"/>
        <x14:slicerCache r:id="rId10"/>
        <x14:slicerCache r:id="rId11"/>
        <x14:slicerCache r:id="rId12"/>
      </x15:slicerCaches>
    </ext>
  </extLst>
</workbook>
</file>

<file path=xl/sharedStrings.xml><?xml version="1.0" encoding="utf-8"?>
<sst xmlns="http://schemas.openxmlformats.org/spreadsheetml/2006/main" count="22727" uniqueCount="501">
  <si>
    <t>Market Segment</t>
  </si>
  <si>
    <t>Count</t>
  </si>
  <si>
    <t>AVG</t>
  </si>
  <si>
    <t>Median</t>
  </si>
  <si>
    <t>stdv</t>
  </si>
  <si>
    <t>Low Demand Tier</t>
  </si>
  <si>
    <t>Target Market (Core IQR)</t>
  </si>
  <si>
    <t>High Demand Tier</t>
  </si>
  <si>
    <t>Outliers / Premium Tier</t>
  </si>
  <si>
    <t>Q1</t>
  </si>
  <si>
    <t>Q3</t>
  </si>
  <si>
    <t>IQR</t>
  </si>
  <si>
    <t>Upper Outlier</t>
  </si>
  <si>
    <t>Lower Outlier</t>
  </si>
  <si>
    <t>Global Mean</t>
  </si>
  <si>
    <t>Entity</t>
  </si>
  <si>
    <t>Code</t>
  </si>
  <si>
    <t>Year</t>
  </si>
  <si>
    <t>Total energy supply</t>
  </si>
  <si>
    <t>Tier Type</t>
  </si>
  <si>
    <t>zscore</t>
  </si>
  <si>
    <t>Bangladesh</t>
  </si>
  <si>
    <t>BGD</t>
  </si>
  <si>
    <t>q1</t>
  </si>
  <si>
    <t>q3</t>
  </si>
  <si>
    <t>iqr</t>
  </si>
  <si>
    <t>upper outlier</t>
  </si>
  <si>
    <t>lower outlier</t>
  </si>
  <si>
    <t>French Guiana</t>
  </si>
  <si>
    <t>GUF</t>
  </si>
  <si>
    <t xml:space="preserve">mean global </t>
  </si>
  <si>
    <t>Guadeloupe</t>
  </si>
  <si>
    <t>GLP</t>
  </si>
  <si>
    <t>Average of Total energy supply</t>
  </si>
  <si>
    <t>Grand Total</t>
  </si>
  <si>
    <t>United States Virgin Islands</t>
  </si>
  <si>
    <t>VIR</t>
  </si>
  <si>
    <t>Netherlands Antilles</t>
  </si>
  <si>
    <t>ANT</t>
  </si>
  <si>
    <t>Martinique</t>
  </si>
  <si>
    <t>MTQ</t>
  </si>
  <si>
    <t>Micronesia (country)</t>
  </si>
  <si>
    <t>FSM</t>
  </si>
  <si>
    <t>Northern Mariana Islands</t>
  </si>
  <si>
    <t>MNP</t>
  </si>
  <si>
    <t>Reunion</t>
  </si>
  <si>
    <t>REU</t>
  </si>
  <si>
    <t>Turks and Caicos Islands</t>
  </si>
  <si>
    <t>TCA</t>
  </si>
  <si>
    <t>Tuvalu</t>
  </si>
  <si>
    <t>TUV</t>
  </si>
  <si>
    <t>Bhutan</t>
  </si>
  <si>
    <t>BTN</t>
  </si>
  <si>
    <t>Chad</t>
  </si>
  <si>
    <t>TCD</t>
  </si>
  <si>
    <t>Burundi</t>
  </si>
  <si>
    <t>BDI</t>
  </si>
  <si>
    <t>World</t>
  </si>
  <si>
    <t>OWID_WRL</t>
  </si>
  <si>
    <t>Nepal</t>
  </si>
  <si>
    <t>NPL</t>
  </si>
  <si>
    <t>Mali</t>
  </si>
  <si>
    <t>MLI</t>
  </si>
  <si>
    <t>Ethiopia</t>
  </si>
  <si>
    <t>ETH</t>
  </si>
  <si>
    <t>Afghanistan</t>
  </si>
  <si>
    <t>AFG</t>
  </si>
  <si>
    <t>Rwanda</t>
  </si>
  <si>
    <t>RWA</t>
  </si>
  <si>
    <t>Central African Republic</t>
  </si>
  <si>
    <t>CAF</t>
  </si>
  <si>
    <t>Oman</t>
  </si>
  <si>
    <t>OMN</t>
  </si>
  <si>
    <t>Uganda</t>
  </si>
  <si>
    <t>UGA</t>
  </si>
  <si>
    <t>Democratic Republic of Congo</t>
  </si>
  <si>
    <t>COD</t>
  </si>
  <si>
    <t>Burkina Faso</t>
  </si>
  <si>
    <t>BFA</t>
  </si>
  <si>
    <t>Cambodia</t>
  </si>
  <si>
    <t>KHM</t>
  </si>
  <si>
    <t>Somalia</t>
  </si>
  <si>
    <t>SOM</t>
  </si>
  <si>
    <t>Laos</t>
  </si>
  <si>
    <t>LAO</t>
  </si>
  <si>
    <t>Comoros</t>
  </si>
  <si>
    <t>COM</t>
  </si>
  <si>
    <t>Lesotho</t>
  </si>
  <si>
    <t>LSO</t>
  </si>
  <si>
    <t>Niger</t>
  </si>
  <si>
    <t>NER</t>
  </si>
  <si>
    <t>Malawi</t>
  </si>
  <si>
    <t>MWI</t>
  </si>
  <si>
    <t>Benin</t>
  </si>
  <si>
    <t>BEN</t>
  </si>
  <si>
    <t>Haiti</t>
  </si>
  <si>
    <t>HTI</t>
  </si>
  <si>
    <t>Mozambique</t>
  </si>
  <si>
    <t>MOZ</t>
  </si>
  <si>
    <t>Maldives</t>
  </si>
  <si>
    <t>MDV</t>
  </si>
  <si>
    <t>Madagascar</t>
  </si>
  <si>
    <t>MDG</t>
  </si>
  <si>
    <t>Tanzania</t>
  </si>
  <si>
    <t>TZA</t>
  </si>
  <si>
    <t>Sierra Leone</t>
  </si>
  <si>
    <t>SLE</t>
  </si>
  <si>
    <t>Guinea-Bissau</t>
  </si>
  <si>
    <t>GNB</t>
  </si>
  <si>
    <t>Liberia</t>
  </si>
  <si>
    <t>LBR</t>
  </si>
  <si>
    <t>Cape Verde</t>
  </si>
  <si>
    <t>CPV</t>
  </si>
  <si>
    <t>Myanmar</t>
  </si>
  <si>
    <t>MMR</t>
  </si>
  <si>
    <t>South Sudan</t>
  </si>
  <si>
    <t>SSD</t>
  </si>
  <si>
    <t>Eritrea</t>
  </si>
  <si>
    <t>ERI</t>
  </si>
  <si>
    <t>Guinea</t>
  </si>
  <si>
    <t>GIN</t>
  </si>
  <si>
    <t>Gambia</t>
  </si>
  <si>
    <t>GMB</t>
  </si>
  <si>
    <t>Sudan</t>
  </si>
  <si>
    <t>SDN</t>
  </si>
  <si>
    <t>Togo</t>
  </si>
  <si>
    <t>TGO</t>
  </si>
  <si>
    <t>Equatorial Guinea</t>
  </si>
  <si>
    <t>GNQ</t>
  </si>
  <si>
    <t>Indonesia</t>
  </si>
  <si>
    <t>IDN</t>
  </si>
  <si>
    <t>East Timor</t>
  </si>
  <si>
    <t>TLS</t>
  </si>
  <si>
    <t>Vietnam</t>
  </si>
  <si>
    <t>VNM</t>
  </si>
  <si>
    <t>Ghana</t>
  </si>
  <si>
    <t>GHA</t>
  </si>
  <si>
    <t>Kiribati</t>
  </si>
  <si>
    <t>KIR</t>
  </si>
  <si>
    <t>Sri Lanka</t>
  </si>
  <si>
    <t>LKA</t>
  </si>
  <si>
    <t>Thailand</t>
  </si>
  <si>
    <t>THA</t>
  </si>
  <si>
    <t>Palestine</t>
  </si>
  <si>
    <t>PSE</t>
  </si>
  <si>
    <t>Congo</t>
  </si>
  <si>
    <t>COG</t>
  </si>
  <si>
    <t>Cameroon</t>
  </si>
  <si>
    <t>CMR</t>
  </si>
  <si>
    <t>Faroe Islands</t>
  </si>
  <si>
    <t>FRO</t>
  </si>
  <si>
    <t>Lower-middle-income countries</t>
  </si>
  <si>
    <t>OWID_LMC</t>
  </si>
  <si>
    <t>Kenya</t>
  </si>
  <si>
    <t>KEN</t>
  </si>
  <si>
    <t>Low-income countries</t>
  </si>
  <si>
    <t>OWID_LIC</t>
  </si>
  <si>
    <t>Sao Tome and Principe</t>
  </si>
  <si>
    <t>STP</t>
  </si>
  <si>
    <t>Morocco</t>
  </si>
  <si>
    <t>MAR</t>
  </si>
  <si>
    <t>Vanuatu</t>
  </si>
  <si>
    <t>VUT</t>
  </si>
  <si>
    <t>Tonga</t>
  </si>
  <si>
    <t>TON</t>
  </si>
  <si>
    <t>India</t>
  </si>
  <si>
    <t>IND</t>
  </si>
  <si>
    <t>Nigeria</t>
  </si>
  <si>
    <t>NGA</t>
  </si>
  <si>
    <t>Mauritania</t>
  </si>
  <si>
    <t>MRT</t>
  </si>
  <si>
    <t>Senegal</t>
  </si>
  <si>
    <t>SEN</t>
  </si>
  <si>
    <t>Cote d'Ivoire</t>
  </si>
  <si>
    <t>CIV</t>
  </si>
  <si>
    <t>Pakistan</t>
  </si>
  <si>
    <t>PAK</t>
  </si>
  <si>
    <t>Yemen</t>
  </si>
  <si>
    <t>YEM</t>
  </si>
  <si>
    <t>Zambia</t>
  </si>
  <si>
    <t>ZMB</t>
  </si>
  <si>
    <t>Angola</t>
  </si>
  <si>
    <t>AGO</t>
  </si>
  <si>
    <t>Ecuador</t>
  </si>
  <si>
    <t>ECU</t>
  </si>
  <si>
    <t>Saint Vincent and the Grenadines</t>
  </si>
  <si>
    <t>VCT</t>
  </si>
  <si>
    <t>Solomon Islands</t>
  </si>
  <si>
    <t>SLB</t>
  </si>
  <si>
    <t>Honduras</t>
  </si>
  <si>
    <t>HND</t>
  </si>
  <si>
    <t>Dominica</t>
  </si>
  <si>
    <t>DMA</t>
  </si>
  <si>
    <t>Philippines</t>
  </si>
  <si>
    <t>PHL</t>
  </si>
  <si>
    <t>Saint Helena</t>
  </si>
  <si>
    <t>SHN</t>
  </si>
  <si>
    <t>China</t>
  </si>
  <si>
    <t>CHN</t>
  </si>
  <si>
    <t>Guatemala</t>
  </si>
  <si>
    <t>GTM</t>
  </si>
  <si>
    <t>Western Sahara</t>
  </si>
  <si>
    <t>ESH</t>
  </si>
  <si>
    <t>Grenada</t>
  </si>
  <si>
    <t>GRD</t>
  </si>
  <si>
    <t>Egypt</t>
  </si>
  <si>
    <t>EGY</t>
  </si>
  <si>
    <t>Algeria</t>
  </si>
  <si>
    <t>DZA</t>
  </si>
  <si>
    <t>El Salvador</t>
  </si>
  <si>
    <t>SLV</t>
  </si>
  <si>
    <t>Paraguay</t>
  </si>
  <si>
    <t>PRY</t>
  </si>
  <si>
    <t>Nicaragua</t>
  </si>
  <si>
    <t>NIC</t>
  </si>
  <si>
    <t>Zimbabwe</t>
  </si>
  <si>
    <t>ZWE</t>
  </si>
  <si>
    <t>Africa</t>
  </si>
  <si>
    <t>OWID_AFR</t>
  </si>
  <si>
    <t>Papua New Guinea</t>
  </si>
  <si>
    <t>PNG</t>
  </si>
  <si>
    <t>South Korea</t>
  </si>
  <si>
    <t>KOR</t>
  </si>
  <si>
    <t>Samoa</t>
  </si>
  <si>
    <t>WSM</t>
  </si>
  <si>
    <t>Bolivia</t>
  </si>
  <si>
    <t>BOL</t>
  </si>
  <si>
    <t>Brazil</t>
  </si>
  <si>
    <t>BRA</t>
  </si>
  <si>
    <t>Asia</t>
  </si>
  <si>
    <t>OWID_ASI</t>
  </si>
  <si>
    <t>Turkey</t>
  </si>
  <si>
    <t>TUR</t>
  </si>
  <si>
    <t>Iraq</t>
  </si>
  <si>
    <t>IRQ</t>
  </si>
  <si>
    <t>Djibouti</t>
  </si>
  <si>
    <t>DJI</t>
  </si>
  <si>
    <t>Saint Lucia</t>
  </si>
  <si>
    <t>LCA</t>
  </si>
  <si>
    <t>Eswatini</t>
  </si>
  <si>
    <t>SWZ</t>
  </si>
  <si>
    <t>Mauritius</t>
  </si>
  <si>
    <t>MUS</t>
  </si>
  <si>
    <t>Namibia</t>
  </si>
  <si>
    <t>NAM</t>
  </si>
  <si>
    <t>Tajikistan</t>
  </si>
  <si>
    <t>TJK</t>
  </si>
  <si>
    <t>Niue</t>
  </si>
  <si>
    <t>NIU</t>
  </si>
  <si>
    <t>Malaysia</t>
  </si>
  <si>
    <t>MYS</t>
  </si>
  <si>
    <t>Guyana</t>
  </si>
  <si>
    <t>GUY</t>
  </si>
  <si>
    <t>Albania</t>
  </si>
  <si>
    <t>ALB</t>
  </si>
  <si>
    <t>Peru</t>
  </si>
  <si>
    <t>PER</t>
  </si>
  <si>
    <t>Iran</t>
  </si>
  <si>
    <t>IRN</t>
  </si>
  <si>
    <t>Botswana</t>
  </si>
  <si>
    <t>BWA</t>
  </si>
  <si>
    <t>Costa Rica</t>
  </si>
  <si>
    <t>CRI</t>
  </si>
  <si>
    <t>Dominican Republic</t>
  </si>
  <si>
    <t>DOM</t>
  </si>
  <si>
    <t>Belize</t>
  </si>
  <si>
    <t>BLZ</t>
  </si>
  <si>
    <t>Montserrat</t>
  </si>
  <si>
    <t>MSR</t>
  </si>
  <si>
    <t>Syria</t>
  </si>
  <si>
    <t>SYR</t>
  </si>
  <si>
    <t>Portugal</t>
  </si>
  <si>
    <t>PRT</t>
  </si>
  <si>
    <t>North Korea</t>
  </si>
  <si>
    <t>PRK</t>
  </si>
  <si>
    <t>Fiji</t>
  </si>
  <si>
    <t>FJI</t>
  </si>
  <si>
    <t>Saint Kitts and Nevis</t>
  </si>
  <si>
    <t>KNA</t>
  </si>
  <si>
    <t>Taiwan</t>
  </si>
  <si>
    <t>TWN</t>
  </si>
  <si>
    <t>Colombia</t>
  </si>
  <si>
    <t>COL</t>
  </si>
  <si>
    <t>United Arab Emirates</t>
  </si>
  <si>
    <t>ARE</t>
  </si>
  <si>
    <t>British Virgin Islands</t>
  </si>
  <si>
    <t>VGB</t>
  </si>
  <si>
    <t>Lebanon</t>
  </si>
  <si>
    <t>LBN</t>
  </si>
  <si>
    <t>Tunisia</t>
  </si>
  <si>
    <t>TUN</t>
  </si>
  <si>
    <t>French Polynesia</t>
  </si>
  <si>
    <t>PYF</t>
  </si>
  <si>
    <t>Uruguay</t>
  </si>
  <si>
    <t>URY</t>
  </si>
  <si>
    <t>Bosnia and Herzegovina</t>
  </si>
  <si>
    <t>BIH</t>
  </si>
  <si>
    <t>Georgia</t>
  </si>
  <si>
    <t>GEO</t>
  </si>
  <si>
    <t>Kyrgyzstan</t>
  </si>
  <si>
    <t>KGZ</t>
  </si>
  <si>
    <t>Mexico</t>
  </si>
  <si>
    <t>MEX</t>
  </si>
  <si>
    <t>Mongolia</t>
  </si>
  <si>
    <t>MNG</t>
  </si>
  <si>
    <t>Gabon</t>
  </si>
  <si>
    <t>GAB</t>
  </si>
  <si>
    <t>Aruba</t>
  </si>
  <si>
    <t>ABW</t>
  </si>
  <si>
    <t>Hong Kong</t>
  </si>
  <si>
    <t>HKG</t>
  </si>
  <si>
    <t>Cook Islands</t>
  </si>
  <si>
    <t>COK</t>
  </si>
  <si>
    <t>Chile</t>
  </si>
  <si>
    <t>CHL</t>
  </si>
  <si>
    <t>Moldova</t>
  </si>
  <si>
    <t>MDA</t>
  </si>
  <si>
    <t>Upper-middle-income countries</t>
  </si>
  <si>
    <t>OWID_UMC</t>
  </si>
  <si>
    <t>Cyprus</t>
  </si>
  <si>
    <t>CYP</t>
  </si>
  <si>
    <t>Cuba</t>
  </si>
  <si>
    <t>CUB</t>
  </si>
  <si>
    <t>Macao</t>
  </si>
  <si>
    <t>MAC</t>
  </si>
  <si>
    <t>Armenia</t>
  </si>
  <si>
    <t>ARM</t>
  </si>
  <si>
    <t>Jamaica</t>
  </si>
  <si>
    <t>JAM</t>
  </si>
  <si>
    <t>South America</t>
  </si>
  <si>
    <t>OWID_SAM</t>
  </si>
  <si>
    <t>Greece</t>
  </si>
  <si>
    <t>GRC</t>
  </si>
  <si>
    <t>Jordan</t>
  </si>
  <si>
    <t>JOR</t>
  </si>
  <si>
    <t>Spain</t>
  </si>
  <si>
    <t>ESP</t>
  </si>
  <si>
    <t>Seychelles</t>
  </si>
  <si>
    <t>SYC</t>
  </si>
  <si>
    <t>Suriname</t>
  </si>
  <si>
    <t>SUR</t>
  </si>
  <si>
    <t>Panama</t>
  </si>
  <si>
    <t>PAN</t>
  </si>
  <si>
    <t>Malta</t>
  </si>
  <si>
    <t>MLT</t>
  </si>
  <si>
    <t>North Macedonia</t>
  </si>
  <si>
    <t>MKD</t>
  </si>
  <si>
    <t>Kosovo</t>
  </si>
  <si>
    <t>OWID_KOS</t>
  </si>
  <si>
    <t>Azerbaijan</t>
  </si>
  <si>
    <t>AZE</t>
  </si>
  <si>
    <t>Latvia</t>
  </si>
  <si>
    <t>LVA</t>
  </si>
  <si>
    <t>Bulgaria</t>
  </si>
  <si>
    <t>BGR</t>
  </si>
  <si>
    <t>Venezuela</t>
  </si>
  <si>
    <t>VEN</t>
  </si>
  <si>
    <t>Argentina</t>
  </si>
  <si>
    <t>ARG</t>
  </si>
  <si>
    <t>Romania</t>
  </si>
  <si>
    <t>ROU</t>
  </si>
  <si>
    <t>Croatia</t>
  </si>
  <si>
    <t>HRV</t>
  </si>
  <si>
    <t>Uzbekistan</t>
  </si>
  <si>
    <t>UZB</t>
  </si>
  <si>
    <t>Montenegro</t>
  </si>
  <si>
    <t>MNE</t>
  </si>
  <si>
    <t>Ukraine</t>
  </si>
  <si>
    <t>UKR</t>
  </si>
  <si>
    <t>Japan</t>
  </si>
  <si>
    <t>JPN</t>
  </si>
  <si>
    <t>Italy</t>
  </si>
  <si>
    <t>ITA</t>
  </si>
  <si>
    <t>Barbados</t>
  </si>
  <si>
    <t>BRB</t>
  </si>
  <si>
    <t>Hungary</t>
  </si>
  <si>
    <t>HUN</t>
  </si>
  <si>
    <t>Puerto Rico</t>
  </si>
  <si>
    <t>PRI</t>
  </si>
  <si>
    <t>Israel</t>
  </si>
  <si>
    <t>ISR</t>
  </si>
  <si>
    <t>Greenland</t>
  </si>
  <si>
    <t>GRL</t>
  </si>
  <si>
    <t>Serbia and Montenegro</t>
  </si>
  <si>
    <t>OWID_SRM</t>
  </si>
  <si>
    <t>South Africa</t>
  </si>
  <si>
    <t>ZAF</t>
  </si>
  <si>
    <t>Antigua and Barbuda</t>
  </si>
  <si>
    <t>ATG</t>
  </si>
  <si>
    <t>Qatar</t>
  </si>
  <si>
    <t>QAT</t>
  </si>
  <si>
    <t>Cayman Islands</t>
  </si>
  <si>
    <t>CYM</t>
  </si>
  <si>
    <t>Lithuania</t>
  </si>
  <si>
    <t>LTU</t>
  </si>
  <si>
    <t>Serbia</t>
  </si>
  <si>
    <t>SRB</t>
  </si>
  <si>
    <t>Finland</t>
  </si>
  <si>
    <t>FIN</t>
  </si>
  <si>
    <t>Guam</t>
  </si>
  <si>
    <t>GUM</t>
  </si>
  <si>
    <t>Austria</t>
  </si>
  <si>
    <t>AUT</t>
  </si>
  <si>
    <t>Falkland Islands</t>
  </si>
  <si>
    <t>FLK</t>
  </si>
  <si>
    <t>Nauru</t>
  </si>
  <si>
    <t>NRU</t>
  </si>
  <si>
    <t>Kazakhstan</t>
  </si>
  <si>
    <t>KAZ</t>
  </si>
  <si>
    <t>Ireland</t>
  </si>
  <si>
    <t>IRL</t>
  </si>
  <si>
    <t>Switzerland</t>
  </si>
  <si>
    <t>CHE</t>
  </si>
  <si>
    <t>Slovakia</t>
  </si>
  <si>
    <t>SVK</t>
  </si>
  <si>
    <t>Denmark</t>
  </si>
  <si>
    <t>DNK</t>
  </si>
  <si>
    <t>European Union (27)</t>
  </si>
  <si>
    <t>OWID_EU27</t>
  </si>
  <si>
    <t>Belarus</t>
  </si>
  <si>
    <t>BLR</t>
  </si>
  <si>
    <t>Poland</t>
  </si>
  <si>
    <t>POL</t>
  </si>
  <si>
    <t>Yugoslavia</t>
  </si>
  <si>
    <t>OWID_YGS</t>
  </si>
  <si>
    <t>United Kingdom</t>
  </si>
  <si>
    <t>GBR</t>
  </si>
  <si>
    <t>Turkmenistan</t>
  </si>
  <si>
    <t>TKM</t>
  </si>
  <si>
    <t>Singapore</t>
  </si>
  <si>
    <t>SGP</t>
  </si>
  <si>
    <t>Libya</t>
  </si>
  <si>
    <t>LBY</t>
  </si>
  <si>
    <t>France</t>
  </si>
  <si>
    <t>FRA</t>
  </si>
  <si>
    <t>Bahamas</t>
  </si>
  <si>
    <t>BHS</t>
  </si>
  <si>
    <t>Oceania</t>
  </si>
  <si>
    <t>OWID_OCE</t>
  </si>
  <si>
    <t>New Zealand</t>
  </si>
  <si>
    <t>NZL</t>
  </si>
  <si>
    <t>Saint Pierre and Miquelon</t>
  </si>
  <si>
    <t>SPM</t>
  </si>
  <si>
    <t>Europe</t>
  </si>
  <si>
    <t>OWID_EUR</t>
  </si>
  <si>
    <t>USSR</t>
  </si>
  <si>
    <t>OWID_USS</t>
  </si>
  <si>
    <t>Slovenia</t>
  </si>
  <si>
    <t>SVN</t>
  </si>
  <si>
    <t>New Caledonia</t>
  </si>
  <si>
    <t>NCL</t>
  </si>
  <si>
    <t>High-income countries</t>
  </si>
  <si>
    <t>OWID_HIC</t>
  </si>
  <si>
    <t>Bermuda</t>
  </si>
  <si>
    <t>BMU</t>
  </si>
  <si>
    <t>Norway</t>
  </si>
  <si>
    <t>NOR</t>
  </si>
  <si>
    <t>Iceland</t>
  </si>
  <si>
    <t>ISL</t>
  </si>
  <si>
    <t>Germany</t>
  </si>
  <si>
    <t>DEU</t>
  </si>
  <si>
    <t>Netherlands</t>
  </si>
  <si>
    <t>NLD</t>
  </si>
  <si>
    <t>Kuwait</t>
  </si>
  <si>
    <t>KWT</t>
  </si>
  <si>
    <t>American Samoa</t>
  </si>
  <si>
    <t>ASM</t>
  </si>
  <si>
    <t>Australia</t>
  </si>
  <si>
    <t>AUS</t>
  </si>
  <si>
    <t>Trinidad and Tobago</t>
  </si>
  <si>
    <t>TTO</t>
  </si>
  <si>
    <t>Estonia</t>
  </si>
  <si>
    <t>EST</t>
  </si>
  <si>
    <t>Czechia</t>
  </si>
  <si>
    <t>CZE</t>
  </si>
  <si>
    <t>Sweden</t>
  </si>
  <si>
    <t>SWE</t>
  </si>
  <si>
    <t>Belgium</t>
  </si>
  <si>
    <t>BEL</t>
  </si>
  <si>
    <t>Russia</t>
  </si>
  <si>
    <t>RUS</t>
  </si>
  <si>
    <t>Czechoslovakia</t>
  </si>
  <si>
    <t>OWID_CZS</t>
  </si>
  <si>
    <t>Luxembourg</t>
  </si>
  <si>
    <t>LUX</t>
  </si>
  <si>
    <t>North America</t>
  </si>
  <si>
    <t>OWID_NAM</t>
  </si>
  <si>
    <t>Brunei</t>
  </si>
  <si>
    <t>BRN</t>
  </si>
  <si>
    <t>West Germany</t>
  </si>
  <si>
    <t>OWID_GFR</t>
  </si>
  <si>
    <t>Saudi Arabia</t>
  </si>
  <si>
    <t>SAU</t>
  </si>
  <si>
    <t>Canada</t>
  </si>
  <si>
    <t>CAN</t>
  </si>
  <si>
    <t>United States</t>
  </si>
  <si>
    <t>USA</t>
  </si>
  <si>
    <t>East Germany</t>
  </si>
  <si>
    <t>OWID_GDR</t>
  </si>
  <si>
    <t>Bahrain</t>
  </si>
  <si>
    <t>BHR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</si>
</sst>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1.0"/>
      <color theme="1"/>
      <name val="Calibri"/>
      <scheme val="minor"/>
    </font>
    <font>
      <color theme="1"/>
      <name val="Calibri"/>
      <scheme val="minor"/>
    </font>
    <font>
      <sz val="11.0"/>
      <color theme="1"/>
      <name val="Calibri"/>
    </font>
    <font>
      <sz val="10.0"/>
      <color theme="1"/>
      <name val="Calibri"/>
    </font>
    <font>
      <color rgb="FFFFFFFF"/>
      <name val="Calibri"/>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2" numFmtId="164" xfId="0" applyAlignment="1" applyFont="1" applyNumberFormat="1">
      <alignment shrinkToFit="0" vertical="center" wrapText="0"/>
    </xf>
    <xf borderId="0" fillId="0" fontId="3" numFmtId="164"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4" numFmtId="0" xfId="0" applyAlignment="1" applyFont="1">
      <alignment vertical="center"/>
    </xf>
    <xf borderId="0" fillId="0" fontId="1" numFmtId="0" xfId="0" applyAlignment="1" applyFont="1">
      <alignment shrinkToFit="0" vertical="center" wrapText="0"/>
    </xf>
    <xf borderId="0" fillId="0" fontId="2" numFmtId="0" xfId="0" applyAlignment="1" applyFont="1">
      <alignment shrinkToFit="0" vertical="center" wrapText="0"/>
    </xf>
    <xf borderId="0" fillId="0" fontId="1" numFmtId="0" xfId="0" applyAlignment="1" applyFont="1">
      <alignment vertical="center"/>
    </xf>
    <xf borderId="0" fillId="2" fontId="4" numFmtId="0" xfId="0" applyAlignment="1" applyFill="1" applyFont="1">
      <alignment vertical="center"/>
    </xf>
    <xf borderId="0" fillId="2" fontId="4" numFmtId="0" xfId="0" applyAlignment="1" applyFill="1" applyFont="1">
      <alignment vertical="center"/>
    </xf>
    <xf borderId="0" fillId="2" fontId="1" numFmtId="0" xfId="0" applyAlignment="1" applyFill="1" applyFont="1">
      <alignment vertical="center"/>
    </xf>
    <xf borderId="0" fillId="0" fontId="1" numFmtId="0" xfId="0" applyAlignment="1" applyFont="1">
      <alignment vertical="center"/>
    </xf>
    <xf borderId="0" fillId="0" fontId="1" numFmtId="4" xfId="0" applyAlignment="1" applyFont="1" applyNumberFormat="1">
      <alignment vertical="center"/>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rgb="FFDEEAF6"/>
          <bgColor rgb="FFDEEAF6"/>
        </patternFill>
      </fill>
      <border/>
    </dxf>
    <dxf>
      <border>
        <left style="thin">
          <color theme="4"/>
        </left>
        <right style="thin">
          <color theme="4"/>
        </right>
        <top style="thin">
          <color theme="4"/>
        </top>
        <bottom style="thin">
          <color theme="4"/>
        </bottom>
      </border>
    </dxf>
    <dxf>
      <font>
        <color rgb="FFFFFFFF"/>
      </font>
      <fill>
        <patternFill patternType="solid">
          <fgColor rgb="FFFFFFFF"/>
          <bgColor rgb="FFFFFFFF"/>
        </patternFill>
      </fill>
      <border/>
    </dxf>
  </dxfs>
  <tableStyles count="2">
    <tableStyle count="4" pivot="0" name="calculated data -style 2">
      <tableStyleElement dxfId="1" type="headerRow"/>
      <tableStyleElement dxfId="2" type="firstRowStripe"/>
      <tableStyleElement dxfId="3" type="secondRowStripe"/>
      <tableStyleElement dxfId="4" size="0" type="wholeTable"/>
    </tableStyle>
    <tableStyle count="4" pivot="0" name="primary energy use data -style">
      <tableStyleElement dxfId="5" type="headerRow"/>
      <tableStyleElement dxfId="6" type="firstRowStripe"/>
      <tableStyleElement dxfId="2"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3.xml"/><Relationship Id="rId10" Type="http://schemas.microsoft.com/office/2007/relationships/slicerCache" Target="slicerCaches/slicerCache2.xml"/><Relationship Id="rId12" Type="http://schemas.microsoft.com/office/2007/relationships/slicerCache" Target="slicerCaches/slicerCache4.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mn-lt"/>
              </a:defRPr>
            </a:pPr>
            <a:r>
              <a:rPr b="1" i="0" sz="1600">
                <a:solidFill>
                  <a:srgbClr val="000000"/>
                </a:solidFill>
                <a:latin typeface="+mn-lt"/>
              </a:rPr>
              <a:t>Peak Energy Consuming Countries Represent
 Under 20% of the Total Market</a:t>
            </a:r>
          </a:p>
        </c:rich>
      </c:tx>
      <c:layout>
        <c:manualLayout>
          <c:xMode val="edge"/>
          <c:yMode val="edge"/>
          <c:x val="0.003514526710403"/>
          <c:y val="0.00694444444444444"/>
        </c:manualLayout>
      </c:layout>
      <c:overlay val="0"/>
    </c:title>
    <c:plotArea>
      <c:layout/>
      <c:lineChart>
        <c:varyColors val="0"/>
        <c:ser>
          <c:idx val="0"/>
          <c:order val="0"/>
          <c:tx>
            <c:v>Total</c:v>
          </c:tx>
          <c:spPr>
            <a:ln cmpd="sng" w="28575">
              <a:solidFill>
                <a:schemeClr val="accent1"/>
              </a:solidFill>
            </a:ln>
          </c:spPr>
          <c:marker>
            <c:symbol val="none"/>
          </c:marker>
          <c:cat>
            <c:strRef>
              <c:f>'DashBoard '!$A$12:$A$16</c:f>
            </c:strRef>
          </c:cat>
          <c:val>
            <c:numRef>
              <c:f>'DashBoard '!$B$12:$B$16</c:f>
              <c:numCache/>
            </c:numRef>
          </c:val>
          <c:smooth val="0"/>
        </c:ser>
        <c:axId val="1748732152"/>
        <c:axId val="383553813"/>
      </c:lineChart>
      <c:catAx>
        <c:axId val="1748732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383553813"/>
      </c:catAx>
      <c:valAx>
        <c:axId val="38355381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748732152"/>
      </c:valAx>
    </c:plotArea>
    <c:legend>
      <c:legendPos val="r"/>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00000"/>
                </a:solidFill>
                <a:latin typeface="+mn-lt"/>
              </a:defRPr>
            </a:pPr>
            <a:r>
              <a:rPr b="1" i="0" sz="2000">
                <a:solidFill>
                  <a:srgbClr val="000000"/>
                </a:solidFill>
                <a:latin typeface="+mn-lt"/>
              </a:rPr>
              <a:t>Comprehensive Market Segmentation: Core Demand vs. High-Growth Tiers</a:t>
            </a:r>
          </a:p>
        </c:rich>
      </c:tx>
      <c:layout>
        <c:manualLayout>
          <c:xMode val="edge"/>
          <c:yMode val="edge"/>
          <c:x val="0.00457366873570729"/>
          <c:y val="0.00666666666666667"/>
        </c:manualLayout>
      </c:layout>
      <c:overlay val="0"/>
    </c:title>
    <c:plotArea>
      <c:layout>
        <c:manualLayout>
          <c:xMode val="edge"/>
          <c:yMode val="edge"/>
          <c:x val="0.209474028095394"/>
          <c:y val="0.159333333333333"/>
          <c:w val="0.739126647065229"/>
          <c:h val="0.722533333333333"/>
        </c:manualLayout>
      </c:layout>
      <c:barChart>
        <c:barDir val="bar"/>
        <c:ser>
          <c:idx val="0"/>
          <c:order val="0"/>
          <c:spPr>
            <a:solidFill>
              <a:schemeClr val="accent1"/>
            </a:solidFill>
            <a:ln cmpd="sng">
              <a:noFill/>
            </a:ln>
          </c:spPr>
          <c:dPt>
            <c:idx val="0"/>
          </c:dPt>
          <c:dPt>
            <c:idx val="1"/>
          </c:dPt>
          <c:dPt>
            <c:idx val="2"/>
          </c:dPt>
          <c:dPt>
            <c:idx val="3"/>
          </c:dPt>
          <c:dLbls>
            <c:dLbl>
              <c:idx val="0"/>
              <c:numFmt formatCode="General" sourceLinked="0"/>
              <c:txPr>
                <a:bodyPr/>
                <a:lstStyle/>
                <a:p>
                  <a:pPr lvl="0">
                    <a:defRPr sz="1200"/>
                  </a:pPr>
                </a:p>
              </c:txPr>
              <c:showLegendKey val="0"/>
              <c:showVal val="1"/>
              <c:showCatName val="0"/>
              <c:showSerName val="0"/>
              <c:showPercent val="0"/>
              <c:showBubbleSize val="0"/>
            </c:dLbl>
            <c:dLbl>
              <c:idx val="1"/>
              <c:numFmt formatCode="General" sourceLinked="0"/>
              <c:txPr>
                <a:bodyPr/>
                <a:lstStyle/>
                <a:p>
                  <a:pPr lvl="0">
                    <a:defRPr sz="1200"/>
                  </a:pPr>
                </a:p>
              </c:txPr>
              <c:showLegendKey val="0"/>
              <c:showVal val="1"/>
              <c:showCatName val="0"/>
              <c:showSerName val="0"/>
              <c:showPercent val="0"/>
              <c:showBubbleSize val="0"/>
            </c:dLbl>
            <c:dLbl>
              <c:idx val="2"/>
              <c:numFmt formatCode="General" sourceLinked="0"/>
              <c:txPr>
                <a:bodyPr/>
                <a:lstStyle/>
                <a:p>
                  <a:pPr lvl="0">
                    <a:defRPr sz="1200"/>
                  </a:pPr>
                </a:p>
              </c:txPr>
              <c:showLegendKey val="0"/>
              <c:showVal val="1"/>
              <c:showCatName val="0"/>
              <c:showSerName val="0"/>
              <c:showPercent val="0"/>
              <c:showBubbleSize val="0"/>
            </c:dLbl>
            <c:dLbl>
              <c:idx val="3"/>
              <c:numFmt formatCode="General" sourceLinked="0"/>
              <c:txPr>
                <a:bodyPr/>
                <a:lstStyle/>
                <a:p>
                  <a:pPr lvl="0">
                    <a:defRPr b="0" sz="1200"/>
                  </a:pPr>
                </a:p>
              </c:txPr>
              <c:showLegendKey val="0"/>
              <c:showVal val="1"/>
              <c:showCatName val="0"/>
              <c:showSerName val="0"/>
              <c:showPercent val="0"/>
              <c:showBubbleSize val="0"/>
            </c:dLbl>
            <c:numFmt formatCode="General" sourceLinked="0"/>
            <c:txPr>
              <a:bodyPr/>
              <a:lstStyle/>
              <a:p>
                <a:pPr lvl="0">
                  <a:defRPr b="0" i="0" sz="1000">
                    <a:latin typeface="+mn-lt"/>
                  </a:defRPr>
                </a:pPr>
              </a:p>
            </c:txPr>
            <c:showLegendKey val="0"/>
            <c:showVal val="1"/>
            <c:showCatName val="0"/>
            <c:showSerName val="0"/>
            <c:showPercent val="0"/>
            <c:showBubbleSize val="0"/>
          </c:dLbls>
          <c:cat>
            <c:strRef>
              <c:f>'calculated data '!$A$3:$A$6</c:f>
            </c:strRef>
          </c:cat>
          <c:val>
            <c:numRef>
              <c:f>'calculated data '!$B$3:$B$6</c:f>
              <c:numCache/>
            </c:numRef>
          </c:val>
        </c:ser>
        <c:axId val="837160452"/>
        <c:axId val="1935444526"/>
      </c:barChart>
      <c:catAx>
        <c:axId val="8371604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400">
                <a:solidFill>
                  <a:srgbClr val="000000"/>
                </a:solidFill>
                <a:latin typeface="+mn-lt"/>
              </a:defRPr>
            </a:pPr>
          </a:p>
        </c:txPr>
        <c:crossAx val="1935444526"/>
      </c:catAx>
      <c:valAx>
        <c:axId val="1935444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837160452"/>
        <c:crosses val="max"/>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Demand Concentration Risk: Average vs. Median Consumption Gap</a:t>
            </a:r>
          </a:p>
        </c:rich>
      </c:tx>
      <c:overlay val="0"/>
    </c:title>
    <c:plotArea>
      <c:layout/>
      <c:barChart>
        <c:barDir val="bar"/>
        <c:ser>
          <c:idx val="0"/>
          <c:order val="0"/>
          <c:tx>
            <c:strRef>
              <c:f>'calculated data '!$C$2</c:f>
            </c:strRef>
          </c:tx>
          <c:spPr>
            <a:solidFill>
              <a:schemeClr val="accent1"/>
            </a:solidFill>
            <a:ln cmpd="sng">
              <a:noFill/>
            </a:ln>
          </c:spPr>
          <c:dPt>
            <c:idx val="2"/>
            <c:spPr>
              <a:solidFill>
                <a:srgbClr val="5B9BD5"/>
              </a:solidFill>
              <a:ln cmpd="sng">
                <a:noFill/>
              </a:ln>
            </c:spPr>
          </c:dPt>
          <c:cat>
            <c:strRef>
              <c:f>'calculated data '!$A$3:$A$6</c:f>
            </c:strRef>
          </c:cat>
          <c:val>
            <c:numRef>
              <c:f>'calculated data '!$C$3:$C$6</c:f>
              <c:numCache/>
            </c:numRef>
          </c:val>
        </c:ser>
        <c:ser>
          <c:idx val="1"/>
          <c:order val="1"/>
          <c:tx>
            <c:strRef>
              <c:f>'calculated data '!$D$2</c:f>
            </c:strRef>
          </c:tx>
          <c:spPr>
            <a:solidFill>
              <a:srgbClr val="0B5394"/>
            </a:solidFill>
            <a:ln cmpd="sng">
              <a:noFill/>
            </a:ln>
          </c:spPr>
          <c:dPt>
            <c:idx val="3"/>
          </c:dPt>
          <c:cat>
            <c:strRef>
              <c:f>'calculated data '!$A$3:$A$6</c:f>
            </c:strRef>
          </c:cat>
          <c:val>
            <c:numRef>
              <c:f>'calculated data '!$D$3:$D$6</c:f>
              <c:numCache/>
            </c:numRef>
          </c:val>
        </c:ser>
        <c:axId val="102381204"/>
        <c:axId val="654720480"/>
      </c:barChart>
      <c:catAx>
        <c:axId val="10238120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Market Segment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4720480"/>
      </c:catAx>
      <c:valAx>
        <c:axId val="65472048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381204"/>
        <c:crosses val="max"/>
      </c:valAx>
    </c:plotArea>
    <c:legend>
      <c:legendPos val="r"/>
      <c:legendEntry>
        <c:idx val="0"/>
        <c:txPr>
          <a:bodyPr/>
          <a:lstStyle/>
          <a:p>
            <a:pPr lvl="0">
              <a:defRPr sz="1400">
                <a:solidFill>
                  <a:srgbClr val="4A86E8"/>
                </a:solidFill>
              </a:defRPr>
            </a:pPr>
          </a:p>
        </c:txPr>
      </c:legendEntry>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Relative Market Position: High-Potential vs. Sub-Baseline Energy Markets</a:t>
            </a:r>
          </a:p>
        </c:rich>
      </c:tx>
      <c:overlay val="0"/>
    </c:title>
    <c:plotArea>
      <c:layout/>
      <c:barChart>
        <c:barDir val="bar"/>
        <c:ser>
          <c:idx val="0"/>
          <c:order val="0"/>
          <c:spPr>
            <a:solidFill>
              <a:schemeClr val="accent2"/>
            </a:solidFill>
            <a:ln cmpd="sng">
              <a:noFill/>
            </a:ln>
          </c:spPr>
          <c:dPt>
            <c:idx val="0"/>
            <c:spPr>
              <a:solidFill>
                <a:srgbClr val="CC0000"/>
              </a:solidFill>
              <a:ln cmpd="sng">
                <a:noFill/>
              </a:ln>
            </c:spPr>
          </c:dPt>
          <c:dPt>
            <c:idx val="1"/>
            <c:spPr>
              <a:solidFill>
                <a:srgbClr val="CC0000"/>
              </a:solidFill>
              <a:ln cmpd="sng">
                <a:noFill/>
              </a:ln>
            </c:spPr>
          </c:dPt>
          <c:dPt>
            <c:idx val="2"/>
            <c:spPr>
              <a:solidFill>
                <a:srgbClr val="CC0000"/>
              </a:solidFill>
              <a:ln cmpd="sng">
                <a:noFill/>
              </a:ln>
            </c:spPr>
          </c:dPt>
          <c:dPt>
            <c:idx val="3"/>
            <c:spPr>
              <a:solidFill>
                <a:srgbClr val="CC0000"/>
              </a:solidFill>
              <a:ln cmpd="sng">
                <a:noFill/>
              </a:ln>
            </c:spPr>
          </c:dPt>
          <c:dPt>
            <c:idx val="4"/>
            <c:spPr>
              <a:solidFill>
                <a:srgbClr val="CC0000"/>
              </a:solidFill>
              <a:ln cmpd="sng">
                <a:noFill/>
              </a:ln>
            </c:spPr>
          </c:dPt>
          <c:dPt>
            <c:idx val="5"/>
            <c:spPr>
              <a:solidFill>
                <a:srgbClr val="CC0000"/>
              </a:solidFill>
              <a:ln cmpd="sng">
                <a:noFill/>
              </a:ln>
            </c:spPr>
          </c:dPt>
          <c:dPt>
            <c:idx val="6"/>
            <c:spPr>
              <a:solidFill>
                <a:srgbClr val="CC0000"/>
              </a:solidFill>
              <a:ln cmpd="sng">
                <a:noFill/>
              </a:ln>
            </c:spPr>
          </c:dPt>
          <c:dPt>
            <c:idx val="7"/>
            <c:spPr>
              <a:solidFill>
                <a:srgbClr val="CC0000"/>
              </a:solidFill>
              <a:ln cmpd="sng">
                <a:noFill/>
              </a:ln>
            </c:spPr>
          </c:dPt>
          <c:dPt>
            <c:idx val="8"/>
            <c:spPr>
              <a:solidFill>
                <a:srgbClr val="CC0000"/>
              </a:solidFill>
              <a:ln cmpd="sng">
                <a:noFill/>
              </a:ln>
            </c:spPr>
          </c:dPt>
          <c:dPt>
            <c:idx val="9"/>
            <c:spPr>
              <a:solidFill>
                <a:srgbClr val="1155CC"/>
              </a:solidFill>
              <a:ln cmpd="sng">
                <a:noFill/>
              </a:ln>
            </c:spPr>
          </c:dPt>
          <c:dPt>
            <c:idx val="10"/>
            <c:spPr>
              <a:solidFill>
                <a:srgbClr val="1155CC"/>
              </a:solidFill>
              <a:ln cmpd="sng">
                <a:noFill/>
              </a:ln>
            </c:spPr>
          </c:dPt>
          <c:dPt>
            <c:idx val="11"/>
            <c:spPr>
              <a:solidFill>
                <a:srgbClr val="1155CC"/>
              </a:solidFill>
              <a:ln cmpd="sng">
                <a:noFill/>
              </a:ln>
            </c:spPr>
          </c:dPt>
          <c:dPt>
            <c:idx val="12"/>
            <c:spPr>
              <a:solidFill>
                <a:srgbClr val="1155CC"/>
              </a:solidFill>
              <a:ln cmpd="sng">
                <a:noFill/>
              </a:ln>
            </c:spPr>
          </c:dPt>
          <c:dPt>
            <c:idx val="13"/>
            <c:spPr>
              <a:solidFill>
                <a:srgbClr val="1155CC"/>
              </a:solidFill>
              <a:ln cmpd="sng">
                <a:noFill/>
              </a:ln>
            </c:spPr>
          </c:dPt>
          <c:dPt>
            <c:idx val="14"/>
            <c:spPr>
              <a:solidFill>
                <a:srgbClr val="1155CC"/>
              </a:solidFill>
              <a:ln cmpd="sng">
                <a:noFill/>
              </a:ln>
            </c:spPr>
          </c:dPt>
          <c:dPt>
            <c:idx val="15"/>
            <c:spPr>
              <a:solidFill>
                <a:srgbClr val="1155CC"/>
              </a:solidFill>
              <a:ln cmpd="sng">
                <a:noFill/>
              </a:ln>
            </c:spPr>
          </c:dPt>
          <c:dPt>
            <c:idx val="16"/>
            <c:spPr>
              <a:solidFill>
                <a:srgbClr val="1155CC"/>
              </a:solidFill>
              <a:ln cmpd="sng">
                <a:noFill/>
              </a:ln>
            </c:spPr>
          </c:dPt>
          <c:dPt>
            <c:idx val="17"/>
            <c:spPr>
              <a:solidFill>
                <a:srgbClr val="1155CC"/>
              </a:solidFill>
              <a:ln cmpd="sng">
                <a:noFill/>
              </a:ln>
            </c:spPr>
          </c:dPt>
          <c:dPt>
            <c:idx val="18"/>
            <c:spPr>
              <a:solidFill>
                <a:srgbClr val="1155CC"/>
              </a:solidFill>
              <a:ln cmpd="sng">
                <a:noFill/>
              </a:ln>
            </c:spPr>
          </c:dPt>
          <c:dPt>
            <c:idx val="19"/>
            <c:spPr>
              <a:solidFill>
                <a:srgbClr val="1155CC"/>
              </a:solidFill>
              <a:ln cmpd="sng">
                <a:noFill/>
              </a:ln>
            </c:spPr>
          </c:dPt>
          <c:cat>
            <c:strRef>
              <c:f>'DashBoard '!$A$24:$A$43</c:f>
            </c:strRef>
          </c:cat>
          <c:val>
            <c:numRef>
              <c:f>'DashBoard '!$F$24:$F$43</c:f>
              <c:numCache/>
            </c:numRef>
          </c:val>
        </c:ser>
        <c:axId val="807533235"/>
        <c:axId val="1259195559"/>
      </c:barChart>
      <c:catAx>
        <c:axId val="8075332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9195559"/>
      </c:catAx>
      <c:valAx>
        <c:axId val="1259195559"/>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753323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242</xdr:row>
      <xdr:rowOff>38100</xdr:rowOff>
    </xdr:from>
    <xdr:ext cx="2857500" cy="2857500"/>
    <mc:AlternateContent>
      <mc:Choice Requires="sle15">
        <xdr:graphicFrame>
          <xdr:nvGraphicFramePr>
            <xdr:cNvPr id="1" name="Tier Type_1"/>
            <xdr:cNvGraphicFramePr/>
          </xdr:nvGraphicFramePr>
          <xdr:xfrm>
            <a:off x="0" y="0"/>
            <a:ext cx="0" cy="0"/>
          </xdr:xfrm>
          <a:graphic>
            <a:graphicData uri="http://schemas.microsoft.com/office/drawing/2010/slicer">
              <x3Unk:slicer name="Tier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76200</xdr:colOff>
      <xdr:row>19</xdr:row>
      <xdr:rowOff>133350</xdr:rowOff>
    </xdr:from>
    <xdr:ext cx="6515100" cy="3133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219075</xdr:colOff>
      <xdr:row>38</xdr:row>
      <xdr:rowOff>95250</xdr:rowOff>
    </xdr:from>
    <xdr:ext cx="7181850" cy="3600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142875</xdr:colOff>
      <xdr:row>19</xdr:row>
      <xdr:rowOff>0</xdr:rowOff>
    </xdr:from>
    <xdr:ext cx="7343775" cy="30575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26</xdr:col>
      <xdr:colOff>285750</xdr:colOff>
      <xdr:row>38</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30</xdr:col>
      <xdr:colOff>361950</xdr:colOff>
      <xdr:row>10</xdr:row>
      <xdr:rowOff>123825</xdr:rowOff>
    </xdr:from>
    <xdr:ext cx="3228975" cy="2857500"/>
    <mc:AlternateContent>
      <mc:Choice Requires="sle15">
        <xdr:graphicFrame>
          <xdr:nvGraphicFramePr>
            <xdr:cNvPr id="2" name="Low Demand Tier_2"/>
            <xdr:cNvGraphicFramePr/>
          </xdr:nvGraphicFramePr>
          <xdr:xfrm>
            <a:off x="0" y="0"/>
            <a:ext cx="0" cy="0"/>
          </xdr:xfrm>
          <a:graphic>
            <a:graphicData uri="http://schemas.microsoft.com/office/drawing/2010/slicer">
              <x3Unk:slicer name="Low Demand Ti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30</xdr:col>
      <xdr:colOff>400050</xdr:colOff>
      <xdr:row>13</xdr:row>
      <xdr:rowOff>104775</xdr:rowOff>
    </xdr:from>
    <xdr:ext cx="3228975" cy="2857500"/>
    <mc:AlternateContent>
      <mc:Choice Requires="sle15">
        <xdr:graphicFrame>
          <xdr:nvGraphicFramePr>
            <xdr:cNvPr id="3" name="Year_3"/>
            <xdr:cNvGraphicFramePr/>
          </xdr:nvGraphicFramePr>
          <xdr:xfrm>
            <a:off x="0" y="0"/>
            <a:ext cx="0" cy="0"/>
          </xdr:xfrm>
          <a:graphic>
            <a:graphicData uri="http://schemas.microsoft.com/office/drawing/2010/slicer">
              <x3Unk:slicer name="Yea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30</xdr:col>
      <xdr:colOff>390525</xdr:colOff>
      <xdr:row>16</xdr:row>
      <xdr:rowOff>152400</xdr:rowOff>
    </xdr:from>
    <xdr:ext cx="3228975" cy="2857500"/>
    <mc:AlternateContent>
      <mc:Choice Requires="sle15">
        <xdr:graphicFrame>
          <xdr:nvGraphicFramePr>
            <xdr:cNvPr id="4" name="Entity_4"/>
            <xdr:cNvGraphicFramePr/>
          </xdr:nvGraphicFramePr>
          <xdr:xfrm>
            <a:off x="0" y="0"/>
            <a:ext cx="0" cy="0"/>
          </xdr:xfrm>
          <a:graphic>
            <a:graphicData uri="http://schemas.microsoft.com/office/drawing/2010/slicer">
              <x3Unk:slicer name="Entit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514350</xdr:colOff>
      <xdr:row>9</xdr:row>
      <xdr:rowOff>180975</xdr:rowOff>
    </xdr:from>
    <xdr:ext cx="2486025" cy="1314450"/>
    <xdr:sp>
      <xdr:nvSpPr>
        <xdr:cNvPr id="3" name="Shape 3"/>
        <xdr:cNvSpPr/>
      </xdr:nvSpPr>
      <xdr:spPr>
        <a:xfrm>
          <a:off x="584900" y="1136100"/>
          <a:ext cx="1707600" cy="1012500"/>
        </a:xfrm>
        <a:prstGeom prst="roundRect">
          <a:avLst>
            <a:gd fmla="val 16667" name="adj"/>
          </a:avLst>
        </a:prstGeom>
        <a:solidFill>
          <a:srgbClr val="FFFFFF"/>
        </a:solidFill>
        <a:ln cap="flat" cmpd="sng" w="9525">
          <a:solidFill>
            <a:srgbClr val="F3F3F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2300"/>
            <a:t>237 </a:t>
          </a:r>
          <a:endParaRPr b="1" sz="2300"/>
        </a:p>
        <a:p>
          <a:pPr indent="0" lvl="0" marL="0" rtl="0" algn="ctr">
            <a:spcBef>
              <a:spcPts val="0"/>
            </a:spcBef>
            <a:spcAft>
              <a:spcPts val="0"/>
            </a:spcAft>
            <a:buNone/>
          </a:pPr>
          <a:r>
            <a:t/>
          </a:r>
          <a:endParaRPr sz="1200">
            <a:solidFill>
              <a:srgbClr val="666666"/>
            </a:solidFill>
          </a:endParaRPr>
        </a:p>
        <a:p>
          <a:pPr indent="0" lvl="0" marL="0" rtl="0" algn="l">
            <a:spcBef>
              <a:spcPts val="0"/>
            </a:spcBef>
            <a:spcAft>
              <a:spcPts val="0"/>
            </a:spcAft>
            <a:buNone/>
          </a:pPr>
          <a:r>
            <a:rPr lang="en-US" sz="1300">
              <a:solidFill>
                <a:srgbClr val="999999"/>
              </a:solidFill>
            </a:rPr>
            <a:t>Total Countries </a:t>
          </a:r>
          <a:endParaRPr sz="1100">
            <a:solidFill>
              <a:srgbClr val="999999"/>
            </a:solidFill>
          </a:endParaRPr>
        </a:p>
      </xdr:txBody>
    </xdr:sp>
    <xdr:clientData fLocksWithSheet="0"/>
  </xdr:oneCellAnchor>
  <xdr:oneCellAnchor>
    <xdr:from>
      <xdr:col>22</xdr:col>
      <xdr:colOff>190500</xdr:colOff>
      <xdr:row>9</xdr:row>
      <xdr:rowOff>180975</xdr:rowOff>
    </xdr:from>
    <xdr:ext cx="2571750" cy="1304925"/>
    <xdr:sp>
      <xdr:nvSpPr>
        <xdr:cNvPr id="4" name="Shape 4"/>
        <xdr:cNvSpPr/>
      </xdr:nvSpPr>
      <xdr:spPr>
        <a:xfrm>
          <a:off x="1290475" y="1178000"/>
          <a:ext cx="1779300" cy="1063500"/>
        </a:xfrm>
        <a:prstGeom prst="roundRect">
          <a:avLst>
            <a:gd fmla="val 16667" name="adj"/>
          </a:avLst>
        </a:prstGeom>
        <a:solidFill>
          <a:srgbClr val="FFFFFF"/>
        </a:solidFill>
        <a:ln cap="flat" cmpd="sng" w="9525">
          <a:solidFill>
            <a:srgbClr val="EFEFEF"/>
          </a:solidFill>
          <a:prstDash val="solid"/>
          <a:round/>
          <a:headEnd len="sm" w="sm" type="none"/>
          <a:tailEnd len="sm" w="sm" type="none"/>
        </a:ln>
      </xdr:spPr>
      <xdr:txBody>
        <a:bodyPr anchorCtr="0" anchor="b" bIns="91425" lIns="91425" spcFirstLastPara="1" rIns="91425" wrap="square" tIns="91425">
          <a:noAutofit/>
        </a:bodyPr>
        <a:lstStyle/>
        <a:p>
          <a:pPr indent="0" lvl="0" marL="0" rtl="0" algn="l">
            <a:spcBef>
              <a:spcPts val="0"/>
            </a:spcBef>
            <a:spcAft>
              <a:spcPts val="0"/>
            </a:spcAft>
            <a:buNone/>
          </a:pPr>
          <a:r>
            <a:rPr b="1" lang="en-US" sz="2000"/>
            <a:t>5658 </a:t>
          </a:r>
          <a:endParaRPr b="1" sz="2000"/>
        </a:p>
        <a:p>
          <a:pPr indent="0" lvl="0" marL="0" rtl="0" algn="l">
            <a:spcBef>
              <a:spcPts val="0"/>
            </a:spcBef>
            <a:spcAft>
              <a:spcPts val="0"/>
            </a:spcAft>
            <a:buNone/>
          </a:pPr>
          <a:r>
            <a:t/>
          </a:r>
          <a:endParaRPr sz="1300">
            <a:solidFill>
              <a:srgbClr val="999999"/>
            </a:solidFill>
          </a:endParaRPr>
        </a:p>
        <a:p>
          <a:pPr indent="0" lvl="0" marL="0" rtl="0" algn="l">
            <a:spcBef>
              <a:spcPts val="0"/>
            </a:spcBef>
            <a:spcAft>
              <a:spcPts val="0"/>
            </a:spcAft>
            <a:buNone/>
          </a:pPr>
          <a:r>
            <a:t/>
          </a:r>
          <a:endParaRPr sz="1300">
            <a:solidFill>
              <a:srgbClr val="999999"/>
            </a:solidFill>
          </a:endParaRPr>
        </a:p>
        <a:p>
          <a:pPr indent="0" lvl="0" marL="0" rtl="0" algn="l">
            <a:spcBef>
              <a:spcPts val="0"/>
            </a:spcBef>
            <a:spcAft>
              <a:spcPts val="0"/>
            </a:spcAft>
            <a:buNone/>
          </a:pPr>
          <a:r>
            <a:rPr lang="en-US" sz="1300">
              <a:solidFill>
                <a:srgbClr val="999999"/>
              </a:solidFill>
            </a:rPr>
            <a:t>Core Market IQR </a:t>
          </a:r>
          <a:endParaRPr sz="1300">
            <a:solidFill>
              <a:srgbClr val="999999"/>
            </a:solidFill>
          </a:endParaRPr>
        </a:p>
      </xdr:txBody>
    </xdr:sp>
    <xdr:clientData fLocksWithSheet="0"/>
  </xdr:oneCellAnchor>
  <xdr:oneCellAnchor>
    <xdr:from>
      <xdr:col>26</xdr:col>
      <xdr:colOff>457200</xdr:colOff>
      <xdr:row>10</xdr:row>
      <xdr:rowOff>19050</xdr:rowOff>
    </xdr:from>
    <xdr:ext cx="2314575" cy="1304925"/>
    <xdr:sp>
      <xdr:nvSpPr>
        <xdr:cNvPr id="5" name="Shape 5"/>
        <xdr:cNvSpPr/>
      </xdr:nvSpPr>
      <xdr:spPr>
        <a:xfrm>
          <a:off x="1290475" y="1208675"/>
          <a:ext cx="1595100" cy="951000"/>
        </a:xfrm>
        <a:prstGeom prst="roundRect">
          <a:avLst>
            <a:gd fmla="val 16667" name="adj"/>
          </a:avLst>
        </a:prstGeom>
        <a:solidFill>
          <a:srgbClr val="FFFFFF"/>
        </a:solidFill>
        <a:ln cap="flat" cmpd="sng" w="9525">
          <a:solidFill>
            <a:srgbClr val="EFEFEF"/>
          </a:solidFill>
          <a:prstDash val="solid"/>
          <a:round/>
          <a:headEnd len="sm" w="sm" type="none"/>
          <a:tailEnd len="sm" w="sm" type="none"/>
        </a:ln>
      </xdr:spPr>
      <xdr:txBody>
        <a:bodyPr anchorCtr="0" anchor="b" bIns="91425" lIns="91425" spcFirstLastPara="1" rIns="91425" wrap="square" tIns="91425">
          <a:noAutofit/>
        </a:bodyPr>
        <a:lstStyle/>
        <a:p>
          <a:pPr indent="0" lvl="0" marL="0" rtl="0" algn="l">
            <a:spcBef>
              <a:spcPts val="0"/>
            </a:spcBef>
            <a:spcAft>
              <a:spcPts val="0"/>
            </a:spcAft>
            <a:buNone/>
          </a:pPr>
          <a:r>
            <a:t/>
          </a:r>
          <a:endParaRPr b="1" sz="1900"/>
        </a:p>
        <a:p>
          <a:pPr indent="0" lvl="0" marL="0" rtl="0" algn="l">
            <a:spcBef>
              <a:spcPts val="0"/>
            </a:spcBef>
            <a:spcAft>
              <a:spcPts val="0"/>
            </a:spcAft>
            <a:buNone/>
          </a:pPr>
          <a:r>
            <a:t/>
          </a:r>
          <a:endParaRPr b="1" sz="1900"/>
        </a:p>
        <a:p>
          <a:pPr indent="0" lvl="0" marL="0" rtl="0" algn="l">
            <a:spcBef>
              <a:spcPts val="0"/>
            </a:spcBef>
            <a:spcAft>
              <a:spcPts val="0"/>
            </a:spcAft>
            <a:buNone/>
          </a:pPr>
          <a:r>
            <a:t/>
          </a:r>
          <a:endParaRPr b="1" sz="1900"/>
        </a:p>
        <a:p>
          <a:pPr indent="0" lvl="0" marL="0" rtl="0" algn="l">
            <a:spcBef>
              <a:spcPts val="0"/>
            </a:spcBef>
            <a:spcAft>
              <a:spcPts val="0"/>
            </a:spcAft>
            <a:buNone/>
          </a:pPr>
          <a:r>
            <a:t/>
          </a:r>
          <a:endParaRPr b="1" sz="1900"/>
        </a:p>
        <a:p>
          <a:pPr indent="0" lvl="0" marL="0" rtl="0" algn="l">
            <a:spcBef>
              <a:spcPts val="0"/>
            </a:spcBef>
            <a:spcAft>
              <a:spcPts val="0"/>
            </a:spcAft>
            <a:buNone/>
          </a:pPr>
          <a:r>
            <a:rPr b="1" lang="en-US" sz="1900"/>
            <a:t>574</a:t>
          </a:r>
          <a:endParaRPr b="1" sz="1900"/>
        </a:p>
        <a:p>
          <a:pPr indent="0" lvl="0" marL="0" rtl="0" algn="l">
            <a:spcBef>
              <a:spcPts val="0"/>
            </a:spcBef>
            <a:spcAft>
              <a:spcPts val="0"/>
            </a:spcAft>
            <a:buNone/>
          </a:pPr>
          <a:r>
            <a:t/>
          </a:r>
          <a:endParaRPr sz="1200">
            <a:solidFill>
              <a:srgbClr val="999999"/>
            </a:solidFill>
          </a:endParaRPr>
        </a:p>
        <a:p>
          <a:pPr indent="0" lvl="0" marL="0" rtl="0" algn="l">
            <a:spcBef>
              <a:spcPts val="0"/>
            </a:spcBef>
            <a:spcAft>
              <a:spcPts val="0"/>
            </a:spcAft>
            <a:buNone/>
          </a:pPr>
          <a:r>
            <a:t/>
          </a:r>
          <a:endParaRPr sz="1200">
            <a:solidFill>
              <a:srgbClr val="999999"/>
            </a:solidFill>
          </a:endParaRPr>
        </a:p>
        <a:p>
          <a:pPr indent="0" lvl="0" marL="0" rtl="0" algn="l">
            <a:spcBef>
              <a:spcPts val="0"/>
            </a:spcBef>
            <a:spcAft>
              <a:spcPts val="0"/>
            </a:spcAft>
            <a:buNone/>
          </a:pPr>
          <a:r>
            <a:rPr lang="en-US" sz="1200">
              <a:solidFill>
                <a:srgbClr val="999999"/>
              </a:solidFill>
            </a:rPr>
            <a:t>Premium Countries </a:t>
          </a:r>
          <a:endParaRPr sz="1200">
            <a:solidFill>
              <a:srgbClr val="999999"/>
            </a:solidFill>
          </a:endParaRPr>
        </a:p>
      </xdr:txBody>
    </xdr:sp>
    <xdr:clientData fLocksWithSheet="0"/>
  </xdr:oneCellAnchor>
  <xdr:oneCellAnchor>
    <xdr:from>
      <xdr:col>13</xdr:col>
      <xdr:colOff>142875</xdr:colOff>
      <xdr:row>0</xdr:row>
      <xdr:rowOff>123825</xdr:rowOff>
    </xdr:from>
    <xdr:ext cx="13468350" cy="1457325"/>
    <xdr:sp>
      <xdr:nvSpPr>
        <xdr:cNvPr id="6" name="Shape 6"/>
        <xdr:cNvSpPr/>
      </xdr:nvSpPr>
      <xdr:spPr>
        <a:xfrm>
          <a:off x="1341600" y="850775"/>
          <a:ext cx="5419500" cy="1216800"/>
        </a:xfrm>
        <a:prstGeom prst="roundRect">
          <a:avLst>
            <a:gd fmla="val 16667" name="adj"/>
          </a:avLst>
        </a:prstGeom>
        <a:solidFill>
          <a:srgbClr val="FFFFFF"/>
        </a:solidFill>
        <a:ln cap="flat" cmpd="sng" w="9525">
          <a:solidFill>
            <a:srgbClr val="D9D9D9"/>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t/>
          </a:r>
          <a:endParaRPr b="1" sz="1400">
            <a:solidFill>
              <a:srgbClr val="073763"/>
            </a:solidFill>
          </a:endParaRPr>
        </a:p>
        <a:p>
          <a:pPr indent="0" lvl="0" marL="0" rtl="0" algn="l">
            <a:spcBef>
              <a:spcPts val="0"/>
            </a:spcBef>
            <a:spcAft>
              <a:spcPts val="0"/>
            </a:spcAft>
            <a:buNone/>
          </a:pPr>
          <a:r>
            <a:rPr b="1" lang="en-US" sz="1400">
              <a:solidFill>
                <a:srgbClr val="073763"/>
              </a:solidFill>
            </a:rPr>
            <a:t>Global Energy Consumption &amp; Investment Horizons </a:t>
          </a:r>
          <a:endParaRPr b="1" sz="1400">
            <a:solidFill>
              <a:srgbClr val="073763"/>
            </a:solidFill>
          </a:endParaRPr>
        </a:p>
        <a:p>
          <a:pPr indent="0" lvl="0" marL="0" rtl="0" algn="l">
            <a:spcBef>
              <a:spcPts val="0"/>
            </a:spcBef>
            <a:spcAft>
              <a:spcPts val="0"/>
            </a:spcAft>
            <a:buNone/>
          </a:pPr>
          <a:r>
            <a:t/>
          </a:r>
          <a:endParaRPr b="1" sz="1400">
            <a:solidFill>
              <a:srgbClr val="073763"/>
            </a:solidFill>
          </a:endParaRPr>
        </a:p>
        <a:p>
          <a:pPr indent="0" lvl="0" marL="0" rtl="0" algn="l">
            <a:lnSpc>
              <a:spcPct val="115000"/>
            </a:lnSpc>
            <a:spcBef>
              <a:spcPts val="1200"/>
            </a:spcBef>
            <a:spcAft>
              <a:spcPts val="0"/>
            </a:spcAft>
            <a:buNone/>
          </a:pPr>
          <a:r>
            <a:rPr i="1" lang="en-US" sz="800">
              <a:solidFill>
                <a:srgbClr val="999999"/>
              </a:solidFill>
              <a:latin typeface="Roboto Mono"/>
              <a:ea typeface="Roboto Mono"/>
              <a:cs typeface="Roboto Mono"/>
              <a:sym typeface="Roboto Mono"/>
            </a:rPr>
            <a:t>Global Energy Consumption Analysis (1965–2021) | Prepared for Executive Leadership</a:t>
          </a:r>
          <a:endParaRPr i="1" sz="800">
            <a:solidFill>
              <a:srgbClr val="999999"/>
            </a:solidFill>
            <a:latin typeface="Roboto Mono"/>
            <a:ea typeface="Roboto Mono"/>
            <a:cs typeface="Roboto Mono"/>
            <a:sym typeface="Roboto Mono"/>
          </a:endParaRPr>
        </a:p>
        <a:p>
          <a:pPr indent="0" lvl="0" marL="0" rtl="0" algn="l">
            <a:spcBef>
              <a:spcPts val="1200"/>
            </a:spcBef>
            <a:spcAft>
              <a:spcPts val="0"/>
            </a:spcAft>
            <a:buNone/>
          </a:pPr>
          <a:r>
            <a:t/>
          </a:r>
          <a:endParaRPr b="1" sz="1400">
            <a:solidFill>
              <a:srgbClr val="073763"/>
            </a:solidFill>
          </a:endParaRPr>
        </a:p>
      </xdr:txBody>
    </xdr:sp>
    <xdr:clientData fLocksWithSheet="0"/>
  </xdr:oneCellAnchor>
  <xdr:oneCellAnchor>
    <xdr:from>
      <xdr:col>13</xdr:col>
      <xdr:colOff>219075</xdr:colOff>
      <xdr:row>10</xdr:row>
      <xdr:rowOff>19050</xdr:rowOff>
    </xdr:from>
    <xdr:ext cx="2486025" cy="1276350"/>
    <xdr:sp>
      <xdr:nvSpPr>
        <xdr:cNvPr id="7" name="Shape 7"/>
        <xdr:cNvSpPr/>
      </xdr:nvSpPr>
      <xdr:spPr>
        <a:xfrm>
          <a:off x="1495000" y="1004150"/>
          <a:ext cx="2464500" cy="1257900"/>
        </a:xfrm>
        <a:prstGeom prst="roundRect">
          <a:avLst>
            <a:gd fmla="val 16667" name="adj"/>
          </a:avLst>
        </a:prstGeom>
        <a:solidFill>
          <a:srgbClr val="FFFFFF"/>
        </a:solidFill>
        <a:ln cap="flat" cmpd="sng" w="9525">
          <a:solidFill>
            <a:srgbClr val="EFEFEF"/>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900"/>
            <a:t>25054</a:t>
          </a:r>
          <a:endParaRPr b="1" sz="19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500"/>
            <a:t> </a:t>
          </a:r>
          <a:r>
            <a:rPr lang="en-US" sz="1500">
              <a:solidFill>
                <a:srgbClr val="999999"/>
              </a:solidFill>
            </a:rPr>
            <a:t>Average Energy Supply</a:t>
          </a:r>
          <a:endParaRPr sz="1500">
            <a:solidFill>
              <a:srgbClr val="999999"/>
            </a:solidFill>
          </a:endParaRPr>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1317" sheet="primary energy use data "/>
  </cacheSource>
  <cacheFields>
    <cacheField name="Entity" numFmtId="0">
      <sharedItems>
        <s v="Bangladesh"/>
        <s v="French Guiana"/>
        <s v="Guadeloupe"/>
        <s v="Martinique"/>
        <s v="Micronesia (country)"/>
        <s v="Northern Mariana Islands"/>
        <s v="Reunion"/>
        <s v="Turks and Caicos Islands"/>
        <s v="Tuvalu"/>
        <s v="Bhutan"/>
        <s v="Chad"/>
        <s v="Burundi"/>
        <s v="World"/>
        <s v="Nepal"/>
        <s v="Mali"/>
        <s v="Ethiopia"/>
        <s v="Afghanistan"/>
        <s v="Rwanda"/>
        <s v="Central African Republic"/>
        <s v="Oman"/>
        <s v="Uganda"/>
        <s v="Democratic Republic of Congo"/>
        <s v="Burkina Faso"/>
        <s v="Cambodia"/>
        <s v="Somalia"/>
        <s v="Laos"/>
        <s v="Comoros"/>
        <s v="Lesotho"/>
        <s v="Niger"/>
        <s v="Malawi"/>
        <s v="Benin"/>
        <s v="Haiti"/>
        <s v="Mozambique"/>
        <s v="Maldives"/>
        <s v="Madagascar"/>
        <s v="Tanzania"/>
        <s v="Sierra Leone"/>
        <s v="Guinea-Bissau"/>
        <s v="Liberia"/>
        <s v="Cape Verde"/>
        <s v="Myanmar"/>
        <s v="South Sudan"/>
        <s v="Eritrea"/>
        <s v="Guinea"/>
        <s v="Gambia"/>
        <s v="Sudan"/>
        <s v="Togo"/>
        <s v="Equatorial Guinea"/>
        <s v="Indonesia"/>
        <s v="East Timor"/>
        <s v="Vietnam"/>
        <s v="Ghana"/>
        <s v="Kiribati"/>
        <s v="Sri Lanka"/>
        <s v="Thailand"/>
        <s v="Palestine"/>
        <s v="Congo"/>
        <s v="Cameroon"/>
        <s v="Faroe Islands"/>
        <s v="Lower-middle-income countries"/>
        <s v="Kenya"/>
        <s v="Low-income countries"/>
        <s v="Sao Tome and Principe"/>
        <s v="Morocco"/>
        <s v="Vanuatu"/>
        <s v="Tonga"/>
        <s v="India"/>
        <s v="Nigeria"/>
        <s v="Mauritania"/>
        <s v="Senegal"/>
        <s v="Cote d'Ivoire"/>
        <s v="Pakistan"/>
        <s v="Yemen"/>
        <s v="Zambia"/>
        <s v="Angola"/>
        <s v="Ecuador"/>
        <s v="Saint Vincent and the Grenadines"/>
        <s v="Solomon Islands"/>
        <s v="Honduras"/>
        <s v="Dominica"/>
        <s v="Philippines"/>
        <s v="Saint Helena"/>
        <s v="China"/>
        <s v="Guatemala"/>
        <s v="Western Sahara"/>
        <s v="Grenada"/>
        <s v="Egypt"/>
        <s v="Algeria"/>
        <s v="El Salvador"/>
        <s v="Paraguay"/>
        <s v="Nicaragua"/>
        <s v="Zimbabwe"/>
        <s v="Africa"/>
        <s v="Papua New Guinea"/>
        <s v="South Korea"/>
        <s v="Samoa"/>
        <s v="Bolivia"/>
        <s v="Brazil"/>
        <s v="Asia"/>
        <s v="Turkey"/>
        <s v="Iraq"/>
        <s v="Djibouti"/>
        <s v="Saint Lucia"/>
        <s v="Eswatini"/>
        <s v="Mauritius"/>
        <s v="Namibia"/>
        <s v="Tajikistan"/>
        <s v="Niue"/>
        <s v="Malaysia"/>
        <s v="Guyana"/>
        <s v="Albania"/>
        <s v="Peru"/>
        <s v="Iran"/>
        <s v="Botswana"/>
        <s v="Costa Rica"/>
        <s v="Dominican Republic"/>
        <s v="Belize"/>
        <s v="Montserrat"/>
        <s v="Syria"/>
        <s v="Portugal"/>
        <s v="North Korea"/>
        <s v="Fiji"/>
        <s v="Saint Kitts and Nevis"/>
        <s v="Taiwan"/>
        <s v="Colombia"/>
        <s v="United Arab Emirates"/>
        <s v="British Virgin Islands"/>
        <s v="Lebanon"/>
        <s v="Tunisia"/>
        <s v="French Polynesia"/>
        <s v="Uruguay"/>
        <s v="Bosnia and Herzegovina"/>
        <s v="Georgia"/>
        <s v="Kyrgyzstan"/>
        <s v="Mexico"/>
        <s v="Mongolia"/>
        <s v="Gabon"/>
        <s v="Aruba"/>
        <s v="Hong Kong"/>
        <s v="Cook Islands"/>
        <s v="Chile"/>
        <s v="Moldova"/>
        <s v="Upper-middle-income countries"/>
        <s v="Cyprus"/>
        <s v="Cuba"/>
        <s v="Macao"/>
        <s v="Armenia"/>
        <s v="Jamaica"/>
        <s v="South America"/>
        <s v="Greece"/>
        <s v="Jordan"/>
        <s v="Spain"/>
        <s v="Seychelles"/>
        <s v="Suriname"/>
        <s v="Panama"/>
        <s v="Malta"/>
        <s v="North Macedonia"/>
        <s v="Kosovo"/>
        <s v="Azerbaijan"/>
        <s v="Latvia"/>
        <s v="Bulgaria"/>
        <s v="Venezuela"/>
        <s v="Argentina"/>
        <s v="Romania"/>
        <s v="Croatia"/>
        <s v="Uzbekistan"/>
        <s v="Montenegro"/>
        <s v="Ukraine"/>
        <s v="Japan"/>
        <s v="Italy"/>
        <s v="Barbados"/>
        <s v="Hungary"/>
        <s v="Puerto Rico"/>
        <s v="Israel"/>
        <s v="Greenland"/>
        <s v="Serbia and Montenegro"/>
        <s v="South Africa"/>
        <s v="Antigua and Barbuda"/>
        <s v="Qatar"/>
        <s v="Cayman Islands"/>
        <s v="Lithuania"/>
        <s v="Serbia"/>
        <s v="Finland"/>
        <s v="Guam"/>
        <s v="Austria"/>
        <s v="Falkland Islands"/>
        <s v="Nauru"/>
        <s v="Kazakhstan"/>
        <s v="Ireland"/>
        <s v="Switzerland"/>
        <s v="Slovakia"/>
        <s v="Denmark"/>
        <s v="European Union (27)"/>
        <s v="Belarus"/>
        <s v="Poland"/>
        <s v="Yugoslavia"/>
        <s v="United Kingdom"/>
        <s v="Turkmenistan"/>
        <s v="Singapore"/>
        <s v="Libya"/>
        <s v="France"/>
        <s v="Bahamas"/>
        <s v="Oceania"/>
        <s v="New Zealand"/>
        <s v="Saint Pierre and Miquelon"/>
        <s v="Europe"/>
        <s v="USSR"/>
        <s v="Slovenia"/>
        <s v="New Caledonia"/>
        <s v="High-income countries"/>
        <s v="Bermuda"/>
        <s v="Norway"/>
        <s v="Iceland"/>
        <s v="Germany"/>
        <s v="Netherlands"/>
        <s v="Kuwait"/>
        <s v="American Samoa"/>
        <s v="Australia"/>
        <s v="Trinidad and Tobago"/>
        <s v="Estonia"/>
        <s v="Czechia"/>
        <s v="Sweden"/>
        <s v="Belgium"/>
        <s v="Russia"/>
        <s v="Czechoslovakia"/>
        <s v="Luxembourg"/>
        <s v="North America"/>
        <s v="Brunei"/>
        <s v="West Germany"/>
        <s v="Saudi Arabia"/>
        <s v="United States Virgin Islands"/>
        <s v="Canada"/>
        <s v="United States"/>
        <s v="East Germany"/>
        <s v="Bahrain"/>
        <s v="Netherlands Antilles"/>
      </sharedItems>
    </cacheField>
    <cacheField name="Code" numFmtId="0">
      <sharedItems>
        <s v="BGD"/>
        <s v="GUF"/>
        <s v="GLP"/>
        <s v="MTQ"/>
        <s v="FSM"/>
        <s v="MNP"/>
        <s v="REU"/>
        <s v="TCA"/>
        <s v="TUV"/>
        <s v="BTN"/>
        <s v="TCD"/>
        <s v="BDI"/>
        <s v="OWID_WRL"/>
        <s v="NPL"/>
        <s v="MLI"/>
        <s v="ETH"/>
        <s v="AFG"/>
        <s v="RWA"/>
        <s v="CAF"/>
        <s v="OMN"/>
        <s v="UGA"/>
        <s v="COD"/>
        <s v="BFA"/>
        <s v="KHM"/>
        <s v="SOM"/>
        <s v="LAO"/>
        <s v="COM"/>
        <s v="LSO"/>
        <s v="NER"/>
        <s v="MWI"/>
        <s v="BEN"/>
        <s v="HTI"/>
        <s v="MOZ"/>
        <s v="MDV"/>
        <s v="MDG"/>
        <s v="TZA"/>
        <s v="SLE"/>
        <s v="GNB"/>
        <s v="LBR"/>
        <s v="CPV"/>
        <s v="MMR"/>
        <s v="SSD"/>
        <s v="ERI"/>
        <s v="GIN"/>
        <s v="GMB"/>
        <s v="SDN"/>
        <s v="TGO"/>
        <s v="GNQ"/>
        <s v="IDN"/>
        <s v="TLS"/>
        <s v="VNM"/>
        <s v="GHA"/>
        <s v="KIR"/>
        <s v="LKA"/>
        <s v="THA"/>
        <s v="PSE"/>
        <s v="COG"/>
        <s v="CMR"/>
        <s v="FRO"/>
        <s v="OWID_LMC"/>
        <s v="KEN"/>
        <s v="OWID_LIC"/>
        <s v="STP"/>
        <s v="MAR"/>
        <s v="VUT"/>
        <s v="TON"/>
        <s v="IND"/>
        <s v="NGA"/>
        <s v="MRT"/>
        <s v="SEN"/>
        <s v="CIV"/>
        <s v="PAK"/>
        <s v="YEM"/>
        <s v="ZMB"/>
        <s v="AGO"/>
        <s v="ECU"/>
        <s v="VCT"/>
        <s v="SLB"/>
        <s v="HND"/>
        <s v="DMA"/>
        <s v="PHL"/>
        <s v="SHN"/>
        <s v="CHN"/>
        <s v="GTM"/>
        <s v="ESH"/>
        <s v="GRD"/>
        <s v="EGY"/>
        <s v="DZA"/>
        <s v="SLV"/>
        <s v="PRY"/>
        <s v="NIC"/>
        <s v="ZWE"/>
        <s v="OWID_AFR"/>
        <s v="PNG"/>
        <s v="KOR"/>
        <s v="WSM"/>
        <s v="BOL"/>
        <s v="BRA"/>
        <s v="OWID_ASI"/>
        <s v="TUR"/>
        <s v="IRQ"/>
        <s v="DJI"/>
        <s v="LCA"/>
        <s v="SWZ"/>
        <s v="MUS"/>
        <s v="NAM"/>
        <s v="TJK"/>
        <s v="NIU"/>
        <s v="MYS"/>
        <s v="GUY"/>
        <s v="ALB"/>
        <s v="PER"/>
        <s v="IRN"/>
        <s v="BWA"/>
        <s v="CRI"/>
        <s v="DOM"/>
        <s v="BLZ"/>
        <s v="MSR"/>
        <s v="SYR"/>
        <s v="PRT"/>
        <s v="PRK"/>
        <s v="FJI"/>
        <s v="KNA"/>
        <s v="TWN"/>
        <s v="COL"/>
        <s v="ARE"/>
        <s v="VGB"/>
        <s v="LBN"/>
        <s v="TUN"/>
        <s v="PYF"/>
        <s v="URY"/>
        <s v="BIH"/>
        <s v="GEO"/>
        <s v="KGZ"/>
        <s v="MEX"/>
        <s v="MNG"/>
        <s v="GAB"/>
        <s v="ABW"/>
        <s v="HKG"/>
        <s v="COK"/>
        <s v="CHL"/>
        <s v="MDA"/>
        <s v="OWID_UMC"/>
        <s v="CYP"/>
        <s v="CUB"/>
        <s v="MAC"/>
        <s v="ARM"/>
        <s v="JAM"/>
        <s v="OWID_SAM"/>
        <s v="GRC"/>
        <s v="JOR"/>
        <s v="ESP"/>
        <s v="SYC"/>
        <s v="SUR"/>
        <s v="PAN"/>
        <s v="MLT"/>
        <s v="MKD"/>
        <s v="OWID_KOS"/>
        <s v="AZE"/>
        <s v="LVA"/>
        <s v="BGR"/>
        <s v="VEN"/>
        <s v="ARG"/>
        <s v="ROU"/>
        <s v="HRV"/>
        <s v="UZB"/>
        <s v="MNE"/>
        <s v="UKR"/>
        <s v="JPN"/>
        <s v="ITA"/>
        <s v="BRB"/>
        <s v="HUN"/>
        <s v="PRI"/>
        <s v="ISR"/>
        <s v="GRL"/>
        <s v="OWID_SRM"/>
        <s v="ZAF"/>
        <s v="ATG"/>
        <s v="QAT"/>
        <s v="CYM"/>
        <s v="LTU"/>
        <s v="SRB"/>
        <s v="FIN"/>
        <s v="GUM"/>
        <s v="AUT"/>
        <s v="FLK"/>
        <s v="NRU"/>
        <s v="KAZ"/>
        <s v="IRL"/>
        <s v="CHE"/>
        <s v="SVK"/>
        <s v="DNK"/>
        <s v="OWID_EU27"/>
        <s v="BLR"/>
        <s v="POL"/>
        <s v="OWID_YGS"/>
        <s v="GBR"/>
        <s v="TKM"/>
        <s v="SGP"/>
        <s v="LBY"/>
        <s v="FRA"/>
        <s v="BHS"/>
        <s v="OWID_OCE"/>
        <s v="NZL"/>
        <s v="SPM"/>
        <s v="OWID_EUR"/>
        <s v="OWID_USS"/>
        <s v="SVN"/>
        <s v="NCL"/>
        <s v="OWID_HIC"/>
        <s v="BMU"/>
        <s v="NOR"/>
        <s v="ISL"/>
        <s v="DEU"/>
        <s v="NLD"/>
        <s v="KWT"/>
        <s v="ASM"/>
        <s v="AUS"/>
        <s v="TTO"/>
        <s v="EST"/>
        <s v="CZE"/>
        <s v="SWE"/>
        <s v="BEL"/>
        <s v="RUS"/>
        <s v="OWID_CZS"/>
        <s v="LUX"/>
        <s v="OWID_NAM"/>
        <s v="BRN"/>
        <s v="OWID_GFR"/>
        <s v="SAU"/>
        <s v="VIR"/>
        <s v="CAN"/>
        <s v="USA"/>
        <s v="OWID_GDR"/>
        <s v="BHR"/>
        <s v="ANT"/>
      </sharedItems>
    </cacheField>
    <cacheField name="Year" numFmtId="0">
      <sharedItems containsSemiMixedTypes="0" containsString="0" containsNumber="1" containsInteger="1">
        <n v="1965.0"/>
        <n v="1966.0"/>
        <n v="1967.0"/>
        <n v="1968.0"/>
        <n v="1969.0"/>
        <n v="1970.0"/>
        <n v="2012.0"/>
        <n v="2013.0"/>
        <n v="2014.0"/>
        <n v="2015.0"/>
        <n v="2016.0"/>
        <n v="2017.0"/>
        <n v="2018.0"/>
        <n v="2019.0"/>
        <n v="2020.0"/>
        <n v="2021.0"/>
        <n v="2022.0"/>
        <n v="2023.0"/>
        <n v="2024.0"/>
        <n v="2011.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1800.0"/>
        <n v="1810.0"/>
        <n v="1820.0"/>
        <n v="1971.0"/>
        <n v="1972.0"/>
        <n v="1830.0"/>
        <n v="1973.0"/>
        <n v="1975.0"/>
        <n v="1974.0"/>
        <n v="1840.0"/>
        <n v="1976.0"/>
        <n v="1977.0"/>
        <n v="1978.0"/>
        <n v="1979.0"/>
        <n v="1850.0"/>
        <n v="1860.0"/>
        <n v="1870.0"/>
        <n v="1880.0"/>
        <n v="1890.0"/>
        <n v="2025.0"/>
        <n v="1900.0"/>
        <n v="1910.0"/>
        <n v="1920.0"/>
        <n v="1930.0"/>
        <n v="1940.0"/>
        <n v="1950.0"/>
        <n v="1960.0"/>
      </sharedItems>
    </cacheField>
    <cacheField name="Total energy supply" numFmtId="0">
      <sharedItems containsSemiMixedTypes="0" containsString="0" containsNumber="1">
        <n v="0.0"/>
        <n v="62.999752"/>
        <n v="96.15236"/>
        <n v="98.25266"/>
        <n v="98.667"/>
        <n v="98.78134"/>
        <n v="99.59048"/>
        <n v="100.71731"/>
        <n v="101.881256"/>
        <n v="102.66212"/>
        <n v="102.97276"/>
        <n v="103.07623"/>
        <n v="103.92452"/>
        <n v="105.644"/>
        <n v="106.128426"/>
        <n v="107.270004"/>
        <n v="107.61187"/>
        <n v="107.74866"/>
        <n v="109.77107"/>
        <n v="110.805"/>
        <n v="111.203705"/>
        <n v="112.19914"/>
        <n v="112.32062"/>
        <n v="112.51884"/>
        <n v="114.782074"/>
        <n v="116.35808"/>
        <n v="117.99816"/>
        <n v="118.00948"/>
        <n v="118.031296"/>
        <n v="120.27249"/>
        <n v="121.25253"/>
        <n v="124.23486"/>
        <n v="125.22643"/>
        <n v="125.47173"/>
        <n v="126.46681"/>
        <n v="126.631424"/>
        <n v="130.01555"/>
        <n v="134.07072"/>
        <n v="135.65329"/>
        <n v="136.60374"/>
        <n v="136.94191"/>
        <n v="137.42465"/>
        <n v="140.43048"/>
        <n v="140.92766"/>
        <n v="143.85356"/>
        <n v="144.92017"/>
        <n v="146.28516"/>
        <n v="149.297"/>
        <n v="153.12726"/>
        <n v="155.69543"/>
        <n v="155.83102"/>
        <n v="156.5558"/>
        <n v="157.75752"/>
        <n v="158.46877"/>
        <n v="160.76"/>
        <n v="166.04037"/>
        <n v="166.39279"/>
        <n v="166.68887"/>
        <n v="166.76265"/>
        <n v="167.83205"/>
        <n v="172.26837"/>
        <n v="173.84134"/>
        <n v="174.55792"/>
        <n v="174.73138"/>
        <n v="175.83287"/>
        <n v="177.2245"/>
        <n v="178.12486"/>
        <n v="178.2067"/>
        <n v="178.5643"/>
        <n v="179.8919"/>
        <n v="182.1317"/>
        <n v="182.18925"/>
        <n v="183.87894"/>
        <n v="183.99046"/>
        <n v="185.34772"/>
        <n v="185.79716"/>
        <n v="185.8994"/>
        <n v="186.60037"/>
        <n v="186.91896"/>
        <n v="187.42914"/>
        <n v="188.63261"/>
        <n v="190.8068"/>
        <n v="191.173"/>
        <n v="191.52744"/>
        <n v="191.96428"/>
        <n v="193.04007"/>
        <n v="193.17833"/>
        <n v="193.19797"/>
        <n v="196.50644"/>
        <n v="198.61502"/>
        <n v="201.9064"/>
        <n v="203.50377"/>
        <n v="205.46812"/>
        <n v="207.1837"/>
        <n v="207.2559"/>
        <n v="208.23726"/>
        <n v="210.26073"/>
        <n v="212.68973"/>
        <n v="213.1797"/>
        <n v="214.19595"/>
        <n v="214.71378"/>
        <n v="214.76945"/>
        <n v="214.90076"/>
        <n v="217.95201"/>
        <n v="218.84958"/>
        <n v="220.33708"/>
        <n v="220.59166"/>
        <n v="221.04395"/>
        <n v="222.04158"/>
        <n v="222.3149"/>
        <n v="222.97385"/>
        <n v="223.02469"/>
        <n v="223.60223"/>
        <n v="223.66545"/>
        <n v="223.97394"/>
        <n v="224.46619"/>
        <n v="225.01915"/>
        <n v="225.23103"/>
        <n v="225.2426"/>
        <n v="225.41104"/>
        <n v="226.88382"/>
        <n v="227.09729"/>
        <n v="227.61267"/>
        <n v="227.91978"/>
        <n v="228.44035"/>
        <n v="229.0679"/>
        <n v="229.34215"/>
        <n v="229.7938"/>
        <n v="229.85553"/>
        <n v="230.49832"/>
        <n v="231.31975"/>
        <n v="231.61542"/>
        <n v="232.50331"/>
        <n v="233.23352"/>
        <n v="233.63786"/>
        <n v="234.50502"/>
        <n v="235.12926"/>
        <n v="235.62679"/>
        <n v="236.02853"/>
        <n v="236.26082"/>
        <n v="236.78851"/>
        <n v="237.19882"/>
        <n v="237.78174"/>
        <n v="237.98022"/>
        <n v="238.14412"/>
        <n v="238.27934"/>
        <n v="238.75394"/>
        <n v="239.04204"/>
        <n v="240.35197"/>
        <n v="241.23174"/>
        <n v="241.52907"/>
        <n v="241.66899"/>
        <n v="241.88258"/>
        <n v="243.10722"/>
        <n v="243.17146"/>
        <n v="243.53133"/>
        <n v="244.63014"/>
        <n v="244.97125"/>
        <n v="245.08362"/>
        <n v="245.25323"/>
        <n v="245.51309"/>
        <n v="245.67453"/>
        <n v="246.01785"/>
        <n v="246.06664"/>
        <n v="246.22226"/>
        <n v="246.47372"/>
        <n v="246.77525"/>
        <n v="246.85565"/>
        <n v="247.08188"/>
        <n v="248.2372"/>
        <n v="249.20978"/>
        <n v="250.20389"/>
        <n v="250.90631"/>
        <n v="251.34724"/>
        <n v="251.81546"/>
        <n v="251.89693"/>
        <n v="253.14996"/>
        <n v="253.65848"/>
        <n v="253.74026"/>
        <n v="254.18454"/>
        <n v="254.41924"/>
        <n v="254.61865"/>
        <n v="254.84502"/>
        <n v="255.00987"/>
        <n v="255.45174"/>
        <n v="255.56593"/>
        <n v="256.09003"/>
        <n v="256.16733"/>
        <n v="256.37155"/>
        <n v="256.86743"/>
        <n v="257.54047"/>
        <n v="258.429"/>
        <n v="258.528"/>
        <n v="258.7136"/>
        <n v="258.8687"/>
        <n v="259.40555"/>
        <n v="259.63687"/>
        <n v="260.2344"/>
        <n v="260.6616"/>
        <n v="261.11578"/>
        <n v="262.68048"/>
        <n v="263.02783"/>
        <n v="263.1805"/>
        <n v="263.72635"/>
        <n v="264.77148"/>
        <n v="264.8528"/>
        <n v="264.88943"/>
        <n v="265.9874"/>
        <n v="266.1113"/>
        <n v="267.2601"/>
        <n v="267.2887"/>
        <n v="267.5294"/>
        <n v="267.57297"/>
        <n v="268.94724"/>
        <n v="269.56467"/>
        <n v="269.87814"/>
        <n v="270.71185"/>
        <n v="272.04395"/>
        <n v="272.3037"/>
        <n v="272.5111"/>
        <n v="272.5501"/>
        <n v="272.5843"/>
        <n v="273.16632"/>
        <n v="273.57166"/>
        <n v="274.10272"/>
        <n v="274.48294"/>
        <n v="274.52844"/>
        <n v="274.80493"/>
        <n v="275.6423"/>
        <n v="275.73633"/>
        <n v="275.8802"/>
        <n v="277.20236"/>
        <n v="277.3784"/>
        <n v="277.4782"/>
        <n v="277.69427"/>
        <n v="277.73074"/>
        <n v="278.25366"/>
        <n v="278.34103"/>
        <n v="279.24442"/>
        <n v="279.3724"/>
        <n v="279.5712"/>
        <n v="279.74094"/>
        <n v="280.06912"/>
        <n v="280.16806"/>
        <n v="280.3388"/>
        <n v="280.77277"/>
        <n v="281.71756"/>
        <n v="282.85944"/>
        <n v="282.95456"/>
        <n v="283.10806"/>
        <n v="283.28046"/>
        <n v="283.49365"/>
        <n v="284.67303"/>
        <n v="284.67633"/>
        <n v="284.86237"/>
        <n v="284.9128"/>
        <n v="285.07437"/>
        <n v="285.17548"/>
        <n v="285.23782"/>
        <n v="285.58847"/>
        <n v="285.65326"/>
        <n v="285.68045"/>
        <n v="285.699"/>
        <n v="286.04068"/>
        <n v="287.29395"/>
        <n v="287.41928"/>
        <n v="287.97665"/>
        <n v="288.23282"/>
        <n v="288.75607"/>
        <n v="289.0706"/>
        <n v="289.5822"/>
        <n v="289.80206"/>
        <n v="290.68692"/>
        <n v="290.77142"/>
        <n v="291.1571"/>
        <n v="291.18405"/>
        <n v="291.5597"/>
        <n v="291.89487"/>
        <n v="292.12543"/>
        <n v="292.35577"/>
        <n v="293.20334"/>
        <n v="294.33344"/>
        <n v="294.9355"/>
        <n v="295.43762"/>
        <n v="296.28177"/>
        <n v="296.65887"/>
        <n v="296.8414"/>
        <n v="297.26492"/>
        <n v="297.32495"/>
        <n v="298.45047"/>
        <n v="299.31223"/>
        <n v="299.4335"/>
        <n v="299.6201"/>
        <n v="299.81622"/>
        <n v="300.24112"/>
        <n v="300.2788"/>
        <n v="300.45764"/>
        <n v="301.03403"/>
        <n v="302.17783"/>
        <n v="302.38345"/>
        <n v="302.7364"/>
        <n v="303.06754"/>
        <n v="303.28506"/>
        <n v="303.67258"/>
        <n v="303.96542"/>
        <n v="305.0113"/>
        <n v="305.28192"/>
        <n v="306.18195"/>
        <n v="306.4724"/>
        <n v="306.9773"/>
        <n v="307.09818"/>
        <n v="307.89026"/>
        <n v="309.21442"/>
        <n v="309.36108"/>
        <n v="309.43265"/>
        <n v="310.06357"/>
        <n v="310.3325"/>
        <n v="310.69284"/>
        <n v="311.86325"/>
        <n v="312.46207"/>
        <n v="312.5506"/>
        <n v="313.06656"/>
        <n v="313.66656"/>
        <n v="313.91116"/>
        <n v="314.17807"/>
        <n v="314.7615"/>
        <n v="316.04974"/>
        <n v="316.8184"/>
        <n v="317.17426"/>
        <n v="317.29498"/>
        <n v="317.51257"/>
        <n v="321.27844"/>
        <n v="321.35803"/>
        <n v="321.40564"/>
        <n v="321.99002"/>
        <n v="322.99686"/>
        <n v="324.63733"/>
        <n v="325.5123"/>
        <n v="325.53574"/>
        <n v="325.8642"/>
        <n v="325.9538"/>
        <n v="325.9946"/>
        <n v="326.20074"/>
        <n v="326.76312"/>
        <n v="327.1628"/>
        <n v="327.8165"/>
        <n v="328.1569"/>
        <n v="328.37604"/>
        <n v="328.4769"/>
        <n v="328.9689"/>
        <n v="329.2824"/>
        <n v="329.6309"/>
        <n v="330.19586"/>
        <n v="330.94583"/>
        <n v="331.09988"/>
        <n v="332.59985"/>
        <n v="332.73523"/>
        <n v="333.34637"/>
        <n v="333.82336"/>
        <n v="334.19046"/>
        <n v="335.32242"/>
        <n v="335.59055"/>
        <n v="336.54614"/>
        <n v="336.73923"/>
        <n v="337.1226"/>
        <n v="337.47366"/>
        <n v="340.9589"/>
        <n v="341.1231"/>
        <n v="341.21838"/>
        <n v="341.33844"/>
        <n v="341.86484"/>
        <n v="342.7118"/>
        <n v="343.25577"/>
        <n v="343.47134"/>
        <n v="343.4854"/>
        <n v="343.64545"/>
        <n v="344.21066"/>
        <n v="344.51108"/>
        <n v="344.56448"/>
        <n v="346.89957"/>
        <n v="346.97385"/>
        <n v="347.35654"/>
        <n v="347.6495"/>
        <n v="348.7722"/>
        <n v="349.13443"/>
        <n v="349.23425"/>
        <n v="349.4673"/>
        <n v="351.04642"/>
        <n v="351.6996"/>
        <n v="351.95712"/>
        <n v="352.61154"/>
        <n v="353.39838"/>
        <n v="353.99915"/>
        <n v="354.05112"/>
        <n v="354.18802"/>
        <n v="354.2473"/>
        <n v="354.5502"/>
        <n v="354.67816"/>
        <n v="354.9195"/>
        <n v="355.05792"/>
        <n v="355.74335"/>
        <n v="355.7631"/>
        <n v="355.82306"/>
        <n v="356.4677"/>
        <n v="356.54248"/>
        <n v="356.6505"/>
        <n v="357.34778"/>
        <n v="357.67642"/>
        <n v="358.02612"/>
        <n v="358.31165"/>
        <n v="358.48834"/>
        <n v="359.02377"/>
        <n v="359.70557"/>
        <n v="359.88263"/>
        <n v="360.80646"/>
        <n v="360.90558"/>
        <n v="361.42786"/>
        <n v="361.83582"/>
        <n v="362.9585"/>
        <n v="363.1121"/>
        <n v="364.02505"/>
        <n v="364.06845"/>
        <n v="364.1716"/>
        <n v="365.94373"/>
        <n v="366.9607"/>
        <n v="367.30908"/>
        <n v="367.44513"/>
        <n v="367.8602"/>
        <n v="367.91443"/>
        <n v="367.95215"/>
        <n v="368.18167"/>
        <n v="368.3424"/>
        <n v="368.38705"/>
        <n v="368.75854"/>
        <n v="368.8991"/>
        <n v="370.45035"/>
        <n v="370.6299"/>
        <n v="371.2756"/>
        <n v="372.76688"/>
        <n v="372.86465"/>
        <n v="373.2348"/>
        <n v="373.3362"/>
        <n v="374.48047"/>
        <n v="374.4821"/>
        <n v="374.62222"/>
        <n v="374.6957"/>
        <n v="374.82986"/>
        <n v="375.47458"/>
        <n v="375.80118"/>
        <n v="376.25003"/>
        <n v="377.5567"/>
        <n v="378.63834"/>
        <n v="378.67023"/>
        <n v="379.28214"/>
        <n v="379.46304"/>
        <n v="379.8591"/>
        <n v="380.95322"/>
        <n v="381.05847"/>
        <n v="381.82718"/>
        <n v="381.85434"/>
        <n v="381.95898"/>
        <n v="382.16806"/>
        <n v="382.54034"/>
        <n v="382.62646"/>
        <n v="383.1946"/>
        <n v="383.80945"/>
        <n v="384.20483"/>
        <n v="384.2718"/>
        <n v="384.42993"/>
        <n v="384.537"/>
        <n v="384.63342"/>
        <n v="384.6927"/>
        <n v="385.01498"/>
        <n v="386.4902"/>
        <n v="386.6169"/>
        <n v="387.21384"/>
        <n v="387.5024"/>
        <n v="387.80502"/>
        <n v="387.97705"/>
        <n v="388.60672"/>
        <n v="388.7584"/>
        <n v="389.56604"/>
        <n v="389.9098"/>
        <n v="390.0993"/>
        <n v="390.5872"/>
        <n v="390.74545"/>
        <n v="391.13187"/>
        <n v="391.17166"/>
        <n v="391.21936"/>
        <n v="391.59543"/>
        <n v="391.707"/>
        <n v="391.7109"/>
        <n v="391.97833"/>
        <n v="392.16254"/>
        <n v="392.59195"/>
        <n v="392.74152"/>
        <n v="392.9728"/>
        <n v="393.41092"/>
        <n v="393.57727"/>
        <n v="393.99045"/>
        <n v="394.27286"/>
        <n v="394.31036"/>
        <n v="394.33826"/>
        <n v="394.41144"/>
        <n v="395.7484"/>
        <n v="396.79398"/>
        <n v="397.5918"/>
        <n v="399.19748"/>
        <n v="399.5727"/>
        <n v="399.99384"/>
        <n v="400.65176"/>
        <n v="401.72867"/>
        <n v="402.03653"/>
        <n v="402.50174"/>
        <n v="402.53995"/>
        <n v="402.5688"/>
        <n v="402.65982"/>
        <n v="403.79095"/>
        <n v="403.89114"/>
        <n v="403.9657"/>
        <n v="404.1924"/>
        <n v="404.19977"/>
        <n v="404.41083"/>
        <n v="404.9955"/>
        <n v="404.9994"/>
        <n v="406.1546"/>
        <n v="406.4854"/>
        <n v="406.62216"/>
        <n v="407.03745"/>
        <n v="407.19907"/>
        <n v="407.97818"/>
        <n v="408.3941"/>
        <n v="408.50293"/>
        <n v="408.92007"/>
        <n v="409.26163"/>
        <n v="410.6641"/>
        <n v="410.82767"/>
        <n v="411.49118"/>
        <n v="411.7773"/>
        <n v="412.1587"/>
        <n v="412.92215"/>
        <n v="413.68042"/>
        <n v="415.0981"/>
        <n v="415.3265"/>
        <n v="415.87695"/>
        <n v="416.40424"/>
        <n v="416.90558"/>
        <n v="417.15472"/>
        <n v="417.18875"/>
        <n v="417.36618"/>
        <n v="417.40216"/>
        <n v="417.97418"/>
        <n v="419.59677"/>
        <n v="419.86392"/>
        <n v="420.24146"/>
        <n v="420.6762"/>
        <n v="421.2947"/>
        <n v="423.75336"/>
        <n v="423.9773"/>
        <n v="424.07266"/>
        <n v="425.10095"/>
        <n v="425.1015"/>
        <n v="425.29068"/>
        <n v="426.1833"/>
        <n v="426.55518"/>
        <n v="426.84964"/>
        <n v="428.2784"/>
        <n v="429.0188"/>
        <n v="429.44547"/>
        <n v="429.55368"/>
        <n v="429.6828"/>
        <n v="430.13785"/>
        <n v="430.20172"/>
        <n v="430.31583"/>
        <n v="430.67532"/>
        <n v="430.8741"/>
        <n v="431.1645"/>
        <n v="431.63815"/>
        <n v="431.79678"/>
        <n v="431.96292"/>
        <n v="434.0698"/>
        <n v="434.46365"/>
        <n v="434.7144"/>
        <n v="435.93936"/>
        <n v="437.28287"/>
        <n v="437.88342"/>
        <n v="438.04407"/>
        <n v="438.9639"/>
        <n v="439.26218"/>
        <n v="440.12512"/>
        <n v="440.8255"/>
        <n v="441.54108"/>
        <n v="441.74545"/>
        <n v="442.53815"/>
        <n v="443.8896"/>
        <n v="445.29364"/>
        <n v="445.60825"/>
        <n v="446.0636"/>
        <n v="447.60278"/>
        <n v="448.06906"/>
        <n v="448.10397"/>
        <n v="449.45126"/>
        <n v="449.8916"/>
        <n v="450.17517"/>
        <n v="450.40002"/>
        <n v="451.65173"/>
        <n v="452.5742"/>
        <n v="453.8531"/>
        <n v="454.828"/>
        <n v="455.04968"/>
        <n v="456.07898"/>
        <n v="459.1946"/>
        <n v="460.26605"/>
        <n v="460.48068"/>
        <n v="461.0506"/>
        <n v="462.58588"/>
        <n v="462.9019"/>
        <n v="463.29468"/>
        <n v="463.58517"/>
        <n v="463.9062"/>
        <n v="464.39035"/>
        <n v="465.5516"/>
        <n v="466.4675"/>
        <n v="466.9426"/>
        <n v="467.0933"/>
        <n v="468.01636"/>
        <n v="468.38828"/>
        <n v="469.03436"/>
        <n v="469.11624"/>
        <n v="469.373"/>
        <n v="470.08942"/>
        <n v="470.19125"/>
        <n v="470.20312"/>
        <n v="470.22662"/>
        <n v="470.94104"/>
        <n v="471.7315"/>
        <n v="472.2003"/>
        <n v="473.16513"/>
        <n v="474.37433"/>
        <n v="476.00443"/>
        <n v="477.1376"/>
        <n v="477.54047"/>
        <n v="478.17096"/>
        <n v="479.4927"/>
        <n v="480.6044"/>
        <n v="480.70282"/>
        <n v="481.20862"/>
        <n v="481.51395"/>
        <n v="483.29703"/>
        <n v="483.3191"/>
        <n v="484.10336"/>
        <n v="484.3461"/>
        <n v="485.2289"/>
        <n v="486.25693"/>
        <n v="487.28918"/>
        <n v="488.06387"/>
        <n v="488.13574"/>
        <n v="488.28928"/>
        <n v="489.60825"/>
        <n v="490.90063"/>
        <n v="491.10403"/>
        <n v="494.32803"/>
        <n v="495.1146"/>
        <n v="495.19138"/>
        <n v="495.5368"/>
        <n v="495.70392"/>
        <n v="496.51566"/>
        <n v="496.87906"/>
        <n v="497.1995"/>
        <n v="497.61053"/>
        <n v="498.15335"/>
        <n v="498.67517"/>
        <n v="498.73526"/>
        <n v="500.35275"/>
        <n v="503.29462"/>
        <n v="503.61917"/>
        <n v="503.74088"/>
        <n v="505.33994"/>
        <n v="505.71738"/>
        <n v="508.08987"/>
        <n v="508.35913"/>
        <n v="508.53143"/>
        <n v="509.2005"/>
        <n v="509.502"/>
        <n v="509.82996"/>
        <n v="510.90466"/>
        <n v="511.13245"/>
        <n v="513.5687"/>
        <n v="514.32916"/>
        <n v="514.9903"/>
        <n v="515.7847"/>
        <n v="516.6823"/>
        <n v="518.01715"/>
        <n v="518.1018"/>
        <n v="518.8658"/>
        <n v="521.37726"/>
        <n v="521.3953"/>
        <n v="522.5766"/>
        <n v="522.7427"/>
        <n v="523.19507"/>
        <n v="523.5876"/>
        <n v="523.6252"/>
        <n v="525.18475"/>
        <n v="525.54266"/>
        <n v="526.2999"/>
        <n v="526.93835"/>
        <n v="527.3159"/>
        <n v="527.3474"/>
        <n v="533.2451"/>
        <n v="534.41766"/>
        <n v="534.5724"/>
        <n v="535.503"/>
        <n v="535.783"/>
        <n v="538.2933"/>
        <n v="539.1171"/>
        <n v="539.13403"/>
        <n v="539.3901"/>
        <n v="539.3951"/>
        <n v="540.60974"/>
        <n v="540.98206"/>
        <n v="541.078"/>
        <n v="541.1786"/>
        <n v="541.19763"/>
        <n v="541.798"/>
        <n v="541.85675"/>
        <n v="542.47174"/>
        <n v="542.8084"/>
        <n v="544.34326"/>
        <n v="544.71533"/>
        <n v="545.5146"/>
        <n v="545.7575"/>
        <n v="546.17163"/>
        <n v="548.4269"/>
        <n v="548.45825"/>
        <n v="548.62305"/>
        <n v="548.62335"/>
        <n v="550.07635"/>
        <n v="551.20087"/>
        <n v="551.5344"/>
        <n v="552.5457"/>
        <n v="552.9473"/>
        <n v="553.2586"/>
        <n v="554.3917"/>
        <n v="554.63306"/>
        <n v="555.06165"/>
        <n v="555.1987"/>
        <n v="555.788"/>
        <n v="555.83264"/>
        <n v="556.57306"/>
        <n v="557.45984"/>
        <n v="560.7315"/>
        <n v="560.98596"/>
        <n v="563.4707"/>
        <n v="563.9375"/>
        <n v="564.7381"/>
        <n v="564.8888"/>
        <n v="565.49994"/>
        <n v="565.92645"/>
        <n v="567.9215"/>
        <n v="568.06604"/>
        <n v="569.85297"/>
        <n v="570.20447"/>
        <n v="571.8356"/>
        <n v="574.4182"/>
        <n v="578.00854"/>
        <n v="579.2842"/>
        <n v="579.3807"/>
        <n v="579.84985"/>
        <n v="580.8493"/>
        <n v="581.1099"/>
        <n v="582.4142"/>
        <n v="583.26587"/>
        <n v="585.5203"/>
        <n v="585.5656"/>
        <n v="587.599"/>
        <n v="588.35754"/>
        <n v="589.98096"/>
        <n v="590.39575"/>
        <n v="591.0208"/>
        <n v="591.4024"/>
        <n v="594.7571"/>
        <n v="596.9444"/>
        <n v="597.4213"/>
        <n v="597.6683"/>
        <n v="598.1874"/>
        <n v="598.9257"/>
        <n v="600.0962"/>
        <n v="600.64734"/>
        <n v="600.694"/>
        <n v="601.07874"/>
        <n v="601.1914"/>
        <n v="602.17523"/>
        <n v="602.284"/>
        <n v="602.94196"/>
        <n v="604.47156"/>
        <n v="604.5866"/>
        <n v="604.91327"/>
        <n v="604.96924"/>
        <n v="605.84784"/>
        <n v="607.2314"/>
        <n v="608.57935"/>
        <n v="609.9288"/>
        <n v="610.594"/>
        <n v="610.639"/>
        <n v="611.1504"/>
        <n v="611.2178"/>
        <n v="611.7973"/>
        <n v="612.09735"/>
        <n v="612.3559"/>
        <n v="613.2719"/>
        <n v="613.9017"/>
        <n v="614.35406"/>
        <n v="616.14966"/>
        <n v="616.7082"/>
        <n v="617.13995"/>
        <n v="617.20166"/>
        <n v="617.8431"/>
        <n v="618.0553"/>
        <n v="618.115"/>
        <n v="619.31287"/>
        <n v="619.6789"/>
        <n v="620.0977"/>
        <n v="621.6884"/>
        <n v="623.3919"/>
        <n v="625.47424"/>
        <n v="626.5734"/>
        <n v="627.951"/>
        <n v="628.51636"/>
        <n v="628.8088"/>
        <n v="631.0901"/>
        <n v="632.10803"/>
        <n v="636.4998"/>
        <n v="637.01013"/>
        <n v="640.63715"/>
        <n v="642.84454"/>
        <n v="645.04865"/>
        <n v="645.7846"/>
        <n v="646.0989"/>
        <n v="646.5706"/>
        <n v="646.6211"/>
        <n v="646.76184"/>
        <n v="647.4458"/>
        <n v="648.15607"/>
        <n v="649.5918"/>
        <n v="649.77454"/>
        <n v="651.31836"/>
        <n v="653.0874"/>
        <n v="653.77246"/>
        <n v="653.86163"/>
        <n v="654.48083"/>
        <n v="656.0937"/>
        <n v="656.7129"/>
        <n v="656.7602"/>
        <n v="657.02655"/>
        <n v="657.08545"/>
        <n v="658.1927"/>
        <n v="658.4237"/>
        <n v="659.6572"/>
        <n v="660.0959"/>
        <n v="661.0084"/>
        <n v="661.5867"/>
        <n v="662.107"/>
        <n v="663.2023"/>
        <n v="663.2057"/>
        <n v="663.33685"/>
        <n v="663.8476"/>
        <n v="665.5293"/>
        <n v="668.252"/>
        <n v="668.8408"/>
        <n v="670.24255"/>
        <n v="670.7109"/>
        <n v="671.42224"/>
        <n v="672.205"/>
        <n v="673.2307"/>
        <n v="673.25616"/>
        <n v="674.0142"/>
        <n v="675.0532"/>
        <n v="677.0927"/>
        <n v="680.25336"/>
        <n v="682.32996"/>
        <n v="682.4803"/>
        <n v="683.18915"/>
        <n v="684.63403"/>
        <n v="684.69025"/>
        <n v="684.8596"/>
        <n v="685.70764"/>
        <n v="686.1554"/>
        <n v="686.2303"/>
        <n v="687.18384"/>
        <n v="688.2325"/>
        <n v="688.6571"/>
        <n v="688.95856"/>
        <n v="689.2215"/>
        <n v="690.48145"/>
        <n v="691.586"/>
        <n v="692.09766"/>
        <n v="692.3646"/>
        <n v="692.5512"/>
        <n v="695.2976"/>
        <n v="696.46216"/>
        <n v="697.40344"/>
        <n v="697.8803"/>
        <n v="697.9694"/>
        <n v="698.0217"/>
        <n v="698.4344"/>
        <n v="698.7599"/>
        <n v="699.27484"/>
        <n v="699.41394"/>
        <n v="699.78894"/>
        <n v="699.9894"/>
        <n v="700.55237"/>
        <n v="701.95514"/>
        <n v="702.64417"/>
        <n v="703.5679"/>
        <n v="705.6383"/>
        <n v="706.3905"/>
        <n v="707.1156"/>
        <n v="707.75494"/>
        <n v="708.93787"/>
        <n v="711.5704"/>
        <n v="711.7973"/>
        <n v="711.86163"/>
        <n v="711.9849"/>
        <n v="712.104"/>
        <n v="712.69305"/>
        <n v="713.14844"/>
        <n v="713.2761"/>
        <n v="713.4375"/>
        <n v="713.77203"/>
        <n v="717.7664"/>
        <n v="718.29877"/>
        <n v="720.0971"/>
        <n v="720.2155"/>
        <n v="720.22046"/>
        <n v="720.87555"/>
        <n v="721.8602"/>
        <n v="723.32715"/>
        <n v="724.43304"/>
        <n v="726.56024"/>
        <n v="728.3196"/>
        <n v="728.59454"/>
        <n v="729.22845"/>
        <n v="729.674"/>
        <n v="730.6277"/>
        <n v="731.91705"/>
        <n v="732.30475"/>
        <n v="732.57043"/>
        <n v="733.3411"/>
        <n v="733.80505"/>
        <n v="733.94556"/>
        <n v="735.4042"/>
        <n v="738.1942"/>
        <n v="738.2863"/>
        <n v="738.4291"/>
        <n v="738.62933"/>
        <n v="738.86584"/>
        <n v="739.0094"/>
        <n v="739.8217"/>
        <n v="742.12964"/>
        <n v="743.7371"/>
        <n v="744.51886"/>
        <n v="744.97473"/>
        <n v="746.804"/>
        <n v="747.0278"/>
        <n v="748.6736"/>
        <n v="749.0361"/>
        <n v="749.0557"/>
        <n v="751.82947"/>
        <n v="755.4876"/>
        <n v="757.37885"/>
        <n v="757.73035"/>
        <n v="757.9389"/>
        <n v="758.0576"/>
        <n v="758.08417"/>
        <n v="758.1753"/>
        <n v="759.3145"/>
        <n v="762.5035"/>
        <n v="762.9396"/>
        <n v="763.38446"/>
        <n v="763.5574"/>
        <n v="764.289"/>
        <n v="765.9197"/>
        <n v="766.09204"/>
        <n v="766.2677"/>
        <n v="766.9488"/>
        <n v="767.27045"/>
        <n v="770.6182"/>
        <n v="770.7224"/>
        <n v="771.8081"/>
        <n v="772.5175"/>
        <n v="773.1892"/>
        <n v="773.51013"/>
        <n v="774.7331"/>
        <n v="775.12305"/>
        <n v="775.37976"/>
        <n v="776.8172"/>
        <n v="778.7562"/>
        <n v="780.0137"/>
        <n v="781.19635"/>
        <n v="782.7031"/>
        <n v="785.8249"/>
        <n v="786.048"/>
        <n v="786.5064"/>
        <n v="792.08984"/>
        <n v="793.59314"/>
        <n v="794.3664"/>
        <n v="794.7655"/>
        <n v="796.3427"/>
        <n v="797.8383"/>
        <n v="797.8928"/>
        <n v="798.17096"/>
        <n v="798.30585"/>
        <n v="798.4615"/>
        <n v="798.53986"/>
        <n v="799.51337"/>
        <n v="801.06744"/>
        <n v="804.3506"/>
        <n v="804.54846"/>
        <n v="804.84686"/>
        <n v="805.15027"/>
        <n v="806.0337"/>
        <n v="806.8912"/>
        <n v="807.3022"/>
        <n v="807.95105"/>
        <n v="809.07355"/>
        <n v="810.2234"/>
        <n v="810.3122"/>
        <n v="811.78455"/>
        <n v="812.08185"/>
        <n v="812.866"/>
        <n v="813.1622"/>
        <n v="814.81036"/>
        <n v="817.39417"/>
        <n v="818.32495"/>
        <n v="819.0006"/>
        <n v="819.6267"/>
        <n v="819.7207"/>
        <n v="821.83014"/>
        <n v="822.9725"/>
        <n v="823.0751"/>
        <n v="823.6098"/>
        <n v="824.9427"/>
        <n v="825.43085"/>
        <n v="826.9703"/>
        <n v="827.21655"/>
        <n v="827.3441"/>
        <n v="828.1528"/>
        <n v="828.66675"/>
        <n v="828.72974"/>
        <n v="829.369"/>
        <n v="829.7134"/>
        <n v="831.6448"/>
        <n v="832.12445"/>
        <n v="833.6302"/>
        <n v="834.81055"/>
        <n v="834.887"/>
        <n v="837.542"/>
        <n v="838.0918"/>
        <n v="838.4048"/>
        <n v="840.2416"/>
        <n v="840.5878"/>
        <n v="841.942"/>
        <n v="842.0171"/>
        <n v="842.5862"/>
        <n v="842.73096"/>
        <n v="844.3963"/>
        <n v="845.4189"/>
        <n v="847.1703"/>
        <n v="848.06335"/>
        <n v="848.1533"/>
        <n v="851.15186"/>
        <n v="851.21027"/>
        <n v="852.4865"/>
        <n v="852.7057"/>
        <n v="853.9481"/>
        <n v="853.9648"/>
        <n v="854.10614"/>
        <n v="855.7686"/>
        <n v="856.27435"/>
        <n v="857.4726"/>
        <n v="858.2478"/>
        <n v="860.71216"/>
        <n v="861.28796"/>
        <n v="862.7114"/>
        <n v="864.1203"/>
        <n v="864.3005"/>
        <n v="865.1282"/>
        <n v="865.7341"/>
        <n v="866.2936"/>
        <n v="866.5156"/>
        <n v="867.7023"/>
        <n v="868.49243"/>
        <n v="869.22125"/>
        <n v="869.7758"/>
        <n v="870.17145"/>
        <n v="870.7759"/>
        <n v="871.6836"/>
        <n v="873.4262"/>
        <n v="874.0792"/>
        <n v="874.14264"/>
        <n v="874.61475"/>
        <n v="875.0003"/>
        <n v="876.98395"/>
        <n v="877.78314"/>
        <n v="880.6048"/>
        <n v="881.08484"/>
        <n v="882.0108"/>
        <n v="882.06006"/>
        <n v="882.86273"/>
        <n v="882.9529"/>
        <n v="883.2372"/>
        <n v="883.42413"/>
        <n v="884.89343"/>
        <n v="885.16113"/>
        <n v="886.25354"/>
        <n v="887.02795"/>
        <n v="887.1157"/>
        <n v="887.371"/>
        <n v="887.37164"/>
        <n v="887.90247"/>
        <n v="888.3236"/>
        <n v="888.37256"/>
        <n v="889.02985"/>
        <n v="889.33453"/>
        <n v="890.31775"/>
        <n v="890.3618"/>
        <n v="890.79926"/>
        <n v="892.14496"/>
        <n v="892.68665"/>
        <n v="892.73785"/>
        <n v="893.532"/>
        <n v="893.92395"/>
        <n v="894.03235"/>
        <n v="894.1276"/>
        <n v="894.1694"/>
        <n v="896.9035"/>
        <n v="897.1478"/>
        <n v="898.6965"/>
        <n v="899.084"/>
        <n v="899.3973"/>
        <n v="899.9577"/>
        <n v="900.9368"/>
        <n v="901.11633"/>
        <n v="903.3321"/>
        <n v="905.12665"/>
        <n v="906.04083"/>
        <n v="907.4078"/>
        <n v="907.719"/>
        <n v="907.7422"/>
        <n v="908.4122"/>
        <n v="908.486"/>
        <n v="909.78015"/>
        <n v="911.53503"/>
        <n v="912.3422"/>
        <n v="913.12976"/>
        <n v="914.2278"/>
        <n v="914.5711"/>
        <n v="914.92474"/>
        <n v="915.1728"/>
        <n v="915.5054"/>
        <n v="915.76654"/>
        <n v="915.85944"/>
        <n v="917.1267"/>
        <n v="917.21045"/>
        <n v="917.588"/>
        <n v="917.8448"/>
        <n v="919.42584"/>
        <n v="919.612"/>
        <n v="920.5946"/>
        <n v="922.14636"/>
        <n v="923.2544"/>
        <n v="923.55316"/>
        <n v="924.36456"/>
        <n v="924.56476"/>
        <n v="925.08527"/>
        <n v="926.24524"/>
        <n v="927.38556"/>
        <n v="929.02606"/>
        <n v="929.2111"/>
        <n v="931.62714"/>
        <n v="931.6434"/>
        <n v="931.79987"/>
        <n v="932.29395"/>
        <n v="932.94763"/>
        <n v="933.80145"/>
        <n v="934.0022"/>
        <n v="934.8255"/>
        <n v="936.2156"/>
        <n v="936.6738"/>
        <n v="937.5091"/>
        <n v="938.4709"/>
        <n v="938.483"/>
        <n v="938.6186"/>
        <n v="939.81476"/>
        <n v="940.049"/>
        <n v="940.09143"/>
        <n v="940.30396"/>
        <n v="940.8304"/>
        <n v="941.7385"/>
        <n v="943.1647"/>
        <n v="943.59674"/>
        <n v="946.31213"/>
        <n v="946.34094"/>
        <n v="946.3714"/>
        <n v="946.71533"/>
        <n v="947.3818"/>
        <n v="947.80817"/>
        <n v="948.446"/>
        <n v="948.8838"/>
        <n v="948.9217"/>
        <n v="948.94904"/>
        <n v="949.56067"/>
        <n v="950.59406"/>
        <n v="950.6639"/>
        <n v="951.0447"/>
        <n v="951.8042"/>
        <n v="952.02435"/>
        <n v="952.2918"/>
        <n v="953.4791"/>
        <n v="955.0991"/>
        <n v="955.5944"/>
        <n v="957.2787"/>
        <n v="957.63525"/>
        <n v="959.28284"/>
        <n v="959.7205"/>
        <n v="961.3757"/>
        <n v="965.6786"/>
        <n v="965.9471"/>
        <n v="968.74414"/>
        <n v="970.2562"/>
        <n v="970.68097"/>
        <n v="970.93774"/>
        <n v="971.19305"/>
        <n v="971.6966"/>
        <n v="972.5549"/>
        <n v="972.8856"/>
        <n v="973.5356"/>
        <n v="974.1872"/>
        <n v="974.2402"/>
        <n v="975.04114"/>
        <n v="976.14264"/>
        <n v="976.19214"/>
        <n v="977.27966"/>
        <n v="977.4089"/>
        <n v="978.6195"/>
        <n v="979.2688"/>
        <n v="980.85114"/>
        <n v="980.9676"/>
        <n v="981.38293"/>
        <n v="985.4204"/>
        <n v="988.7254"/>
        <n v="988.93896"/>
        <n v="989.38916"/>
        <n v="989.7032"/>
        <n v="990.5484"/>
        <n v="991.93866"/>
        <n v="994.91394"/>
        <n v="995.27344"/>
        <n v="995.341"/>
        <n v="995.6603"/>
        <n v="998.3118"/>
        <n v="998.9183"/>
        <n v="1000.4478"/>
        <n v="1001.768"/>
        <n v="1002.6955"/>
        <n v="1002.77094"/>
        <n v="1003.4978"/>
        <n v="1004.84424"/>
        <n v="1005.2407"/>
        <n v="1007.7965"/>
        <n v="1008.1779"/>
        <n v="1011.84033"/>
        <n v="1012.1127"/>
        <n v="1012.60077"/>
        <n v="1012.97614"/>
        <n v="1015.3767"/>
        <n v="1016.454"/>
        <n v="1016.6044"/>
        <n v="1017.043"/>
        <n v="1018.93115"/>
        <n v="1019.1099"/>
        <n v="1020.9191"/>
        <n v="1021.0752"/>
        <n v="1023.2138"/>
        <n v="1023.54834"/>
        <n v="1024.4916"/>
        <n v="1025.1544"/>
        <n v="1030.7202"/>
        <n v="1031.4454"/>
        <n v="1031.7136"/>
        <n v="1033.2032"/>
        <n v="1034.2551"/>
        <n v="1034.8485"/>
        <n v="1036.6567"/>
        <n v="1036.7483"/>
        <n v="1037.0265"/>
        <n v="1037.6294"/>
        <n v="1037.6428"/>
        <n v="1038.8605"/>
        <n v="1039.4052"/>
        <n v="1039.6771"/>
        <n v="1040.1412"/>
        <n v="1040.304"/>
        <n v="1043.4496"/>
        <n v="1043.5267"/>
        <n v="1043.8901"/>
        <n v="1044.7327"/>
        <n v="1044.7872"/>
        <n v="1049.6239"/>
        <n v="1051.8536"/>
        <n v="1053.6533"/>
        <n v="1055.1068"/>
        <n v="1055.4796"/>
        <n v="1056.5308"/>
        <n v="1058.3716"/>
        <n v="1058.9211"/>
        <n v="1059.4049"/>
        <n v="1061.075"/>
        <n v="1061.386"/>
        <n v="1061.7034"/>
        <n v="1061.8353"/>
        <n v="1061.946"/>
        <n v="1062.505"/>
        <n v="1063.9114"/>
        <n v="1066.4028"/>
        <n v="1067.0106"/>
        <n v="1068.2644"/>
        <n v="1068.5922"/>
        <n v="1075.5886"/>
        <n v="1075.6674"/>
        <n v="1077.2102"/>
        <n v="1079.3102"/>
        <n v="1080.2678"/>
        <n v="1082.1774"/>
        <n v="1082.2277"/>
        <n v="1082.4165"/>
        <n v="1084.1193"/>
        <n v="1084.8387"/>
        <n v="1084.987"/>
        <n v="1086.2814"/>
        <n v="1087.89"/>
        <n v="1088.0367"/>
        <n v="1088.1627"/>
        <n v="1088.2587"/>
        <n v="1092.5511"/>
        <n v="1094.6104"/>
        <n v="1095.8235"/>
        <n v="1096.164"/>
        <n v="1096.2949"/>
        <n v="1099.2015"/>
        <n v="1101.5193"/>
        <n v="1101.5476"/>
        <n v="1104.5934"/>
        <n v="1105.3142"/>
        <n v="1108.6844"/>
        <n v="1108.7728"/>
        <n v="1108.8657"/>
        <n v="1109.956"/>
        <n v="1111.0767"/>
        <n v="1111.5725"/>
        <n v="1111.7842"/>
        <n v="1114.1726"/>
        <n v="1114.258"/>
        <n v="1114.532"/>
        <n v="1115.3868"/>
        <n v="1115.6361"/>
        <n v="1117.7775"/>
        <n v="1118.584"/>
        <n v="1119.8226"/>
        <n v="1122.1132"/>
        <n v="1122.4886"/>
        <n v="1122.7915"/>
        <n v="1122.8231"/>
        <n v="1122.8696"/>
        <n v="1123.939"/>
        <n v="1125.7749"/>
        <n v="1126.1853"/>
        <n v="1127.9622"/>
        <n v="1128.0261"/>
        <n v="1129.7273"/>
        <n v="1129.9818"/>
        <n v="1131.3077"/>
        <n v="1137.1019"/>
        <n v="1137.1718"/>
        <n v="1137.2329"/>
        <n v="1137.3623"/>
        <n v="1139.6304"/>
        <n v="1139.7949"/>
        <n v="1139.9874"/>
        <n v="1141.1118"/>
        <n v="1146.0956"/>
        <n v="1148.2313"/>
        <n v="1152.6382"/>
        <n v="1153.1389"/>
        <n v="1154.261"/>
        <n v="1154.9879"/>
        <n v="1155.8561"/>
        <n v="1159.7443"/>
        <n v="1161.0491"/>
        <n v="1161.2847"/>
        <n v="1161.8481"/>
        <n v="1162.2427"/>
        <n v="1162.2872"/>
        <n v="1162.6942"/>
        <n v="1165.2318"/>
        <n v="1165.7496"/>
        <n v="1166.5763"/>
        <n v="1168.1866"/>
        <n v="1169.3898"/>
        <n v="1169.8849"/>
        <n v="1170.5533"/>
        <n v="1173.178"/>
        <n v="1175.1132"/>
        <n v="1175.4808"/>
        <n v="1175.7253"/>
        <n v="1175.9834"/>
        <n v="1176.1962"/>
        <n v="1177.2048"/>
        <n v="1177.8901"/>
        <n v="1178.3005"/>
        <n v="1178.4312"/>
        <n v="1180.5034"/>
        <n v="1181.0717"/>
        <n v="1183.603"/>
        <n v="1183.9237"/>
        <n v="1184.5524"/>
        <n v="1185.3376"/>
        <n v="1186.0334"/>
        <n v="1186.1531"/>
        <n v="1186.985"/>
        <n v="1187.2971"/>
        <n v="1188.4789"/>
        <n v="1189.2205"/>
        <n v="1189.3348"/>
        <n v="1189.4617"/>
        <n v="1190.1335"/>
        <n v="1191.6593"/>
        <n v="1194.2369"/>
        <n v="1194.3997"/>
        <n v="1195.1558"/>
        <n v="1195.2069"/>
        <n v="1196.7158"/>
        <n v="1199.1128"/>
        <n v="1199.1548"/>
        <n v="1200.1138"/>
        <n v="1200.7416"/>
        <n v="1200.9419"/>
        <n v="1201.2123"/>
        <n v="1201.3176"/>
        <n v="1201.594"/>
        <n v="1202.7491"/>
        <n v="1202.8209"/>
        <n v="1203.6598"/>
        <n v="1205.7775"/>
        <n v="1208.4281"/>
        <n v="1209.0032"/>
        <n v="1210.5432"/>
        <n v="1211.6249"/>
        <n v="1212.0244"/>
        <n v="1215.4076"/>
        <n v="1216.2002"/>
        <n v="1217.5823"/>
        <n v="1218.0492"/>
        <n v="1218.1499"/>
        <n v="1220.5806"/>
        <n v="1220.7057"/>
        <n v="1222.0535"/>
        <n v="1223.0111"/>
        <n v="1223.1705"/>
        <n v="1223.6862"/>
        <n v="1227.2465"/>
        <n v="1227.809"/>
        <n v="1228.7148"/>
        <n v="1229.3127"/>
        <n v="1229.3333"/>
        <n v="1229.6962"/>
        <n v="1230.1285"/>
        <n v="1230.6577"/>
        <n v="1231.3171"/>
        <n v="1233.354"/>
        <n v="1235.8807"/>
        <n v="1236.4493"/>
        <n v="1236.7384"/>
        <n v="1237.1827"/>
        <n v="1237.7565"/>
        <n v="1239.7487"/>
        <n v="1239.8591"/>
        <n v="1241.3744"/>
        <n v="1241.3789"/>
        <n v="1243.3053"/>
        <n v="1243.6812"/>
        <n v="1244.489"/>
        <n v="1244.5017"/>
        <n v="1246.9777"/>
        <n v="1247.1029"/>
        <n v="1249.8452"/>
        <n v="1250.0054"/>
        <n v="1252.2299"/>
        <n v="1252.47"/>
        <n v="1252.5565"/>
        <n v="1253.5905"/>
        <n v="1256.0857"/>
        <n v="1256.683"/>
        <n v="1257.4487"/>
        <n v="1259.569"/>
        <n v="1259.8407"/>
        <n v="1260.0406"/>
        <n v="1260.5343"/>
        <n v="1261.19"/>
        <n v="1261.9603"/>
        <n v="1262.1758"/>
        <n v="1263.1909"/>
        <n v="1263.3705"/>
        <n v="1264.5736"/>
        <n v="1265.342"/>
        <n v="1266.283"/>
        <n v="1266.9915"/>
        <n v="1269.189"/>
        <n v="1270.8457"/>
        <n v="1271.8553"/>
        <n v="1273.5094"/>
        <n v="1275.3624"/>
        <n v="1275.7141"/>
        <n v="1276.8679"/>
        <n v="1277.7561"/>
        <n v="1279.3448"/>
        <n v="1279.3549"/>
        <n v="1280.387"/>
        <n v="1280.682"/>
        <n v="1281.5796"/>
        <n v="1283.902"/>
        <n v="1285.1421"/>
        <n v="1287.5807"/>
        <n v="1287.8914"/>
        <n v="1288.5437"/>
        <n v="1289.2903"/>
        <n v="1289.3608"/>
        <n v="1290.1213"/>
        <n v="1290.4843"/>
        <n v="1292.4113"/>
        <n v="1292.5305"/>
        <n v="1295.9537"/>
        <n v="1296.3258"/>
        <n v="1296.7958"/>
        <n v="1297.8339"/>
        <n v="1298.1891"/>
        <n v="1298.2433"/>
        <n v="1298.5"/>
        <n v="1298.9615"/>
        <n v="1300.2728"/>
        <n v="1302.8768"/>
        <n v="1303.5225"/>
        <n v="1304.8973"/>
        <n v="1305.8276"/>
        <n v="1306.6584"/>
        <n v="1308.6068"/>
        <n v="1309.0212"/>
        <n v="1309.1797"/>
        <n v="1309.3636"/>
        <n v="1311.7208"/>
        <n v="1312.0425"/>
        <n v="1312.0875"/>
        <n v="1312.8297"/>
        <n v="1312.9967"/>
        <n v="1315.8416"/>
        <n v="1315.9636"/>
        <n v="1318.5596"/>
        <n v="1322.3253"/>
        <n v="1323.448"/>
        <n v="1325.8478"/>
        <n v="1326.1285"/>
        <n v="1326.5823"/>
        <n v="1327.2646"/>
        <n v="1328.713"/>
        <n v="1333.1031"/>
        <n v="1333.339"/>
        <n v="1333.8289"/>
        <n v="1334.5574"/>
        <n v="1335.7981"/>
        <n v="1335.9064"/>
        <n v="1337.1829"/>
        <n v="1337.6053"/>
        <n v="1338.3616"/>
        <n v="1342.909"/>
        <n v="1343.9891"/>
        <n v="1346.4528"/>
        <n v="1347.1267"/>
        <n v="1347.4165"/>
        <n v="1347.5656"/>
        <n v="1348.2859"/>
        <n v="1348.7219"/>
        <n v="1350.3188"/>
        <n v="1350.8173"/>
        <n v="1351.4888"/>
        <n v="1352.3245"/>
        <n v="1353.9265"/>
        <n v="1354.3319"/>
        <n v="1354.3354"/>
        <n v="1354.8575"/>
        <n v="1356.8783"/>
        <n v="1358.3431"/>
        <n v="1358.9896"/>
        <n v="1362.8743"/>
        <n v="1363.4834"/>
        <n v="1364.8616"/>
        <n v="1365.7268"/>
        <n v="1366.6373"/>
        <n v="1368.3043"/>
        <n v="1372.1799"/>
        <n v="1373.4691"/>
        <n v="1376.6178"/>
        <n v="1378.0177"/>
        <n v="1381.1853"/>
        <n v="1382.4935"/>
        <n v="1383.14"/>
        <n v="1385.5447"/>
        <n v="1387.0251"/>
        <n v="1387.1483"/>
        <n v="1390.2891"/>
        <n v="1394.8091"/>
        <n v="1395.2968"/>
        <n v="1396.556"/>
        <n v="1396.6757"/>
        <n v="1398.1256"/>
        <n v="1398.5009"/>
        <n v="1401.0586"/>
        <n v="1402.6357"/>
        <n v="1402.8014"/>
        <n v="1405.86"/>
        <n v="1407.5741"/>
        <n v="1410.3762"/>
        <n v="1412.2805"/>
        <n v="1415.0807"/>
        <n v="1415.5836"/>
        <n v="1416.3385"/>
        <n v="1416.5885"/>
        <n v="1417.452"/>
        <n v="1417.9863"/>
        <n v="1418.0597"/>
        <n v="1418.505"/>
        <n v="1418.7946"/>
        <n v="1421.4309"/>
        <n v="1423.8463"/>
        <n v="1425.0796"/>
        <n v="1426.2277"/>
        <n v="1428.3232"/>
        <n v="1429.7806"/>
        <n v="1430.6758"/>
        <n v="1432.6211"/>
        <n v="1432.9792"/>
        <n v="1436.5275"/>
        <n v="1436.6863"/>
        <n v="1436.722"/>
        <n v="1438.4036"/>
        <n v="1438.9675"/>
        <n v="1440.176"/>
        <n v="1441.9889"/>
        <n v="1443.774"/>
        <n v="1444.2842"/>
        <n v="1445.2784"/>
        <n v="1447.064"/>
        <n v="1448.5525"/>
        <n v="1449.3969"/>
        <n v="1450.8588"/>
        <n v="1451.3198"/>
        <n v="1451.32"/>
        <n v="1452.7455"/>
        <n v="1455.8417"/>
        <n v="1455.9967"/>
        <n v="1456.7665"/>
        <n v="1456.7996"/>
        <n v="1460.2954"/>
        <n v="1460.611"/>
        <n v="1462.0034"/>
        <n v="1462.4208"/>
        <n v="1463.194"/>
        <n v="1463.7323"/>
        <n v="1465.1292"/>
        <n v="1469.4915"/>
        <n v="1470.0199"/>
        <n v="1472.3489"/>
        <n v="1475.1217"/>
        <n v="1476.8958"/>
        <n v="1477.3622"/>
        <n v="1477.7007"/>
        <n v="1478.2959"/>
        <n v="1478.8632"/>
        <n v="1479.7654"/>
        <n v="1479.7852"/>
        <n v="1482.0157"/>
        <n v="1483.4702"/>
        <n v="1484.0073"/>
        <n v="1484.1034"/>
        <n v="1486.6866"/>
        <n v="1490.5715"/>
        <n v="1491.7148"/>
        <n v="1492.5784"/>
        <n v="1495.165"/>
        <n v="1495.3372"/>
        <n v="1495.4337"/>
        <n v="1495.5171"/>
        <n v="1496.5481"/>
        <n v="1497.0687"/>
        <n v="1497.2688"/>
        <n v="1498.4042"/>
        <n v="1499.9391"/>
        <n v="1501.1024"/>
        <n v="1501.4474"/>
        <n v="1502.844"/>
        <n v="1502.9568"/>
        <n v="1503.8103"/>
        <n v="1505.3655"/>
        <n v="1505.8662"/>
        <n v="1506.22"/>
        <n v="1512.5034"/>
        <n v="1513.5085"/>
        <n v="1514.5144"/>
        <n v="1515.7966"/>
        <n v="1516.1041"/>
        <n v="1517.8556"/>
        <n v="1518.6677"/>
        <n v="1518.8368"/>
        <n v="1519.12"/>
        <n v="1519.3099"/>
        <n v="1519.3993"/>
        <n v="1520.5153"/>
        <n v="1522.4325"/>
        <n v="1525.148"/>
        <n v="1529.5032"/>
        <n v="1532.4482"/>
        <n v="1532.5985"/>
        <n v="1534.1295"/>
        <n v="1537.1642"/>
        <n v="1538.2584"/>
        <n v="1539.4532"/>
        <n v="1540.2902"/>
        <n v="1541.3503"/>
        <n v="1542.522"/>
        <n v="1543.0443"/>
        <n v="1545.0519"/>
        <n v="1545.1586"/>
        <n v="1551.0845"/>
        <n v="1554.7671"/>
        <n v="1554.8408"/>
        <n v="1556.234"/>
        <n v="1556.5922"/>
        <n v="1557.5778"/>
        <n v="1562.7028"/>
        <n v="1563.531"/>
        <n v="1565.0748"/>
        <n v="1565.2426"/>
        <n v="1565.7289"/>
        <n v="1568.1694"/>
        <n v="1568.4662"/>
        <n v="1568.8821"/>
        <n v="1569.0118"/>
        <n v="1572.5511"/>
        <n v="1574.4983"/>
        <n v="1574.5149"/>
        <n v="1577.3296"/>
        <n v="1578.204"/>
        <n v="1579.5715"/>
        <n v="1584.3257"/>
        <n v="1585.5594"/>
        <n v="1586.2715"/>
        <n v="1587.2847"/>
        <n v="1587.6401"/>
        <n v="1588.5927"/>
        <n v="1592.1736"/>
        <n v="1593.2152"/>
        <n v="1597.1461"/>
        <n v="1597.4872"/>
        <n v="1597.6041"/>
        <n v="1597.9404"/>
        <n v="1600.1329"/>
        <n v="1601.8507"/>
        <n v="1602.0515"/>
        <n v="1602.2502"/>
        <n v="1603.2161"/>
        <n v="1605.2966"/>
        <n v="1607.2745"/>
        <n v="1609.8734"/>
        <n v="1609.9459"/>
        <n v="1610.5361"/>
        <n v="1610.6417"/>
        <n v="1612.9852"/>
        <n v="1613.1987"/>
        <n v="1613.5466"/>
        <n v="1613.9104"/>
        <n v="1615.7216"/>
        <n v="1616.0881"/>
        <n v="1617.1282"/>
        <n v="1619.597"/>
        <n v="1620.81"/>
        <n v="1620.8217"/>
        <n v="1622.6282"/>
        <n v="1624.4481"/>
        <n v="1625.5104"/>
        <n v="1626.0529"/>
        <n v="1627.4725"/>
        <n v="1628.3057"/>
        <n v="1628.5824"/>
        <n v="1629.7235"/>
        <n v="1630.4496"/>
        <n v="1633.4149"/>
        <n v="1633.55"/>
        <n v="1634.8809"/>
        <n v="1635.2208"/>
        <n v="1637.032"/>
        <n v="1638.827"/>
        <n v="1640.5099"/>
        <n v="1640.8224"/>
        <n v="1641.3884"/>
        <n v="1641.573"/>
        <n v="1642.3959"/>
        <n v="1642.7606"/>
        <n v="1643.4609"/>
        <n v="1644.6803"/>
        <n v="1644.7517"/>
        <n v="1646.7811"/>
        <n v="1650.032"/>
        <n v="1652.0848"/>
        <n v="1655.0284"/>
        <n v="1655.6117"/>
        <n v="1656.1415"/>
        <n v="1658.5916"/>
        <n v="1659.51"/>
        <n v="1669.3373"/>
        <n v="1670.6163"/>
        <n v="1671.3932"/>
        <n v="1671.8329"/>
        <n v="1674.8418"/>
        <n v="1674.9998"/>
        <n v="1676.7908"/>
        <n v="1678.614"/>
        <n v="1679.2612"/>
        <n v="1679.4807"/>
        <n v="1679.8167"/>
        <n v="1681.6976"/>
        <n v="1684.5072"/>
        <n v="1688.7014"/>
        <n v="1691.5748"/>
        <n v="1692.5928"/>
        <n v="1692.9355"/>
        <n v="1699.33"/>
        <n v="1701.149"/>
        <n v="1702.3232"/>
        <n v="1702.6866"/>
        <n v="1703.644"/>
        <n v="1703.7286"/>
        <n v="1703.952"/>
        <n v="1703.96"/>
        <n v="1704.0754"/>
        <n v="1706.0151"/>
        <n v="1708.1807"/>
        <n v="1708.6787"/>
        <n v="1709.1973"/>
        <n v="1709.6682"/>
        <n v="1713.52"/>
        <n v="1713.8406"/>
        <n v="1715.6914"/>
        <n v="1715.8545"/>
        <n v="1718.3467"/>
        <n v="1719.9318"/>
        <n v="1721.4897"/>
        <n v="1725.1692"/>
        <n v="1725.2976"/>
        <n v="1725.3019"/>
        <n v="1725.3722"/>
        <n v="1725.7385"/>
        <n v="1727.4929"/>
        <n v="1727.6288"/>
        <n v="1727.7833"/>
        <n v="1727.8049"/>
        <n v="1728.6504"/>
        <n v="1728.9297"/>
        <n v="1729.5052"/>
        <n v="1731.0171"/>
        <n v="1731.142"/>
        <n v="1731.9987"/>
        <n v="1735.3058"/>
        <n v="1736.2487"/>
        <n v="1737.0465"/>
        <n v="1738.5422"/>
        <n v="1742.7589"/>
        <n v="1743.2766"/>
        <n v="1743.9768"/>
        <n v="1745.4581"/>
        <n v="1745.9802"/>
        <n v="1747.3691"/>
        <n v="1748.0399"/>
        <n v="1751.7308"/>
        <n v="1752.6798"/>
        <n v="1753.7897"/>
        <n v="1755.2279"/>
        <n v="1755.9045"/>
        <n v="1756.784"/>
        <n v="1757.0259"/>
        <n v="1759.182"/>
        <n v="1759.7137"/>
        <n v="1760.3505"/>
        <n v="1760.384"/>
        <n v="1761.81"/>
        <n v="1765.8181"/>
        <n v="1765.8777"/>
        <n v="1768.0999"/>
        <n v="1768.7383"/>
        <n v="1771.3413"/>
        <n v="1772.9038"/>
        <n v="1772.9237"/>
        <n v="1773.8134"/>
        <n v="1776.1818"/>
        <n v="1777.9808"/>
        <n v="1778.779"/>
        <n v="1781.8641"/>
        <n v="1782.0336"/>
        <n v="1784.7131"/>
        <n v="1786.2277"/>
        <n v="1787.1183"/>
        <n v="1787.9908"/>
        <n v="1792.5469"/>
        <n v="1796.5474"/>
        <n v="1796.6953"/>
        <n v="1796.89"/>
        <n v="1801.3816"/>
        <n v="1801.7229"/>
        <n v="1802.2672"/>
        <n v="1802.4641"/>
        <n v="1804.471"/>
        <n v="1804.4712"/>
        <n v="1807.7109"/>
        <n v="1808.9791"/>
        <n v="1809.5273"/>
        <n v="1811.7145"/>
        <n v="1813.3136"/>
        <n v="1815.0062"/>
        <n v="1816.4464"/>
        <n v="1818.9603"/>
        <n v="1819.5419"/>
        <n v="1820.1377"/>
        <n v="1820.3241"/>
        <n v="1820.385"/>
        <n v="1821.1028"/>
        <n v="1821.2346"/>
        <n v="1821.9205"/>
        <n v="1822.7441"/>
        <n v="1825.1703"/>
        <n v="1827.7953"/>
        <n v="1828.3595"/>
        <n v="1828.8981"/>
        <n v="1829.2687"/>
        <n v="1829.7211"/>
        <n v="1830.6353"/>
        <n v="1830.6716"/>
        <n v="1831.5574"/>
        <n v="1831.6108"/>
        <n v="1832.45"/>
        <n v="1833.2638"/>
        <n v="1833.5746"/>
        <n v="1835.0839"/>
        <n v="1836.2549"/>
        <n v="1837.7991"/>
        <n v="1838.13"/>
        <n v="1839.1592"/>
        <n v="1840.0729"/>
        <n v="1841.9174"/>
        <n v="1842.3643"/>
        <n v="1843.1736"/>
        <n v="1843.6886"/>
        <n v="1843.9155"/>
        <n v="1845.0272"/>
        <n v="1845.472"/>
        <n v="1845.8534"/>
        <n v="1845.9058"/>
        <n v="1850.1614"/>
        <n v="1850.8123"/>
        <n v="1852.4265"/>
        <n v="1853.5352"/>
        <n v="1854.0256"/>
        <n v="1854.5764"/>
        <n v="1861.2843"/>
        <n v="1861.9889"/>
        <n v="1863.606"/>
        <n v="1865.1566"/>
        <n v="1870.2538"/>
        <n v="1870.7389"/>
        <n v="1871.9601"/>
        <n v="1874.1976"/>
        <n v="1875.7249"/>
        <n v="1877.1293"/>
        <n v="1879.1494"/>
        <n v="1879.9845"/>
        <n v="1880.1866"/>
        <n v="1880.2225"/>
        <n v="1880.6093"/>
        <n v="1880.6632"/>
        <n v="1880.8776"/>
        <n v="1881.5508"/>
        <n v="1883.641"/>
        <n v="1883.8706"/>
        <n v="1883.9485"/>
        <n v="1884.6582"/>
        <n v="1884.803"/>
        <n v="1885.2952"/>
        <n v="1885.4658"/>
        <n v="1886.5198"/>
        <n v="1886.6807"/>
        <n v="1887.1545"/>
        <n v="1887.352"/>
        <n v="1887.7921"/>
        <n v="1887.9132"/>
        <n v="1888.2422"/>
        <n v="1888.9485"/>
        <n v="1888.9558"/>
        <n v="1889.7021"/>
        <n v="1890.821"/>
        <n v="1891.9796"/>
        <n v="1892.0365"/>
        <n v="1892.2668"/>
        <n v="1893.2184"/>
        <n v="1893.6866"/>
        <n v="1894.9663"/>
        <n v="1896.6799"/>
        <n v="1898.3075"/>
        <n v="1898.6165"/>
        <n v="1899.2319"/>
        <n v="1900.1538"/>
        <n v="1901.7826"/>
        <n v="1902.1212"/>
        <n v="1903.6517"/>
        <n v="1905.264"/>
        <n v="1906.4406"/>
        <n v="1906.9801"/>
        <n v="1907.2"/>
        <n v="1908.369"/>
        <n v="1908.8815"/>
        <n v="1909.7261"/>
        <n v="1910.9924"/>
        <n v="1911.4481"/>
        <n v="1915.481"/>
        <n v="1916.4432"/>
        <n v="1919.4331"/>
        <n v="1920.324"/>
        <n v="1921.492"/>
        <n v="1922.5824"/>
        <n v="1923.2622"/>
        <n v="1923.9808"/>
        <n v="1924.2117"/>
        <n v="1927.0525"/>
        <n v="1927.3298"/>
        <n v="1928.5033"/>
        <n v="1930.7184"/>
        <n v="1930.7478"/>
        <n v="1930.808"/>
        <n v="1933.7859"/>
        <n v="1935.0015"/>
        <n v="1937.0983"/>
        <n v="1939.1375"/>
        <n v="1940.1028"/>
        <n v="1940.1245"/>
        <n v="1940.3823"/>
        <n v="1944.84"/>
        <n v="1945.5593"/>
        <n v="1945.8916"/>
        <n v="1946.9711"/>
        <n v="1947.0193"/>
        <n v="1947.3024"/>
        <n v="1947.9224"/>
        <n v="1948.2887"/>
        <n v="1948.9478"/>
        <n v="1950.8945"/>
        <n v="1951.4921"/>
        <n v="1952.9684"/>
        <n v="1953.6335"/>
        <n v="1953.6411"/>
        <n v="1954.8937"/>
        <n v="1958.4329"/>
        <n v="1958.5328"/>
        <n v="1959.9769"/>
        <n v="1960.2373"/>
        <n v="1961.0071"/>
        <n v="1961.2268"/>
        <n v="1961.7568"/>
        <n v="1962.0958"/>
        <n v="1962.2557"/>
        <n v="1962.2683"/>
        <n v="1962.5161"/>
        <n v="1962.9421"/>
        <n v="1966.5519"/>
        <n v="1967.9668"/>
        <n v="1968.4692"/>
        <n v="1969.0131"/>
        <n v="1969.7747"/>
        <n v="1970.8567"/>
        <n v="1971.5691"/>
        <n v="1975.5999"/>
        <n v="1976.4607"/>
        <n v="1977.5355"/>
        <n v="1978.5883"/>
        <n v="1978.8668"/>
        <n v="1979.485"/>
        <n v="1980.8828"/>
        <n v="1981.5402"/>
        <n v="1982.5068"/>
        <n v="1982.5493"/>
        <n v="1982.7366"/>
        <n v="1985.9208"/>
        <n v="1986.8015"/>
        <n v="1987.3389"/>
        <n v="1987.7819"/>
        <n v="1989.7365"/>
        <n v="1990.9137"/>
        <n v="1992.6716"/>
        <n v="1993.6906"/>
        <n v="1994.2407"/>
        <n v="1994.3842"/>
        <n v="1994.8044"/>
        <n v="1994.9542"/>
        <n v="1994.9954"/>
        <n v="1996.683"/>
        <n v="1997.4972"/>
        <n v="2001.53"/>
        <n v="2003.4595"/>
        <n v="2004.1119"/>
        <n v="2006.7821"/>
        <n v="2007.5004"/>
        <n v="2007.905"/>
        <n v="2008.1346"/>
        <n v="2009.2228"/>
        <n v="2012.1342"/>
        <n v="2013.3123"/>
        <n v="2015.2084"/>
        <n v="2015.5586"/>
        <n v="2017.6072"/>
        <n v="2017.89"/>
        <n v="2018.3367"/>
        <n v="2018.4404"/>
        <n v="2019.7283"/>
        <n v="2020.2874"/>
        <n v="2020.4435"/>
        <n v="2021.1777"/>
        <n v="2022.9473"/>
        <n v="2024.1106"/>
        <n v="2026.3307"/>
        <n v="2027.139"/>
        <n v="2028.7623"/>
        <n v="2029.2084"/>
        <n v="2031.4625"/>
        <n v="2033.5569"/>
        <n v="2034.072"/>
        <n v="2035.0972"/>
        <n v="2036.7338"/>
        <n v="2036.9617"/>
        <n v="2037.1339"/>
        <n v="2037.2399"/>
        <n v="2038.0273"/>
        <n v="2038.0302"/>
        <n v="2039.0524"/>
        <n v="2040.2915"/>
        <n v="2041.5607"/>
        <n v="2043.876"/>
        <n v="2045.9786"/>
        <n v="2046.6364"/>
        <n v="2047.1084"/>
        <n v="2050.1506"/>
        <n v="2054.3054"/>
        <n v="2055.5518"/>
        <n v="2058.5461"/>
        <n v="2059.9521"/>
        <n v="2060.0261"/>
        <n v="2060.1523"/>
        <n v="2060.7393"/>
        <n v="2062.0852"/>
        <n v="2063.752"/>
        <n v="2065.4084"/>
        <n v="2068.1792"/>
        <n v="2069.0918"/>
        <n v="2069.277"/>
        <n v="2070.4695"/>
        <n v="2072.4795"/>
        <n v="2072.4907"/>
        <n v="2073.6567"/>
        <n v="2074.0085"/>
        <n v="2077.3047"/>
        <n v="2078.1953"/>
        <n v="2079.9575"/>
        <n v="2083.3071"/>
        <n v="2084.2207"/>
        <n v="2085.049"/>
        <n v="2086.2754"/>
        <n v="2086.6726"/>
        <n v="2086.7444"/>
        <n v="2088.3604"/>
        <n v="2088.487"/>
        <n v="2088.5112"/>
        <n v="2094.6328"/>
        <n v="2102.179"/>
        <n v="2102.5347"/>
        <n v="2104.1511"/>
        <n v="2106.3325"/>
        <n v="2107.5488"/>
        <n v="2108.4802"/>
        <n v="2108.5144"/>
        <n v="2108.6604"/>
        <n v="2109.0232"/>
        <n v="2109.1155"/>
        <n v="2111.5022"/>
        <n v="2111.6633"/>
        <n v="2112.5347"/>
        <n v="2114.22"/>
        <n v="2114.5674"/>
        <n v="2114.603"/>
        <n v="2114.9731"/>
        <n v="2115.056"/>
        <n v="2115.7986"/>
        <n v="2116.5122"/>
        <n v="2116.7473"/>
        <n v="2117.968"/>
        <n v="2119.3635"/>
        <n v="2121.2942"/>
        <n v="2123.4805"/>
        <n v="2123.5144"/>
        <n v="2123.7947"/>
        <n v="2123.8513"/>
        <n v="2123.9355"/>
        <n v="2130.5764"/>
        <n v="2131.258"/>
        <n v="2131.4692"/>
        <n v="2132.5361"/>
        <n v="2132.6816"/>
        <n v="2133.2678"/>
        <n v="2134.97"/>
        <n v="2135.2583"/>
        <n v="2135.9048"/>
        <n v="2136.0334"/>
        <n v="2136.253"/>
        <n v="2136.5227"/>
        <n v="2136.5786"/>
        <n v="2136.813"/>
        <n v="2137.0337"/>
        <n v="2138.9797"/>
        <n v="2140.3796"/>
        <n v="2142.958"/>
        <n v="2144.9434"/>
        <n v="2146.1685"/>
        <n v="2147.0947"/>
        <n v="2147.572"/>
        <n v="2151.0967"/>
        <n v="2157.1738"/>
        <n v="2158.4722"/>
        <n v="2158.8325"/>
        <n v="2159.3408"/>
        <n v="2160.1746"/>
        <n v="2160.2185"/>
        <n v="2160.704"/>
        <n v="2163.039"/>
        <n v="2163.0847"/>
        <n v="2166.6418"/>
        <n v="2167.244"/>
        <n v="2168.0999"/>
        <n v="2169.5771"/>
        <n v="2171.303"/>
        <n v="2171.8225"/>
        <n v="2173.0085"/>
        <n v="2174.9902"/>
        <n v="2175.64"/>
        <n v="2175.7485"/>
        <n v="2176.435"/>
        <n v="2177.4734"/>
        <n v="2178.5393"/>
        <n v="2179.7395"/>
        <n v="2180.5283"/>
        <n v="2182.0051"/>
        <n v="2183.4475"/>
        <n v="2187.9653"/>
        <n v="2189.249"/>
        <n v="2190.6067"/>
        <n v="2190.6438"/>
        <n v="2191.0662"/>
        <n v="2192.9998"/>
        <n v="2193.6045"/>
        <n v="2194.317"/>
        <n v="2194.4648"/>
        <n v="2194.584"/>
        <n v="2196.5261"/>
        <n v="2196.8184"/>
        <n v="2197.7937"/>
        <n v="2198.4844"/>
        <n v="2201.4285"/>
        <n v="2201.666"/>
        <n v="2206.9414"/>
        <n v="2207.7583"/>
        <n v="2208.4417"/>
        <n v="2208.569"/>
        <n v="2208.9685"/>
        <n v="2210.895"/>
        <n v="2212.3674"/>
        <n v="2212.9424"/>
        <n v="2215.2373"/>
        <n v="2218.0276"/>
        <n v="2219.9998"/>
        <n v="2220.0906"/>
        <n v="2220.1155"/>
        <n v="2222.6414"/>
        <n v="2222.7402"/>
        <n v="2224.9087"/>
        <n v="2225.8667"/>
        <n v="2226.5974"/>
        <n v="2229.57"/>
        <n v="2230.9722"/>
        <n v="2234.7717"/>
        <n v="2238.1387"/>
        <n v="2238.9692"/>
        <n v="2243.5825"/>
        <n v="2243.9683"/>
        <n v="2244.0415"/>
        <n v="2245.327"/>
        <n v="2246.6765"/>
        <n v="2246.7139"/>
        <n v="2248.1418"/>
        <n v="2252.7795"/>
        <n v="2255.4402"/>
        <n v="2256.092"/>
        <n v="2258.297"/>
        <n v="2261.8472"/>
        <n v="2263.1633"/>
        <n v="2265.7617"/>
        <n v="2266.9397"/>
        <n v="2268.5315"/>
        <n v="2271.2517"/>
        <n v="2272.2532"/>
        <n v="2278.295"/>
        <n v="2284.907"/>
        <n v="2286.1047"/>
        <n v="2286.3916"/>
        <n v="2289.1348"/>
        <n v="2289.9355"/>
        <n v="2294.651"/>
        <n v="2295.8994"/>
        <n v="2297.8376"/>
        <n v="2298.0054"/>
        <n v="2300.9727"/>
        <n v="2312.025"/>
        <n v="2314.3477"/>
        <n v="2319.4993"/>
        <n v="2325.1794"/>
        <n v="2326.1035"/>
        <n v="2326.4043"/>
        <n v="2329.6643"/>
        <n v="2330.3518"/>
        <n v="2330.8098"/>
        <n v="2334.0188"/>
        <n v="2336.5574"/>
        <n v="2336.783"/>
        <n v="2339.3572"/>
        <n v="2341.2275"/>
        <n v="2342.3403"/>
        <n v="2342.9175"/>
        <n v="2346.0134"/>
        <n v="2347.6404"/>
        <n v="2354.288"/>
        <n v="2357.6055"/>
        <n v="2358.3782"/>
        <n v="2358.4924"/>
        <n v="2363.2092"/>
        <n v="2365.1038"/>
        <n v="2366.3591"/>
        <n v="2367.4941"/>
        <n v="2370.8237"/>
        <n v="2371.6765"/>
        <n v="2371.911"/>
        <n v="2372.7124"/>
        <n v="2373.231"/>
        <n v="2373.8513"/>
        <n v="2374.7932"/>
        <n v="2375.6748"/>
        <n v="2376.668"/>
        <n v="2379.0295"/>
        <n v="2383.6958"/>
        <n v="2383.9285"/>
        <n v="2384.9563"/>
        <n v="2384.999"/>
        <n v="2386.382"/>
        <n v="2387.802"/>
        <n v="2388.635"/>
        <n v="2391.3735"/>
        <n v="2391.559"/>
        <n v="2393.7778"/>
        <n v="2394.5562"/>
        <n v="2395.11"/>
        <n v="2397.984"/>
        <n v="2398.8079"/>
        <n v="2400.7314"/>
        <n v="2401.123"/>
        <n v="2401.3022"/>
        <n v="2402.1426"/>
        <n v="2403.126"/>
        <n v="2403.5513"/>
        <n v="2403.7517"/>
        <n v="2406.3684"/>
        <n v="2406.5215"/>
        <n v="2407.79"/>
        <n v="2409.2783"/>
        <n v="2409.5254"/>
        <n v="2409.8506"/>
        <n v="2412.219"/>
        <n v="2413.0732"/>
        <n v="2414.8672"/>
        <n v="2418.2175"/>
        <n v="2421.104"/>
        <n v="2421.6807"/>
        <n v="2424.3132"/>
        <n v="2424.5933"/>
        <n v="2427.8132"/>
        <n v="2430.333"/>
        <n v="2431.702"/>
        <n v="2435.947"/>
        <n v="2436.3918"/>
        <n v="2437.1597"/>
        <n v="2439.579"/>
        <n v="2440.8154"/>
        <n v="2443.153"/>
        <n v="2443.8174"/>
        <n v="2445.4973"/>
        <n v="2445.9111"/>
        <n v="2446.2432"/>
        <n v="2450.0278"/>
        <n v="2453.1238"/>
        <n v="2454.15"/>
        <n v="2455.1543"/>
        <n v="2457.2668"/>
        <n v="2457.8662"/>
        <n v="2458.7996"/>
        <n v="2458.8655"/>
        <n v="2459.1924"/>
        <n v="2459.8313"/>
        <n v="2460.0354"/>
        <n v="2460.6487"/>
        <n v="2461.5854"/>
        <n v="2464.2986"/>
        <n v="2466.2083"/>
        <n v="2466.6086"/>
        <n v="2468.371"/>
        <n v="2471.5776"/>
        <n v="2473.4148"/>
        <n v="2473.5334"/>
        <n v="2479.0684"/>
        <n v="2483.396"/>
        <n v="2485.816"/>
        <n v="2487.4792"/>
        <n v="2492.8872"/>
        <n v="2493.025"/>
        <n v="2494.55"/>
        <n v="2494.8643"/>
        <n v="2495.0405"/>
        <n v="2495.1516"/>
        <n v="2497.804"/>
        <n v="2498.5754"/>
        <n v="2501.007"/>
        <n v="2503.9155"/>
        <n v="2504.2217"/>
        <n v="2505.3093"/>
        <n v="2505.5374"/>
        <n v="2506.8667"/>
        <n v="2507.373"/>
        <n v="2510.119"/>
        <n v="2510.7913"/>
        <n v="2510.983"/>
        <n v="2511.339"/>
        <n v="2512.5312"/>
        <n v="2512.6348"/>
        <n v="2514.576"/>
        <n v="2515.0815"/>
        <n v="2517.8906"/>
        <n v="2517.9133"/>
        <n v="2522.7068"/>
        <n v="2523.6882"/>
        <n v="2524.472"/>
        <n v="2526.3528"/>
        <n v="2527.2468"/>
        <n v="2528.4866"/>
        <n v="2528.719"/>
        <n v="2529.6497"/>
        <n v="2529.961"/>
        <n v="2530.6726"/>
        <n v="2532.934"/>
        <n v="2535.0469"/>
        <n v="2535.8677"/>
        <n v="2536.6453"/>
        <n v="2540.3696"/>
        <n v="2541.901"/>
        <n v="2542.3948"/>
        <n v="2543.5461"/>
        <n v="2548.289"/>
        <n v="2549.8406"/>
        <n v="2550.027"/>
        <n v="2550.4968"/>
        <n v="2552.8572"/>
        <n v="2553.6023"/>
        <n v="2554.017"/>
        <n v="2556.0027"/>
        <n v="2556.1016"/>
        <n v="2559.0237"/>
        <n v="2559.692"/>
        <n v="2564.887"/>
        <n v="2566.4658"/>
        <n v="2569.3418"/>
        <n v="2569.3591"/>
        <n v="2569.6995"/>
        <n v="2570.7314"/>
        <n v="2571.2017"/>
        <n v="2571.557"/>
        <n v="2571.851"/>
        <n v="2572.545"/>
        <n v="2573.659"/>
        <n v="2576.6426"/>
        <n v="2577.6243"/>
        <n v="2579.7683"/>
        <n v="2581.9207"/>
        <n v="2583.7092"/>
        <n v="2584.4866"/>
        <n v="2584.5645"/>
        <n v="2585.5305"/>
        <n v="2586.452"/>
        <n v="2586.9448"/>
        <n v="2587.7197"/>
        <n v="2589.355"/>
        <n v="2589.9238"/>
        <n v="2592.0837"/>
        <n v="2593.108"/>
        <n v="2594.6523"/>
        <n v="2595.4402"/>
        <n v="2597.1643"/>
        <n v="2597.6882"/>
        <n v="2597.7014"/>
        <n v="2598.589"/>
        <n v="2605.2793"/>
        <n v="2605.6287"/>
        <n v="2608.9119"/>
        <n v="2609.0227"/>
        <n v="2610.5874"/>
        <n v="2610.625"/>
        <n v="2611.5842"/>
        <n v="2612.0803"/>
        <n v="2612.837"/>
        <n v="2615.595"/>
        <n v="2616.5405"/>
        <n v="2620.8313"/>
        <n v="2620.8872"/>
        <n v="2624.7761"/>
        <n v="2625.3193"/>
        <n v="2630.9028"/>
        <n v="2631.1074"/>
        <n v="2632.721"/>
        <n v="2635.4587"/>
        <n v="2638.6394"/>
        <n v="2639.7852"/>
        <n v="2646.6824"/>
        <n v="2651.3901"/>
        <n v="2651.5862"/>
        <n v="2651.7825"/>
        <n v="2653.3333"/>
        <n v="2653.5022"/>
        <n v="2656.7683"/>
        <n v="2656.9438"/>
        <n v="2658.1934"/>
        <n v="2658.4219"/>
        <n v="2658.7495"/>
        <n v="2659.693"/>
        <n v="2660.7874"/>
        <n v="2662.9048"/>
        <n v="2665.0337"/>
        <n v="2665.187"/>
        <n v="2668.8882"/>
        <n v="2669.937"/>
        <n v="2670.2434"/>
        <n v="2670.9932"/>
        <n v="2671.7192"/>
        <n v="2672.4739"/>
        <n v="2672.9912"/>
        <n v="2673.966"/>
        <n v="2676.4353"/>
        <n v="2687.6382"/>
        <n v="2688.1577"/>
        <n v="2688.359"/>
        <n v="2688.9773"/>
        <n v="2690.1719"/>
        <n v="2691.0134"/>
        <n v="2691.0317"/>
        <n v="2692.527"/>
        <n v="2693.3042"/>
        <n v="2693.424"/>
        <n v="2694.3374"/>
        <n v="2694.46"/>
        <n v="2697.882"/>
        <n v="2698.161"/>
        <n v="2698.5266"/>
        <n v="2698.8474"/>
        <n v="2700.0264"/>
        <n v="2702.522"/>
        <n v="2705.3557"/>
        <n v="2706.4292"/>
        <n v="2708.1375"/>
        <n v="2709.936"/>
        <n v="2714.2834"/>
        <n v="2717.1228"/>
        <n v="2717.7405"/>
        <n v="2720.316"/>
        <n v="2721.2456"/>
        <n v="2721.4963"/>
        <n v="2722.8638"/>
        <n v="2730.433"/>
        <n v="2736.4705"/>
        <n v="2736.6914"/>
        <n v="2737.3225"/>
        <n v="2739.223"/>
        <n v="2739.3157"/>
        <n v="2740.118"/>
        <n v="2740.4978"/>
        <n v="2743.2876"/>
        <n v="2744.8518"/>
        <n v="2745.6868"/>
        <n v="2748.5713"/>
        <n v="2750.5144"/>
        <n v="2756.844"/>
        <n v="2759.1848"/>
        <n v="2761.003"/>
        <n v="2763.2434"/>
        <n v="2768.3955"/>
        <n v="2771.394"/>
        <n v="2772.3396"/>
        <n v="2773.6682"/>
        <n v="2774.0947"/>
        <n v="2775.9993"/>
        <n v="2787.8696"/>
        <n v="2789.6924"/>
        <n v="2790.7712"/>
        <n v="2792.624"/>
        <n v="2800.819"/>
        <n v="2806.8098"/>
        <n v="2807.23"/>
        <n v="2808.0542"/>
        <n v="2811.1926"/>
        <n v="2811.4087"/>
        <n v="2814.5886"/>
        <n v="2815.8206"/>
        <n v="2818.649"/>
        <n v="2820.785"/>
        <n v="2822.114"/>
        <n v="2822.868"/>
        <n v="2832.8613"/>
        <n v="2834.5745"/>
        <n v="2835.2449"/>
        <n v="2836.6448"/>
        <n v="2837.533"/>
        <n v="2837.7178"/>
        <n v="2838.0664"/>
        <n v="2848.7712"/>
        <n v="2848.836"/>
        <n v="2849.3943"/>
        <n v="2852.7375"/>
        <n v="2852.886"/>
        <n v="2852.8955"/>
        <n v="2854.354"/>
        <n v="2855.1565"/>
        <n v="2863.0908"/>
        <n v="2863.8213"/>
        <n v="2863.8398"/>
        <n v="2863.9734"/>
        <n v="2865.785"/>
        <n v="2866.8633"/>
        <n v="2866.8792"/>
        <n v="2868.1602"/>
        <n v="2868.956"/>
        <n v="2869.8254"/>
        <n v="2873.5806"/>
        <n v="2875.8772"/>
        <n v="2879.2422"/>
        <n v="2882.3733"/>
        <n v="2882.8687"/>
        <n v="2883.1772"/>
        <n v="2885.701"/>
        <n v="2886.7866"/>
        <n v="2886.9365"/>
        <n v="2887.03"/>
        <n v="2888.184"/>
        <n v="2888.316"/>
        <n v="2890.74"/>
        <n v="2893.7815"/>
        <n v="2894.7888"/>
        <n v="2896.2817"/>
        <n v="2898.561"/>
        <n v="2901.7805"/>
        <n v="2902.552"/>
        <n v="2905.9036"/>
        <n v="2910.0034"/>
        <n v="2911.4275"/>
        <n v="2913.6123"/>
        <n v="2914.2588"/>
        <n v="2914.8286"/>
        <n v="2915.573"/>
        <n v="2916.7993"/>
        <n v="2917.733"/>
        <n v="2919.1504"/>
        <n v="2919.6086"/>
        <n v="2919.8728"/>
        <n v="2920.381"/>
        <n v="2924.661"/>
        <n v="2925.2793"/>
        <n v="2925.3691"/>
        <n v="2926.469"/>
        <n v="2928.1833"/>
        <n v="2928.6658"/>
        <n v="2929.7341"/>
        <n v="2931.315"/>
        <n v="2932.0022"/>
        <n v="2932.4976"/>
        <n v="2932.5127"/>
        <n v="2937.357"/>
        <n v="2940.0825"/>
        <n v="2940.896"/>
        <n v="2942.957"/>
        <n v="2943.564"/>
        <n v="2944.6326"/>
        <n v="2945.8557"/>
        <n v="2947.4014"/>
        <n v="2950.522"/>
        <n v="2952.2068"/>
        <n v="2952.8743"/>
        <n v="2954.2744"/>
        <n v="2955.464"/>
        <n v="2957.6902"/>
        <n v="2958.908"/>
        <n v="2959.3618"/>
        <n v="2963.3743"/>
        <n v="2963.4949"/>
        <n v="2963.8374"/>
        <n v="2967.7563"/>
        <n v="2968.3809"/>
        <n v="2968.7686"/>
        <n v="2968.9106"/>
        <n v="2968.9744"/>
        <n v="2970.7527"/>
        <n v="2971.1077"/>
        <n v="2971.69"/>
        <n v="2973.951"/>
        <n v="2976.6218"/>
        <n v="2978.7566"/>
        <n v="2987.7195"/>
        <n v="2993.3027"/>
        <n v="2995.4365"/>
        <n v="2995.47"/>
        <n v="2996.457"/>
        <n v="2999.5603"/>
        <n v="2999.6667"/>
        <n v="3001.8767"/>
        <n v="3004.1716"/>
        <n v="3007.3672"/>
        <n v="3010.6267"/>
        <n v="3013.961"/>
        <n v="3017.5916"/>
        <n v="3018.6736"/>
        <n v="3019.5464"/>
        <n v="3020.051"/>
        <n v="3021.6116"/>
        <n v="3023.7444"/>
        <n v="3027.5813"/>
        <n v="3028.2793"/>
        <n v="3031.063"/>
        <n v="3033.558"/>
        <n v="3033.7683"/>
        <n v="3037.8186"/>
        <n v="3038.0076"/>
        <n v="3038.6846"/>
        <n v="3039.9468"/>
        <n v="3042.3242"/>
        <n v="3044.3965"/>
        <n v="3044.8926"/>
        <n v="3049.0847"/>
        <n v="3050.0195"/>
        <n v="3052.8726"/>
        <n v="3060.976"/>
        <n v="3061.5464"/>
        <n v="3063.8145"/>
        <n v="3064.4592"/>
        <n v="3069.4165"/>
        <n v="3077.2837"/>
        <n v="3077.946"/>
        <n v="3083.5852"/>
        <n v="3085.167"/>
        <n v="3088.135"/>
        <n v="3094.5684"/>
        <n v="3096.2354"/>
        <n v="3096.288"/>
        <n v="3099.8762"/>
        <n v="3102.5593"/>
        <n v="3103.677"/>
        <n v="3108.311"/>
        <n v="3108.756"/>
        <n v="3110.7935"/>
        <n v="3117.1455"/>
        <n v="3121.232"/>
        <n v="3123.9019"/>
        <n v="3124.9153"/>
        <n v="3125.5068"/>
        <n v="3128.6572"/>
        <n v="3129.684"/>
        <n v="3131.0527"/>
        <n v="3133.1646"/>
        <n v="3133.5542"/>
        <n v="3137.7664"/>
        <n v="3139.2756"/>
        <n v="3139.508"/>
        <n v="3140.0872"/>
        <n v="3144.6667"/>
        <n v="3148.9868"/>
        <n v="3149.593"/>
        <n v="3152.0046"/>
        <n v="3155.9373"/>
        <n v="3158.5186"/>
        <n v="3169.9604"/>
        <n v="3176.21"/>
        <n v="3181.092"/>
        <n v="3187.191"/>
        <n v="3187.9868"/>
        <n v="3189.9355"/>
        <n v="3192.3015"/>
        <n v="3195.2383"/>
        <n v="3196.998"/>
        <n v="3197.3628"/>
        <n v="3199.4548"/>
        <n v="3200.026"/>
        <n v="3200.6426"/>
        <n v="3200.858"/>
        <n v="3203.0425"/>
        <n v="3204.2676"/>
        <n v="3204.471"/>
        <n v="3205.0903"/>
        <n v="3205.376"/>
        <n v="3208.7173"/>
        <n v="3208.7632"/>
        <n v="3211.3994"/>
        <n v="3212.6091"/>
        <n v="3215.0598"/>
        <n v="3217.9045"/>
        <n v="3221.5747"/>
        <n v="3223.226"/>
        <n v="3224.7156"/>
        <n v="3225.484"/>
        <n v="3226.8396"/>
        <n v="3231.9216"/>
        <n v="3235.8066"/>
        <n v="3236.676"/>
        <n v="3244.0225"/>
        <n v="3245.3962"/>
        <n v="3245.7412"/>
        <n v="3245.8179"/>
        <n v="3249.0308"/>
        <n v="3249.43"/>
        <n v="3249.9968"/>
        <n v="3250.2437"/>
        <n v="3250.6882"/>
        <n v="3257.9033"/>
        <n v="3260.1199"/>
        <n v="3261.0752"/>
        <n v="3263.3418"/>
        <n v="3266.7407"/>
        <n v="3266.7805"/>
        <n v="3268.0398"/>
        <n v="3268.1084"/>
        <n v="3268.9485"/>
        <n v="3270.3298"/>
        <n v="3274.7002"/>
        <n v="3275.4463"/>
        <n v="3275.5022"/>
        <n v="3275.757"/>
        <n v="3277.7612"/>
        <n v="3278.8967"/>
        <n v="3280.8406"/>
        <n v="3282.5713"/>
        <n v="3282.5715"/>
        <n v="3283.9172"/>
        <n v="3286.3223"/>
        <n v="3287.0186"/>
        <n v="3295.7524"/>
        <n v="3297.083"/>
        <n v="3297.1675"/>
        <n v="3298.3606"/>
        <n v="3298.733"/>
        <n v="3299.5977"/>
        <n v="3300.2317"/>
        <n v="3301.447"/>
        <n v="3301.7007"/>
        <n v="3303.0022"/>
        <n v="3303.4807"/>
        <n v="3309.3076"/>
        <n v="3313.1604"/>
        <n v="3313.448"/>
        <n v="3315.6091"/>
        <n v="3316.9656"/>
        <n v="3321.4585"/>
        <n v="3325.6575"/>
        <n v="3328.0093"/>
        <n v="3330.9895"/>
        <n v="3333.3657"/>
        <n v="3340.6677"/>
        <n v="3341.107"/>
        <n v="3341.1992"/>
        <n v="3347.1255"/>
        <n v="3347.3594"/>
        <n v="3350.9346"/>
        <n v="3357.554"/>
        <n v="3357.6943"/>
        <n v="3358.4768"/>
        <n v="3361.599"/>
        <n v="3366.198"/>
        <n v="3366.5054"/>
        <n v="3369.3481"/>
        <n v="3370.3855"/>
        <n v="3373.0498"/>
        <n v="3374.9333"/>
        <n v="3376.557"/>
        <n v="3378.6865"/>
        <n v="3382.1226"/>
        <n v="3388.566"/>
        <n v="3388.7642"/>
        <n v="3390.2366"/>
        <n v="3390.3079"/>
        <n v="3397.5146"/>
        <n v="3399.8564"/>
        <n v="3400.3916"/>
        <n v="3402.141"/>
        <n v="3403.2148"/>
        <n v="3405.5999"/>
        <n v="3406.8403"/>
        <n v="3414.254"/>
        <n v="3414.2634"/>
        <n v="3415.7688"/>
        <n v="3416.5312"/>
        <n v="3416.7866"/>
        <n v="3419.7034"/>
        <n v="3420.664"/>
        <n v="3422.073"/>
        <n v="3426.7012"/>
        <n v="3428.3499"/>
        <n v="3430.8613"/>
        <n v="3435.8167"/>
        <n v="3436.2827"/>
        <n v="3436.5632"/>
        <n v="3438.836"/>
        <n v="3440.4883"/>
        <n v="3441.5466"/>
        <n v="3444.2815"/>
        <n v="3446.6946"/>
        <n v="3447.8113"/>
        <n v="3449.6936"/>
        <n v="3450.4475"/>
        <n v="3451.4683"/>
        <n v="3452.9734"/>
        <n v="3458.4067"/>
        <n v="3458.8792"/>
        <n v="3460.377"/>
        <n v="3465.2234"/>
        <n v="3468.9578"/>
        <n v="3468.9956"/>
        <n v="3470.717"/>
        <n v="3474.4766"/>
        <n v="3475.912"/>
        <n v="3477.782"/>
        <n v="3488.2104"/>
        <n v="3490.7937"/>
        <n v="3491.0627"/>
        <n v="3492.3977"/>
        <n v="3493.6526"/>
        <n v="3495.7808"/>
        <n v="3497.1821"/>
        <n v="3497.7622"/>
        <n v="3499.4075"/>
        <n v="3500.5625"/>
        <n v="3500.822"/>
        <n v="3501.6765"/>
        <n v="3502.8477"/>
        <n v="3505.4158"/>
        <n v="3507.4995"/>
        <n v="3512.634"/>
        <n v="3513.199"/>
        <n v="3513.4697"/>
        <n v="3518.621"/>
        <n v="3520.0725"/>
        <n v="3520.2522"/>
        <n v="3523.339"/>
        <n v="3523.6506"/>
        <n v="3523.8645"/>
        <n v="3524.818"/>
        <n v="3525.1406"/>
        <n v="3525.8801"/>
        <n v="3526.4526"/>
        <n v="3526.523"/>
        <n v="3528.341"/>
        <n v="3529.237"/>
        <n v="3529.4275"/>
        <n v="3533.9648"/>
        <n v="3534.4348"/>
        <n v="3534.5298"/>
        <n v="3535.9653"/>
        <n v="3536.8489"/>
        <n v="3543.4634"/>
        <n v="3544.6206"/>
        <n v="3548.6726"/>
        <n v="3551.2854"/>
        <n v="3554.724"/>
        <n v="3560.1216"/>
        <n v="3562.3457"/>
        <n v="3566.81"/>
        <n v="3570.166"/>
        <n v="3573.513"/>
        <n v="3574.008"/>
        <n v="3574.803"/>
        <n v="3575.069"/>
        <n v="3576.172"/>
        <n v="3576.3506"/>
        <n v="3576.4956"/>
        <n v="3576.7861"/>
        <n v="3578.9443"/>
        <n v="3581.3843"/>
        <n v="3593.7134"/>
        <n v="3596.085"/>
        <n v="3598.7896"/>
        <n v="3600.087"/>
        <n v="3601.1172"/>
        <n v="3602.2375"/>
        <n v="3604.5461"/>
        <n v="3609.5608"/>
        <n v="3613.8635"/>
        <n v="3614.4912"/>
        <n v="3622.1511"/>
        <n v="3623.1885"/>
        <n v="3623.9148"/>
        <n v="3625.8813"/>
        <n v="3629.009"/>
        <n v="3629.5684"/>
        <n v="3630.9739"/>
        <n v="3633.2524"/>
        <n v="3641.6506"/>
        <n v="3643.8806"/>
        <n v="3644.7354"/>
        <n v="3645.332"/>
        <n v="3648.8696"/>
        <n v="3649.906"/>
        <n v="3651.3667"/>
        <n v="3652.4143"/>
        <n v="3654.4463"/>
        <n v="3654.7693"/>
        <n v="3655.377"/>
        <n v="3659.2952"/>
        <n v="3659.5715"/>
        <n v="3660.6968"/>
        <n v="3665.839"/>
        <n v="3666.203"/>
        <n v="3666.6138"/>
        <n v="3667.3208"/>
        <n v="3667.6323"/>
        <n v="3669.8105"/>
        <n v="3671.884"/>
        <n v="3675.1497"/>
        <n v="3675.7173"/>
        <n v="3676.4543"/>
        <n v="3676.9268"/>
        <n v="3678.6887"/>
        <n v="3681.0034"/>
        <n v="3682.0781"/>
        <n v="3682.2595"/>
        <n v="3682.9705"/>
        <n v="3686.893"/>
        <n v="3689.7063"/>
        <n v="3692.7239"/>
        <n v="3694.5332"/>
        <n v="3699.405"/>
        <n v="3700.0437"/>
        <n v="3701.9966"/>
        <n v="3704.7266"/>
        <n v="3710.2412"/>
        <n v="3711.401"/>
        <n v="3711.9766"/>
        <n v="3713.1807"/>
        <n v="3713.5984"/>
        <n v="3715.5227"/>
        <n v="3718.941"/>
        <n v="3719.9275"/>
        <n v="3721.821"/>
        <n v="3723.0173"/>
        <n v="3723.3376"/>
        <n v="3725.8135"/>
        <n v="3725.9846"/>
        <n v="3727.731"/>
        <n v="3732.0986"/>
        <n v="3733.2595"/>
        <n v="3733.3262"/>
        <n v="3735.174"/>
        <n v="3735.4343"/>
        <n v="3735.4937"/>
        <n v="3736.276"/>
        <n v="3736.3213"/>
        <n v="3737.2583"/>
        <n v="3738.0718"/>
        <n v="3738.69"/>
        <n v="3739.2468"/>
        <n v="3739.3152"/>
        <n v="3744.198"/>
        <n v="3744.6978"/>
        <n v="3746.7563"/>
        <n v="3746.9573"/>
        <n v="3748.036"/>
        <n v="3751.4927"/>
        <n v="3752.9543"/>
        <n v="3753.0251"/>
        <n v="3754.7764"/>
        <n v="3765.3594"/>
        <n v="3768.3125"/>
        <n v="3773.1501"/>
        <n v="3773.703"/>
        <n v="3775.4465"/>
        <n v="3779.0012"/>
        <n v="3780.9604"/>
        <n v="3781.1533"/>
        <n v="3783.7686"/>
        <n v="3784.8696"/>
        <n v="3787.6953"/>
        <n v="3789.3494"/>
        <n v="3789.5098"/>
        <n v="3792.2544"/>
        <n v="3794.3901"/>
        <n v="3794.8552"/>
        <n v="3795.014"/>
        <n v="3797.2205"/>
        <n v="3798.2673"/>
        <n v="3800.5977"/>
        <n v="3805.8127"/>
        <n v="3806.5586"/>
        <n v="3811.7117"/>
        <n v="3812.3499"/>
        <n v="3813.5183"/>
        <n v="3816.5125"/>
        <n v="3819.5557"/>
        <n v="3819.9983"/>
        <n v="3820.0225"/>
        <n v="3820.2944"/>
        <n v="3821.0022"/>
        <n v="3822.7468"/>
        <n v="3825.0486"/>
        <n v="3827.949"/>
        <n v="3828.255"/>
        <n v="3828.3464"/>
        <n v="3832.3037"/>
        <n v="3835.5415"/>
        <n v="3836.618"/>
        <n v="3837.3022"/>
        <n v="3840.7954"/>
        <n v="3841.4219"/>
        <n v="3845.1257"/>
        <n v="3845.313"/>
        <n v="3848.1704"/>
        <n v="3849.9128"/>
        <n v="3851.428"/>
        <n v="3852.705"/>
        <n v="3852.95"/>
        <n v="3853.0088"/>
        <n v="3856.683"/>
        <n v="3857.942"/>
        <n v="3860.956"/>
        <n v="3861.8176"/>
        <n v="3863.5571"/>
        <n v="3867.4756"/>
        <n v="3868.4058"/>
        <n v="3868.4514"/>
        <n v="3869.532"/>
        <n v="3872.5903"/>
        <n v="3875.0732"/>
        <n v="3879.5535"/>
        <n v="3880.227"/>
        <n v="3880.8967"/>
        <n v="3883.9229"/>
        <n v="3886.2554"/>
        <n v="3888.098"/>
        <n v="3891.725"/>
        <n v="3892.4265"/>
        <n v="3893.9556"/>
        <n v="3894.2317"/>
        <n v="3895.3457"/>
        <n v="3897.0745"/>
        <n v="3897.89"/>
        <n v="3901.759"/>
        <n v="3901.859"/>
        <n v="3903.6702"/>
        <n v="3906.4688"/>
        <n v="3906.696"/>
        <n v="3909.1226"/>
        <n v="3919.6494"/>
        <n v="3921.1033"/>
        <n v="3924.2769"/>
        <n v="3925.5605"/>
        <n v="3925.8162"/>
        <n v="3926.3542"/>
        <n v="3926.5698"/>
        <n v="3929.5085"/>
        <n v="3930.6648"/>
        <n v="3935.2732"/>
        <n v="3937.3733"/>
        <n v="3939.4976"/>
        <n v="3940.13"/>
        <n v="3941.673"/>
        <n v="3942.0881"/>
        <n v="3948.7869"/>
        <n v="3951.1157"/>
        <n v="3951.213"/>
        <n v="3951.306"/>
        <n v="3954.1267"/>
        <n v="3958.8467"/>
        <n v="3962.8977"/>
        <n v="3964.0942"/>
        <n v="3965.3333"/>
        <n v="3965.9856"/>
        <n v="3966.4412"/>
        <n v="3967.81"/>
        <n v="3970.3574"/>
        <n v="3973.0571"/>
        <n v="3976.164"/>
        <n v="3976.2493"/>
        <n v="3979.005"/>
        <n v="3980.5713"/>
        <n v="3982.7788"/>
        <n v="3986.5474"/>
        <n v="3987.4219"/>
        <n v="3989.3137"/>
        <n v="3990.2522"/>
        <n v="3992.8289"/>
        <n v="3993.7844"/>
        <n v="3996.467"/>
        <n v="3999.6335"/>
        <n v="4001.062"/>
        <n v="4006.238"/>
        <n v="4008.5674"/>
        <n v="4008.9631"/>
        <n v="4011.8901"/>
        <n v="4012.839"/>
        <n v="4014.401"/>
        <n v="4016.646"/>
        <n v="4018.7576"/>
        <n v="4025.4543"/>
        <n v="4026.6707"/>
        <n v="4029.3682"/>
        <n v="4034.242"/>
        <n v="4034.8708"/>
        <n v="4038.7275"/>
        <n v="4040.662"/>
        <n v="4040.9817"/>
        <n v="4041.5945"/>
        <n v="4043.9607"/>
        <n v="4045.3796"/>
        <n v="4046.437"/>
        <n v="4046.6677"/>
        <n v="4048.837"/>
        <n v="4051.0994"/>
        <n v="4054.8396"/>
        <n v="4055.5212"/>
        <n v="4055.8464"/>
        <n v="4057.5361"/>
        <n v="4059.237"/>
        <n v="4060.8767"/>
        <n v="4064.3193"/>
        <n v="4064.3293"/>
        <n v="4067.8682"/>
        <n v="4069.627"/>
        <n v="4070.336"/>
        <n v="4071.8533"/>
        <n v="4072.689"/>
        <n v="4076.1177"/>
        <n v="4077.2712"/>
        <n v="4078.7817"/>
        <n v="4085.7559"/>
        <n v="4088.3774"/>
        <n v="4088.641"/>
        <n v="4091.2522"/>
        <n v="4091.646"/>
        <n v="4094.406"/>
        <n v="4097.1553"/>
        <n v="4104.582"/>
        <n v="4109.0586"/>
        <n v="4113.713"/>
        <n v="4115.6045"/>
        <n v="4115.97"/>
        <n v="4117.452"/>
        <n v="4119.104"/>
        <n v="4122.649"/>
        <n v="4123.855"/>
        <n v="4124.711"/>
        <n v="4126.212"/>
        <n v="4126.7007"/>
        <n v="4129.9004"/>
        <n v="4132.692"/>
        <n v="4137.109"/>
        <n v="4138.9336"/>
        <n v="4146.877"/>
        <n v="4149.3994"/>
        <n v="4150.382"/>
        <n v="4151.092"/>
        <n v="4154.551"/>
        <n v="4155.432"/>
        <n v="4155.9307"/>
        <n v="4158.18"/>
        <n v="4159.187"/>
        <n v="4159.3027"/>
        <n v="4159.798"/>
        <n v="4163.8096"/>
        <n v="4164.137"/>
        <n v="4168.1694"/>
        <n v="4168.957"/>
        <n v="4169.636"/>
        <n v="4170.1475"/>
        <n v="4174.063"/>
        <n v="4180.972"/>
        <n v="4184.8633"/>
        <n v="4185.7056"/>
        <n v="4186.8447"/>
        <n v="4189.353"/>
        <n v="4191.2324"/>
        <n v="4194.635"/>
        <n v="4195.4614"/>
        <n v="4196.2305"/>
        <n v="4200.2466"/>
        <n v="4201.835"/>
        <n v="4202.9556"/>
        <n v="4204.9927"/>
        <n v="4208.5464"/>
        <n v="4208.7207"/>
        <n v="4211.655"/>
        <n v="4211.8623"/>
        <n v="4212.7314"/>
        <n v="4213.9717"/>
        <n v="4219.7666"/>
        <n v="4222.3413"/>
        <n v="4222.6963"/>
        <n v="4227.3237"/>
        <n v="4234.5493"/>
        <n v="4240.2163"/>
        <n v="4241.0576"/>
        <n v="4246.068"/>
        <n v="4248.167"/>
        <n v="4258.786"/>
        <n v="4266.212"/>
        <n v="4266.688"/>
        <n v="4277.887"/>
        <n v="4280.9043"/>
        <n v="4281.875"/>
        <n v="4283.1255"/>
        <n v="4284.8154"/>
        <n v="4285.632"/>
        <n v="4291.642"/>
        <n v="4295.096"/>
        <n v="4295.3496"/>
        <n v="4302.4175"/>
        <n v="4305.059"/>
        <n v="4305.685"/>
        <n v="4308.0225"/>
        <n v="4308.261"/>
        <n v="4310.851"/>
        <n v="4312.1895"/>
        <n v="4314.0815"/>
        <n v="4315.246"/>
        <n v="4316.096"/>
        <n v="4320.322"/>
        <n v="4322.205"/>
        <n v="4323.615"/>
        <n v="4325.86"/>
        <n v="4330.922"/>
        <n v="4332.3696"/>
        <n v="4334.024"/>
        <n v="4340.979"/>
        <n v="4341.9536"/>
        <n v="4348.9785"/>
        <n v="4351.527"/>
        <n v="4351.8525"/>
        <n v="4353.1133"/>
        <n v="4359.2583"/>
        <n v="4360.944"/>
        <n v="4362.3506"/>
        <n v="4364.1562"/>
        <n v="4365.9756"/>
        <n v="4366.5103"/>
        <n v="4368.4062"/>
        <n v="4369.251"/>
        <n v="4379.4663"/>
        <n v="4382.2627"/>
        <n v="4387.4043"/>
        <n v="4391.9185"/>
        <n v="4416.757"/>
        <n v="4418.712"/>
        <n v="4425.3394"/>
        <n v="4425.8965"/>
        <n v="4427.5874"/>
        <n v="4433.0596"/>
        <n v="4434.7007"/>
        <n v="4438.1904"/>
        <n v="4438.663"/>
        <n v="4439.3374"/>
        <n v="4442.162"/>
        <n v="4443.443"/>
        <n v="4443.6245"/>
        <n v="4446.222"/>
        <n v="4447.322"/>
        <n v="4447.9233"/>
        <n v="4448.154"/>
        <n v="4449.1196"/>
        <n v="4463.182"/>
        <n v="4463.4565"/>
        <n v="4466.1665"/>
        <n v="4468.6333"/>
        <n v="4472.8438"/>
        <n v="4481.233"/>
        <n v="4481.345"/>
        <n v="4484.0176"/>
        <n v="4485.2397"/>
        <n v="4487.514"/>
        <n v="4488.539"/>
        <n v="4489.9043"/>
        <n v="4489.9116"/>
        <n v="4494.408"/>
        <n v="4499.187"/>
        <n v="4499.5938"/>
        <n v="4501.5376"/>
        <n v="4502.232"/>
        <n v="4512.1777"/>
        <n v="4515.116"/>
        <n v="4518.136"/>
        <n v="4519.517"/>
        <n v="4519.6836"/>
        <n v="4521.7285"/>
        <n v="4535.1655"/>
        <n v="4539.6016"/>
        <n v="4540.366"/>
        <n v="4542.3394"/>
        <n v="4543.8037"/>
        <n v="4546.9727"/>
        <n v="4549.7163"/>
        <n v="4555.6895"/>
        <n v="4557.0127"/>
        <n v="4557.805"/>
        <n v="4563.8975"/>
        <n v="4564.458"/>
        <n v="4567.6025"/>
        <n v="4578.2295"/>
        <n v="4578.7373"/>
        <n v="4588.026"/>
        <n v="4589.044"/>
        <n v="4589.664"/>
        <n v="4595.1904"/>
        <n v="4596.231"/>
        <n v="4596.3345"/>
        <n v="4610.6323"/>
        <n v="4612.663"/>
        <n v="4613.0986"/>
        <n v="4613.37"/>
        <n v="4618.1973"/>
        <n v="4623.448"/>
        <n v="4627.3115"/>
        <n v="4630.02"/>
        <n v="4632.2866"/>
        <n v="4632.589"/>
        <n v="4633.6465"/>
        <n v="4636.6006"/>
        <n v="4636.9946"/>
        <n v="4638.998"/>
        <n v="4640.8735"/>
        <n v="4644.7427"/>
        <n v="4646.2295"/>
        <n v="4646.535"/>
        <n v="4646.6665"/>
        <n v="4656.814"/>
        <n v="4666.238"/>
        <n v="4666.435"/>
        <n v="4670.7305"/>
        <n v="4671.701"/>
        <n v="4678.907"/>
        <n v="4682.7437"/>
        <n v="4691.0767"/>
        <n v="4693.6655"/>
        <n v="4697.8066"/>
        <n v="4703.767"/>
        <n v="4710.338"/>
        <n v="4718.639"/>
        <n v="4726.4663"/>
        <n v="4726.4937"/>
        <n v="4727.0215"/>
        <n v="4728.524"/>
        <n v="4731.3857"/>
        <n v="4732.4062"/>
        <n v="4733.1055"/>
        <n v="4736.8037"/>
        <n v="4745.2954"/>
        <n v="4753.302"/>
        <n v="4755.9326"/>
        <n v="4757.27"/>
        <n v="4760.158"/>
        <n v="4765.927"/>
        <n v="4766.4756"/>
        <n v="4766.5405"/>
        <n v="4769.782"/>
        <n v="4773.048"/>
        <n v="4775.7393"/>
        <n v="4775.8374"/>
        <n v="4776.9985"/>
        <n v="4780.3857"/>
        <n v="4788.0347"/>
        <n v="4788.2944"/>
        <n v="4789.334"/>
        <n v="4794.315"/>
        <n v="4794.468"/>
        <n v="4801.6963"/>
        <n v="4808.486"/>
        <n v="4815.756"/>
        <n v="4816.1064"/>
        <n v="4818.661"/>
        <n v="4818.978"/>
        <n v="4822.999"/>
        <n v="4823.377"/>
        <n v="4824.579"/>
        <n v="4824.987"/>
        <n v="4825.733"/>
        <n v="4825.9023"/>
        <n v="4826.2847"/>
        <n v="4829.8726"/>
        <n v="4833.146"/>
        <n v="4833.4243"/>
        <n v="4835.0137"/>
        <n v="4837.8667"/>
        <n v="4840.9224"/>
        <n v="4845.4697"/>
        <n v="4846.3823"/>
        <n v="4847.401"/>
        <n v="4847.5273"/>
        <n v="4849.7026"/>
        <n v="4856.928"/>
        <n v="4857.171"/>
        <n v="4863.4697"/>
        <n v="4864.8853"/>
        <n v="4867.9834"/>
        <n v="4870.133"/>
        <n v="4884.6445"/>
        <n v="4890.275"/>
        <n v="4890.3843"/>
        <n v="4891.755"/>
        <n v="4895.2725"/>
        <n v="4897.4917"/>
        <n v="4903.7065"/>
        <n v="4905.252"/>
        <n v="4918.5747"/>
        <n v="4920.173"/>
        <n v="4920.4414"/>
        <n v="4920.676"/>
        <n v="4924.4"/>
        <n v="4925.6006"/>
        <n v="4926.1826"/>
        <n v="4926.4897"/>
        <n v="4928.077"/>
        <n v="4934.007"/>
        <n v="4938.754"/>
        <n v="4938.8457"/>
        <n v="4942.187"/>
        <n v="4942.726"/>
        <n v="4946.575"/>
        <n v="4950.349"/>
        <n v="4955.524"/>
        <n v="4956.9873"/>
        <n v="4957.0356"/>
        <n v="4958.9194"/>
        <n v="4967.972"/>
        <n v="4968.615"/>
        <n v="4971.9756"/>
        <n v="4973.3286"/>
        <n v="4975.0747"/>
        <n v="4976.0396"/>
        <n v="4981.5977"/>
        <n v="4983.729"/>
        <n v="4991.7646"/>
        <n v="4993.92"/>
        <n v="4994.091"/>
        <n v="5005.6143"/>
        <n v="5012.176"/>
        <n v="5012.311"/>
        <n v="5015.1357"/>
        <n v="5017.7573"/>
        <n v="5018.302"/>
        <n v="5018.4624"/>
        <n v="5018.639"/>
        <n v="5024.517"/>
        <n v="5031.2837"/>
        <n v="5032.2246"/>
        <n v="5032.6606"/>
        <n v="5042.2227"/>
        <n v="5046.3364"/>
        <n v="5050.347"/>
        <n v="5052.0527"/>
        <n v="5056.0083"/>
        <n v="5063.3213"/>
        <n v="5064.2646"/>
        <n v="5064.2686"/>
        <n v="5065.451"/>
        <n v="5072.703"/>
        <n v="5076.3413"/>
        <n v="5077.788"/>
        <n v="5078.9175"/>
        <n v="5079.8286"/>
        <n v="5081.8726"/>
        <n v="5083.2173"/>
        <n v="5083.9565"/>
        <n v="5084.04"/>
        <n v="5091.3735"/>
        <n v="5092.5454"/>
        <n v="5093.35"/>
        <n v="5094.3237"/>
        <n v="5094.8467"/>
        <n v="5094.9917"/>
        <n v="5097.342"/>
        <n v="5107.9556"/>
        <n v="5110.4253"/>
        <n v="5113.2593"/>
        <n v="5116.3447"/>
        <n v="5117.486"/>
        <n v="5117.871"/>
        <n v="5117.8877"/>
        <n v="5125.024"/>
        <n v="5128.443"/>
        <n v="5130.574"/>
        <n v="5131.687"/>
        <n v="5133.1445"/>
        <n v="5134.85"/>
        <n v="5135.1724"/>
        <n v="5140.093"/>
        <n v="5140.1675"/>
        <n v="5141.377"/>
        <n v="5145.0933"/>
        <n v="5145.256"/>
        <n v="5149.9873"/>
        <n v="5153.893"/>
        <n v="5160.1953"/>
        <n v="5164.738"/>
        <n v="5167.503"/>
        <n v="5168.557"/>
        <n v="5168.5806"/>
        <n v="5174.252"/>
        <n v="5180.9316"/>
        <n v="5183.192"/>
        <n v="5194.307"/>
        <n v="5198.566"/>
        <n v="5201.65"/>
        <n v="5207.909"/>
        <n v="5207.9155"/>
        <n v="5212.2495"/>
        <n v="5212.315"/>
        <n v="5214.554"/>
        <n v="5218.614"/>
        <n v="5221.176"/>
        <n v="5222.8955"/>
        <n v="5224.5337"/>
        <n v="5228.107"/>
        <n v="5236.0513"/>
        <n v="5241.402"/>
        <n v="5241.65"/>
        <n v="5241.977"/>
        <n v="5242.4697"/>
        <n v="5244.2207"/>
        <n v="5245.7935"/>
        <n v="5245.833"/>
        <n v="5249.3726"/>
        <n v="5258.0034"/>
        <n v="5259.7417"/>
        <n v="5269.2827"/>
        <n v="5270.7"/>
        <n v="5281.35"/>
        <n v="5283.5664"/>
        <n v="5285.355"/>
        <n v="5289.0854"/>
        <n v="5295.963"/>
        <n v="5297.5654"/>
        <n v="5301.3315"/>
        <n v="5302.5776"/>
        <n v="5303.287"/>
        <n v="5309.029"/>
        <n v="5309.2363"/>
        <n v="5310.5815"/>
        <n v="5315.9385"/>
        <n v="5315.989"/>
        <n v="5317.5786"/>
        <n v="5317.8896"/>
        <n v="5318.6177"/>
        <n v="5322.5103"/>
        <n v="5322.644"/>
        <n v="5333.09"/>
        <n v="5334.562"/>
        <n v="5338.6006"/>
        <n v="5339.535"/>
        <n v="5342.9463"/>
        <n v="5343.6074"/>
        <n v="5351.0635"/>
        <n v="5354.0044"/>
        <n v="5354.9756"/>
        <n v="5358.0234"/>
        <n v="5361.4478"/>
        <n v="5363.672"/>
        <n v="5364.354"/>
        <n v="5370.499"/>
        <n v="5372.242"/>
        <n v="5373.2783"/>
        <n v="5378.08"/>
        <n v="5378.4087"/>
        <n v="5379.1484"/>
        <n v="5381.158"/>
        <n v="5383.605"/>
        <n v="5385.433"/>
        <n v="5388.6553"/>
        <n v="5389.276"/>
        <n v="5389.5215"/>
        <n v="5392.4785"/>
        <n v="5396.205"/>
        <n v="5399.6753"/>
        <n v="5400.1235"/>
        <n v="5400.5156"/>
        <n v="5402.4326"/>
        <n v="5403.8467"/>
        <n v="5407.932"/>
        <n v="5409.993"/>
        <n v="5421.8296"/>
        <n v="5423.2217"/>
        <n v="5428.8623"/>
        <n v="5430.201"/>
        <n v="5430.461"/>
        <n v="5434.57"/>
        <n v="5436.1074"/>
        <n v="5442.0664"/>
        <n v="5442.6567"/>
        <n v="5442.877"/>
        <n v="5447.936"/>
        <n v="5450.198"/>
        <n v="5453.0576"/>
        <n v="5453.8867"/>
        <n v="5456.536"/>
        <n v="5457.378"/>
        <n v="5458.563"/>
        <n v="5461.989"/>
        <n v="5465.637"/>
        <n v="5465.904"/>
        <n v="5472.9365"/>
        <n v="5474.113"/>
        <n v="5477.076"/>
        <n v="5482.171"/>
        <n v="5492.21"/>
        <n v="5495.084"/>
        <n v="5498.1772"/>
        <n v="5499.0747"/>
        <n v="5503.3955"/>
        <n v="5504.1255"/>
        <n v="5509.608"/>
        <n v="5513.8105"/>
        <n v="5514.515"/>
        <n v="5516.434"/>
        <n v="5519.3306"/>
        <n v="5520.0566"/>
        <n v="5521.928"/>
        <n v="5523.3066"/>
        <n v="5523.4155"/>
        <n v="5526.437"/>
        <n v="5529.957"/>
        <n v="5530.579"/>
        <n v="5535.625"/>
        <n v="5538.5996"/>
        <n v="5542.9595"/>
        <n v="5543.918"/>
        <n v="5544.937"/>
        <n v="5544.9727"/>
        <n v="5547.1064"/>
        <n v="5551.1475"/>
        <n v="5556.6836"/>
        <n v="5560.5615"/>
        <n v="5562.2954"/>
        <n v="5563.4443"/>
        <n v="5568.613"/>
        <n v="5569.167"/>
        <n v="5573.6016"/>
        <n v="5573.6177"/>
        <n v="5573.6895"/>
        <n v="5576.7007"/>
        <n v="5578.974"/>
        <n v="5585.262"/>
        <n v="5585.6064"/>
        <n v="5588.7954"/>
        <n v="5589.395"/>
        <n v="5597.1875"/>
        <n v="5598.5576"/>
        <n v="5600.99"/>
        <n v="5602.5947"/>
        <n v="5605.115"/>
        <n v="5606.7744"/>
        <n v="5607.811"/>
        <n v="5608.0127"/>
        <n v="5609.425"/>
        <n v="5615.732"/>
        <n v="5629.592"/>
        <n v="5629.7427"/>
        <n v="5632.6904"/>
        <n v="5637.3516"/>
        <n v="5638.822"/>
        <n v="5639.7188"/>
        <n v="5640.1235"/>
        <n v="5643.955"/>
        <n v="5647.6387"/>
        <n v="5650.8535"/>
        <n v="5662.4062"/>
        <n v="5662.862"/>
        <n v="5664.729"/>
        <n v="5665.697"/>
        <n v="5665.86"/>
        <n v="5670.4683"/>
        <n v="5675.6636"/>
        <n v="5677.9883"/>
        <n v="5682.2266"/>
        <n v="5683.7017"/>
        <n v="5688.9346"/>
        <n v="5692.5903"/>
        <n v="5696.441"/>
        <n v="5698.347"/>
        <n v="5713.62"/>
        <n v="5715.3774"/>
        <n v="5715.799"/>
        <n v="5721.644"/>
        <n v="5732.7256"/>
        <n v="5733.315"/>
        <n v="5735.5107"/>
        <n v="5736.504"/>
        <n v="5737.607"/>
        <n v="5742.0083"/>
        <n v="5751.0547"/>
        <n v="5751.8125"/>
        <n v="5755.8896"/>
        <n v="5757.4795"/>
        <n v="5759.1245"/>
        <n v="5759.6284"/>
        <n v="5759.684"/>
        <n v="5760.2065"/>
        <n v="5773.2964"/>
        <n v="5777.3794"/>
        <n v="5779.07"/>
        <n v="5781.9146"/>
        <n v="5784.6504"/>
        <n v="5805.19"/>
        <n v="5808.398"/>
        <n v="5810.0845"/>
        <n v="5810.3228"/>
        <n v="5810.674"/>
        <n v="5810.702"/>
        <n v="5813.467"/>
        <n v="5817.771"/>
        <n v="5819.7817"/>
        <n v="5820.7817"/>
        <n v="5826.4546"/>
        <n v="5832.403"/>
        <n v="5840.571"/>
        <n v="5842.2544"/>
        <n v="5845.448"/>
        <n v="5847.3154"/>
        <n v="5847.509"/>
        <n v="5849.6597"/>
        <n v="5858.189"/>
        <n v="5864.072"/>
        <n v="5864.6724"/>
        <n v="5866.989"/>
        <n v="5875.3677"/>
        <n v="5877.006"/>
        <n v="5882.3403"/>
        <n v="5883.147"/>
        <n v="5884.434"/>
        <n v="5886.2896"/>
        <n v="5889.7256"/>
        <n v="5900.538"/>
        <n v="5902.247"/>
        <n v="5905.749"/>
        <n v="5906.56"/>
        <n v="5914.4736"/>
        <n v="5916.6973"/>
        <n v="5919.414"/>
        <n v="5925.385"/>
        <n v="5929.287"/>
        <n v="5931.1436"/>
        <n v="5931.5093"/>
        <n v="5935.3423"/>
        <n v="5935.9785"/>
        <n v="5940.479"/>
        <n v="5951.2266"/>
        <n v="5952.1333"/>
        <n v="5956.6216"/>
        <n v="5960.5615"/>
        <n v="5968.8027"/>
        <n v="5970.8022"/>
        <n v="5974.5537"/>
        <n v="5979.873"/>
        <n v="5984.5786"/>
        <n v="5986.2593"/>
        <n v="5990.7676"/>
        <n v="5999.3345"/>
        <n v="6000.9116"/>
        <n v="6002.027"/>
        <n v="6007.9385"/>
        <n v="6010.0693"/>
        <n v="6010.2515"/>
        <n v="6010.3486"/>
        <n v="6010.7983"/>
        <n v="6022.1016"/>
        <n v="6022.3335"/>
        <n v="6023.754"/>
        <n v="6029.9004"/>
        <n v="6031.447"/>
        <n v="6033.0386"/>
        <n v="6033.102"/>
        <n v="6033.274"/>
        <n v="6039.8145"/>
        <n v="6045.41"/>
        <n v="6048.629"/>
        <n v="6051.055"/>
        <n v="6052.2686"/>
        <n v="6052.4414"/>
        <n v="6054.305"/>
        <n v="6056.506"/>
        <n v="6057.84"/>
        <n v="6059.8916"/>
        <n v="6061.115"/>
        <n v="6062.317"/>
        <n v="6064.011"/>
        <n v="6072.122"/>
        <n v="6074.138"/>
        <n v="6074.228"/>
        <n v="6076.7983"/>
        <n v="6079.9126"/>
        <n v="6081.8115"/>
        <n v="6084.004"/>
        <n v="6084.1255"/>
        <n v="6086.9614"/>
        <n v="6088.9473"/>
        <n v="6090.1875"/>
        <n v="6092.892"/>
        <n v="6099.9517"/>
        <n v="6100.0557"/>
        <n v="6101.4126"/>
        <n v="6105.7476"/>
        <n v="6106.59"/>
        <n v="6107.9785"/>
        <n v="6110.92"/>
        <n v="6111.2734"/>
        <n v="6113.334"/>
        <n v="6114.988"/>
        <n v="6116.238"/>
        <n v="6121.9565"/>
        <n v="6122.9136"/>
        <n v="6125.346"/>
        <n v="6128.2915"/>
        <n v="6128.8066"/>
        <n v="6128.847"/>
        <n v="6132.5977"/>
        <n v="6135.2427"/>
        <n v="6141.4966"/>
        <n v="6143.073"/>
        <n v="6153.4116"/>
        <n v="6155.3125"/>
        <n v="6161.6357"/>
        <n v="6166.0645"/>
        <n v="6166.6216"/>
        <n v="6166.929"/>
        <n v="6168.313"/>
        <n v="6171.5967"/>
        <n v="6177.1333"/>
        <n v="6182.257"/>
        <n v="6183.7524"/>
        <n v="6184.936"/>
        <n v="6188.3525"/>
        <n v="6189.6006"/>
        <n v="6189.895"/>
        <n v="6191.2773"/>
        <n v="6193.0796"/>
        <n v="6195.222"/>
        <n v="6195.8643"/>
        <n v="6201.645"/>
        <n v="6203.9956"/>
        <n v="6204.1597"/>
        <n v="6204.3223"/>
        <n v="6205.3613"/>
        <n v="6205.4966"/>
        <n v="6216.7456"/>
        <n v="6217.404"/>
        <n v="6217.5815"/>
        <n v="6217.7715"/>
        <n v="6218.035"/>
        <n v="6222.074"/>
        <n v="6222.106"/>
        <n v="6223.767"/>
        <n v="6225.074"/>
        <n v="6230.5674"/>
        <n v="6238.651"/>
        <n v="6241.057"/>
        <n v="6241.285"/>
        <n v="6242.2236"/>
        <n v="6244.1216"/>
        <n v="6244.624"/>
        <n v="6245.5894"/>
        <n v="6250.535"/>
        <n v="6252.654"/>
        <n v="6257.665"/>
        <n v="6258.0186"/>
        <n v="6263.1826"/>
        <n v="6263.4507"/>
        <n v="6263.6167"/>
        <n v="6267.296"/>
        <n v="6267.3047"/>
        <n v="6270.305"/>
        <n v="6277.501"/>
        <n v="6280.75"/>
        <n v="6280.88"/>
        <n v="6290.1387"/>
        <n v="6290.9043"/>
        <n v="6295.2373"/>
        <n v="6295.3696"/>
        <n v="6295.449"/>
        <n v="6297.775"/>
        <n v="6298.845"/>
        <n v="6299.828"/>
        <n v="6300.4375"/>
        <n v="6301.4595"/>
        <n v="6305.9175"/>
        <n v="6308.9395"/>
        <n v="6315.1167"/>
        <n v="6315.675"/>
        <n v="6317.2905"/>
        <n v="6320.4097"/>
        <n v="6330.0977"/>
        <n v="6331.773"/>
        <n v="6331.921"/>
        <n v="6335.132"/>
        <n v="6336.94"/>
        <n v="6342.0986"/>
        <n v="6347.6133"/>
        <n v="6359.7583"/>
        <n v="6367.5864"/>
        <n v="6374.3105"/>
        <n v="6376.3755"/>
        <n v="6378.668"/>
        <n v="6378.6836"/>
        <n v="6379.866"/>
        <n v="6383.7065"/>
        <n v="6392.212"/>
        <n v="6394.794"/>
        <n v="6399.1836"/>
        <n v="6399.915"/>
        <n v="6400.3726"/>
        <n v="6403.1343"/>
        <n v="6405.87"/>
        <n v="6413.819"/>
        <n v="6415.6206"/>
        <n v="6421.473"/>
        <n v="6421.8887"/>
        <n v="6423.026"/>
        <n v="6432.3057"/>
        <n v="6433.8096"/>
        <n v="6438.851"/>
        <n v="6443.433"/>
        <n v="6447.271"/>
        <n v="6447.612"/>
        <n v="6449.333"/>
        <n v="6450.6025"/>
        <n v="6452.129"/>
        <n v="6452.4487"/>
        <n v="6457.815"/>
        <n v="6459.532"/>
        <n v="6461.444"/>
        <n v="6467.2"/>
        <n v="6477.0215"/>
        <n v="6489.7485"/>
        <n v="6491.9067"/>
        <n v="6492.5767"/>
        <n v="6503.9316"/>
        <n v="6505.708"/>
        <n v="6508.233"/>
        <n v="6508.634"/>
        <n v="6515.5312"/>
        <n v="6516.4985"/>
        <n v="6517.6055"/>
        <n v="6520.789"/>
        <n v="6522.9756"/>
        <n v="6535.18"/>
        <n v="6540.6587"/>
        <n v="6546.554"/>
        <n v="6553.804"/>
        <n v="6556.0454"/>
        <n v="6561.337"/>
        <n v="6564.7666"/>
        <n v="6569.6787"/>
        <n v="6569.683"/>
        <n v="6588.1113"/>
        <n v="6589.4956"/>
        <n v="6599.902"/>
        <n v="6616.2646"/>
        <n v="6619.5894"/>
        <n v="6620.474"/>
        <n v="6620.7944"/>
        <n v="6629.5996"/>
        <n v="6632.96"/>
        <n v="6637.343"/>
        <n v="6637.7036"/>
        <n v="6649.0864"/>
        <n v="6653.1465"/>
        <n v="6660.077"/>
        <n v="6660.3784"/>
        <n v="6661.8354"/>
        <n v="6665.295"/>
        <n v="6666.7188"/>
        <n v="6671.544"/>
        <n v="6672.5415"/>
        <n v="6672.9873"/>
        <n v="6674.8013"/>
        <n v="6678.07"/>
        <n v="6678.178"/>
        <n v="6679.0947"/>
        <n v="6679.227"/>
        <n v="6680.594"/>
        <n v="6684.277"/>
        <n v="6684.652"/>
        <n v="6684.978"/>
        <n v="6685.4126"/>
        <n v="6685.5044"/>
        <n v="6688.36"/>
        <n v="6688.7207"/>
        <n v="6691.23"/>
        <n v="6695.265"/>
        <n v="6696.7646"/>
        <n v="6699.158"/>
        <n v="6701.3516"/>
        <n v="6704.5884"/>
        <n v="6706.148"/>
        <n v="6707.687"/>
        <n v="6708.879"/>
        <n v="6711.9897"/>
        <n v="6712.8003"/>
        <n v="6713.567"/>
        <n v="6718.596"/>
        <n v="6729.377"/>
        <n v="6735.0874"/>
        <n v="6739.9985"/>
        <n v="6745.438"/>
        <n v="6749.5312"/>
        <n v="6754.8843"/>
        <n v="6758.88"/>
        <n v="6763.3564"/>
        <n v="6766.343"/>
        <n v="6772.3584"/>
        <n v="6783.4575"/>
        <n v="6794.599"/>
        <n v="6798.687"/>
        <n v="6804.1006"/>
        <n v="6804.768"/>
        <n v="6808.6406"/>
        <n v="6814.3613"/>
        <n v="6816.1904"/>
        <n v="6822.079"/>
        <n v="6825.274"/>
        <n v="6832.0513"/>
        <n v="6833.5107"/>
        <n v="6835.4614"/>
        <n v="6838.2817"/>
        <n v="6838.798"/>
        <n v="6844.557"/>
        <n v="6852.7524"/>
        <n v="6853.3267"/>
        <n v="6855.6313"/>
        <n v="6859.222"/>
        <n v="6859.322"/>
        <n v="6859.3843"/>
        <n v="6860.06"/>
        <n v="6863.0107"/>
        <n v="6863.855"/>
        <n v="6870.065"/>
        <n v="6870.513"/>
        <n v="6872.5845"/>
        <n v="6875.813"/>
        <n v="6878.0864"/>
        <n v="6878.5938"/>
        <n v="6881.3496"/>
        <n v="6889.381"/>
        <n v="6898.8"/>
        <n v="6898.9106"/>
        <n v="6899.797"/>
        <n v="6902.57"/>
        <n v="6909.168"/>
        <n v="6911.933"/>
        <n v="6913.2734"/>
        <n v="6914.946"/>
        <n v="6916.5264"/>
        <n v="6921.8765"/>
        <n v="6926.663"/>
        <n v="6927.354"/>
        <n v="6931.21"/>
        <n v="6934.6626"/>
        <n v="6935.5737"/>
        <n v="6937.147"/>
        <n v="6937.4414"/>
        <n v="6939.5356"/>
        <n v="6944.132"/>
        <n v="6945.425"/>
        <n v="6953.273"/>
        <n v="6964.1675"/>
        <n v="6964.649"/>
        <n v="6968.941"/>
        <n v="6972.197"/>
        <n v="6982.897"/>
        <n v="6990.1973"/>
        <n v="6990.977"/>
        <n v="6991.956"/>
        <n v="6994.0986"/>
        <n v="7003.885"/>
        <n v="7017.119"/>
        <n v="7017.9653"/>
        <n v="7023.431"/>
        <n v="7033.086"/>
        <n v="7039.4976"/>
        <n v="7039.8496"/>
        <n v="7048.021"/>
        <n v="7060.5864"/>
        <n v="7071.1685"/>
        <n v="7083.414"/>
        <n v="7094.3774"/>
        <n v="7097.546"/>
        <n v="7102.826"/>
        <n v="7104.275"/>
        <n v="7115.9717"/>
        <n v="7120.436"/>
        <n v="7121.196"/>
        <n v="7122.461"/>
        <n v="7124.4316"/>
        <n v="7125.7495"/>
        <n v="7126.0596"/>
        <n v="7126.4077"/>
        <n v="7136.4707"/>
        <n v="7137.5566"/>
        <n v="7138.641"/>
        <n v="7141.9062"/>
        <n v="7147.4883"/>
        <n v="7152.977"/>
        <n v="7153.5464"/>
        <n v="7155.5312"/>
        <n v="7156.851"/>
        <n v="7157.8374"/>
        <n v="7162.7534"/>
        <n v="7164.889"/>
        <n v="7166.358"/>
        <n v="7172.2573"/>
        <n v="7177.998"/>
        <n v="7184.42"/>
        <n v="7188.687"/>
        <n v="7191.152"/>
        <n v="7191.3955"/>
        <n v="7192.553"/>
        <n v="7193.5723"/>
        <n v="7197.0493"/>
        <n v="7198.7427"/>
        <n v="7204.653"/>
        <n v="7209.875"/>
        <n v="7211.8384"/>
        <n v="7213.218"/>
        <n v="7213.592"/>
        <n v="7215.14"/>
        <n v="7218.861"/>
        <n v="7218.911"/>
        <n v="7222.4927"/>
        <n v="7226.088"/>
        <n v="7229.522"/>
        <n v="7230.8726"/>
        <n v="7235.0747"/>
        <n v="7237.88"/>
        <n v="7242.8047"/>
        <n v="7244.064"/>
        <n v="7245.1953"/>
        <n v="7248.1343"/>
        <n v="7256.829"/>
        <n v="7261.892"/>
        <n v="7284.4517"/>
        <n v="7287.0986"/>
        <n v="7287.683"/>
        <n v="7288.0923"/>
        <n v="7288.545"/>
        <n v="7290.798"/>
        <n v="7292.91"/>
        <n v="7300.6504"/>
        <n v="7301.054"/>
        <n v="7311.4556"/>
        <n v="7335.121"/>
        <n v="7335.188"/>
        <n v="7346.9404"/>
        <n v="7350.667"/>
        <n v="7353.3613"/>
        <n v="7353.772"/>
        <n v="7356.602"/>
        <n v="7358.5566"/>
        <n v="7370.7163"/>
        <n v="7372.2876"/>
        <n v="7372.4404"/>
        <n v="7373.1685"/>
        <n v="7375.9326"/>
        <n v="7381.7354"/>
        <n v="7385.741"/>
        <n v="7386.503"/>
        <n v="7386.652"/>
        <n v="7388.2344"/>
        <n v="7391.6045"/>
        <n v="7396.02"/>
        <n v="7397.4414"/>
        <n v="7403.6914"/>
        <n v="7409.634"/>
        <n v="7412.3823"/>
        <n v="7413.394"/>
        <n v="7418.7095"/>
        <n v="7419.336"/>
        <n v="7421.273"/>
        <n v="7423.481"/>
        <n v="7431.7744"/>
        <n v="7433.426"/>
        <n v="7436.644"/>
        <n v="7439.076"/>
        <n v="7439.3545"/>
        <n v="7439.6064"/>
        <n v="7441.479"/>
        <n v="7450.0195"/>
        <n v="7451.31"/>
        <n v="7460.927"/>
        <n v="7468.793"/>
        <n v="7469.3306"/>
        <n v="7469.989"/>
        <n v="7470.457"/>
        <n v="7473.803"/>
        <n v="7491.3223"/>
        <n v="7494.7505"/>
        <n v="7497.98"/>
        <n v="7503.813"/>
        <n v="7504.7373"/>
        <n v="7509.219"/>
        <n v="7514.9707"/>
        <n v="7518.793"/>
        <n v="7525.1924"/>
        <n v="7534.4546"/>
        <n v="7536.788"/>
        <n v="7539.751"/>
        <n v="7542.1963"/>
        <n v="7545.4683"/>
        <n v="7551.25"/>
        <n v="7554.4854"/>
        <n v="7554.5044"/>
        <n v="7554.851"/>
        <n v="7556.173"/>
        <n v="7558.6963"/>
        <n v="7560.656"/>
        <n v="7561.391"/>
        <n v="7561.438"/>
        <n v="7562.2686"/>
        <n v="7568.916"/>
        <n v="7570.988"/>
        <n v="7571.3906"/>
        <n v="7572.881"/>
        <n v="7576.371"/>
        <n v="7579.0283"/>
        <n v="7579.606"/>
        <n v="7582.6333"/>
        <n v="7590.5044"/>
        <n v="7592.8037"/>
        <n v="7616.677"/>
        <n v="7633.6763"/>
        <n v="7634.4316"/>
        <n v="7638.028"/>
        <n v="7642.789"/>
        <n v="7646.1675"/>
        <n v="7646.7417"/>
        <n v="7651.449"/>
        <n v="7651.543"/>
        <n v="7652.6836"/>
        <n v="7655.4966"/>
        <n v="7659.0054"/>
        <n v="7667.2837"/>
        <n v="7669.3545"/>
        <n v="7672.9023"/>
        <n v="7673.817"/>
        <n v="7676.8345"/>
        <n v="7678.588"/>
        <n v="7681.0674"/>
        <n v="7682.4595"/>
        <n v="7687.6973"/>
        <n v="7695.9297"/>
        <n v="7701.005"/>
        <n v="7708.78"/>
        <n v="7711.4033"/>
        <n v="7712.7065"/>
        <n v="7717.7236"/>
        <n v="7719.777"/>
        <n v="7727.7363"/>
        <n v="7732.148"/>
        <n v="7732.5312"/>
        <n v="7732.6597"/>
        <n v="7744.288"/>
        <n v="7744.4204"/>
        <n v="7744.864"/>
        <n v="7747.934"/>
        <n v="7752.106"/>
        <n v="7754.171"/>
        <n v="7757.7915"/>
        <n v="7758.772"/>
        <n v="7758.977"/>
        <n v="7765.4766"/>
        <n v="7766.05"/>
        <n v="7766.9336"/>
        <n v="7776.1743"/>
        <n v="7786.4272"/>
        <n v="7790.0654"/>
        <n v="7791.8643"/>
        <n v="7808.063"/>
        <n v="7808.801"/>
        <n v="7822.1074"/>
        <n v="7828.0337"/>
        <n v="7841.375"/>
        <n v="7843.717"/>
        <n v="7844.374"/>
        <n v="7844.6514"/>
        <n v="7847.2095"/>
        <n v="7848.731"/>
        <n v="7849.139"/>
        <n v="7851.9746"/>
        <n v="7854.3477"/>
        <n v="7857.137"/>
        <n v="7857.7505"/>
        <n v="7858.1035"/>
        <n v="7863.2065"/>
        <n v="7864.9"/>
        <n v="7867.423"/>
        <n v="7868.712"/>
        <n v="7871.122"/>
        <n v="7872.723"/>
        <n v="7874.202"/>
        <n v="7876.9204"/>
        <n v="7877.141"/>
        <n v="7892.4434"/>
        <n v="7898.018"/>
        <n v="7899.4336"/>
        <n v="7907.9434"/>
        <n v="7911.378"/>
        <n v="7917.2935"/>
        <n v="7922.5312"/>
        <n v="7924.9673"/>
        <n v="7932.8394"/>
        <n v="7940.0825"/>
        <n v="7942.397"/>
        <n v="7944.696"/>
        <n v="7951.008"/>
        <n v="7952.3394"/>
        <n v="7953.9756"/>
        <n v="7955.475"/>
        <n v="7961.7944"/>
        <n v="7964.552"/>
        <n v="7966.8643"/>
        <n v="7969.3877"/>
        <n v="7971.4727"/>
        <n v="7974.7246"/>
        <n v="7978.8716"/>
        <n v="7983.493"/>
        <n v="7985.0566"/>
        <n v="7993.1016"/>
        <n v="7993.6553"/>
        <n v="8000.856"/>
        <n v="8003.1733"/>
        <n v="8012.048"/>
        <n v="8018.535"/>
        <n v="8018.981"/>
        <n v="8029.1514"/>
        <n v="8030.876"/>
        <n v="8032.041"/>
        <n v="8036.1406"/>
        <n v="8042.966"/>
        <n v="8044.378"/>
        <n v="8049.3306"/>
        <n v="8053.0483"/>
        <n v="8059.646"/>
        <n v="8063.859"/>
        <n v="8071.214"/>
        <n v="8072.544"/>
        <n v="8078.1387"/>
        <n v="8079.1016"/>
        <n v="8094.9346"/>
        <n v="8095.1562"/>
        <n v="8095.7344"/>
        <n v="8095.821"/>
        <n v="8096.6724"/>
        <n v="8103.2383"/>
        <n v="8104.585"/>
        <n v="8107.2754"/>
        <n v="8111.225"/>
        <n v="8123.4478"/>
        <n v="8128.5215"/>
        <n v="8136.838"/>
        <n v="8142.4785"/>
        <n v="8143.111"/>
        <n v="8145.564"/>
        <n v="8149.4995"/>
        <n v="8164.098"/>
        <n v="8165.9404"/>
        <n v="8166.849"/>
        <n v="8167.1333"/>
        <n v="8168.0117"/>
        <n v="8168.3145"/>
        <n v="8168.556"/>
        <n v="8174.766"/>
        <n v="8175.3364"/>
        <n v="8180.4688"/>
        <n v="8181.8066"/>
        <n v="8185.475"/>
        <n v="8186.0664"/>
        <n v="8188.9277"/>
        <n v="8191.3027"/>
        <n v="8193.27"/>
        <n v="8195.28"/>
        <n v="8199.351"/>
        <n v="8203.89"/>
        <n v="8204.153"/>
        <n v="8205.284"/>
        <n v="8207.108"/>
        <n v="8210.708"/>
        <n v="8211.487"/>
        <n v="8211.828"/>
        <n v="8215.607"/>
        <n v="8216.31"/>
        <n v="8220.123"/>
        <n v="8224.294"/>
        <n v="8232.201"/>
        <n v="8235.484"/>
        <n v="8256.35"/>
        <n v="8259.244"/>
        <n v="8260.6045"/>
        <n v="8260.953"/>
        <n v="8261.616"/>
        <n v="8261.7"/>
        <n v="8265.982"/>
        <n v="8266.168"/>
        <n v="8276.188"/>
        <n v="8280.438"/>
        <n v="8291.814"/>
        <n v="8291.994"/>
        <n v="8292.746"/>
        <n v="8297.543"/>
        <n v="8300.878"/>
        <n v="8309.95"/>
        <n v="8311.842"/>
        <n v="8313.423"/>
        <n v="8315.537"/>
        <n v="8320.795"/>
        <n v="8321.011"/>
        <n v="8321.761"/>
        <n v="8326.394"/>
        <n v="8327.178"/>
        <n v="8330.702"/>
        <n v="8330.891"/>
        <n v="8331.03"/>
        <n v="8332.383"/>
        <n v="8349.961"/>
        <n v="8353.298"/>
        <n v="8354.511"/>
        <n v="8357.585"/>
        <n v="8360.745"/>
        <n v="8367.658"/>
        <n v="8367.793"/>
        <n v="8368.356"/>
        <n v="8368.374"/>
        <n v="8369.903"/>
        <n v="8370.705"/>
        <n v="8374.746"/>
        <n v="8380.237"/>
        <n v="8380.905"/>
        <n v="8383.152"/>
        <n v="8386.997"/>
        <n v="8391.752"/>
        <n v="8394.069"/>
        <n v="8395.425"/>
        <n v="8396.482"/>
        <n v="8397.651"/>
        <n v="8398.775"/>
        <n v="8401.969"/>
        <n v="8403.564"/>
        <n v="8405.116"/>
        <n v="8406.615"/>
        <n v="8406.679"/>
        <n v="8409.271"/>
        <n v="8412.105"/>
        <n v="8413.009"/>
        <n v="8414.643"/>
        <n v="8416.186"/>
        <n v="8418.683"/>
        <n v="8425.691"/>
        <n v="8429.496"/>
        <n v="8430.774"/>
        <n v="8452.607"/>
        <n v="8453.235"/>
        <n v="8459.587"/>
        <n v="8474.574"/>
        <n v="8482.272"/>
        <n v="8483.944"/>
        <n v="8485.235"/>
        <n v="8492.352"/>
        <n v="8494.182"/>
        <n v="8500.435"/>
        <n v="8502.842"/>
        <n v="8505.582"/>
        <n v="8507.049"/>
        <n v="8510.406"/>
        <n v="8510.754"/>
        <n v="8511.827"/>
        <n v="8520.321"/>
        <n v="8520.548"/>
        <n v="8534.022"/>
        <n v="8540.806"/>
        <n v="8542.485"/>
        <n v="8542.498"/>
        <n v="8543.349"/>
        <n v="8543.656"/>
        <n v="8546.778"/>
        <n v="8549.83"/>
        <n v="8550.095"/>
        <n v="8554.152"/>
        <n v="8554.315"/>
        <n v="8563.817"/>
        <n v="8564.41"/>
        <n v="8564.728"/>
        <n v="8564.899"/>
        <n v="8567.062"/>
        <n v="8570.585"/>
        <n v="8575.337"/>
        <n v="8587.992"/>
        <n v="8588.449"/>
        <n v="8591.456"/>
        <n v="8593.396"/>
        <n v="8605.059"/>
        <n v="8607.035"/>
        <n v="8608.583"/>
        <n v="8615.149"/>
        <n v="8616.67"/>
        <n v="8620.207"/>
        <n v="8621.629"/>
        <n v="8624.834"/>
        <n v="8630.006"/>
        <n v="8632.461"/>
        <n v="8634.025"/>
        <n v="8634.947"/>
        <n v="8646.75"/>
        <n v="8660.01"/>
        <n v="8661.503"/>
        <n v="8662.659"/>
        <n v="8662.943"/>
        <n v="8669.782"/>
        <n v="8671.463"/>
        <n v="8674.417"/>
        <n v="8676.13"/>
        <n v="8677.138"/>
        <n v="8679.99"/>
        <n v="8680.396"/>
        <n v="8684.609"/>
        <n v="8685.786"/>
        <n v="8685.922"/>
        <n v="8686.618"/>
        <n v="8694.755"/>
        <n v="8700.519"/>
        <n v="8706.017"/>
        <n v="8709.854"/>
        <n v="8709.92"/>
        <n v="8718.37"/>
        <n v="8720.335"/>
        <n v="8723.111"/>
        <n v="8728.501"/>
        <n v="8731.852"/>
        <n v="8735.807"/>
        <n v="8737.468"/>
        <n v="8738.146"/>
        <n v="8740.935"/>
        <n v="8742.533"/>
        <n v="8746.636"/>
        <n v="8747.131"/>
        <n v="8750.693"/>
        <n v="8753.333"/>
        <n v="8756.489"/>
        <n v="8760.252"/>
        <n v="8774.433"/>
        <n v="8775.691"/>
        <n v="8780.315"/>
        <n v="8781.343"/>
        <n v="8784.688"/>
        <n v="8788.403"/>
        <n v="8789.375"/>
        <n v="8803.365"/>
        <n v="8808.692"/>
        <n v="8811.658"/>
        <n v="8812.478"/>
        <n v="8815.287"/>
        <n v="8820.595"/>
        <n v="8823.8125"/>
        <n v="8825.617"/>
        <n v="8832.1875"/>
        <n v="8832.858"/>
        <n v="8835.036"/>
        <n v="8844.286"/>
        <n v="8848.353"/>
        <n v="8849.8"/>
        <n v="8854.484"/>
        <n v="8855.333"/>
        <n v="8857.137"/>
        <n v="8861.933"/>
        <n v="8864.022"/>
        <n v="8866.902"/>
        <n v="8870.455"/>
        <n v="8875.222"/>
        <n v="8880.034"/>
        <n v="8880.3955"/>
        <n v="8881.534"/>
        <n v="8884.348"/>
        <n v="8889.091"/>
        <n v="8889.924"/>
        <n v="8892.423"/>
        <n v="8903.45"/>
        <n v="8910.277"/>
        <n v="8910.333"/>
        <n v="8923.776"/>
        <n v="8924.525"/>
        <n v="8927.952"/>
        <n v="8932.045"/>
        <n v="8939.827"/>
        <n v="8940.282"/>
        <n v="8943.399"/>
        <n v="8944.144"/>
        <n v="8945.902"/>
        <n v="8948.596"/>
        <n v="8953.698"/>
        <n v="8960.578"/>
        <n v="8964.266"/>
        <n v="8964.338"/>
        <n v="8971.607"/>
        <n v="8971.817"/>
        <n v="8972.617"/>
        <n v="8974.451"/>
        <n v="8981.117"/>
        <n v="8986.904"/>
        <n v="8988.006"/>
        <n v="9002.153"/>
        <n v="9012.704"/>
        <n v="9015.487"/>
        <n v="9020.032"/>
        <n v="9022.435"/>
        <n v="9026.362"/>
        <n v="9026.548"/>
        <n v="9030.373"/>
        <n v="9034.704"/>
        <n v="9037.132"/>
        <n v="9041.242"/>
        <n v="9044.702"/>
        <n v="9045.517"/>
        <n v="9053.896"/>
        <n v="9054.72"/>
        <n v="9056.343"/>
        <n v="9056.883"/>
        <n v="9057.206"/>
        <n v="9057.511"/>
        <n v="9065.398"/>
        <n v="9066.211"/>
        <n v="9070.232"/>
        <n v="9073.677"/>
        <n v="9076.101"/>
        <n v="9080.963"/>
        <n v="9082.895"/>
        <n v="9092.153"/>
        <n v="9093.898"/>
        <n v="9094.085"/>
        <n v="9101.356"/>
        <n v="9104.013"/>
        <n v="9104.677"/>
        <n v="9105.077"/>
        <n v="9111.901"/>
        <n v="9119.572"/>
        <n v="9123.519"/>
        <n v="9124.393"/>
        <n v="9133.23"/>
        <n v="9133.567"/>
        <n v="9135.48"/>
        <n v="9140.857"/>
        <n v="9141.534"/>
        <n v="9145.428"/>
        <n v="9146.428"/>
        <n v="9146.705"/>
        <n v="9148.74"/>
        <n v="9150.6455"/>
        <n v="9152.468"/>
        <n v="9154.53"/>
        <n v="9157.634"/>
        <n v="9159.105"/>
        <n v="9159.121"/>
        <n v="9163.633"/>
        <n v="9163.713"/>
        <n v="9167.564"/>
        <n v="9173.879"/>
        <n v="9174.885"/>
        <n v="9175.24"/>
        <n v="9177.48"/>
        <n v="9189.017"/>
        <n v="9193.735"/>
        <n v="9195.716"/>
        <n v="9196.994"/>
        <n v="9197.564"/>
        <n v="9199.347"/>
        <n v="9203.734"/>
        <n v="9205.017"/>
        <n v="9206.738"/>
        <n v="9211.607"/>
        <n v="9214.968"/>
        <n v="9215.243"/>
        <n v="9216.648"/>
        <n v="9222.069"/>
        <n v="9226.276"/>
        <n v="9234.724"/>
        <n v="9235.667"/>
        <n v="9241.056"/>
        <n v="9245.819"/>
        <n v="9252.113"/>
        <n v="9254.184"/>
        <n v="9256.192"/>
        <n v="9261.977"/>
        <n v="9268.076"/>
        <n v="9268.437"/>
        <n v="9270.443"/>
        <n v="9273.588"/>
        <n v="9274.061"/>
        <n v="9284.599"/>
        <n v="9292.531"/>
        <n v="9302.01"/>
        <n v="9307.79"/>
        <n v="9309.488"/>
        <n v="9314.153"/>
        <n v="9316.197"/>
        <n v="9320.358"/>
        <n v="9332.765"/>
        <n v="9333.583"/>
        <n v="9333.618"/>
        <n v="9339.649"/>
        <n v="9340.017"/>
        <n v="9343.587"/>
        <n v="9349.906"/>
        <n v="9352.805"/>
        <n v="9358.195"/>
        <n v="9363.215"/>
        <n v="9377.449"/>
        <n v="9379.387"/>
        <n v="9380.434"/>
        <n v="9381.8125"/>
        <n v="9385.534"/>
        <n v="9394.891"/>
        <n v="9402.787"/>
        <n v="9402.995"/>
        <n v="9403.871"/>
        <n v="9404.827"/>
        <n v="9408.244"/>
        <n v="9408.873"/>
        <n v="9410.57"/>
        <n v="9416.519"/>
        <n v="9418.284"/>
        <n v="9420.98"/>
        <n v="9421.686"/>
        <n v="9425.131"/>
        <n v="9426.237"/>
        <n v="9430.404"/>
        <n v="9435.188"/>
        <n v="9442.009"/>
        <n v="9443.646"/>
        <n v="9452.792"/>
        <n v="9454.323"/>
        <n v="9459.463"/>
        <n v="9461.125"/>
        <n v="9462.822"/>
        <n v="9468.171"/>
        <n v="9469.361"/>
        <n v="9479.191"/>
        <n v="9480.962"/>
        <n v="9493.112"/>
        <n v="9493.542"/>
        <n v="9497.252"/>
        <n v="9501.6"/>
        <n v="9505.607"/>
        <n v="9506.514"/>
        <n v="9523.764"/>
        <n v="9531.96"/>
        <n v="9536.326"/>
        <n v="9539.488"/>
        <n v="9539.862"/>
        <n v="9540.336"/>
        <n v="9540.554"/>
        <n v="9543.288"/>
        <n v="9544.026"/>
        <n v="9551.485"/>
        <n v="9567.481"/>
        <n v="9568.378"/>
        <n v="9579.985"/>
        <n v="9581.315"/>
        <n v="9587.113"/>
        <n v="9587.85"/>
        <n v="9593.313"/>
        <n v="9594.761"/>
        <n v="9598.905"/>
        <n v="9605.164"/>
        <n v="9606.855"/>
        <n v="9611.921"/>
        <n v="9616.288"/>
        <n v="9619.94"/>
        <n v="9620.713"/>
        <n v="9623.3955"/>
        <n v="9627.194"/>
        <n v="9631.997"/>
        <n v="9638.208"/>
        <n v="9640.38"/>
        <n v="9647.188"/>
        <n v="9647.424"/>
        <n v="9655.335"/>
        <n v="9656.809"/>
        <n v="9659.727"/>
        <n v="9660.034"/>
        <n v="9664.756"/>
        <n v="9666.647"/>
        <n v="9666.835"/>
        <n v="9672.0625"/>
        <n v="9674.178"/>
        <n v="9684.025"/>
        <n v="9693.828"/>
        <n v="9694.73"/>
        <n v="9695.02"/>
        <n v="9698.191"/>
        <n v="9702.336"/>
        <n v="9704.494"/>
        <n v="9705.3545"/>
        <n v="9707.503"/>
        <n v="9716.735"/>
        <n v="9718.051"/>
        <n v="9738.182"/>
        <n v="9740.279"/>
        <n v="9741.622"/>
        <n v="9742.031"/>
        <n v="9746.063"/>
        <n v="9752.947"/>
        <n v="9753.874"/>
        <n v="9758.311"/>
        <n v="9764.861"/>
        <n v="9767.231"/>
        <n v="9768.044"/>
        <n v="9772.227"/>
        <n v="9783.121"/>
        <n v="9794.299"/>
        <n v="9795.596"/>
        <n v="9796.658"/>
        <n v="9807.213"/>
        <n v="9810.756"/>
        <n v="9815.2295"/>
        <n v="9815.916"/>
        <n v="9816.314"/>
        <n v="9826.825"/>
        <n v="9829.796"/>
        <n v="9836.001"/>
        <n v="9837.472"/>
        <n v="9838.454"/>
        <n v="9839.549"/>
        <n v="9839.556"/>
        <n v="9844.338"/>
        <n v="9847.72"/>
        <n v="9863.077"/>
        <n v="9865.099"/>
        <n v="9869.599"/>
        <n v="9869.874"/>
        <n v="9870.264"/>
        <n v="9871.347"/>
        <n v="9872.818"/>
        <n v="9874.531"/>
        <n v="9880.94"/>
        <n v="9881.432"/>
        <n v="9881.632"/>
        <n v="9897.71"/>
        <n v="9904.05"/>
        <n v="9906.835"/>
        <n v="9914.066"/>
        <n v="9915.615"/>
        <n v="9915.773"/>
        <n v="9915.962"/>
        <n v="9917.393"/>
        <n v="9919.91"/>
        <n v="9922.715"/>
        <n v="9926.57"/>
        <n v="9927.586"/>
        <n v="9928.395"/>
        <n v="9935.014"/>
        <n v="9938.069"/>
        <n v="9940.274"/>
        <n v="9943.688"/>
        <n v="9946.134"/>
        <n v="9947.294"/>
        <n v="9947.718"/>
        <n v="9953.0205"/>
        <n v="9962.021"/>
        <n v="9963.825"/>
        <n v="9964.002"/>
        <n v="9979.725"/>
        <n v="9985.254"/>
        <n v="9988.846"/>
        <n v="9992.191"/>
        <n v="10003.62"/>
        <n v="10003.666"/>
        <n v="10008.584"/>
        <n v="10010.844"/>
        <n v="10024.105"/>
        <n v="10029.2"/>
        <n v="10053.23"/>
        <n v="10059.831"/>
        <n v="10064.91"/>
        <n v="10070.404"/>
        <n v="10072.727"/>
        <n v="10073.823"/>
        <n v="10077.037"/>
        <n v="10077.718"/>
        <n v="10090.97"/>
        <n v="10092.321"/>
        <n v="10095.776"/>
        <n v="10095.788"/>
        <n v="10102.839"/>
        <n v="10104.533"/>
        <n v="10105.646"/>
        <n v="10106.054"/>
        <n v="10106.212"/>
        <n v="10106.4375"/>
        <n v="10112.117"/>
        <n v="10117.052"/>
        <n v="10117.3125"/>
        <n v="10119.043"/>
        <n v="10121.01"/>
        <n v="10122.705"/>
        <n v="10127.217"/>
        <n v="10132.953"/>
        <n v="10134.47"/>
        <n v="10136.463"/>
        <n v="10140.076"/>
        <n v="10140.371"/>
        <n v="10144.432"/>
        <n v="10147.516"/>
        <n v="10148.762"/>
        <n v="10150.56"/>
        <n v="10151.002"/>
        <n v="10153.048"/>
        <n v="10154.817"/>
        <n v="10155.724"/>
        <n v="10157.667"/>
        <n v="10162.341"/>
        <n v="10165.035"/>
        <n v="10169.305"/>
        <n v="10170.104"/>
        <n v="10181.195"/>
        <n v="10181.51"/>
        <n v="10182.31"/>
        <n v="10186.194"/>
        <n v="10186.304"/>
        <n v="10187.698"/>
        <n v="10187.83"/>
        <n v="10188.927"/>
        <n v="10191.082"/>
        <n v="10192.369"/>
        <n v="10197.4"/>
        <n v="10197.871"/>
        <n v="10198.688"/>
        <n v="10203.808"/>
        <n v="10206.511"/>
        <n v="10208.667"/>
        <n v="10215.15"/>
        <n v="10218.422"/>
        <n v="10222.272"/>
        <n v="10232.663"/>
        <n v="10238.691"/>
        <n v="10239.481"/>
        <n v="10241.846"/>
        <n v="10245.785"/>
        <n v="10254.706"/>
        <n v="10254.932"/>
        <n v="10260.907"/>
        <n v="10271.977"/>
        <n v="10273.89"/>
        <n v="10275.347"/>
        <n v="10282.494"/>
        <n v="10290.237"/>
        <n v="10292.886"/>
        <n v="10297.342"/>
        <n v="10303.058"/>
        <n v="10303.957"/>
        <n v="10308.972"/>
        <n v="10312.887"/>
        <n v="10320.522"/>
        <n v="10325.731"/>
        <n v="10346.191"/>
        <n v="10348.668"/>
        <n v="10366.752"/>
        <n v="10372.43"/>
        <n v="10373.553"/>
        <n v="10374.793"/>
        <n v="10379.506"/>
        <n v="10382.105"/>
        <n v="10385.949"/>
        <n v="10399.644"/>
        <n v="10404.706"/>
        <n v="10409.996"/>
        <n v="10426.515"/>
        <n v="10429.498"/>
        <n v="10433.01"/>
        <n v="10433.256"/>
        <n v="10434.404"/>
        <n v="10435.528"/>
        <n v="10440.874"/>
        <n v="10444.183"/>
        <n v="10452.868"/>
        <n v="10455.636"/>
        <n v="10466.034"/>
        <n v="10486.714"/>
        <n v="10490.862"/>
        <n v="10491.935"/>
        <n v="10494.637"/>
        <n v="10495.343"/>
        <n v="10496.202"/>
        <n v="10499.429"/>
        <n v="10506.166"/>
        <n v="10507.683"/>
        <n v="10508.558"/>
        <n v="10512.446"/>
        <n v="10512.454"/>
        <n v="10513.959"/>
        <n v="10514.652"/>
        <n v="10518.801"/>
        <n v="10528.746"/>
        <n v="10529.79"/>
        <n v="10530.628"/>
        <n v="10534.478"/>
        <n v="10542.418"/>
        <n v="10564.159"/>
        <n v="10581.127"/>
        <n v="10582.821"/>
        <n v="10583.137"/>
        <n v="10599.429"/>
        <n v="10608.364"/>
        <n v="10616.009"/>
        <n v="10616.69"/>
        <n v="10630.9"/>
        <n v="10637.567"/>
        <n v="10639.576"/>
        <n v="10640.027"/>
        <n v="10646.736"/>
        <n v="10663.1"/>
        <n v="10665.796"/>
        <n v="10666.588"/>
        <n v="10685.73"/>
        <n v="10696.137"/>
        <n v="10705.6045"/>
        <n v="10706.335"/>
        <n v="10708.948"/>
        <n v="10709.949"/>
        <n v="10710.664"/>
        <n v="10713.5"/>
        <n v="10719.29"/>
        <n v="10722.478"/>
        <n v="10727.759"/>
        <n v="10728.0625"/>
        <n v="10733.714"/>
        <n v="10742.347"/>
        <n v="10754.983"/>
        <n v="10760.092"/>
        <n v="10763.351"/>
        <n v="10765.912"/>
        <n v="10770.691"/>
        <n v="10785.877"/>
        <n v="10795.545"/>
        <n v="10809.67"/>
        <n v="10809.978"/>
        <n v="10814.833"/>
        <n v="10821.725"/>
        <n v="10823.57"/>
        <n v="10825.335"/>
        <n v="10827.67"/>
        <n v="10841.019"/>
        <n v="10847.535"/>
        <n v="10860.575"/>
        <n v="10866.364"/>
        <n v="10871.084"/>
        <n v="10878.413"/>
        <n v="10881.993"/>
        <n v="10885.662"/>
        <n v="10887.287"/>
        <n v="10899.429"/>
        <n v="10904.816"/>
        <n v="10912.411"/>
        <n v="10914.198"/>
        <n v="10914.35"/>
        <n v="10921.842"/>
        <n v="10923.312"/>
        <n v="10939.621"/>
        <n v="10939.726"/>
        <n v="10950.276"/>
        <n v="10963.743"/>
        <n v="10970.989"/>
        <n v="10972.214"/>
        <n v="10977.211"/>
        <n v="10978.3955"/>
        <n v="10985.774"/>
        <n v="10988.608"/>
        <n v="11003.951"/>
        <n v="11005.832"/>
        <n v="11009.907"/>
        <n v="11027.555"/>
        <n v="11031.258"/>
        <n v="11033.772"/>
        <n v="11043.885"/>
        <n v="11044.274"/>
        <n v="11051.086"/>
        <n v="11060.516"/>
        <n v="11064.703"/>
        <n v="11084.32"/>
        <n v="11108.557"/>
        <n v="11110.334"/>
        <n v="11120.0"/>
        <n v="11123.879"/>
        <n v="11125.309"/>
        <n v="11128.884"/>
        <n v="11131.149"/>
        <n v="11136.957"/>
        <n v="11143.832"/>
        <n v="11147.023"/>
        <n v="11156.717"/>
        <n v="11157.304"/>
        <n v="11158.274"/>
        <n v="11163.708"/>
        <n v="11170.141"/>
        <n v="11174.79"/>
        <n v="11176.632"/>
        <n v="11187.751"/>
        <n v="11188.126"/>
        <n v="11195.911"/>
        <n v="11196.678"/>
        <n v="11208.746"/>
        <n v="11222.506"/>
        <n v="11227.055"/>
        <n v="11227.169"/>
        <n v="11231.988"/>
        <n v="11234.649"/>
        <n v="11245.616"/>
        <n v="11266.479"/>
        <n v="11269.194"/>
        <n v="11269.271"/>
        <n v="11279.4375"/>
        <n v="11284.964"/>
        <n v="11295.757"/>
        <n v="11295.959"/>
        <n v="11296.706"/>
        <n v="11297.704"/>
        <n v="11305.199"/>
        <n v="11310.6875"/>
        <n v="11312.738"/>
        <n v="11314.926"/>
        <n v="11321.043"/>
        <n v="11331.633"/>
        <n v="11332.717"/>
        <n v="11344.476"/>
        <n v="11348.95"/>
        <n v="11354.309"/>
        <n v="11357.916"/>
        <n v="11371.488"/>
        <n v="11373.4"/>
        <n v="11376.105"/>
        <n v="11378.768"/>
        <n v="11381.613"/>
        <n v="11386.002"/>
        <n v="11395.704"/>
        <n v="11395.818"/>
        <n v="11399.191"/>
        <n v="11403.677"/>
        <n v="11413.409"/>
        <n v="11414.435"/>
        <n v="11420.435"/>
        <n v="11427.596"/>
        <n v="11429.092"/>
        <n v="11434.392"/>
        <n v="11441.152"/>
        <n v="11447.519"/>
        <n v="11447.737"/>
        <n v="11458.0625"/>
        <n v="11458.153"/>
        <n v="11458.751"/>
        <n v="11465.782"/>
        <n v="11473.602"/>
        <n v="11476.847"/>
        <n v="11480.458"/>
        <n v="11480.571"/>
        <n v="11480.891"/>
        <n v="11489.427"/>
        <n v="11490.828"/>
        <n v="11512.457"/>
        <n v="11512.604"/>
        <n v="11513.7"/>
        <n v="11529.927"/>
        <n v="11545.732"/>
        <n v="11547.974"/>
        <n v="11557.219"/>
        <n v="11560.575"/>
        <n v="11563.958"/>
        <n v="11567.2295"/>
        <n v="11574.39"/>
        <n v="11581.25"/>
        <n v="11584.162"/>
        <n v="11587.268"/>
        <n v="11595.21"/>
        <n v="11598.094"/>
        <n v="11606.509"/>
        <n v="11615.845"/>
        <n v="11616.125"/>
        <n v="11616.601"/>
        <n v="11628.393"/>
        <n v="11629.28"/>
        <n v="11631.365"/>
        <n v="11642.756"/>
        <n v="11655.383"/>
        <n v="11659.87"/>
        <n v="11660.211"/>
        <n v="11660.664"/>
        <n v="11676.908"/>
        <n v="11680.155"/>
        <n v="11683.505"/>
        <n v="11685.422"/>
        <n v="11692.853"/>
        <n v="11703.2295"/>
        <n v="11703.501"/>
        <n v="11703.623"/>
        <n v="11726.472"/>
        <n v="11733.036"/>
        <n v="11733.349"/>
        <n v="11740.649"/>
        <n v="11745.665"/>
        <n v="11751.034"/>
        <n v="11755.6045"/>
        <n v="11773.948"/>
        <n v="11778.231"/>
        <n v="11786.406"/>
        <n v="11787.549"/>
        <n v="11798.361"/>
        <n v="11803.904"/>
        <n v="11804.383"/>
        <n v="11810.447"/>
        <n v="11813.604"/>
        <n v="11823.046"/>
        <n v="11823.134"/>
        <n v="11823.148"/>
        <n v="11824.311"/>
        <n v="11826.311"/>
        <n v="11836.141"/>
        <n v="11836.933"/>
        <n v="11840.924"/>
        <n v="11842.137"/>
        <n v="11849.197"/>
        <n v="11851.442"/>
        <n v="11859.91"/>
        <n v="11860.503"/>
        <n v="11869.311"/>
        <n v="11870.953"/>
        <n v="11874.829"/>
        <n v="11879.504"/>
        <n v="11882.883"/>
        <n v="11883.904"/>
        <n v="11906.095"/>
        <n v="11907.259"/>
        <n v="11925.648"/>
        <n v="11927.223"/>
        <n v="11930.71"/>
        <n v="11932.365"/>
        <n v="11933.068"/>
        <n v="11933.208"/>
        <n v="11941.918"/>
        <n v="11947.996"/>
        <n v="11961.302"/>
        <n v="11964.407"/>
        <n v="11975.585"/>
        <n v="11980.495"/>
        <n v="11982.715"/>
        <n v="11985.987"/>
        <n v="11987.165"/>
        <n v="11990.046"/>
        <n v="11997.897"/>
        <n v="12002.065"/>
        <n v="12007.173"/>
        <n v="12011.063"/>
        <n v="12016.431"/>
        <n v="12027.47"/>
        <n v="12035.376"/>
        <n v="12037.905"/>
        <n v="12040.488"/>
        <n v="12044.455"/>
        <n v="12058.781"/>
        <n v="12067.999"/>
        <n v="12077.754"/>
        <n v="12081.006"/>
        <n v="12087.886"/>
        <n v="12099.617"/>
        <n v="12108.5"/>
        <n v="12121.938"/>
        <n v="12122.338"/>
        <n v="12123.009"/>
        <n v="12140.716"/>
        <n v="12143.477"/>
        <n v="12150.534"/>
        <n v="12157.783"/>
        <n v="12160.38"/>
        <n v="12161.639"/>
        <n v="12169.133"/>
        <n v="12172.318"/>
        <n v="12172.686"/>
        <n v="12173.08"/>
        <n v="12173.642"/>
        <n v="12176.143"/>
        <n v="12178.29"/>
        <n v="12190.297"/>
        <n v="12214.337"/>
        <n v="12216.934"/>
        <n v="12221.478"/>
        <n v="12228.985"/>
        <n v="12238.045"/>
        <n v="12239.172"/>
        <n v="12244.189"/>
        <n v="12248.468"/>
        <n v="12252.859"/>
        <n v="12253.705"/>
        <n v="12268.706"/>
        <n v="12270.518"/>
        <n v="12281.969"/>
        <n v="12284.661"/>
        <n v="12289.43"/>
        <n v="12289.545"/>
        <n v="12290.366"/>
        <n v="12294.843"/>
        <n v="12299.419"/>
        <n v="12308.174"/>
        <n v="12308.972"/>
        <n v="12313.418"/>
        <n v="12314.694"/>
        <n v="12327.224"/>
        <n v="12345.578"/>
        <n v="12358.376"/>
        <n v="12363.76"/>
        <n v="12388.601"/>
        <n v="12392.11"/>
        <n v="12401.948"/>
        <n v="12408.829"/>
        <n v="12411.858"/>
        <n v="12415.851"/>
        <n v="12420.538"/>
        <n v="12424.821"/>
        <n v="12427.435"/>
        <n v="12438.12"/>
        <n v="12439.381"/>
        <n v="12441.397"/>
        <n v="12449.877"/>
        <n v="12460.013"/>
        <n v="12462.586"/>
        <n v="12463.715"/>
        <n v="12467.446"/>
        <n v="12468.135"/>
        <n v="12470.184"/>
        <n v="12479.021"/>
        <n v="12482.179"/>
        <n v="12485.213"/>
        <n v="12492.15"/>
        <n v="12504.468"/>
        <n v="12506.653"/>
        <n v="12515.4"/>
        <n v="12519.004"/>
        <n v="12532.423"/>
        <n v="12532.949"/>
        <n v="12536.174"/>
        <n v="12538.882"/>
        <n v="12540.963"/>
        <n v="12551.849"/>
        <n v="12557.113"/>
        <n v="12567.73"/>
        <n v="12572.957"/>
        <n v="12575.711"/>
        <n v="12599.213"/>
        <n v="12604.8"/>
        <n v="12621.712"/>
        <n v="12623.133"/>
        <n v="12626.675"/>
        <n v="12630.056"/>
        <n v="12630.26"/>
        <n v="12641.402"/>
        <n v="12647.424"/>
        <n v="12648.9375"/>
        <n v="12649.484"/>
        <n v="12653.236"/>
        <n v="12665.192"/>
        <n v="12668.348"/>
        <n v="12689.269"/>
        <n v="12693.693"/>
        <n v="12694.774"/>
        <n v="12703.511"/>
        <n v="12705.904"/>
        <n v="12707.331"/>
        <n v="12708.573"/>
        <n v="12709.441"/>
        <n v="12712.263"/>
        <n v="12719.734"/>
        <n v="12730.14"/>
        <n v="12739.499"/>
        <n v="12746.148"/>
        <n v="12752.937"/>
        <n v="12754.496"/>
        <n v="12772.435"/>
        <n v="12777.098"/>
        <n v="12798.733"/>
        <n v="12809.222"/>
        <n v="12809.284"/>
        <n v="12817.113"/>
        <n v="12820.879"/>
        <n v="12823.284"/>
        <n v="12823.938"/>
        <n v="12826.9795"/>
        <n v="12827.559"/>
        <n v="12830.193"/>
        <n v="12834.803"/>
        <n v="12841.106"/>
        <n v="12847.271"/>
        <n v="12851.274"/>
        <n v="12852.759"/>
        <n v="12856.787"/>
        <n v="12859.471"/>
        <n v="12861.652"/>
        <n v="12878.087"/>
        <n v="12885.153"/>
        <n v="12887.396"/>
        <n v="12890.735"/>
        <n v="12891.493"/>
        <n v="12900.738"/>
        <n v="12903.434"/>
        <n v="12904.734"/>
        <n v="12905.365"/>
        <n v="12914.778"/>
        <n v="12918.687"/>
        <n v="12936.193"/>
        <n v="12941.354"/>
        <n v="12950.892"/>
        <n v="12952.686"/>
        <n v="12968.104"/>
        <n v="12970.873"/>
        <n v="12971.4"/>
        <n v="12971.968"/>
        <n v="12972.459"/>
        <n v="12973.768"/>
        <n v="12974.761"/>
        <n v="12984.056"/>
        <n v="12991.506"/>
        <n v="13000.607"/>
        <n v="13002.654"/>
        <n v="13003.558"/>
        <n v="13003.881"/>
        <n v="13009.76"/>
        <n v="13012.702"/>
        <n v="13029.476"/>
        <n v="13031.644"/>
        <n v="13037.287"/>
        <n v="13046.885"/>
        <n v="13047.965"/>
        <n v="13055.925"/>
        <n v="13056.144"/>
        <n v="13060.471"/>
        <n v="13070.137"/>
        <n v="13072.275"/>
        <n v="13072.513"/>
        <n v="13086.583"/>
        <n v="13087.896"/>
        <n v="13091.742"/>
        <n v="13098.38"/>
        <n v="13100.263"/>
        <n v="13100.408"/>
        <n v="13103.908"/>
        <n v="13104.263"/>
        <n v="13112.501"/>
        <n v="13112.625"/>
        <n v="13113.397"/>
        <n v="13113.937"/>
        <n v="13118.102"/>
        <n v="13150.103"/>
        <n v="13154.189"/>
        <n v="13158.147"/>
        <n v="13161.981"/>
        <n v="13165.649"/>
        <n v="13166.584"/>
        <n v="13184.075"/>
        <n v="13184.423"/>
        <n v="13204.113"/>
        <n v="13204.306"/>
        <n v="13214.047"/>
        <n v="13222.443"/>
        <n v="13225.631"/>
        <n v="13239.611"/>
        <n v="13251.755"/>
        <n v="13260.26"/>
        <n v="13289.391"/>
        <n v="13292.285"/>
        <n v="13296.237"/>
        <n v="13301.653"/>
        <n v="13312.747"/>
        <n v="13316.851"/>
        <n v="13320.374"/>
        <n v="13322.563"/>
        <n v="13322.61"/>
        <n v="13326.549"/>
        <n v="13332.863"/>
        <n v="13335.08"/>
        <n v="13339.722"/>
        <n v="13344.797"/>
        <n v="13354.18"/>
        <n v="13372.831"/>
        <n v="13376.791"/>
        <n v="13378.593"/>
        <n v="13389.451"/>
        <n v="13396.264"/>
        <n v="13402.703"/>
        <n v="13407.281"/>
        <n v="13411.241"/>
        <n v="13418.999"/>
        <n v="13424.767"/>
        <n v="13432.692"/>
        <n v="13442.011"/>
        <n v="13442.319"/>
        <n v="13457.069"/>
        <n v="13457.15"/>
        <n v="13459.57"/>
        <n v="13459.61"/>
        <n v="13466.118"/>
        <n v="13484.594"/>
        <n v="13489.117"/>
        <n v="13495.893"/>
        <n v="13507.265"/>
        <n v="13515.502"/>
        <n v="13516.784"/>
        <n v="13520.645"/>
        <n v="13521.407"/>
        <n v="13522.258"/>
        <n v="13529.965"/>
        <n v="13544.569"/>
        <n v="13547.438"/>
        <n v="13551.748"/>
        <n v="13553.528"/>
        <n v="13558.617"/>
        <n v="13558.63"/>
        <n v="13564.127"/>
        <n v="13576.0625"/>
        <n v="13583.13"/>
        <n v="13585.013"/>
        <n v="13590.669"/>
        <n v="13595.529"/>
        <n v="13595.592"/>
        <n v="13597.028"/>
        <n v="13598.395"/>
        <n v="13606.589"/>
        <n v="13621.862"/>
        <n v="13622.649"/>
        <n v="13625.07"/>
        <n v="13631.499"/>
        <n v="13634.282"/>
        <n v="13649.1455"/>
        <n v="13658.813"/>
        <n v="13664.387"/>
        <n v="13664.849"/>
        <n v="13681.826"/>
        <n v="13682.49"/>
        <n v="13684.609"/>
        <n v="13706.628"/>
        <n v="13712.551"/>
        <n v="13719.435"/>
        <n v="13725.276"/>
        <n v="13725.301"/>
        <n v="13747.477"/>
        <n v="13752.267"/>
        <n v="13763.996"/>
        <n v="13788.242"/>
        <n v="13793.698"/>
        <n v="13796.956"/>
        <n v="13806.079"/>
        <n v="13808.039"/>
        <n v="13815.043"/>
        <n v="13823.321"/>
        <n v="13825.233"/>
        <n v="13828.311"/>
        <n v="13830.34"/>
        <n v="13840.49"/>
        <n v="13841.908"/>
        <n v="13848.323"/>
        <n v="13858.904"/>
        <n v="13858.922"/>
        <n v="13864.266"/>
        <n v="13867.356"/>
        <n v="13868.741"/>
        <n v="13869.427"/>
        <n v="13876.892"/>
        <n v="13880.552"/>
        <n v="13881.63"/>
        <n v="13890.095"/>
        <n v="13892.12"/>
        <n v="13892.802"/>
        <n v="13904.587"/>
        <n v="13906.491"/>
        <n v="13906.923"/>
        <n v="13910.086"/>
        <n v="13914.182"/>
        <n v="13916.222"/>
        <n v="13918.935"/>
        <n v="13918.949"/>
        <n v="13925.849"/>
        <n v="13931.19"/>
        <n v="13946.476"/>
        <n v="13946.507"/>
        <n v="13946.576"/>
        <n v="13946.938"/>
        <n v="13965.743"/>
        <n v="13966.649"/>
        <n v="13972.88"/>
        <n v="13974.234"/>
        <n v="13991.361"/>
        <n v="13999.875"/>
        <n v="14006.871"/>
        <n v="14010.68"/>
        <n v="14017.975"/>
        <n v="14023.606"/>
        <n v="14035.413"/>
        <n v="14035.587"/>
        <n v="14060.12"/>
        <n v="14071.059"/>
        <n v="14075.736"/>
        <n v="14080.451"/>
        <n v="14085.446"/>
        <n v="14093.719"/>
        <n v="14095.319"/>
        <n v="14102.941"/>
        <n v="14108.098"/>
        <n v="14112.1"/>
        <n v="14124.616"/>
        <n v="14133.179"/>
        <n v="14142.294"/>
        <n v="14143.395"/>
        <n v="14143.596"/>
        <n v="14145.014"/>
        <n v="14145.36"/>
        <n v="14148.222"/>
        <n v="14157.611"/>
        <n v="14166.259"/>
        <n v="14166.347"/>
        <n v="14169.62"/>
        <n v="14169.743"/>
        <n v="14172.194"/>
        <n v="14178.675"/>
        <n v="14181.674"/>
        <n v="14182.44"/>
        <n v="14184.875"/>
        <n v="14206.065"/>
        <n v="14210.347"/>
        <n v="14214.115"/>
        <n v="14214.481"/>
        <n v="14216.857"/>
        <n v="14230.793"/>
        <n v="14240.698"/>
        <n v="14244.851"/>
        <n v="14248.773"/>
        <n v="14253.19"/>
        <n v="14255.92"/>
        <n v="14257.845"/>
        <n v="14261.52"/>
        <n v="14278.857"/>
        <n v="14281.594"/>
        <n v="14307.252"/>
        <n v="14320.974"/>
        <n v="14321.024"/>
        <n v="14321.675"/>
        <n v="14321.855"/>
        <n v="14325.909"/>
        <n v="14333.623"/>
        <n v="14340.227"/>
        <n v="14343.149"/>
        <n v="14354.3"/>
        <n v="14357.932"/>
        <n v="14364.315"/>
        <n v="14368.836"/>
        <n v="14370.854"/>
        <n v="14371.433"/>
        <n v="14378.225"/>
        <n v="14379.254"/>
        <n v="14380.91"/>
        <n v="14413.735"/>
        <n v="14419.6875"/>
        <n v="14425.255"/>
        <n v="14425.969"/>
        <n v="14433.08"/>
        <n v="14435.28"/>
        <n v="14444.893"/>
        <n v="14446.366"/>
        <n v="14446.414"/>
        <n v="14449.026"/>
        <n v="14456.733"/>
        <n v="14462.999"/>
        <n v="14472.11"/>
        <n v="14475.0"/>
        <n v="14490.754"/>
        <n v="14493.465"/>
        <n v="14503.401"/>
        <n v="14512.888"/>
        <n v="14521.8"/>
        <n v="14522.445"/>
        <n v="14526.84"/>
        <n v="14531.825"/>
        <n v="14536.152"/>
        <n v="14537.152"/>
        <n v="14543.177"/>
        <n v="14546.091"/>
        <n v="14569.306"/>
        <n v="14570.667"/>
        <n v="14571.278"/>
        <n v="14571.582"/>
        <n v="14576.3"/>
        <n v="14579.007"/>
        <n v="14581.739"/>
        <n v="14585.901"/>
        <n v="14590.872"/>
        <n v="14592.307"/>
        <n v="14598.88"/>
        <n v="14599.45"/>
        <n v="14605.562"/>
        <n v="14608.531"/>
        <n v="14616.346"/>
        <n v="14620.076"/>
        <n v="14620.53"/>
        <n v="14648.089"/>
        <n v="14650.105"/>
        <n v="14664.321"/>
        <n v="14665.6875"/>
        <n v="14674.131"/>
        <n v="14675.655"/>
        <n v="14685.842"/>
        <n v="14692.095"/>
        <n v="14693.04"/>
        <n v="14701.655"/>
        <n v="14706.195"/>
        <n v="14710.876"/>
        <n v="14715.578"/>
        <n v="14727.061"/>
        <n v="14728.558"/>
        <n v="14744.384"/>
        <n v="14748.587"/>
        <n v="14756.767"/>
        <n v="14774.392"/>
        <n v="14784.176"/>
        <n v="14787.413"/>
        <n v="14789.356"/>
        <n v="14792.063"/>
        <n v="14794.88"/>
        <n v="14796.282"/>
        <n v="14805.509"/>
        <n v="14805.982"/>
        <n v="14808.726"/>
        <n v="14811.815"/>
        <n v="14812.512"/>
        <n v="14832.151"/>
        <n v="14855.349"/>
        <n v="14855.548"/>
        <n v="14864.775"/>
        <n v="14867.331"/>
        <n v="14876.507"/>
        <n v="14901.221"/>
        <n v="14905.178"/>
        <n v="14926.124"/>
        <n v="14939.87"/>
        <n v="14941.394"/>
        <n v="14942.129"/>
        <n v="14947.546"/>
        <n v="14956.306"/>
        <n v="14961.199"/>
        <n v="14968.09"/>
        <n v="14982.388"/>
        <n v="14983.002"/>
        <n v="14997.23"/>
        <n v="14999.254"/>
        <n v="15002.634"/>
        <n v="15002.828"/>
        <n v="15016.2295"/>
        <n v="15019.59"/>
        <n v="15042.635"/>
        <n v="15043.617"/>
        <n v="15046.135"/>
        <n v="15047.482"/>
        <n v="15058.098"/>
        <n v="15062.753"/>
        <n v="15075.383"/>
        <n v="15077.887"/>
        <n v="15082.66"/>
        <n v="15082.92"/>
        <n v="15083.153"/>
        <n v="15083.333"/>
        <n v="15085.991"/>
        <n v="15089.877"/>
        <n v="15090.82"/>
        <n v="15090.873"/>
        <n v="15095.5205"/>
        <n v="15106.379"/>
        <n v="15110.805"/>
        <n v="15112.676"/>
        <n v="15113.213"/>
        <n v="15123.848"/>
        <n v="15126.788"/>
        <n v="15130.011"/>
        <n v="15142.155"/>
        <n v="15143.684"/>
        <n v="15148.185"/>
        <n v="15184.292"/>
        <n v="15186.068"/>
        <n v="15186.331"/>
        <n v="15199.542"/>
        <n v="15199.989"/>
        <n v="15215.076"/>
        <n v="15216.128"/>
        <n v="15227.713"/>
        <n v="15234.443"/>
        <n v="15235.772"/>
        <n v="15236.717"/>
        <n v="15241.893"/>
        <n v="15250.652"/>
        <n v="15258.123"/>
        <n v="15271.765"/>
        <n v="15277.143"/>
        <n v="15280.113"/>
        <n v="15282.454"/>
        <n v="15302.928"/>
        <n v="15304.016"/>
        <n v="15315.36"/>
        <n v="15323.368"/>
        <n v="15323.539"/>
        <n v="15324.37"/>
        <n v="15326.533"/>
        <n v="15335.727"/>
        <n v="15339.659"/>
        <n v="15342.784"/>
        <n v="15358.8125"/>
        <n v="15371.378"/>
        <n v="15375.3955"/>
        <n v="15384.273"/>
        <n v="15388.066"/>
        <n v="15390.711"/>
        <n v="15394.662"/>
        <n v="15398.195"/>
        <n v="15401.946"/>
        <n v="15405.057"/>
        <n v="15405.96"/>
        <n v="15408.185"/>
        <n v="15408.899"/>
        <n v="15410.099"/>
        <n v="15414.862"/>
        <n v="15417.788"/>
        <n v="15421.028"/>
        <n v="15439.019"/>
        <n v="15442.189"/>
        <n v="15454.462"/>
        <n v="15458.73"/>
        <n v="15460.239"/>
        <n v="15467.449"/>
        <n v="15473.9"/>
        <n v="15475.302"/>
        <n v="15486.879"/>
        <n v="15494.77"/>
        <n v="15496.227"/>
        <n v="15500.375"/>
        <n v="15519.601"/>
        <n v="15524.72"/>
        <n v="15530.269"/>
        <n v="15538.345"/>
        <n v="15547.409"/>
        <n v="15557.192"/>
        <n v="15563.433"/>
        <n v="15564.2"/>
        <n v="15576.431"/>
        <n v="15577.92"/>
        <n v="15581.958"/>
        <n v="15591.238"/>
        <n v="15594.587"/>
        <n v="15596.073"/>
        <n v="15599.588"/>
        <n v="15600.096"/>
        <n v="15601.472"/>
        <n v="15606.014"/>
        <n v="15609.031"/>
        <n v="15611.406"/>
        <n v="15613.623"/>
        <n v="15615.135"/>
        <n v="15629.645"/>
        <n v="15634.958"/>
        <n v="15636.253"/>
        <n v="15653.668"/>
        <n v="15656.771"/>
        <n v="15656.81"/>
        <n v="15657.83"/>
        <n v="15662.487"/>
        <n v="15669.365"/>
        <n v="15670.638"/>
        <n v="15670.704"/>
        <n v="15671.189"/>
        <n v="15675.543"/>
        <n v="15691.259"/>
        <n v="15693.799"/>
        <n v="15709.837"/>
        <n v="15723.746"/>
        <n v="15724.344"/>
        <n v="15725.629"/>
        <n v="15727.646"/>
        <n v="15728.6875"/>
        <n v="15730.632"/>
        <n v="15737.789"/>
        <n v="15741.273"/>
        <n v="15743.598"/>
        <n v="15750.838"/>
        <n v="15758.036"/>
        <n v="15771.943"/>
        <n v="15778.405"/>
        <n v="15780.08"/>
        <n v="15781.138"/>
        <n v="15783.8125"/>
        <n v="15784.281"/>
        <n v="15786.631"/>
        <n v="15786.742"/>
        <n v="15795.02"/>
        <n v="15800.801"/>
        <n v="15811.639"/>
        <n v="15815.861"/>
        <n v="15823.393"/>
        <n v="15827.088"/>
        <n v="15827.271"/>
        <n v="15832.391"/>
        <n v="15843.749"/>
        <n v="15845.315"/>
        <n v="15851.195"/>
        <n v="15853.655"/>
        <n v="15853.955"/>
        <n v="15875.523"/>
        <n v="15878.066"/>
        <n v="15888.222"/>
        <n v="15892.66"/>
        <n v="15910.187"/>
        <n v="15914.574"/>
        <n v="15920.115"/>
        <n v="15948.529"/>
        <n v="15949.624"/>
        <n v="15953.512"/>
        <n v="15961.881"/>
        <n v="15970.117"/>
        <n v="15971.665"/>
        <n v="15976.376"/>
        <n v="15982.512"/>
        <n v="15984.226"/>
        <n v="15984.577"/>
        <n v="15992.55"/>
        <n v="15995.67"/>
        <n v="16006.05"/>
        <n v="16006.469"/>
        <n v="16008.428"/>
        <n v="16012.027"/>
        <n v="16017.228"/>
        <n v="16019.516"/>
        <n v="16040.549"/>
        <n v="16044.685"/>
        <n v="16050.318"/>
        <n v="16056.002"/>
        <n v="16076.346"/>
        <n v="16080.7705"/>
        <n v="16085.721"/>
        <n v="16087.517"/>
        <n v="16088.86"/>
        <n v="16093.326"/>
        <n v="16095.264"/>
        <n v="16100.758"/>
        <n v="16104.376"/>
        <n v="16121.271"/>
        <n v="16121.678"/>
        <n v="16122.266"/>
        <n v="16129.959"/>
        <n v="16130.45"/>
        <n v="16134.95"/>
        <n v="16139.251"/>
        <n v="16159.83"/>
        <n v="16177.504"/>
        <n v="16180.151"/>
        <n v="16180.7705"/>
        <n v="16181.724"/>
        <n v="16187.255"/>
        <n v="16189.192"/>
        <n v="16190.095"/>
        <n v="16190.844"/>
        <n v="16191.794"/>
        <n v="16196.391"/>
        <n v="16199.065"/>
        <n v="16200.954"/>
        <n v="16241.959"/>
        <n v="16243.728"/>
        <n v="16275.126"/>
        <n v="16285.674"/>
        <n v="16288.396"/>
        <n v="16291.136"/>
        <n v="16295.912"/>
        <n v="16298.5"/>
        <n v="16304.499"/>
        <n v="16307.347"/>
        <n v="16320.511"/>
        <n v="16329.653"/>
        <n v="16333.504"/>
        <n v="16335.281"/>
        <n v="16341.953"/>
        <n v="16356.96"/>
        <n v="16357.027"/>
        <n v="16357.539"/>
        <n v="16362.185"/>
        <n v="16393.557"/>
        <n v="16396.982"/>
        <n v="16406.475"/>
        <n v="16407.592"/>
        <n v="16416.217"/>
        <n v="16418.617"/>
        <n v="16419.816"/>
        <n v="16424.13"/>
        <n v="16430.97"/>
        <n v="16437.85"/>
        <n v="16438.914"/>
        <n v="16439.902"/>
        <n v="16443.174"/>
        <n v="16445.826"/>
        <n v="16451.91"/>
        <n v="16453.252"/>
        <n v="16458.209"/>
        <n v="16460.324"/>
        <n v="16460.896"/>
        <n v="16481.285"/>
        <n v="16495.219"/>
        <n v="16498.715"/>
        <n v="16501.904"/>
        <n v="16516.43"/>
        <n v="16516.637"/>
        <n v="16519.184"/>
        <n v="16532.4"/>
        <n v="16541.969"/>
        <n v="16546.428"/>
        <n v="16556.791"/>
        <n v="16568.465"/>
        <n v="16572.15"/>
        <n v="16599.863"/>
        <n v="16605.646"/>
        <n v="16609.873"/>
        <n v="16614.912"/>
        <n v="16615.45"/>
        <n v="16622.727"/>
        <n v="16641.146"/>
        <n v="16651.627"/>
        <n v="16651.838"/>
        <n v="16653.143"/>
        <n v="16663.97"/>
        <n v="16670.137"/>
        <n v="16676.975"/>
        <n v="16683.229"/>
        <n v="16686.729"/>
        <n v="16691.162"/>
        <n v="16692.586"/>
        <n v="16704.727"/>
        <n v="16709.176"/>
        <n v="16711.129"/>
        <n v="16713.479"/>
        <n v="16714.635"/>
        <n v="16722.227"/>
        <n v="16724.977"/>
        <n v="16726.98"/>
        <n v="16731.12"/>
        <n v="16731.314"/>
        <n v="16732.615"/>
        <n v="16733.195"/>
        <n v="16736.297"/>
        <n v="16739.324"/>
        <n v="16740.793"/>
        <n v="16745.383"/>
        <n v="16746.898"/>
        <n v="16754.139"/>
        <n v="16755.264"/>
        <n v="16755.49"/>
        <n v="16758.637"/>
        <n v="16759.918"/>
        <n v="16773.613"/>
        <n v="16775.338"/>
        <n v="16781.137"/>
        <n v="16781.63"/>
        <n v="16784.922"/>
        <n v="16785.678"/>
        <n v="16790.314"/>
        <n v="16812.264"/>
        <n v="16829.99"/>
        <n v="16839.115"/>
        <n v="16842.107"/>
        <n v="16848.453"/>
        <n v="16850.295"/>
        <n v="16850.51"/>
        <n v="16860.293"/>
        <n v="16870.012"/>
        <n v="16877.793"/>
        <n v="16883.477"/>
        <n v="16896.666"/>
        <n v="16901.867"/>
        <n v="16905.676"/>
        <n v="16940.182"/>
        <n v="16943.713"/>
        <n v="16944.68"/>
        <n v="16956.576"/>
        <n v="16960.322"/>
        <n v="16961.58"/>
        <n v="16963.93"/>
        <n v="16963.969"/>
        <n v="16968.162"/>
        <n v="16972.453"/>
        <n v="16978.447"/>
        <n v="16981.389"/>
        <n v="16981.713"/>
        <n v="17002.732"/>
        <n v="17004.28"/>
        <n v="17009.488"/>
        <n v="17011.865"/>
        <n v="17012.234"/>
        <n v="17012.96"/>
        <n v="17019.666"/>
        <n v="17035.725"/>
        <n v="17037.115"/>
        <n v="17044.453"/>
        <n v="17047.527"/>
        <n v="17050.422"/>
        <n v="17050.559"/>
        <n v="17055.178"/>
        <n v="17059.22"/>
        <n v="17072.861"/>
        <n v="17087.75"/>
        <n v="17092.805"/>
        <n v="17093.832"/>
        <n v="17100.605"/>
        <n v="17105.523"/>
        <n v="17106.277"/>
        <n v="17108.479"/>
        <n v="17118.662"/>
        <n v="17130.695"/>
        <n v="17132.494"/>
        <n v="17134.89"/>
        <n v="17135.658"/>
        <n v="17137.08"/>
        <n v="17150.654"/>
        <n v="17150.955"/>
        <n v="17155.463"/>
        <n v="17168.646"/>
        <n v="17168.812"/>
        <n v="17170.379"/>
        <n v="17172.146"/>
        <n v="17179.545"/>
        <n v="17179.89"/>
        <n v="17194.473"/>
        <n v="17224.73"/>
        <n v="17230.557"/>
        <n v="17235.146"/>
        <n v="17235.754"/>
        <n v="17236.658"/>
        <n v="17240.398"/>
        <n v="17253.637"/>
        <n v="17263.035"/>
        <n v="17266.11"/>
        <n v="17270.41"/>
        <n v="17281.953"/>
        <n v="17283.504"/>
        <n v="17285.285"/>
        <n v="17289.984"/>
        <n v="17297.453"/>
        <n v="17302.312"/>
        <n v="17304.479"/>
        <n v="17308.941"/>
        <n v="17314.21"/>
        <n v="17314.732"/>
        <n v="17317.955"/>
        <n v="17328.123"/>
        <n v="17330.672"/>
        <n v="17349.246"/>
        <n v="17349.969"/>
        <n v="17350.008"/>
        <n v="17356.479"/>
        <n v="17358.39"/>
        <n v="17359.752"/>
        <n v="17378.723"/>
        <n v="17381.523"/>
        <n v="17383.969"/>
        <n v="17392.564"/>
        <n v="17403.566"/>
        <n v="17404.129"/>
        <n v="17405.027"/>
        <n v="17407.123"/>
        <n v="17412.256"/>
        <n v="17421.605"/>
        <n v="17426.383"/>
        <n v="17431.803"/>
        <n v="17433.594"/>
        <n v="17446.719"/>
        <n v="17447.246"/>
        <n v="17467.385"/>
        <n v="17473.527"/>
        <n v="17474.537"/>
        <n v="17477.805"/>
        <n v="17479.79"/>
        <n v="17492.645"/>
        <n v="17508.084"/>
        <n v="17511.047"/>
        <n v="17516.63"/>
        <n v="17516.676"/>
        <n v="17520.318"/>
        <n v="17533.297"/>
        <n v="17534.783"/>
        <n v="17537.49"/>
        <n v="17574.09"/>
        <n v="17576.723"/>
        <n v="17585.445"/>
        <n v="17587.178"/>
        <n v="17588.584"/>
        <n v="17612.113"/>
        <n v="17613.062"/>
        <n v="17630.773"/>
        <n v="17636.014"/>
        <n v="17636.992"/>
        <n v="17638.7"/>
        <n v="17648.066"/>
        <n v="17657.438"/>
        <n v="17660.674"/>
        <n v="17665.49"/>
        <n v="17686.465"/>
        <n v="17699.582"/>
        <n v="17705.162"/>
        <n v="17711.51"/>
        <n v="17715.055"/>
        <n v="17717.014"/>
        <n v="17721.885"/>
        <n v="17726.076"/>
        <n v="17742.139"/>
        <n v="17765.83"/>
        <n v="17766.676"/>
        <n v="17771.857"/>
        <n v="17781.133"/>
        <n v="17781.723"/>
        <n v="17783.152"/>
        <n v="17783.207"/>
        <n v="17787.668"/>
        <n v="17792.572"/>
        <n v="17831.693"/>
        <n v="17847.723"/>
        <n v="17847.889"/>
        <n v="17856.018"/>
        <n v="17874.97"/>
        <n v="17884.244"/>
        <n v="17910.203"/>
        <n v="17921.68"/>
        <n v="17939.137"/>
        <n v="17946.95"/>
        <n v="17953.27"/>
        <n v="17956.227"/>
        <n v="17960.684"/>
        <n v="17961.676"/>
        <n v="17962.22"/>
        <n v="17963.77"/>
        <n v="17964.354"/>
        <n v="17967.139"/>
        <n v="17967.488"/>
        <n v="17967.81"/>
        <n v="17974.082"/>
        <n v="17976.148"/>
        <n v="17978.35"/>
        <n v="17982.88"/>
        <n v="18000.162"/>
        <n v="18010.146"/>
        <n v="18028.166"/>
        <n v="18032.59"/>
        <n v="18056.396"/>
        <n v="18058.996"/>
        <n v="18064.951"/>
        <n v="18067.742"/>
        <n v="18071.475"/>
        <n v="18073.553"/>
        <n v="18080.918"/>
        <n v="18085.92"/>
        <n v="18087.041"/>
        <n v="18087.426"/>
        <n v="18089.064"/>
        <n v="18097.594"/>
        <n v="18098.373"/>
        <n v="18100.527"/>
        <n v="18106.951"/>
        <n v="18115.555"/>
        <n v="18121.291"/>
        <n v="18130.752"/>
        <n v="18132.562"/>
        <n v="18138.418"/>
        <n v="18139.17"/>
        <n v="18144.992"/>
        <n v="18148.094"/>
        <n v="18149.818"/>
        <n v="18152.479"/>
        <n v="18180.15"/>
        <n v="18182.08"/>
        <n v="18197.238"/>
        <n v="18198.82"/>
        <n v="18212.965"/>
        <n v="18217.95"/>
        <n v="18225.668"/>
        <n v="18227.662"/>
        <n v="18231.395"/>
        <n v="18233.812"/>
        <n v="18235.354"/>
        <n v="18242.656"/>
        <n v="18258.678"/>
        <n v="18268.32"/>
        <n v="18272.61"/>
        <n v="18303.053"/>
        <n v="18310.578"/>
        <n v="18313.562"/>
        <n v="18325.873"/>
        <n v="18332.191"/>
        <n v="18340.729"/>
        <n v="18342.82"/>
        <n v="18357.195"/>
        <n v="18357.658"/>
        <n v="18369.316"/>
        <n v="18384.273"/>
        <n v="18384.707"/>
        <n v="18390.398"/>
        <n v="18394.787"/>
        <n v="18394.86"/>
        <n v="18402.727"/>
        <n v="18402.977"/>
        <n v="18412.941"/>
        <n v="18418.84"/>
        <n v="18421.07"/>
        <n v="18435.262"/>
        <n v="18437.537"/>
        <n v="18448.648"/>
        <n v="18448.959"/>
        <n v="18453.33"/>
        <n v="18455.598"/>
        <n v="18458.855"/>
        <n v="18467.145"/>
        <n v="18468.623"/>
        <n v="18470.98"/>
        <n v="18484.117"/>
        <n v="18484.44"/>
        <n v="18485.121"/>
        <n v="18488.58"/>
        <n v="18489.61"/>
        <n v="18493.479"/>
        <n v="18501.799"/>
        <n v="18502.758"/>
        <n v="18504.148"/>
        <n v="18510.422"/>
        <n v="18520.588"/>
        <n v="18538.75"/>
        <n v="18549.352"/>
        <n v="18549.932"/>
        <n v="18552.518"/>
        <n v="18553.201"/>
        <n v="18564.055"/>
        <n v="18580.77"/>
        <n v="18590.184"/>
        <n v="18592.385"/>
        <n v="18597.8"/>
        <n v="18610.441"/>
        <n v="18610.697"/>
        <n v="18621.549"/>
        <n v="18627.982"/>
        <n v="18633.982"/>
        <n v="18641.135"/>
        <n v="18641.96"/>
        <n v="18646.225"/>
        <n v="18653.018"/>
        <n v="18657.398"/>
        <n v="18657.592"/>
        <n v="18663.375"/>
        <n v="18668.357"/>
        <n v="18670.227"/>
        <n v="18684.586"/>
        <n v="18688.533"/>
        <n v="18717.838"/>
        <n v="18723.309"/>
        <n v="18727.932"/>
        <n v="18728.182"/>
        <n v="18729.88"/>
        <n v="18736.98"/>
        <n v="18740.543"/>
        <n v="18753.633"/>
        <n v="18757.299"/>
        <n v="18759.568"/>
        <n v="18763.19"/>
        <n v="18773.168"/>
        <n v="18775.932"/>
        <n v="18784.773"/>
        <n v="18786.547"/>
        <n v="18789.51"/>
        <n v="18795.404"/>
        <n v="18798.164"/>
        <n v="18811.25"/>
        <n v="18811.96"/>
        <n v="18814.0"/>
        <n v="18847.379"/>
        <n v="18849.15"/>
        <n v="18868.12"/>
        <n v="18880.572"/>
        <n v="18887.785"/>
        <n v="18890.049"/>
        <n v="18890.2"/>
        <n v="18903.305"/>
        <n v="18908.277"/>
        <n v="18912.955"/>
        <n v="18915.133"/>
        <n v="18919.61"/>
        <n v="18922.123"/>
        <n v="18922.9"/>
        <n v="18923.941"/>
        <n v="18924.031"/>
        <n v="18940.201"/>
        <n v="18946.154"/>
        <n v="18948.658"/>
        <n v="18956.057"/>
        <n v="18956.566"/>
        <n v="18964.973"/>
        <n v="18975.465"/>
        <n v="18992.549"/>
        <n v="18995.113"/>
        <n v="18997.611"/>
        <n v="19002.33"/>
        <n v="19006.656"/>
        <n v="19010.418"/>
        <n v="19029.863"/>
        <n v="19031.008"/>
        <n v="19032.518"/>
        <n v="19032.611"/>
        <n v="19041.895"/>
        <n v="19044.314"/>
        <n v="19062.01"/>
        <n v="19076.092"/>
        <n v="19077.48"/>
        <n v="19080.52"/>
        <n v="19099.799"/>
        <n v="19108.129"/>
        <n v="19130.68"/>
        <n v="19134.35"/>
        <n v="19145.158"/>
        <n v="19157.629"/>
        <n v="19171.316"/>
        <n v="19174.607"/>
        <n v="19199.367"/>
        <n v="19206.406"/>
        <n v="19215.852"/>
        <n v="19223.805"/>
        <n v="19226.94"/>
        <n v="19234.855"/>
        <n v="19236.107"/>
        <n v="19237.67"/>
        <n v="19243.258"/>
        <n v="19249.178"/>
        <n v="19265.984"/>
        <n v="19280.861"/>
        <n v="19284.568"/>
        <n v="19292.854"/>
        <n v="19295.63"/>
        <n v="19300.41"/>
        <n v="19304.434"/>
        <n v="19310.469"/>
        <n v="19313.787"/>
        <n v="19319.297"/>
        <n v="19323.348"/>
        <n v="19328.922"/>
        <n v="19338.586"/>
        <n v="19346.57"/>
        <n v="19364.283"/>
        <n v="19367.084"/>
        <n v="19369.373"/>
        <n v="19378.86"/>
        <n v="19381.166"/>
        <n v="19387.033"/>
        <n v="19398.836"/>
        <n v="19399.074"/>
        <n v="19402.906"/>
        <n v="19403.36"/>
        <n v="19403.85"/>
        <n v="19406.736"/>
        <n v="19424.594"/>
        <n v="19432.994"/>
        <n v="19434.057"/>
        <n v="19455.912"/>
        <n v="19459.082"/>
        <n v="19463.037"/>
        <n v="19465.988"/>
        <n v="19466.447"/>
        <n v="19468.932"/>
        <n v="19474.848"/>
        <n v="19476.578"/>
        <n v="19499.125"/>
        <n v="19504.727"/>
        <n v="19508.863"/>
        <n v="19511.662"/>
        <n v="19539.002"/>
        <n v="19546.562"/>
        <n v="19555.006"/>
        <n v="19556.156"/>
        <n v="19557.477"/>
        <n v="19563.242"/>
        <n v="19573.543"/>
        <n v="19575.773"/>
        <n v="19576.537"/>
        <n v="19576.99"/>
        <n v="19577.293"/>
        <n v="19578.074"/>
        <n v="19579.225"/>
        <n v="19583.408"/>
        <n v="19587.996"/>
        <n v="19590.123"/>
        <n v="19590.139"/>
        <n v="19597.389"/>
        <n v="19611.186"/>
        <n v="19627.053"/>
        <n v="19630.645"/>
        <n v="19631.684"/>
        <n v="19637.47"/>
        <n v="19638.12"/>
        <n v="19646.727"/>
        <n v="19662.305"/>
        <n v="19668.77"/>
        <n v="19675.348"/>
        <n v="19675.53"/>
        <n v="19680.7"/>
        <n v="19689.658"/>
        <n v="19694.516"/>
        <n v="19718.64"/>
        <n v="19737.18"/>
        <n v="19746.717"/>
        <n v="19772.031"/>
        <n v="19780.506"/>
        <n v="19789.193"/>
        <n v="19794.506"/>
        <n v="19796.848"/>
        <n v="19797.033"/>
        <n v="19821.516"/>
        <n v="19829.697"/>
        <n v="19834.463"/>
        <n v="19851.902"/>
        <n v="19857.035"/>
        <n v="19873.229"/>
        <n v="19873.26"/>
        <n v="19881.635"/>
        <n v="19890.94"/>
        <n v="19893.844"/>
        <n v="19906.076"/>
        <n v="19906.22"/>
        <n v="19906.834"/>
        <n v="19911.203"/>
        <n v="19915.06"/>
        <n v="19930.115"/>
        <n v="19938.254"/>
        <n v="19947.059"/>
        <n v="19954.762"/>
        <n v="19970.396"/>
        <n v="19985.904"/>
        <n v="19988.17"/>
        <n v="19991.225"/>
        <n v="20004.762"/>
        <n v="20005.416"/>
        <n v="20008.088"/>
        <n v="20013.062"/>
        <n v="20019.14"/>
        <n v="20020.596"/>
        <n v="20032.027"/>
        <n v="20040.771"/>
        <n v="20050.084"/>
        <n v="20056.494"/>
        <n v="20069.123"/>
        <n v="20075.691"/>
        <n v="20076.346"/>
        <n v="20085.041"/>
        <n v="20112.16"/>
        <n v="20113.332"/>
        <n v="20119.715"/>
        <n v="20121.527"/>
        <n v="20123.344"/>
        <n v="20142.525"/>
        <n v="20143.916"/>
        <n v="20152.23"/>
        <n v="20152.344"/>
        <n v="20153.562"/>
        <n v="20153.719"/>
        <n v="20156.32"/>
        <n v="20160.8"/>
        <n v="20171.842"/>
        <n v="20171.9"/>
        <n v="20191.414"/>
        <n v="20197.334"/>
        <n v="20201.014"/>
        <n v="20204.906"/>
        <n v="20213.115"/>
        <n v="20216.604"/>
        <n v="20222.768"/>
        <n v="20240.24"/>
        <n v="20243.238"/>
        <n v="20253.197"/>
        <n v="20257.705"/>
        <n v="20278.295"/>
        <n v="20281.568"/>
        <n v="20296.918"/>
        <n v="20307.605"/>
        <n v="20313.357"/>
        <n v="20324.766"/>
        <n v="20342.23"/>
        <n v="20351.963"/>
        <n v="20360.316"/>
        <n v="20365.4"/>
        <n v="20367.414"/>
        <n v="20375.049"/>
        <n v="20377.479"/>
        <n v="20378.408"/>
        <n v="20380.818"/>
        <n v="20383.412"/>
        <n v="20389.607"/>
        <n v="20394.992"/>
        <n v="20395.242"/>
        <n v="20396.957"/>
        <n v="20403.521"/>
        <n v="20416.783"/>
        <n v="20421.025"/>
        <n v="20436.33"/>
        <n v="20446.494"/>
        <n v="20449.39"/>
        <n v="20471.13"/>
        <n v="20471.988"/>
        <n v="20477.71"/>
        <n v="20481.492"/>
        <n v="20492.916"/>
        <n v="20499.234"/>
        <n v="20499.754"/>
        <n v="20503.268"/>
        <n v="20513.594"/>
        <n v="20521.45"/>
        <n v="20531.055"/>
        <n v="20540.467"/>
        <n v="20558.516"/>
        <n v="20567.398"/>
        <n v="20571.918"/>
        <n v="20572.338"/>
        <n v="20579.553"/>
        <n v="20581.328"/>
        <n v="20596.385"/>
        <n v="20610.271"/>
        <n v="20624.166"/>
        <n v="20626.111"/>
        <n v="20630.123"/>
        <n v="20633.264"/>
        <n v="20636.025"/>
        <n v="20639.842"/>
        <n v="20640.633"/>
        <n v="20664.514"/>
        <n v="20670.486"/>
        <n v="20684.182"/>
        <n v="20691.188"/>
        <n v="20691.436"/>
        <n v="20693.555"/>
        <n v="20702.152"/>
        <n v="20703.469"/>
        <n v="20708.396"/>
        <n v="20717.15"/>
        <n v="20731.762"/>
        <n v="20734.879"/>
        <n v="20737.244"/>
        <n v="20737.594"/>
        <n v="20743.047"/>
        <n v="20751.143"/>
        <n v="20756.943"/>
        <n v="20759.72"/>
        <n v="20759.8"/>
        <n v="20776.89"/>
        <n v="20779.764"/>
        <n v="20811.98"/>
        <n v="20828.768"/>
        <n v="20867.256"/>
        <n v="20888.324"/>
        <n v="20889.986"/>
        <n v="20892.91"/>
        <n v="20914.26"/>
        <n v="20915.02"/>
        <n v="20924.342"/>
        <n v="20941.672"/>
        <n v="20942.393"/>
        <n v="20971.912"/>
        <n v="20978.555"/>
        <n v="20984.914"/>
        <n v="20992.98"/>
        <n v="20993.682"/>
        <n v="20999.95"/>
        <n v="21007.29"/>
        <n v="21011.805"/>
        <n v="21012.291"/>
        <n v="21013.738"/>
        <n v="21026.564"/>
        <n v="21033.324"/>
        <n v="21034.354"/>
        <n v="21037.97"/>
        <n v="21053.846"/>
        <n v="21064.637"/>
        <n v="21070.025"/>
        <n v="21080.012"/>
        <n v="21121.738"/>
        <n v="21127.55"/>
        <n v="21133.951"/>
        <n v="21135.992"/>
        <n v="21144.66"/>
        <n v="21146.594"/>
        <n v="21146.838"/>
        <n v="21168.535"/>
        <n v="21170.059"/>
        <n v="21173.305"/>
        <n v="21173.65"/>
        <n v="21177.12"/>
        <n v="21180.273"/>
        <n v="21195.812"/>
        <n v="21200.432"/>
        <n v="21214.111"/>
        <n v="21215.703"/>
        <n v="21232.518"/>
        <n v="21236.55"/>
        <n v="21237.123"/>
        <n v="21252.889"/>
        <n v="21266.982"/>
        <n v="21274.244"/>
        <n v="21275.953"/>
        <n v="21282.586"/>
        <n v="21292.63"/>
        <n v="21305.307"/>
        <n v="21306.602"/>
        <n v="21309.096"/>
        <n v="21315.715"/>
        <n v="21316.812"/>
        <n v="21318.16"/>
        <n v="21320.408"/>
        <n v="21320.436"/>
        <n v="21329.17"/>
        <n v="21334.443"/>
        <n v="21336.246"/>
        <n v="21343.16"/>
        <n v="21344.85"/>
        <n v="21347.691"/>
        <n v="21356.316"/>
        <n v="21370.1"/>
        <n v="21417.863"/>
        <n v="21426.584"/>
        <n v="21433.805"/>
        <n v="21446.906"/>
        <n v="21455.648"/>
        <n v="21455.732"/>
        <n v="21462.625"/>
        <n v="21491.252"/>
        <n v="21500.305"/>
        <n v="21510.744"/>
        <n v="21522.656"/>
        <n v="21533.875"/>
        <n v="21536.602"/>
        <n v="21548.275"/>
        <n v="21553.4"/>
        <n v="21553.635"/>
        <n v="21582.066"/>
        <n v="21586.766"/>
        <n v="21590.0"/>
        <n v="21592.053"/>
        <n v="21595.963"/>
        <n v="21599.883"/>
        <n v="21610.744"/>
        <n v="21616.078"/>
        <n v="21631.643"/>
        <n v="21631.914"/>
        <n v="21643.418"/>
        <n v="21644.775"/>
        <n v="21665.006"/>
        <n v="21680.621"/>
        <n v="21686.705"/>
        <n v="21692.805"/>
        <n v="21724.477"/>
        <n v="21734.512"/>
        <n v="21735.219"/>
        <n v="21737.688"/>
        <n v="21743.54"/>
        <n v="21767.549"/>
        <n v="21769.682"/>
        <n v="21772.018"/>
        <n v="21812.564"/>
        <n v="21813.951"/>
        <n v="21842.574"/>
        <n v="21857.72"/>
        <n v="21861.322"/>
        <n v="21868.37"/>
        <n v="21897.066"/>
        <n v="21903.979"/>
        <n v="21909.525"/>
        <n v="21915.375"/>
        <n v="21921.447"/>
        <n v="21925.158"/>
        <n v="21932.812"/>
        <n v="21938.947"/>
        <n v="21975.393"/>
        <n v="21983.426"/>
        <n v="21985.246"/>
        <n v="21991.455"/>
        <n v="21999.488"/>
        <n v="22002.145"/>
        <n v="22019.96"/>
        <n v="22033.674"/>
        <n v="22036.459"/>
        <n v="22047.7"/>
        <n v="22054.248"/>
        <n v="22068.7"/>
        <n v="22075.652"/>
        <n v="22095.38"/>
        <n v="22107.053"/>
        <n v="22107.637"/>
        <n v="22109.979"/>
        <n v="22111.783"/>
        <n v="22114.605"/>
        <n v="22117.123"/>
        <n v="22119.473"/>
        <n v="22122.64"/>
        <n v="22163.21"/>
        <n v="22174.771"/>
        <n v="22179.049"/>
        <n v="22179.947"/>
        <n v="22180.969"/>
        <n v="22184.96"/>
        <n v="22196.45"/>
        <n v="22212.355"/>
        <n v="22217.795"/>
        <n v="22230.65"/>
        <n v="22235.967"/>
        <n v="22246.383"/>
        <n v="22246.64"/>
        <n v="22247.639"/>
        <n v="22279.12"/>
        <n v="22286.547"/>
        <n v="22289.098"/>
        <n v="22304.87"/>
        <n v="22305.47"/>
        <n v="22310.967"/>
        <n v="22316.69"/>
        <n v="22328.326"/>
        <n v="22341.865"/>
        <n v="22342.174"/>
        <n v="22354.648"/>
        <n v="22371.133"/>
        <n v="22392.352"/>
        <n v="22395.14"/>
        <n v="22399.078"/>
        <n v="22409.102"/>
        <n v="22420.668"/>
        <n v="22422.766"/>
        <n v="22443.852"/>
        <n v="22455.5"/>
        <n v="22467.686"/>
        <n v="22467.748"/>
        <n v="22482.574"/>
        <n v="22511.785"/>
        <n v="22516.06"/>
        <n v="22517.328"/>
        <n v="22517.51"/>
        <n v="22552.434"/>
        <n v="22557.344"/>
        <n v="22559.957"/>
        <n v="22569.314"/>
        <n v="22572.486"/>
        <n v="22578.002"/>
        <n v="22586.516"/>
        <n v="22599.025"/>
        <n v="22636.342"/>
        <n v="22645.977"/>
        <n v="22669.367"/>
        <n v="22671.338"/>
        <n v="22673.855"/>
        <n v="22675.703"/>
        <n v="22694.84"/>
        <n v="22699.54"/>
        <n v="22711.756"/>
        <n v="22714.63"/>
        <n v="22729.848"/>
        <n v="22780.908"/>
        <n v="22781.215"/>
        <n v="22787.021"/>
        <n v="22793.574"/>
        <n v="22801.305"/>
        <n v="22811.604"/>
        <n v="22827.03"/>
        <n v="22827.504"/>
        <n v="22832.615"/>
        <n v="22833.568"/>
        <n v="22837.088"/>
        <n v="22877.81"/>
        <n v="22879.973"/>
        <n v="22894.055"/>
        <n v="22894.695"/>
        <n v="22902.184"/>
        <n v="22908.45"/>
        <n v="22911.555"/>
        <n v="22917.986"/>
        <n v="22939.031"/>
        <n v="22972.746"/>
        <n v="22989.076"/>
        <n v="22992.465"/>
        <n v="22997.986"/>
        <n v="23007.656"/>
        <n v="23014.893"/>
        <n v="23018.78"/>
        <n v="23021.082"/>
        <n v="23038.89"/>
        <n v="23041.707"/>
        <n v="23058.318"/>
        <n v="23059.762"/>
        <n v="23068.139"/>
        <n v="23086.703"/>
        <n v="23091.428"/>
        <n v="23095.023"/>
        <n v="23104.613"/>
        <n v="23110.113"/>
        <n v="23117.53"/>
        <n v="23123.592"/>
        <n v="23134.691"/>
        <n v="23152.8"/>
        <n v="23156.361"/>
        <n v="23166.158"/>
        <n v="23167.643"/>
        <n v="23189.562"/>
        <n v="23189.645"/>
        <n v="23211.096"/>
        <n v="23217.373"/>
        <n v="23218.637"/>
        <n v="23220.135"/>
        <n v="23226.729"/>
        <n v="23236.184"/>
        <n v="23238.6"/>
        <n v="23247.662"/>
        <n v="23271.361"/>
        <n v="23285.066"/>
        <n v="23289.115"/>
        <n v="23289.197"/>
        <n v="23293.893"/>
        <n v="23296.818"/>
        <n v="23338.223"/>
        <n v="23349.66"/>
        <n v="23357.953"/>
        <n v="23370.957"/>
        <n v="23375.727"/>
        <n v="23379.414"/>
        <n v="23411.2"/>
        <n v="23412.06"/>
        <n v="23417.893"/>
        <n v="23423.18"/>
        <n v="23426.877"/>
        <n v="23443.004"/>
        <n v="23453.205"/>
        <n v="23455.365"/>
        <n v="23461.992"/>
        <n v="23478.723"/>
        <n v="23487.838"/>
        <n v="23493.09"/>
        <n v="23499.201"/>
        <n v="23514.379"/>
        <n v="23532.104"/>
        <n v="23554.605"/>
        <n v="23558.75"/>
        <n v="23571.98"/>
        <n v="23582.225"/>
        <n v="23584.72"/>
        <n v="23590.61"/>
        <n v="23599.273"/>
        <n v="23608.896"/>
        <n v="23624.504"/>
        <n v="23638.766"/>
        <n v="23651.912"/>
        <n v="23679.709"/>
        <n v="23686.29"/>
        <n v="23688.12"/>
        <n v="23705.275"/>
        <n v="23707.145"/>
        <n v="23713.729"/>
        <n v="23714.906"/>
        <n v="23724.55"/>
        <n v="23732.377"/>
        <n v="23732.674"/>
        <n v="23759.521"/>
        <n v="23765.719"/>
        <n v="23768.201"/>
        <n v="23775.148"/>
        <n v="23779.68"/>
        <n v="23817.643"/>
        <n v="23831.498"/>
        <n v="23840.121"/>
        <n v="23845.182"/>
        <n v="23861.902"/>
        <n v="23869.402"/>
        <n v="23874.428"/>
        <n v="23887.748"/>
        <n v="23906.21"/>
        <n v="23914.467"/>
        <n v="23917.87"/>
        <n v="23919.867"/>
        <n v="23931.87"/>
        <n v="23934.223"/>
        <n v="23942.94"/>
        <n v="23947.59"/>
        <n v="23953.432"/>
        <n v="23956.45"/>
        <n v="23965.328"/>
        <n v="23980.764"/>
        <n v="23986.113"/>
        <n v="23986.836"/>
        <n v="23997.438"/>
        <n v="24002.533"/>
        <n v="24020.611"/>
        <n v="24037.059"/>
        <n v="24042.64"/>
        <n v="24056.672"/>
        <n v="24060.223"/>
        <n v="24071.125"/>
        <n v="24076.594"/>
        <n v="24080.229"/>
        <n v="24084.77"/>
        <n v="24091.275"/>
        <n v="24093.863"/>
        <n v="24094.768"/>
        <n v="24101.709"/>
        <n v="24108.787"/>
        <n v="24131.475"/>
        <n v="24135.232"/>
        <n v="24151.078"/>
        <n v="24152.277"/>
        <n v="24161.031"/>
        <n v="24171.502"/>
        <n v="24173.088"/>
        <n v="24182.895"/>
        <n v="24200.945"/>
        <n v="24205.283"/>
        <n v="24217.994"/>
        <n v="24234.162"/>
        <n v="24238.496"/>
        <n v="24239.074"/>
        <n v="24253.664"/>
        <n v="24294.91"/>
        <n v="24307.912"/>
        <n v="24314.582"/>
        <n v="24316.043"/>
        <n v="24333.58"/>
        <n v="24354.783"/>
        <n v="24355.91"/>
        <n v="24369.682"/>
        <n v="24385.21"/>
        <n v="24391.521"/>
        <n v="24396.898"/>
        <n v="24425.918"/>
        <n v="24426.164"/>
        <n v="24428.852"/>
        <n v="24436.857"/>
        <n v="24470.797"/>
        <n v="24476.871"/>
        <n v="24494.887"/>
        <n v="24499.482"/>
        <n v="24514.264"/>
        <n v="24521.63"/>
        <n v="24522.523"/>
        <n v="24529.121"/>
        <n v="24543.025"/>
        <n v="24555.998"/>
        <n v="24571.902"/>
        <n v="24576.812"/>
        <n v="24581.297"/>
        <n v="24600.855"/>
        <n v="24632.508"/>
        <n v="24632.92"/>
        <n v="24641.3"/>
        <n v="24641.562"/>
        <n v="24643.828"/>
        <n v="24656.582"/>
        <n v="24659.6"/>
        <n v="24660.332"/>
        <n v="24667.18"/>
        <n v="24667.205"/>
        <n v="24680.318"/>
        <n v="24684.045"/>
        <n v="24694.812"/>
        <n v="24740.06"/>
        <n v="24744.312"/>
        <n v="24747.1"/>
        <n v="24752.686"/>
        <n v="24755.674"/>
        <n v="24757.941"/>
        <n v="24759.682"/>
        <n v="24762.367"/>
        <n v="24780.537"/>
        <n v="24788.24"/>
        <n v="24796.076"/>
        <n v="24806.967"/>
        <n v="24807.955"/>
        <n v="24818.07"/>
        <n v="24838.734"/>
        <n v="24844.086"/>
        <n v="24872.076"/>
        <n v="24875.014"/>
        <n v="24881.477"/>
        <n v="24891.611"/>
        <n v="24898.31"/>
        <n v="24900.26"/>
        <n v="24905.793"/>
        <n v="24915.0"/>
        <n v="24918.684"/>
        <n v="24936.412"/>
        <n v="24939.793"/>
        <n v="24940.557"/>
        <n v="24942.203"/>
        <n v="24955.484"/>
        <n v="24962.56"/>
        <n v="24971.963"/>
        <n v="24977.033"/>
        <n v="24987.752"/>
        <n v="24994.074"/>
        <n v="24994.332"/>
        <n v="24994.576"/>
        <n v="24997.895"/>
        <n v="25006.701"/>
        <n v="25016.83"/>
        <n v="25025.352"/>
        <n v="25032.537"/>
        <n v="25044.104"/>
        <n v="25050.432"/>
        <n v="25061.643"/>
        <n v="25062.9"/>
        <n v="25066.959"/>
        <n v="25071.143"/>
        <n v="25075.623"/>
        <n v="25078.506"/>
        <n v="25079.918"/>
        <n v="25092.059"/>
        <n v="25092.92"/>
        <n v="25098.611"/>
        <n v="25099.291"/>
        <n v="25109.262"/>
        <n v="25114.969"/>
        <n v="25127.229"/>
        <n v="25128.355"/>
        <n v="25128.771"/>
        <n v="25134.613"/>
        <n v="25140.973"/>
        <n v="25154.436"/>
        <n v="25165.766"/>
        <n v="25184.242"/>
        <n v="25197.982"/>
        <n v="25205.918"/>
        <n v="25219.01"/>
        <n v="25226.322"/>
        <n v="25226.578"/>
        <n v="25231.861"/>
        <n v="25234.713"/>
        <n v="25251.893"/>
        <n v="25261.725"/>
        <n v="25281.47"/>
        <n v="25295.773"/>
        <n v="25303.29"/>
        <n v="25321.121"/>
        <n v="25336.709"/>
        <n v="25338.648"/>
        <n v="25353.273"/>
        <n v="25360.771"/>
        <n v="25376.07"/>
        <n v="25392.164"/>
        <n v="25406.154"/>
        <n v="25421.045"/>
        <n v="25430.346"/>
        <n v="25459.387"/>
        <n v="25471.582"/>
        <n v="25476.943"/>
        <n v="25478.207"/>
        <n v="25481.814"/>
        <n v="25485.96"/>
        <n v="25493.6"/>
        <n v="25516.797"/>
        <n v="25516.957"/>
        <n v="25524.818"/>
        <n v="25530.701"/>
        <n v="25544.244"/>
        <n v="25554.07"/>
        <n v="25567.469"/>
        <n v="25594.115"/>
        <n v="25597.227"/>
        <n v="25601.467"/>
        <n v="25610.932"/>
        <n v="25618.941"/>
        <n v="25632.883"/>
        <n v="25638.635"/>
        <n v="25645.621"/>
        <n v="25651.572"/>
        <n v="25654.4"/>
        <n v="25655.133"/>
        <n v="25662.115"/>
        <n v="25665.611"/>
        <n v="25666.742"/>
        <n v="25673.332"/>
        <n v="25691.625"/>
        <n v="25710.578"/>
        <n v="25710.727"/>
        <n v="25715.441"/>
        <n v="25718.0"/>
        <n v="25735.385"/>
        <n v="25743.836"/>
        <n v="25754.51"/>
        <n v="25759.89"/>
        <n v="25760.926"/>
        <n v="25765.094"/>
        <n v="25780.13"/>
        <n v="25784.225"/>
        <n v="25791.172"/>
        <n v="25794.066"/>
        <n v="25813.229"/>
        <n v="25817.717"/>
        <n v="25821.334"/>
        <n v="25823.287"/>
        <n v="25852.617"/>
        <n v="25854.002"/>
        <n v="25870.34"/>
        <n v="25875.422"/>
        <n v="25916.375"/>
        <n v="25927.719"/>
        <n v="25929.031"/>
        <n v="25931.318"/>
        <n v="25932.873"/>
        <n v="25942.113"/>
        <n v="25947.395"/>
        <n v="25954.656"/>
        <n v="25959.744"/>
        <n v="25960.836"/>
        <n v="25970.707"/>
        <n v="25979.832"/>
        <n v="25981.281"/>
        <n v="25988.018"/>
        <n v="25990.816"/>
        <n v="25990.916"/>
        <n v="25991.373"/>
        <n v="26000.686"/>
        <n v="26008.367"/>
        <n v="26013.479"/>
        <n v="26013.688"/>
        <n v="26016.703"/>
        <n v="26041.184"/>
        <n v="26053.31"/>
        <n v="26076.389"/>
        <n v="26093.176"/>
        <n v="26093.639"/>
        <n v="26096.805"/>
        <n v="26118.965"/>
        <n v="26133.139"/>
        <n v="26141.912"/>
        <n v="26153.467"/>
        <n v="26154.86"/>
        <n v="26158.38"/>
        <n v="26192.926"/>
        <n v="26196.988"/>
        <n v="26212.955"/>
        <n v="26232.467"/>
        <n v="26236.92"/>
        <n v="26241.158"/>
        <n v="26249.594"/>
        <n v="26253.617"/>
        <n v="26256.807"/>
        <n v="26262.92"/>
        <n v="26282.139"/>
        <n v="26283.82"/>
        <n v="26285.688"/>
        <n v="26289.254"/>
        <n v="26292.535"/>
        <n v="26304.314"/>
        <n v="26312.332"/>
        <n v="26313.107"/>
        <n v="26313.588"/>
        <n v="26330.79"/>
        <n v="26336.332"/>
        <n v="26337.684"/>
        <n v="26340.021"/>
        <n v="26363.068"/>
        <n v="26367.818"/>
        <n v="26372.535"/>
        <n v="26382.59"/>
        <n v="26389.102"/>
        <n v="26412.176"/>
        <n v="26425.549"/>
        <n v="26429.148"/>
        <n v="26440.516"/>
        <n v="26441.314"/>
        <n v="26456.928"/>
        <n v="26457.656"/>
        <n v="26459.42"/>
        <n v="26461.943"/>
        <n v="26462.594"/>
        <n v="26472.564"/>
        <n v="26503.785"/>
        <n v="26518.014"/>
        <n v="26523.688"/>
        <n v="26525.986"/>
        <n v="26528.752"/>
        <n v="26542.246"/>
        <n v="26557.926"/>
        <n v="26561.965"/>
        <n v="26562.197"/>
        <n v="26571.008"/>
        <n v="26577.275"/>
        <n v="26578.361"/>
        <n v="26590.453"/>
        <n v="26594.12"/>
        <n v="26597.12"/>
        <n v="26601.328"/>
        <n v="26601.775"/>
        <n v="26618.404"/>
        <n v="26629.666"/>
        <n v="26629.824"/>
        <n v="26635.107"/>
        <n v="26636.312"/>
        <n v="26642.047"/>
        <n v="26645.15"/>
        <n v="26652.912"/>
        <n v="26664.795"/>
        <n v="26665.314"/>
        <n v="26674.824"/>
        <n v="26678.637"/>
        <n v="26680.176"/>
        <n v="26697.61"/>
        <n v="26711.46"/>
        <n v="26723.955"/>
        <n v="26727.373"/>
        <n v="26734.312"/>
        <n v="26736.15"/>
        <n v="26739.113"/>
        <n v="26739.414"/>
        <n v="26751.65"/>
        <n v="26773.963"/>
        <n v="26776.49"/>
        <n v="26785.201"/>
        <n v="26785.832"/>
        <n v="26790.705"/>
        <n v="26791.81"/>
        <n v="26794.645"/>
        <n v="26805.506"/>
        <n v="26825.344"/>
        <n v="26830.818"/>
        <n v="26849.484"/>
        <n v="26868.266"/>
        <n v="26889.072"/>
        <n v="26904.895"/>
        <n v="26905.676"/>
        <n v="26910.973"/>
        <n v="26915.031"/>
        <n v="26927.834"/>
        <n v="26947.01"/>
        <n v="26964.86"/>
        <n v="26976.232"/>
        <n v="26978.094"/>
        <n v="26994.596"/>
        <n v="27000.611"/>
        <n v="27003.998"/>
        <n v="27005.984"/>
        <n v="27041.645"/>
        <n v="27049.418"/>
        <n v="27050.602"/>
        <n v="27071.768"/>
        <n v="27123.143"/>
        <n v="27129.709"/>
        <n v="27134.297"/>
        <n v="27153.611"/>
        <n v="27154.781"/>
        <n v="27170.318"/>
        <n v="27193.46"/>
        <n v="27193.633"/>
        <n v="27196.33"/>
        <n v="27196.69"/>
        <n v="27221.305"/>
        <n v="27257.99"/>
        <n v="27266.895"/>
        <n v="27267.758"/>
        <n v="27274.67"/>
        <n v="27298.03"/>
        <n v="27317.38"/>
        <n v="27344.783"/>
        <n v="27346.63"/>
        <n v="27354.86"/>
        <n v="27378.326"/>
        <n v="27406.453"/>
        <n v="27411.0"/>
        <n v="27430.426"/>
        <n v="27432.844"/>
        <n v="27437.01"/>
        <n v="27443.053"/>
        <n v="27444.008"/>
        <n v="27444.906"/>
        <n v="27450.512"/>
        <n v="27454.725"/>
        <n v="27457.875"/>
        <n v="27462.105"/>
        <n v="27477.623"/>
        <n v="27488.92"/>
        <n v="27489.441"/>
        <n v="27490.848"/>
        <n v="27520.873"/>
        <n v="27528.705"/>
        <n v="27540.297"/>
        <n v="27541.38"/>
        <n v="27541.82"/>
        <n v="27542.607"/>
        <n v="27550.2"/>
        <n v="27560.371"/>
        <n v="27574.135"/>
        <n v="27581.8"/>
        <n v="27582.633"/>
        <n v="27583.533"/>
        <n v="27587.34"/>
        <n v="27597.16"/>
        <n v="27599.7"/>
        <n v="27631.094"/>
        <n v="27636.34"/>
        <n v="27638.25"/>
        <n v="27644.438"/>
        <n v="27647.96"/>
        <n v="27655.045"/>
        <n v="27656.611"/>
        <n v="27671.88"/>
        <n v="27693.805"/>
        <n v="27696.584"/>
        <n v="27703.166"/>
        <n v="27706.56"/>
        <n v="27723.455"/>
        <n v="27726.844"/>
        <n v="27733.033"/>
        <n v="27733.936"/>
        <n v="27740.953"/>
        <n v="27747.975"/>
        <n v="27758.664"/>
        <n v="27759.346"/>
        <n v="27768.762"/>
        <n v="27781.545"/>
        <n v="27799.73"/>
        <n v="27801.133"/>
        <n v="27807.564"/>
        <n v="27816.795"/>
        <n v="27819.545"/>
        <n v="27823.912"/>
        <n v="27824.682"/>
        <n v="27828.389"/>
        <n v="27843.77"/>
        <n v="27852.602"/>
        <n v="27857.059"/>
        <n v="27858.514"/>
        <n v="27867.09"/>
        <n v="27874.07"/>
        <n v="27874.633"/>
        <n v="27875.854"/>
        <n v="27888.855"/>
        <n v="27892.334"/>
        <n v="27907.617"/>
        <n v="27909.777"/>
        <n v="27919.186"/>
        <n v="27920.064"/>
        <n v="27922.566"/>
        <n v="27924.516"/>
        <n v="27932.94"/>
        <n v="27934.125"/>
        <n v="27958.432"/>
        <n v="27983.818"/>
        <n v="27985.643"/>
        <n v="27986.678"/>
        <n v="27992.812"/>
        <n v="27994.572"/>
        <n v="28002.148"/>
        <n v="28009.277"/>
        <n v="28017.682"/>
        <n v="28019.48"/>
        <n v="28022.633"/>
        <n v="28029.297"/>
        <n v="28043.133"/>
        <n v="28044.492"/>
        <n v="28046.855"/>
        <n v="28063.158"/>
        <n v="28068.406"/>
        <n v="28077.77"/>
        <n v="28078.7"/>
        <n v="28094.229"/>
        <n v="28098.812"/>
        <n v="28099.07"/>
        <n v="28108.896"/>
        <n v="28143.51"/>
        <n v="28143.88"/>
        <n v="28164.0"/>
        <n v="28211.283"/>
        <n v="28213.863"/>
        <n v="28219.496"/>
        <n v="28235.77"/>
        <n v="28238.043"/>
        <n v="28262.955"/>
        <n v="28265.184"/>
        <n v="28279.162"/>
        <n v="28279.979"/>
        <n v="28282.541"/>
        <n v="28287.527"/>
        <n v="28305.19"/>
        <n v="28324.393"/>
        <n v="28343.654"/>
        <n v="28354.258"/>
        <n v="28362.309"/>
        <n v="28370.928"/>
        <n v="28390.072"/>
        <n v="28394.059"/>
        <n v="28400.74"/>
        <n v="28406.807"/>
        <n v="28411.346"/>
        <n v="28420.826"/>
        <n v="28427.832"/>
        <n v="28441.594"/>
        <n v="28449.805"/>
        <n v="28456.82"/>
        <n v="28458.402"/>
        <n v="28458.92"/>
        <n v="28459.201"/>
        <n v="28468.428"/>
        <n v="28471.62"/>
        <n v="28480.078"/>
        <n v="28481.984"/>
        <n v="28487.797"/>
        <n v="28490.139"/>
        <n v="28493.262"/>
        <n v="28506.496"/>
        <n v="28507.68"/>
        <n v="28510.771"/>
        <n v="28518.125"/>
        <n v="28525.906"/>
        <n v="28527.188"/>
        <n v="28533.926"/>
        <n v="28536.904"/>
        <n v="28542.492"/>
        <n v="28547.89"/>
        <n v="28548.047"/>
        <n v="28548.742"/>
        <n v="28557.63"/>
        <n v="28574.916"/>
        <n v="28585.83"/>
        <n v="28589.848"/>
        <n v="28590.346"/>
        <n v="28590.82"/>
        <n v="28593.244"/>
        <n v="28607.89"/>
        <n v="28615.18"/>
        <n v="28649.152"/>
        <n v="28649.453"/>
        <n v="28654.012"/>
        <n v="28659.719"/>
        <n v="28660.398"/>
        <n v="28662.682"/>
        <n v="28674.209"/>
        <n v="28693.54"/>
        <n v="28693.926"/>
        <n v="28696.967"/>
        <n v="28698.387"/>
        <n v="28700.387"/>
        <n v="28716.367"/>
        <n v="28723.691"/>
        <n v="28729.107"/>
        <n v="28729.979"/>
        <n v="28745.928"/>
        <n v="28746.031"/>
        <n v="28752.32"/>
        <n v="28754.945"/>
        <n v="28765.967"/>
        <n v="28780.871"/>
        <n v="28787.357"/>
        <n v="28787.61"/>
        <n v="28795.844"/>
        <n v="28804.273"/>
        <n v="28813.55"/>
        <n v="28819.982"/>
        <n v="28836.889"/>
        <n v="28846.434"/>
        <n v="28888.857"/>
        <n v="28904.936"/>
        <n v="28910.488"/>
        <n v="28919.814"/>
        <n v="28924.969"/>
        <n v="28938.053"/>
        <n v="28944.182"/>
        <n v="28956.453"/>
        <n v="28963.285"/>
        <n v="28964.922"/>
        <n v="29001.47"/>
        <n v="29020.904"/>
        <n v="29035.682"/>
        <n v="29045.342"/>
        <n v="29045.484"/>
        <n v="29053.914"/>
        <n v="29076.443"/>
        <n v="29093.84"/>
        <n v="29112.568"/>
        <n v="29115.6"/>
        <n v="29119.748"/>
        <n v="29138.188"/>
        <n v="29152.465"/>
        <n v="29153.885"/>
        <n v="29157.818"/>
        <n v="29167.164"/>
        <n v="29193.023"/>
        <n v="29213.18"/>
        <n v="29219.873"/>
        <n v="29250.05"/>
        <n v="29256.52"/>
        <n v="29262.379"/>
        <n v="29272.406"/>
        <n v="29293.537"/>
        <n v="29299.83"/>
        <n v="29327.494"/>
        <n v="29330.7"/>
        <n v="29337.473"/>
        <n v="29338.197"/>
        <n v="29339.521"/>
        <n v="29346.434"/>
        <n v="29353.95"/>
        <n v="29357.08"/>
        <n v="29376.773"/>
        <n v="29379.598"/>
        <n v="29381.455"/>
        <n v="29387.615"/>
        <n v="29407.084"/>
        <n v="29410.168"/>
        <n v="29413.053"/>
        <n v="29435.55"/>
        <n v="29444.287"/>
        <n v="29453.422"/>
        <n v="29463.832"/>
        <n v="29474.863"/>
        <n v="29491.5"/>
        <n v="29500.2"/>
        <n v="29503.812"/>
        <n v="29508.014"/>
        <n v="29523.986"/>
        <n v="29564.762"/>
        <n v="29568.998"/>
        <n v="29592.82"/>
        <n v="29606.553"/>
        <n v="29620.053"/>
        <n v="29660.32"/>
        <n v="29666.664"/>
        <n v="29678.166"/>
        <n v="29705.824"/>
        <n v="29713.938"/>
        <n v="29719.5"/>
        <n v="29724.633"/>
        <n v="29727.277"/>
        <n v="29730.352"/>
        <n v="29765.596"/>
        <n v="29769.873"/>
        <n v="29788.84"/>
        <n v="29797.709"/>
        <n v="29798.4"/>
        <n v="29798.463"/>
        <n v="29800.773"/>
        <n v="29806.256"/>
        <n v="29829.154"/>
        <n v="29844.287"/>
        <n v="29855.535"/>
        <n v="29871.008"/>
        <n v="29878.098"/>
        <n v="29880.9"/>
        <n v="29920.938"/>
        <n v="29940.248"/>
        <n v="29955.744"/>
        <n v="29962.137"/>
        <n v="29976.361"/>
        <n v="29980.121"/>
        <n v="29991.752"/>
        <n v="29994.22"/>
        <n v="29997.346"/>
        <n v="29999.934"/>
        <n v="30012.596"/>
        <n v="30045.271"/>
        <n v="30048.53"/>
        <n v="30057.596"/>
        <n v="30061.484"/>
        <n v="30070.912"/>
        <n v="30086.34"/>
        <n v="30086.684"/>
        <n v="30113.635"/>
        <n v="30118.719"/>
        <n v="30131.799"/>
        <n v="30132.326"/>
        <n v="30132.916"/>
        <n v="30134.883"/>
        <n v="30137.281"/>
        <n v="30137.457"/>
        <n v="30142.316"/>
        <n v="30143.582"/>
        <n v="30145.916"/>
        <n v="30145.984"/>
        <n v="30172.555"/>
        <n v="30180.834"/>
        <n v="30193.688"/>
        <n v="30209.7"/>
        <n v="30224.865"/>
        <n v="30240.037"/>
        <n v="30250.951"/>
        <n v="30251.44"/>
        <n v="30265.484"/>
        <n v="30265.96"/>
        <n v="30279.594"/>
        <n v="30294.217"/>
        <n v="30304.9"/>
        <n v="30323.42"/>
        <n v="30329.041"/>
        <n v="30336.936"/>
        <n v="30338.873"/>
        <n v="30366.549"/>
        <n v="30371.654"/>
        <n v="30375.232"/>
        <n v="30407.557"/>
        <n v="30411.877"/>
        <n v="30413.041"/>
        <n v="30465.887"/>
        <n v="30494.654"/>
        <n v="30513.816"/>
        <n v="30515.967"/>
        <n v="30524.217"/>
        <n v="30525.865"/>
        <n v="30525.95"/>
        <n v="30540.422"/>
        <n v="30549.385"/>
        <n v="30553.572"/>
        <n v="30559.484"/>
        <n v="30564.959"/>
        <n v="30582.062"/>
        <n v="30584.305"/>
        <n v="30596.732"/>
        <n v="30603.572"/>
        <n v="30611.012"/>
        <n v="30636.469"/>
        <n v="30655.396"/>
        <n v="30661.69"/>
        <n v="30674.322"/>
        <n v="30679.2"/>
        <n v="30685.295"/>
        <n v="30691.555"/>
        <n v="30732.988"/>
        <n v="30752.408"/>
        <n v="30791.908"/>
        <n v="30807.531"/>
        <n v="30811.928"/>
        <n v="30834.896"/>
        <n v="30850.275"/>
        <n v="30858.781"/>
        <n v="30873.51"/>
        <n v="30873.604"/>
        <n v="30874.855"/>
        <n v="30876.668"/>
        <n v="30876.844"/>
        <n v="30880.186"/>
        <n v="30892.156"/>
        <n v="30892.902"/>
        <n v="30902.998"/>
        <n v="30903.053"/>
        <n v="30903.463"/>
        <n v="30913.78"/>
        <n v="30914.201"/>
        <n v="30920.125"/>
        <n v="30923.053"/>
        <n v="30931.105"/>
        <n v="30939.625"/>
        <n v="30945.078"/>
        <n v="30950.479"/>
        <n v="30955.318"/>
        <n v="30956.031"/>
        <n v="30987.209"/>
        <n v="31000.55"/>
        <n v="31004.467"/>
        <n v="31019.922"/>
        <n v="31039.617"/>
        <n v="31057.21"/>
        <n v="31061.566"/>
        <n v="31075.78"/>
        <n v="31086.494"/>
        <n v="31100.94"/>
        <n v="31102.455"/>
        <n v="31114.156"/>
        <n v="31114.393"/>
        <n v="31122.396"/>
        <n v="31123.568"/>
        <n v="31132.143"/>
        <n v="31152.215"/>
        <n v="31155.89"/>
        <n v="31167.48"/>
        <n v="31185.008"/>
        <n v="31215.29"/>
        <n v="31237.596"/>
        <n v="31246.787"/>
        <n v="31255.84"/>
        <n v="31258.516"/>
        <n v="31262.725"/>
        <n v="31264.205"/>
        <n v="31265.092"/>
        <n v="31279.45"/>
        <n v="31281.102"/>
        <n v="31281.57"/>
        <n v="31312.592"/>
        <n v="31328.078"/>
        <n v="31329.229"/>
        <n v="31343.547"/>
        <n v="31359.31"/>
        <n v="31359.924"/>
        <n v="31391.916"/>
        <n v="31427.719"/>
        <n v="31436.703"/>
        <n v="31467.842"/>
        <n v="31485.44"/>
        <n v="31496.188"/>
        <n v="31497.744"/>
        <n v="31510.936"/>
        <n v="31514.592"/>
        <n v="31525.203"/>
        <n v="31527.607"/>
        <n v="31529.977"/>
        <n v="31547.396"/>
        <n v="31552.059"/>
        <n v="31561.943"/>
        <n v="31562.688"/>
        <n v="31563.164"/>
        <n v="31565.08"/>
        <n v="31586.428"/>
        <n v="31587.357"/>
        <n v="31604.953"/>
        <n v="31612.973"/>
        <n v="31633.22"/>
        <n v="31633.506"/>
        <n v="31661.45"/>
        <n v="31675.225"/>
        <n v="31676.45"/>
        <n v="31678.422"/>
        <n v="31678.709"/>
        <n v="31682.629"/>
        <n v="31684.88"/>
        <n v="31698.016"/>
        <n v="31702.783"/>
        <n v="31706.357"/>
        <n v="31710.818"/>
        <n v="31720.879"/>
        <n v="31721.201"/>
        <n v="31731.9"/>
        <n v="31739.25"/>
        <n v="31748.7"/>
        <n v="31787.617"/>
        <n v="31791.322"/>
        <n v="31804.494"/>
        <n v="31815.434"/>
        <n v="31817.346"/>
        <n v="31820.355"/>
        <n v="31833.912"/>
        <n v="31834.326"/>
        <n v="31848.24"/>
        <n v="31853.057"/>
        <n v="31853.35"/>
        <n v="31861.633"/>
        <n v="31866.889"/>
        <n v="31870.459"/>
        <n v="31876.05"/>
        <n v="31876.514"/>
        <n v="31884.871"/>
        <n v="31885.23"/>
        <n v="31896.072"/>
        <n v="31901.215"/>
        <n v="31902.83"/>
        <n v="31909.08"/>
        <n v="31913.139"/>
        <n v="31914.691"/>
        <n v="31917.098"/>
        <n v="31936.477"/>
        <n v="31938.916"/>
        <n v="31957.85"/>
        <n v="31964.328"/>
        <n v="31964.682"/>
        <n v="31978.25"/>
        <n v="32033.068"/>
        <n v="32034.71"/>
        <n v="32045.32"/>
        <n v="32069.758"/>
        <n v="32080.172"/>
        <n v="32088.977"/>
        <n v="32094.383"/>
        <n v="32101.512"/>
        <n v="32134.729"/>
        <n v="32140.502"/>
        <n v="32154.738"/>
        <n v="32156.709"/>
        <n v="32157.482"/>
        <n v="32161.99"/>
        <n v="32162.486"/>
        <n v="32165.217"/>
        <n v="32172.525"/>
        <n v="32178.488"/>
        <n v="32196.91"/>
        <n v="32202.46"/>
        <n v="32205.834"/>
        <n v="32206.328"/>
        <n v="32218.666"/>
        <n v="32253.074"/>
        <n v="32274.014"/>
        <n v="32277.27"/>
        <n v="32289.914"/>
        <n v="32306.926"/>
        <n v="32308.533"/>
        <n v="32321.92"/>
        <n v="32329.908"/>
        <n v="32340.842"/>
        <n v="32348.727"/>
        <n v="32357.01"/>
        <n v="32367.1"/>
        <n v="32385.121"/>
        <n v="32394.332"/>
        <n v="32406.76"/>
        <n v="32410.127"/>
        <n v="32426.588"/>
        <n v="32436.88"/>
        <n v="32441.975"/>
        <n v="32443.957"/>
        <n v="32484.732"/>
        <n v="32495.346"/>
        <n v="32507.162"/>
        <n v="32513.342"/>
        <n v="32531.436"/>
        <n v="32532.557"/>
        <n v="32538.244"/>
        <n v="32559.654"/>
        <n v="32565.338"/>
        <n v="32581.316"/>
        <n v="32604.178"/>
        <n v="32611.264"/>
        <n v="32633.586"/>
        <n v="32639.73"/>
        <n v="32642.26"/>
        <n v="32643.951"/>
        <n v="32653.273"/>
        <n v="32657.586"/>
        <n v="32664.236"/>
        <n v="32664.8"/>
        <n v="32667.56"/>
        <n v="32669.926"/>
        <n v="32674.855"/>
        <n v="32676.465"/>
        <n v="32679.39"/>
        <n v="32700.383"/>
        <n v="32702.635"/>
        <n v="32709.691"/>
        <n v="32747.002"/>
        <n v="32756.098"/>
        <n v="32763.63"/>
        <n v="32765.412"/>
        <n v="32772.625"/>
        <n v="32807.12"/>
        <n v="32842.332"/>
        <n v="32844.926"/>
        <n v="32845.668"/>
        <n v="32852.992"/>
        <n v="32858.3"/>
        <n v="32859.074"/>
        <n v="32859.49"/>
        <n v="32864.746"/>
        <n v="32871.168"/>
        <n v="32896.395"/>
        <n v="32905.56"/>
        <n v="32920.426"/>
        <n v="32921.89"/>
        <n v="32928.758"/>
        <n v="32937.04"/>
        <n v="32944.996"/>
        <n v="32959.098"/>
        <n v="32977.28"/>
        <n v="32986.773"/>
        <n v="32987.367"/>
        <n v="33001.086"/>
        <n v="33005.023"/>
        <n v="33041.402"/>
        <n v="33052.49"/>
        <n v="33059.168"/>
        <n v="33059.832"/>
        <n v="33061.59"/>
        <n v="33070.297"/>
        <n v="33071.68"/>
        <n v="33082.344"/>
        <n v="33086.566"/>
        <n v="33089.15"/>
        <n v="33094.547"/>
        <n v="33107.99"/>
        <n v="33120.13"/>
        <n v="33123.305"/>
        <n v="33134.836"/>
        <n v="33162.57"/>
        <n v="33176.367"/>
        <n v="33180.453"/>
        <n v="33181.11"/>
        <n v="33183.234"/>
        <n v="33185.715"/>
        <n v="33188.06"/>
        <n v="33211.824"/>
        <n v="33212.08"/>
        <n v="33224.723"/>
        <n v="33241.582"/>
        <n v="33242.316"/>
        <n v="33244.883"/>
        <n v="33263.184"/>
        <n v="33263.727"/>
        <n v="33263.83"/>
        <n v="33284.45"/>
        <n v="33295.6"/>
        <n v="33305.375"/>
        <n v="33306.035"/>
        <n v="33309.152"/>
        <n v="33310.15"/>
        <n v="33333.535"/>
        <n v="33353.324"/>
        <n v="33354.016"/>
        <n v="33362.95"/>
        <n v="33377.58"/>
        <n v="33430.117"/>
        <n v="33435.656"/>
        <n v="33438.28"/>
        <n v="33451.945"/>
        <n v="33475.375"/>
        <n v="33476.52"/>
        <n v="33476.53"/>
        <n v="33494.316"/>
        <n v="33494.51"/>
        <n v="33501.28"/>
        <n v="33506.125"/>
        <n v="33521.168"/>
        <n v="33545.586"/>
        <n v="33552.926"/>
        <n v="33556.31"/>
        <n v="33557.81"/>
        <n v="33592.082"/>
        <n v="33612.188"/>
        <n v="33613.324"/>
        <n v="33615.527"/>
        <n v="33616.72"/>
        <n v="33625.84"/>
        <n v="33635.875"/>
        <n v="33652.184"/>
        <n v="33685.15"/>
        <n v="33701.195"/>
        <n v="33704.05"/>
        <n v="33728.027"/>
        <n v="33749.848"/>
        <n v="33753.645"/>
        <n v="33756.85"/>
        <n v="33761.39"/>
        <n v="33767.29"/>
        <n v="33775.176"/>
        <n v="33775.395"/>
        <n v="33780.527"/>
        <n v="33781.227"/>
        <n v="33787.04"/>
        <n v="33793.21"/>
        <n v="33797.156"/>
        <n v="33823.867"/>
        <n v="33825.812"/>
        <n v="33826.426"/>
        <n v="33845.367"/>
        <n v="33845.383"/>
        <n v="33880.406"/>
        <n v="33881.17"/>
        <n v="33881.94"/>
        <n v="33889.08"/>
        <n v="33891.15"/>
        <n v="33895.184"/>
        <n v="33905.297"/>
        <n v="33909.3"/>
        <n v="33927.492"/>
        <n v="33930.758"/>
        <n v="33942.26"/>
        <n v="33950.277"/>
        <n v="33967.277"/>
        <n v="33975.75"/>
        <n v="33978.363"/>
        <n v="34019.86"/>
        <n v="34023.996"/>
        <n v="34053.02"/>
        <n v="34064.734"/>
        <n v="34067.45"/>
        <n v="34075.63"/>
        <n v="34106.816"/>
        <n v="34113.125"/>
        <n v="34128.01"/>
        <n v="34167.504"/>
        <n v="34174.688"/>
        <n v="34195.56"/>
        <n v="34203.9"/>
        <n v="34220.047"/>
        <n v="34220.816"/>
        <n v="34229.527"/>
        <n v="34256.445"/>
        <n v="34259.844"/>
        <n v="34272.46"/>
        <n v="34279.48"/>
        <n v="34294.13"/>
        <n v="34320.69"/>
        <n v="34332.203"/>
        <n v="34333.402"/>
        <n v="34334.816"/>
        <n v="34352.305"/>
        <n v="34353.004"/>
        <n v="34361.727"/>
        <n v="34366.484"/>
        <n v="34375.734"/>
        <n v="34383.223"/>
        <n v="34399.547"/>
        <n v="34405.72"/>
        <n v="34411.543"/>
        <n v="34423.188"/>
        <n v="34426.543"/>
        <n v="34433.54"/>
        <n v="34449.605"/>
        <n v="34450.656"/>
        <n v="34455.16"/>
        <n v="34466.79"/>
        <n v="34542.598"/>
        <n v="34569.035"/>
        <n v="34583.246"/>
        <n v="34600.04"/>
        <n v="34603.668"/>
        <n v="34617.867"/>
        <n v="34637.86"/>
        <n v="34643.33"/>
        <n v="34645.633"/>
        <n v="34687.5"/>
        <n v="34695.844"/>
        <n v="34733.97"/>
        <n v="34735.06"/>
        <n v="34741.566"/>
        <n v="34788.89"/>
        <n v="34812.242"/>
        <n v="34822.46"/>
        <n v="34854.703"/>
        <n v="34878.023"/>
        <n v="34885.81"/>
        <n v="34889.746"/>
        <n v="34912.59"/>
        <n v="34915.957"/>
        <n v="34921.227"/>
        <n v="34923.297"/>
        <n v="34932.383"/>
        <n v="34936.297"/>
        <n v="34947.09"/>
        <n v="34950.27"/>
        <n v="34961.824"/>
        <n v="34981.156"/>
        <n v="34984.703"/>
        <n v="34989.727"/>
        <n v="34995.742"/>
        <n v="35028.242"/>
        <n v="35030.727"/>
        <n v="35053.33"/>
        <n v="35058.754"/>
        <n v="35072.023"/>
        <n v="35086.18"/>
        <n v="35105.85"/>
        <n v="35119.05"/>
        <n v="35122.965"/>
        <n v="35129.168"/>
        <n v="35138.87"/>
        <n v="35163.78"/>
        <n v="35171.54"/>
        <n v="35174.75"/>
        <n v="35181.82"/>
        <n v="35188.387"/>
        <n v="35213.75"/>
        <n v="35226.1"/>
        <n v="35228.043"/>
        <n v="35231.008"/>
        <n v="35233.03"/>
        <n v="35236.637"/>
        <n v="35240.215"/>
        <n v="35246.48"/>
        <n v="35246.54"/>
        <n v="35256.207"/>
        <n v="35267.727"/>
        <n v="35309.93"/>
        <n v="35318.977"/>
        <n v="35319.34"/>
        <n v="35321.29"/>
        <n v="35323.816"/>
        <n v="35326.73"/>
        <n v="35334.004"/>
        <n v="35338.87"/>
        <n v="35346.65"/>
        <n v="35365.527"/>
        <n v="35377.777"/>
        <n v="35379.344"/>
        <n v="35396.05"/>
        <n v="35401.387"/>
        <n v="35402.734"/>
        <n v="35408.363"/>
        <n v="35410.36"/>
        <n v="35410.52"/>
        <n v="35415.305"/>
        <n v="35416.367"/>
        <n v="35427.95"/>
        <n v="35436.766"/>
        <n v="35449.94"/>
        <n v="35454.39"/>
        <n v="35455.15"/>
        <n v="35458.594"/>
        <n v="35459.2"/>
        <n v="35463.547"/>
        <n v="35472.293"/>
        <n v="35543.6"/>
        <n v="35561.56"/>
        <n v="35564.87"/>
        <n v="35571.836"/>
        <n v="35583.4"/>
        <n v="35601.188"/>
        <n v="35646.33"/>
        <n v="35661.32"/>
        <n v="35666.285"/>
        <n v="35686.53"/>
        <n v="35688.652"/>
        <n v="35722.246"/>
        <n v="35732.234"/>
        <n v="35750.88"/>
        <n v="35751.664"/>
        <n v="35753.344"/>
        <n v="35754.918"/>
        <n v="35765.992"/>
        <n v="35798.906"/>
        <n v="35800.918"/>
        <n v="35813.645"/>
        <n v="35814.93"/>
        <n v="35827.902"/>
        <n v="35835.035"/>
        <n v="35845.57"/>
        <n v="35845.73"/>
        <n v="35848.926"/>
        <n v="35853.625"/>
        <n v="35885.97"/>
        <n v="35896.44"/>
        <n v="35896.723"/>
        <n v="35914.227"/>
        <n v="35922.44"/>
        <n v="35924.168"/>
        <n v="35928.363"/>
        <n v="35931.184"/>
        <n v="35963.184"/>
        <n v="35963.71"/>
        <n v="35999.16"/>
        <n v="36018.93"/>
        <n v="36022.332"/>
        <n v="36028.375"/>
        <n v="36040.82"/>
        <n v="36060.062"/>
        <n v="36071.13"/>
        <n v="36078.625"/>
        <n v="36084.562"/>
        <n v="36088.836"/>
        <n v="36092.746"/>
        <n v="36092.777"/>
        <n v="36099.96"/>
        <n v="36102.99"/>
        <n v="36111.664"/>
        <n v="36123.402"/>
        <n v="36137.74"/>
        <n v="36157.97"/>
        <n v="36159.645"/>
        <n v="36165.15"/>
        <n v="36165.71"/>
        <n v="36179.566"/>
        <n v="36181.887"/>
        <n v="36204.97"/>
        <n v="36211.484"/>
        <n v="36214.22"/>
        <n v="36216.246"/>
        <n v="36217.64"/>
        <n v="36220.793"/>
        <n v="36243.11"/>
        <n v="36245.88"/>
        <n v="36245.953"/>
        <n v="36246.934"/>
        <n v="36254.516"/>
        <n v="36261.99"/>
        <n v="36266.62"/>
        <n v="36276.062"/>
        <n v="36281.08"/>
        <n v="36289.86"/>
        <n v="36292.61"/>
        <n v="36294.992"/>
        <n v="36297.03"/>
        <n v="36307.863"/>
        <n v="36312.25"/>
        <n v="36336.996"/>
        <n v="36341.39"/>
        <n v="36346.555"/>
        <n v="36351.062"/>
        <n v="36376.434"/>
        <n v="36387.586"/>
        <n v="36390.39"/>
        <n v="36396.47"/>
        <n v="36398.527"/>
        <n v="36405.977"/>
        <n v="36425.477"/>
        <n v="36446.15"/>
        <n v="36447.086"/>
        <n v="36450.684"/>
        <n v="36460.254"/>
        <n v="36464.625"/>
        <n v="36475.098"/>
        <n v="36484.32"/>
        <n v="36484.36"/>
        <n v="36496.332"/>
        <n v="36500.91"/>
        <n v="36501.895"/>
        <n v="36506.6"/>
        <n v="36523.035"/>
        <n v="36527.234"/>
        <n v="36552.367"/>
        <n v="36572.535"/>
        <n v="36578.36"/>
        <n v="36600.387"/>
        <n v="36614.438"/>
        <n v="36620.902"/>
        <n v="36622.69"/>
        <n v="36630.95"/>
        <n v="36647.08"/>
        <n v="36653.176"/>
        <n v="36653.867"/>
        <n v="36658.184"/>
        <n v="36671.504"/>
        <n v="36674.36"/>
        <n v="36692.65"/>
        <n v="36715.496"/>
        <n v="36717.617"/>
        <n v="36730.004"/>
        <n v="36730.36"/>
        <n v="36736.434"/>
        <n v="36761.39"/>
        <n v="36766.53"/>
        <n v="36772.08"/>
        <n v="36775.57"/>
        <n v="36775.688"/>
        <n v="36776.344"/>
        <n v="36777.074"/>
        <n v="36779.426"/>
        <n v="36782.39"/>
        <n v="36785.688"/>
        <n v="36797.184"/>
        <n v="36807.867"/>
        <n v="36818.906"/>
        <n v="36828.24"/>
        <n v="36833.734"/>
        <n v="36836.355"/>
        <n v="36860.49"/>
        <n v="36863.54"/>
        <n v="36868.05"/>
        <n v="36876.645"/>
        <n v="36886.258"/>
        <n v="36886.55"/>
        <n v="36905.957"/>
        <n v="36911.367"/>
        <n v="36919.54"/>
        <n v="36926.4"/>
        <n v="36935.016"/>
        <n v="36957.543"/>
        <n v="36974.605"/>
        <n v="36976.312"/>
        <n v="36986.47"/>
        <n v="36989.902"/>
        <n v="37000.043"/>
        <n v="37020.727"/>
        <n v="37029.883"/>
        <n v="37045.754"/>
        <n v="37054.49"/>
        <n v="37055.06"/>
        <n v="37067.938"/>
        <n v="37082.36"/>
        <n v="37084.19"/>
        <n v="37096.89"/>
        <n v="37104.098"/>
        <n v="37132.14"/>
        <n v="37147.492"/>
        <n v="37183.23"/>
        <n v="37192.17"/>
        <n v="37193.48"/>
        <n v="37194.664"/>
        <n v="37195.754"/>
        <n v="37201.918"/>
        <n v="37202.26"/>
        <n v="37219.074"/>
        <n v="37232.4"/>
        <n v="37238.035"/>
        <n v="37238.3"/>
        <n v="37247.047"/>
        <n v="37252.508"/>
        <n v="37253.01"/>
        <n v="37255.918"/>
        <n v="37261.715"/>
        <n v="37277.832"/>
        <n v="37280.26"/>
        <n v="37284.54"/>
        <n v="37293.91"/>
        <n v="37300.992"/>
        <n v="37321.54"/>
        <n v="37327.215"/>
        <n v="37349.246"/>
        <n v="37360.113"/>
        <n v="37369.605"/>
        <n v="37376.78"/>
        <n v="37378.684"/>
        <n v="37387.742"/>
        <n v="37396.785"/>
        <n v="37409.918"/>
        <n v="37428.832"/>
        <n v="37433.594"/>
        <n v="37443.254"/>
        <n v="37444.445"/>
        <n v="37459.332"/>
        <n v="37473.402"/>
        <n v="37477.805"/>
        <n v="37481.38"/>
        <n v="37515.918"/>
        <n v="37520.63"/>
        <n v="37562.035"/>
        <n v="37566.76"/>
        <n v="37572.71"/>
        <n v="37575.758"/>
        <n v="37578.53"/>
        <n v="37585.836"/>
        <n v="37591.023"/>
        <n v="37594.273"/>
        <n v="37611.906"/>
        <n v="37612.31"/>
        <n v="37612.65"/>
        <n v="37617.895"/>
        <n v="37623.69"/>
        <n v="37641.227"/>
        <n v="37647.293"/>
        <n v="37668.086"/>
        <n v="37701.4"/>
        <n v="37704.32"/>
        <n v="37748.99"/>
        <n v="37750.84"/>
        <n v="37776.19"/>
        <n v="37787.492"/>
        <n v="37810.215"/>
        <n v="37813.266"/>
        <n v="37842.2"/>
        <n v="37861.305"/>
        <n v="37863.15"/>
        <n v="37881.766"/>
        <n v="37893.945"/>
        <n v="37903.793"/>
        <n v="37906.543"/>
        <n v="37923.05"/>
        <n v="37938.92"/>
        <n v="37942.094"/>
        <n v="37946.16"/>
        <n v="37950.65"/>
        <n v="37956.14"/>
        <n v="37957.8"/>
        <n v="37970.355"/>
        <n v="37974.227"/>
        <n v="38020.406"/>
        <n v="38050.914"/>
        <n v="38065.703"/>
        <n v="38086.293"/>
        <n v="38088.965"/>
        <n v="38116.48"/>
        <n v="38158.36"/>
        <n v="38169.426"/>
        <n v="38183.387"/>
        <n v="38198.36"/>
        <n v="38198.465"/>
        <n v="38217.324"/>
        <n v="38239.113"/>
        <n v="38251.27"/>
        <n v="38264.707"/>
        <n v="38293.16"/>
        <n v="38300.086"/>
        <n v="38321.95"/>
        <n v="38322.78"/>
        <n v="38345.117"/>
        <n v="38348.258"/>
        <n v="38350.656"/>
        <n v="38353.25"/>
        <n v="38411.42"/>
        <n v="38452.055"/>
        <n v="38493.57"/>
        <n v="38497.87"/>
        <n v="38509.516"/>
        <n v="38511.812"/>
        <n v="38541.9"/>
        <n v="38546.594"/>
        <n v="38559.43"/>
        <n v="38562.156"/>
        <n v="38564.035"/>
        <n v="38572.348"/>
        <n v="38576.715"/>
        <n v="38578.582"/>
        <n v="38596.594"/>
        <n v="38600.117"/>
        <n v="38600.34"/>
        <n v="38611.793"/>
        <n v="38634.5"/>
        <n v="38644.855"/>
        <n v="38651.34"/>
        <n v="38652.69"/>
        <n v="38656.3"/>
        <n v="38661.902"/>
        <n v="38669.29"/>
        <n v="38683.055"/>
        <n v="38685.773"/>
        <n v="38688.754"/>
        <n v="38690.38"/>
        <n v="38735.586"/>
        <n v="38741.65"/>
        <n v="38747.652"/>
        <n v="38761.496"/>
        <n v="38777.258"/>
        <n v="38792.668"/>
        <n v="38797.04"/>
        <n v="38804.473"/>
        <n v="38821.22"/>
        <n v="38845.47"/>
        <n v="38857.957"/>
        <n v="38858.06"/>
        <n v="38861.27"/>
        <n v="38861.484"/>
        <n v="38875.934"/>
        <n v="38897.434"/>
        <n v="38918.59"/>
        <n v="38919.92"/>
        <n v="38928.273"/>
        <n v="38933.094"/>
        <n v="38937.31"/>
        <n v="38940.348"/>
        <n v="38949.273"/>
        <n v="38952.156"/>
        <n v="38953.395"/>
        <n v="38956.645"/>
        <n v="38968.65"/>
        <n v="38975.535"/>
        <n v="38992.85"/>
        <n v="39033.12"/>
        <n v="39034.79"/>
        <n v="39034.945"/>
        <n v="39035.363"/>
        <n v="39046.566"/>
        <n v="39051.188"/>
        <n v="39057.082"/>
        <n v="39058.793"/>
        <n v="39067.293"/>
        <n v="39084.9"/>
        <n v="39095.484"/>
        <n v="39121.863"/>
        <n v="39123.223"/>
        <n v="39129.082"/>
        <n v="39138.47"/>
        <n v="39145.316"/>
        <n v="39155.457"/>
        <n v="39162.28"/>
        <n v="39168.496"/>
        <n v="39198.074"/>
        <n v="39215.395"/>
        <n v="39227.902"/>
        <n v="39245.22"/>
        <n v="39250.816"/>
        <n v="39257.79"/>
        <n v="39264.84"/>
        <n v="39266.613"/>
        <n v="39267.465"/>
        <n v="39267.58"/>
        <n v="39275.113"/>
        <n v="39310.402"/>
        <n v="39320.44"/>
        <n v="39325.07"/>
        <n v="39355.83"/>
        <n v="39361.668"/>
        <n v="39388.066"/>
        <n v="39398.39"/>
        <n v="39399.77"/>
        <n v="39401.684"/>
        <n v="39408.137"/>
        <n v="39422.113"/>
        <n v="39424.71"/>
        <n v="39438.207"/>
        <n v="39461.824"/>
        <n v="39470.215"/>
        <n v="39485.816"/>
        <n v="39486.44"/>
        <n v="39487.387"/>
        <n v="39491.758"/>
        <n v="39494.203"/>
        <n v="39499.26"/>
        <n v="39507.6"/>
        <n v="39541.797"/>
        <n v="39543.992"/>
        <n v="39554.68"/>
        <n v="39560.27"/>
        <n v="39589.605"/>
        <n v="39622.746"/>
        <n v="39624.03"/>
        <n v="39629.805"/>
        <n v="39643.49"/>
        <n v="39649.17"/>
        <n v="39654.637"/>
        <n v="39668.953"/>
        <n v="39669.12"/>
        <n v="39673.113"/>
        <n v="39676.652"/>
        <n v="39696.61"/>
        <n v="39707.734"/>
        <n v="39725.164"/>
        <n v="39739.52"/>
        <n v="39745.355"/>
        <n v="39757.934"/>
        <n v="39768.926"/>
        <n v="39799.895"/>
        <n v="39805.81"/>
        <n v="39827.613"/>
        <n v="39838.105"/>
        <n v="39844.023"/>
        <n v="39854.184"/>
        <n v="39866.64"/>
        <n v="39875.24"/>
        <n v="39889.203"/>
        <n v="39906.066"/>
        <n v="39906.67"/>
        <n v="39906.902"/>
        <n v="39930.348"/>
        <n v="39936.883"/>
        <n v="39970.918"/>
        <n v="39973.543"/>
        <n v="40032.35"/>
        <n v="40045.57"/>
        <n v="40067.316"/>
        <n v="40068.062"/>
        <n v="40085.457"/>
        <n v="40108.766"/>
        <n v="40113.01"/>
        <n v="40128.707"/>
        <n v="40132.332"/>
        <n v="40138.832"/>
        <n v="40140.523"/>
        <n v="40153.46"/>
        <n v="40171.86"/>
        <n v="40175.277"/>
        <n v="40175.562"/>
        <n v="40185.99"/>
        <n v="40196.703"/>
        <n v="40227.395"/>
        <n v="40242.43"/>
        <n v="40244.395"/>
        <n v="40246.543"/>
        <n v="40276.62"/>
        <n v="40276.633"/>
        <n v="40282.055"/>
        <n v="40288.312"/>
        <n v="40288.324"/>
        <n v="40290.66"/>
        <n v="40297.832"/>
        <n v="40308.766"/>
        <n v="40313.715"/>
        <n v="40314.324"/>
        <n v="40317.59"/>
        <n v="40332.867"/>
        <n v="40362.766"/>
        <n v="40367.582"/>
        <n v="40382.37"/>
        <n v="40406.375"/>
        <n v="40416.85"/>
        <n v="40418.234"/>
        <n v="40435.44"/>
        <n v="40446.62"/>
        <n v="40467.684"/>
        <n v="40488.043"/>
        <n v="40490.062"/>
        <n v="40491.035"/>
        <n v="40494.855"/>
        <n v="40498.77"/>
        <n v="40505.324"/>
        <n v="40512.63"/>
        <n v="40526.77"/>
        <n v="40537.27"/>
        <n v="40541.914"/>
        <n v="40558.383"/>
        <n v="40565.746"/>
        <n v="40569.05"/>
        <n v="40569.42"/>
        <n v="40571.77"/>
        <n v="40579.8"/>
        <n v="40587.27"/>
        <n v="40593.008"/>
        <n v="40600.336"/>
        <n v="40602.01"/>
        <n v="40613.668"/>
        <n v="40619.4"/>
        <n v="40626.375"/>
        <n v="40633.074"/>
        <n v="40634.203"/>
        <n v="40640.184"/>
        <n v="40647.1"/>
        <n v="40653.51"/>
        <n v="40661.887"/>
        <n v="40699.29"/>
        <n v="40700.93"/>
        <n v="40710.586"/>
        <n v="40711.01"/>
        <n v="40716.95"/>
        <n v="40733.254"/>
        <n v="40736.55"/>
        <n v="40743.367"/>
        <n v="40745.57"/>
        <n v="40752.285"/>
        <n v="40767.02"/>
        <n v="40786.207"/>
        <n v="40822.902"/>
        <n v="40829.164"/>
        <n v="40838.06"/>
        <n v="40838.32"/>
        <n v="40848.758"/>
        <n v="40861.297"/>
        <n v="40862.688"/>
        <n v="40870.594"/>
        <n v="40871.117"/>
        <n v="40877.906"/>
        <n v="40881.984"/>
        <n v="40886.168"/>
        <n v="40890.367"/>
        <n v="40893.14"/>
        <n v="40896.49"/>
        <n v="40905.85"/>
        <n v="40906.582"/>
        <n v="40911.195"/>
        <n v="40917.316"/>
        <n v="40932.58"/>
        <n v="40934.473"/>
        <n v="40938.0"/>
        <n v="40944.324"/>
        <n v="40944.523"/>
        <n v="40944.824"/>
        <n v="40965.793"/>
        <n v="40973.34"/>
        <n v="40982.81"/>
        <n v="40988.562"/>
        <n v="41000.2"/>
        <n v="41022.24"/>
        <n v="41029.465"/>
        <n v="41046.25"/>
        <n v="41079.3"/>
        <n v="41095.473"/>
        <n v="41132.574"/>
        <n v="41151.16"/>
        <n v="41152.676"/>
        <n v="41158.83"/>
        <n v="41163.492"/>
        <n v="41165.113"/>
        <n v="41180.91"/>
        <n v="41181.516"/>
        <n v="41200.246"/>
        <n v="41212.223"/>
        <n v="41212.996"/>
        <n v="41227.46"/>
        <n v="41240.5"/>
        <n v="41247.5"/>
        <n v="41261.734"/>
        <n v="41322.23"/>
        <n v="41339.6"/>
        <n v="41343.586"/>
        <n v="41362.28"/>
        <n v="41373.97"/>
        <n v="41375.918"/>
        <n v="41376.33"/>
        <n v="41391.09"/>
        <n v="41404.152"/>
        <n v="41424.902"/>
        <n v="41450.77"/>
        <n v="41481.746"/>
        <n v="41505.652"/>
        <n v="41523.0"/>
        <n v="41526.76"/>
        <n v="41527.418"/>
        <n v="41537.875"/>
        <n v="41548.863"/>
        <n v="41562.395"/>
        <n v="41572.895"/>
        <n v="41581.305"/>
        <n v="41611.43"/>
        <n v="41617.918"/>
        <n v="41620.438"/>
        <n v="41629.426"/>
        <n v="41633.875"/>
        <n v="41634.766"/>
        <n v="41653.242"/>
        <n v="41660.82"/>
        <n v="41661.57"/>
        <n v="41666.492"/>
        <n v="41668.492"/>
        <n v="41677.82"/>
        <n v="41687.344"/>
        <n v="41693.777"/>
        <n v="41699.66"/>
        <n v="41709.145"/>
        <n v="41717.91"/>
        <n v="41724.023"/>
        <n v="41783.918"/>
        <n v="41784.203"/>
        <n v="41784.938"/>
        <n v="41815.137"/>
        <n v="41878.97"/>
        <n v="41888.996"/>
        <n v="41892.797"/>
        <n v="41905.664"/>
        <n v="41908.63"/>
        <n v="41909.47"/>
        <n v="41918.047"/>
        <n v="41922.6"/>
        <n v="41923.18"/>
        <n v="41935.2"/>
        <n v="41958.58"/>
        <n v="41965.723"/>
        <n v="41987.242"/>
        <n v="41993.977"/>
        <n v="42017.45"/>
        <n v="42022.68"/>
        <n v="42042.97"/>
        <n v="42047.38"/>
        <n v="42092.3"/>
        <n v="42098.297"/>
        <n v="42116.79"/>
        <n v="42121.133"/>
        <n v="42136.883"/>
        <n v="42146.875"/>
        <n v="42149.668"/>
        <n v="42151.33"/>
        <n v="42238.32"/>
        <n v="42259.18"/>
        <n v="42267.58"/>
        <n v="42280.293"/>
        <n v="42296.312"/>
        <n v="42297.9"/>
        <n v="42299.574"/>
        <n v="42303.184"/>
        <n v="42303.285"/>
        <n v="42305.535"/>
        <n v="42308.01"/>
        <n v="42312.145"/>
        <n v="42341.715"/>
        <n v="42369.223"/>
        <n v="42370.7"/>
        <n v="42374.875"/>
        <n v="42374.95"/>
        <n v="42450.457"/>
        <n v="42450.75"/>
        <n v="42474.67"/>
        <n v="42477.613"/>
        <n v="42497.395"/>
        <n v="42506.266"/>
        <n v="42509.035"/>
        <n v="42512.26"/>
        <n v="42517.96"/>
        <n v="42528.773"/>
        <n v="42530.234"/>
        <n v="42543.945"/>
        <n v="42547.63"/>
        <n v="42555.242"/>
        <n v="42560.887"/>
        <n v="42564.152"/>
        <n v="42600.375"/>
        <n v="42604.03"/>
        <n v="42614.066"/>
        <n v="42657.594"/>
        <n v="42661.625"/>
        <n v="42662.51"/>
        <n v="42686.902"/>
        <n v="42706.535"/>
        <n v="42723.047"/>
        <n v="42738.79"/>
        <n v="42739.688"/>
        <n v="42740.266"/>
        <n v="42742.18"/>
        <n v="42752.766"/>
        <n v="42768.973"/>
        <n v="42773.22"/>
        <n v="42776.59"/>
        <n v="42815.438"/>
        <n v="42822.664"/>
        <n v="42854.02"/>
        <n v="42865.84"/>
        <n v="42889.504"/>
        <n v="42894.234"/>
        <n v="42895.004"/>
        <n v="42903.656"/>
        <n v="42906.047"/>
        <n v="42914.273"/>
        <n v="42950.47"/>
        <n v="42967.223"/>
        <n v="42981.844"/>
        <n v="42990.832"/>
        <n v="43001.99"/>
        <n v="43004.95"/>
        <n v="43016.152"/>
        <n v="43022.285"/>
        <n v="43032.6"/>
        <n v="43038.45"/>
        <n v="43041.066"/>
        <n v="43063.93"/>
        <n v="43069.918"/>
        <n v="43082.098"/>
        <n v="43105.79"/>
        <n v="43120.97"/>
        <n v="43126.727"/>
        <n v="43129.883"/>
        <n v="43138.73"/>
        <n v="43163.355"/>
        <n v="43169.88"/>
        <n v="43171.746"/>
        <n v="43188.395"/>
        <n v="43198.684"/>
        <n v="43203.016"/>
        <n v="43233.996"/>
        <n v="43273.637"/>
        <n v="43275.71"/>
        <n v="43303.38"/>
        <n v="43304.38"/>
        <n v="43307.805"/>
        <n v="43319.06"/>
        <n v="43330.895"/>
        <n v="43334.562"/>
        <n v="43335.48"/>
        <n v="43393.105"/>
        <n v="43394.902"/>
        <n v="43398.934"/>
        <n v="43418.645"/>
        <n v="43422.59"/>
        <n v="43446.066"/>
        <n v="43447.81"/>
        <n v="43462.996"/>
        <n v="43469.78"/>
        <n v="43485.562"/>
        <n v="43521.062"/>
        <n v="43528.78"/>
        <n v="43542.195"/>
        <n v="43542.695"/>
        <n v="43551.215"/>
        <n v="43580.18"/>
        <n v="43582.0"/>
        <n v="43583.34"/>
        <n v="43592.02"/>
        <n v="43600.555"/>
        <n v="43604.746"/>
        <n v="43608.938"/>
        <n v="43612.617"/>
        <n v="43625.367"/>
        <n v="43634.25"/>
        <n v="43635.12"/>
        <n v="43665.06"/>
        <n v="43665.164"/>
        <n v="43666.234"/>
        <n v="43678.516"/>
        <n v="43679.35"/>
        <n v="43690.133"/>
        <n v="43706.88"/>
        <n v="43707.9"/>
        <n v="43719.715"/>
        <n v="43727.258"/>
        <n v="43731.336"/>
        <n v="43732.285"/>
        <n v="43769.113"/>
        <n v="43791.754"/>
        <n v="43793.895"/>
        <n v="43793.906"/>
        <n v="43793.945"/>
        <n v="43795.062"/>
        <n v="43839.24"/>
        <n v="43859.258"/>
        <n v="43873.984"/>
        <n v="43889.207"/>
        <n v="43907.16"/>
        <n v="43908.453"/>
        <n v="43922.82"/>
        <n v="43948.504"/>
        <n v="43949.188"/>
        <n v="43949.516"/>
        <n v="43950.293"/>
        <n v="43961.53"/>
        <n v="43978.758"/>
        <n v="44000.887"/>
        <n v="44012.996"/>
        <n v="44032.137"/>
        <n v="44063.555"/>
        <n v="44080.08"/>
        <n v="44080.11"/>
        <n v="44129.062"/>
        <n v="44144.305"/>
        <n v="44169.816"/>
        <n v="44190.137"/>
        <n v="44197.52"/>
        <n v="44199.19"/>
        <n v="44294.2"/>
        <n v="44307.727"/>
        <n v="44309.586"/>
        <n v="44313.816"/>
        <n v="44315.223"/>
        <n v="44315.492"/>
        <n v="44329.86"/>
        <n v="44333.496"/>
        <n v="44334.688"/>
        <n v="44342.156"/>
        <n v="44368.645"/>
        <n v="44421.004"/>
        <n v="44439.3"/>
        <n v="44461.375"/>
        <n v="44464.52"/>
        <n v="44471.76"/>
        <n v="44497.484"/>
        <n v="44541.04"/>
        <n v="44580.008"/>
        <n v="44591.04"/>
        <n v="44600.395"/>
        <n v="44617.5"/>
        <n v="44638.293"/>
        <n v="44639.906"/>
        <n v="44647.773"/>
        <n v="44659.887"/>
        <n v="44660.555"/>
        <n v="44668.32"/>
        <n v="44683.094"/>
        <n v="44704.305"/>
        <n v="44709.664"/>
        <n v="44731.418"/>
        <n v="44733.39"/>
        <n v="44741.254"/>
        <n v="44776.22"/>
        <n v="44780.6"/>
        <n v="44804.355"/>
        <n v="44818.93"/>
        <n v="44837.89"/>
        <n v="44844.117"/>
        <n v="44847.516"/>
        <n v="44867.836"/>
        <n v="44880.773"/>
        <n v="44881.73"/>
        <n v="44883.066"/>
        <n v="44898.613"/>
        <n v="44903.293"/>
        <n v="44936.215"/>
        <n v="44937.637"/>
        <n v="44938.863"/>
        <n v="44951.64"/>
        <n v="44951.688"/>
        <n v="45008.63"/>
        <n v="45013.168"/>
        <n v="45017.266"/>
        <n v="45028.254"/>
        <n v="45037.934"/>
        <n v="45039.492"/>
        <n v="45044.07"/>
        <n v="45054.125"/>
        <n v="45058.117"/>
        <n v="45064.133"/>
        <n v="45064.53"/>
        <n v="45070.746"/>
        <n v="45079.27"/>
        <n v="45090.32"/>
        <n v="45128.4"/>
        <n v="45135.227"/>
        <n v="45146.305"/>
        <n v="45167.414"/>
        <n v="45177.81"/>
        <n v="45197.35"/>
        <n v="45204.71"/>
        <n v="45224.332"/>
        <n v="45226.05"/>
        <n v="45228.027"/>
        <n v="45241.367"/>
        <n v="45282.434"/>
        <n v="45282.83"/>
        <n v="45288.797"/>
        <n v="45289.344"/>
        <n v="45290.08"/>
        <n v="45294.72"/>
        <n v="45348.465"/>
        <n v="45354.727"/>
        <n v="45366.465"/>
        <n v="45369.93"/>
        <n v="45369.957"/>
        <n v="45379.613"/>
        <n v="45394.965"/>
        <n v="45415.17"/>
        <n v="45424.598"/>
        <n v="45427.92"/>
        <n v="45436.05"/>
        <n v="45455.793"/>
        <n v="45475.934"/>
        <n v="45477.562"/>
        <n v="45479.312"/>
        <n v="45506.625"/>
        <n v="45528.2"/>
        <n v="45530.42"/>
        <n v="45531.6"/>
        <n v="45538.055"/>
        <n v="45540.83"/>
        <n v="45546.605"/>
        <n v="45574.95"/>
        <n v="45580.707"/>
        <n v="45584.957"/>
        <n v="45602.91"/>
        <n v="45616.99"/>
        <n v="45635.562"/>
        <n v="45637.523"/>
        <n v="45647.188"/>
        <n v="45669.906"/>
        <n v="45670.746"/>
        <n v="45670.9"/>
        <n v="45685.6"/>
        <n v="45700.355"/>
        <n v="45703.426"/>
        <n v="45705.516"/>
        <n v="45729.508"/>
        <n v="45736.918"/>
        <n v="45741.367"/>
        <n v="45747.64"/>
        <n v="45749.016"/>
        <n v="45755.312"/>
        <n v="45760.098"/>
        <n v="45772.855"/>
        <n v="45827.12"/>
        <n v="45840.832"/>
        <n v="45861.664"/>
        <n v="45861.74"/>
        <n v="45862.227"/>
        <n v="45875.574"/>
        <n v="45876.816"/>
        <n v="45878.496"/>
        <n v="45892.88"/>
        <n v="45903.906"/>
        <n v="45906.957"/>
        <n v="45947.84"/>
        <n v="45949.76"/>
        <n v="45958.117"/>
        <n v="45995.17"/>
        <n v="46020.95"/>
        <n v="46034.41"/>
        <n v="46059.676"/>
        <n v="46068.227"/>
        <n v="46068.938"/>
        <n v="46073.66"/>
        <n v="46080.55"/>
        <n v="46084.38"/>
        <n v="46090.68"/>
        <n v="46103.7"/>
        <n v="46106.285"/>
        <n v="46130.312"/>
        <n v="46133.875"/>
        <n v="46136.836"/>
        <n v="46155.656"/>
        <n v="46156.32"/>
        <n v="46181.152"/>
        <n v="46183.176"/>
        <n v="46205.0"/>
        <n v="46205.9"/>
        <n v="46209.457"/>
        <n v="46227.258"/>
        <n v="46259.363"/>
        <n v="46270.77"/>
        <n v="46283.72"/>
        <n v="46293.13"/>
        <n v="46297.684"/>
        <n v="46346.258"/>
        <n v="46346.508"/>
        <n v="46364.805"/>
        <n v="46369.83"/>
        <n v="46386.137"/>
        <n v="46400.08"/>
        <n v="46405.637"/>
        <n v="46411.684"/>
        <n v="46428.27"/>
        <n v="46455.785"/>
        <n v="46474.76"/>
        <n v="46479.203"/>
        <n v="46500.426"/>
        <n v="46510.01"/>
        <n v="46513.723"/>
        <n v="46538.37"/>
        <n v="46553.914"/>
        <n v="46559.95"/>
        <n v="46582.0"/>
        <n v="46598.44"/>
        <n v="46609.35"/>
        <n v="46636.45"/>
        <n v="46648.074"/>
        <n v="46662.223"/>
        <n v="46662.97"/>
        <n v="46681.316"/>
        <n v="46681.41"/>
        <n v="46686.66"/>
        <n v="46698.934"/>
        <n v="46714.484"/>
        <n v="46722.023"/>
        <n v="46744.316"/>
        <n v="46751.39"/>
        <n v="46751.633"/>
        <n v="46756.31"/>
        <n v="46780.305"/>
        <n v="46788.53"/>
        <n v="46829.164"/>
        <n v="46854.7"/>
        <n v="46861.48"/>
        <n v="46864.332"/>
        <n v="46865.504"/>
        <n v="46892.062"/>
        <n v="46908.27"/>
        <n v="46928.13"/>
        <n v="46928.723"/>
        <n v="46931.133"/>
        <n v="46932.58"/>
        <n v="46938.58"/>
        <n v="46938.605"/>
        <n v="46947.746"/>
        <n v="46948.73"/>
        <n v="46953.45"/>
        <n v="46958.703"/>
        <n v="46987.34"/>
        <n v="47000.387"/>
        <n v="47003.766"/>
        <n v="47020.77"/>
        <n v="47034.88"/>
        <n v="47037.617"/>
        <n v="47088.543"/>
        <n v="47097.145"/>
        <n v="47144.406"/>
        <n v="47155.816"/>
        <n v="47158.09"/>
        <n v="47181.56"/>
        <n v="47193.773"/>
        <n v="47223.324"/>
        <n v="47227.26"/>
        <n v="47234.562"/>
        <n v="47248.793"/>
        <n v="47262.08"/>
        <n v="47275.934"/>
        <n v="47279.37"/>
        <n v="47285.652"/>
        <n v="47305.01"/>
        <n v="47323.504"/>
        <n v="47371.4"/>
        <n v="47385.695"/>
        <n v="47426.105"/>
        <n v="47428.85"/>
        <n v="47459.004"/>
        <n v="47465.902"/>
        <n v="47523.207"/>
        <n v="47527.09"/>
        <n v="47534.71"/>
        <n v="47535.254"/>
        <n v="47536.938"/>
        <n v="47575.77"/>
        <n v="47587.06"/>
        <n v="47602.3"/>
        <n v="47614.89"/>
        <n v="47619.418"/>
        <n v="47637.26"/>
        <n v="47650.992"/>
        <n v="47675.15"/>
        <n v="47719.96"/>
        <n v="47727.438"/>
        <n v="47727.918"/>
        <n v="47730.81"/>
        <n v="47738.574"/>
        <n v="47739.81"/>
        <n v="47742.637"/>
        <n v="47755.58"/>
        <n v="47787.074"/>
        <n v="47809.285"/>
        <n v="47823.02"/>
        <n v="47838.49"/>
        <n v="47843.62"/>
        <n v="47844.676"/>
        <n v="47845.586"/>
        <n v="47864.055"/>
        <n v="47910.195"/>
        <n v="47921.312"/>
        <n v="47947.117"/>
        <n v="47953.062"/>
        <n v="47961.637"/>
        <n v="47966.137"/>
        <n v="47987.754"/>
        <n v="47990.926"/>
        <n v="48007.15"/>
        <n v="48011.98"/>
        <n v="48020.12"/>
        <n v="48037.723"/>
        <n v="48049.445"/>
        <n v="48085.043"/>
        <n v="48099.56"/>
        <n v="48108.12"/>
        <n v="48111.23"/>
        <n v="48124.75"/>
        <n v="48129.91"/>
        <n v="48164.61"/>
        <n v="48165.773"/>
        <n v="48202.65"/>
        <n v="48226.645"/>
        <n v="48237.668"/>
        <n v="48263.875"/>
        <n v="48268.29"/>
        <n v="48269.29"/>
        <n v="48272.24"/>
        <n v="48282.508"/>
        <n v="48293.395"/>
        <n v="48326.883"/>
        <n v="48337.336"/>
        <n v="48340.34"/>
        <n v="48350.074"/>
        <n v="48399.36"/>
        <n v="48402.645"/>
        <n v="48438.883"/>
        <n v="48439.96"/>
        <n v="48445.41"/>
        <n v="48451.992"/>
        <n v="48463.023"/>
        <n v="48464.08"/>
        <n v="48497.99"/>
        <n v="48540.914"/>
        <n v="48547.03"/>
        <n v="48563.215"/>
        <n v="48594.836"/>
        <n v="48620.9"/>
        <n v="48622.305"/>
        <n v="48627.74"/>
        <n v="48660.36"/>
        <n v="48684.645"/>
        <n v="48687.51"/>
        <n v="48691.055"/>
        <n v="48701.67"/>
        <n v="48716.293"/>
        <n v="48723.21"/>
        <n v="48735.508"/>
        <n v="48749.016"/>
        <n v="48751.42"/>
        <n v="48793.594"/>
        <n v="48803.223"/>
        <n v="48815.76"/>
        <n v="48819.773"/>
        <n v="48826.37"/>
        <n v="48873.77"/>
        <n v="48876.324"/>
        <n v="48878.434"/>
        <n v="48879.562"/>
        <n v="48890.207"/>
        <n v="48905.53"/>
        <n v="48913.797"/>
        <n v="48979.246"/>
        <n v="49019.168"/>
        <n v="49020.39"/>
        <n v="49026.094"/>
        <n v="49038.75"/>
        <n v="49049.1"/>
        <n v="49051.01"/>
        <n v="49061.195"/>
        <n v="49061.465"/>
        <n v="49065.758"/>
        <n v="49068.527"/>
        <n v="49096.586"/>
        <n v="49131.094"/>
        <n v="49140.71"/>
        <n v="49155.312"/>
        <n v="49193.496"/>
        <n v="49218.246"/>
        <n v="49235.27"/>
        <n v="49243.555"/>
        <n v="49260.035"/>
        <n v="49260.07"/>
        <n v="49291.65"/>
        <n v="49311.027"/>
        <n v="49331.008"/>
        <n v="49366.176"/>
        <n v="49387.883"/>
        <n v="49432.203"/>
        <n v="49455.66"/>
        <n v="49461.57"/>
        <n v="49488.402"/>
        <n v="49493.184"/>
        <n v="49517.035"/>
        <n v="49543.2"/>
        <n v="49546.242"/>
        <n v="49579.88"/>
        <n v="49626.344"/>
        <n v="49628.86"/>
        <n v="49639.33"/>
        <n v="49681.234"/>
        <n v="49696.97"/>
        <n v="49718.984"/>
        <n v="49726.01"/>
        <n v="49743.29"/>
        <n v="49758.516"/>
        <n v="49760.848"/>
        <n v="49764.496"/>
        <n v="49773.426"/>
        <n v="49789.47"/>
        <n v="49795.176"/>
        <n v="49799.277"/>
        <n v="49830.004"/>
        <n v="49844.44"/>
        <n v="49861.99"/>
        <n v="49884.332"/>
        <n v="49897.9"/>
        <n v="49905.652"/>
        <n v="49952.08"/>
        <n v="49955.27"/>
        <n v="49962.93"/>
        <n v="49983.047"/>
        <n v="49989.55"/>
        <n v="49999.02"/>
        <n v="49999.082"/>
        <n v="50009.836"/>
        <n v="50022.59"/>
        <n v="50023.67"/>
        <n v="50030.28"/>
        <n v="50038.867"/>
        <n v="50044.066"/>
        <n v="50082.445"/>
        <n v="50095.83"/>
        <n v="50114.06"/>
        <n v="50114.895"/>
        <n v="50135.117"/>
        <n v="50143.92"/>
        <n v="50170.324"/>
        <n v="50180.582"/>
        <n v="50186.973"/>
        <n v="50197.062"/>
        <n v="50232.16"/>
        <n v="50232.637"/>
        <n v="50321.785"/>
        <n v="50347.992"/>
        <n v="50382.418"/>
        <n v="50385.984"/>
        <n v="50393.316"/>
        <n v="50396.094"/>
        <n v="50457.4"/>
        <n v="50512.973"/>
        <n v="50520.223"/>
        <n v="50536.273"/>
        <n v="50556.586"/>
        <n v="50567.062"/>
        <n v="50605.742"/>
        <n v="50606.52"/>
        <n v="50608.824"/>
        <n v="50635.2"/>
        <n v="50651.3"/>
        <n v="50684.29"/>
        <n v="50689.605"/>
        <n v="50692.457"/>
        <n v="50694.848"/>
        <n v="50699.008"/>
        <n v="50745.734"/>
        <n v="50774.543"/>
        <n v="50808.47"/>
        <n v="50816.855"/>
        <n v="50835.836"/>
        <n v="50851.95"/>
        <n v="50869.188"/>
        <n v="50875.37"/>
        <n v="50881.44"/>
        <n v="50902.08"/>
        <n v="50905.336"/>
        <n v="50911.37"/>
        <n v="50928.246"/>
        <n v="50950.824"/>
        <n v="50957.37"/>
        <n v="50962.47"/>
        <n v="50970.8"/>
        <n v="50983.457"/>
        <n v="51019.34"/>
        <n v="51043.164"/>
        <n v="51072.656"/>
        <n v="51092.83"/>
        <n v="51123.16"/>
        <n v="51133.33"/>
        <n v="51149.113"/>
        <n v="51171.383"/>
        <n v="51177.094"/>
        <n v="51177.742"/>
        <n v="51215.85"/>
        <n v="51231.188"/>
        <n v="51239.793"/>
        <n v="51292.87"/>
        <n v="51305.06"/>
        <n v="51315.06"/>
        <n v="51350.703"/>
        <n v="51369.234"/>
        <n v="51383.215"/>
        <n v="51401.34"/>
        <n v="51409.89"/>
        <n v="51421.645"/>
        <n v="51473.926"/>
        <n v="51501.96"/>
        <n v="51520.035"/>
        <n v="51527.22"/>
        <n v="51530.76"/>
        <n v="51533.016"/>
        <n v="51535.855"/>
        <n v="51540.53"/>
        <n v="51568.535"/>
        <n v="51570.176"/>
        <n v="51571.426"/>
        <n v="51574.113"/>
        <n v="51603.812"/>
        <n v="51610.793"/>
        <n v="51618.42"/>
        <n v="51623.883"/>
        <n v="51641.887"/>
        <n v="51646.992"/>
        <n v="51656.055"/>
        <n v="51697.395"/>
        <n v="51709.22"/>
        <n v="51711.848"/>
        <n v="51735.1"/>
        <n v="51772.496"/>
        <n v="51793.965"/>
        <n v="51798.105"/>
        <n v="51825.984"/>
        <n v="51839.516"/>
        <n v="51840.15"/>
        <n v="51853.895"/>
        <n v="51880.066"/>
        <n v="51916.062"/>
        <n v="51969.2"/>
        <n v="51985.56"/>
        <n v="51987.9"/>
        <n v="52016.625"/>
        <n v="52019.527"/>
        <n v="52049.77"/>
        <n v="52065.848"/>
        <n v="52115.16"/>
        <n v="52119.395"/>
        <n v="52229.438"/>
        <n v="52236.492"/>
        <n v="52265.43"/>
        <n v="52288.508"/>
        <n v="52294.41"/>
        <n v="52321.55"/>
        <n v="52323.48"/>
        <n v="52354.766"/>
        <n v="52355.598"/>
        <n v="52402.355"/>
        <n v="52415.633"/>
        <n v="52423.375"/>
        <n v="52426.863"/>
        <n v="52438.996"/>
        <n v="52446.1"/>
        <n v="52463.992"/>
        <n v="52464.555"/>
        <n v="52474.273"/>
        <n v="52487.9"/>
        <n v="52511.64"/>
        <n v="52513.86"/>
        <n v="52513.875"/>
        <n v="52538.594"/>
        <n v="52547.55"/>
        <n v="52619.67"/>
        <n v="52642.15"/>
        <n v="52660.406"/>
        <n v="52682.56"/>
        <n v="52684.74"/>
        <n v="52690.39"/>
        <n v="52696.27"/>
        <n v="52704.26"/>
        <n v="52720.49"/>
        <n v="52759.11"/>
        <n v="52774.688"/>
        <n v="52799.95"/>
        <n v="52801.836"/>
        <n v="52819.027"/>
        <n v="52825.766"/>
        <n v="52869.527"/>
        <n v="52872.17"/>
        <n v="52891.105"/>
        <n v="52980.16"/>
        <n v="53011.395"/>
        <n v="53051.04"/>
        <n v="53052.18"/>
        <n v="53054.97"/>
        <n v="53056.117"/>
        <n v="53099.344"/>
        <n v="53111.24"/>
        <n v="53158.395"/>
        <n v="53170.547"/>
        <n v="53199.37"/>
        <n v="53214.977"/>
        <n v="53219.195"/>
        <n v="53234.547"/>
        <n v="53237.926"/>
        <n v="53261.195"/>
        <n v="53274.004"/>
        <n v="53279.67"/>
        <n v="53281.68"/>
        <n v="53291.38"/>
        <n v="53296.02"/>
        <n v="53324.785"/>
        <n v="53356.105"/>
        <n v="53362.64"/>
        <n v="53364.996"/>
        <n v="53368.938"/>
        <n v="53378.645"/>
        <n v="53385.98"/>
        <n v="53392.555"/>
        <n v="53394.93"/>
        <n v="53414.035"/>
        <n v="53428.062"/>
        <n v="53465.207"/>
        <n v="53552.72"/>
        <n v="53657.133"/>
        <n v="53731.62"/>
        <n v="53739.86"/>
        <n v="53746.69"/>
        <n v="53769.926"/>
        <n v="53771.645"/>
        <n v="53774.96"/>
        <n v="53786.12"/>
        <n v="53786.54"/>
        <n v="53843.414"/>
        <n v="53847.508"/>
        <n v="53860.004"/>
        <n v="53904.45"/>
        <n v="53907.52"/>
        <n v="53980.617"/>
        <n v="53982.605"/>
        <n v="54006.67"/>
        <n v="54030.047"/>
        <n v="54032.723"/>
        <n v="54094.332"/>
        <n v="54108.03"/>
        <n v="54115.184"/>
        <n v="54119.594"/>
        <n v="54133.246"/>
        <n v="54151.16"/>
        <n v="54177.65"/>
        <n v="54192.05"/>
        <n v="54197.586"/>
        <n v="54225.34"/>
        <n v="54253.086"/>
        <n v="54262.656"/>
        <n v="54292.93"/>
        <n v="54303.707"/>
        <n v="54318.84"/>
        <n v="54334.062"/>
        <n v="54361.543"/>
        <n v="54380.004"/>
        <n v="54389.777"/>
        <n v="54428.113"/>
        <n v="54453.547"/>
        <n v="54460.25"/>
        <n v="54476.797"/>
        <n v="54491.016"/>
        <n v="54505.46"/>
        <n v="54551.355"/>
        <n v="54578.723"/>
        <n v="54586.75"/>
        <n v="54593.598"/>
        <n v="54596.01"/>
        <n v="54612.066"/>
        <n v="54694.6"/>
        <n v="54705.066"/>
        <n v="54717.812"/>
        <n v="54718.02"/>
        <n v="54723.48"/>
        <n v="54732.41"/>
        <n v="54735.5"/>
        <n v="54768.9"/>
        <n v="54784.523"/>
        <n v="54808.16"/>
        <n v="54811.098"/>
        <n v="54816.91"/>
        <n v="54846.656"/>
        <n v="54871.938"/>
        <n v="54872.832"/>
        <n v="54874.16"/>
        <n v="54890.34"/>
        <n v="54939.125"/>
        <n v="54945.75"/>
        <n v="54960.42"/>
        <n v="54972.47"/>
        <n v="54974.348"/>
        <n v="54993.316"/>
        <n v="55003.203"/>
        <n v="55009.215"/>
        <n v="55019.582"/>
        <n v="55065.883"/>
        <n v="55074.816"/>
        <n v="55113.656"/>
        <n v="55118.66"/>
        <n v="55136.465"/>
        <n v="55152.137"/>
        <n v="55157.31"/>
        <n v="55177.59"/>
        <n v="55181.645"/>
        <n v="55193.527"/>
        <n v="55195.4"/>
        <n v="55212.066"/>
        <n v="55232.918"/>
        <n v="55272.4"/>
        <n v="55302.973"/>
        <n v="55314.88"/>
        <n v="55315.523"/>
        <n v="55317.96"/>
        <n v="55383.605"/>
        <n v="55387.4"/>
        <n v="55412.055"/>
        <n v="55462.984"/>
        <n v="55508.6"/>
        <n v="55513.22"/>
        <n v="55515.938"/>
        <n v="55541.316"/>
        <n v="55542.43"/>
        <n v="55554.07"/>
        <n v="55560.94"/>
        <n v="55566.133"/>
        <n v="55577.46"/>
        <n v="55584.895"/>
        <n v="55627.305"/>
        <n v="55629.28"/>
        <n v="55671.926"/>
        <n v="55692.31"/>
        <n v="55696.375"/>
        <n v="55708.375"/>
        <n v="55713.547"/>
        <n v="55749.87"/>
        <n v="55758.21"/>
        <n v="55761.74"/>
        <n v="55764.473"/>
        <n v="55802.277"/>
        <n v="55838.457"/>
        <n v="55838.594"/>
        <n v="55862.95"/>
        <n v="55897.68"/>
        <n v="55911.137"/>
        <n v="55920.33"/>
        <n v="55943.04"/>
        <n v="55948.54"/>
        <n v="55954.652"/>
        <n v="55965.215"/>
        <n v="55980.496"/>
        <n v="55981.152"/>
        <n v="55985.22"/>
        <n v="56018.367"/>
        <n v="56021.105"/>
        <n v="56088.664"/>
        <n v="56092.406"/>
        <n v="56098.984"/>
        <n v="56120.254"/>
        <n v="56128.4"/>
        <n v="56141.51"/>
        <n v="56144.746"/>
        <n v="56168.234"/>
        <n v="56169.82"/>
        <n v="56196.72"/>
        <n v="56235.32"/>
        <n v="56269.547"/>
        <n v="56272.32"/>
        <n v="56302.957"/>
        <n v="56333.234"/>
        <n v="56344.117"/>
        <n v="56352.46"/>
        <n v="56426.082"/>
        <n v="56428.504"/>
        <n v="56453.395"/>
        <n v="56491.137"/>
        <n v="56512.09"/>
        <n v="56519.824"/>
        <n v="56525.758"/>
        <n v="56535.566"/>
        <n v="56551.645"/>
        <n v="56574.773"/>
        <n v="56584.32"/>
        <n v="56598.79"/>
        <n v="56613.496"/>
        <n v="56642.477"/>
        <n v="56651.1"/>
        <n v="56655.473"/>
        <n v="56685.06"/>
        <n v="56691.8"/>
        <n v="56729.242"/>
        <n v="56731.285"/>
        <n v="56756.355"/>
        <n v="56760.07"/>
        <n v="56769.87"/>
        <n v="56773.023"/>
        <n v="56777.06"/>
        <n v="56836.375"/>
        <n v="56859.215"/>
        <n v="56887.617"/>
        <n v="56891.87"/>
        <n v="56926.508"/>
        <n v="56962.44"/>
        <n v="56963.152"/>
        <n v="56972.973"/>
        <n v="56984.562"/>
        <n v="56989.5"/>
        <n v="57001.21"/>
        <n v="57012.297"/>
        <n v="57065.062"/>
        <n v="57078.645"/>
        <n v="57098.45"/>
        <n v="57107.145"/>
        <n v="57126.125"/>
        <n v="57129.28"/>
        <n v="57131.53"/>
        <n v="57168.207"/>
        <n v="57209.87"/>
        <n v="57237.086"/>
        <n v="57237.504"/>
        <n v="57347.39"/>
        <n v="57429.69"/>
        <n v="57438.688"/>
        <n v="57462.71"/>
        <n v="57486.17"/>
        <n v="57504.32"/>
        <n v="57512.81"/>
        <n v="57547.727"/>
        <n v="57588.85"/>
        <n v="57608.97"/>
        <n v="57659.027"/>
        <n v="57710.99"/>
        <n v="57727.06"/>
        <n v="57751.582"/>
        <n v="57757.312"/>
        <n v="57767.18"/>
        <n v="57774.023"/>
        <n v="57837.67"/>
        <n v="57865.88"/>
        <n v="57873.336"/>
        <n v="57912.156"/>
        <n v="57952.086"/>
        <n v="57982.61"/>
        <n v="57983.94"/>
        <n v="58008.383"/>
        <n v="58027.59"/>
        <n v="58063.234"/>
        <n v="58111.695"/>
        <n v="58129.49"/>
        <n v="58190.547"/>
        <n v="58191.004"/>
        <n v="58211.574"/>
        <n v="58242.426"/>
        <n v="58290.137"/>
        <n v="58326.98"/>
        <n v="58336.203"/>
        <n v="58365.05"/>
        <n v="58384.38"/>
        <n v="58385.74"/>
        <n v="58395.184"/>
        <n v="58432.094"/>
        <n v="58521.25"/>
        <n v="58527.773"/>
        <n v="58533.633"/>
        <n v="58549.34"/>
        <n v="58640.03"/>
        <n v="58652.53"/>
        <n v="58670.76"/>
        <n v="58674.656"/>
        <n v="58691.63"/>
        <n v="58699.973"/>
        <n v="58708.473"/>
        <n v="58726.14"/>
        <n v="58745.582"/>
        <n v="58768.555"/>
        <n v="58785.832"/>
        <n v="58815.035"/>
        <n v="58819.91"/>
        <n v="58823.145"/>
        <n v="58857.523"/>
        <n v="58883.38"/>
        <n v="58890.85"/>
        <n v="58893.56"/>
        <n v="58956.617"/>
        <n v="58968.39"/>
        <n v="59016.145"/>
        <n v="59054.91"/>
        <n v="59062.555"/>
        <n v="59075.375"/>
        <n v="59095.23"/>
        <n v="59101.79"/>
        <n v="59143.164"/>
        <n v="59145.79"/>
        <n v="59158.684"/>
        <n v="59163.195"/>
        <n v="59185.188"/>
        <n v="59186.5"/>
        <n v="59199.55"/>
        <n v="59260.555"/>
        <n v="59263.266"/>
        <n v="59324.938"/>
        <n v="59339.504"/>
        <n v="59341.21"/>
        <n v="59371.336"/>
        <n v="59379.094"/>
        <n v="59385.523"/>
        <n v="59399.37"/>
        <n v="59443.074"/>
        <n v="59496.652"/>
        <n v="59518.008"/>
        <n v="59551.445"/>
        <n v="59577.99"/>
        <n v="59583.65"/>
        <n v="59616.523"/>
        <n v="59630.875"/>
        <n v="59631.395"/>
        <n v="59678.5"/>
        <n v="59686.598"/>
        <n v="59734.707"/>
        <n v="59743.59"/>
        <n v="59761.0"/>
        <n v="59767.38"/>
        <n v="59783.69"/>
        <n v="59811.516"/>
        <n v="59830.67"/>
        <n v="59841.566"/>
        <n v="59896.258"/>
        <n v="59898.363"/>
        <n v="59906.363"/>
        <n v="59927.203"/>
        <n v="59955.434"/>
        <n v="59962.69"/>
        <n v="59964.332"/>
        <n v="60010.14"/>
        <n v="60022.93"/>
        <n v="60058.832"/>
        <n v="60101.13"/>
        <n v="60114.35"/>
        <n v="60130.453"/>
        <n v="60133.555"/>
        <n v="60167.633"/>
        <n v="60186.875"/>
        <n v="60187.496"/>
        <n v="60189.844"/>
        <n v="60201.16"/>
        <n v="60202.69"/>
        <n v="60213.793"/>
        <n v="60221.89"/>
        <n v="60230.188"/>
        <n v="60239.23"/>
        <n v="60279.555"/>
        <n v="60340.633"/>
        <n v="60379.188"/>
        <n v="60404.395"/>
        <n v="60417.88"/>
        <n v="60430.977"/>
        <n v="60441.438"/>
        <n v="60451.203"/>
        <n v="60456.516"/>
        <n v="60474.445"/>
        <n v="60488.88"/>
        <n v="60492.258"/>
        <n v="60503.754"/>
        <n v="60545.2"/>
        <n v="60552.074"/>
        <n v="60571.688"/>
        <n v="60572.164"/>
        <n v="60599.074"/>
        <n v="60608.508"/>
        <n v="60721.0"/>
        <n v="60768.516"/>
        <n v="60780.098"/>
        <n v="60864.18"/>
        <n v="60864.902"/>
        <n v="60871.758"/>
        <n v="60896.258"/>
        <n v="60898.13"/>
        <n v="60941.17"/>
        <n v="60948.375"/>
        <n v="60950.688"/>
        <n v="60959.363"/>
        <n v="60973.406"/>
        <n v="60980.816"/>
        <n v="60991.55"/>
        <n v="61008.562"/>
        <n v="61026.688"/>
        <n v="61114.266"/>
        <n v="61149.945"/>
        <n v="61162.0"/>
        <n v="61234.383"/>
        <n v="61246.367"/>
        <n v="61259.5"/>
        <n v="61264.8"/>
        <n v="61302.926"/>
        <n v="61312.684"/>
        <n v="61314.605"/>
        <n v="61323.1"/>
        <n v="61345.12"/>
        <n v="61428.375"/>
        <n v="61432.746"/>
        <n v="61457.2"/>
        <n v="61475.965"/>
        <n v="61532.176"/>
        <n v="61534.535"/>
        <n v="61570.96"/>
        <n v="61576.99"/>
        <n v="61581.582"/>
        <n v="61599.848"/>
        <n v="61629.49"/>
        <n v="61634.277"/>
        <n v="61647.637"/>
        <n v="61657.87"/>
        <n v="61668.473"/>
        <n v="61684.402"/>
        <n v="61727.914"/>
        <n v="61749.242"/>
        <n v="61750.78"/>
        <n v="61783.05"/>
        <n v="61804.523"/>
        <n v="61822.73"/>
        <n v="61840.664"/>
        <n v="61856.902"/>
        <n v="61869.023"/>
        <n v="61902.734"/>
        <n v="61957.473"/>
        <n v="61986.805"/>
        <n v="61989.8"/>
        <n v="61998.688"/>
        <n v="62021.58"/>
        <n v="62088.94"/>
        <n v="62111.918"/>
        <n v="62126.125"/>
        <n v="62129.797"/>
        <n v="62132.773"/>
        <n v="62165.164"/>
        <n v="62169.29"/>
        <n v="62202.832"/>
        <n v="62215.008"/>
        <n v="62235.17"/>
        <n v="62249.055"/>
        <n v="62255.11"/>
        <n v="62256.215"/>
        <n v="62274.004"/>
        <n v="62297.098"/>
        <n v="62303.324"/>
        <n v="62311.766"/>
        <n v="62344.344"/>
        <n v="62353.055"/>
        <n v="62457.03"/>
        <n v="62507.363"/>
        <n v="62541.395"/>
        <n v="62545.637"/>
        <n v="62582.55"/>
        <n v="62608.777"/>
        <n v="62612.31"/>
        <n v="62636.277"/>
        <n v="62642.895"/>
        <n v="62647.54"/>
        <n v="62751.04"/>
        <n v="62762.9"/>
        <n v="62768.07"/>
        <n v="62811.184"/>
        <n v="62823.496"/>
        <n v="62875.258"/>
        <n v="62888.113"/>
        <n v="62896.73"/>
        <n v="62925.535"/>
        <n v="63034.035"/>
        <n v="63065.277"/>
        <n v="63066.62"/>
        <n v="63084.914"/>
        <n v="63096.504"/>
        <n v="63113.223"/>
        <n v="63128.047"/>
        <n v="63133.797"/>
        <n v="63143.918"/>
        <n v="63168.363"/>
        <n v="63187.668"/>
        <n v="63209.016"/>
        <n v="63220.223"/>
        <n v="63223.348"/>
        <n v="63240.14"/>
        <n v="63249.598"/>
        <n v="63314.582"/>
        <n v="63347.414"/>
        <n v="63375.535"/>
        <n v="63386.21"/>
        <n v="63386.383"/>
        <n v="63397.098"/>
        <n v="63414.16"/>
        <n v="63465.727"/>
        <n v="63469.54"/>
        <n v="63478.348"/>
        <n v="63489.117"/>
        <n v="63500.18"/>
        <n v="63503.18"/>
        <n v="63575.4"/>
        <n v="63584.387"/>
        <n v="63584.418"/>
        <n v="63588.887"/>
        <n v="63642.48"/>
        <n v="63642.86"/>
        <n v="63676.72"/>
        <n v="63687.754"/>
        <n v="63702.35"/>
        <n v="63726.5"/>
        <n v="63807.05"/>
        <n v="63857.27"/>
        <n v="63873.0"/>
        <n v="63900.5"/>
        <n v="63913.64"/>
        <n v="63914.95"/>
        <n v="63984.17"/>
        <n v="64030.312"/>
        <n v="64064.42"/>
        <n v="64079.047"/>
        <n v="64082.08"/>
        <n v="64121.266"/>
        <n v="64215.83"/>
        <n v="64247.59"/>
        <n v="64249.574"/>
        <n v="64314.7"/>
        <n v="64425.594"/>
        <n v="64457.14"/>
        <n v="64458.977"/>
        <n v="64459.617"/>
        <n v="64478.266"/>
        <n v="64481.15"/>
        <n v="64481.316"/>
        <n v="64506.117"/>
        <n v="64510.293"/>
        <n v="64523.63"/>
        <n v="64532.73"/>
        <n v="64561.34"/>
        <n v="64575.875"/>
        <n v="64590.957"/>
        <n v="64598.457"/>
        <n v="64637.016"/>
        <n v="64641.76"/>
        <n v="64752.066"/>
        <n v="64752.242"/>
        <n v="64798.875"/>
        <n v="64841.484"/>
        <n v="64931.62"/>
        <n v="64974.496"/>
        <n v="65073.465"/>
        <n v="65084.87"/>
        <n v="65113.324"/>
        <n v="65125.13"/>
        <n v="65137.594"/>
        <n v="65142.125"/>
        <n v="65143.918"/>
        <n v="65248.836"/>
        <n v="65377.574"/>
        <n v="65409.484"/>
        <n v="65430.89"/>
        <n v="65432.043"/>
        <n v="65445.973"/>
        <n v="65496.992"/>
        <n v="65596.89"/>
        <n v="65630.78"/>
        <n v="65642.9"/>
        <n v="65650.78"/>
        <n v="65704.98"/>
        <n v="65748.95"/>
        <n v="65752.56"/>
        <n v="65765.28"/>
        <n v="65877.04"/>
        <n v="65885.73"/>
        <n v="65886.35"/>
        <n v="65972.91"/>
        <n v="65973.734"/>
        <n v="66096.52"/>
        <n v="66130.336"/>
        <n v="66146.23"/>
        <n v="66176.43"/>
        <n v="66186.055"/>
        <n v="66270.19"/>
        <n v="66282.95"/>
        <n v="66288.89"/>
        <n v="66348.22"/>
        <n v="66398.29"/>
        <n v="66438.36"/>
        <n v="66462.87"/>
        <n v="66511.9"/>
        <n v="66519.42"/>
        <n v="66546.83"/>
        <n v="66559.23"/>
        <n v="66641.64"/>
        <n v="66654.91"/>
        <n v="66678.836"/>
        <n v="66703.9"/>
        <n v="66742.27"/>
        <n v="66822.95"/>
        <n v="66824.01"/>
        <n v="66828.11"/>
        <n v="66881.82"/>
        <n v="66903.164"/>
        <n v="66942.75"/>
        <n v="66957.53"/>
        <n v="66969.8"/>
        <n v="66991.57"/>
        <n v="67021.555"/>
        <n v="67066.805"/>
        <n v="67067.914"/>
        <n v="67104.97"/>
        <n v="67120.84"/>
        <n v="67233.66"/>
        <n v="67269.82"/>
        <n v="67273.75"/>
        <n v="67320.48"/>
        <n v="67320.78"/>
        <n v="67320.945"/>
        <n v="67378.01"/>
        <n v="67423.7"/>
        <n v="67453.56"/>
        <n v="67505.695"/>
        <n v="67521.34"/>
        <n v="67572.73"/>
        <n v="67648.06"/>
        <n v="67651.24"/>
        <n v="67668.03"/>
        <n v="67833.375"/>
        <n v="67849.086"/>
        <n v="67875.5"/>
        <n v="67916.51"/>
        <n v="67989.39"/>
        <n v="67998.92"/>
        <n v="68022.74"/>
        <n v="68080.414"/>
        <n v="68139.57"/>
        <n v="68193.43"/>
        <n v="68195.56"/>
        <n v="68202.64"/>
        <n v="68304.805"/>
        <n v="68342.43"/>
        <n v="68465.33"/>
        <n v="68482.266"/>
        <n v="68494.03"/>
        <n v="68543.02"/>
        <n v="68649.26"/>
        <n v="68654.06"/>
        <n v="68691.234"/>
        <n v="68752.016"/>
        <n v="68948.34"/>
        <n v="68955.19"/>
        <n v="69047.695"/>
        <n v="69077.99"/>
        <n v="69078.984"/>
        <n v="69084.836"/>
        <n v="69195.65"/>
        <n v="69226.16"/>
        <n v="69312.58"/>
        <n v="69322.14"/>
        <n v="69379.74"/>
        <n v="69393.805"/>
        <n v="69430.64"/>
        <n v="69676.7"/>
        <n v="69689.5"/>
        <n v="69689.93"/>
        <n v="69745.05"/>
        <n v="69818.11"/>
        <n v="69820.375"/>
        <n v="69829.34"/>
        <n v="69850.24"/>
        <n v="69859.92"/>
        <n v="69882.26"/>
        <n v="69922.16"/>
        <n v="69985.805"/>
        <n v="70176.805"/>
        <n v="70257.48"/>
        <n v="70292.41"/>
        <n v="70316.68"/>
        <n v="70342.11"/>
        <n v="70344.97"/>
        <n v="70378.58"/>
        <n v="70405.78"/>
        <n v="70448.19"/>
        <n v="70529.56"/>
        <n v="70695.25"/>
        <n v="70773.44"/>
        <n v="70831.72"/>
        <n v="70931.234"/>
        <n v="71012.43"/>
        <n v="71051.375"/>
        <n v="71070.48"/>
        <n v="71118.86"/>
        <n v="71303.8"/>
        <n v="71486.14"/>
        <n v="71528.91"/>
        <n v="71572.87"/>
        <n v="71598.445"/>
        <n v="71715.86"/>
        <n v="71739.484"/>
        <n v="71812.44"/>
        <n v="71814.64"/>
        <n v="71854.42"/>
        <n v="71871.52"/>
        <n v="71904.21"/>
        <n v="71989.58"/>
        <n v="72034.99"/>
        <n v="72150.63"/>
        <n v="72235.03"/>
        <n v="72244.92"/>
        <n v="72312.38"/>
        <n v="72422.555"/>
        <n v="72581.77"/>
        <n v="72728.05"/>
        <n v="72750.88"/>
        <n v="72772.84"/>
        <n v="72789.36"/>
        <n v="72879.4"/>
        <n v="72979.55"/>
        <n v="73009.45"/>
        <n v="73062.27"/>
        <n v="73115.35"/>
        <n v="73116.7"/>
        <n v="73301.26"/>
        <n v="73365.2"/>
        <n v="73427.625"/>
        <n v="73531.98"/>
        <n v="73648.234"/>
        <n v="73724.625"/>
        <n v="73784.51"/>
        <n v="73862.266"/>
        <n v="74006.555"/>
        <n v="74018.35"/>
        <n v="74031.96"/>
        <n v="74078.07"/>
        <n v="74114.03"/>
        <n v="74199.516"/>
        <n v="74281.89"/>
        <n v="74542.09"/>
        <n v="74618.11"/>
        <n v="74791.336"/>
        <n v="74810.23"/>
        <n v="74931.914"/>
        <n v="75007.14"/>
        <n v="75033.84"/>
        <n v="75051.33"/>
        <n v="75449.164"/>
        <n v="75718.19"/>
        <n v="76013.06"/>
        <n v="76127.68"/>
        <n v="76304.09"/>
        <n v="76410.7"/>
        <n v="76528.73"/>
        <n v="76574.586"/>
        <n v="76759.66"/>
        <n v="76766.94"/>
        <n v="76891.07"/>
        <n v="76923.016"/>
        <n v="77017.23"/>
        <n v="77156.97"/>
        <n v="77170.57"/>
        <n v="77184.44"/>
        <n v="77309.945"/>
        <n v="77332.12"/>
        <n v="77340.914"/>
        <n v="77378.71"/>
        <n v="77404.445"/>
        <n v="77413.75"/>
        <n v="77481.46"/>
        <n v="77659.53"/>
        <n v="77764.73"/>
        <n v="77912.984"/>
        <n v="77959.28"/>
        <n v="78021.15"/>
        <n v="78067.52"/>
        <n v="78069.055"/>
        <n v="78242.54"/>
        <n v="78398.07"/>
        <n v="78640.64"/>
        <n v="78687.9"/>
        <n v="78820.1"/>
        <n v="78862.52"/>
        <n v="78943.37"/>
        <n v="79027.62"/>
        <n v="79115.16"/>
        <n v="79188.91"/>
        <n v="79252.22"/>
        <n v="79261.164"/>
        <n v="79363.71"/>
        <n v="79410.48"/>
        <n v="79442.87"/>
        <n v="79887.9"/>
        <n v="79910.39"/>
        <n v="79916.06"/>
        <n v="80104.23"/>
        <n v="80174.56"/>
        <n v="80285.836"/>
        <n v="80499.37"/>
        <n v="80610.15"/>
        <n v="80627.58"/>
        <n v="80790.055"/>
        <n v="80796.16"/>
        <n v="80845.32"/>
        <n v="80863.69"/>
        <n v="80992.28"/>
        <n v="81121.664"/>
        <n v="81297.71"/>
        <n v="81419.91"/>
        <n v="81768.04"/>
        <n v="81782.586"/>
        <n v="81849.14"/>
        <n v="81866.63"/>
        <n v="82094.1"/>
        <n v="82195.9"/>
        <n v="82198.32"/>
        <n v="82367.484"/>
        <n v="82434.34"/>
        <n v="82446.766"/>
        <n v="82506.94"/>
        <n v="82513.39"/>
        <n v="82695.18"/>
        <n v="82708.41"/>
        <n v="82758.3"/>
        <n v="82800.234"/>
        <n v="82844.25"/>
        <n v="82897.836"/>
        <n v="83031.92"/>
        <n v="83188.19"/>
        <n v="83231.336"/>
        <n v="83237.37"/>
        <n v="83268.01"/>
        <n v="83452.28"/>
        <n v="83463.33"/>
        <n v="83526.375"/>
        <n v="83527.52"/>
        <n v="83564.14"/>
        <n v="83857.0"/>
        <n v="83905.41"/>
        <n v="83940.57"/>
        <n v="84006.414"/>
        <n v="84052.99"/>
        <n v="84188.555"/>
        <n v="84214.664"/>
        <n v="84237.734"/>
        <n v="84460.266"/>
        <n v="84487.94"/>
        <n v="84566.61"/>
        <n v="84568.69"/>
        <n v="84584.766"/>
        <n v="84629.28"/>
        <n v="84888.63"/>
        <n v="84982.734"/>
        <n v="85002.52"/>
        <n v="85031.6"/>
        <n v="85074.06"/>
        <n v="85212.055"/>
        <n v="85254.97"/>
        <n v="85467.31"/>
        <n v="85659.02"/>
        <n v="85689.4"/>
        <n v="85724.37"/>
        <n v="85808.805"/>
        <n v="85852.1"/>
        <n v="85979.016"/>
        <n v="86038.24"/>
        <n v="86126.09"/>
        <n v="86167.31"/>
        <n v="86321.69"/>
        <n v="86472.34"/>
        <n v="86482.56"/>
        <n v="86552.73"/>
        <n v="86685.16"/>
        <n v="86708.45"/>
        <n v="86732.64"/>
        <n v="86760.05"/>
        <n v="86911.2"/>
        <n v="87131.42"/>
        <n v="87244.01"/>
        <n v="87274.51"/>
        <n v="87347.41"/>
        <n v="87384.95"/>
        <n v="87405.586"/>
        <n v="87463.266"/>
        <n v="87551.125"/>
        <n v="87679.414"/>
        <n v="87702.14"/>
        <n v="87723.18"/>
        <n v="87848.695"/>
        <n v="87859.36"/>
        <n v="87906.98"/>
        <n v="87920.41"/>
        <n v="87932.914"/>
        <n v="87963.91"/>
        <n v="88089.3"/>
        <n v="88253.54"/>
        <n v="88548.27"/>
        <n v="88583.195"/>
        <n v="88619.46"/>
        <n v="88626.88"/>
        <n v="88713.945"/>
        <n v="88727.414"/>
        <n v="88814.45"/>
        <n v="88816.58"/>
        <n v="88879.1"/>
        <n v="88899.8"/>
        <n v="89020.664"/>
        <n v="89211.38"/>
        <n v="89215.78"/>
        <n v="89266.09"/>
        <n v="89276.96"/>
        <n v="89328.77"/>
        <n v="89421.2"/>
        <n v="89518.31"/>
        <n v="89532.055"/>
        <n v="89584.29"/>
        <n v="89614.82"/>
        <n v="89844.21"/>
        <n v="89851.484"/>
        <n v="90186.5"/>
        <n v="90189.17"/>
        <n v="90317.664"/>
        <n v="90348.94"/>
        <n v="90378.96"/>
        <n v="90610.81"/>
        <n v="90725.36"/>
        <n v="90730.6"/>
        <n v="90785.91"/>
        <n v="90823.234"/>
        <n v="90869.26"/>
        <n v="90920.375"/>
        <n v="90936.586"/>
        <n v="90947.22"/>
        <n v="90968.04"/>
        <n v="90979.36"/>
        <n v="90980.36"/>
        <n v="91054.94"/>
        <n v="91097.39"/>
        <n v="91201.57"/>
        <n v="91245.39"/>
        <n v="91397.87"/>
        <n v="91504.08"/>
        <n v="91598.984"/>
        <n v="91794.805"/>
        <n v="91917.1"/>
        <n v="91948.49"/>
        <n v="92179.45"/>
        <n v="92202.75"/>
        <n v="92210.27"/>
        <n v="92507.54"/>
        <n v="92531.05"/>
        <n v="92610.305"/>
        <n v="92682.24"/>
        <n v="92727.3"/>
        <n v="92928.29"/>
        <n v="93125.08"/>
        <n v="93135.36"/>
        <n v="93147.79"/>
        <n v="93199.914"/>
        <n v="93240.35"/>
        <n v="93272.01"/>
        <n v="93599.93"/>
        <n v="93617.63"/>
        <n v="93886.76"/>
        <n v="93922.53"/>
        <n v="93946.04"/>
        <n v="94047.625"/>
        <n v="94131.76"/>
        <n v="94184.39"/>
        <n v="94302.734"/>
        <n v="94348.49"/>
        <n v="94381.57"/>
        <n v="94590.04"/>
        <n v="94638.45"/>
        <n v="94786.71"/>
        <n v="94822.82"/>
        <n v="95144.71"/>
        <n v="95383.5"/>
        <n v="95412.35"/>
        <n v="95787.3"/>
        <n v="95801.016"/>
        <n v="95859.055"/>
        <n v="96026.78"/>
        <n v="96038.555"/>
        <n v="96334.06"/>
        <n v="96472.516"/>
        <n v="96567.34"/>
        <n v="96633.45"/>
        <n v="96748.22"/>
        <n v="96856.82"/>
        <n v="96909.31"/>
        <n v="96965.055"/>
        <n v="96990.35"/>
        <n v="97088.04"/>
        <n v="97206.19"/>
        <n v="97414.62"/>
        <n v="97431.59"/>
        <n v="97447.6"/>
        <n v="97908.484"/>
        <n v="97958.99"/>
        <n v="98084.58"/>
        <n v="98095.85"/>
        <n v="98199.18"/>
        <n v="98307.08"/>
        <n v="98565.68"/>
        <n v="98796.18"/>
        <n v="99043.46"/>
        <n v="99214.5"/>
        <n v="99506.38"/>
        <n v="99689.62"/>
        <n v="99708.766"/>
        <n v="100233.97"/>
        <n v="100292.695"/>
        <n v="100687.37"/>
        <n v="100768.305"/>
        <n v="100818.61"/>
        <n v="100950.76"/>
        <n v="101097.52"/>
        <n v="101798.42"/>
        <n v="101803.016"/>
        <n v="101821.43"/>
        <n v="101970.09"/>
        <n v="102043.99"/>
        <n v="102137.164"/>
        <n v="102792.49"/>
        <n v="103014.47"/>
        <n v="103361.12"/>
        <n v="103515.445"/>
        <n v="103553.05"/>
        <n v="103578.83"/>
        <n v="103686.46"/>
        <n v="103790.02"/>
        <n v="104348.15"/>
        <n v="104354.24"/>
        <n v="104440.53"/>
        <n v="104444.734"/>
        <n v="104459.35"/>
        <n v="104857.31"/>
        <n v="105168.47"/>
        <n v="105653.945"/>
        <n v="105706.78"/>
        <n v="105732.08"/>
        <n v="105774.52"/>
        <n v="106064.53"/>
        <n v="106308.48"/>
        <n v="106483.45"/>
        <n v="106650.625"/>
        <n v="107089.75"/>
        <n v="107142.27"/>
        <n v="107260.9"/>
        <n v="107261.33"/>
        <n v="107600.914"/>
        <n v="108127.87"/>
        <n v="108415.46"/>
        <n v="108717.76"/>
        <n v="108772.445"/>
        <n v="108847.42"/>
        <n v="109061.51"/>
        <n v="109107.234"/>
        <n v="109146.79"/>
        <n v="109465.54"/>
        <n v="109755.26"/>
        <n v="109776.26"/>
        <n v="109883.69"/>
        <n v="110057.336"/>
        <n v="110287.2"/>
        <n v="110336.09"/>
        <n v="111067.82"/>
        <n v="111124.21"/>
        <n v="111341.18"/>
        <n v="111424.94"/>
        <n v="111608.15"/>
        <n v="111640.98"/>
        <n v="111908.305"/>
        <n v="112134.625"/>
        <n v="112259.24"/>
        <n v="112339.24"/>
        <n v="112380.73"/>
        <n v="112919.55"/>
        <n v="113028.07"/>
        <n v="113044.56"/>
        <n v="113298.61"/>
        <n v="113323.99"/>
        <n v="113472.07"/>
        <n v="113721.586"/>
        <n v="114324.0"/>
        <n v="114328.19"/>
        <n v="114494.5"/>
        <n v="114921.12"/>
        <n v="114977.97"/>
        <n v="115387.69"/>
        <n v="115617.05"/>
        <n v="115678.7"/>
        <n v="115953.25"/>
        <n v="116016.01"/>
        <n v="116114.69"/>
        <n v="116270.91"/>
        <n v="116362.484"/>
        <n v="116386.04"/>
        <n v="116570.62"/>
        <n v="117069.72"/>
        <n v="117286.33"/>
        <n v="118047.56"/>
        <n v="118414.77"/>
        <n v="118640.67"/>
        <n v="118757.42"/>
        <n v="118856.46"/>
        <n v="118998.55"/>
        <n v="119096.664"/>
        <n v="119171.86"/>
        <n v="119294.82"/>
        <n v="119556.055"/>
        <n v="119580.74"/>
        <n v="119606.8"/>
        <n v="119804.39"/>
        <n v="119991.83"/>
        <n v="120004.33"/>
        <n v="120024.13"/>
        <n v="120029.2"/>
        <n v="120976.695"/>
        <n v="121156.61"/>
        <n v="121336.45"/>
        <n v="121413.695"/>
        <n v="121628.62"/>
        <n v="121644.695"/>
        <n v="121695.086"/>
        <n v="121979.82"/>
        <n v="122228.836"/>
        <n v="122976.266"/>
        <n v="123000.0"/>
        <n v="123046.195"/>
        <n v="123425.125"/>
        <n v="123560.69"/>
        <n v="123628.89"/>
        <n v="123910.92"/>
        <n v="124379.3"/>
        <n v="124461.07"/>
        <n v="124752.16"/>
        <n v="125251.414"/>
        <n v="125316.99"/>
        <n v="126087.625"/>
        <n v="126170.49"/>
        <n v="126277.87"/>
        <n v="126334.484"/>
        <n v="126393.64"/>
        <n v="126676.29"/>
        <n v="127033.5"/>
        <n v="127467.93"/>
        <n v="127472.85"/>
        <n v="127530.78"/>
        <n v="127839.21"/>
        <n v="127934.94"/>
        <n v="128128.07"/>
        <n v="128664.914"/>
        <n v="128730.19"/>
        <n v="129087.234"/>
        <n v="129342.82"/>
        <n v="129364.93"/>
        <n v="129399.68"/>
        <n v="129630.03"/>
        <n v="129885.99"/>
        <n v="129935.69"/>
        <n v="130237.98"/>
        <n v="130830.06"/>
        <n v="131103.22"/>
        <n v="131241.23"/>
        <n v="131452.1"/>
        <n v="131814.34"/>
        <n v="131945.17"/>
        <n v="132917.83"/>
        <n v="133784.77"/>
        <n v="134306.47"/>
        <n v="134661.17"/>
        <n v="135297.69"/>
        <n v="135860.94"/>
        <n v="136082.45"/>
        <n v="136211.08"/>
        <n v="136262.64"/>
        <n v="136273.62"/>
        <n v="136899.3"/>
        <n v="137327.55"/>
        <n v="137626.34"/>
        <n v="137753.67"/>
        <n v="137958.86"/>
        <n v="137998.38"/>
        <n v="138474.27"/>
        <n v="138919.61"/>
        <n v="138972.2"/>
        <n v="139175.06"/>
        <n v="139492.97"/>
        <n v="139811.05"/>
        <n v="140015.72"/>
        <n v="140103.28"/>
        <n v="140156.66"/>
        <n v="140425.52"/>
        <n v="140517.12"/>
        <n v="140936.22"/>
        <n v="141064.86"/>
        <n v="141220.12"/>
        <n v="141234.8"/>
        <n v="141480.55"/>
        <n v="141802.06"/>
        <n v="141961.7"/>
        <n v="142093.94"/>
        <n v="142785.9"/>
        <n v="143229.27"/>
        <n v="143262.64"/>
        <n v="143265.48"/>
        <n v="143550.95"/>
        <n v="143647.47"/>
        <n v="143655.48"/>
        <n v="143941.16"/>
        <n v="144401.4"/>
        <n v="144500.89"/>
        <n v="144746.55"/>
        <n v="145118.92"/>
        <n v="145441.67"/>
        <n v="145495.73"/>
        <n v="145869.83"/>
        <n v="146332.03"/>
        <n v="147383.64"/>
        <n v="147989.08"/>
        <n v="148435.61"/>
        <n v="148600.3"/>
        <n v="148644.03"/>
        <n v="148889.39"/>
        <n v="149321.42"/>
        <n v="149537.2"/>
        <n v="149619.3"/>
        <n v="150511.94"/>
        <n v="150545.17"/>
        <n v="151045.81"/>
        <n v="152004.22"/>
        <n v="152038.3"/>
        <n v="152420.61"/>
        <n v="152611.67"/>
        <n v="153218.83"/>
        <n v="153361.7"/>
        <n v="153438.22"/>
        <n v="153545.77"/>
        <n v="153717.31"/>
        <n v="154090.9"/>
        <n v="154316.02"/>
        <n v="154504.28"/>
        <n v="155070.69"/>
        <n v="155404.36"/>
        <n v="155659.12"/>
        <n v="156978.36"/>
        <n v="157304.03"/>
        <n v="158023.72"/>
        <n v="158428.22"/>
        <n v="158576.66"/>
        <n v="158920.5"/>
        <n v="159109.16"/>
        <n v="159229.72"/>
        <n v="159504.17"/>
        <n v="159663.47"/>
        <n v="160692.52"/>
        <n v="160842.31"/>
        <n v="160914.61"/>
        <n v="160915.67"/>
        <n v="161014.8"/>
        <n v="161154.86"/>
        <n v="161276.17"/>
        <n v="161497.34"/>
        <n v="161799.95"/>
        <n v="161800.11"/>
        <n v="161939.02"/>
        <n v="162128.4"/>
        <n v="163588.22"/>
        <n v="164246.48"/>
        <n v="164839.9"/>
        <n v="165257.02"/>
        <n v="165423.17"/>
        <n v="165443.92"/>
        <n v="166545.97"/>
        <n v="167083.14"/>
        <n v="167261.97"/>
        <n v="167633.16"/>
        <n v="168309.12"/>
        <n v="168400.3"/>
        <n v="168647.36"/>
        <n v="169083.08"/>
        <n v="173464.0"/>
        <n v="173873.66"/>
        <n v="173930.48"/>
        <n v="174382.44"/>
        <n v="175112.84"/>
        <n v="175199.02"/>
        <n v="175670.05"/>
        <n v="175947.08"/>
        <n v="178809.97"/>
        <n v="179101.61"/>
        <n v="179499.98"/>
        <n v="180222.98"/>
        <n v="180349.83"/>
        <n v="180653.14"/>
        <n v="181035.6"/>
        <n v="181724.3"/>
        <n v="181811.38"/>
        <n v="182647.88"/>
        <n v="183714.94"/>
        <n v="184248.58"/>
        <n v="185083.61"/>
        <n v="187596.62"/>
        <n v="188008.27"/>
        <n v="188457.31"/>
        <n v="190051.36"/>
        <n v="190448.25"/>
        <n v="190572.3"/>
        <n v="191210.3"/>
        <n v="192314.92"/>
        <n v="192367.45"/>
        <n v="193422.83"/>
        <n v="194003.69"/>
        <n v="194705.64"/>
        <n v="196225.34"/>
        <n v="196577.86"/>
        <n v="199152.9"/>
        <n v="199255.98"/>
        <n v="199585.92"/>
        <n v="199650.05"/>
        <n v="202220.7"/>
        <n v="202389.92"/>
        <n v="204881.44"/>
        <n v="206917.22"/>
        <n v="207339.44"/>
        <n v="207637.58"/>
        <n v="208364.12"/>
        <n v="208383.89"/>
        <n v="209063.48"/>
        <n v="209723.48"/>
        <n v="210081.47"/>
        <n v="211079.11"/>
        <n v="214098.16"/>
        <n v="214297.38"/>
        <n v="216089.42"/>
        <n v="217095.31"/>
        <n v="217450.16"/>
        <n v="217682.23"/>
        <n v="219715.36"/>
        <n v="220229.38"/>
        <n v="220265.36"/>
        <n v="221610.64"/>
        <n v="221886.38"/>
        <n v="223935.23"/>
        <n v="223971.5"/>
        <n v="225474.33"/>
        <n v="225623.38"/>
        <n v="226416.12"/>
        <n v="227400.9"/>
        <n v="227637.84"/>
        <n v="227933.03"/>
        <n v="228679.56"/>
        <n v="229233.31"/>
        <n v="230007.89"/>
        <n v="230205.44"/>
        <n v="230728.02"/>
        <n v="231557.1"/>
        <n v="232280.77"/>
        <n v="233118.03"/>
        <n v="233498.3"/>
        <n v="235142.61"/>
        <n v="235901.12"/>
        <n v="237091.33"/>
        <n v="237517.25"/>
        <n v="237969.36"/>
        <n v="239145.2"/>
        <n v="243208.31"/>
        <n v="244976.39"/>
        <n v="245282.55"/>
        <n v="246359.9"/>
        <n v="251017.61"/>
        <n v="252214.66"/>
        <n v="253276.48"/>
        <n v="254401.52"/>
        <n v="255475.86"/>
        <n v="257968.92"/>
        <n v="259121.89"/>
        <n v="260984.8"/>
        <n v="270980.62"/>
        <n v="281506.28"/>
        <n v="301655.4"/>
        <n v="303592.56"/>
        <n v="304311.12"/>
        <n v="306022.25"/>
        <n v="306620.94"/>
        <n v="307076.1"/>
        <n v="307229.72"/>
        <n v="309793.7"/>
        <n v="309834.34"/>
        <n v="313668.4"/>
        <n v="314900.1"/>
        <n v="315762.6"/>
        <n v="317213.72"/>
        <n v="318559.7"/>
        <n v="321933.1"/>
        <n v="323668.28"/>
        <n v="327822.25"/>
        <n v="348593.53"/>
        <n v="354278.56"/>
        <n v="358436.47"/>
        <n v="370182.5"/>
        <n v="408208.56"/>
        <n v="514122.53"/>
        <n v="519102.12"/>
        <n v="606772.7"/>
        <n v="609783.56"/>
        <n v="611706.44"/>
        <n v="624022.56"/>
        <n v="651836.56"/>
      </sharedItems>
    </cacheField>
    <cacheField name="Tier Type" numFmtId="0">
      <sharedItems>
        <s v="Low Demand Tier"/>
        <s v="Target Market (Core IQR)"/>
        <s v="High Demand Tier"/>
        <s v="Outliers / Premium Tier"/>
      </sharedItems>
    </cacheField>
    <cacheField name="zscore" numFmtId="0">
      <sharedItems containsSemiMixedTypes="0" containsString="0" containsNumber="1">
        <n v="-0.6631714748893962"/>
        <n v="-0.6615038871449136"/>
        <n v="-0.6606263458682681"/>
        <n v="-0.6605707514503768"/>
        <n v="-0.6605597839737738"/>
        <n v="-0.6605567574224517"/>
        <n v="-0.6605353396881792"/>
        <n v="-0.6605055127787318"/>
        <n v="-0.6604747034180086"/>
        <n v="-0.6604540341424135"/>
        <n v="-0.6604458115789827"/>
        <n v="-0.6604430727538534"/>
        <n v="-0.6604206187288317"/>
        <n v="-0.660375104521492"/>
        <n v="-0.6603622818859249"/>
        <n v="-0.6603320646005906"/>
        <n v="-0.6603230154927171"/>
        <n v="-0.6603193946954865"/>
        <n v="-0.6602658620064957"/>
        <n v="-0.6602384941369102"/>
        <n v="-0.6602279405148631"/>
        <n v="-0.6602015915983399"/>
        <n v="-0.6601983760529962"/>
        <n v="-0.6601931292189657"/>
        <n v="-0.6601332219786754"/>
        <n v="-0.6600915054923813"/>
        <n v="-0.6600480929832659"/>
        <n v="-0.6600477933456853"/>
        <n v="-0.6600472158815989"/>
        <n v="-0.6599878920346192"/>
        <n v="-0.6599619506199116"/>
        <n v="-0.6598830090876021"/>
        <n v="-0.6598567624766664"/>
        <n v="-0.6598502694467616"/>
        <n v="-0.659823929927"/>
        <n v="-0.6598195726354195"/>
        <n v="-0.6597299956630627"/>
        <n v="-0.6596226563231588"/>
        <n v="-0.6595807660894196"/>
        <n v="-0.6595556079146424"/>
        <n v="-0.6595466566389682"/>
        <n v="-0.6595338786314012"/>
        <n v="-0.6594543150599448"/>
        <n v="-0.6594411548291742"/>
        <n v="-0.65936370698491"/>
        <n v="-0.659335474083864"/>
        <n v="-0.6592993431385336"/>
        <n v="-0.6592196204838738"/>
        <n v="-0.6591182344556529"/>
        <n v="-0.6590502556353911"/>
        <n v="-0.6590466666018616"/>
        <n v="-0.6590274818557782"/>
        <n v="-0.6589956726266831"/>
        <n v="-0.6589768460163297"/>
        <n v="-0.6589161977288922"/>
        <n v="-0.6587764276501412"/>
        <n v="-0.6587670991805161"/>
        <n v="-0.658759262016659"/>
        <n v="-0.6587573090784349"/>
        <n v="-0.6587290023267838"/>
        <n v="-0.6586115740413104"/>
        <n v="-0.6585699379171803"/>
        <n v="-0.6585509702230545"/>
        <n v="-0.6585463787800571"/>
        <n v="-0.6585172226140984"/>
        <n v="-0.658480386514603"/>
        <n v="-0.6584565542096501"/>
        <n v="-0.6584543879252335"/>
        <n v="-0.6584449223422988"/>
        <n v="-0.6584097811009558"/>
        <n v="-0.6583504941528089"/>
        <n v="-0.6583489708186425"/>
        <n v="-0.6583042451451832"/>
        <n v="-0.6583012932385587"/>
        <n v="-0.658265366904403"/>
        <n v="-0.6582534703395423"/>
        <n v="-0.6582507640722066"/>
        <n v="-0.6582322095708928"/>
        <n v="-0.6582237765729421"/>
        <n v="-0.6582102722354094"/>
        <n v="-0.6581784166842503"/>
        <n v="-0.6581208664164623"/>
        <n v="-0.6581111731936694"/>
        <n v="-0.6581017912551476"/>
        <n v="-0.6580902282091486"/>
        <n v="-0.658061752315789"/>
        <n v="-0.6580580926080245"/>
        <n v="-0.6580575727421161"/>
        <n v="-0.6579699983652362"/>
        <n v="-0.6579141847778072"/>
        <n v="-0.6578270627689707"/>
        <n v="-0.6577847807829178"/>
        <n v="-0.6577327849276662"/>
        <n v="-0.6576873739523551"/>
        <n v="-0.6576854628363376"/>
        <n v="-0.6576594864815587"/>
        <n v="-0.6576059257346318"/>
        <n v="-0.6575416307096079"/>
        <n v="-0.6575286613257416"/>
        <n v="-0.6575017614413528"/>
        <n v="-0.6574880546102255"/>
        <n v="-0.6574865810391908"/>
        <n v="-0.6574831052961954"/>
        <n v="-0.6574023394686512"/>
        <n v="-0.6573785810143036"/>
        <n v="-0.6573392072597859"/>
        <n v="-0.6573324685905926"/>
        <n v="-0.6573204965869416"/>
        <n v="-0.6572940895693151"/>
        <n v="-0.6572868548569892"/>
        <n v="-0.6572694126146099"/>
        <n v="-0.6572680668924723"/>
        <n v="-0.6572527795525165"/>
        <n v="-0.6572511061348624"/>
        <n v="-0.6572429404813961"/>
        <n v="-0.6572299107464977"/>
        <n v="-0.65721527403302"/>
        <n v="-0.6572096656221917"/>
        <n v="-0.6572093593671733"/>
        <n v="-0.6572049008023256"/>
        <n v="-0.6571659166825419"/>
        <n v="-0.6571602661848094"/>
        <n v="-0.657146624204572"/>
        <n v="-0.657138495079362"/>
        <n v="-0.6571247157211171"/>
        <n v="-0.657108104628917"/>
        <n v="-0.6571008452997228"/>
        <n v="-0.6570888902367125"/>
        <n v="-0.6570872562589871"/>
        <n v="-0.657070241767783"/>
        <n v="-0.6570484987202714"/>
        <n v="-0.6570406724090121"/>
        <n v="-0.6570171701818533"/>
        <n v="-0.6569978417050222"/>
        <n v="-0.6569871389259286"/>
        <n v="-0.6569641854167068"/>
        <n v="-0.6569476619393824"/>
        <n v="-0.6569344924441991"/>
        <n v="-0.6569238584864581"/>
        <n v="-0.656917709828013"/>
        <n v="-0.6569037420051416"/>
        <n v="-0.6568928812016348"/>
        <n v="-0.6568774514544192"/>
        <n v="-0.6568721977382533"/>
        <n v="-0.6568678593460748"/>
        <n v="-0.6568642801063532"/>
        <n v="-0.656851717562559"/>
        <n v="-0.6568440916273143"/>
        <n v="-0.6568094181064704"/>
        <n v="-0.6567861308136893"/>
        <n v="-0.6567782605626433"/>
        <n v="-0.6567745569150925"/>
        <n v="-0.6567689032409899"/>
        <n v="-0.6567364873252034"/>
        <n v="-0.6567347869084033"/>
        <n v="-0.6567252612391338"/>
        <n v="-0.6566961760121076"/>
        <n v="-0.6566871469153658"/>
        <n v="-0.6566841725094531"/>
        <n v="-0.6566796829749969"/>
        <n v="-0.6566728045455186"/>
        <n v="-0.6566685312689274"/>
        <n v="-0.656659443674036"/>
        <n v="-0.6566581522148878"/>
        <n v="-0.6566540329922471"/>
        <n v="-0.6566473769086766"/>
        <n v="-0.656639395484677"/>
        <n v="-0.6566372673167016"/>
        <n v="-0.6566312790649473"/>
        <n v="-0.6566006980322957"/>
        <n v="-0.6565749540819301"/>
        <n v="-0.656548640237827"/>
        <n v="-0.6565300473553745"/>
        <n v="-0.6565183760480942"/>
        <n v="-0.6565059823813106"/>
        <n v="-0.656503825890702"/>
        <n v="-0.6564706584986864"/>
        <n v="-0.6564571981009404"/>
        <n v="-0.6564550334047088"/>
        <n v="-0.6564432734237629"/>
        <n v="-0.6564370609732181"/>
        <n v="-0.6564317826401839"/>
        <n v="-0.6564257906826644"/>
        <n v="-0.6564214271442226"/>
        <n v="-0.6564097309553765"/>
        <n v="-0.656406708374517"/>
        <n v="-0.6563928355780514"/>
        <n v="-0.656390789466304"/>
        <n v="-0.6563853838137678"/>
        <n v="-0.6563722579936736"/>
        <n v="-0.6563544427925034"/>
        <n v="-0.6563309236247041"/>
        <n v="-0.6563283031193615"/>
        <n v="-0.6563233903335877"/>
        <n v="-0.6563192848752175"/>
        <n v="-0.6563050745894273"/>
        <n v="-0.6562989516066409"/>
        <n v="-0.6562831351363638"/>
        <n v="-0.656271827258764"/>
        <n v="-0.6562598052272838"/>
        <n v="-0.6562183880079939"/>
        <n v="-0.6562091937400062"/>
        <n v="-0.6562051526031308"/>
        <n v="-0.6561907040895822"/>
        <n v="-0.6561630397587863"/>
        <n v="-0.6561608872386401"/>
        <n v="-0.6561599176516634"/>
        <n v="-0.6561308546592279"/>
        <n v="-0.6561275750570869"/>
        <n v="-0.6560971666072114"/>
        <n v="-0.6560964095723346"/>
        <n v="-0.6560900383032843"/>
        <n v="-0.656088885016236"/>
        <n v="-0.6560525084316169"/>
        <n v="-0.6560361652132963"/>
        <n v="-0.6560278677404704"/>
        <n v="-0.6560057996444174"/>
        <n v="-0.6559705392891952"/>
        <n v="-0.6559636637713896"/>
        <n v="-0.6559581739450454"/>
        <n v="-0.6559571416247589"/>
        <n v="-0.6559562363592769"/>
        <n v="-0.655940830434837"/>
        <n v="-0.6559301011859925"/>
        <n v="-0.6559160441600603"/>
        <n v="-0.6559059798313593"/>
        <n v="-0.6559047754576918"/>
        <n v="-0.6558974568362554"/>
        <n v="-0.655875291860914"/>
        <n v="-0.6558728029102334"/>
        <n v="-0.6558689947071663"/>
        <n v="-0.6558339974612685"/>
        <n v="-0.6558293377263136"/>
        <n v="-0.6558266960451702"/>
        <n v="-0.6558209767260854"/>
        <n v="-0.6558200113742688"/>
        <n v="-0.6558061698121093"/>
        <n v="-0.6558038571499699"/>
        <n v="-0.6557799446416717"/>
        <n v="-0.6557765570429468"/>
        <n v="-0.6557712948564608"/>
        <n v="-0.6557668018809368"/>
        <n v="-0.6557581150380746"/>
        <n v="-0.655755496120917"/>
        <n v="-0.6557509766756421"/>
        <n v="-0.6557394895978284"/>
        <n v="-0.6557144812418413"/>
        <n v="-0.6556842559626422"/>
        <n v="-0.6556817381599332"/>
        <n v="-0.6556776750531645"/>
        <n v="-0.655673111668103"/>
        <n v="-0.655667468581901"/>
        <n v="-0.6556362506870418"/>
        <n v="-0.6556361633368638"/>
        <n v="-0.6556312389043997"/>
        <n v="-0.65562990403486"/>
        <n v="-0.6556256273172012"/>
        <n v="-0.6556229509606839"/>
        <n v="-0.6556213008364107"/>
        <n v="-0.6556120192182449"/>
        <n v="-0.6556103042430816"/>
        <n v="-0.6556095845305537"/>
        <n v="-0.6556090935166738"/>
        <n v="-0.655600049332174"/>
        <n v="-0.6555668755874182"/>
        <n v="-0.6555635581335334"/>
        <n v="-0.655548804688454"/>
        <n v="-0.6555420239323566"/>
        <n v="-0.6555281736351793"/>
        <n v="-0.6555198481044173"/>
        <n v="-0.6555063061798384"/>
        <n v="-0.6555004865403975"/>
        <n v="-0.6554770645165842"/>
        <n v="-0.65547482782263"/>
        <n v="-0.6554646189690889"/>
        <n v="-0.6554639056093012"/>
        <n v="-0.655453962247362"/>
        <n v="-0.6554450903809408"/>
        <n v="-0.6554389875151649"/>
        <n v="-0.6554328904727343"/>
        <n v="-0.6554104555059332"/>
        <n v="-0.6553805420404003"/>
        <n v="-0.6553646056621516"/>
        <n v="-0.6553513146708115"/>
        <n v="-0.6553289702305587"/>
        <n v="-0.6553189884874807"/>
        <n v="-0.6553141569638423"/>
        <n v="-0.6553029464949257"/>
        <n v="-0.6553013575157771"/>
        <n v="-0.6552715652817034"/>
        <n v="-0.6552487547091366"/>
        <n v="-0.6552455447224406"/>
        <n v="-0.6552406054669159"/>
        <n v="-0.6552354142193623"/>
        <n v="-0.6552241672221895"/>
        <n v="-0.6552231698419742"/>
        <n v="-0.6552184359917167"/>
        <n v="-0.6552031790919747"/>
        <n v="-0.6551729029908538"/>
        <n v="-0.6551674602806663"/>
        <n v="-0.6551581177820733"/>
        <n v="-0.6551493525887484"/>
        <n v="-0.6551435948885248"/>
        <n v="-0.6551333373306419"/>
        <n v="-0.6551255859287778"/>
        <n v="-0.6550979017456686"/>
        <n v="-0.6550907385016702"/>
        <n v="-0.6550669149317352"/>
        <n v="-0.6550592267925758"/>
        <n v="-0.6550458622153281"/>
        <n v="-0.6550426625518349"/>
        <n v="-0.6550216963915133"/>
        <n v="-0.6549866462061137"/>
        <n v="-0.6549827641524414"/>
        <n v="-0.6549808697123669"/>
        <n v="-0.6549641694171062"/>
        <n v="-0.6549570509069869"/>
        <n v="-0.6549475127969345"/>
        <n v="-0.6549165323357413"/>
        <n v="-0.6549006817194857"/>
        <n v="-0.6548983383524354"/>
        <n v="-0.6548846810197423"/>
        <n v="-0.6548687991691805"/>
        <n v="-0.6548623246681016"/>
        <n v="-0.6548552596268791"/>
        <n v="-0.6548398163800905"/>
        <n v="-0.6548057169881444"/>
        <n v="-0.6547853707493898"/>
        <n v="-0.6547759512238216"/>
        <n v="-0.6547727557954887"/>
        <n v="-0.6547669962423824"/>
        <n v="-0.6546673146014244"/>
        <n v="-0.6546652078739472"/>
        <n v="-0.6546639476491052"/>
        <n v="-0.6546484792560531"/>
        <n v="-0.6546218284520205"/>
        <n v="-0.6545784056197022"/>
        <n v="-0.6545552453817256"/>
        <n v="-0.6545546249307636"/>
        <n v="-0.654545930676371"/>
        <n v="-0.6545435589866871"/>
        <n v="-0.654542479020849"/>
        <n v="-0.654537022546391"/>
        <n v="-0.6545221364878595"/>
        <n v="-0.6545115570578054"/>
        <n v="-0.6544942537816183"/>
        <n v="-0.6544852434783995"/>
        <n v="-0.6544794428971795"/>
        <n v="-0.6544767731581"/>
        <n v="-0.6544637500406394"/>
        <n v="-0.6544554517737209"/>
        <n v="-0.6544462270655197"/>
        <n v="-0.6544312727150308"/>
        <n v="-0.6544114211959211"/>
        <n v="-0.6544073435307893"/>
        <n v="-0.6543676396984777"/>
        <n v="-0.654364056223596"/>
        <n v="-0.6543478795000087"/>
        <n v="-0.6543352536935098"/>
        <n v="-0.6543255366479409"/>
        <n v="-0.6542955739486712"/>
        <n v="-0.6542884766143527"/>
        <n v="-0.6542631823850557"/>
        <n v="-0.6542580713408473"/>
        <n v="-0.6542479236324309"/>
        <n v="-0.6542386311616673"/>
        <n v="-0.6541463777269143"/>
        <n v="-0.6541420313938107"/>
        <n v="-0.6541395093559415"/>
        <n v="-0.654136331397644"/>
        <n v="-0.6541223977207512"/>
        <n v="-0.6540999789004983"/>
        <n v="-0.6540855801500816"/>
        <n v="-0.6540798740658722"/>
        <n v="-0.654079501901174"/>
        <n v="-0.6540752654175367"/>
        <n v="-0.65406030444961"/>
        <n v="-0.6540523524070337"/>
        <n v="-0.6540509389223338"/>
        <n v="-0.6539891296716202"/>
        <n v="-0.6539871634985207"/>
        <n v="-0.6539770337895349"/>
        <n v="-0.6539692792113007"/>
        <n v="-0.6539395616219246"/>
        <n v="-0.6539299734840429"/>
        <n v="-0.6539273312735044"/>
        <n v="-0.6539211624980488"/>
        <n v="-0.6538793635849505"/>
        <n v="-0.6538620740730339"/>
        <n v="-0.6538552575827729"/>
        <n v="-0.6538379352483651"/>
        <n v="-0.6538171077895385"/>
        <n v="-0.6538012055572685"/>
        <n v="-0.6537998299243124"/>
        <n v="-0.6537962062154091"/>
        <n v="-0.6537946370885738"/>
        <n v="-0.6537866194010151"/>
        <n v="-0.6537832323316853"/>
        <n v="-0.6537768441219944"/>
        <n v="-0.6537731801790698"/>
        <n v="-0.6537550370176856"/>
        <n v="-0.6537545142401047"/>
        <n v="-0.6537529271138385"/>
        <n v="-0.6537358636535949"/>
        <n v="-0.65373388424562"/>
        <n v="-0.6537310249831239"/>
        <n v="-0.6537125681551911"/>
        <n v="-0.6537038691362433"/>
        <n v="-0.653694612664341"/>
        <n v="-0.6536870547563561"/>
        <n v="-0.6536823778160632"/>
        <n v="-0.6536682051173195"/>
        <n v="-0.6536501580411312"/>
        <n v="-0.6536454713070304"/>
        <n v="-0.653621017757023"/>
        <n v="-0.6536183940753102"/>
        <n v="-0.6536045694537913"/>
        <n v="-0.6535937708541993"/>
        <n v="-0.6535640537942182"/>
        <n v="-0.6535599880404745"/>
        <n v="-0.6535358224813572"/>
        <n v="-0.6535346736941666"/>
        <n v="-0.6535319433393575"/>
        <n v="-0.653485035499631"/>
        <n v="-0.6534581165570214"/>
        <n v="-0.6534488950251902"/>
        <n v="-0.6534452938155754"/>
        <n v="-0.6534343070160543"/>
        <n v="-0.653432871561461"/>
        <n v="-0.6534318731224557"/>
        <n v="-0.6534257977852208"/>
        <n v="-0.6534215433021529"/>
        <n v="-0.6534203614277735"/>
        <n v="-0.6534105281799982"/>
        <n v="-0.6534068075918067"/>
        <n v="-0.6533657463906669"/>
        <n v="-0.6533609937468863"/>
        <n v="-0.6533439022287068"/>
        <n v="-0.6533044284185306"/>
        <n v="-0.6533018404709816"/>
        <n v="-0.6532920426926726"/>
        <n v="-0.6532893586599275"/>
        <n v="-0.6532590701180239"/>
        <n v="-0.6532590269723298"/>
        <n v="-0.6532553180308286"/>
        <n v="-0.6532533730335298"/>
        <n v="-0.6532498218517442"/>
        <n v="-0.6532327562739207"/>
        <n v="-0.653224111253265"/>
        <n v="-0.6532122303055572"/>
        <n v="-0.6531776430761014"/>
        <n v="-0.6531490123346987"/>
        <n v="-0.6531481682143414"/>
        <n v="-0.6531319711090461"/>
        <n v="-0.6531271827311017"/>
        <n v="-0.6531166991215458"/>
        <n v="-0.6530877380376515"/>
        <n v="-0.6530849520963655"/>
        <n v="-0.6530646045341233"/>
        <n v="-0.6530638856156878"/>
        <n v="-0.65306111582095"/>
        <n v="-0.6530555815254242"/>
        <n v="-0.6530457273665456"/>
        <n v="-0.6530434477915951"/>
        <n v="-0.6530284092672982"/>
        <n v="-0.653012134340935"/>
        <n v="-0.6530016687308099"/>
        <n v="-0.6529998960515897"/>
        <n v="-0.6529957103898741"/>
        <n v="-0.6529928762736414"/>
        <n v="-0.6529903240602561"/>
        <n v="-0.6529887549334207"/>
        <n v="-0.6529802242620889"/>
        <n v="-0.6529411755561128"/>
        <n v="-0.6529378218386692"/>
        <n v="-0.6529220209855453"/>
        <n v="-0.6529143828742151"/>
        <n v="-0.6529063725981868"/>
        <n v="-0.6529018190069332"/>
        <n v="-0.6528851517988613"/>
        <n v="-0.6528811368670393"/>
        <n v="-0.6528597588373931"/>
        <n v="-0.6528506595958113"/>
        <n v="-0.6528456435780089"/>
        <n v="-0.6528327289865271"/>
        <n v="-0.6528285401484416"/>
        <n v="-0.6528183117072848"/>
        <n v="-0.652817258475895"/>
        <n v="-0.6528159958687754"/>
        <n v="-0.6528060413895408"/>
        <n v="-0.6528030881594289"/>
        <n v="-0.6528029849274002"/>
        <n v="-0.6527959061219073"/>
        <n v="-0.6527910301290873"/>
        <n v="-0.6527796637533377"/>
        <n v="-0.6527757046726903"/>
        <n v="-0.6527695827486938"/>
        <n v="-0.6527579858214136"/>
        <n v="-0.6527535825783454"/>
        <n v="-0.6527426458066535"/>
        <n v="-0.6527351704842916"/>
        <n v="-0.6527341778686315"/>
        <n v="-0.6527334393625804"/>
        <n v="-0.6527315023062069"/>
        <n v="-0.6526961133079953"/>
        <n v="-0.6526684370658115"/>
        <n v="-0.6526473189691195"/>
        <n v="-0.6526048170194363"/>
        <n v="-0.6525948850394899"/>
        <n v="-0.6525837375685807"/>
        <n v="-0.6525663225900447"/>
        <n v="-0.652537817050564"/>
        <n v="-0.6525296680730408"/>
        <n v="-0.6525173540802077"/>
        <n v="-0.6525163426710245"/>
        <n v="-0.6525155790187099"/>
        <n v="-0.6525131697419797"/>
        <n v="-0.6524832290126034"/>
        <n v="-0.652480577008257"/>
        <n v="-0.6524786034236272"/>
        <n v="-0.65247260273109"/>
        <n v="-0.6524724076490256"/>
        <n v="-0.6524668209433929"/>
        <n v="-0.652451344874113"/>
        <n v="-0.6524512416420845"/>
        <n v="-0.6524206637858029"/>
        <n v="-0.6524119075921933"/>
        <n v="-0.6524082875890552"/>
        <n v="-0.6523972949661889"/>
        <n v="-0.6523930169250426"/>
        <n v="-0.6523723940773908"/>
        <n v="-0.6523613847785813"/>
        <n v="-0.6523585040755869"/>
        <n v="-0.6523474624836814"/>
        <n v="-0.6523384214755515"/>
        <n v="-0.6523012984439561"/>
        <n v="-0.6522969687867956"/>
        <n v="-0.6522794058423518"/>
        <n v="-0.6522718323172139"/>
        <n v="-0.6522617367542068"/>
        <n v="-0.6522415284228547"/>
        <n v="-0.6522214572048122"/>
        <n v="-0.652183931568305"/>
        <n v="-0.6521778858771912"/>
        <n v="-0.6521633156027883"/>
        <n v="-0.6521493583678172"/>
        <n v="-0.6521360880228828"/>
        <n v="-0.6521294933491346"/>
        <n v="-0.6521285925835102"/>
        <n v="-0.6521238960556016"/>
        <n v="-0.6521229436739628"/>
        <n v="-0.6521078024470324"/>
        <n v="-0.6520648528938608"/>
        <n v="-0.6520577814998982"/>
        <n v="-0.6520477881101298"/>
        <n v="-0.6520362806506077"/>
        <n v="-0.6520199091096538"/>
        <n v="-0.6519548289918169"/>
        <n v="-0.6519489013557923"/>
        <n v="-0.651946377200343"/>
        <n v="-0.6519191586201528"/>
        <n v="-0.6519191440617897"/>
        <n v="-0.6519141365143077"/>
        <n v="-0.6518905090852269"/>
        <n v="-0.6518806655142488"/>
        <n v="-0.6518728712313882"/>
        <n v="-0.6518350523100406"/>
        <n v="-0.6518154541064474"/>
        <n v="-0.6518041602578155"/>
        <n v="-0.6518012959660666"/>
        <n v="-0.6517978781918258"/>
        <n v="-0.6517858331316623"/>
        <n v="-0.6517841425086699"/>
        <n v="-0.6517811220453906"/>
        <n v="-0.6517716064346266"/>
        <n v="-0.6517663447775355"/>
        <n v="-0.6517586579618636"/>
        <n v="-0.6517461205643327"/>
        <n v="-0.6517419216677416"/>
        <n v="-0.6517375239833211"/>
        <n v="-0.6516817553944686"/>
        <n v="-0.6516713302830623"/>
        <n v="-0.6516646929930151"/>
        <n v="-0.6516322686069084"/>
        <n v="-0.6515967062318281"/>
        <n v="-0.6515808098229033"/>
        <n v="-0.6515765574574154"/>
        <n v="-0.6515522097864118"/>
        <n v="-0.6515443143891024"/>
        <n v="-0.6515214725822296"/>
        <n v="-0.651502933698069"/>
        <n v="-0.651483992473694"/>
        <n v="-0.6514785828506952"/>
        <n v="-0.651457600279128"/>
        <n v="-0.6514218277342253"/>
        <n v="-0.6513846631451209"/>
        <n v="-0.6513763354967788"/>
        <n v="-0.65136428249569"/>
        <n v="-0.651323540784444"/>
        <n v="-0.6513111984689774"/>
        <n v="-0.6513102744099722"/>
        <n v="-0.6512746119792334"/>
        <n v="-0.6512629562891062"/>
        <n v="-0.6512554502618333"/>
        <n v="-0.6512494985383352"/>
        <n v="-0.6512163660863909"/>
        <n v="-0.6511919485352448"/>
        <n v="-0.6511580963707725"/>
        <n v="-0.6511322910105847"/>
        <n v="-0.6511264231961972"/>
        <n v="-0.6510991778815586"/>
        <n v="-0.6510167081961468"/>
        <n v="-0.6509883471815061"/>
        <n v="-0.6509826659788627"/>
        <n v="-0.6509675803384092"/>
        <n v="-0.6509269418591919"/>
        <n v="-0.6509185768885009"/>
        <n v="-0.6509081800997282"/>
        <n v="-0.6509004909017788"/>
        <n v="-0.6508919933176357"/>
        <n v="-0.6508791779877199"/>
        <n v="-0.6508484399894453"/>
        <n v="-0.6508241963445628"/>
        <n v="-0.650811620565893"/>
        <n v="-0.6508076315744269"/>
        <n v="-0.6507831984061277"/>
        <n v="-0.6507733537763596"/>
        <n v="-0.6507562521996747"/>
        <n v="-0.650754084856468"/>
        <n v="-0.6507472884832177"/>
        <n v="-0.6507283250242519"/>
        <n v="-0.6507256296095141"/>
        <n v="-0.6507253154135706"/>
        <n v="-0.6507246933744235"/>
        <n v="-0.6507057828549596"/>
        <n v="-0.6506848595756346"/>
        <n v="-0.6506724505563958"/>
        <n v="-0.6506469117465999"/>
        <n v="-0.6506149045237679"/>
        <n v="-0.6505717561827667"/>
        <n v="-0.6505417614550983"/>
        <n v="-0.6505310975865387"/>
        <n v="-0.650514408673271"/>
        <n v="-0.6504794225446686"/>
        <n v="-0.6504499961225528"/>
        <n v="-0.6504473909696656"/>
        <n v="-0.6504340025696421"/>
        <n v="-0.6504259205605888"/>
        <n v="-0.6503787228770894"/>
        <n v="-0.6503781386896863"/>
        <n v="-0.650357379522817"/>
        <n v="-0.6503509542554748"/>
        <n v="-0.6503275867593483"/>
        <n v="-0.6503003750612933"/>
        <n v="-0.6502730516608894"/>
        <n v="-0.6502525458095366"/>
        <n v="-0.6502506434285369"/>
        <n v="-0.6502465792629781"/>
        <n v="-0.6502116664555858"/>
        <n v="-0.6501774574788709"/>
        <n v="-0.6501720735315305"/>
        <n v="-0.6500867350545122"/>
        <n v="-0.6500659147425183"/>
        <n v="-0.6500638823950414"/>
        <n v="-0.650054739213673"/>
        <n v="-0.6500503155888966"/>
        <n v="-0.6500288290332716"/>
        <n v="-0.6500192099257814"/>
        <n v="-0.6500107279587914"/>
        <n v="-0.649999848097064"/>
        <n v="-0.6499854797868609"/>
        <n v="-0.6499716673414274"/>
        <n v="-0.6499700767740936"/>
        <n v="-0.6499272622166519"/>
        <n v="-0.6498493916504651"/>
        <n v="-0.6498408008927987"/>
        <n v="-0.6498375792594123"/>
        <n v="-0.6497952525394802"/>
        <n v="-0.6497852617966869"/>
        <n v="-0.6497224625772883"/>
        <n v="-0.6497153353321512"/>
        <n v="-0.6497107745940649"/>
        <n v="-0.6496930644778061"/>
        <n v="-0.6496850838478988"/>
        <n v="-0.6496764028283818"/>
        <n v="-0.6496479557870506"/>
        <n v="-0.6496419262424848"/>
        <n v="-0.6495774393117665"/>
        <n v="-0.6495573101249695"/>
        <n v="-0.6495398099138355"/>
        <n v="-0.6495187823436919"/>
        <n v="-0.6494950230952515"/>
        <n v="-0.6494596899482143"/>
        <n v="-0.6494574492837976"/>
        <n v="-0.6494372263940823"/>
        <n v="-0.6493707486733961"/>
        <n v="-0.6493702711590892"/>
        <n v="-0.6493390024423082"/>
        <n v="-0.6493346058166778"/>
        <n v="-0.6493226316954467"/>
        <n v="-0.6493122415241118"/>
        <n v="-0.6493112462614766"/>
        <n v="-0.649269965361404"/>
        <n v="-0.6492604915728465"/>
        <n v="-0.6492404476186475"/>
        <n v="-0.6492235480061623"/>
        <n v="-0.6492135543516963"/>
        <n v="-0.6492127205545418"/>
        <n v="-0.6490566099044454"/>
        <n v="-0.6490255725332876"/>
        <n v="-0.6490214766040278"/>
        <n v="-0.6489968438538065"/>
        <n v="-0.6489894323235444"/>
        <n v="-0.6489229853077693"/>
        <n v="-0.648901179526948"/>
        <n v="-0.6489007313940647"/>
        <n v="-0.6488939532849424"/>
        <n v="-0.6488938209361877"/>
        <n v="-0.6488616697179106"/>
        <n v="-0.6488518145002421"/>
        <n v="-0.6488492749923371"/>
        <n v="-0.6488466121353931"/>
        <n v="-0.6488461084160327"/>
        <n v="-0.6488302167716632"/>
        <n v="-0.6488286616737957"/>
        <n v="-0.6488123830416673"/>
        <n v="-0.6488034717353172"/>
        <n v="-0.6487628443733953"/>
        <n v="-0.6487529957731645"/>
        <n v="-0.6487318392953337"/>
        <n v="-0.6487254097928312"/>
        <n v="-0.648714447874876"/>
        <n v="-0.6486547514396822"/>
        <n v="-0.6486539216129903"/>
        <n v="-0.648649559398036"/>
        <n v="-0.6486495514571107"/>
        <n v="-0.6486110909090005"/>
        <n v="-0.6485813251446776"/>
        <n v="-0.6485724966886479"/>
        <n v="-0.6485457278295261"/>
        <n v="-0.6485350975775501"/>
        <n v="-0.6485268575440837"/>
        <n v="-0.6484968646692979"/>
        <n v="-0.6484904759302119"/>
        <n v="-0.6484791312596582"/>
        <n v="-0.6484755035802924"/>
        <n v="-0.6484599049560656"/>
        <n v="-0.6484587233463839"/>
        <n v="-0.6484391246133957"/>
        <n v="-0.6484156517676605"/>
        <n v="-0.6483290517423125"/>
        <n v="-0.6483223162494893"/>
        <n v="-0.648256545800548"/>
        <n v="-0.6482441897208111"/>
        <n v="-0.6482229980382116"/>
        <n v="-0.6482190090467455"/>
        <n v="-0.6482028323231582"/>
        <n v="-0.6481915427096865"/>
        <n v="-0.6481387342330812"/>
        <n v="-0.6481349082952809"/>
        <n v="-0.6480876087032404"/>
        <n v="-0.6480783045857864"/>
        <n v="-0.6480351289809418"/>
        <n v="-0.647966768202174"/>
        <n v="-0.6478717327965977"/>
        <n v="-0.6478379663941184"/>
        <n v="-0.6478354120631531"/>
        <n v="-0.6478229937795014"/>
        <n v="-0.6477965385869281"/>
        <n v="-0.6477896405698342"/>
        <n v="-0.6477551160736882"/>
        <n v="-0.6477325725809083"/>
        <n v="-0.6476728983803052"/>
        <n v="-0.6476716993005878"/>
        <n v="-0.6476178757090342"/>
        <n v="-0.6475977973441589"/>
        <n v="-0.647554825821094"/>
        <n v="-0.6475438464331033"/>
        <n v="-0.6475273015152806"/>
        <n v="-0.6475172006583234"/>
        <n v="-0.6474284025848577"/>
        <n v="-0.6473705052986349"/>
        <n v="-0.6473578818744133"/>
        <n v="-0.6473513438459322"/>
        <n v="-0.6473376033982212"/>
        <n v="-0.647318060781105"/>
        <n v="-0.6472870779376342"/>
        <n v="-0.6472724893991032"/>
        <n v="-0.6472712543205246"/>
        <n v="-0.6472610703485493"/>
        <n v="-0.6472580882664088"/>
        <n v="-0.6472320465313453"/>
        <n v="-0.6472291674165359"/>
        <n v="-0.6472117513792099"/>
        <n v="-0.647171263248178"/>
        <n v="-0.6471682181680303"/>
        <n v="-0.6471595712944919"/>
        <n v="-0.6471580897825321"/>
        <n v="-0.6471348334593595"/>
        <n v="-0.6470982109707542"/>
        <n v="-0.6470625310699797"/>
        <n v="-0.6470268114645789"/>
        <n v="-0.647009203786256"/>
        <n v="-0.647008012647464"/>
        <n v="-0.6469944760168352"/>
        <n v="-0.6469926919556221"/>
        <n v="-0.6469773527349546"/>
        <n v="-0.6469694104861862"/>
        <n v="-0.6469625667320816"/>
        <n v="-0.646938320440224"/>
        <n v="-0.6469216497910845"/>
        <n v="-0.6469096759345508"/>
        <n v="-0.64686214684977"/>
        <n v="-0.6468473624350819"/>
        <n v="-0.6468359341201152"/>
        <n v="-0.646834300671785"/>
        <n v="-0.6468173219147445"/>
        <n v="-0.6468117050335959"/>
        <n v="-0.6468101247894649"/>
        <n v="-0.646778417468911"/>
        <n v="-0.6467687287459758"/>
        <n v="-0.6467576432142838"/>
        <n v="-0.6467155377814695"/>
        <n v="-0.6466704465607497"/>
        <n v="-0.6466153275395852"/>
        <n v="-0.6465862330481461"/>
        <n v="-0.6465497683192564"/>
        <n v="-0.6465348033808671"/>
        <n v="-0.6465270625669034"/>
        <n v="-0.6464666771240926"/>
        <n v="-0.6464397327705221"/>
        <n v="-0.646323483712453"/>
        <n v="-0.6463099754044578"/>
        <n v="-0.6462139690884171"/>
        <n v="-0.6461555400248981"/>
        <n v="-0.646097197782162"/>
        <n v="-0.6460777173689606"/>
        <n v="-0.6460693979262413"/>
        <n v="-0.6460569121447247"/>
        <n v="-0.6460555754223024"/>
        <n v="-0.6460518500695557"/>
        <n v="-0.6460337458187053"/>
        <n v="-0.6460149451487078"/>
        <n v="-0.6459769417331963"/>
        <n v="-0.6459721046509102"/>
        <n v="-0.6459312401200198"/>
        <n v="-0.6458844140718236"/>
        <n v="-0.6458662807042473"/>
        <n v="-0.6458639203965564"/>
        <n v="-0.6458475303267766"/>
        <n v="-0.6458048380595841"/>
        <n v="-0.6457884479898045"/>
        <n v="-0.6457871959705851"/>
        <n v="-0.6457801457524234"/>
        <n v="-0.6457785866840932"/>
        <n v="-0.645749278052369"/>
        <n v="-0.6457431635399028"/>
        <n v="-0.6457105131021229"/>
        <n v="-0.6456989008223872"/>
        <n v="-0.645674747174658"/>
        <n v="-0.6456594397176916"/>
        <n v="-0.6456456675062795"/>
        <n v="-0.645616675188079"/>
        <n v="-0.6456165851909259"/>
        <n v="-0.6456131136830906"/>
        <n v="-0.6455995942577999"/>
        <n v="-0.6455550800776505"/>
        <n v="-0.6454830108867765"/>
        <n v="-0.6454674254974253"/>
        <n v="-0.6454303215240504"/>
        <n v="-0.6454179244161995"/>
        <n v="-0.6453990954235685"/>
        <n v="-0.6453783759613256"/>
        <n v="-0.6453512259377904"/>
        <n v="-0.6453505520179316"/>
        <n v="-0.6453304868879318"/>
        <n v="-0.6453029848167092"/>
        <n v="-0.6452489997596748"/>
        <n v="-0.6451653378766808"/>
        <n v="-0.6451103707918867"/>
        <n v="-0.645106391329531"/>
        <n v="-0.6450876282465798"/>
        <n v="-0.6450493826328471"/>
        <n v="-0.6450478945034495"/>
        <n v="-0.6450434118511285"/>
        <n v="-0.6450209644435445"/>
        <n v="-0.6450091123478653"/>
        <n v="-0.6450071297635201"/>
        <n v="-0.6449818897972124"/>
        <n v="-0.6449541320281957"/>
        <n v="-0.6449428929719482"/>
        <n v="-0.644934913400831"/>
        <n v="-0.6449279534445198"/>
        <n v="-0.6448946028818278"/>
        <n v="-0.6448653657184311"/>
        <n v="-0.6448518222056672"/>
        <n v="-0.6448447563703522"/>
        <n v="-0.6448398171148275"/>
        <n v="-0.6447671205908563"/>
        <n v="-0.6447362949777061"/>
        <n v="-0.6447113795305448"/>
        <n v="-0.6446987571651134"/>
        <n v="-0.6446963987103049"/>
        <n v="-0.644695014342331"/>
        <n v="-0.6446840902761197"/>
        <n v="-0.6446754743721899"/>
        <n v="-0.6446618440386429"/>
        <n v="-0.6446581620962877"/>
        <n v="-0.6446482359396866"/>
        <n v="-0.6446429298134139"/>
        <n v="-0.6446280281377292"/>
        <n v="-0.6445908971652086"/>
        <n v="-0.644572658712721"/>
        <n v="-0.6445482078096886"/>
        <n v="-0.6444934048373504"/>
        <n v="-0.6444734942906961"/>
        <n v="-0.6444543010742922"/>
        <n v="-0.6444373779037288"/>
        <n v="-0.6444060660412537"/>
        <n v="-0.6443363836278216"/>
        <n v="-0.6443303776413343"/>
        <n v="-0.6443286748422565"/>
        <n v="-0.6443254119160586"/>
        <n v="-0.6443222593687221"/>
        <n v="-0.6443066673619331"/>
        <n v="-0.6442946133020543"/>
        <n v="-0.6442912341736499"/>
        <n v="-0.6442869619558487"/>
        <n v="-0.644278107030068"/>
        <n v="-0.6441723770510209"/>
        <n v="-0.644158285349715"/>
        <n v="-0.6441106840025139"/>
        <n v="-0.6441075499840031"/>
        <n v="-0.6441074186940384"/>
        <n v="-0.6440900786248976"/>
        <n v="-0.6440640151846384"/>
        <n v="-0.6440251853835024"/>
        <n v="-0.6439959127506396"/>
        <n v="-0.6439396062964482"/>
        <n v="-0.643893036475441"/>
        <n v="-0.6438857588821186"/>
        <n v="-0.6438689794423027"/>
        <n v="-0.643857185844773"/>
        <n v="-0.6438319416433052"/>
        <n v="-0.6437978128699355"/>
        <n v="-0.6437875505474976"/>
        <n v="-0.6437805180640689"/>
        <n v="-0.6437601186211148"/>
        <n v="-0.6437478379801681"/>
        <n v="-0.643744118715464"/>
        <n v="-0.6437055088779584"/>
        <n v="-0.6436316582728463"/>
        <n v="-0.6436292204087851"/>
        <n v="-0.6436254405283515"/>
        <n v="-0.6436201404901215"/>
        <n v="-0.6436138801293276"/>
        <n v="-0.6436100801318833"/>
        <n v="-0.6435885787531977"/>
        <n v="-0.6435274881562221"/>
        <n v="-0.6434849390903822"/>
        <n v="-0.6434642460978902"/>
        <n v="-0.6434521793325308"/>
        <n v="-0.6434037590112358"/>
        <n v="-0.6433978350809764"/>
        <n v="-0.6433542711648856"/>
        <n v="-0.6433446758801711"/>
        <n v="-0.6433441570730528"/>
        <n v="-0.6432707360719985"/>
        <n v="-0.6431739062820062"/>
        <n v="-0.6431238453655481"/>
        <n v="-0.6431145412480941"/>
        <n v="-0.6431090209815363"/>
        <n v="-0.6431058790221003"/>
        <n v="-0.6431051757208178"/>
        <n v="-0.643102763532415"/>
        <n v="-0.6430726091921485"/>
        <n v="-0.642988197156413"/>
        <n v="-0.6429766536980296"/>
        <n v="-0.6429648783646281"/>
        <n v="-0.6429603006859013"/>
        <n v="-0.6429409354161163"/>
        <n v="-0.6428977711932647"/>
        <n v="-0.6428932093963884"/>
        <n v="-0.6428885597199389"/>
        <n v="-0.6428705311725763"/>
        <n v="-0.6428620171771876"/>
        <n v="-0.642773403068491"/>
        <n v="-0.6427706449204434"/>
        <n v="-0.6427419067118519"/>
        <n v="-0.6427231290705377"/>
        <n v="-0.6427053493388339"/>
        <n v="-0.642696854401666"/>
        <n v="-0.6426644826903635"/>
        <n v="-0.642654160810986"/>
        <n v="-0.6426473657612232"/>
        <n v="-0.6426093170824374"/>
        <n v="-0.6425579922353721"/>
        <n v="-0.6425247065235699"/>
        <n v="-0.6424934020726252"/>
        <n v="-0.642453518775402"/>
        <n v="-0.6423708855069293"/>
        <n v="-0.6423649801054956"/>
        <n v="-0.6423528463716663"/>
        <n v="-0.6422050541054991"/>
        <n v="-0.6421652621289167"/>
        <n v="-0.6421447941293078"/>
        <n v="-0.6421342300517091"/>
        <n v="-0.6420924819605326"/>
        <n v="-0.6420528938010324"/>
        <n v="-0.6420514511996063"/>
        <n v="-0.642044088373686"/>
        <n v="-0.6420405178689822"/>
        <n v="-0.6420363978522489"/>
        <n v="-0.6420343236825655"/>
        <n v="-0.6420085551153316"/>
        <n v="-0.6419674192694943"/>
        <n v="-0.6418805148420105"/>
        <n v="-0.6418752775370904"/>
        <n v="-0.641867378963411"/>
        <n v="-0.6418593477762794"/>
        <n v="-0.6418359636042098"/>
        <n v="-0.6418132657927821"/>
        <n v="-0.6418023867251473"/>
        <n v="-0.6417852118272523"/>
        <n v="-0.6417554995318264"/>
        <n v="-0.6417250632887125"/>
        <n v="-0.6417227127748293"/>
        <n v="-0.6416837400370383"/>
        <n v="-0.641675870580085"/>
        <n v="-0.6416551143248883"/>
        <n v="-0.6416472739846611"/>
        <n v="-0.6416036475999581"/>
        <n v="-0.6415352547927916"/>
        <n v="-0.6415106172780153"/>
        <n v="-0.6414927329907952"/>
        <n v="-0.641476160279734"/>
        <n v="-0.641473672123146"/>
        <n v="-0.6414178357717312"/>
        <n v="-0.6413875977870517"/>
        <n v="-0.6413848819906056"/>
        <n v="-0.6413707286147801"/>
        <n v="-0.6413354470837571"/>
        <n v="-0.6413225258748376"/>
        <n v="-0.6412817770167589"/>
        <n v="-0.6412752588405909"/>
        <n v="-0.641271882623859"/>
        <n v="-0.6412504765362769"/>
        <n v="-0.6412368724077832"/>
        <n v="-0.6412352050781718"/>
        <n v="-0.6412182840251883"/>
        <n v="-0.6412091678429658"/>
        <n v="-0.6411580441660076"/>
        <n v="-0.6411453479499711"/>
        <n v="-0.6411054911224989"/>
        <n v="-0.6410742475519814"/>
        <n v="-0.6410722239395223"/>
        <n v="-0.6410019467507866"/>
        <n v="-0.640987393681722"/>
        <n v="-0.6409791086496789"/>
        <n v="-0.6409304890111592"/>
        <n v="-0.6409213251833852"/>
        <n v="-0.6408854798466674"/>
        <n v="-0.640883491968372"/>
        <n v="-0.6408684280331142"/>
        <n v="-0.6408645962719687"/>
        <n v="-0.6408205151369446"/>
        <n v="-0.6407934471696373"/>
        <n v="-0.6407470880478475"/>
        <n v="-0.640723449236774"/>
        <n v="-0.6407210682826774"/>
        <n v="-0.64064169714631"/>
        <n v="-0.6406401510481579"/>
        <n v="-0.6406063695579206"/>
        <n v="-0.6406005673885153"/>
        <n v="-0.6405676813699521"/>
        <n v="-0.6405672393251115"/>
        <n v="-0.6405634980905143"/>
        <n v="-0.6405194931883729"/>
        <n v="-0.6405061061118369"/>
        <n v="-0.6404743887327775"/>
        <n v="-0.6404538693818518"/>
        <n v="-0.6403886383864347"/>
        <n v="-0.6403733971038456"/>
        <n v="-0.6403357190015729"/>
        <n v="-0.640298425769479"/>
        <n v="-0.6402936559203602"/>
        <n v="-0.6402717469075104"/>
        <n v="-0.640255708885418"/>
        <n v="-0.6402408990597693"/>
        <n v="-0.6402350227750615"/>
        <n v="-0.6402036111216255"/>
        <n v="-0.6401826965773183"/>
        <n v="-0.6401634048934409"/>
        <n v="-0.6401487260930593"/>
        <n v="-0.6401382533361013"/>
        <n v="-0.640122253695148"/>
        <n v="-0.6400982271022232"/>
        <n v="-0.6400521009142417"/>
        <n v="-0.6400348161668804"/>
        <n v="-0.640033136925881"/>
        <n v="-0.6400206402917665"/>
        <n v="-0.6400104348792931"/>
        <n v="-0.6399579281578485"/>
        <n v="-0.6399367737975978"/>
        <n v="-0.6398620851601711"/>
        <n v="-0.6398493786209317"/>
        <n v="-0.6398248686903548"/>
        <n v="-0.6398235647904237"/>
        <n v="-0.6398023183154398"/>
        <n v="-0.6397999315379979"/>
        <n v="-0.6397924061878066"/>
        <n v="-0.6397874581972641"/>
        <n v="-0.6397485661922135"/>
        <n v="-0.639741480239888"/>
        <n v="-0.6397125644192677"/>
        <n v="-0.6396920659794453"/>
        <n v="-0.6396897432588007"/>
        <n v="-0.6396829855313866"/>
        <n v="-0.6396829685907459"/>
        <n v="-0.6396689176528565"/>
        <n v="-0.6396577704466447"/>
        <n v="-0.639656474487639"/>
        <n v="-0.6396390761850461"/>
        <n v="-0.6396310113813308"/>
        <n v="-0.6396049857928153"/>
        <n v="-0.6396038198002866"/>
        <n v="-0.6395922403430421"/>
        <n v="-0.6395566199992071"/>
        <n v="-0.6395422815998225"/>
        <n v="-0.6395409263485746"/>
        <n v="-0.6395199053958687"/>
        <n v="-0.6395095305769892"/>
        <n v="-0.6395066612559877"/>
        <n v="-0.639504140012211"/>
        <n v="-0.639503033576622"/>
        <n v="-0.6394306626305872"/>
        <n v="-0.6394241960704335"/>
        <n v="-0.6393832023671586"/>
        <n v="-0.6393729453386708"/>
        <n v="-0.6393646523657025"/>
        <n v="-0.6393498187172779"/>
        <n v="-0.6393239021841363"/>
        <n v="-0.6393191500697506"/>
        <n v="-0.6392604991897187"/>
        <n v="-0.6392129978981762"/>
        <n v="-0.6391887997812653"/>
        <n v="-0.639152616425828"/>
        <n v="-0.6391443790393367"/>
        <n v="-0.639143764941115"/>
        <n v="-0.6391260302079877"/>
        <n v="-0.6391240767403686"/>
        <n v="-0.6390898209121946"/>
        <n v="-0.6390433696756717"/>
        <n v="-0.6390220040868085"/>
        <n v="-0.6390011575697612"/>
        <n v="-0.6389720927244431"/>
        <n v="-0.6389630056589467"/>
        <n v="-0.6389536448962257"/>
        <n v="-0.6389470788098084"/>
        <n v="-0.638938274970647"/>
        <n v="-0.6389313626598876"/>
        <n v="-0.6389289036200256"/>
        <n v="-0.6388953595634542"/>
        <n v="-0.6388931427218133"/>
        <n v="-0.6388831490673473"/>
        <n v="-0.638876351635307"/>
        <n v="-0.6388345019002868"/>
        <n v="-0.6388295742914525"/>
        <n v="-0.6388035651141826"/>
        <n v="-0.6387624904134698"/>
        <n v="-0.6387331608706424"/>
        <n v="-0.6387252527678527"/>
        <n v="-0.638703775211943"/>
        <n v="-0.6386984759678056"/>
        <n v="-0.6386846981977459"/>
        <n v="-0.6386539940807524"/>
        <n v="-0.6386238100943649"/>
        <n v="-0.638580386467954"/>
        <n v="-0.6385754885052407"/>
        <n v="-0.6385115365281888"/>
        <n v="-0.6385111061300386"/>
        <n v="-0.6385069644081096"/>
        <n v="-0.6384938862335671"/>
        <n v="-0.6384765834867752"/>
        <n v="-0.6384539830840308"/>
        <n v="-0.6384486692815303"/>
        <n v="-0.6384268767355845"/>
        <n v="-0.6383900811348081"/>
        <n v="-0.6383779526949291"/>
        <n v="-0.6383558425119722"/>
        <n v="-0.6383303839055217"/>
        <n v="-0.6383300636215353"/>
        <n v="-0.6383264743233084"/>
        <n v="-0.6382948122660286"/>
        <n v="-0.6382886119915693"/>
        <n v="-0.6382874888800371"/>
        <n v="-0.6382818632638706"/>
        <n v="-0.6382679285281877"/>
        <n v="-0.6382438913473626"/>
        <n v="-0.6382061401885774"/>
        <n v="-0.6381947041973829"/>
        <n v="-0.6381228285003883"/>
        <n v="-0.6381220659068637"/>
        <n v="-0.6381212596382502"/>
        <n v="-0.6381121558968108"/>
        <n v="-0.6380945146019043"/>
        <n v="-0.6380832286941976"/>
        <n v="-0.6380663454929579"/>
        <n v="-0.6380547570359981"/>
        <n v="-0.6380537538324377"/>
        <n v="-0.638053030149447"/>
        <n v="-0.638036840455682"/>
        <n v="-0.638009486879762"/>
        <n v="-0.6380076382323566"/>
        <n v="-0.6379975585512001"/>
        <n v="-0.637977454775364"/>
        <n v="-0.6379716274596954"/>
        <n v="-0.6379645481248075"/>
        <n v="-0.637933120589521"/>
        <n v="-0.6378902395930043"/>
        <n v="-0.6378771291253655"/>
        <n v="-0.6378325461238638"/>
        <n v="-0.6378231083341674"/>
        <n v="-0.6377794970372225"/>
        <n v="-0.6377679122860278"/>
        <n v="-0.6377240995542781"/>
        <n v="-0.6376102028629748"/>
        <n v="-0.6376030957348483"/>
        <n v="-0.6375290587826898"/>
        <n v="-0.6374890349310892"/>
        <n v="-0.637477791374984"/>
        <n v="-0.6374709947370361"/>
        <n v="-0.6374642367449246"/>
        <n v="-0.6374509079018407"/>
        <n v="-0.6374281889146122"/>
        <n v="-0.6374194353679775"/>
        <n v="-0.6374022300298691"/>
        <n v="-0.637384982340159"/>
        <n v="-0.6373835794433593"/>
        <n v="-0.6373623787610445"/>
        <n v="-0.6373332223303884"/>
        <n v="-0.637331912077717"/>
        <n v="-0.6373031256941788"/>
        <n v="-0.6372997047435679"/>
        <n v="-0.6372676604630845"/>
        <n v="-0.6372504736538015"/>
        <n v="-0.6372085895081052"/>
        <n v="-0.6372055068409112"/>
        <n v="-0.6371945131592548"/>
        <n v="-0.6370876423339424"/>
        <n v="-0.6370001598070982"/>
        <n v="-0.6369945069270884"/>
        <n v="-0.6369825902452169"/>
        <n v="-0.6369742776846329"/>
        <n v="-0.6369519054511416"/>
        <n v="-0.636915105615205"/>
        <n v="-0.6368363506946396"/>
        <n v="-0.6368268348191779"/>
        <n v="-0.6368250465228047"/>
        <n v="-0.6368165947313308"/>
        <n v="-0.6367464101867235"/>
        <n v="-0.6367303562827806"/>
        <n v="-0.6366898707987236"/>
        <n v="-0.6366549254335377"/>
        <n v="-0.6366303747395444"/>
        <n v="-0.6366283778615338"/>
        <n v="-0.6366091380583683"/>
        <n v="-0.6365734981269178"/>
        <n v="-0.6365630039294616"/>
        <n v="-0.6364953525400189"/>
        <n v="-0.6364852569770119"/>
        <n v="-0.6363883133670906"/>
        <n v="-0.636381103801028"/>
        <n v="-0.6363681847096886"/>
        <n v="-0.6363582487592797"/>
        <n v="-0.6362947065339722"/>
        <n v="-0.6362661906712886"/>
        <n v="-0.6362622096207479"/>
        <n v="-0.6362505999879872"/>
        <n v="-0.636200621127757"/>
        <n v="-0.6361958896597772"/>
        <n v="-0.6361480005863834"/>
        <n v="-0.6361438686582623"/>
        <n v="-0.6360872604489101"/>
        <n v="-0.6360784052584318"/>
        <n v="-0.6360534374011638"/>
        <n v="-0.6360358932502433"/>
        <n v="-0.6358885679104826"/>
        <n v="-0.6358693720471037"/>
        <n v="-0.6358622728599026"/>
        <n v="-0.635822843518908"/>
        <n v="-0.6357949999878982"/>
        <n v="-0.6357792928376926"/>
        <n v="-0.6357314302340499"/>
        <n v="-0.6357290056048641"/>
        <n v="-0.6357216417201537"/>
        <n v="-0.6357056831073141"/>
        <n v="-0.6357053284126516"/>
        <n v="-0.6356730961969367"/>
        <n v="-0.6356586781236017"/>
        <n v="-0.6356514809983221"/>
        <n v="-0.6356391963869127"/>
        <n v="-0.6356348871114602"/>
        <n v="-0.6355516238629153"/>
        <n v="-0.6355495830451181"/>
        <n v="-0.6355399639376279"/>
        <n v="-0.6355176605254891"/>
        <n v="-0.6355162179240631"/>
        <n v="-0.63538819167971"/>
        <n v="-0.6353291720760474"/>
        <n v="-0.6352815344652876"/>
        <n v="-0.6352430606823017"/>
        <n v="-0.6352331927591528"/>
        <n v="-0.6352053677569687"/>
        <n v="-0.6351566422394453"/>
        <n v="-0.6351420971113059"/>
        <n v="-0.6351292910458028"/>
        <n v="-0.6350850839147644"/>
        <n v="-0.6350768518222232"/>
        <n v="-0.6350684503232761"/>
        <n v="-0.6350649589631275"/>
        <n v="-0.6350620287616989"/>
        <n v="-0.6350472321709255"/>
        <n v="-0.6350100051132088"/>
        <n v="-0.6349440583757264"/>
        <n v="-0.6349279700611073"/>
        <n v="-0.6348947822873836"/>
        <n v="-0.6348861055030267"/>
        <n v="-0.6347009125375767"/>
        <n v="-0.6346988267212029"/>
        <n v="-0.6346579891894585"/>
        <n v="-0.6346024027124925"/>
        <n v="-0.634577055278996"/>
        <n v="-0.6345265086426082"/>
        <n v="-0.6345251772141361"/>
        <n v="-0.6345201797251594"/>
        <n v="-0.6344751070332653"/>
        <n v="-0.6344560646944417"/>
        <n v="-0.6344521392303778"/>
        <n v="-0.634417876784766"/>
        <n v="-0.63437529754341"/>
        <n v="-0.6343714144309477"/>
        <n v="-0.6343680792423297"/>
        <n v="-0.6343655381462399"/>
        <n v="-0.6342519193873213"/>
        <n v="-0.6341974102292184"/>
        <n v="-0.6341652997743578"/>
        <n v="-0.6341562868241639"/>
        <n v="-0.6341528219337663"/>
        <n v="-0.6340758849556952"/>
        <n v="-0.6340145333669752"/>
        <n v="-0.6340137842730237"/>
        <n v="-0.6339331627056223"/>
        <n v="-0.6339140833091474"/>
        <n v="-0.6338248749545423"/>
        <n v="-0.6338225350285596"/>
        <n v="-0.6338200759886976"/>
        <n v="-0.6337912160192518"/>
        <n v="-0.6337615513693775"/>
        <n v="-0.6337484276668635"/>
        <n v="-0.6337428240205901"/>
        <n v="-0.6336796036674541"/>
        <n v="-0.6336773431507242"/>
        <n v="-0.6336700904389677"/>
        <n v="-0.6336474640958675"/>
        <n v="-0.6336408651869591"/>
        <n v="-0.6335841828623042"/>
        <n v="-0.6335628350081742"/>
        <n v="-0.6335300495746646"/>
        <n v="-0.6334694179631701"/>
        <n v="-0.6334594812186687"/>
        <n v="-0.6334514635311101"/>
        <n v="-0.6334506270869805"/>
        <n v="-0.6334493962435621"/>
        <n v="-0.6334210894919109"/>
        <n v="-0.6333724936761671"/>
        <n v="-0.6333616304903829"/>
        <n v="-0.6333145963899443"/>
        <n v="-0.6333129049728595"/>
        <n v="-0.6332678746325668"/>
        <n v="-0.6332611380809535"/>
        <n v="-0.6332260418381872"/>
        <n v="-0.6330726708073127"/>
        <n v="-0.6330708205717223"/>
        <n v="-0.6330692032699401"/>
        <n v="-0.6330657780841689"/>
        <n v="-0.6330057420420705"/>
        <n v="-0.6330013877680415"/>
        <n v="-0.6329962923409863"/>
        <n v="-0.6329665297530337"/>
        <n v="-0.6328346098083177"/>
        <n v="-0.6327780783612433"/>
        <n v="-0.6326614288158425"/>
        <n v="-0.6326481754115488"/>
        <n v="-0.6326184737040234"/>
        <n v="-0.6325992328420678"/>
        <n v="-0.632576251804305"/>
        <n v="-0.6324733321187148"/>
        <n v="-0.6324387943876932"/>
        <n v="-0.6324325581143727"/>
        <n v="-0.6324176450566953"/>
        <n v="-0.6324072000929758"/>
        <n v="-0.6324060221890592"/>
        <n v="-0.6323952490004282"/>
        <n v="-0.6323280793604523"/>
        <n v="-0.6323143733234177"/>
        <n v="-0.6322924907803187"/>
        <n v="-0.6322498665403861"/>
        <n v="-0.6322180181360596"/>
        <n v="-0.6322049129623711"/>
        <n v="-0.6321872205808454"/>
        <n v="-0.6321177454255632"/>
        <n v="-0.6320665211635514"/>
        <n v="-0.6320567908831072"/>
        <n v="-0.6320503190290034"/>
        <n v="-0.6320434871862867"/>
        <n v="-0.6320378544232875"/>
        <n v="-0.6320111570324932"/>
        <n v="-0.6319930173121766"/>
        <n v="-0.6319821541263925"/>
        <n v="-0.6319786945299452"/>
        <n v="-0.631923843912055"/>
        <n v="-0.6319088011525981"/>
        <n v="-0.6318417982720532"/>
        <n v="-0.631833309422928"/>
        <n v="-0.6318166678905144"/>
        <n v="-0.6317958838420793"/>
        <n v="-0.6317774661893779"/>
        <n v="-0.6317742977601908"/>
        <n v="-0.631752277574387"/>
        <n v="-0.6317440163651198"/>
        <n v="-0.6317127344134633"/>
        <n v="-0.6316931044461691"/>
        <n v="-0.631690078953637"/>
        <n v="-0.6316867199422433"/>
        <n v="-0.6316689375635643"/>
        <n v="-0.6316285500175859"/>
        <n v="-0.6315603215875727"/>
        <n v="-0.6315560123121203"/>
        <n v="-0.6315359985334374"/>
        <n v="-0.6315346459291646"/>
        <n v="-0.6314947057219771"/>
        <n v="-0.6314312577289829"/>
        <n v="-0.6314301459994436"/>
        <n v="-0.6314047615082958"/>
        <n v="-0.631388143798658"/>
        <n v="-0.6313828419075455"/>
        <n v="-0.6313756844868924"/>
        <n v="-0.6313728972221188"/>
        <n v="-0.6313655809829599"/>
        <n v="-0.6313350057736535"/>
        <n v="-0.6313331052455364"/>
        <n v="-0.6313108997714759"/>
        <n v="-0.6312548447799183"/>
        <n v="-0.6311846840580869"/>
        <n v="-0.6311694613043235"/>
        <n v="-0.6311286978878817"/>
        <n v="-0.6311000655582941"/>
        <n v="-0.6310894908927951"/>
        <n v="-0.6309999384314277"/>
        <n v="-0.6309789585068356"/>
        <n v="-0.6309423746640667"/>
        <n v="-0.6309300159373545"/>
        <n v="-0.6309273504334353"/>
        <n v="-0.6308630104098346"/>
        <n v="-0.6308596990439926"/>
        <n v="-0.6308240231136807"/>
        <n v="-0.6307986756801842"/>
        <n v="-0.630794456401885"/>
        <n v="-0.6307808059513272"/>
        <n v="-0.630686565697069"/>
        <n v="-0.6306716764621674"/>
        <n v="-0.6306477001617694"/>
        <n v="-0.6306318738976847"/>
        <n v="-0.6306313286208154"/>
        <n v="-0.6306217227482007"/>
        <n v="-0.630610279874871"/>
        <n v="-0.6305962720826754"/>
        <n v="-0.6305788179289081"/>
        <n v="-0.6305249016932262"/>
        <n v="-0.6304580205735356"/>
        <n v="-0.6304429698731534"/>
        <n v="-0.6304353174681577"/>
        <n v="-0.6304235569578167"/>
        <n v="-0.6304083686147296"/>
        <n v="-0.6303556355769144"/>
        <n v="-0.6303527133164111"/>
        <n v="-0.6303126037028175"/>
        <n v="-0.6303124845889383"/>
        <n v="-0.6302614932607348"/>
        <n v="-0.6302515432813578"/>
        <n v="-0.6302301610165515"/>
        <n v="-0.6302298248507147"/>
        <n v="-0.6301642857473967"/>
        <n v="-0.6301609717345794"/>
        <n v="-0.630088383736587"/>
        <n v="-0.6300841432824871"/>
        <n v="-0.6300252613215296"/>
        <n v="-0.6300189059343297"/>
        <n v="-0.6300166163008738"/>
        <n v="-0.6299892465784057"/>
        <n v="-0.6299231992558697"/>
        <n v="-0.6299073888736355"/>
        <n v="-0.6298871209853436"/>
        <n v="-0.6298309971724336"/>
        <n v="-0.6298238053411043"/>
        <n v="-0.6298185140378921"/>
        <n v="-0.629805445921855"/>
        <n v="-0.6297880897061661"/>
        <n v="-0.6297677000570199"/>
        <n v="-0.6297619958256931"/>
        <n v="-0.6297351263815177"/>
        <n v="-0.6297303724142496"/>
        <n v="-0.6296985266568983"/>
        <n v="-0.6296781873002789"/>
        <n v="-0.629653279264648"/>
        <n v="-0.6296345254461096"/>
        <n v="-0.6295763581684274"/>
        <n v="-0.6295325057320513"/>
        <n v="-0.6295057818715062"/>
        <n v="-0.6294619982564826"/>
        <n v="-0.6294129498079978"/>
        <n v="-0.6294036403965935"/>
        <n v="-0.6293730995979633"/>
        <n v="-0.6293495891651818"/>
        <n v="-0.6293075366718694"/>
        <n v="-0.629307269327385"/>
        <n v="-0.6292799498974437"/>
        <n v="-0.6292721413209176"/>
        <n v="-0.6292483820724772"/>
        <n v="-0.629186908722903"/>
        <n v="-0.629154083584767"/>
        <n v="-0.629089534450134"/>
        <n v="-0.6290813102985181"/>
        <n v="-0.6290640440799824"/>
        <n v="-0.6290442817639335"/>
        <n v="-0.6290424156464924"/>
        <n v="-0.6290222854009054"/>
        <n v="-0.6290126768813156"/>
        <n v="-0.6289616696712615"/>
        <n v="-0.62895851447695"/>
        <n v="-0.6288679032255452"/>
        <n v="-0.6288580538312218"/>
        <n v="-0.6288456130482818"/>
        <n v="-0.6288181347998348"/>
        <n v="-0.6288087327443024"/>
        <n v="-0.6288072980838015"/>
        <n v="-0.6288005032987363"/>
        <n v="-0.6287882875086792"/>
        <n v="-0.6287535777242766"/>
        <n v="-0.6286846504928387"/>
        <n v="-0.6286675589746592"/>
        <n v="-0.6286311683610721"/>
        <n v="-0.6286065435517761"/>
        <n v="-0.6285845524826984"/>
        <n v="-0.6285329788199743"/>
        <n v="-0.6285220097551864"/>
        <n v="-0.6285178142996629"/>
        <n v="-0.6285129465124657"/>
        <n v="-0.628450552015559"/>
        <n v="-0.6284420366966827"/>
        <n v="-0.6284408455578906"/>
        <n v="-0.6284211997087458"/>
        <n v="-0.6284167792603395"/>
        <n v="-0.628341475465901"/>
        <n v="-0.6283382461562869"/>
        <n v="-0.6282695306828564"/>
        <n v="-0.6281698535417559"/>
        <n v="-0.6281401359523798"/>
        <n v="-0.6280766138440832"/>
        <n v="-0.6280691837849954"/>
        <n v="-0.6280571718120205"/>
        <n v="-0.6280391115009568"/>
        <n v="-0.6280007727137008"/>
        <n v="-0.6278845678601157"/>
        <n v="-0.6278783236458699"/>
        <n v="-0.6278653561148863"/>
        <n v="-0.6278460729013292"/>
        <n v="-0.6278132318813426"/>
        <n v="-0.6278103652073163"/>
        <n v="-0.6277765765702462"/>
        <n v="-0.6277653957474508"/>
        <n v="-0.6277453766748178"/>
        <n v="-0.6276250081294105"/>
        <n v="-0.6275964181514243"/>
        <n v="-0.6275312046260427"/>
        <n v="-0.6275133666608868"/>
        <n v="-0.6275056957270655"/>
        <n v="-0.6275017490872009"/>
        <n v="-0.6274826829256016"/>
        <n v="-0.6274711421141934"/>
        <n v="-0.6274288725689233"/>
        <n v="-0.6274156773980817"/>
        <n v="-0.627397902960328"/>
        <n v="-0.6273757821894707"/>
        <n v="-0.6273333776484707"/>
        <n v="-0.6273226468114412"/>
        <n v="-0.627322554167313"/>
        <n v="-0.6273087343103493"/>
        <n v="-0.6272552442376573"/>
        <n v="-0.6272164713464861"/>
        <n v="-0.6271993586525058"/>
        <n v="-0.6270965316110438"/>
        <n v="-0.6270804088857486"/>
        <n v="-0.6270439282750083"/>
        <n v="-0.6270210266464983"/>
        <n v="-0.6269969259382709"/>
        <n v="-0.6269528008634603"/>
        <n v="-0.626850214696732"/>
        <n v="-0.626816089893825"/>
        <n v="-0.6267327445890521"/>
        <n v="-0.6266956895847166"/>
        <n v="-0.626611844001651"/>
        <n v="-0.6265772162734763"/>
        <n v="-0.6265601035794961"/>
        <n v="-0.6264964517694198"/>
        <n v="-0.6264572659501338"/>
        <n v="-0.6264540048768185"/>
        <n v="-0.626370868683078"/>
        <n v="-0.6262512254088465"/>
        <n v="-0.6262383161113149"/>
        <n v="-0.6262049854009359"/>
        <n v="-0.6262018169717489"/>
        <n v="-0.6261634384798664"/>
        <n v="-0.6261535043823402"/>
        <n v="-0.6260858027003706"/>
        <n v="-0.6260440572561692"/>
        <n v="-0.626039671218439"/>
        <n v="-0.6259587108382255"/>
        <n v="-0.6259133390381457"/>
        <n v="-0.6258391681490475"/>
        <n v="-0.6257887618023396"/>
        <n v="-0.6257146412057681"/>
        <n v="-0.6257013295680223"/>
        <n v="-0.6256813475530405"/>
        <n v="-0.6256747301153064"/>
        <n v="-0.625651873485373"/>
        <n v="-0.6256377306974478"/>
        <n v="-0.6256357878177291"/>
        <n v="-0.6256240008376371"/>
        <n v="-0.625616335197766"/>
        <n v="-0.625546552993373"/>
        <n v="-0.6254826179569617"/>
        <n v="-0.6254499728131321"/>
        <n v="-0.6254195828920822"/>
        <n v="-0.6253641155289954"/>
        <n v="-0.625325538513981"/>
        <n v="-0.6253018427929429"/>
        <n v="-0.6252503511864467"/>
        <n v="-0.6252408723686363"/>
        <n v="-0.6251469497513895"/>
        <n v="-0.6251427463549408"/>
        <n v="-0.6251418013848323"/>
        <n v="-0.625097289851658"/>
        <n v="-0.6250823635591052"/>
        <n v="-0.6250503748650987"/>
        <n v="-0.6250023878536265"/>
        <n v="-0.6249551367012303"/>
        <n v="-0.6249416318343026"/>
        <n v="-0.6249153156079219"/>
        <n v="-0.6248680512206503"/>
        <n v="-0.6248286509963816"/>
        <n v="-0.6248062999386911"/>
        <n v="-0.6247676038097975"/>
        <n v="-0.6247554012546158"/>
        <n v="-0.6247553959606658"/>
        <n v="-0.6247176633307061"/>
        <n v="-0.6246357076878575"/>
        <n v="-0.6246316048764624"/>
        <n v="-0.6246112284621916"/>
        <n v="-0.6246103523134358"/>
        <n v="-0.6245178193581129"/>
        <n v="-0.6245094655047174"/>
        <n v="-0.6244726090235139"/>
        <n v="-0.6244615605494731"/>
        <n v="-0.6244410941380493"/>
        <n v="-0.6244268454711203"/>
        <n v="-0.6243898698760375"/>
        <n v="-0.6242744008815285"/>
        <n v="-0.6242604142651338"/>
        <n v="-0.6241987662152033"/>
        <n v="-0.6241253708898075"/>
        <n v="-0.6240784109046716"/>
        <n v="-0.6240660654128349"/>
        <n v="-0.624057105402143"/>
        <n v="-0.6240413506063858"/>
        <n v="-0.6240263343166796"/>
        <n v="-0.624002453307385"/>
        <n v="-0.6240019292063166"/>
        <n v="-0.6239428884268533"/>
        <n v="-0.6239043881741166"/>
        <n v="-0.6238901712708887"/>
        <n v="-0.6238876275278238"/>
        <n v="-0.6238192508672054"/>
        <n v="-0.6237164185317934"/>
        <n v="-0.623686155665548"/>
        <n v="-0.6236632963886395"/>
        <n v="-0.6235948297308679"/>
        <n v="-0.6235902716397567"/>
        <n v="-0.6235877173087913"/>
        <n v="-0.6235855097315632"/>
        <n v="-0.623558219418348"/>
        <n v="-0.6235444392660107"/>
        <n v="-0.6235391426688482"/>
        <n v="-0.6235090889136353"/>
        <n v="-0.6234684604929234"/>
        <n v="-0.6234376682316592"/>
        <n v="-0.6234285361675862"/>
        <n v="-0.6233915685134288"/>
        <n v="-0.6233885827255232"/>
        <n v="-0.6233659907930991"/>
        <n v="-0.6233248250364432"/>
        <n v="-0.6233115716321493"/>
        <n v="-0.6233022066342682"/>
        <n v="-0.6231358866012355"/>
        <n v="-0.6231092818545696"/>
        <n v="-0.6230826559321029"/>
        <n v="-0.6230487164174525"/>
        <n v="-0.6230405769690396"/>
        <n v="-0.6229942152002749"/>
        <n v="-0.6229727191155396"/>
        <n v="-0.6229682430806562"/>
        <n v="-0.6229607468471912"/>
        <n v="-0.6229557202414884"/>
        <n v="-0.6229533538457547"/>
        <n v="-0.6229238136037099"/>
        <n v="-0.622873065797215"/>
        <n v="-0.6228011871885477"/>
        <n v="-0.6226859061292703"/>
        <n v="-0.6226079527127633"/>
        <n v="-0.6226039743091976"/>
        <n v="-0.6225634491205142"/>
        <n v="-0.6224831213673481"/>
        <n v="-0.6224541581658737"/>
        <n v="-0.6224225321074551"/>
        <n v="-0.6224003769259215"/>
        <n v="-0.6223723163429541"/>
        <n v="-0.6223413017357821"/>
        <n v="-0.6223274765848681"/>
        <n v="-0.6222743359128886"/>
        <n v="-0.6222715115904638"/>
        <n v="-0.6221146544933909"/>
        <n v="-0.6220171769885932"/>
        <n v="-0.6220152261679492"/>
        <n v="-0.6219783485109449"/>
        <n v="-0.6219688670461596"/>
        <n v="-0.6219427784596369"/>
        <n v="-0.6218071209860888"/>
        <n v="-0.6217851987383635"/>
        <n v="-0.6217443347368682"/>
        <n v="-0.621739893112661"/>
        <n v="-0.6217270208727806"/>
        <n v="-0.621662421445621"/>
        <n v="-0.6216545652235431"/>
        <n v="-0.6216435564541287"/>
        <n v="-0.6216401233274322"/>
        <n v="-0.6215464389379437"/>
        <n v="-0.6214948970389208"/>
        <n v="-0.6214944576410553"/>
        <n v="-0.6214199532330951"/>
        <n v="-0.6213968080828765"/>
        <n v="-0.6213606106984713"/>
        <n v="-0.6212347682085703"/>
        <n v="-0.6212021124768404"/>
        <n v="-0.6211832633671988"/>
        <n v="-0.6211564442155502"/>
        <n v="-0.6211470368660674"/>
        <n v="-0.6211218217813256"/>
        <n v="-0.6210270362501981"/>
        <n v="-0.620999465357623"/>
        <n v="-0.6208954154136679"/>
        <n v="-0.6208863865816235"/>
        <n v="-0.6208832922677391"/>
        <n v="-0.6208743904904992"/>
        <n v="-0.6208163555615716"/>
        <n v="-0.6207708858234134"/>
        <n v="-0.6207655706974253"/>
        <n v="-0.6207603111579144"/>
        <n v="-0.620734744025485"/>
        <n v="-0.6206796737086623"/>
        <n v="-0.6206273191882856"/>
        <n v="-0.6205585269525775"/>
        <n v="-0.6205566078956347"/>
        <n v="-0.620540985448632"/>
        <n v="-0.6205381902429332"/>
        <n v="-0.6204761583816143"/>
        <n v="-0.6204705070897893"/>
        <n v="-0.6204612982634387"/>
        <n v="-0.620451668568048"/>
        <n v="-0.6204037265551524"/>
        <n v="-0.6203940253914343"/>
        <n v="-0.6203664942034856"/>
        <n v="-0.6203011456823742"/>
        <n v="-0.6202690378744886"/>
        <n v="-0.6202687281784026"/>
        <n v="-0.6202209105733364"/>
        <n v="-0.6201727382736076"/>
        <n v="-0.6201446194571881"/>
        <n v="-0.6201302596173053"/>
        <n v="-0.6200926831588762"/>
        <n v="-0.6200706285623961"/>
        <n v="-0.620063304382312"/>
        <n v="-0.6200330997495188"/>
        <n v="-0.620013880063364"/>
        <n v="-0.6199353893109129"/>
        <n v="-0.6199318132475614"/>
        <n v="-0.6198965846560404"/>
        <n v="-0.6198875875876972"/>
        <n v="-0.6198396455748015"/>
        <n v="-0.619792132371871"/>
        <n v="-0.6197475864280205"/>
        <n v="-0.619739314630853"/>
        <n v="-0.619724332751823"/>
        <n v="-0.6197194464358002"/>
        <n v="-0.6196976644777549"/>
        <n v="-0.6196880109595884"/>
        <n v="-0.6196694741930078"/>
        <n v="-0.6196371969787162"/>
        <n v="-0.6196353070384993"/>
        <n v="-0.6195815893259494"/>
        <n v="-0.6194955388126309"/>
        <n v="-0.6194412017079091"/>
        <n v="-0.6193632853490533"/>
        <n v="-0.6193478455433321"/>
        <n v="-0.6193338218692861"/>
        <n v="-0.6192689683325173"/>
        <n v="-0.6192446585132576"/>
        <n v="-0.6189845323298823"/>
        <n v="-0.6189506775184348"/>
        <n v="-0.6189301131689325"/>
        <n v="-0.6189184744194458"/>
        <n v="-0.6188388295858539"/>
        <n v="-0.6188346473652059"/>
        <n v="-0.6187872400412793"/>
        <n v="-0.6187389803913723"/>
        <n v="-0.6187218491685664"/>
        <n v="-0.6187160390582359"/>
        <n v="-0.6187071452219214"/>
        <n v="-0.6186573582673854"/>
        <n v="-0.6185829888551551"/>
        <n v="-0.6184719694257785"/>
        <n v="-0.6183959112434384"/>
        <n v="-0.6183689650369854"/>
        <n v="-0.6183598938533396"/>
        <n v="-0.6181906330309779"/>
        <n v="-0.618142484554025"/>
        <n v="-0.6181114037724758"/>
        <n v="-0.6181017846649854"/>
        <n v="-0.6180764425254391"/>
        <n v="-0.61807420318451"/>
        <n v="-0.6180682898421508"/>
        <n v="-0.6180680780841433"/>
        <n v="-0.6180650234748852"/>
        <n v="-0.6180136800989944"/>
        <n v="-0.6179563572063669"/>
        <n v="-0.6179431752704007"/>
        <n v="-0.6179294480575651"/>
        <n v="-0.6179169834518493"/>
        <n v="-0.6178150272651932"/>
        <n v="-0.6178065410630431"/>
        <n v="-0.6177575508480103"/>
        <n v="-0.6177532336316326"/>
        <n v="-0.6176872657183494"/>
        <n v="-0.6176453085161405"/>
        <n v="-0.617604071291157"/>
        <n v="-0.6175066758425872"/>
        <n v="-0.6175032771265669"/>
        <n v="-0.617503163306638"/>
        <n v="-0.6175013024831472"/>
        <n v="-0.6174916066133792"/>
        <n v="-0.6174451680823367"/>
        <n v="-0.6174415708431845"/>
        <n v="-0.6174374812666649"/>
        <n v="-0.6174369095200447"/>
        <n v="-0.6174145293456281"/>
        <n v="-0.6174071363441916"/>
        <n v="-0.6173919030025279"/>
        <n v="-0.6173518833860874"/>
        <n v="-0.6173485773141955"/>
        <n v="-0.6173259006785684"/>
        <n v="-0.6172383625652472"/>
        <n v="-0.6172134042370896"/>
        <n v="-0.6171922866697926"/>
        <n v="-0.6171526958633173"/>
        <n v="-0.6170410808645447"/>
        <n v="-0.617027377474485"/>
        <n v="-0.6170088433548795"/>
        <n v="-0.6169696337128177"/>
        <n v="-0.616955813855854"/>
        <n v="-0.6169190500187786"/>
        <n v="-0.6169012941098506"/>
        <n v="-0.6168035969061201"/>
        <n v="-0.6167784771124818"/>
        <n v="-0.6167490983359176"/>
        <n v="-0.6167110295401211"/>
        <n v="-0.6166931201066377"/>
        <n v="-0.6166698399606894"/>
        <n v="-0.6166634369279379"/>
        <n v="-0.6166063654979443"/>
        <n v="-0.6165922915313715"/>
        <n v="-0.6165754355939753"/>
        <n v="-0.616574548857319"/>
        <n v="-0.6165368029924839"/>
        <n v="-0.6164307095837566"/>
        <n v="-0.6164291319866008"/>
        <n v="-0.6163703109060703"/>
        <n v="-0.6163534126170727"/>
        <n v="-0.6162845118553857"/>
        <n v="-0.6162431528695479"/>
        <n v="-0.6162426261215043"/>
        <n v="-0.6162190759840964"/>
        <n v="-0.6161563850259791"/>
        <n v="-0.6161087659440447"/>
        <n v="-0.6160876377888476"/>
        <n v="-0.6160059759602343"/>
        <n v="-0.6160014893374506"/>
        <n v="-0.615930563639817"/>
        <n v="-0.615890472555049"/>
        <n v="-0.6158668985948652"/>
        <n v="-0.6158438037371734"/>
        <n v="-0.6157232049049329"/>
        <n v="-0.6156173126663127"/>
        <n v="-0.6156133977901492"/>
        <n v="-0.615608244129642"/>
        <n v="-0.6154893525963369"/>
        <n v="-0.6154803184703423"/>
        <n v="-0.6154659109849079"/>
        <n v="-0.6154606990909485"/>
        <n v="-0.6154075769477946"/>
        <n v="-0.6154075716538444"/>
        <n v="-0.6153218176017364"/>
        <n v="-0.6152882486635991"/>
        <n v="-0.6152737379461358"/>
        <n v="-0.6152158433068882"/>
        <n v="-0.6151735155281661"/>
        <n v="-0.6151287128277315"/>
        <n v="-0.6150905910924331"/>
        <n v="-0.6150240487855547"/>
        <n v="-0.6150086539784102"/>
        <n v="-0.6149928833008024"/>
        <n v="-0.6149879493392278"/>
        <n v="-0.614986337331396"/>
        <n v="-0.6149673373441739"/>
        <n v="-0.6149638486310005"/>
        <n v="-0.6149456930288333"/>
        <n v="-0.6149238925419622"/>
        <n v="-0.6148596716322409"/>
        <n v="-0.6147901885360333"/>
        <n v="-0.6147752543025552"/>
        <n v="-0.6147609976947009"/>
        <n v="-0.614751188005004"/>
        <n v="-0.6147392130896804"/>
        <n v="-0.6147150144433745"/>
        <n v="-0.6147140535914155"/>
        <n v="-0.6146906066860361"/>
        <n v="-0.6146891932013363"/>
        <n v="-0.6146669797863505"/>
        <n v="-0.6146454387030387"/>
        <n v="-0.6146372119044478"/>
        <n v="-0.6145972611093596"/>
        <n v="-0.6145662650310134"/>
        <n v="-0.6145253904416177"/>
        <n v="-0.6145166316010329"/>
        <n v="-0.6144893889333694"/>
        <n v="-0.614465203521939"/>
        <n v="-0.6144163800663373"/>
        <n v="-0.6144045507346437"/>
        <n v="-0.6143831287652111"/>
        <n v="-0.614369496843479"/>
        <n v="-0.6143634908569916"/>
        <n v="-0.6143340644348757"/>
        <n v="-0.6143222906896593"/>
        <n v="-0.6143121951266522"/>
        <n v="-0.6143108081117032"/>
        <n v="-0.6141981634396191"/>
        <n v="-0.6141809342787347"/>
        <n v="-0.6141382068067734"/>
        <n v="-0.6141088597939106"/>
        <n v="-0.6140958790280514"/>
        <n v="-0.6140812994892358"/>
        <n v="-0.6139037430469308"/>
        <n v="-0.6138850924604211"/>
        <n v="-0.6138422882261823"/>
        <n v="-0.6138012442303806"/>
        <n v="-0.6136663226159086"/>
        <n v="-0.6136534821397294"/>
        <n v="-0.6136211572798861"/>
        <n v="-0.6135619312121664"/>
        <n v="-0.6135215039615615"/>
        <n v="-0.6134843298433467"/>
        <n v="-0.6134308582994805"/>
        <n v="-0.6134087534104736"/>
        <n v="-0.6134034038738094"/>
        <n v="-0.6134024536097508"/>
        <n v="-0.6133922151100887"/>
        <n v="-0.6133907883905132"/>
        <n v="-0.6133851132759125"/>
        <n v="-0.6133672938395822"/>
        <n v="-0.6133119667661754"/>
        <n v="-0.6133058893113605"/>
        <n v="-0.6133038273177626"/>
        <n v="-0.613285041735523"/>
        <n v="-0.6132812089155876"/>
        <n v="-0.6132681805041768"/>
        <n v="-0.6132636647646671"/>
        <n v="-0.6132357656471802"/>
        <n v="-0.6132315066642546"/>
        <n v="-0.6132189652962611"/>
        <n v="-0.6132137375204512"/>
        <n v="-0.6132020881830642"/>
        <n v="-0.6131988826962258"/>
        <n v="-0.6131901741481677"/>
        <n v="-0.6131714785630815"/>
        <n v="-0.6131712853338996"/>
        <n v="-0.6131515309587761"/>
        <n v="-0.6131219139544535"/>
        <n v="-0.6130912461010188"/>
        <n v="-0.6130897399721905"/>
        <n v="-0.6130836439885499"/>
        <n v="-0.613058455373559"/>
        <n v="-0.6130460622361706"/>
        <n v="-0.6130121888958976"/>
        <n v="-0.6129668303306933"/>
        <n v="-0.6129237481640696"/>
        <n v="-0.6129155690110303"/>
        <n v="-0.6128992795263042"/>
        <n v="-0.6128748770629161"/>
        <n v="-0.6128317631325912"/>
        <n v="-0.6128228004749241"/>
        <n v="-0.6127822885211164"/>
        <n v="-0.6127396113416819"/>
        <n v="-0.6127084670327303"/>
        <n v="-0.6126941866021003"/>
        <n v="-0.6126883659038693"/>
        <n v="-0.612657422765025"/>
        <n v="-0.6126438570176702"/>
        <n v="-0.6126215006660295"/>
        <n v="-0.612587982020419"/>
        <n v="-0.6125759197549172"/>
        <n v="-0.6124691698963667"/>
        <n v="-0.6124437007020158"/>
        <n v="-0.6123645587936918"/>
        <n v="-0.6123409768925826"/>
        <n v="-0.6123100602234892"/>
        <n v="-0.6122811976070683"/>
        <n v="-0.6122632034703819"/>
        <n v="-0.6122441823073591"/>
        <n v="-0.612238070441868"/>
        <n v="-0.6121628751734084"/>
        <n v="-0.6121555351114738"/>
        <n v="-0.6121244728587502"/>
        <n v="-0.6120658397134513"/>
        <n v="-0.6120650615027738"/>
        <n v="-0.6120634680237674"/>
        <n v="-0.6119846437524546"/>
        <n v="-0.6119524671232166"/>
        <n v="-0.6118969653494535"/>
        <n v="-0.6118429882333444"/>
        <n v="-0.6118174369827657"/>
        <n v="-0.6118168625891705"/>
        <n v="-0.6118100386873789"/>
        <n v="-0.6116920444786307"/>
        <n v="-0.6116730047867822"/>
        <n v="-0.6116642088885462"/>
        <n v="-0.6116356347924106"/>
        <n v="-0.6116343589504154"/>
        <n v="-0.6116268653639254"/>
        <n v="-0.6116104541183449"/>
        <n v="-0.611600758248577"/>
        <n v="-0.6115833120357349"/>
        <n v="-0.6115317833715875"/>
        <n v="-0.611515965048428"/>
        <n v="-0.6114768877551208"/>
        <n v="-0.6114592827237731"/>
        <n v="-0.611459081553666"/>
        <n v="-0.6114259255436434"/>
        <n v="-0.6113322438011299"/>
        <n v="-0.6113295994730115"/>
        <n v="-0.6112913745056845"/>
        <n v="-0.6112844817825407"/>
        <n v="-0.61126410536827"/>
        <n v="-0.6112582899639893"/>
        <n v="-0.6112442609959932"/>
        <n v="-0.6112352877504258"/>
        <n v="-0.6112310552372511"/>
        <n v="-0.6112307217183893"/>
        <n v="-0.6112241625141073"/>
        <n v="-0.6112128864002084"/>
        <n v="-0.611117335893279"/>
        <n v="-0.6110798838426793"/>
        <n v="-0.611066585439809"/>
        <n v="-0.6110521885422747"/>
        <n v="-0.6110320291799617"/>
        <n v="-0.6110033889094487"/>
        <n v="-0.6109845318588818"/>
        <n v="-0.6108778375868081"/>
        <n v="-0.6108550524252023"/>
        <n v="-0.6108266027368962"/>
        <n v="-0.6107987353831105"/>
        <n v="-0.6107913635574747"/>
        <n v="-0.6107749999574459"/>
        <n v="-0.6107380005395874"/>
        <n v="-0.6107205993253219"/>
        <n v="-0.610695013664067"/>
        <n v="-0.6106938886996521"/>
        <n v="-0.6106889309153017"/>
        <n v="-0.6106046459343707"/>
        <n v="-0.6105813340247211"/>
        <n v="-0.6105671091805681"/>
        <n v="-0.6105553830809033"/>
        <n v="-0.6105036453057234"/>
        <n v="-0.6104724851149214"/>
        <n v="-0.6104259539397505"/>
        <n v="-0.6103989812635465"/>
        <n v="-0.6103844202535567"/>
        <n v="-0.6103806218442972"/>
        <n v="-0.6103694992549539"/>
        <n v="-0.6103655340862636"/>
        <n v="-0.6103644435325251"/>
        <n v="-0.6103197731808451"/>
        <n v="-0.6102982215096329"/>
        <n v="-0.6101914742980573"/>
        <n v="-0.6101404009136259"/>
        <n v="-0.6101231320481152"/>
        <n v="-0.6100524525191653"/>
        <n v="-0.6100334392970678"/>
        <n v="-0.610022729635839"/>
        <n v="-0.6100166521810241"/>
        <n v="-0.6099878477980554"/>
        <n v="-0.6099107837651796"/>
        <n v="-0.6098795997516017"/>
        <n v="-0.6098294104568516"/>
        <n v="-0.6098201407500737"/>
        <n v="-0.6097659148183059"/>
        <n v="-0.609758429172741"/>
        <n v="-0.6097466051349979"/>
        <n v="-0.6097438602218258"/>
        <n v="-0.609709769829595"/>
        <n v="-0.6096949705918465"/>
        <n v="-0.6096908386637254"/>
        <n v="-0.6096714045725881"/>
        <n v="-0.6096245637013314"/>
        <n v="-0.6095937714400673"/>
        <n v="-0.6095350059460138"/>
        <n v="-0.6095136104463321"/>
        <n v="-0.6094706420996374"/>
        <n v="-0.6094588339437448"/>
        <n v="-0.6093991684781594"/>
        <n v="-0.6093437302317987"/>
        <n v="-0.6093300956630914"/>
        <n v="-0.6093029588744316"/>
        <n v="-0.6092596384800494"/>
        <n v="-0.6092536060238111"/>
        <n v="-0.6092490479326998"/>
        <n v="-0.6092462421391006"/>
        <n v="-0.6092253998572134"/>
        <n v="-0.6092253230949357"/>
        <n v="-0.6091982657155287"/>
        <n v="-0.6091654670471437"/>
        <n v="-0.6091318716392554"/>
        <n v="-0.6090705862249128"/>
        <n v="-0.6090149309265944"/>
        <n v="-0.6089975191244286"/>
        <n v="-0.6089850254019866"/>
        <n v="-0.6089044991256886"/>
        <n v="-0.6087945226044988"/>
        <n v="-0.608761530706932"/>
        <n v="-0.6086822723317037"/>
        <n v="-0.6086450558618874"/>
        <n v="-0.6086430971003182"/>
        <n v="-0.6086397566177499"/>
        <n v="-0.6086242188739504"/>
        <n v="-0.6085885932361653"/>
        <n v="-0.6085444734553049"/>
        <n v="-0.6085006289598541"/>
        <n v="-0.6084272865739602"/>
        <n v="-0.6084031302792557"/>
        <n v="-0.6083982280813823"/>
        <n v="-0.6083666629033909"/>
        <n v="-0.6083134587040091"/>
        <n v="-0.6083131622427987"/>
        <n v="-0.6082822985132071"/>
        <n v="-0.6082729864548277"/>
        <n v="-0.6081857368617918"/>
        <n v="-0.6081621629016081"/>
        <n v="-0.6081155179065082"/>
        <n v="-0.6080268548287724"/>
        <n v="-0.6080026720643171"/>
        <n v="-0.6079807471696166"/>
        <n v="-0.6079482846670684"/>
        <n v="-0.6079377708819966"/>
        <n v="-0.6079358703538793"/>
        <n v="-0.6078930952363664"/>
        <n v="-0.6078897441658979"/>
        <n v="-0.6078891035979253"/>
        <n v="-0.6077270663705943"/>
        <n v="-0.6075273203360794"/>
        <n v="-0.6075179050456714"/>
        <n v="-0.6074751193402581"/>
        <n v="-0.6074173782255659"/>
        <n v="-0.6073851830675022"/>
        <n v="-0.6073605291414803"/>
        <n v="-0.6073596238759982"/>
        <n v="-0.6073557592923615"/>
        <n v="-0.6073461560667218"/>
        <n v="-0.6073437129087105"/>
        <n v="-0.607280537554151"/>
        <n v="-0.6072762732772752"/>
        <n v="-0.6072532075363094"/>
        <n v="-0.6072085980650566"/>
        <n v="-0.6071994024735814"/>
        <n v="-0.6071984601504481"/>
        <n v="-0.6071886636956265"/>
        <n v="-0.6071864693532739"/>
        <n v="-0.6071668129162286"/>
        <n v="-0.6071479241019606"/>
        <n v="-0.6071417010635155"/>
        <n v="-0.6071093894385476"/>
        <n v="-0.6070724509011163"/>
        <n v="-0.6070213457529837"/>
        <n v="-0.6069634749365118"/>
        <n v="-0.6069625776119552"/>
        <n v="-0.6069551581407677"/>
        <n v="-0.6069536599528648"/>
        <n v="-0.606951431199836"/>
        <n v="-0.6067756482308437"/>
        <n v="-0.6067576064486055"/>
        <n v="-0.6067520160372079"/>
        <n v="-0.606723775459934"/>
        <n v="-0.6067199241111728"/>
        <n v="-0.6067044075431739"/>
        <n v="-0.6066593507331304"/>
        <n v="-0.6066517195039355"/>
        <n v="-0.6066346068099552"/>
        <n v="-0.6066312027999848"/>
        <n v="-0.6066253900426792"/>
        <n v="-0.6066182511508517"/>
        <n v="-0.6066167714917744"/>
        <n v="-0.6066105669821549"/>
        <n v="-0.6066047251081234"/>
        <n v="-0.6065532149728015"/>
        <n v="-0.6065161599684659"/>
        <n v="-0.606447910362652"/>
        <n v="-0.6063953573191433"/>
        <n v="-0.6063629292272713"/>
        <n v="-0.6063384129439542"/>
        <n v="-0.6063257789318324"/>
        <n v="-0.6062324810007075"/>
        <n v="-0.6060716216772931"/>
        <n v="-0.6060372533526776"/>
        <n v="-0.6060277163014152"/>
        <n v="-0.6060142617270144"/>
        <n v="-0.6059921912486838"/>
        <n v="-0.6059910292266176"/>
        <n v="-0.6059781781625381"/>
        <n v="-0.605916371294102"/>
        <n v="-0.6059151616264843"/>
        <n v="-0.6058210060754291"/>
        <n v="-0.6058050659914154"/>
        <n v="-0.605782410531589"/>
        <n v="-0.6057433094155061"/>
        <n v="-0.6056976252723653"/>
        <n v="-0.6056838742367538"/>
        <n v="-0.6056524811121436"/>
        <n v="-0.6056000260067134"/>
        <n v="-0.605582825962555"/>
        <n v="-0.6055799539945784"/>
        <n v="-0.6055617825105607"/>
        <n v="-0.6055342963211886"/>
        <n v="-0.6055060822136656"/>
        <n v="-0.605474313218592"/>
        <n v="-0.6054534338790536"/>
        <n v="-0.605414343350871"/>
        <n v="-0.6053761633821205"/>
        <n v="-0.6052565783413411"/>
        <n v="-0.6052225991220642"/>
        <n v="-0.6051866611412181"/>
        <n v="-0.6051856791134584"/>
        <n v="-0.6051744982906629"/>
        <n v="-0.6051233163802526"/>
        <n v="-0.6051073101218616"/>
        <n v="-0.6050884504243196"/>
        <n v="-0.6050845381951311"/>
        <n v="-0.6050813830008196"/>
        <n v="-0.6050299760975264"/>
        <n v="-0.6050222389893277"/>
        <n v="-0.6049964230412396"/>
        <n v="-0.604978140384268"/>
        <n v="-0.6049002107905367"/>
        <n v="-0.6048939242246893"/>
        <n v="-0.6047542857006005"/>
        <n v="-0.6047326625610607"/>
        <n v="-0.6047145731332709"/>
        <n v="-0.6047112035339768"/>
        <n v="-0.6047006288684778"/>
        <n v="-0.6046496348932991"/>
        <n v="-0.6046106608320208"/>
        <n v="-0.6045954407252324"/>
        <n v="-0.6045346952938089"/>
        <n v="-0.6044608367477715"/>
        <n v="-0.6044086331049752"/>
        <n v="-0.6044062296515902"/>
        <n v="-0.6044055705547919"/>
        <n v="-0.6043387106109022"/>
        <n v="-0.6043360953995096"/>
        <n v="-0.6042786957446045"/>
        <n v="-0.6042533377232077"/>
        <n v="-0.6042339962761986"/>
        <n v="-0.6041553122945655"/>
        <n v="-0.6041181964098028"/>
        <n v="-0.6040176245911206"/>
        <n v="-0.6039285009397185"/>
        <n v="-0.603906517811566"/>
        <n v="-0.603784404909572"/>
        <n v="-0.6037741928796608"/>
        <n v="-0.6037722552938923"/>
        <n v="-0.6037382284290638"/>
        <n v="-0.6037025075001754"/>
        <n v="-0.6037015175314904"/>
        <n v="-0.6036637213741285"/>
        <n v="-0.6035409626102117"/>
        <n v="-0.6034705345438958"/>
        <n v="-0.6034532815602356"/>
        <n v="-0.6033949157594213"/>
        <n v="-0.6033009428496475"/>
        <n v="-0.6032661060104404"/>
        <n v="-0.6031973270096078"/>
        <n v="-0.603166145643005"/>
        <n v="-0.6031240110934647"/>
        <n v="-0.603052008076968"/>
        <n v="-0.6030254986214054"/>
        <n v="-0.6028655736801991"/>
        <n v="-0.6026905556870089"/>
        <n v="-0.6026588528663126"/>
        <n v="-0.602651258694769"/>
        <n v="-0.6025786468740008"/>
        <n v="-0.6025574525444262"/>
        <n v="-0.6024326344338866"/>
        <n v="-0.6023995895968178"/>
        <n v="-0.6023482859255532"/>
        <n v="-0.602343844301346"/>
        <n v="-0.6022653006093932"/>
        <n v="-0.6019727489811209"/>
        <n v="-0.6019112676906214"/>
        <n v="-0.6017749061216985"/>
        <n v="-0.6016245552894057"/>
        <n v="-0.6016000945925656"/>
        <n v="-0.6015921324914839"/>
        <n v="-0.601505841103432"/>
        <n v="-0.6014876431496633"/>
        <n v="-0.6014755200037345"/>
        <n v="-0.6013905785729803"/>
        <n v="-0.6013233824632536"/>
        <n v="-0.6013174108874424"/>
        <n v="-0.6012492724545825"/>
        <n v="-0.6011997660794064"/>
        <n v="-0.6011703105405647"/>
        <n v="-0.6011550322003243"/>
        <n v="-0.6010730844984009"/>
        <n v="-0.6010300182136277"/>
        <n v="-0.6008540578973042"/>
        <n v="-0.6007662444985733"/>
        <n v="-0.6007457913220249"/>
        <n v="-0.600742768476468"/>
        <n v="-0.600617915955252"/>
        <n v="-0.6005677663651283"/>
        <n v="-0.6005345388867781"/>
        <n v="-0.6005044957194655"/>
        <n v="-0.6004163620367483"/>
        <n v="-0.60039378863315"/>
        <n v="-0.6003875814765555"/>
        <n v="-0.6003663686181552"/>
        <n v="-0.6003526414053196"/>
        <n v="-0.600336222218814"/>
        <n v="-0.6003112903604071"/>
        <n v="-0.6002879546279818"/>
        <n v="-0.6002616648713519"/>
        <n v="-0.6001991565545161"/>
        <n v="-0.6000756407557224"/>
        <n v="-0.6000694812446796"/>
        <n v="-0.6000422756346675"/>
        <n v="-0.6000411453763024"/>
        <n v="-0.6000045377107576"/>
        <n v="-0.5999669506644283"/>
        <n v="-0.5999449013618984"/>
        <n v="-0.5998724139489595"/>
        <n v="-0.5998675038101609"/>
        <n v="-0.5998087727267837"/>
        <n v="-0.5997881686726549"/>
        <n v="-0.5997735097245864"/>
        <n v="-0.5996974356603958"/>
        <n v="-0.5996756272325995"/>
        <n v="-0.5996247126666737"/>
        <n v="-0.5996143471122071"/>
        <n v="-0.5996096037328393"/>
        <n v="-0.5995873585541526"/>
        <n v="-0.5995613282010819"/>
        <n v="-0.5995500706160087"/>
        <n v="-0.5995447660779211"/>
        <n v="-0.5994755026806463"/>
        <n v="-0.599471450161778"/>
        <n v="-0.5994378732827154"/>
        <n v="-0.5993984783523971"/>
        <n v="-0.5993919376769408"/>
        <n v="-0.5993833297139363"/>
        <n v="-0.599320638755819"/>
        <n v="-0.5992980282945692"/>
        <n v="-0.5992505415613897"/>
        <n v="-0.5991618599548282"/>
        <n v="-0.5990854550187508"/>
        <n v="-0.5990701899133859"/>
        <n v="-0.5990005082940463"/>
        <n v="-0.5989930941168091"/>
        <n v="-0.5989078641657696"/>
        <n v="-0.5988411656873606"/>
        <n v="-0.5988049285983289"/>
        <n v="-0.5986925645056047"/>
        <n v="-0.5986807907603883"/>
        <n v="-0.5986604646386444"/>
        <n v="-0.5985964263702044"/>
        <n v="-0.598563699170147"/>
        <n v="-0.5985018234803585"/>
        <n v="-0.5984842369778365"/>
        <n v="-0.5984397704432387"/>
        <n v="-0.5984288172603013"/>
        <n v="-0.5984200266560153"/>
        <n v="-0.5983198492366223"/>
        <n v="-0.5982378988877237"/>
        <n v="-0.598210735629313"/>
        <n v="-0.5981841520584478"/>
        <n v="-0.5981282347095951"/>
        <n v="-0.5981123687408839"/>
        <n v="-0.5980876618753601"/>
        <n v="-0.5980859175187734"/>
        <n v="-0.5980772645571923"/>
        <n v="-0.5980603530333193"/>
        <n v="-0.5980549505571531"/>
        <n v="-0.5980387166589038"/>
        <n v="-0.598013922443202"/>
        <n v="-0.5979421047149618"/>
        <n v="-0.597891555431599"/>
        <n v="-0.5978809595902993"/>
        <n v="-0.5978343093012493"/>
        <n v="-0.5977494313978973"/>
        <n v="-0.5977008011714773"/>
        <n v="-0.5976976618590162"/>
        <n v="-0.5975511517875843"/>
        <n v="-0.5974366012934328"/>
        <n v="-0.5973725444961673"/>
        <n v="-0.5973285200064101"/>
        <n v="-0.5971853715933471"/>
        <n v="-0.5971817240616681"/>
        <n v="-0.5971413576914905"/>
        <n v="-0.5971330382487712"/>
        <n v="-0.5971283742786563"/>
        <n v="-0.5971254334893271"/>
        <n v="-0.597055225121944"/>
        <n v="-0.5970348063560718"/>
        <n v="-0.5969704425096953"/>
        <n v="-0.5968934552390974"/>
        <n v="-0.5968853502013607"/>
        <n v="-0.5968565617002425"/>
        <n v="-0.596850523950054"/>
        <n v="-0.5968153377101345"/>
        <n v="-0.5968019360752355"/>
        <n v="-0.5967292501391647"/>
        <n v="-0.5967114545256103"/>
        <n v="-0.5967063802743557"/>
        <n v="-0.5966969570430225"/>
        <n v="-0.5966653998059563"/>
        <n v="-0.5966626575397593"/>
        <n v="-0.596611274459242"/>
        <n v="-0.5965978940001437"/>
        <n v="-0.5965235378227889"/>
        <n v="-0.5965229369594426"/>
        <n v="-0.59639605420833"/>
        <n v="-0.5963700767947612"/>
        <n v="-0.5963493298039773"/>
        <n v="-0.5962995454964165"/>
        <n v="-0.5962758815390795"/>
        <n v="-0.5962430643418689"/>
        <n v="-0.5962369127717513"/>
        <n v="-0.596212277374555"/>
        <n v="-0.5962040373410885"/>
        <n v="-0.5961852014663224"/>
        <n v="-0.5961253427715552"/>
        <n v="-0.596069414834802"/>
        <n v="-0.5960476884632336"/>
        <n v="-0.5960271055849057"/>
        <n v="-0.595928524291494"/>
        <n v="-0.5958879885149103"/>
        <n v="-0.5958749177518979"/>
        <n v="-0.5958444431276452"/>
        <n v="-0.5957188997459297"/>
        <n v="-0.5956778292803772"/>
        <n v="-0.5956728953188026"/>
        <n v="-0.5956604598298129"/>
        <n v="-0.595597980629703"/>
        <n v="-0.5955782580182805"/>
        <n v="-0.5955672810125672"/>
        <n v="-0.5955147200281332"/>
        <n v="-0.5955121021697656"/>
        <n v="-0.5954347549105549"/>
        <n v="-0.5954170651760043"/>
        <n v="-0.5952795548198907"/>
        <n v="-0.5952377643771126"/>
        <n v="-0.5951616373734201"/>
        <n v="-0.5951611794467289"/>
        <n v="-0.5951521691435102"/>
        <n v="-0.5951248550075191"/>
        <n v="-0.5951124062836538"/>
        <n v="-0.5951030015811462"/>
        <n v="-0.595095219474371"/>
        <n v="-0.5950768494672213"/>
        <n v="-0.5950473621646784"/>
        <n v="-0.5949683870157851"/>
        <n v="-0.594942401661291"/>
        <n v="-0.5948856505152837"/>
        <n v="-0.5948286770233687"/>
        <n v="-0.5947813358738192"/>
        <n v="-0.5947607582894415"/>
        <n v="-0.5947586962958435"/>
        <n v="-0.5947331265164392"/>
        <n v="-0.5947087346409514"/>
        <n v="-0.5946956903476901"/>
        <n v="-0.5946751789376896"/>
        <n v="-0.5946318929539837"/>
        <n v="-0.5946168369596512"/>
        <n v="-0.5945596649446041"/>
        <n v="-0.5945325519787201"/>
        <n v="-0.5944916747423493"/>
        <n v="-0.5944708192255866"/>
        <n v="-0.5944251827279976"/>
        <n v="-0.5944113152254821"/>
        <n v="-0.5944109658247698"/>
        <n v="-0.5943874712738387"/>
        <n v="-0.5942103806991502"/>
        <n v="-0.5942011321681732"/>
        <n v="-0.5941142266818995"/>
        <n v="-0.5941112938334957"/>
        <n v="-0.5940698766142058"/>
        <n v="-0.5940688813515707"/>
        <n v="-0.5940434915664726"/>
        <n v="-0.5940303599230331"/>
        <n v="-0.5940103302624997"/>
        <n v="-0.5939373266894177"/>
        <n v="-0.5939122995399075"/>
        <n v="-0.5937987231325905"/>
        <n v="-0.5937972434735131"/>
        <n v="-0.5936943052590974"/>
        <n v="-0.5936799268903888"/>
        <n v="-0.5935321330360365"/>
        <n v="-0.593526717324995"/>
        <n v="-0.5934840057348842"/>
        <n v="-0.5934115394977463"/>
        <n v="-0.5933273471609435"/>
        <n v="-0.5932970181203208"/>
        <n v="-0.5931144509541635"/>
        <n v="-0.5929898393076812"/>
        <n v="-0.5929846485895226"/>
        <n v="-0.5929794525774138"/>
        <n v="-0.592938403287662"/>
        <n v="-0.5929339325467289"/>
        <n v="-0.5928474796931962"/>
        <n v="-0.5928428342519068"/>
        <n v="-0.592809757651137"/>
        <n v="-0.5928037093130479"/>
        <n v="-0.5927950378226414"/>
        <n v="-0.5927700636126331"/>
        <n v="-0.5927410951172084"/>
        <n v="-0.5926850480665761"/>
        <n v="-0.592628696613808"/>
        <n v="-0.5926246388009896"/>
        <n v="-0.5925266689588244"/>
        <n v="-0.5924989074840425"/>
        <n v="-0.5924907971523558"/>
        <n v="-0.5924709501331037"/>
        <n v="-0.5924517330939241"/>
        <n v="-0.5924317563728925"/>
        <n v="-0.5924180635707332"/>
        <n v="-0.5923922608575206"/>
        <n v="-0.5923268991015338"/>
        <n v="-0.5920303611287706"/>
        <n v="-0.5920166100931593"/>
        <n v="-0.5920112817322958"/>
        <n v="-0.591994915485292"/>
        <n v="-0.5919632947208235"/>
        <n v="-0.5919410204254107"/>
        <n v="-0.5919405360289687"/>
        <n v="-0.5919009558103937"/>
        <n v="-0.5918803835199661"/>
        <n v="-0.591877212443804"/>
        <n v="-0.5918530349732988"/>
        <n v="-0.591849789781834"/>
        <n v="-0.5917592102941303"/>
        <n v="-0.5917518252336191"/>
        <n v="-0.5917421478926769"/>
        <n v="-0.5917336563965766"/>
        <n v="-0.5917024485602228"/>
        <n v="-0.5916363906497863"/>
        <n v="-0.5915613833165584"/>
        <n v="-0.5915329680389285"/>
        <n v="-0.5914877497634041"/>
        <n v="-0.5914401439163454"/>
        <n v="-0.5913250693211253"/>
        <n v="-0.591249911110317"/>
        <n v="-0.5912335607451638"/>
        <n v="-0.5911653879016275"/>
        <n v="-0.5911407816211572"/>
        <n v="-0.5911341456545975"/>
        <n v="-0.5910979482701924"/>
        <n v="-0.590897593431406"/>
        <n v="-0.5907377823101286"/>
        <n v="-0.5907319351421468"/>
        <n v="-0.590715230082331"/>
        <n v="-0.5906649243206769"/>
        <n v="-0.590662470574765"/>
        <n v="-0.5906412338935889"/>
        <n v="-0.5906311806821832"/>
        <n v="-0.5905573353710215"/>
        <n v="-0.5905159313866071"/>
        <n v="-0.5904938291445754"/>
        <n v="-0.5904174771479999"/>
        <n v="-0.5903660437749557"/>
        <n v="-0.5901985008394299"/>
        <n v="-0.5901365404464385"/>
        <n v="-0.5900884131452863"/>
        <n v="-0.5900291103152888"/>
        <n v="-0.5898927355114905"/>
        <n v="-0.5898133659633081"/>
        <n v="-0.5897883361668229"/>
        <n v="-0.589753168455729"/>
        <n v="-0.5897418791069547"/>
        <n v="-0.5896914648193217"/>
        <n v="-0.5893772609347837"/>
        <n v="-0.5893290118727772"/>
        <n v="-0.5893004563054672"/>
        <n v="-0.5892514131509325"/>
        <n v="-0.5890344935420104"/>
        <n v="-0.5888759185581018"/>
        <n v="-0.5888647959687584"/>
        <n v="-0.5888429796000368"/>
        <n v="-0.5887599069336986"/>
        <n v="-0.5887541868205213"/>
        <n v="-0.5886700156595193"/>
        <n v="-0.5886374049263658"/>
        <n v="-0.5885625378828179"/>
        <n v="-0.5885059984948182"/>
        <n v="-0.5884708201958239"/>
        <n v="-0.5884508620036181"/>
        <n v="-0.5881863418415872"/>
        <n v="-0.5881409938642834"/>
        <n v="-0.5881232485432557"/>
        <n v="-0.5880861935389201"/>
        <n v="-0.5880626831061386"/>
        <n v="-0.5880577914961657"/>
        <n v="-0.5880485641409893"/>
        <n v="-0.5877652107511674"/>
        <n v="-0.5877634955113067"/>
        <n v="-0.5877487174493591"/>
        <n v="-0.5876602237780292"/>
        <n v="-0.5876562930200151"/>
        <n v="-0.5876560415573813"/>
        <n v="-0.5876174354256408"/>
        <n v="-0.5875961934505144"/>
        <n v="-0.5873861745056613"/>
        <n v="-0.5873668383526024"/>
        <n v="-0.58736634866221"/>
        <n v="-0.5873628123034851"/>
        <n v="-0.587314859702689"/>
        <n v="-0.5872863173702545"/>
        <n v="-0.5872858965012147"/>
        <n v="-0.5872519887502654"/>
        <n v="-0.5872309241224704"/>
        <n v="-0.5872079113210064"/>
        <n v="-0.5871085121122908"/>
        <n v="-0.5870477216822907"/>
        <n v="-0.5869586509703903"/>
        <n v="-0.586875771533234"/>
        <n v="-0.5868626584186202"/>
        <n v="-0.5868544925004564"/>
        <n v="-0.5867876881430436"/>
        <n v="-0.5867589525814273"/>
        <n v="-0.5867549847657619"/>
        <n v="-0.5867525098440494"/>
        <n v="-0.586721963751469"/>
        <n v="-0.5867184697443455"/>
        <n v="-0.5866543070680761"/>
        <n v="-0.5865737993206036"/>
        <n v="-0.5865471363404856"/>
        <n v="-0.586507619649313"/>
        <n v="-0.586447287146004"/>
        <n v="-0.5863620677828649"/>
        <n v="-0.5863416463700176"/>
        <n v="-0.5862529303527798"/>
        <n v="-0.5861444096678916"/>
        <n v="-0.5861067140955835"/>
        <n v="-0.5860488829837379"/>
        <n v="-0.5860317702897577"/>
        <n v="-0.5860166878256742"/>
        <n v="-0.5859969837430773"/>
        <n v="-0.5859645238875043"/>
        <n v="-0.5859398090810551"/>
        <n v="-0.5859022908560781"/>
        <n v="-0.5858901624161992"/>
        <n v="-0.5858831691080019"/>
        <n v="-0.585869717180576"/>
        <n v="-0.5857564266465691"/>
        <n v="-0.5857400603995652"/>
        <n v="-0.5857376834159312"/>
        <n v="-0.5857085693368764"/>
        <n v="-0.5856631922428465"/>
        <n v="-0.5856504205880199"/>
        <n v="-0.5856221429530947"/>
        <n v="-0.5855802969238396"/>
        <n v="-0.5855621069109963"/>
        <n v="-0.5855489937963825"/>
        <n v="-0.5855485941031433"/>
        <n v="-0.585420366688683"/>
        <n v="-0.5853482233825065"/>
        <n v="-0.5853266902401199"/>
        <n v="-0.5852721360834404"/>
        <n v="-0.5852560689446221"/>
        <n v="-0.5852277833687716"/>
        <n v="-0.5851954082164016"/>
        <n v="-0.5851544939223795"/>
        <n v="-0.5850718924176079"/>
        <n v="-0.5850272961812306"/>
        <n v="-0.5850096276224808"/>
        <n v="-0.584972567324195"/>
        <n v="-0.5849410789084812"/>
        <n v="-0.584882151948947"/>
        <n v="-0.584849917086257"/>
        <n v="-0.5848379051132822"/>
        <n v="-0.5847316952376506"/>
        <n v="-0.5847285029856877"/>
        <n v="-0.5847194370959921"/>
        <n v="-0.5846157047890481"/>
        <n v="-0.5845991717826134"/>
        <n v="-0.5845889094601755"/>
        <n v="-0.5845851507555425"/>
        <n v="-0.5845834619854328"/>
        <n v="-0.5845363908273429"/>
        <n v="-0.5845269940657606"/>
        <n v="-0.5845115807297905"/>
        <n v="-0.5844517326229236"/>
        <n v="-0.5843810372121232"/>
        <n v="-0.5843245295878247"/>
        <n v="-0.5840872838571586"/>
        <n v="-0.5839394979437316"/>
        <n v="-0.5838830167891839"/>
        <n v="-0.5838821300525274"/>
        <n v="-0.5838560044083535"/>
        <n v="-0.5837738608302732"/>
        <n v="-0.5837710444487735"/>
        <n v="-0.5837125462992045"/>
        <n v="-0.583651800867781"/>
        <n v="-0.5835672141316893"/>
        <n v="-0.5834809359785127"/>
        <n v="-0.5833926778879662"/>
        <n v="-0.5832965768102172"/>
        <n v="-0.5832679365397042"/>
        <n v="-0.5832448337410872"/>
        <n v="-0.5832314771047648"/>
        <n v="-0.5831901684114537"/>
        <n v="-0.5831337137266569"/>
        <n v="-0.5830321519392898"/>
        <n v="-0.5830136760531363"/>
        <n v="-0.5829399922074552"/>
        <n v="-0.5828739501788693"/>
        <n v="-0.5828683835902475"/>
        <n v="-0.5827611731580307"/>
        <n v="-0.5827561703751036"/>
        <n v="-0.5827382503537198"/>
        <n v="-0.5827048402340881"/>
        <n v="-0.5826419110482125"/>
        <n v="-0.5825870577833474"/>
        <n v="-0.5825739261399079"/>
        <n v="-0.5824629622970082"/>
        <n v="-0.5824382183738331"/>
        <n v="-0.5823626975274371"/>
        <n v="-0.5821482025477006"/>
        <n v="-0.5821331042017666"/>
        <n v="-0.5820730681596682"/>
        <n v="-0.5820560031112395"/>
        <n v="-0.5819247846149236"/>
        <n v="-0.5817165417903583"/>
        <n v="-0.5816990108743132"/>
        <n v="-0.5815497426548337"/>
        <n v="-0.5815078728028028"/>
        <n v="-0.5814293105820242"/>
        <n v="-0.5812590200863512"/>
        <n v="-0.5812148950115406"/>
        <n v="-0.5812135027026414"/>
        <n v="-0.5811185239423321"/>
        <n v="-0.5810475029535951"/>
        <n v="-0.5810179177129737"/>
        <n v="-0.5808952568871354"/>
        <n v="-0.5808834778479688"/>
        <n v="-0.5808295457304363"/>
        <n v="-0.5806614098724895"/>
        <n v="-0.5805532412352887"/>
        <n v="-0.5804825696472641"/>
        <n v="-0.5804557452016654"/>
        <n v="-0.5804400883439866"/>
        <n v="-0.5803566980406372"/>
        <n v="-0.5803295189003759"/>
        <n v="-0.5802932897522696"/>
        <n v="-0.5802373882852674"/>
        <n v="-0.5802270756703026"/>
        <n v="-0.5801155797854092"/>
        <n v="-0.5800756316372963"/>
        <n v="-0.5800694800671786"/>
        <n v="-0.5800541487874363"/>
        <n v="-0.579932930563024"/>
        <n v="-0.5798185785920046"/>
        <n v="-0.5798025326289871"/>
        <n v="-0.5797386981776294"/>
        <n v="-0.5796346005881224"/>
        <n v="-0.5795662742200309"/>
        <n v="-0.579263412623769"/>
        <n v="-0.5790979872683182"/>
        <n v="-0.5789687619442476"/>
        <n v="-0.5788073229332877"/>
        <n v="-0.5787862583054927"/>
        <n v="-0.5787346767018433"/>
        <n v="-0.5786720492711281"/>
        <n v="-0.5785943129065787"/>
        <n v="-0.5785477340858564"/>
        <n v="-0.5785380779207149"/>
        <n v="-0.5784827032017563"/>
        <n v="-0.5784675836800216"/>
        <n v="-0.5784512624315943"/>
        <n v="-0.5784455608472426"/>
        <n v="-0.5783877376763225"/>
        <n v="-0.5783553095844506"/>
        <n v="-0.5783499256371101"/>
        <n v="-0.5783335329203553"/>
        <n v="-0.5783259705125128"/>
        <n v="-0.5782375271337097"/>
        <n v="-0.5782363121721417"/>
        <n v="-0.5781665326147237"/>
        <n v="-0.5781345121570162"/>
        <n v="-0.5780696427383969"/>
        <n v="-0.5779943442379086"/>
        <n v="-0.5778971949580225"/>
        <n v="-0.5778534854583016"/>
        <n v="-0.5778140561173071"/>
        <n v="-0.5777937167606877"/>
        <n v="-0.5777578343663186"/>
        <n v="-0.5776233150920607"/>
        <n v="-0.5775204801096736"/>
        <n v="-0.5774974673082097"/>
        <n v="-0.5773030072829569"/>
        <n v="-0.5772666457860958"/>
        <n v="-0.5772575137220228"/>
        <n v="-0.577255483492126"/>
        <n v="-0.577170438829343"/>
        <n v="-0.5771598721047693"/>
        <n v="-0.5771448690499387"/>
        <n v="-0.5771383336684326"/>
        <n v="-0.5771265678641414"/>
        <n v="-0.5769355859641616"/>
        <n v="-0.5768769131142364"/>
        <n v="-0.5768516265611671"/>
        <n v="-0.576791630223695"/>
        <n v="-0.5767016621872381"/>
        <n v="-0.5767006086911507"/>
        <n v="-0.5766672753337968"/>
        <n v="-0.5766654595088825"/>
        <n v="-0.5766432222711211"/>
        <n v="-0.5766066596041529"/>
        <n v="-0.5764909762046613"/>
        <n v="-0.5764712271234878"/>
        <n v="-0.5764697474644105"/>
        <n v="-0.5764630029718719"/>
        <n v="-0.5764099522970455"/>
        <n v="-0.5763798958948575"/>
        <n v="-0.5763284413460127"/>
        <n v="-0.5762826301480674"/>
        <n v="-0.5762826248541172"/>
        <n v="-0.5762470045102823"/>
        <n v="-0.5761833421123056"/>
        <n v="-0.5761649112247288"/>
        <n v="-0.5759337297140021"/>
        <n v="-0.5758985090634064"/>
        <n v="-0.5758962723694523"/>
        <n v="-0.5758646913096104"/>
        <n v="-0.5758548339743617"/>
        <n v="-0.5758319455807273"/>
        <n v="-0.5758151637586336"/>
        <n v="-0.5757829950703208"/>
        <n v="-0.5757762796945083"/>
        <n v="-0.5757418293136649"/>
        <n v="-0.5757291635378419"/>
        <n v="-0.5755749269461117"/>
        <n v="-0.5754729442897047"/>
        <n v="-0.5754653315893354"/>
        <n v="-0.5754081278105873"/>
        <n v="-0.5753722215934423"/>
        <n v="-0.575253295649461"/>
        <n v="-0.5751421491652798"/>
        <n v="-0.5750798976050281"/>
        <n v="-0.575001012453288"/>
        <n v="-0.5749381150311135"/>
        <n v="-0.5747448329097774"/>
        <n v="-0.574733204748191"/>
        <n v="-0.5747307642371547"/>
        <n v="-0.5745738965521814"/>
        <n v="-0.5745677052774375"/>
        <n v="-0.5744730706238904"/>
        <n v="-0.5742978567545433"/>
        <n v="-0.5742941430484869"/>
        <n v="-0.5742734304683793"/>
        <n v="-0.5741907866120063"/>
        <n v="-0.5740690522274507"/>
        <n v="-0.5740609154260129"/>
        <n v="-0.5739856698650266"/>
        <n v="-0.5739582101454054"/>
        <n v="-0.5738876867879861"/>
        <n v="-0.5738378310120977"/>
        <n v="-0.5737948520775026"/>
        <n v="-0.573738484742884"/>
        <n v="-0.5736475320316922"/>
        <n v="-0.5734769768385097"/>
        <n v="-0.5734717305338741"/>
        <n v="-0.5734327564725957"/>
        <n v="-0.573430869179354"/>
        <n v="-0.573240109625282"/>
        <n v="-0.5731781227625397"/>
        <n v="-0.5731639561518386"/>
        <n v="-0.5731176499695508"/>
        <n v="-0.5730892267509955"/>
        <n v="-0.5730260937480376"/>
        <n v="-0.5729932606689763"/>
        <n v="-0.5727970218764605"/>
        <n v="-0.5727967730608018"/>
        <n v="-0.5727569254977425"/>
        <n v="-0.5727367449596286"/>
        <n v="-0.5727299845852396"/>
        <n v="-0.5726527776157089"/>
        <n v="-0.5726273507729595"/>
        <n v="-0.5725900548938904"/>
        <n v="-0.5724675475926074"/>
        <n v="-0.572423906914239"/>
        <n v="-0.5723574307817377"/>
        <n v="-0.5722262625779485"/>
        <n v="-0.5722139276740122"/>
        <n v="-0.5722065029088746"/>
        <n v="-0.5721463424589468"/>
        <n v="-0.5721026064894749"/>
        <n v="-0.5720745935520591"/>
        <n v="-0.5720022014302237"/>
        <n v="-0.5719383272742397"/>
        <n v="-0.5719087685033691"/>
        <n v="-0.5718589444911819"/>
        <n v="-0.5718389889459511"/>
        <n v="-0.5718119686241954"/>
        <n v="-0.5717721290020614"/>
        <n v="-0.5716283109042997"/>
        <n v="-0.5716158039469823"/>
        <n v="-0.57157615755403"/>
        <n v="-0.5714478745530929"/>
        <n v="-0.5713490259151967"/>
        <n v="-0.5713480253586113"/>
        <n v="-0.5713024603293497"/>
        <n v="-0.5712029446537299"/>
        <n v="-0.5711649499732362"/>
        <n v="-0.5711154515389855"/>
        <n v="-0.5708394143883223"/>
        <n v="-0.5707710350807288"/>
        <n v="-0.570763914717727"/>
        <n v="-0.5707285776002271"/>
        <n v="-0.5706953607097773"/>
        <n v="-0.5706390277858349"/>
        <n v="-0.5706019357238481"/>
        <n v="-0.5705865806213299"/>
        <n v="-0.5705430299401145"/>
        <n v="-0.5705124573777832"/>
        <n v="-0.5705055884774153"/>
        <n v="-0.5704829700752403"/>
        <n v="-0.5704519687029439"/>
        <n v="-0.5703839917355646"/>
        <n v="-0.5703288367155389"/>
        <n v="-0.5701929277793569"/>
        <n v="-0.570177972370078"/>
        <n v="-0.5701708070084994"/>
        <n v="-0.5700344533805018"/>
        <n v="-0.5699960325370179"/>
        <n v="-0.5699912759227748"/>
        <n v="-0.5699095690955849"/>
        <n v="-0.5699013211211931"/>
        <n v="-0.5698956592414679"/>
        <n v="-0.5698704203339502"/>
        <n v="-0.5698618811922982"/>
        <n v="-0.5698423068114808"/>
        <n v="-0.5698271528790698"/>
        <n v="-0.5698252894086039"/>
        <n v="-0.5697771674014019"/>
        <n v="-0.569753450504563"/>
        <n v="-0.5697484080170098"/>
        <n v="-0.5696283068160869"/>
        <n v="-0.569615866033147"/>
        <n v="-0.569613351406808"/>
        <n v="-0.569575354079339"/>
        <n v="-0.5695519654074118"/>
        <n v="-0.5693768812398443"/>
        <n v="-0.5693462504440608"/>
        <n v="-0.5692389950132675"/>
        <n v="-0.5691698348480213"/>
        <n v="-0.569078815962452"/>
        <n v="-0.5689359428347989"/>
        <n v="-0.5688770714617417"/>
        <n v="-0.5687589025526372"/>
        <n v="-0.5686700700684952"/>
        <n v="-0.5685814758121118"/>
        <n v="-0.5685683732853983"/>
        <n v="-0.5685473298334041"/>
        <n v="-0.568540288879655"/>
        <n v="-0.5685110927443725"/>
        <n v="-0.5685063652468552"/>
        <n v="-0.5685025271329694"/>
        <n v="-0.5684948376703225"/>
        <n v="-0.568437710653852"/>
        <n v="-0.5683731244615676"/>
        <n v="-0.5680467762553001"/>
        <n v="-0.5679840005939798"/>
        <n v="-0.5679124105055977"/>
        <n v="-0.5678780686507331"/>
        <n v="-0.5678507995133186"/>
        <n v="-0.5678211454513449"/>
        <n v="-0.5677600373843334"/>
        <n v="-0.5676272995243137"/>
        <n v="-0.5675134081269605"/>
        <n v="-0.5674967930642979"/>
        <n v="-0.5672940374191017"/>
        <n v="-0.5672665776994804"/>
        <n v="-0.5672473527193755"/>
        <n v="-0.5671952999541594"/>
        <n v="-0.5671125105141563"/>
        <n v="-0.5670977033354825"/>
        <n v="-0.5670605001005417"/>
        <n v="-0.5670001887730335"/>
        <n v="-0.5667778905107211"/>
        <n v="-0.5667188629661334"/>
        <n v="-0.5666962366230331"/>
        <n v="-0.5666804447696246"/>
        <n v="-0.5665868053787128"/>
        <n v="-0.5665593721288424"/>
        <n v="-0.5665207077636499"/>
        <n v="-0.5664929780525692"/>
        <n v="-0.5664391915186667"/>
        <n v="-0.5664306417891144"/>
        <n v="-0.5664145561214704"/>
        <n v="-0.5663108423433522"/>
        <n v="-0.5663035287511686"/>
        <n v="-0.56627374234044"/>
        <n v="-0.5661376295871758"/>
        <n v="-0.566127994597835"/>
        <n v="-0.5661171208241506"/>
        <n v="-0.5660984067102386"/>
        <n v="-0.566090161382822"/>
        <n v="-0.5660325049713327"/>
        <n v="-0.5659776199427666"/>
        <n v="-0.5658911776771341"/>
        <n v="-0.5658761534465028"/>
        <n v="-0.5658566452400627"/>
        <n v="-0.5658441382827454"/>
        <n v="-0.565797501228571"/>
        <n v="-0.5657362316960789"/>
        <n v="-0.5657077846547478"/>
        <n v="-0.5657029830419279"/>
        <n v="-0.5656841630490124"/>
        <n v="-0.5655803354509651"/>
        <n v="-0.5655058681006563"/>
        <n v="-0.5654259929802311"/>
        <n v="-0.5653781012598623"/>
        <n v="-0.5652491459272513"/>
        <n v="-0.5652322396973283"/>
        <n v="-0.5651805469207251"/>
        <n v="-0.5651082845006692"/>
        <n v="-0.5649623144121564"/>
        <n v="-0.5649316147950206"/>
        <n v="-0.5649163788063817"/>
        <n v="-0.5648845065792794"/>
        <n v="-0.5648734501643135"/>
        <n v="-0.5648225144225868"/>
        <n v="-0.5647320328729617"/>
        <n v="-0.5647059204636631"/>
        <n v="-0.5646557999902654"/>
        <n v="-0.5646241342272204"/>
        <n v="-0.5646156559659955"/>
        <n v="-0.5645501195096525"/>
        <n v="-0.5645455905352674"/>
        <n v="-0.5644993637622324"/>
        <n v="-0.5643837544780433"/>
        <n v="-0.5643530257441816"/>
        <n v="-0.5643512602117942"/>
        <n v="-0.5643023494060142"/>
        <n v="-0.5642954593298455"/>
        <n v="-0.56429388702664"/>
        <n v="-0.5642731797404826"/>
        <n v="-0.5642719806607651"/>
        <n v="-0.5642471785041379"/>
        <n v="-0.5642256453617512"/>
        <n v="-0.5642092817617226"/>
        <n v="-0.5641945434044012"/>
        <n v="-0.5641927328734372"/>
        <n v="-0.564063486373566"/>
        <n v="-0.564050256792048"/>
        <n v="-0.5639957688097458"/>
        <n v="-0.5639904483898076"/>
        <n v="-0.5639618954694727"/>
        <n v="-0.5638703974814117"/>
        <n v="-0.5638317092934432"/>
        <n v="-0.563829835235077"/>
        <n v="-0.5637834787602625"/>
        <n v="-0.5635033493861046"/>
        <n v="-0.5634251815646149"/>
        <n v="-0.563297131497486"/>
        <n v="-0.5632824963721932"/>
        <n v="-0.563236346361436"/>
        <n v="-0.5631422543377831"/>
        <n v="-0.5630903948017488"/>
        <n v="-0.5630852887867933"/>
        <n v="-0.5630160624471698"/>
        <n v="-0.5629869192513891"/>
        <n v="-0.5629121236761686"/>
        <n v="-0.5628683400611451"/>
        <n v="-0.5628640943130949"/>
        <n v="-0.5627914454346754"/>
        <n v="-0.5627349139876009"/>
        <n v="-0.5627226029064405"/>
        <n v="-0.5627183995099918"/>
        <n v="-0.5626599940045511"/>
        <n v="-0.5626322854692711"/>
        <n v="-0.5625706003616894"/>
        <n v="-0.5624325606105571"/>
        <n v="-0.5624128168233338"/>
        <n v="-0.5622764155497844"/>
        <n v="-0.5622595225547369"/>
        <n v="-0.562228595297743"/>
        <n v="-0.5621493395694899"/>
        <n v="-0.5620687868234407"/>
        <n v="-0.5620570713116765"/>
        <n v="-0.5620564307437038"/>
        <n v="-0.5620492336184243"/>
        <n v="-0.5620304983287117"/>
        <n v="-0.5619843192012283"/>
        <n v="-0.5619233911285233"/>
        <n v="-0.5618466182629079"/>
        <n v="-0.5618385185191215"/>
        <n v="-0.561836099183886"/>
        <n v="-0.5617313504385061"/>
        <n v="-0.5616456466789249"/>
        <n v="-0.5616171519920421"/>
        <n v="-0.5615990413884515"/>
        <n v="-0.5615065772544812"/>
        <n v="-0.5614899939555196"/>
        <n v="-0.561391955292002"/>
        <n v="-0.5613869975076516"/>
        <n v="-0.5613113628413267"/>
        <n v="-0.5612652419472954"/>
        <n v="-0.5612251349806768"/>
        <n v="-0.5611913331087313"/>
        <n v="-0.561184848019752"/>
        <n v="-0.561183291598397"/>
        <n v="-0.561086036439507"/>
        <n v="-0.5610527110230784"/>
        <n v="-0.5609729311937568"/>
        <n v="-0.5609501248563501"/>
        <n v="-0.5609040807245966"/>
        <n v="-0.560800359005553"/>
        <n v="-0.5607757368432322"/>
        <n v="-0.5607745298225896"/>
        <n v="-0.5607459266097279"/>
        <n v="-0.5606649741704397"/>
        <n v="-0.5605992524258402"/>
        <n v="-0.5604806600007206"/>
        <n v="-0.5604628326234652"/>
        <n v="-0.5604451058312632"/>
        <n v="-0.56036500307098"/>
        <n v="-0.5603032623769213"/>
        <n v="-0.5602544892138464"/>
        <n v="-0.5601584834272008"/>
        <n v="-0.560139914896919"/>
        <n v="-0.5600994400007624"/>
        <n v="-0.5600921317025289"/>
        <n v="-0.560062644399986"/>
        <n v="-0.5600168834945675"/>
        <n v="-0.559995297412679"/>
        <n v="-0.5598928859463068"/>
        <n v="-0.5598902389712131"/>
        <n v="-0.5598422969583176"/>
        <n v="-0.5597682187133475"/>
        <n v="-0.5597622047859347"/>
        <n v="-0.559697973288313"/>
        <n v="-0.5594193315141578"/>
        <n v="-0.5593808471432716"/>
        <n v="-0.5592968427417004"/>
        <n v="-0.5592628661693988"/>
        <n v="-0.5592560978540844"/>
        <n v="-0.5592418571280807"/>
        <n v="-0.5592361502497788"/>
        <n v="-0.5591583635927027"/>
        <n v="-0.5591277566196952"/>
        <n v="-0.5590057734194808"/>
        <n v="-0.5589501842955397"/>
        <n v="-0.5588939546036259"/>
        <n v="-0.5588772151331337"/>
        <n v="-0.5588363723074392"/>
        <n v="-0.5588253847138256"/>
        <n v="-0.5586480691462542"/>
        <n v="-0.558586426390274"/>
        <n v="-0.5585838508835078"/>
        <n v="-0.5585813891966708"/>
        <n v="-0.558506725970205"/>
        <n v="-0.558381788745786"/>
        <n v="-0.5582745597847435"/>
        <n v="-0.5582428887277484"/>
        <n v="-0.5582100900593634"/>
        <n v="-0.5581928238408277"/>
        <n v="-0.5581807642223011"/>
        <n v="-0.5581445324272196"/>
        <n v="-0.5580771033836848"/>
        <n v="-0.5580056429970823"/>
        <n v="-0.5579234041278986"/>
        <n v="-0.5579211462581438"/>
        <n v="-0.5578482035654888"/>
        <n v="-0.5578067439945975"/>
        <n v="-0.5577483120194058"/>
        <n v="-0.5576485581160276"/>
        <n v="-0.557625410318834"/>
        <n v="-0.5575753348440129"/>
        <n v="-0.5575504929827593"/>
        <n v="-0.5574822883755218"/>
        <n v="-0.5574569965285023"/>
        <n v="-0.5573859887746409"/>
        <n v="-0.5573021723083014"/>
        <n v="-0.5572643602690891"/>
        <n v="-0.5571273528382432"/>
        <n v="-0.5570656942004124"/>
        <n v="-0.557055220119967"/>
        <n v="-0.5569777431589767"/>
        <n v="-0.5569526260123133"/>
        <n v="-0.5569112802613511"/>
        <n v="-0.5568518556704992"/>
        <n v="-0.5567959621444223"/>
        <n v="-0.5566187021633279"/>
        <n v="-0.5565865043582892"/>
        <n v="-0.5565151022051387"/>
        <n v="-0.5563860939330258"/>
        <n v="-0.5563694497536371"/>
        <n v="-0.5562673638652015"/>
        <n v="-0.5562161581320154"/>
        <n v="-0.5562076957526411"/>
        <n v="-0.5561914750892674"/>
        <n v="-0.5561288423646021"/>
        <n v="-0.5560912844349988"/>
        <n v="-0.5560632953203588"/>
        <n v="-0.5560571887488178"/>
        <n v="-0.5559997679181119"/>
        <n v="-0.5559398827535939"/>
        <n v="-0.5558408805911422"/>
        <n v="-0.5558228388089042"/>
        <n v="-0.5558142308458998"/>
        <n v="-0.5557695049077428"/>
        <n v="-0.5557244825083754"/>
        <n v="-0.5556810800577653"/>
        <n v="-0.5555899552931923"/>
        <n v="-0.555589690595683"/>
        <n v="-0.5554960167940948"/>
        <n v="-0.5554494617961483"/>
        <n v="-0.5554306947427345"/>
        <n v="-0.555390532189639"/>
        <n v="-0.5553684114187817"/>
        <n v="-0.5552776545837467"/>
        <n v="-0.5552471217260417"/>
        <n v="-0.5552071391672526"/>
        <n v="-0.5550225338302733"/>
        <n v="-0.554953143378194"/>
        <n v="-0.5549461659518473"/>
        <n v="-0.5548770481382027"/>
        <n v="-0.554866624350284"/>
        <n v="-0.5547935678377001"/>
        <n v="-0.5547207945514512"/>
        <n v="-0.5545242116521732"/>
        <n v="-0.5544057171651322"/>
        <n v="-0.5542825163563748"/>
        <n v="-0.5542324488224789"/>
        <n v="-0.5542227741285117"/>
        <n v="-0.5541835459576243"/>
        <n v="-0.5541398179290777"/>
        <n v="-0.5540459826620089"/>
        <n v="-0.5540140601423799"/>
        <n v="-0.5539914020355785"/>
        <n v="-0.5539516709394232"/>
        <n v="-0.5539387351721407"/>
        <n v="-0.5538540399100701"/>
        <n v="-0.5537801469533566"/>
        <n v="-0.5536632300634714"/>
        <n v="-0.5536149333559132"/>
        <n v="-0.5534046735363265"/>
        <n v="-0.553337906236565"/>
        <n v="-0.5533118970592952"/>
        <n v="-0.5532931035361305"/>
        <n v="-0.5532015446676422"/>
        <n v="-0.5531782248170674"/>
        <n v="-0.5531650243522754"/>
        <n v="-0.5531054859414947"/>
        <n v="-0.5530788309023019"/>
        <n v="-0.5530757683521186"/>
        <n v="-0.55306265788448"/>
        <n v="-0.5529564718316242"/>
        <n v="-0.5529478056351678"/>
        <n v="-0.5528410690114925"/>
        <n v="-0.5528202214356551"/>
        <n v="-0.5528022484747696"/>
        <n v="-0.5527887091971656"/>
        <n v="-0.5526850668873748"/>
        <n v="-0.5525021873781567"/>
        <n v="-0.5523991856363386"/>
        <n v="-0.552376890165125"/>
        <n v="-0.5523467384718336"/>
        <n v="-0.5522803443955604"/>
        <n v="-0.5522305971456508"/>
        <n v="-0.5521405311711153"/>
        <n v="-0.5521186565689417"/>
        <n v="-0.5520982986834967"/>
        <n v="-0.5519919935167618"/>
        <n v="-0.5519499489643748"/>
        <n v="-0.5519202869614755"/>
        <n v="-0.5518663654318435"/>
        <n v="-0.5517722998779415"/>
        <n v="-0.5517676862003533"/>
        <n v="-0.5516900160101812"/>
        <n v="-0.5516845288308121"/>
        <n v="-0.5516615239702735"/>
        <n v="-0.5516286935381872"/>
        <n v="-0.5514753039784871"/>
        <n v="-0.5514071523107517"/>
        <n v="-0.5513977555491693"/>
        <n v="-0.5512752694236871"/>
        <n v="-0.5510840095913225"/>
        <n v="-0.5509340055127669"/>
        <n v="-0.5509117365113043"/>
        <n v="-0.5507791124712136"/>
        <n v="-0.5507235524639985"/>
        <n v="-0.550442470178807"/>
        <n v="-0.5502459058083548"/>
        <n v="-0.550233306206909"/>
        <n v="-0.5499368714661746"/>
        <n v="-0.5498570042866747"/>
        <n v="-0.549831310099441"/>
        <n v="-0.5497982096758952"/>
        <n v="-0.5497534784437882"/>
        <n v="-0.5497318632451738"/>
        <n v="-0.5495727800420471"/>
        <n v="-0.5494813535223135"/>
        <n v="-0.549474640793476"/>
        <n v="-0.5492875552408341"/>
        <n v="-0.549217635393736"/>
        <n v="-0.54920106532965"/>
        <n v="-0.5491391922868366"/>
        <n v="-0.5491328792512383"/>
        <n v="-0.5490643225963135"/>
        <n v="-0.5490288928346855"/>
        <n v="-0.5489788120659141"/>
        <n v="-0.548947988040949"/>
        <n v="-0.5489254887526532"/>
        <n v="-0.5488136275851968"/>
        <n v="-0.5487637850441839"/>
        <n v="-0.548726462695364"/>
        <n v="-0.5486670381045121"/>
        <n v="-0.548533048225273"/>
        <n v="-0.5484947306138178"/>
        <n v="-0.5484509390578689"/>
        <n v="-0.5482668419401077"/>
        <n v="-0.5482410445208452"/>
        <n v="-0.5480550971674935"/>
        <n v="-0.5479876390072325"/>
        <n v="-0.5479790231033028"/>
        <n v="-0.5479456500413225"/>
        <n v="-0.5477829934218195"/>
        <n v="-0.5477383733626664"/>
        <n v="-0.5477011410109995"/>
        <n v="-0.5476533472287091"/>
        <n v="-0.5476051881638558"/>
        <n v="-0.5475910347880301"/>
        <n v="-0.5475408507872301"/>
        <n v="-0.5475184891416393"/>
        <n v="-0.5472480926949007"/>
        <n v="-0.5471740726833827"/>
        <n v="-0.5470379758119691"/>
        <n v="-0.5469184860622929"/>
        <n v="-0.546261017153664"/>
        <n v="-0.5462092687905837"/>
        <n v="-0.5460338431632291"/>
        <n v="-0.5460190968649826"/>
        <n v="-0.5459743391631245"/>
        <n v="-0.5458294913920515"/>
        <n v="-0.54578605188379"/>
        <n v="-0.545693680393948"/>
        <n v="-0.5456811707896555"/>
        <n v="-0.5456633195896242"/>
        <n v="-0.5455885531311297"/>
        <n v="-0.5455546453801805"/>
        <n v="-0.5455498411203856"/>
        <n v="-0.5454810859423288"/>
        <n v="-0.545451969216299"/>
        <n v="-0.5454360529550609"/>
        <n v="-0.54542994638352"/>
        <n v="-0.5454043871920161"/>
        <n v="-0.5450321589664507"/>
        <n v="-0.5450248930198188"/>
        <n v="-0.5449531599947817"/>
        <n v="-0.5448878644131723"/>
        <n v="-0.5447764135268555"/>
        <n v="-0.5445543534923014"/>
        <n v="-0.5445513888801965"/>
        <n v="-0.5444806458238445"/>
        <n v="-0.5444482971412253"/>
        <n v="-0.5443880969866711"/>
        <n v="-0.5443609654919614"/>
        <n v="-0.5443248263410082"/>
        <n v="-0.5443246331118264"/>
        <n v="-0.544205614523717"/>
        <n v="-0.5440791155839928"/>
        <n v="-0.544068347689312"/>
        <n v="-0.5440168957874422"/>
        <n v="-0.5439985151923921"/>
        <n v="-0.5437352549905059"/>
        <n v="-0.54365747892133"/>
        <n v="-0.5435775402735027"/>
        <n v="-0.5435409855474598"/>
        <n v="-0.5435365756869538"/>
        <n v="-0.5434824476932644"/>
        <n v="-0.5431267736499347"/>
        <n v="-0.5430093511878065"/>
        <n v="-0.5429891177101909"/>
        <n v="-0.5429368823036934"/>
        <n v="-0.5428981226473975"/>
        <n v="-0.5428142400066807"/>
        <n v="-0.5427416175980121"/>
        <n v="-0.54258350848172"/>
        <n v="-0.5425484837072813"/>
        <n v="-0.5425275117236145"/>
        <n v="-0.5423662447660357"/>
        <n v="-0.5423514084706359"/>
        <n v="-0.5422681743388169"/>
        <n v="-0.5419868802956179"/>
        <n v="-0.5419734389560925"/>
        <n v="-0.5417275693805715"/>
        <n v="-0.5417006231741184"/>
        <n v="-0.5416842119285379"/>
        <n v="-0.5415379294969641"/>
        <n v="-0.5415103850741398"/>
        <n v="-0.5415076454549179"/>
        <n v="-0.5411291862499823"/>
        <n v="-0.5410754341267562"/>
        <n v="-0.5410639039032483"/>
        <n v="-0.5410567200128443"/>
        <n v="-0.5409289425841499"/>
        <n v="-0.5407899578629093"/>
        <n v="-0.5406876919801672"/>
        <n v="-0.5406159986597565"/>
        <n v="-0.5405560023222845"/>
        <n v="-0.5405479978696014"/>
        <n v="-0.5405200061079865"/>
        <n v="-0.5404418118167458"/>
        <n v="-0.5404313827348769"/>
        <n v="-0.5403783532358513"/>
        <n v="-0.5403287092179704"/>
        <n v="-0.5402262924576481"/>
        <n v="-0.5401869372319561"/>
        <n v="-0.5401788507230452"/>
        <n v="-0.5401753699507971"/>
        <n v="-0.539906768153172"/>
        <n v="-0.539657317220349"/>
        <n v="-0.5396521026794147"/>
        <n v="-0.5395384018642683"/>
        <n v="-0.5395127129709846"/>
        <n v="-0.5393219719457384"/>
        <n v="-0.5392204154523215"/>
        <n v="-0.53899984301777"/>
        <n v="-0.5389313181265464"/>
        <n v="-0.5388217042409444"/>
        <n v="-0.5386639339374644"/>
        <n v="-0.5384900012040625"/>
        <n v="-0.5382702758015412"/>
        <n v="-0.5380630891200382"/>
        <n v="-0.5380623638488625"/>
        <n v="-0.5380483931143184"/>
        <n v="-0.5380086223135367"/>
        <n v="-0.5379328738272826"/>
        <n v="-0.5379058614464521"/>
        <n v="-0.5378873511496226"/>
        <n v="-0.5377894607167103"/>
        <n v="-0.5375646875326854"/>
        <n v="-0.5373527548248396"/>
        <n v="-0.5372831234980268"/>
        <n v="-0.5372477228531246"/>
        <n v="-0.5371712782124209"/>
        <n v="-0.5370185742192699"/>
        <n v="-0.5370040529139064"/>
        <n v="-0.5370023350270706"/>
        <n v="-0.5369165333294109"/>
        <n v="-0.5368300831228533"/>
        <n v="-0.5367588450821587"/>
        <n v="-0.5367562483995918"/>
        <n v="-0.5367255143717797"/>
        <n v="-0.5366358560314087"/>
        <n v="-0.5364333889064976"/>
        <n v="-0.5364265147121795"/>
        <n v="-0.5363989967591063"/>
        <n v="-0.536267150929693"/>
        <n v="-0.5362631010577997"/>
        <n v="-0.5360717697571076"/>
        <n v="-0.535892048089176"/>
        <n v="-0.5356996129998698"/>
        <n v="-0.5356903379991418"/>
        <n v="-0.5356227183734003"/>
        <n v="-0.5356143274623535"/>
        <n v="-0.5355078925938389"/>
        <n v="-0.5354978870279851"/>
        <n v="-0.5354660703873598"/>
        <n v="-0.5354552707289778"/>
        <n v="-0.5354355242947794"/>
        <n v="-0.5354310429659458"/>
        <n v="-0.5354209209331878"/>
        <n v="-0.5353259501138039"/>
        <n v="-0.5352393040310893"/>
        <n v="-0.5352319374994038"/>
        <n v="-0.5351898664772657"/>
        <n v="-0.5351143482778448"/>
        <n v="-0.535033464659909"/>
        <n v="-0.5349130987614767"/>
        <n v="-0.5348889424667724"/>
        <n v="-0.5348619777314938"/>
        <n v="-0.5348586346019505"/>
        <n v="-0.534801054952739"/>
        <n v="-0.5346098004143245"/>
        <n v="-0.534603368264847"/>
        <n v="-0.5344366432446251"/>
        <n v="-0.5343991726651999"/>
        <n v="-0.5343171667298244"/>
        <n v="-0.5342602673532119"/>
        <n v="-0.5338761515625012"/>
        <n v="-0.5337271136298549"/>
        <n v="-0.5337242204860777"/>
        <n v="-0.5336879383984693"/>
        <n v="-0.5335948310495513"/>
        <n v="-0.5335360893782737"/>
        <n v="-0.5333715851701554"/>
        <n v="-0.5333306761700835"/>
        <n v="-0.5329780276192857"/>
        <n v="-0.5329357210163643"/>
        <n v="-0.5329286165352131"/>
        <n v="-0.5329224067316435"/>
        <n v="-0.532823833379157"/>
        <n v="-0.5327920537961831"/>
        <n v="-0.5327766484011381"/>
        <n v="-0.5327685195406257"/>
        <n v="-0.5327265041049646"/>
        <n v="-0.532569538481913"/>
        <n v="-0.5324438865742187"/>
        <n v="-0.532441459298058"/>
        <n v="-0.5323530159192548"/>
        <n v="-0.5323387487235002"/>
        <n v="-0.5322368666521466"/>
        <n v="-0.5321369698121134"/>
        <n v="-0.5319999888510186"/>
        <n v="-0.5319612556644736"/>
        <n v="-0.5319599771755035"/>
        <n v="-0.5319101134586899"/>
        <n v="-0.5316704933913647"/>
        <n v="-0.5316534733415128"/>
        <n v="-0.5315645190965166"/>
        <n v="-0.5315287055234998"/>
        <n v="-0.5314824866913902"/>
        <n v="-0.5314569460287119"/>
        <n v="-0.5313098245060334"/>
        <n v="-0.531253409525863"/>
        <n v="-0.53104070919524"/>
        <n v="-0.5309836562940722"/>
        <n v="-0.5309791299666621"/>
        <n v="-0.5306741110856988"/>
        <n v="-0.5305004245209809"/>
        <n v="-0.5304968511046044"/>
        <n v="-0.530422081999135"/>
        <n v="-0.5303526889000806"/>
        <n v="-0.5303382708267457"/>
        <n v="-0.5303340250786954"/>
        <n v="-0.5303293505206802"/>
        <n v="-0.5301737613246772"/>
        <n v="-0.5299946484610172"/>
        <n v="-0.5299697430723612"/>
        <n v="-0.5299582022609531"/>
        <n v="-0.529705095855526"/>
        <n v="-0.5295962072410998"/>
        <n v="-0.529490047657995"/>
        <n v="-0.5294448982038231"/>
        <n v="-0.5293401944570199"/>
        <n v="-0.5291466211684235"/>
        <n v="-0.5291216522523653"/>
        <n v="-0.5291215463733616"/>
        <n v="-0.5290902485398545"/>
        <n v="-0.5288982899060652"/>
        <n v="-0.5288019850112341"/>
        <n v="-0.5287636912225546"/>
        <n v="-0.5287337936388723"/>
        <n v="-0.5287096770487942"/>
        <n v="-0.5286555728778807"/>
        <n v="-0.5286199790037968"/>
        <n v="-0.5286004125639047"/>
        <n v="-0.5285982023397015"/>
        <n v="-0.5284040864212108"/>
        <n v="-0.5283730665200888"/>
        <n v="-0.5283517689584856"/>
        <n v="-0.5283259953619989"/>
        <n v="-0.5283121516822592"/>
        <n v="-0.5283083135683736"/>
        <n v="-0.5282461017127481"/>
        <n v="-0.5279651623642116"/>
        <n v="-0.5278997900203245"/>
        <n v="-0.5278247747461714"/>
        <n v="-0.5277431049766327"/>
        <n v="-0.5277128950498893"/>
        <n v="-0.5277027041957788"/>
        <n v="-0.5277022621509382"/>
        <n v="-0.5275133660673321"/>
        <n v="-0.5274228659888813"/>
        <n v="-0.5273664589496362"/>
        <n v="-0.5273369981168443"/>
        <n v="-0.5272984184548547"/>
        <n v="-0.5272532742946331"/>
        <n v="-0.5272447404469313"/>
        <n v="-0.5271144933904746"/>
        <n v="-0.5271125213940298"/>
        <n v="-0.5270805062302725"/>
        <n v="-0.5269821366948683"/>
        <n v="-0.5269778300663909"/>
        <n v="-0.5268525937337865"/>
        <n v="-0.5267492108275549"/>
        <n v="-0.5265823905162297"/>
        <n v="-0.5264621463786517"/>
        <n v="-0.5263889575173132"/>
        <n v="-0.5263610583998264"/>
        <n v="-0.5263604337137043"/>
        <n v="-0.5262103131682447"/>
        <n v="-0.5260335058198913"/>
        <n v="-0.5259736735948751"/>
        <n v="-0.5256794623132192"/>
        <n v="-0.5255667276439819"/>
        <n v="-0.5254850949320946"/>
        <n v="-0.525319420760985"/>
        <n v="-0.5253192487076039"/>
        <n v="-0.5252045288070464"/>
        <n v="-0.5252027950383601"/>
        <n v="-0.5251435292660139"/>
        <n v="-0.5250360620772129"/>
        <n v="-0.5249682465753144"/>
        <n v="-0.5249227318385796"/>
        <n v="-0.5248793690925959"/>
        <n v="-0.5247847847315755"/>
        <n v="-0.5245745010892131"/>
        <n v="-0.5244328693928787"/>
        <n v="-0.5244263048946465"/>
        <n v="-0.5244176492860905"/>
        <n v="-0.5244046076398041"/>
        <n v="-0.5243582591059149"/>
        <n v="-0.5243166274816424"/>
        <n v="-0.5243155819264804"/>
        <n v="-0.5242218895960666"/>
        <n v="-0.5239934344696864"/>
        <n v="-0.523947422101634"/>
        <n v="-0.5236948742079517"/>
        <n v="-0.5236573586299498"/>
        <n v="-0.5233754557824793"/>
        <n v="-0.5233167882265043"/>
        <n v="-0.5232694444299798"/>
        <n v="-0.5231707016710874"/>
        <n v="-0.5229886533120486"/>
        <n v="-0.5229462381831483"/>
        <n v="-0.5228465504541475"/>
        <n v="-0.5228135664975059"/>
        <n v="-0.5227947888561918"/>
        <n v="-0.5226427995463161"/>
        <n v="-0.522637312366947"/>
        <n v="-0.5226017052579877"/>
        <n v="-0.5224599068022224"/>
        <n v="-0.5224585700798001"/>
        <n v="-0.5224164937637119"/>
        <n v="-0.5224082616711707"/>
        <n v="-0.5223889890455141"/>
        <n v="-0.5222859528930198"/>
        <n v="-0.5222824138873197"/>
        <n v="-0.5220059108690401"/>
        <n v="-0.5219669473956621"/>
        <n v="-0.5218600466595311"/>
        <n v="-0.5218353133242563"/>
        <n v="-0.5217450170628877"/>
        <n v="-0.5217275179105437"/>
        <n v="-0.5215301568005882"/>
        <n v="-0.52145231191006"/>
        <n v="-0.5214266044879508"/>
        <n v="-0.5213459299810475"/>
        <n v="-0.5212552869659414"/>
        <n v="-0.5211964129459092"/>
        <n v="-0.5211783605757707"/>
        <n v="-0.5210157039562677"/>
        <n v="-0.5209695671803859"/>
        <n v="-0.5209421365774908"/>
        <n v="-0.5208150367744203"/>
        <n v="-0.5208063361672876"/>
        <n v="-0.5207867564925202"/>
        <n v="-0.5207335628810387"/>
        <n v="-0.5206687914004978"/>
        <n v="-0.5206204046957864"/>
        <n v="-0.5205351112173447"/>
        <n v="-0.5205186814429387"/>
        <n v="-0.5205121831190838"/>
        <n v="-0.5204339120655653"/>
        <n v="-0.5203352725387016"/>
        <n v="-0.5202434145620277"/>
        <n v="-0.5202315508196581"/>
        <n v="-0.520221172030316"/>
        <n v="-0.5201704295177714"/>
        <n v="-0.5201329986429725"/>
        <n v="-0.5200248617694728"/>
        <n v="-0.5199703076127932"/>
        <n v="-0.5196569957588618"/>
        <n v="-0.5196201472185835"/>
        <n v="-0.5194708419414528"/>
        <n v="-0.5194354068858744"/>
        <n v="-0.5194285247506311"/>
        <n v="-0.5193197605440342"/>
        <n v="-0.5192790659489449"/>
        <n v="-0.5191213327031161"/>
        <n v="-0.5191057076091384"/>
        <n v="-0.5190998763230071"/>
        <n v="-0.5189659658530209"/>
        <n v="-0.5189060912764032"/>
        <n v="-0.518830398376626"/>
        <n v="-0.5188084523061249"/>
        <n v="-0.5187383259949696"/>
        <n v="-0.5187160384646813"/>
        <n v="-0.5186846718098218"/>
        <n v="-0.5185939864431144"/>
        <n v="-0.5184974247916992"/>
        <n v="-0.5184903573681992"/>
        <n v="-0.5183042088447404"/>
        <n v="-0.5182730671827639"/>
        <n v="-0.5181946373107399"/>
        <n v="-0.5180597739297199"/>
        <n v="-0.5177940441000715"/>
        <n v="-0.5177179700358808"/>
        <n v="-0.517636093802285"/>
        <n v="-0.5176123372008197"/>
        <n v="-0.5174979667009746"/>
        <n v="-0.5174786437827911"/>
        <n v="-0.5173335233732834"/>
        <n v="-0.517222284244974"/>
        <n v="-0.5172036363054394"/>
        <n v="-0.5171528408533929"/>
        <n v="-0.517076168572831"/>
        <n v="-0.5170569515336514"/>
        <n v="-0.5170074160417494"/>
        <n v="-0.5169709248431087"/>
        <n v="-0.5169680422872318"/>
        <n v="-0.516888063934778"/>
        <n v="-0.5167948904114825"/>
        <n v="-0.5167784262264004"/>
        <n v="-0.5166448598631762"/>
        <n v="-0.5165661229420413"/>
        <n v="-0.5164507174749345"/>
        <n v="-0.5164253462186623"/>
        <n v="-0.5163983735424583"/>
        <n v="-0.5163974285723499"/>
        <n v="-0.5163409500647772"/>
        <n v="-0.516233983154269"/>
        <n v="-0.5160874439661111"/>
        <n v="-0.5159847969189556"/>
        <n v="-0.5159389010178073"/>
        <n v="-0.5159084899209567"/>
        <n v="-0.5157716757192927"/>
        <n v="-0.515757011477274"/>
        <n v="-0.5156396287197723"/>
        <n v="-0.5156392025567823"/>
        <n v="-0.5156373020286651"/>
        <n v="-0.5155575963146459"/>
        <n v="-0.5154974226298427"/>
        <n v="-0.5153309808359559"/>
        <n v="-0.5153218646537334"/>
        <n v="-0.5152374526179979"/>
        <n v="-0.5152215813553366"/>
        <n v="-0.5150153158211662"/>
        <n v="-0.5149790496154085"/>
        <n v="-0.5149146645932313"/>
        <n v="-0.5148721885839039"/>
        <n v="-0.5148054768706195"/>
        <n v="-0.5147615529659159"/>
        <n v="-0.5147341144220954"/>
        <n v="-0.5147287754733316"/>
        <n v="-0.5146913922440844"/>
        <n v="-0.5145244475249298"/>
        <n v="-0.514157576776954"/>
        <n v="-0.5141535877854879"/>
        <n v="-0.5140755629006533"/>
        <n v="-0.5139521820975894"/>
        <n v="-0.5139132609758128"/>
        <n v="-0.5138895229031732"/>
        <n v="-0.5138788105949693"/>
        <n v="-0.5137773917442573"/>
        <n v="-0.5136798851227337"/>
        <n v="-0.5135947901674238"/>
        <n v="-0.5132889930757832"/>
        <n v="-0.5132769281633065"/>
        <n v="-0.5132275091383086"/>
        <n v="-0.5132018864194023"/>
        <n v="-0.5131975718499997"/>
        <n v="-0.5130755912967605"/>
        <n v="-0.5129380729997216"/>
        <n v="-0.5128765387697202"/>
        <n v="-0.5127643520243272"/>
        <n v="-0.5127253064947214"/>
        <n v="-0.5125867929350473"/>
        <n v="-0.5124900274665498"/>
        <n v="-0.5123881003966198"/>
        <n v="-0.5123376490513353"/>
        <n v="-0.5119333765452867"/>
        <n v="-0.5118868586049914"/>
        <n v="-0.5118756989579968"/>
        <n v="-0.5117209832637746"/>
        <n v="-0.5114276560718001"/>
        <n v="-0.5114120548005983"/>
        <n v="-0.5113539351684676"/>
        <n v="-0.5113276427648626"/>
        <n v="-0.51129844662958"/>
        <n v="-0.5111819453147844"/>
        <n v="-0.5109424893599152"/>
        <n v="-0.5109224305826557"/>
        <n v="-0.5108145107611137"/>
        <n v="-0.5107724265041003"/>
        <n v="-0.5107288837638103"/>
        <n v="-0.5107155456563135"/>
        <n v="-0.5107140739381614"/>
        <n v="-0.5107002434932972"/>
        <n v="-0.5103537571005174"/>
        <n v="-0.510245681107445"/>
        <n v="-0.5102009313465122"/>
        <n v="-0.510125635492999"/>
        <n v="-0.5100532195483879"/>
        <n v="-0.5095095414520586"/>
        <n v="-0.5094246264910552"/>
        <n v="-0.5093799852561013"/>
        <n v="-0.5093736775144532"/>
        <n v="-0.5093643813379245"/>
        <n v="-0.5093636401848982"/>
        <n v="-0.5092904513235597"/>
        <n v="-0.5091765255155302"/>
        <n v="-0.5091233027873228"/>
        <n v="-0.5090968330363865"/>
        <n v="-0.5089466727863006"/>
        <n v="-0.5087892201198317"/>
        <n v="-0.5085730151941847"/>
        <n v="-0.5085284560154588"/>
        <n v="-0.5084439222188689"/>
        <n v="-0.5083944926059707"/>
        <n v="-0.5083893680621895"/>
        <n v="-0.5083324395688509"/>
        <n v="-0.5081066711221908"/>
        <n v="-0.507950949577433"/>
        <n v="-0.507935057138971"/>
        <n v="-0.5078737373139521"/>
        <n v="-0.507651955211783"/>
        <n v="-0.5076085898188242"/>
        <n v="-0.5074673922264052"/>
        <n v="-0.507446039078325"/>
        <n v="-0.50741197250887"/>
        <n v="-0.5073628552390329"/>
        <n v="-0.5072719051748161"/>
        <n v="-0.5069857036397935"/>
        <n v="-0.5069404668354435"/>
        <n v="-0.5068477697676649"/>
        <n v="-0.5068263027996556"/>
        <n v="-0.5066168317786469"/>
        <n v="-0.5065579709934901"/>
        <n v="-0.5064860606211217"/>
        <n v="-0.5063280097382816"/>
        <n v="-0.5062247247701286"/>
        <n v="-0.5061755810305404"/>
        <n v="-0.506165901042623"/>
        <n v="-0.5060644424872845"/>
        <n v="-0.506047602431739"/>
        <n v="-0.5059284753176506"/>
        <n v="-0.5056439890224886"/>
        <n v="-0.5056199888993147"/>
        <n v="-0.5055011847161879"/>
        <n v="-0.5053968965444743"/>
        <n v="-0.5051787540330588"/>
        <n v="-0.505125827766062"/>
        <n v="-0.5050265264954247"/>
        <n v="-0.5048857259492698"/>
        <n v="-0.5047611698892643"/>
        <n v="-0.504716682178866"/>
        <n v="-0.5045973486007203"/>
        <n v="-0.5043705848914248"/>
        <n v="-0.5043288394472234"/>
        <n v="-0.5042993150870291"/>
        <n v="-0.5041428391543697"/>
        <n v="-0.5040864374090749"/>
        <n v="-0.5040816146204544"/>
        <n v="-0.5040790444076384"/>
        <n v="-0.5040671409606423"/>
        <n v="-0.5037679454248852"/>
        <n v="-0.5037618070896431"/>
        <n v="-0.5037242068084382"/>
        <n v="-0.503561513131284"/>
        <n v="-0.503520575014486"/>
        <n v="-0.503478445758896"/>
        <n v="-0.5034767675766867"/>
        <n v="-0.5034722147795255"/>
        <n v="-0.5032990893735273"/>
        <n v="-0.5031509778821638"/>
        <n v="-0.5030657717539002"/>
        <n v="-0.5030015561381289"/>
        <n v="-0.5029694324483928"/>
        <n v="-0.502964858475431"/>
        <n v="-0.5029155294475863"/>
        <n v="-0.5028572695257757"/>
        <n v="-0.5028219588780268"/>
        <n v="-0.5027676535370061"/>
        <n v="-0.5027352704437108"/>
        <n v="-0.5027034538030855"/>
        <n v="-0.5026586140449996"/>
        <n v="-0.502443917895156"/>
        <n v="-0.5023905548772686"/>
        <n v="-0.5023881725996844"/>
        <n v="-0.502320137398853"/>
        <n v="-0.5022377026535124"/>
        <n v="-0.5021874392434597"/>
        <n v="-0.502129404314532"/>
        <n v="-0.5021261882397932"/>
        <n v="-0.5020511226731132"/>
        <n v="-0.5019985563947291"/>
        <n v="-0.501965728609618"/>
        <n v="-0.5018941411682111"/>
        <n v="-0.5017072726675268"/>
        <n v="-0.5017045198134293"/>
        <n v="-0.501668603008384"/>
        <n v="-0.5015538566380756"/>
        <n v="-0.501531558519887"/>
        <n v="-0.501494805270712"/>
        <n v="-0.5014169444983332"/>
        <n v="-0.5014075900883523"/>
        <n v="-0.5013530465195732"/>
        <n v="-0.5013092655515247"/>
        <n v="-0.5012761783628544"/>
        <n v="-0.5011248110921257"/>
        <n v="-0.5010994768935048"/>
        <n v="-0.5010350918713276"/>
        <n v="-0.500957125219945"/>
        <n v="-0.5009434906512377"/>
        <n v="-0.5009424212732998"/>
        <n v="-0.5008431411784635"/>
        <n v="-0.5007731286872372"/>
        <n v="-0.5006075895118572"/>
        <n v="-0.5005658625964814"/>
        <n v="-0.5002922024294524"/>
        <n v="-0.5002418860798977"/>
        <n v="-0.500074512550778"/>
        <n v="-0.4999572833178317"/>
        <n v="-0.4999425370195852"/>
        <n v="-0.49993440021814733"/>
        <n v="-0.4998977660828516"/>
        <n v="-0.4998108473617024"/>
        <n v="-0.49966429493866904"/>
        <n v="-0.4995286718757973"/>
        <n v="-0.4994890890102472"/>
        <n v="-0.4994577594130391"/>
        <n v="-0.49936732550896556"/>
        <n v="-0.4993342886128222"/>
        <n v="-0.4993264959181465"/>
        <n v="-0.4992899067814274"/>
        <n v="-0.49924220034931505"/>
        <n v="-0.4991854915549093"/>
        <n v="-0.499168490033883"/>
        <n v="-0.4990154763446461"/>
        <n v="-0.4989532565480954"/>
        <n v="-0.49894891286196685"/>
        <n v="-0.49894460888046466"/>
        <n v="-0.4989171068092419"/>
        <n v="-0.4989135254519403"/>
        <n v="-0.49861576722365886"/>
        <n v="-0.49859833953964244"/>
        <n v="-0.4985936411588513"/>
        <n v="-0.4985886119061735"/>
        <n v="-0.49858163712680176"/>
        <n v="-0.4984747258027704"/>
        <n v="-0.49847387877074045"/>
        <n v="-0.4984299125144354"/>
        <n v="-0.49839531654996183"/>
        <n v="-0.4982499076201689"/>
        <n v="-0.49803593674150104"/>
        <n v="-0.49797225052074845"/>
        <n v="-0.49796621541753505"/>
        <n v="-0.4979413709093063"/>
        <n v="-0.49789113132202945"/>
        <n v="-0.49787783291915905"/>
        <n v="-0.4978522790216052"/>
        <n v="-0.49772137022137514"/>
        <n v="-0.4976652808191413"/>
        <n v="-0.4975326408972"/>
        <n v="-0.497523281193269"/>
        <n v="-0.4973865913994344"/>
        <n v="-0.4973794948592084"/>
        <n v="-0.49737510088055303"/>
        <n v="-0.4972777107259334"/>
        <n v="-0.4972774804391003"/>
        <n v="-0.4971980632453664"/>
        <n v="-0.4970075869176295"/>
        <n v="-0.4969215866968378"/>
        <n v="-0.49691814562921605"/>
        <n v="-0.49667307014622303"/>
        <n v="-0.4966528049049062"/>
        <n v="-0.4965381114740997"/>
        <n v="-0.4965346095260509"/>
        <n v="-0.4965325078278265"/>
        <n v="-0.49647093918714885"/>
        <n v="-0.49644261655364713"/>
        <n v="-0.4964165967884768"/>
        <n v="-0.4964004634752813"/>
        <n v="-0.49637341138982444"/>
        <n v="-0.4962554092401509"/>
        <n v="-0.49617541765282164"/>
        <n v="-0.4960119087073386"/>
        <n v="-0.4959971306453909"/>
        <n v="-0.49595436876275345"/>
        <n v="-0.4958718043156332"/>
        <n v="-0.4956153653685633"/>
        <n v="-0.49557102059481983"/>
        <n v="-0.4955671030716813"/>
        <n v="-0.49548210870142523"/>
        <n v="-0.4954342513917325"/>
        <n v="-0.49529770453455296"/>
        <n v="-0.49515173179906513"/>
        <n v="-0.4948302566739449"/>
        <n v="-0.49462304881664126"/>
        <n v="-0.4944450635643711"/>
        <n v="-0.4943904035286878"/>
        <n v="-0.49432972162466665"/>
        <n v="-0.494329308696552"/>
        <n v="-0.494298010863045"/>
        <n v="-0.49419635378457455"/>
        <n v="-0.4939712153179867"/>
        <n v="-0.49390287042106934"/>
        <n v="-0.4937866788023598"/>
        <n v="-0.4937673188265251"/>
        <n v="-0.4937552062684967"/>
        <n v="-0.49368210475733626"/>
        <n v="-0.4936096914597001"/>
        <n v="-0.49339928340950817"/>
        <n v="-0.49335159550622143"/>
        <n v="-0.4931966839358425"/>
        <n v="-0.49318568046037825"/>
        <n v="-0.4931555764126386"/>
        <n v="-0.4929099450648758"/>
        <n v="-0.49287013720644285"/>
        <n v="-0.49273669260407316"/>
        <n v="-0.4926154082052834"/>
        <n v="-0.49251381730119026"/>
        <n v="-0.492504791116121"/>
        <n v="-0.4924592366747598"/>
        <n v="-0.4924256333259463"/>
        <n v="-0.4923852272511422"/>
        <n v="-0.49237676487176785"/>
        <n v="-0.49223472024731896"/>
        <n v="-0.4921892716849615"/>
        <n v="-0.49213866152117147"/>
        <n v="-0.49198630163478263"/>
        <n v="-0.4917263289759628"/>
        <n v="-0.4913894484557977"/>
        <n v="-0.4913323214393272"/>
        <n v="-0.4913145867062"/>
        <n v="-0.49101402533129446"/>
        <n v="-0.4909670044657314"/>
        <n v="-0.4909001683446174"/>
        <n v="-0.4908895539744921"/>
        <n v="-0.4907069868083348"/>
        <n v="-0.4906813826182542"/>
        <n v="-0.4906520806039679"/>
        <n v="-0.49056781415186246"/>
        <n v="-0.4905099353944654"/>
        <n v="-0.4901868879661396"/>
        <n v="-0.4900418681416854"/>
        <n v="-0.4898858210189912"/>
        <n v="-0.48969391532470374"/>
        <n v="-0.48963458602495535"/>
        <n v="-0.4894945186909013"/>
        <n v="-0.48940373803309056"/>
        <n v="-0.4892737159695168"/>
        <n v="-0.48927360214958776"/>
        <n v="-0.4887858096384101"/>
        <n v="-0.4887491675621891"/>
        <n v="-0.48847371274604656"/>
        <n v="-0.48804059879937783"/>
        <n v="-0.4879525921714652"/>
        <n v="-0.487929177029787"/>
        <n v="-0.4879206961215871"/>
        <n v="-0.4876876246706436"/>
        <n v="-0.48759867571959764"/>
        <n v="-0.48748265880124425"/>
        <n v="-0.4874731138090566"/>
        <n v="-0.48717181392810005"/>
        <n v="-0.48706434409232396"/>
        <n v="-0.4868808954834606"/>
        <n v="-0.4868729175005284"/>
        <n v="-0.4868343510734144"/>
        <n v="-0.48674277632307555"/>
        <n v="-0.48670508869169254"/>
        <n v="-0.4865773668494751"/>
        <n v="-0.4865509632729163"/>
        <n v="-0.4865391630579489"/>
        <n v="-0.4864911469297507"/>
        <n v="-0.4864046252548655"/>
        <n v="-0.48640176652176437"/>
        <n v="-0.4863775017010811"/>
        <n v="-0.48637399975303236"/>
        <n v="-0.4863378156035025"/>
        <n v="-0.4862403275108044"/>
        <n v="-0.48623040135420337"/>
        <n v="-0.48622177221539825"/>
        <n v="-0.48621026846164134"/>
        <n v="-0.48620783853850547"/>
        <n v="-0.48613225151773193"/>
        <n v="-0.4861227038785693"/>
        <n v="-0.4860562833325451"/>
        <n v="-0.4859494778875175"/>
        <n v="-0.4859097838490135"/>
        <n v="-0.48584643114712284"/>
        <n v="-0.48578836710146917"/>
        <n v="-0.4857026898116389"/>
        <n v="-0.48566140758807874"/>
        <n v="-0.48562067064138803"/>
        <n v="-0.485589118698272"/>
        <n v="-0.4855067792440348"/>
        <n v="-0.4854853228639259"/>
        <n v="-0.48546502850588313"/>
        <n v="-0.48533191212842497"/>
        <n v="-0.4850465417435817"/>
        <n v="-0.4848953888778356"/>
        <n v="-0.4847653932840128"/>
        <n v="-0.4846214110737953"/>
        <n v="-0.4845130650892633"/>
        <n v="-0.48437136986552676"/>
        <n v="-0.48426560468171087"/>
        <n v="-0.4841471154886201"/>
        <n v="-0.484068060930474"/>
        <n v="-0.48390883479069235"/>
        <n v="-0.4836150443780764"/>
        <n v="-0.4833201316480206"/>
        <n v="-0.4832119233061935"/>
        <n v="-0.4830686266625253"/>
        <n v="-0.48305096075075044"/>
        <n v="-0.4829484539932749"/>
        <n v="-0.4827970284890941"/>
        <n v="-0.48274861266765673"/>
        <n v="-0.48259274289229387"/>
        <n v="-0.48250817203805263"/>
        <n v="-0.48232877859503276"/>
        <n v="-0.48229014864051645"/>
        <n v="-0.4822385140973652"/>
        <n v="-0.4821638614587998"/>
        <n v="-0.48215019512639146"/>
        <n v="-0.48199775583074983"/>
        <n v="-0.48178082563392727"/>
        <n v="-0.4817656240559647"/>
        <n v="-0.48170462186795704"/>
        <n v="-0.4816095769332704"/>
        <n v="-0.4816069299581768"/>
        <n v="-0.4816052808926935"/>
        <n v="-0.48158739528198585"/>
        <n v="-0.48150929098789846"/>
        <n v="-0.481486942577183"/>
        <n v="-0.4813225654238692"/>
        <n v="-0.48131070697544975"/>
        <n v="-0.4812558748863854"/>
        <n v="-0.4811704172954878"/>
        <n v="-0.4811102409637095"/>
        <n v="-0.4810968102120845"/>
        <n v="-0.48102386487245447"/>
        <n v="-0.48081127571478544"/>
        <n v="-0.48056195713071737"/>
        <n v="-0.48055902957626384"/>
        <n v="-0.48053556678903403"/>
        <n v="-0.4804621661696879"/>
        <n v="-0.48028751875301084"/>
        <n v="-0.4802143298916722"/>
        <n v="-0.48017884983751735"/>
        <n v="-0.48013457653210145"/>
        <n v="-0.48009274373772187"/>
        <n v="-0.47995112792323813"/>
        <n v="-0.4798244304603819"/>
        <n v="-0.47980613986248505"/>
        <n v="-0.47970407250287506"/>
        <n v="-0.4796126830407927"/>
        <n v="-0.4795885664507147"/>
        <n v="-0.47954692159156675"/>
        <n v="-0.47953912889689115"/>
        <n v="-0.4794836959444806"/>
        <n v="-0.47936203038127745"/>
        <n v="-0.4793278049933169"/>
        <n v="-0.47912007038796955"/>
        <n v="-0.4788316956863951"/>
        <n v="-0.4788189505013193"/>
        <n v="-0.47870534233030115"/>
        <n v="-0.47861915682125283"/>
        <n v="-0.47833593048623546"/>
        <n v="-0.4781426933634759"/>
        <n v="-0.478122054898671"/>
        <n v="-0.47809614101250447"/>
        <n v="-0.47803942692414847"/>
        <n v="-0.4777803833535864"/>
        <n v="-0.4774300826696968"/>
        <n v="-0.4774076813194794"/>
        <n v="-0.4772630056017874"/>
        <n v="-0.4770074401564984"/>
        <n v="-0.47683772670139585"/>
        <n v="-0.47682840934906623"/>
        <n v="-0.47661211442626616"/>
        <n v="-0.4762795114178524"/>
        <n v="-0.47599940586647044"/>
        <n v="-0.47567527053138114"/>
        <n v="-0.47538507206396713"/>
        <n v="-0.47530120001115067"/>
        <n v="-0.47516143972620756"/>
        <n v="-0.475123085057101"/>
        <n v="-0.4748134763213255"/>
        <n v="-0.474695307412221"/>
        <n v="-0.4746751904015095"/>
        <n v="-0.47464170616657525"/>
        <n v="-0.47458954487538035"/>
        <n v="-0.47455466039062155"/>
        <n v="-0.47454645212085617"/>
        <n v="-0.4745372380005553"/>
        <n v="-0.47427087289688435"/>
        <n v="-0.4742421293943427"/>
        <n v="-0.47421342559642743"/>
        <n v="-0.47412699656567053"/>
        <n v="-0.47397923976896955"/>
        <n v="-0.47383395524700606"/>
        <n v="-0.473818883370823"/>
        <n v="-0.47376634620916475"/>
        <n v="-0.4737314114318792"/>
        <n v="-0.4737053016695557"/>
        <n v="-0.4735751763739533"/>
        <n v="-0.473518647573854"/>
        <n v="-0.4734797635097287"/>
        <n v="-0.47332361050803073"/>
        <n v="-0.4731716556088313"/>
        <n v="-0.47300166686831907"/>
        <n v="-0.4728887204410743"/>
        <n v="-0.47282347250501644"/>
        <n v="-0.47281702712066354"/>
        <n v="-0.47278638838395487"/>
        <n v="-0.47275940776682557"/>
        <n v="-0.4726673724428204"/>
        <n v="-0.4726225485665851"/>
        <n v="-0.4724661043976268"/>
        <n v="-0.47232787935823795"/>
        <n v="-0.4722759086492498"/>
        <n v="-0.4722393909808582"/>
        <n v="-0.47222949129400804"/>
        <n v="-0.47218851611955887"/>
        <n v="-0.4720900221763252"/>
        <n v="-0.4720886986887784"/>
        <n v="-0.47199389198185027"/>
        <n v="-0.4718987252863093"/>
        <n v="-0.47180782816159433"/>
        <n v="-0.47177207811597993"/>
        <n v="-0.47166084957557086"/>
        <n v="-0.4715865939832695"/>
        <n v="-0.47145623840083406"/>
        <n v="-0.4714229050434801"/>
        <n v="-0.471392959814246"/>
        <n v="-0.4713151652162445"/>
        <n v="-0.4710850186727795"/>
        <n v="-0.47095100232378945"/>
        <n v="-0.47035385268359403"/>
        <n v="-0.47028378989984093"/>
        <n v="-0.4702683209773938"/>
        <n v="-0.47025748690833563"/>
        <n v="-0.47024550405208687"/>
        <n v="-0.4701858677032276"/>
        <n v="-0.4701299635892503"/>
        <n v="-0.46992507712910375"/>
        <n v="-0.46991439393762585"/>
        <n v="-0.4696390661762878"/>
        <n v="-0.46901264893248223"/>
        <n v="-0.4690108754591695"/>
        <n v="-0.46869979235826686"/>
        <n v="-0.468601150184428"/>
        <n v="-0.4685298327344806"/>
        <n v="-0.46851896160777107"/>
        <n v="-0.4684440522126217"/>
        <n v="-0.4683923144374418"/>
        <n v="-0.4680704502069828"/>
        <n v="-0.46802885828733676"/>
        <n v="-0.4680248137093937"/>
        <n v="-0.46800554108373704"/>
        <n v="-0.4679323760451743"/>
        <n v="-0.46777877737444173"/>
        <n v="-0.4676727501400916"/>
        <n v="-0.4676525801898782"/>
        <n v="-0.4676486361969887"/>
        <n v="-0.4676067504631073"/>
        <n v="-0.4675175447554772"/>
        <n v="-0.46740066757021836"/>
        <n v="-0.4673630434662377"/>
        <n v="-0.4671976075228864"/>
        <n v="-0.467040308380973"/>
        <n v="-0.46696756156447494"/>
        <n v="-0.46694078211745277"/>
        <n v="-0.4668000821563514"/>
        <n v="-0.4667834988573899"/>
        <n v="-0.4667322269498264"/>
        <n v="-0.4666737817397593"/>
        <n v="-0.466454257507345"/>
        <n v="-0.4664105400666988"/>
        <n v="-0.46632536040818606"/>
        <n v="-0.4662609859739092"/>
        <n v="-0.4662536141482735"/>
        <n v="-0.4662469464180127"/>
        <n v="-0.46619737916240955"/>
        <n v="-0.4659713142545388"/>
        <n v="-0.4659371550409557"/>
        <n v="-0.4656825954462023"/>
        <n v="-0.4654743843853381"/>
        <n v="-0.46546015424723475"/>
        <n v="-0.46544272656321833"/>
        <n v="-0.4654303387197802"/>
        <n v="-0.4653417709331477"/>
        <n v="-0.4648780394255711"/>
        <n v="-0.4647872958254115"/>
        <n v="-0.4647018117647631"/>
        <n v="-0.4645474137075522"/>
        <n v="-0.4645229477167619"/>
        <n v="-0.4644043182339911"/>
        <n v="-0.4642520721675314"/>
        <n v="-0.46415089683852795"/>
        <n v="-0.4639815063143868"/>
        <n v="-0.46373633818726545"/>
        <n v="-0.4636745736704309"/>
        <n v="-0.46359614379840697"/>
        <n v="-0.4635314173164427"/>
        <n v="-0.4634448082913794"/>
        <n v="-0.4632917681323916"/>
        <n v="-0.46320612790021265"/>
        <n v="-0.46320562497494483"/>
        <n v="-0.46319645055927033"/>
        <n v="-0.46316145754853266"/>
        <n v="-0.46309466642599534"/>
        <n v="-0.46304279365508566"/>
        <n v="-0.4630233383881475"/>
        <n v="-0.46302209430985347"/>
        <n v="-0.46300010853472595"/>
        <n v="-0.46282415351235257"/>
        <n v="-0.4627693081884128"/>
        <n v="-0.4627586514666859"/>
        <n v="-0.4627192009498905"/>
        <n v="-0.4626268215191232"/>
        <n v="-0.4625564834499605"/>
        <n v="-0.4625411918748446"/>
        <n v="-0.4624610599978354"/>
        <n v="-0.4622527139412415"/>
        <n v="-0.46219185204291385"/>
        <n v="-0.4615599317378886"/>
        <n v="-0.46110996450079883"/>
        <n v="-0.4610899718979167"/>
        <n v="-0.46099477608564976"/>
        <n v="-0.4608687536014424"/>
        <n v="-0.4607793255479045"/>
        <n v="-0.46076412661691696"/>
        <n v="-0.46063952555833493"/>
        <n v="-0.460637037401747"/>
        <n v="-0.4606068460038291"/>
        <n v="-0.4605323865944456"/>
        <n v="-0.46043950953236057"/>
        <n v="-0.46022038499318546"/>
        <n v="-0.46016557143294673"/>
        <n v="-0.46007166205057526"/>
        <n v="-0.46004745016939397"/>
        <n v="-0.45996757769594393"/>
        <n v="-0.4599211629876773"/>
        <n v="-0.4598555338872061"/>
        <n v="-0.45981868534692777"/>
        <n v="-0.4596800420854742"/>
        <n v="-0.45946213250786694"/>
        <n v="-0.4593277905809404"/>
        <n v="-0.4591219882674115"/>
        <n v="-0.4590525501697806"/>
        <n v="-0.45901805479036045"/>
        <n v="-0.4588852534029384"/>
        <n v="-0.458830900416366"/>
        <n v="-0.45862021972773953"/>
        <n v="-0.45850344312753427"/>
        <n v="-0.45849329991897547"/>
        <n v="-0.4584898985559802"/>
        <n v="-0.45818210035116874"/>
        <n v="-0.45817859575614484"/>
        <n v="-0.45816685377462946"/>
        <n v="-0.45808559163925533"/>
        <n v="-0.4579751598383495"/>
        <n v="-0.4579204998026662"/>
        <n v="-0.45782466606940175"/>
        <n v="-0.45779871247860876"/>
        <n v="-0.4577932861796669"/>
        <n v="-0.4576212433864819"/>
        <n v="-0.45760606563129513"/>
        <n v="-0.4575826769593679"/>
        <n v="-0.45733807793189174"/>
        <n v="-0.45706668622251795"/>
        <n v="-0.45697038397466183"/>
        <n v="-0.4569227675397027"/>
        <n v="-0.45649399198521234"/>
        <n v="-0.45647445730902153"/>
        <n v="-0.45612224021516395"/>
        <n v="-0.45596537253019076"/>
        <n v="-0.45561223164202563"/>
        <n v="-0.455550239485333"/>
        <n v="-0.45553284885896794"/>
        <n v="-0.45552550615005827"/>
        <n v="-0.4554577938801883"/>
        <n v="-0.4554175201541389"/>
        <n v="-0.4554067204957569"/>
        <n v="-0.4553316628700022"/>
        <n v="-0.45526884750405555"/>
        <n v="-0.4551950154277692"/>
        <n v="-0.45517877623556974"/>
        <n v="-0.4551694324134893"/>
        <n v="-0.4550343572744619"/>
        <n v="-0.45498953075125137"/>
        <n v="-0.4549227475696394"/>
        <n v="-0.45488862806068264"/>
        <n v="-0.4548248359609264"/>
        <n v="-0.4547824578896776"/>
        <n v="-0.45474330912804284"/>
        <n v="-0.45467135375709794"/>
        <n v="-0.4546655145300414"/>
        <n v="-0.4542604638133152"/>
        <n v="-0.45411290553974626"/>
        <n v="-0.45407543496032093"/>
        <n v="-0.45385018267380406"/>
        <n v="-0.45375926966723856"/>
        <n v="-0.45360268785557545"/>
        <n v="-0.4534640472410969"/>
        <n v="-0.4533995642808412"/>
        <n v="-0.45319119175449635"/>
        <n v="-0.4529994687014903"/>
        <n v="-0.45293820446294847"/>
        <n v="-0.4528773505055462"/>
        <n v="-0.4527102734376368"/>
        <n v="-0.45267503161124034"/>
        <n v="-0.45263172180475864"/>
        <n v="-0.45259203306020485"/>
        <n v="-0.4524247601161386"/>
        <n v="-0.4523517671309569"/>
        <n v="-0.4522905611258671"/>
        <n v="-0.4522237673563547"/>
        <n v="-0.45216857792565274"/>
        <n v="-0.45208250094258323"/>
        <n v="-0.45197273088545087"/>
        <n v="-0.4518504035784742"/>
        <n v="-0.45180901547591046"/>
        <n v="-0.4515960663296286"/>
        <n v="-0.45158141002853536"/>
        <n v="-0.451390809292969"/>
        <n v="-0.45132947093912446"/>
        <n v="-0.451094559840491"/>
        <n v="-0.4509228505661678"/>
        <n v="-0.4509110450572503"/>
        <n v="-0.45064183710232875"/>
        <n v="-0.4505961873698642"/>
        <n v="-0.45056535011002347"/>
        <n v="-0.45045683471908543"/>
        <n v="-0.4502761680810455"/>
        <n v="-0.45023879279272355"/>
        <n v="-0.4501076987042369"/>
        <n v="-0.45000929211118135"/>
        <n v="-0.4498346526354296"/>
        <n v="-0.44972313557473537"/>
        <n v="-0.44952845055659957"/>
        <n v="-0.4494932457878544"/>
        <n v="-0.4493451554722917"/>
        <n v="-0.44931966774911514"/>
        <n v="-0.44890057218254226"/>
        <n v="-0.4488947064857348"/>
        <n v="-0.4488794016757435"/>
        <n v="-0.44887710939531245"/>
        <n v="-0.4488545730493654"/>
        <n v="-0.4486807753116933"/>
        <n v="-0.44864512849810756"/>
        <n v="-0.44857391428018883"/>
        <n v="-0.4484693693518912"/>
        <n v="-0.4481458348801481"/>
        <n v="-0.4480115353048232"/>
        <n v="-0.4477913996211622"/>
        <n v="-0.4476420969910065"/>
        <n v="-0.4476253548735394"/>
        <n v="-0.4475604245744929"/>
        <n v="-0.4474562528696835"/>
        <n v="-0.44706983421064134"/>
        <n v="-0.44702106634151645"/>
        <n v="-0.44699701592581575"/>
        <n v="-0.4469894905756246"/>
        <n v="-0.4469662395464023"/>
        <n v="-0.4469582245058188"/>
        <n v="-0.44695183206096767"/>
        <n v="-0.44678745490765387"/>
        <n v="-0.4467723565617199"/>
        <n v="-0.4466365032120149"/>
        <n v="-0.44660109197921244"/>
        <n v="-0.44650399034487814"/>
        <n v="-0.44648833613417443"/>
        <n v="-0.44641259823582063"/>
        <n v="-0.44634973257734717"/>
        <n v="-0.44629765863633036"/>
        <n v="-0.44624445443694866"/>
        <n v="-0.44613669608088724"/>
        <n v="-0.4460165498813879"/>
        <n v="-0.4460095883368917"/>
        <n v="-0.44597965104858284"/>
        <n v="-0.4459313702228752"/>
        <n v="-0.4458360791195049"/>
        <n v="-0.44581545918352555"/>
        <n v="-0.4458064329984563"/>
        <n v="-0.4457064038096684"/>
        <n v="-0.4456877955747603"/>
        <n v="-0.4455868664144405"/>
        <n v="-0.44547646108328554"/>
        <n v="-0.445267164762633"/>
        <n v="-0.44518026457030946"/>
        <n v="-0.44462794674727474"/>
        <n v="-0.44455134328806534"/>
        <n v="-0.44451533119191655"/>
        <n v="-0.4445061064837153"/>
        <n v="-0.4444885570388446"/>
        <n v="-0.44448633357976597"/>
        <n v="-0.44437299010625714"/>
        <n v="-0.4443680667325831"/>
        <n v="-0.4441028398282022"/>
        <n v="-0.4439903433867234"/>
        <n v="-0.4436892235000732"/>
        <n v="-0.44368445894490466"/>
        <n v="-0.44366455369220065"/>
        <n v="-0.4435375782969597"/>
        <n v="-0.4434493016775874"/>
        <n v="-0.44320916809709415"/>
        <n v="-0.4431590873283229"/>
        <n v="-0.4431172386520927"/>
        <n v="-0.44306128159861363"/>
        <n v="-0.4429221036481911"/>
        <n v="-0.44291638618198886"/>
        <n v="-0.44289653386878675"/>
        <n v="-0.44277389951269924"/>
        <n v="-0.44275314722796527"/>
        <n v="-0.44265986782566613"/>
        <n v="-0.44265486504273915"/>
        <n v="-0.44265118574735907"/>
        <n v="-0.44261537217434227"/>
        <n v="-0.4421500868923858"/>
        <n v="-0.44206175733351155"/>
        <n v="-0.44202964952562607"/>
        <n v="-0.44194828151124815"/>
        <n v="-0.44186463709828966"/>
        <n v="-0.4416816517100678"/>
        <n v="-0.44167807829369143"/>
        <n v="-0.4416631758239143"/>
        <n v="-0.44166269936839747"/>
        <n v="-0.441622227119216"/>
        <n v="-0.4416009983789651"/>
        <n v="-0.441494034115432"/>
        <n v="-0.4413486887130412"/>
        <n v="-0.4413310069194159"/>
        <n v="-0.44127152938906217"/>
        <n v="-0.44116975319671253"/>
        <n v="-0.44104388953101087"/>
        <n v="-0.4409825591180917"/>
        <n v="-0.44094666613582223"/>
        <n v="-0.44091868760908265"/>
        <n v="-0.44088774447023826"/>
        <n v="-0.44085799247018587"/>
        <n v="-0.44077344808569574"/>
        <n v="-0.4407312288329525"/>
        <n v="-0.44069014777949944"/>
        <n v="-0.44065046962284615"/>
        <n v="-0.4406487755587862"/>
        <n v="-0.4405801659643595"/>
        <n v="-0.44050515069020635"/>
        <n v="-0.44048122203536005"/>
        <n v="-0.44043797046233024"/>
        <n v="-0.44039712763663563"/>
        <n v="-0.44033103266854795"/>
        <n v="-0.4401455326539871"/>
        <n v="-0.4400448152516748"/>
        <n v="-0.4400109869099784"/>
        <n v="-0.43943307283778826"/>
        <n v="-0.4394164498342003"/>
        <n v="-0.4392483139762535"/>
        <n v="-0.43885161181897264"/>
        <n v="-0.43864784767626575"/>
        <n v="-0.43860359025270046"/>
        <n v="-0.4385694178042418"/>
        <n v="-0.43838103258682887"/>
        <n v="-0.43833259294261556"/>
        <n v="-0.43816707759001156"/>
        <n v="-0.4381033648995081"/>
        <n v="-0.4380308377819428"/>
        <n v="-0.43799200665731947"/>
        <n v="-0.43790314770342653"/>
        <n v="-0.4378939362301008"/>
        <n v="-0.43786553418734636"/>
        <n v="-0.4376407001228942"/>
        <n v="-0.43763469148943157"/>
        <n v="-0.43727803806531723"/>
        <n v="-0.43709846727496604"/>
        <n v="-0.43705402456314413"/>
        <n v="-0.437053680456382"/>
        <n v="-0.43703115469833526"/>
        <n v="-0.4370230284847978"/>
        <n v="-0.4369403899223751"/>
        <n v="-0.4368596042425177"/>
        <n v="-0.43685258975851965"/>
        <n v="-0.43674520197897143"/>
        <n v="-0.43674088740956885"/>
        <n v="-0.4364893718361731"/>
        <n v="-0.43647367527386793"/>
        <n v="-0.4364652578930702"/>
        <n v="-0.4364607315656602"/>
        <n v="-0.43640347749438513"/>
        <n v="-0.4363102245618369"/>
        <n v="-0.43618444030538805"/>
        <n v="-0.43584946560729043"/>
        <n v="-0.4358373689311125"/>
        <n v="-0.4357577743900474"/>
        <n v="-0.4357064230732311"/>
        <n v="-0.43539770636806213"/>
        <n v="-0.4353454021402122"/>
        <n v="-0.43530442696576305"/>
        <n v="-0.43513062658111595"/>
        <n v="-0.43509036608994195"/>
        <n v="-0.4349967425808805"/>
        <n v="-0.4349591025950493"/>
        <n v="-0.4348742670432987"/>
        <n v="-0.4347373654914567"/>
        <n v="-0.4346723822529084"/>
        <n v="-0.43463098356244406"/>
        <n v="-0.43460657845208095"/>
        <n v="-0.43429415598178095"/>
        <n v="-0.4339431670843668"/>
        <n v="-0.4339036477462191"/>
        <n v="-0.4338730487141369"/>
        <n v="-0.433865531304871"/>
        <n v="-0.43368450467821834"/>
        <n v="-0.43364000902689454"/>
        <n v="-0.433561817382629"/>
        <n v="-0.4335164746992753"/>
        <n v="-0.4334897931903316"/>
        <n v="-0.43341430146066157"/>
        <n v="-0.43340355474178144"/>
        <n v="-0.4332920376810872"/>
        <n v="-0.4332608827842353"/>
        <n v="-0.43325728289810794"/>
        <n v="-0.4332388599514564"/>
        <n v="-0.4330234755880885"/>
        <n v="-0.4328709039436922"/>
        <n v="-0.432725373253045"/>
        <n v="-0.43262380881870277"/>
        <n v="-0.43262206181514096"/>
        <n v="-0.43239839241973005"/>
        <n v="-0.43234637935914044"/>
        <n v="-0.43227289933054147"/>
        <n v="-0.4321302273729954"/>
        <n v="-0.43204152723760814"/>
        <n v="-0.4319368393726555"/>
        <n v="-0.43189287311635044"/>
        <n v="-0.4318749266252157"/>
        <n v="-0.43180110248985465"/>
        <n v="-0.4317588038278586"/>
        <n v="-0.4316501984397673"/>
        <n v="-0.43163709591305394"/>
        <n v="-0.43154281066021916"/>
        <n v="-0.4314729305177476"/>
        <n v="-0.43138939198379295"/>
        <n v="-0.43128978631102"/>
        <n v="-0.4309144187729937"/>
        <n v="-0.43088111982631594"/>
        <n v="-0.43075872369798696"/>
        <n v="-0.4307315127940245"/>
        <n v="-0.4306429714771429"/>
        <n v="-0.4305446363524149"/>
        <n v="-0.43051890775450496"/>
        <n v="-0.4301485959389075"/>
        <n v="-0.4300075915756703"/>
        <n v="-0.4299290822943935"/>
        <n v="-0.42990737709862586"/>
        <n v="-0.42983302356824604"/>
        <n v="-0.4296925221302767"/>
        <n v="-0.42960735570663944"/>
        <n v="-0.42955959104107505"/>
        <n v="-0.42938567154254875"/>
        <n v="-0.429367923574546"/>
        <n v="-0.429310272457007"/>
        <n v="-0.42906542726084707"/>
        <n v="-0.4289577747837896"/>
        <n v="-0.4289194730541849"/>
        <n v="-0.4287954887407997"/>
        <n v="-0.42877301592225486"/>
        <n v="-0.42872526449156595"/>
        <n v="-0.4285983155660759"/>
        <n v="-0.42854302025637014"/>
        <n v="-0.42846678737367394"/>
        <n v="-0.42837274034859757"/>
        <n v="-0.4282465590458847"/>
        <n v="-0.4281191866043797"/>
        <n v="-0.42810961778941625"/>
        <n v="-0.4280794819779754"/>
        <n v="-0.4280049960988409"/>
        <n v="-0.4278794500701505"/>
        <n v="-0.42785740076762063"/>
        <n v="-0.42779125286003106"/>
        <n v="-0.42749937091645757"/>
        <n v="-0.4273186619268161"/>
        <n v="-0.42731717962076365"/>
        <n v="-0.42696134675892833"/>
        <n v="-0.4269415209154771"/>
        <n v="-0.42685080907901873"/>
        <n v="-0.4267424683884368"/>
        <n v="-0.4265364807866513"/>
        <n v="-0.42652443704997534"/>
        <n v="-0.4264419308363072"/>
        <n v="-0.4264222108718597"/>
        <n v="-0.42637567704971385"/>
        <n v="-0.42630436754069173"/>
        <n v="-0.42616931887141524"/>
        <n v="-0.42598720698497416"/>
        <n v="-0.42588958654352144"/>
        <n v="-0.42588768072145405"/>
        <n v="-0.4256952721018988"/>
        <n v="-0.4256897134542022"/>
        <n v="-0.4256685376534532"/>
        <n v="-0.4256199921302362"/>
        <n v="-0.42544354477049545"/>
        <n v="-0.42529036432182765"/>
        <n v="-0.42526119465629597"/>
        <n v="-0.4248867270898015"/>
        <n v="-0.42460744474767365"/>
        <n v="-0.4245337794308182"/>
        <n v="-0.42441347441281313"/>
        <n v="-0.42434986760131344"/>
        <n v="-0.42424592088938695"/>
        <n v="-0.4242409975157128"/>
        <n v="-0.42413975071838184"/>
        <n v="-0.4240251102270772"/>
        <n v="-0.42396084167180403"/>
        <n v="-0.42385205099545625"/>
        <n v="-0.42376046565721703"/>
        <n v="-0.423738892810204"/>
        <n v="-0.4235171027671095"/>
        <n v="-0.4234952916923381"/>
        <n v="-0.4234523312865686"/>
        <n v="-0.4234380376210631"/>
        <n v="-0.4234294878915107"/>
        <n v="-0.4234214146174751"/>
        <n v="-0.42321264769184136"/>
        <n v="-0.4231911277843302"/>
        <n v="-0.42308469291581574"/>
        <n v="-0.4229935046238405"/>
        <n v="-0.42292934194757115"/>
        <n v="-0.42280064601851935"/>
        <n v="-0.42274950645971054"/>
        <n v="-0.4225044495055432"/>
        <n v="-0.42245825979015955"/>
        <n v="-0.42245330994673447"/>
        <n v="-0.42226084838767736"/>
        <n v="-0.4221905182594398"/>
        <n v="-0.4221729423448182"/>
        <n v="-0.4221623544444437"/>
        <n v="-0.42198172486405505"/>
        <n v="-0.42177867540462344"/>
        <n v="-0.42167419929767824"/>
        <n v="-0.42165106473536"/>
        <n v="-0.4214171515463368"/>
        <n v="-0.4214082312402713"/>
        <n v="-0.42135759460673033"/>
        <n v="-0.4212152667559464"/>
        <n v="-0.42119734673456255"/>
        <n v="-0.421094273524417"/>
        <n v="-0.4210678037734808"/>
        <n v="-0.42106047165247146"/>
        <n v="-0.4210066057093163"/>
        <n v="-0.4209561675989073"/>
        <n v="-0.4209079264778261"/>
        <n v="-0.42085334585139567"/>
        <n v="-0.4207711837444897"/>
        <n v="-0.4207322467408625"/>
        <n v="-0.4207318232248476"/>
        <n v="-0.4206123917086234"/>
        <n v="-0.4206102741285485"/>
        <n v="-0.4205083391176932"/>
        <n v="-0.42034118264053105"/>
        <n v="-0.42031455407108925"/>
        <n v="-0.4203051573095069"/>
        <n v="-0.4202458650674098"/>
        <n v="-0.41994048355085883"/>
        <n v="-0.4198155992659418"/>
        <n v="-0.41976316268933717"/>
        <n v="-0.4197293343476407"/>
        <n v="-0.4197142465896071"/>
        <n v="-0.41966705102368784"/>
        <n v="-0.4195509282263307"/>
        <n v="-0.4195169675358796"/>
        <n v="-0.41947141309451835"/>
        <n v="-0.41934253187721"/>
        <n v="-0.4192535670443134"/>
        <n v="-0.41924628786280593"/>
        <n v="-0.41920909786274063"/>
        <n v="-0.4190656053429154"/>
        <n v="-0.4189542471007268"/>
        <n v="-0.41873063064481775"/>
        <n v="-0.418705669669685"/>
        <n v="-0.41856302418188973"/>
        <n v="-0.4184369487581806"/>
        <n v="-0.4182703481457882"/>
        <n v="-0.4182155292915993"/>
        <n v="-0.4181623780317194"/>
        <n v="-0.4180092505225534"/>
        <n v="-0.41784781151159356"/>
        <n v="-0.4178382559315056"/>
        <n v="-0.41778515761112756"/>
        <n v="-0.4177019102444332"/>
        <n v="-0.4176893900522404"/>
        <n v="-0.41741045181687464"/>
        <n v="-0.41720049375244866"/>
        <n v="-0.4169495869833244"/>
        <n v="-0.4167965918229131"/>
        <n v="-0.4167516461858235"/>
        <n v="-0.4166281647977061"/>
        <n v="-0.4165740606267925"/>
        <n v="-0.41646391999314697"/>
        <n v="-0.4161355097932815"/>
        <n v="-0.41611385753701563"/>
        <n v="-0.4161129310957329"/>
        <n v="-0.41595329202783665"/>
        <n v="-0.41594355115949216"/>
        <n v="-0.4158490541486499"/>
        <n v="-0.415681791792484"/>
        <n v="-0.41560505598451997"/>
        <n v="-0.41546238402697383"/>
        <n v="-0.4153295058772741"/>
        <n v="-0.41495273544244815"/>
        <n v="-0.41490143706513377"/>
        <n v="-0.4148737232359036"/>
        <n v="-0.41483723468423805"/>
        <n v="-0.414738727506129"/>
        <n v="-0.4144910500466189"/>
        <n v="-0.4142820448932267"/>
        <n v="-0.4142765391850319"/>
        <n v="-0.4142533516832118"/>
        <n v="-0.41422804660131685"/>
        <n v="-0.4141375994623678"/>
        <n v="-0.41412094998902893"/>
        <n v="-0.4140760308216902"/>
        <n v="-0.4139185622733707"/>
        <n v="-0.4138718431629683"/>
        <n v="-0.4138004807144443"/>
        <n v="-0.41378179307028334"/>
        <n v="-0.41369060477830816"/>
        <n v="-0.4136613292337727"/>
        <n v="-0.4135510297816215"/>
        <n v="-0.4134243984931427"/>
        <n v="-0.4132438483220069"/>
        <n v="-0.4132005173397243"/>
        <n v="-0.41295842499766183"/>
        <n v="-0.4129178998089785"/>
        <n v="-0.4127818452891664"/>
        <n v="-0.4127378525631104"/>
        <n v="-0.4126929333957717"/>
        <n v="-0.4125513466980139"/>
        <n v="-0.41251984769439987"/>
        <n v="-0.412259650042697"/>
        <n v="-0.412212772113789"/>
        <n v="-0.4118911646399141"/>
        <n v="-0.4118797826470115"/>
        <n v="-0.4117815798710382"/>
        <n v="-0.4116664893939676"/>
        <n v="-0.4115604251019662"/>
        <n v="-0.41153641703786714"/>
        <n v="-0.4110798138342176"/>
        <n v="-0.4108628677555445"/>
        <n v="-0.410747300822957"/>
        <n v="-0.41066360347049674"/>
        <n v="-0.41065370378364663"/>
        <n v="-0.41064115712170285"/>
        <n v="-0.41063538671599875"/>
        <n v="-0.41056301841693915"/>
        <n v="-0.4105434837407482"/>
        <n v="-0.4103460458685151"/>
        <n v="-0.4099226357325396"/>
        <n v="-0.4098988923659498"/>
        <n v="-0.4095916579668333"/>
        <n v="-0.40955645319808814"/>
        <n v="-0.4094029815821601"/>
        <n v="-0.40938347337572006"/>
        <n v="-0.4092388691263556"/>
        <n v="-0.409200540927"/>
        <n v="-0.40909085027912034"/>
        <n v="-0.40892517610801066"/>
        <n v="-0.40888041575917755"/>
        <n v="-0.40874632000093475"/>
        <n v="-0.40863072659859634"/>
        <n v="-0.4085340590681773"/>
        <n v="-0.40851359795070363"/>
        <n v="-0.40844259284381723"/>
        <n v="-0.4083420474948861"/>
        <n v="-0.4082149132811395"/>
        <n v="-0.40805050965807477"/>
        <n v="-0.40799301735904137"/>
        <n v="-0.4078128112946677"/>
        <n v="-0.4078065644334467"/>
        <n v="-0.40759716223379044"/>
        <n v="-0.40755814582091043"/>
        <n v="-0.4074809070876786"/>
        <n v="-0.4074727808741412"/>
        <n v="-0.4073477907102204"/>
        <n v="-0.40729773641120004"/>
        <n v="-0.40729276009802406"/>
        <n v="-0.40715438947500504"/>
        <n v="-0.4070983927168995"/>
        <n v="-0.40683774507943077"/>
        <n v="-0.4065782621110031"/>
        <n v="-0.40655438639565866"/>
        <n v="-0.4065467101678872"/>
        <n v="-0.40646277458766844"/>
        <n v="-0.4063530574700379"/>
        <n v="-0.4062959357475176"/>
        <n v="-0.406273158526837"/>
        <n v="-0.40621628826695055"/>
        <n v="-0.4059719195263075"/>
        <n v="-0.4059370853340755"/>
        <n v="-0.4054042227779788"/>
        <n v="-0.40534871571026554"/>
        <n v="-0.40531316683475827"/>
        <n v="-0.4053023407066253"/>
        <n v="-0.4051956146708506"/>
        <n v="-0.4050133969054057"/>
        <n v="-0.4049888594462879"/>
        <n v="-0.404871413161384"/>
        <n v="-0.4046980362927518"/>
        <n v="-0.404635302983033"/>
        <n v="-0.40461378307552187"/>
        <n v="-0.4045030601073557"/>
        <n v="-0.40421469864065673"/>
        <n v="-0.40391881976469185"/>
        <n v="-0.4038844884977276"/>
        <n v="-0.40385637762223336"/>
        <n v="-0.40357698940110176"/>
        <n v="-0.4034832070735348"/>
        <n v="-0.4033647946427217"/>
        <n v="-0.40334662315870395"/>
        <n v="-0.40333608819783134"/>
        <n v="-0.4030578646457409"/>
        <n v="-0.40297922301570943"/>
        <n v="-0.4028149782111503"/>
        <n v="-0.40277604120752314"/>
        <n v="-0.40275004791210384"/>
        <n v="-0.4027210635348286"/>
        <n v="-0.4027208782465721"/>
        <n v="-0.4025942998975952"/>
        <n v="-0.40250477919992894"/>
        <n v="-0.4020982832348017"/>
        <n v="-0.40204476139840867"/>
        <n v="-0.40192564751919574"/>
        <n v="-0.4019183683376883"/>
        <n v="-0.4019080451348232"/>
        <n v="-0.4018793783945593"/>
        <n v="-0.4018404413909321"/>
        <n v="-0.4017950987075784"/>
        <n v="-0.40162545407382827"/>
        <n v="-0.40161243095636767"/>
        <n v="-0.40160713700618045"/>
        <n v="-0.4011815563506282"/>
        <n v="-0.40101373812969265"/>
        <n v="-0.40094001987333533"/>
        <n v="-0.4007486171043156"/>
        <n v="-0.4007076154601154"/>
        <n v="-0.40070343323946755"/>
        <n v="-0.4006984304565406"/>
        <n v="-0.4006605522429509"/>
        <n v="-0.40059392787984444"/>
        <n v="-0.4005196802284684"/>
        <n v="-0.40041763933860935"/>
        <n v="-0.40039074607165814"/>
        <n v="-0.4003693320431507"/>
        <n v="-0.400194128761704"/>
        <n v="-0.4001132636725939"/>
        <n v="-0.4000548978717796"/>
        <n v="-0.3999645301420834"/>
        <n v="-0.39989978513129343"/>
        <n v="-0.39986908022020745"/>
        <n v="-0.39985785704581045"/>
        <n v="-0.39971750119147126"/>
        <n v="-0.39947926019817"/>
        <n v="-0.39943150876748107"/>
        <n v="-0.39942682362156534"/>
        <n v="-0.39901063972759543"/>
        <n v="-0.39886428847466915"/>
        <n v="-0.39876920912930636"/>
        <n v="-0.3986806678124247"/>
        <n v="-0.39837814502897484"/>
        <n v="-0.3983769274204318"/>
        <n v="-0.39824674918532754"/>
        <n v="-0.3981869275482118"/>
        <n v="-0.39783591218104675"/>
        <n v="-0.39770104880002677"/>
        <n v="-0.3970649806850298"/>
        <n v="-0.39689025385909993"/>
        <n v="-0.396755813994095"/>
        <n v="-0.39661038918245145"/>
        <n v="-0.39654889995102666"/>
        <n v="-0.3965198891040006"/>
        <n v="-0.39643481532449165"/>
        <n v="-0.3964167894241041"/>
        <n v="-0.3960660122846975"/>
        <n v="-0.3960302516511827"/>
        <n v="-0.3959387986616981"/>
        <n v="-0.3959384810246869"/>
        <n v="-0.3957518428108357"/>
        <n v="-0.3957070030527498"/>
        <n v="-0.39567754221995777"/>
        <n v="-0.3956667425615758"/>
        <n v="-0.3956625603409279"/>
        <n v="-0.3956565914120918"/>
        <n v="-0.3955062564616496"/>
        <n v="-0.3953756282407795"/>
        <n v="-0.3953687328706606"/>
        <n v="-0.3953229269666655"/>
        <n v="-0.39527086096657393"/>
        <n v="-0.3952259947387371"/>
        <n v="-0.3951065632225129"/>
        <n v="-0.3949547327311429"/>
        <n v="-0.3949145781189727"/>
        <n v="-0.39486182390535685"/>
        <n v="-0.39476618869522434"/>
        <n v="-0.3947583801186982"/>
        <n v="-0.3946508864601462"/>
        <n v="-0.39456925374825896"/>
        <n v="-0.39453627243859246"/>
        <n v="-0.39448867982640917"/>
        <n v="-0.39447698019649535"/>
        <n v="-0.39442282308607984"/>
        <n v="-0.3943759980966738"/>
        <n v="-0.3943519900325746"/>
        <n v="-0.3943005593065056"/>
        <n v="-0.3941768396906297"/>
        <n v="-0.3941055301816076"/>
        <n v="-0.39399250434511"/>
        <n v="-0.393971355014112"/>
        <n v="-0.3936777790064786"/>
        <n v="-0.3936694410349337"/>
        <n v="-0.3936482652341847"/>
        <n v="-0.3935454567215485"/>
        <n v="-0.39354254504894554"/>
        <n v="-0.3935056462161404"/>
        <n v="-0.39350215220901685"/>
        <n v="-0.39347311489223985"/>
        <n v="-0.3934160725789723"/>
        <n v="-0.39338200600951745"/>
        <n v="-0.3932488366925574"/>
        <n v="-0.39323636943986645"/>
        <n v="-0.3932147436533516"/>
        <n v="-0.3930792185285582"/>
        <n v="-0.3930076707917776"/>
        <n v="-0.3929506020087592"/>
        <n v="-0.3927789986134398"/>
        <n v="-0.39269238958837654"/>
        <n v="-0.3925904810472721"/>
        <n v="-0.39231543386529405"/>
        <n v="-0.3921558742066506"/>
        <n v="-0.39213496310341106"/>
        <n v="-0.39207236214244695"/>
        <n v="-0.3919680977935092"/>
        <n v="-0.3917319611454073"/>
        <n v="-0.39172597898169575"/>
        <n v="-0.391567822219852"/>
        <n v="-0.39127480207698817"/>
        <n v="-0.39122416544344724"/>
        <n v="-0.39118559901633315"/>
        <n v="-0.3909964197063921"/>
        <n v="-0.3907914644248931"/>
        <n v="-0.3907213460546631"/>
        <n v="-0.39060339684449136"/>
        <n v="-0.39045209574814"/>
        <n v="-0.3904282994420484"/>
        <n v="-0.39029555364110335"/>
        <n v="-0.39019192456618806"/>
        <n v="-0.38998982801779014"/>
        <n v="-0.3898519470851635"/>
        <n v="-0.38931037598100876"/>
        <n v="-0.38924481040793985"/>
        <n v="-0.3887661314320095"/>
        <n v="-0.3886158361861937"/>
        <n v="-0.3885861106558924"/>
        <n v="-0.3885532881647315"/>
        <n v="-0.3884285362285692"/>
        <n v="-0.388359741345886"/>
        <n v="-0.3882579916232872"/>
        <n v="-0.3878954883842159"/>
        <n v="-0.3877614985049769"/>
        <n v="-0.38762147352252435"/>
        <n v="-0.3871842197068092"/>
        <n v="-0.3871052604397665"/>
        <n v="-0.38701229867447856"/>
        <n v="-0.3870057871157483"/>
        <n v="-0.3869753998416735"/>
        <n v="-0.3869456478416212"/>
        <n v="-0.38680414055311624"/>
        <n v="-0.38671655214726836"/>
        <n v="-0.3864866623603874"/>
        <n v="-0.386413394089796"/>
        <n v="-0.3861381616195614"/>
        <n v="-0.3855907671702007"/>
        <n v="-0.3854809706433174"/>
        <n v="-0.3854525686005628"/>
        <n v="-0.3853810473335331"/>
        <n v="-0.38536235968937216"/>
        <n v="-0.385339622173318"/>
        <n v="-0.3852542042870469"/>
        <n v="-0.3850758775749897"/>
        <n v="-0.38503572296281946"/>
        <n v="-0.38501256193075023"/>
        <n v="-0.38490964753911033"/>
        <n v="-0.3849094357811028"/>
        <n v="-0.38486959880594385"/>
        <n v="-0.3848512552685451"/>
        <n v="-0.38474143227191077"/>
        <n v="-0.38447819059885024"/>
        <n v="-0.3844505561788728"/>
        <n v="-0.38442837452758827"/>
        <n v="-0.3843264659864839"/>
        <n v="-0.38411629616405046"/>
        <n v="-0.38354081730894646"/>
        <n v="-0.38309167857506093"/>
        <n v="-0.38304683881697504"/>
        <n v="-0.38303847437567917"/>
        <n v="-0.38260722919342655"/>
        <n v="-0.3823707219688116"/>
        <n v="-0.38216836072290433"/>
        <n v="-0.38215033482251676"/>
        <n v="-0.38177419966171333"/>
        <n v="-0.3815977258322217"/>
        <n v="-0.3815445481025908"/>
        <n v="-0.3815326102449186"/>
        <n v="-0.38135502468588756"/>
        <n v="-0.38092187368156755"/>
        <n v="-0.38085051123304353"/>
        <n v="-0.3808295471903021"/>
        <n v="-0.3803228632178813"/>
        <n v="-0.38004739251988817"/>
        <n v="-0.37979679015289974"/>
        <n v="-0.37977745399984086"/>
        <n v="-0.3797082885406445"/>
        <n v="-0.37968179231995736"/>
        <n v="-0.379662866448038"/>
        <n v="-0.37958779823438293"/>
        <n v="-0.3794345383764623"/>
        <n v="-0.3793501528104777"/>
        <n v="-0.3792103660557836"/>
        <n v="-0.37920233248637447"/>
        <n v="-0.3790527386889585"/>
        <n v="-0.3788242253291263"/>
        <n v="-0.3784897535562964"/>
        <n v="-0.3783545195987633"/>
        <n v="-0.3782682546804622"/>
        <n v="-0.3782004656483146"/>
        <n v="-0.3780739667085905"/>
        <n v="-0.37767199707087334"/>
        <n v="-0.3774160875188221"/>
        <n v="-0.37704220228684826"/>
        <n v="-0.3770340496035599"/>
        <n v="-0.37690553896276463"/>
        <n v="-0.3767231094393123"/>
        <n v="-0.376674272748835"/>
        <n v="-0.37662755363843264"/>
        <n v="-0.3765657467699966"/>
        <n v="-0.3762124020647492"/>
        <n v="-0.37603992516764895"/>
        <n v="-0.3756947596154408"/>
        <n v="-0.37554152622727116"/>
        <n v="-0.37541658900285224"/>
        <n v="-0.37522259219824083"/>
        <n v="-0.37512783048988924"/>
        <n v="-0.37503071297370427"/>
        <n v="-0.374987699628433"/>
        <n v="-0.3746663039125656"/>
        <n v="-0.37452371136427226"/>
        <n v="-0.3743226736059118"/>
        <n v="-0.3742753721609888"/>
        <n v="-0.3742713487588465"/>
        <n v="-0.37407303738483244"/>
        <n v="-0.37403412685095627"/>
        <n v="-0.3736024316829377"/>
        <n v="-0.3735996523590894"/>
        <n v="-0.37332039648671245"/>
        <n v="-0.3729639283508546"/>
        <n v="-0.3727721285355709"/>
        <n v="-0.37273970309067406"/>
        <n v="-0.37260743374524585"/>
        <n v="-0.3725760803252619"/>
        <n v="-0.37238077326797914"/>
        <n v="-0.3723057579938259"/>
        <n v="-0.3718996326052118"/>
        <n v="-0.3718498430037007"/>
        <n v="-0.37174197876863574"/>
        <n v="-0.3712748406041136"/>
        <n v="-0.3711768231163969"/>
        <n v="-0.3711102781625432"/>
        <n v="-0.37084258957132543"/>
        <n v="-0.37083229283821123"/>
        <n v="-0.3706519808948338"/>
        <n v="-0.37040237114350544"/>
        <n v="-0.37029154229633554"/>
        <n v="-0.36977228519222005"/>
        <n v="-0.36913073783877925"/>
        <n v="-0.3690837010913656"/>
        <n v="-0.3688278444788163"/>
        <n v="-0.36872516831493474"/>
        <n v="-0.36868731657109605"/>
        <n v="-0.36859268721149907"/>
        <n v="-0.3685327332256286"/>
        <n v="-0.3683789969121911"/>
        <n v="-0.3681970173745047"/>
        <n v="-0.3681125523992673"/>
        <n v="-0.3678559546336917"/>
        <n v="-0.36784041688989216"/>
        <n v="-0.36781474123148405"/>
        <n v="-0.3676709046048967"/>
        <n v="-0.36750062469712413"/>
        <n v="-0.3673775668250217"/>
        <n v="-0.36732880954379726"/>
        <n v="-0.3670344923831376"/>
        <n v="-0.3670245662265365"/>
        <n v="-0.3668184992154982"/>
        <n v="-0.3667981969165301"/>
        <n v="-0.36647875996223206"/>
        <n v="-0.36611453618934986"/>
        <n v="-0.36599412529234104"/>
        <n v="-0.36599110774073434"/>
        <n v="-0.3658635500109728"/>
        <n v="-0.36579311400373155"/>
        <n v="-0.3655028202452142"/>
        <n v="-0.3649505818314322"/>
        <n v="-0.3648787164576404"/>
        <n v="-0.3648766782868183"/>
        <n v="-0.3646075735639254"/>
        <n v="-0.36446128848537646"/>
        <n v="-0.36417560046352204"/>
        <n v="-0.3641702535738329"/>
        <n v="-0.3641504806698836"/>
        <n v="-0.36412406385844925"/>
        <n v="-0.36392567307518237"/>
        <n v="-0.36378039384716904"/>
        <n v="-0.3637261176228744"/>
        <n v="-0.363668201807826"/>
        <n v="-0.3635062863413492"/>
        <n v="-0.36322597167893483"/>
        <n v="-0.36319727846891997"/>
        <n v="-0.3628860206676611"/>
        <n v="-0.36276759500197253"/>
        <n v="-0.36262574360670546"/>
        <n v="-0.3625302672150786"/>
        <n v="-0.36217101975537247"/>
        <n v="-0.3621204095915824"/>
        <n v="-0.3620488089153"/>
        <n v="-0.3619783199685569"/>
        <n v="-0.3619030135271434"/>
        <n v="-0.36178683779028437"/>
        <n v="-0.36153002826670133"/>
        <n v="-0.36152701071509463"/>
        <n v="-0.3614377282451868"/>
        <n v="-0.361318984942487"/>
        <n v="-0.3610613813263759"/>
        <n v="-0.3610342233619153"/>
        <n v="-0.3608754048562981"/>
        <n v="-0.36068585496984396"/>
        <n v="-0.36064625622244334"/>
        <n v="-0.3605059665424815"/>
        <n v="-0.36032703102615277"/>
        <n v="-0.36015849812194195"/>
        <n v="-0.3601527277162379"/>
        <n v="-0.3598794143029461"/>
        <n v="-0.3598770187904864"/>
        <n v="-0.3598611898794265"/>
        <n v="-0.3596750810605941"/>
        <n v="-0.359468087608273"/>
        <n v="-0.359382193266485"/>
        <n v="-0.35928661099585435"/>
        <n v="-0.3592836199139986"/>
        <n v="-0.359275149593699"/>
        <n v="-0.35904920379970756"/>
        <n v="-0.35901211967864594"/>
        <n v="-0.3584396054356468"/>
        <n v="-0.3584357143822592"/>
        <n v="-0.3584067035352331"/>
        <n v="-0.3579771788867913"/>
        <n v="-0.3575588244732446"/>
        <n v="-0.35749947929164566"/>
        <n v="-0.3572547664442405"/>
        <n v="-0.35716593396009855"/>
        <n v="-0.3570763867926814"/>
        <n v="-0.3569897910024936"/>
        <n v="-0.35680025435091495"/>
        <n v="-0.3566186718594926"/>
        <n v="-0.3565415919447663"/>
        <n v="-0.3564593768983585"/>
        <n v="-0.3562491541364232"/>
        <n v="-0.3561728153747232"/>
        <n v="-0.355950072420595"/>
        <n v="-0.3557029508258546"/>
        <n v="-0.3556955392955925"/>
        <n v="-0.3556829396941468"/>
        <n v="-0.35537080839110713"/>
        <n v="-0.3553473297220267"/>
        <n v="-0.3552921402913248"/>
        <n v="-0.3549906233584105"/>
        <n v="-0.354656389813339"/>
        <n v="-0.35453762004088824"/>
        <n v="-0.35452859385581903"/>
        <n v="-0.3545166030586449"/>
        <n v="-0.3540866284244373"/>
        <n v="-0.35400068114314737"/>
        <n v="-0.3539120074775111"/>
        <n v="-0.3538612649649664"/>
        <n v="-0.3536645682457595"/>
        <n v="-0.35338990487516997"/>
        <n v="-0.3533827183377908"/>
        <n v="-0.35337948902817656"/>
        <n v="-0.35277468168903525"/>
        <n v="-0.35260093424389"/>
        <n v="-0.35259264921184696"/>
        <n v="-0.35239942003001273"/>
        <n v="-0.3522666477593167"/>
        <n v="-0.35212453166654023"/>
        <n v="-0.35200355166988634"/>
        <n v="-0.35151800379358805"/>
        <n v="-0.35140463385032833"/>
        <n v="-0.3511882436364248"/>
        <n v="-0.35115798871110476"/>
        <n v="-0.35087179776398253"/>
        <n v="-0.35072507593454316"/>
        <n v="-0.35071239692384476"/>
        <n v="-0.3505518843541676"/>
        <n v="-0.350468319350462"/>
        <n v="-0.35021839196212234"/>
        <n v="-0.35021606262404"/>
        <n v="-0.3502156920475269"/>
        <n v="-0.3501849077271881"/>
        <n v="-0.35013196822531567"/>
        <n v="-0.3498717705736128"/>
        <n v="-0.3498508065308713"/>
        <n v="-0.3497451657548849"/>
        <n v="-0.3497130579469993"/>
        <n v="-0.3495261815053897"/>
        <n v="-0.349466756914538"/>
        <n v="-0.34924261106361015"/>
        <n v="-0.349226914501305"/>
        <n v="-0.34899376893505896"/>
        <n v="-0.3489503056040217"/>
        <n v="-0.348847708849393"/>
        <n v="-0.3487239627637662"/>
        <n v="-0.3486345214753528"/>
        <n v="-0.3486074958596469"/>
        <n v="-0.34802010561662167"/>
        <n v="-0.3479892948265319"/>
        <n v="-0.34750254257656604"/>
        <n v="-0.34746085271884153"/>
        <n v="-0.347368552697327"/>
        <n v="-0.34732474525952756"/>
        <n v="-0.34730613702461943"/>
        <n v="-0.34730243125948834"/>
        <n v="-0.347071879728834"/>
        <n v="-0.3469109965826438"/>
        <n v="-0.34655879007668666"/>
        <n v="-0.3464766015000298"/>
        <n v="-0.3461807226240649"/>
        <n v="-0.34605075614696806"/>
        <n v="-0.3459919932998897"/>
        <n v="-0.3459053842748265"/>
        <n v="-0.3458742029082236"/>
        <n v="-0.3457979435557764"/>
        <n v="-0.3455901295411763"/>
        <n v="-0.3454798036192742"/>
        <n v="-0.34534459613149204"/>
        <n v="-0.34524162880035025"/>
        <n v="-0.3450995391773247"/>
        <n v="-0.34480733959674"/>
        <n v="-0.34459806974583834"/>
        <n v="-0.34453112774572064"/>
        <n v="-0.3444627563790525"/>
        <n v="-0.34435775087708853"/>
        <n v="-0.34397854522517646"/>
        <n v="-0.3437345470610466"/>
        <n v="-0.3434763346406639"/>
        <n v="-0.3433902550106194"/>
        <n v="-0.3432081431241783"/>
        <n v="-0.3428976264759457"/>
        <n v="-0.3426624956783794"/>
        <n v="-0.3423067951652987"/>
        <n v="-0.34229620726492427"/>
        <n v="-0.34227844606204605"/>
        <n v="-0.3418097461822187"/>
        <n v="-0.34173666319988383"/>
        <n v="-0.3415498661675271"/>
        <n v="-0.3413579869429905"/>
        <n v="-0.3412892449998092"/>
        <n v="-0.34125591958338053"/>
        <n v="-0.3410575552698646"/>
        <n v="-0.3409732491131328"/>
        <n v="-0.34096350824478827"/>
        <n v="-0.3409530791629194"/>
        <n v="-0.34093820316289325"/>
        <n v="-0.34087200231580184"/>
        <n v="-0.34081517176054177"/>
        <n v="-0.3404973494610508"/>
        <n v="-0.3398610166485445"/>
        <n v="-0.33979227470536316"/>
        <n v="-0.3396719961571091"/>
        <n v="-0.33947328773683094"/>
        <n v="-0.33923347179334895"/>
        <n v="-0.3392036403840439"/>
        <n v="-0.3390708416435969"/>
        <n v="-0.3389575775793409"/>
        <n v="-0.33884134890298007"/>
        <n v="-0.338818955493688"/>
        <n v="-0.33842188275989404"/>
        <n v="-0.33837391957119767"/>
        <n v="-0.3380708144532272"/>
        <n v="-0.33799955788370695"/>
        <n v="-0.33787332364149214"/>
        <n v="-0.3378702796201345"/>
        <n v="-0.3378485479546159"/>
        <n v="-0.33773004287967445"/>
        <n v="-0.3376089172993904"/>
        <n v="-0.33737717462994393"/>
        <n v="-0.3373560517686969"/>
        <n v="-0.3372383672560345"/>
        <n v="-0.33720459185383994"/>
        <n v="-0.3368729258746093"/>
        <n v="-0.33638710006592626"/>
        <n v="-0.3360483401934447"/>
        <n v="-0.3359058270544042"/>
        <n v="-0.33524829197139794"/>
        <n v="-0.33515540961536283"/>
        <n v="-0.33489500020565244"/>
        <n v="-0.3347128618494604"/>
        <n v="-0.33463268497387466"/>
        <n v="-0.3345269912583864"/>
        <n v="-0.3344029275357484"/>
        <n v="-0.3342895575924887"/>
        <n v="-0.33422036566354146"/>
        <n v="-0.33393753637478807"/>
        <n v="-0.3339041580188576"/>
        <n v="-0.33385079500097015"/>
        <n v="-0.33362633151303117"/>
        <n v="-0.3333580341175418"/>
        <n v="-0.333289927448383"/>
        <n v="-0.33326004309957596"/>
        <n v="-0.33316128445883303"/>
        <n v="-0.333143046800438"/>
        <n v="-0.3330888102807697"/>
        <n v="-0.3328548970917464"/>
        <n v="-0.33277130561828994"/>
        <n v="-0.3326909963939495"/>
        <n v="-0.3325073757317051"/>
        <n v="-0.3321813213396729"/>
        <n v="-0.3321234849338773"/>
        <n v="-0.3318919540224383"/>
        <n v="-0.3317965570400642"/>
        <n v="-0.33144135945225134"/>
        <n v="-0.3314274363632589"/>
        <n v="-0.33134207141648964"/>
        <n v="-0.33127039133095443"/>
        <n v="-0.3312153077792562"/>
        <n v="-0.33092715807056466"/>
        <n v="-0.3307878213016365"/>
        <n v="-0.33050679195594684"/>
        <n v="-0.3303684345678033"/>
        <n v="-0.330295536873725"/>
        <n v="-0.3296734447872223"/>
        <n v="-0.32952555828874175"/>
        <n v="-0.3290779018609087"/>
        <n v="-0.32904028834482835"/>
        <n v="-0.32894653248701233"/>
        <n v="-0.328857038259097"/>
        <n v="-0.328851638429906"/>
        <n v="-0.32855671246497486"/>
        <n v="-0.328397311624837"/>
        <n v="-0.3283572496567951"/>
        <n v="-0.32834278393790844"/>
        <n v="-0.3282434694323958"/>
        <n v="-0.3279269970902026"/>
        <n v="-0.3278434585562479"/>
        <n v="-0.3272896848969116"/>
        <n v="-0.32717258271876987"/>
        <n v="-0.32714396891800784"/>
        <n v="-0.3269127027040782"/>
        <n v="-0.32684936059008785"/>
        <n v="-0.3268115882555019"/>
        <n v="-0.3267787128248391"/>
        <n v="-0.3267557370810265"/>
        <n v="-0.32668103944388455"/>
        <n v="-0.32648328393464016"/>
        <n v="-0.32620783970639805"/>
        <n v="-0.3259601093073861"/>
        <n v="-0.32578411193341134"/>
        <n v="-0.3256044087943054"/>
        <n v="-0.3255631424525959"/>
        <n v="-0.32508830159055135"/>
        <n v="-0.32496487314193584"/>
        <n v="-0.32439220008043107"/>
        <n v="-0.3241145588628612"/>
        <n v="-0.3241129177383032"/>
        <n v="-0.3239056860582237"/>
        <n v="-0.3238060009761979"/>
        <n v="-0.32374234122519635"/>
        <n v="-0.32372503000808406"/>
        <n v="-0.32364452226061163"/>
        <n v="-0.3236291830399441"/>
        <n v="-0.3235594617159781"/>
        <n v="-0.3234374361641622"/>
        <n v="-0.3232705973240113"/>
        <n v="-0.3231074113094896"/>
        <n v="-0.323001452896492"/>
        <n v="-0.32296214531635176"/>
        <n v="-0.3228555251595807"/>
        <n v="-0.32278448034806795"/>
        <n v="-0.3227267498212761"/>
        <n v="-0.3222917194646396"/>
        <n v="-0.32210468420452437"/>
        <n v="-0.3220453125531745"/>
        <n v="-0.3219569300547985"/>
        <n v="-0.32193686598358884"/>
        <n v="-0.32169215313618366"/>
        <n v="-0.32162079068765964"/>
        <n v="-0.3215863800114426"/>
        <n v="-0.32156967759860183"/>
        <n v="-0.32132051783303933"/>
        <n v="-0.3212170475766297"/>
        <n v="-0.32075366811674055"/>
        <n v="-0.3206170577321588"/>
        <n v="-0.3203645892477293"/>
        <n v="-0.32031710251454976"/>
        <n v="-0.3199089918946154"/>
        <n v="-0.31983569715427307"/>
        <n v="-0.31982174759552967"/>
        <n v="-0.31980671277699785"/>
        <n v="-0.3197937161292882"/>
        <n v="-0.3197590672253127"/>
        <n v="-0.31973278276263306"/>
        <n v="-0.31948674642768105"/>
        <n v="-0.31928954678320637"/>
        <n v="-0.31904864557993595"/>
        <n v="-0.31899446199976955"/>
        <n v="-0.3189705333449232"/>
        <n v="-0.31896198361537087"/>
        <n v="-0.31880636794961686"/>
        <n v="-0.3187284939423626"/>
        <n v="-0.3182844903401587"/>
        <n v="-0.31822710392012904"/>
        <n v="-0.318077735115596"/>
        <n v="-0.31782367844611037"/>
        <n v="-0.31779509111509924"/>
        <n v="-0.3175843918976471"/>
        <n v="-0.31757859502219205"/>
        <n v="-0.3174640604098911"/>
        <n v="-0.3172082037973417"/>
        <n v="-0.31715161146984017"/>
        <n v="-0.3171453116691173"/>
        <n v="-0.31677288227344497"/>
        <n v="-0.3167381274904657"/>
        <n v="-0.31663632482836507"/>
        <n v="-0.3164606186216506"/>
        <n v="-0.31641077608063767"/>
        <n v="-0.31640693796675196"/>
        <n v="-0.31631429383847526"/>
        <n v="-0.31630489707689285"/>
        <n v="-0.3160868392686804"/>
        <n v="-0.31608355701956437"/>
        <n v="-0.3160631223718416"/>
        <n v="-0.31604882870633605"/>
        <n v="-0.31593858219368676"/>
        <n v="-0.31509152369397736"/>
        <n v="-0.314983368291652"/>
        <n v="-0.31487860101744647"/>
        <n v="-0.31477711599235714"/>
        <n v="-0.3146800249459231"/>
        <n v="-0.31465527572879776"/>
        <n v="-0.3141922933151726"/>
        <n v="-0.3141830818418468"/>
        <n v="-0.313661892445913"/>
        <n v="-0.3136567837839823"/>
        <n v="-0.31339894194011275"/>
        <n v="-0.3131767019112524"/>
        <n v="-0.3130923163452678"/>
        <n v="-0.3127222692271796"/>
        <n v="-0.3124008205718104"/>
        <n v="-0.312175695340098"/>
        <n v="-0.3114046050255755"/>
        <n v="-0.3113280015663661"/>
        <n v="-0.3112233931106662"/>
        <n v="-0.31108003293959574"/>
        <n v="-0.3107863775227095"/>
        <n v="-0.3106777456648673"/>
        <n v="-0.3105844927323191"/>
        <n v="-0.3105265504475197"/>
        <n v="-0.3105253063692257"/>
        <n v="-0.310421042020288"/>
        <n v="-0.31025391201287683"/>
        <n v="-0.3101952285750513"/>
        <n v="-0.3100723559912054"/>
        <n v="-0.30993802200520415"/>
        <n v="-0.30968965633216977"/>
        <n v="-0.30919596900745866"/>
        <n v="-0.3090911487937513"/>
        <n v="-0.30904345030256425"/>
        <n v="-0.30875604174689897"/>
        <n v="-0.3085757033337706"/>
        <n v="-0.3084052646074924"/>
        <n v="-0.3082840860877064"/>
        <n v="-0.3081792658739991"/>
        <n v="-0.30797391354623604"/>
        <n v="-0.307821236022836"/>
        <n v="-0.3076114632466666"/>
        <n v="-0.3073647916376921"/>
        <n v="-0.3073566389544038"/>
        <n v="-0.3069662101280948"/>
        <n v="-0.3069640660782689"/>
        <n v="-0.3069000092810033"/>
        <n v="-0.3068989504909659"/>
        <n v="-0.30672668535187303"/>
        <n v="-0.3062376302335758"/>
        <n v="-0.30611790755009133"/>
        <n v="-0.3059385485177476"/>
        <n v="-0.3056375345101011"/>
        <n v="-0.3054195031716396"/>
        <n v="-0.3053855689509394"/>
        <n v="-0.3052833692425747"/>
        <n v="-0.30526319929236134"/>
        <n v="-0.3052406735343146"/>
        <n v="-0.3050366711638493"/>
        <n v="-0.304650106921177"/>
        <n v="-0.30457416520574104"/>
        <n v="-0.304460080579206"/>
        <n v="-0.3044129644225395"/>
        <n v="-0.3042782598600252"/>
        <n v="-0.3042779157532631"/>
        <n v="-0.3041324115323667"/>
        <n v="-0.30381648182006765"/>
        <n v="-0.3036294068553261"/>
        <n v="-0.30357956431431316"/>
        <n v="-0.30342985140301804"/>
        <n v="-0.3033012084134681"/>
        <n v="-0.30329954081915905"/>
        <n v="-0.3032615302568147"/>
        <n v="-0.3032253461072849"/>
        <n v="-0.3030084529681137"/>
        <n v="-0.30260418046206505"/>
        <n v="-0.30258334876807824"/>
        <n v="-0.3025192655010617"/>
        <n v="-0.30234909147229283"/>
        <n v="-0.3022754261554374"/>
        <n v="-0.3018819930123971"/>
        <n v="-0.3016260966952214"/>
        <n v="-0.30147855430350295"/>
        <n v="-0.3014663252785705"/>
        <n v="-0.30101694831692655"/>
        <n v="-0.3009993724023049"/>
        <n v="-0.30094328300007106"/>
        <n v="-0.3003604455542068"/>
        <n v="-0.3002036652194117"/>
        <n v="-0.30002144745396686"/>
        <n v="-0.2998668376387485"/>
        <n v="-0.2998661758949751"/>
        <n v="-0.29927918269821385"/>
        <n v="-0.29915239259122944"/>
        <n v="-0.2988419288824987"/>
        <n v="-0.2982001433012995"/>
        <n v="-0.2980557243401916"/>
        <n v="-0.29796948589164146"/>
        <n v="-0.2977280023538505"/>
        <n v="-0.2976761216420155"/>
        <n v="-0.2974907275064584"/>
        <n v="-0.2972716109082085"/>
        <n v="-0.29722100074441843"/>
        <n v="-0.29713952685103684"/>
        <n v="-0.29708581972638726"/>
        <n v="-0.2968171517543848"/>
        <n v="-0.2967796176475573"/>
        <n v="-0.2966098141953015"/>
        <n v="-0.29632973776064553"/>
        <n v="-0.29632926130512866"/>
        <n v="-0.2961878069561256"/>
        <n v="-0.2961060154257328"/>
        <n v="-0.29606935482068614"/>
        <n v="-0.2960511965715439"/>
        <n v="-0.2958535998808051"/>
        <n v="-0.2957567205923786"/>
        <n v="-0.29572818620086944"/>
        <n v="-0.29550411975919444"/>
        <n v="-0.2954505185135486"/>
        <n v="-0.2954324661434101"/>
        <n v="-0.295120520128627"/>
        <n v="-0.29507012172284447"/>
        <n v="-0.29505868679044"/>
        <n v="-0.29497496296822884"/>
        <n v="-0.2948665428683941"/>
        <n v="-0.29481254457648426"/>
        <n v="-0.2947407321421943"/>
        <n v="-0.29474036156568123"/>
        <n v="-0.2945577202842214"/>
        <n v="-0.29441634534447114"/>
        <n v="-0.2940117287316603"/>
        <n v="-0.29401090816938136"/>
        <n v="-0.29400908175656676"/>
        <n v="-0.29399949970672784"/>
        <n v="-0.2935017360403725"/>
        <n v="-0.29347775444602436"/>
        <n v="-0.29331282142794085"/>
        <n v="-0.2932769813851732"/>
        <n v="-0.29282363396088884"/>
        <n v="-0.29259827050141807"/>
        <n v="-0.2924130881238684"/>
        <n v="-0.29231226484255235"/>
        <n v="-0.29211916800947274"/>
        <n v="-0.291970116841951"/>
        <n v="-0.2916575884926472"/>
        <n v="-0.2916529827559844"/>
        <n v="-0.29100360035626643"/>
        <n v="-0.29071404775077536"/>
        <n v="-0.2905902487256467"/>
        <n v="-0.2904654438499826"/>
        <n v="-0.2903332274440562"/>
        <n v="-0.29011424319456103"/>
        <n v="-0.29007189159306307"/>
        <n v="-0.2898701391514273"/>
        <n v="-0.28973363464584934"/>
        <n v="-0.28962770270260263"/>
        <n v="-0.2892964072998851"/>
        <n v="-0.2890697468226184"/>
        <n v="-0.28882847504283493"/>
        <n v="-0.28879933184705414"/>
        <n v="-0.28879401142711597"/>
        <n v="-0.2887564773202885"/>
        <n v="-0.2887473187864645"/>
        <n v="-0.2886715623592851"/>
        <n v="-0.2884230378677451"/>
        <n v="-0.2881941274616488"/>
        <n v="-0.28819179812356643"/>
        <n v="-0.2881051626287522"/>
        <n v="-0.2881019068493871"/>
        <n v="-0.28803702948984244"/>
        <n v="-0.28786547903402493"/>
        <n v="-0.2877860962509672"/>
        <n v="-0.2877658204217501"/>
        <n v="-0.28770136657822043"/>
        <n v="-0.28714047255588226"/>
        <n v="-0.2870271290823735"/>
        <n v="-0.28692739106084586"/>
        <n v="-0.2869177031320032"/>
        <n v="-0.2868548110037788"/>
        <n v="-0.2864859285547319"/>
        <n v="-0.2862237456717088"/>
        <n v="-0.28611381679607073"/>
        <n v="-0.2860100024328989"/>
        <n v="-0.2858930855430137"/>
        <n v="-0.28582082312295787"/>
        <n v="-0.28576986885240574"/>
        <n v="-0.28567259251771515"/>
        <n v="-0.2852136864457342"/>
        <n v="-0.2851412387374218"/>
        <n v="-0.2844620778679007"/>
        <n v="-0.2840988599455541"/>
        <n v="-0.28409753645800734"/>
        <n v="-0.2840803046501479"/>
        <n v="-0.2840755400949793"/>
        <n v="-0.283968231724684"/>
        <n v="-0.2837640440659621"/>
        <n v="-0.2835892378307794"/>
        <n v="-0.2835118932185438"/>
        <n v="-0.2832167290258542"/>
        <n v="-0.2831205908904539"/>
        <n v="-0.28295163447022814"/>
        <n v="-0.28283196472624555"/>
        <n v="-0.28277854876885633"/>
        <n v="-0.2827632227830642"/>
        <n v="-0.28258344023470555"/>
        <n v="-0.2825562028609922"/>
        <n v="-0.28251236895344184"/>
        <n v="-0.28164349937896094"/>
        <n v="-0.28148593818651324"/>
        <n v="-0.28133856784817596"/>
        <n v="-0.2813196684460075"/>
        <n v="-0.2811314420471001"/>
        <n v="-0.2810732085950405"/>
        <n v="-0.28081875487929076"/>
        <n v="-0.28077976493616175"/>
        <n v="-0.28077849438811675"/>
        <n v="-0.2807093553986714"/>
        <n v="-0.2805053530282061"/>
        <n v="-0.28033949356883986"/>
        <n v="-0.2800983276680601"/>
        <n v="-0.2800218300878545"/>
        <n v="-0.2796048256316055"/>
        <n v="-0.2795330661368175"/>
        <n v="-0.2792700626915154"/>
        <n v="-0.2790189441643836"/>
        <n v="-0.27878304574404017"/>
        <n v="-0.27876597275468634"/>
        <n v="-0.2786496381993217"/>
        <n v="-0.2785176864909047"/>
        <n v="-0.27840315187860376"/>
        <n v="-0.2783766821276676"/>
        <n v="-0.278217201878277"/>
        <n v="-0.27814006902404886"/>
        <n v="-0.2775255737560649"/>
        <n v="-0.27748954842504076"/>
        <n v="-0.2774733754072187"/>
        <n v="-0.2774653286029341"/>
        <n v="-0.27734044431801713"/>
        <n v="-0.2772687907022328"/>
        <n v="-0.2771964753426751"/>
        <n v="-0.2770863082392786"/>
        <n v="-0.27695472710737473"/>
        <n v="-0.27691674301478125"/>
        <n v="-0.27674275734187764"/>
        <n v="-0.276727669583844"/>
        <n v="-0.2765658864661219"/>
        <n v="-0.27648729777559233"/>
        <n v="-0.2762804366720259"/>
        <n v="-0.2761817045010339"/>
        <n v="-0.2761696872341088"/>
        <n v="-0.275440207368058"/>
        <n v="-0.27538684435017063"/>
        <n v="-0.27501055037086153"/>
        <n v="-0.27497437945620723"/>
        <n v="-0.2747508821141774"/>
        <n v="-0.27471054221375063"/>
        <n v="-0.2744408948609635"/>
        <n v="-0.27427537950835945"/>
        <n v="-0.27425036559372473"/>
        <n v="-0.27402232868940934"/>
        <n v="-0.273902156020159"/>
        <n v="-0.2737782511160266"/>
        <n v="-0.2736537903471246"/>
        <n v="-0.27334983819712416"/>
        <n v="-0.27331021297997266"/>
        <n v="-0.2728913027016563"/>
        <n v="-0.27278005033847147"/>
        <n v="-0.27256352777581333"/>
        <n v="-0.27209699841556273"/>
        <n v="-0.2718380183724029"/>
        <n v="-0.2717523357886224"/>
        <n v="-0.2717009050625534"/>
        <n v="-0.2716292514467691"/>
        <n v="-0.2715546861583818"/>
        <n v="-0.2715175755675693"/>
        <n v="-0.2712733391756809"/>
        <n v="-0.2712608189834881"/>
        <n v="-0.27118818598691913"/>
        <n v="-0.2711064209262772"/>
        <n v="-0.2710879715098746"/>
        <n v="-0.2705681320712386"/>
        <n v="-0.2699540867890205"/>
        <n v="-0.2699488193085842"/>
        <n v="-0.26970458291669586"/>
        <n v="-0.26963692623330293"/>
        <n v="-0.26939403979871235"/>
        <n v="-0.26873986637407504"/>
        <n v="-0.26863512556962044"/>
        <n v="-0.26808069016651076"/>
        <n v="-0.26771683697014165"/>
        <n v="-0.2676764970697149"/>
        <n v="-0.2676570418027768"/>
        <n v="-0.2675136551619554"/>
        <n v="-0.26728178014375426"/>
        <n v="-0.2671522636524234"/>
        <n v="-0.266969860598722"/>
        <n v="-0.2665913960998362"/>
        <n v="-0.26657514367276136"/>
        <n v="-0.26619853205644106"/>
        <n v="-0.26614495728054616"/>
        <n v="-0.26605548952238184"/>
        <n v="-0.26605035439070024"/>
        <n v="-0.2656956200235287"/>
        <n v="-0.26560666842550756"/>
        <n v="-0.26499667301518276"/>
        <n v="-0.2649706797197634"/>
        <n v="-0.26490402888690606"/>
        <n v="-0.264868374132395"/>
        <n v="-0.26458737125645626"/>
        <n v="-0.2644641545658482"/>
        <n v="-0.264129841611524"/>
        <n v="-0.2640635613551797"/>
        <n v="-0.26393722123396124"/>
        <n v="-0.2639303390987178"/>
        <n v="-0.2639241716467497"/>
        <n v="-0.2639194070915811"/>
        <n v="-0.26384905049359275"/>
        <n v="-0.26374618904145464"/>
        <n v="-0.2637212280663218"/>
        <n v="-0.2637198251695222"/>
        <n v="-0.2635968070020462"/>
        <n v="-0.26330938521150543"/>
        <n v="-0.2631922300938618"/>
        <n v="-0.26314270518986016"/>
        <n v="-0.2631284909336074"/>
        <n v="-0.2628469851324009"/>
        <n v="-0.26276916406464845"/>
        <n v="-0.26268385205738104"/>
        <n v="-0.2623624034020118"/>
        <n v="-0.26232193115283037"/>
        <n v="-0.26220279080386655"/>
        <n v="-0.26124704750681305"/>
        <n v="-0.26120003722915036"/>
        <n v="-0.2611930756846541"/>
        <n v="-0.26084338380503597"/>
        <n v="-0.26083155182636747"/>
        <n v="-0.260432202693993"/>
        <n v="-0.260404356516008"/>
        <n v="-0.26009770445141217"/>
        <n v="-0.2599195630276115"/>
        <n v="-0.25988438472861725"/>
        <n v="-0.2598593708139826"/>
        <n v="-0.25972236338313676"/>
        <n v="-0.2594905148346866"/>
        <n v="-0.2592927593254422"/>
        <n v="-0.25893165898317055"/>
        <n v="-0.2587893046626356"/>
        <n v="-0.2587106895023551"/>
        <n v="-0.25864872381541343"/>
        <n v="-0.25810678213474564"/>
        <n v="-0.25807798304572704"/>
        <n v="-0.25777771019110673"/>
        <n v="-0.2575657404256096"/>
        <n v="-0.25756121409819954"/>
        <n v="-0.2575392177351715"/>
        <n v="-0.25748196366389653"/>
        <n v="-0.2572386007737891"/>
        <n v="-0.25713452171310797"/>
        <n v="-0.2570518037414323"/>
        <n v="-0.2566275333385514"/>
        <n v="-0.2562949276831625"/>
        <n v="-0.2561885854587763"/>
        <n v="-0.2559536002448402"/>
        <n v="-0.25585320047953913"/>
        <n v="-0.2557831879883129"/>
        <n v="-0.255678606002364"/>
        <n v="-0.25558508837230637"/>
        <n v="-0.25548580033654467"/>
        <n v="-0.2554034529413821"/>
        <n v="-0.25537955075628677"/>
        <n v="-0.2553206555604537"/>
        <n v="-0.25530175615828526"/>
        <n v="-0.25526999245716175"/>
        <n v="-0.2551439170334527"/>
        <n v="-0.2550664665422133"/>
        <n v="-0.25498070454918004"/>
        <n v="-0.2545044872600868"/>
        <n v="-0.254420578149619"/>
        <n v="-0.254095714896379"/>
        <n v="-0.2539827419993833"/>
        <n v="-0.25394279914522055"/>
        <n v="-0.2537519522409705"/>
        <n v="-0.2535811958776811"/>
        <n v="-0.25354408528686856"/>
        <n v="-0.25323764498028006"/>
        <n v="-0.2530287721756425"/>
        <n v="-0.25299020574852843"/>
        <n v="-0.2528804092216451"/>
        <n v="-0.25237150179014567"/>
        <n v="-0.25223600313510325"/>
        <n v="-0.25208912248715826"/>
        <n v="-0.25187535277859746"/>
        <n v="-0.25163543095611174"/>
        <n v="-0.25137647738270286"/>
        <n v="-0.25121127966711"/>
        <n v="-0.2511909773681419"/>
        <n v="-0.2508672258444412"/>
        <n v="-0.2508278123852972"/>
        <n v="-0.2507209275310168"/>
        <n v="-0.2504752882423289"/>
        <n v="-0.25038664104644354"/>
        <n v="-0.25034730699655233"/>
        <n v="-0.2502542658220116"/>
        <n v="-0.25024081918853597"/>
        <n v="-0.2502043968112478"/>
        <n v="-0.25008417120249554"/>
        <n v="-0.250004311963921"/>
        <n v="-0.24994144630544748"/>
        <n v="-0.24988276286762195"/>
        <n v="-0.24984274060420641"/>
        <n v="-0.2494586645181221"/>
        <n v="-0.24931803073139805"/>
        <n v="-0.24928375240393566"/>
        <n v="-0.2488227816913817"/>
        <n v="-0.24874064605422663"/>
        <n v="-0.24873961373394016"/>
        <n v="-0.24871261458798521"/>
        <n v="-0.24858934495787535"/>
        <n v="-0.24840728601093612"/>
        <n v="-0.2483735900179943"/>
        <n v="-0.24837184301443255"/>
        <n v="-0.24835900518522847"/>
        <n v="-0.24824375588965225"/>
        <n v="-0.24782775728393888"/>
        <n v="-0.2477605241165609"/>
        <n v="-0.2473360022510461"/>
        <n v="-0.24696783448527448"/>
        <n v="-0.24695200557421462"/>
        <n v="-0.24691799194426156"/>
        <n v="-0.24686460245662323"/>
        <n v="-0.2468370342110232"/>
        <n v="-0.24678556378032776"/>
        <n v="-0.24659611977287732"/>
        <n v="-0.24650389916061563"/>
        <n v="-0.24644235698968894"/>
        <n v="-0.24625071599291085"/>
        <n v="-0.24606018672567204"/>
        <n v="-0.2456920718994023"/>
        <n v="-0.2455210243688525"/>
        <n v="-0.24547668753603438"/>
        <n v="-0.24544868253954386"/>
        <n v="-0.245377889190665"/>
        <n v="-0.24536548811235137"/>
        <n v="-0.24530328419765132"/>
        <n v="-0.24530034605529738"/>
        <n v="-0.2450812294570475"/>
        <n v="-0.24492820782688532"/>
        <n v="-0.24464132866623875"/>
        <n v="-0.24452957337778608"/>
        <n v="-0.2443302032137346"/>
        <n v="-0.24423239748402534"/>
        <n v="-0.24422755351960398"/>
        <n v="-0.24409202839481067"/>
        <n v="-0.24379138496367725"/>
        <n v="-0.24374993333371114"/>
        <n v="-0.2435942911982063"/>
        <n v="-0.2435291756109032"/>
        <n v="-0.24352123468562237"/>
        <n v="-0.24295033509743036"/>
        <n v="-0.24288302252079955"/>
        <n v="-0.2426141957302915"/>
        <n v="-0.24249672297563662"/>
        <n v="-0.2420327876509778"/>
        <n v="-0.24191666485362065"/>
        <n v="-0.24176999596368318"/>
        <n v="-0.24101788446058187"/>
        <n v="-0.24098890008330676"/>
        <n v="-0.24088598569166678"/>
        <n v="-0.24066446034608172"/>
        <n v="-0.24044645547737112"/>
        <n v="-0.24040548030292186"/>
        <n v="-0.24028078130626143"/>
        <n v="-0.24011836291451688"/>
        <n v="-0.24007299376141222"/>
        <n v="-0.24006370287883363"/>
        <n v="-0.2398526595546193"/>
        <n v="-0.23977007393169833"/>
        <n v="-0.23949531791698056"/>
        <n v="-0.2394842270913383"/>
        <n v="-0.23943237284925425"/>
        <n v="-0.23933710821563484"/>
        <n v="-0.23919943904101568"/>
        <n v="-0.23913887625087363"/>
        <n v="-0.23858213797943242"/>
        <n v="-0.23847265908956033"/>
        <n v="-0.2383235549825367"/>
        <n v="-0.2381731009182153"/>
        <n v="-0.2376346003051692"/>
        <n v="-0.23751748489215194"/>
        <n v="-0.2373864463901423"/>
        <n v="-0.23733890671746088"/>
        <n v="-0.23730335784195353"/>
        <n v="-0.23718514393427248"/>
        <n v="-0.23713384555695813"/>
        <n v="-0.2369884207453146"/>
        <n v="-0.2368926531864274"/>
        <n v="-0.23644544674436024"/>
        <n v="-0.23643467355572922"/>
        <n v="-0.23641910934217875"/>
        <n v="-0.2362154775482265"/>
        <n v="-0.23620248090051682"/>
        <n v="-0.23608336702130392"/>
        <n v="-0.23596952062252732"/>
        <n v="-0.23542479961801122"/>
        <n v="-0.23495697323996473"/>
        <n v="-0.23488690780923663"/>
        <n v="-0.23487050979853163"/>
        <n v="-0.23484527089101395"/>
        <n v="-0.23469886669858586"/>
        <n v="-0.23464759479102243"/>
        <n v="-0.23462369260592703"/>
        <n v="-0.23460386676247583"/>
        <n v="-0.2345787204990864"/>
        <n v="-0.23445703905403267"/>
        <n v="-0.23438625894002926"/>
        <n v="-0.2343362575805108"/>
        <n v="-0.23325086544337176"/>
        <n v="-0.23320404045396564"/>
        <n v="-0.2323729432140707"/>
        <n v="-0.23209374028119562"/>
        <n v="-0.2320216896191473"/>
        <n v="-0.2319491625015821"/>
        <n v="-0.2318227429711108"/>
        <n v="-0.2317542392556879"/>
        <n v="-0.23159544721982162"/>
        <n v="-0.23152006136915532"/>
        <n v="-0.2311716135678311"/>
        <n v="-0.23092962710477236"/>
        <n v="-0.23082769209391701"/>
        <n v="-0.23078065534650338"/>
        <n v="-0.23060404916825708"/>
        <n v="-0.2302068176159575"/>
        <n v="-0.23020504414264473"/>
        <n v="-0.2301914916301654"/>
        <n v="-0.2300685131673158"/>
        <n v="-0.22923810414094523"/>
        <n v="-0.22914744524398872"/>
        <n v="-0.2288961678983514"/>
        <n v="-0.2288666011865556"/>
        <n v="-0.22863829958473086"/>
        <n v="-0.228574772182484"/>
        <n v="-0.2285430349511115"/>
        <n v="-0.22842884444557265"/>
        <n v="-0.22824779134916903"/>
        <n v="-0.22806567946272802"/>
        <n v="-0.22803751564773184"/>
        <n v="-0.22801136353380694"/>
        <n v="-0.22792475450874367"/>
        <n v="-0.2278545567292608"/>
        <n v="-0.22769351476456498"/>
        <n v="-0.22765799235880857"/>
        <n v="-0.22752678180341784"/>
        <n v="-0.22747079828018774"/>
        <n v="-0.22745565758265224"/>
        <n v="-0.226915965830814"/>
        <n v="-0.2265471363212689"/>
        <n v="-0.22645459807199597"/>
        <n v="-0.22637018603626047"/>
        <n v="-0.22598568643416111"/>
        <n v="-0.22598020719571738"/>
        <n v="-0.2259127887400828"/>
        <n v="-0.22556296451170993"/>
        <n v="-0.2253096754650014"/>
        <n v="-0.2251916468455769"/>
        <n v="-0.224917340816625"/>
        <n v="-0.2246083329441958"/>
        <n v="-0.22451079191199586"/>
        <n v="-0.22377723570430086"/>
        <n v="-0.22362416113463682"/>
        <n v="-0.2235122734974295"/>
        <n v="-0.22337889242246195"/>
        <n v="-0.22336465169645828"/>
        <n v="-0.22317203131889557"/>
        <n v="-0.2226844849764016"/>
        <n v="-0.22240705551683926"/>
        <n v="-0.22240147039939173"/>
        <n v="-0.22236692737442"/>
        <n v="-0.22208033938103366"/>
        <n v="-0.22191710042701018"/>
        <n v="-0.22173610027010843"/>
        <n v="-0.2215705584477534"/>
        <n v="-0.22147791431947667"/>
        <n v="-0.22136057391357647"/>
        <n v="-0.22132288098824335"/>
        <n v="-0.2210015117421269"/>
        <n v="-0.22088374782021172"/>
        <n v="-0.22083205239663328"/>
        <n v="-0.22076984848193323"/>
        <n v="-0.22073924944985102"/>
        <n v="-0.22053829110074336"/>
        <n v="-0.22046549928566878"/>
        <n v="-0.22041248037454356"/>
        <n v="-0.22030289560566768"/>
        <n v="-0.22029776047398608"/>
        <n v="-0.22026332332801798"/>
        <n v="-0.22024797087247505"/>
        <n v="-0.22016586170507096"/>
        <n v="-0.22008573776898704"/>
        <n v="-0.22004685370486174"/>
        <n v="-0.21992535754806455"/>
        <n v="-0.21988525587539623"/>
        <n v="-0.2196935884088672"/>
        <n v="-0.21966380993906398"/>
        <n v="-0.21965782777535234"/>
        <n v="-0.21957452746915618"/>
        <n v="-0.21954061971820685"/>
        <n v="-0.21917811647913554"/>
        <n v="-0.21913245615877064"/>
        <n v="-0.21897895807309162"/>
        <n v="-0.21896590848588002"/>
        <n v="-0.2188787700657981"/>
        <n v="-0.2188587589340903"/>
        <n v="-0.2187360451687501"/>
        <n v="-0.21815503413570042"/>
        <n v="-0.2176858313306052"/>
        <n v="-0.21744429485331235"/>
        <n v="-0.21736509735851128"/>
        <n v="-0.2171971203190701"/>
        <n v="-0.21714836303784568"/>
        <n v="-0.2171426720413944"/>
        <n v="-0.21688371846798543"/>
        <n v="-0.21662645895863655"/>
        <n v="-0.2164204978266019"/>
        <n v="-0.21627004376228057"/>
        <n v="-0.21592093421718295"/>
        <n v="-0.21578326504256382"/>
        <n v="-0.2156824417612478"/>
        <n v="-0.21476907653544314"/>
        <n v="-0.21467561184488743"/>
        <n v="-0.2146500155957321"/>
        <n v="-0.214335131438595"/>
        <n v="-0.214235975751588"/>
        <n v="-0.21420267680491023"/>
        <n v="-0.21414047289021018"/>
        <n v="-0.21413944056992365"/>
        <n v="-0.21402845290424816"/>
        <n v="-0.2139148712029809"/>
        <n v="-0.21375621151586932"/>
        <n v="-0.21367833750861503"/>
        <n v="-0.2136697613093117"/>
        <n v="-0.21311339361438364"/>
        <n v="-0.2130724184399344"/>
        <n v="-0.21293456397705862"/>
        <n v="-0.21287164537908324"/>
        <n v="-0.21286187804098783"/>
        <n v="-0.21284266100180818"/>
        <n v="-0.21266515485202994"/>
        <n v="-0.21224007712174553"/>
        <n v="-0.21220328416794412"/>
        <n v="-0.21200904913557425"/>
        <n v="-0.21192768112119645"/>
        <n v="-0.21185105119223613"/>
        <n v="-0.21184742483635782"/>
        <n v="-0.21172516105678352"/>
        <n v="-0.21161817032349936"/>
        <n v="-0.21125709645097862"/>
        <n v="-0.2108629883292895"/>
        <n v="-0.21072918373830699"/>
        <n v="-0.21070199930409556"/>
        <n v="-0.2105227196810046"/>
        <n v="-0.21039254144590033"/>
        <n v="-0.2103725832536945"/>
        <n v="-0.21031429686213296"/>
        <n v="-0.21004475538834957"/>
        <n v="-0.20972624487533426"/>
        <n v="-0.20967862579340005"/>
        <n v="-0.2096152042701569"/>
        <n v="-0.2095948755014379"/>
        <n v="-0.20955723551560657"/>
        <n v="-0.20919793511639861"/>
        <n v="-0.20918996772136672"/>
        <n v="-0.20907064208414639"/>
        <n v="-0.2087216913575544"/>
        <n v="-0.20871729737889896"/>
        <n v="-0.20867581927918194"/>
        <n v="-0.2086290472292777"/>
        <n v="-0.20843319754210077"/>
        <n v="-0.20842406547802775"/>
        <n v="-0.20803805710012505"/>
        <n v="-0.2072371618460484"/>
        <n v="-0.20708292260734312"/>
        <n v="-0.20696145292029688"/>
        <n v="-0.20694535931172767"/>
        <n v="-0.20692143065688137"/>
        <n v="-0.20682243378837992"/>
        <n v="-0.2064720007557356"/>
        <n v="-0.20622323803643713"/>
        <n v="-0.20614184355230827"/>
        <n v="-0.20602802362328262"/>
        <n v="-0.20572248328822598"/>
        <n v="-0.20568142870452397"/>
        <n v="-0.2056342860781066"/>
        <n v="-0.20550990471845737"/>
        <n v="-0.20531220214871485"/>
        <n v="-0.2051835856289158"/>
        <n v="-0.20512622567863714"/>
        <n v="-0.2050081176499598"/>
        <n v="-0.20486864853227696"/>
        <n v="-0.20485483132228824"/>
        <n v="-0.2047695193150208"/>
        <n v="-0.20450037488750153"/>
        <n v="-0.20443290349236518"/>
        <n v="-0.20394125433847612"/>
        <n v="-0.2039221167085492"/>
        <n v="-0.20392108438826267"/>
        <n v="-0.20374979862995457"/>
        <n v="-0.20369921493591547"/>
        <n v="-0.20366316313514035"/>
        <n v="-0.2031610054901296"/>
        <n v="-0.20308689018750825"/>
        <n v="-0.2030221451767183"/>
        <n v="-0.2027946376674217"/>
        <n v="-0.20250341746762157"/>
        <n v="-0.20248851499784445"/>
        <n v="-0.2024647451615038"/>
        <n v="-0.2024092645635415"/>
        <n v="-0.2022733953319859"/>
        <n v="-0.20202592963048338"/>
        <n v="-0.20189945716051017"/>
        <n v="-0.201755991110436"/>
        <n v="-0.20170858378650922"/>
        <n v="-0.20136116830547154"/>
        <n v="-0.2013472187467282"/>
        <n v="-0.20081414443262405"/>
        <n v="-0.20065156722237387"/>
        <n v="-0.20062483277392826"/>
        <n v="-0.20053832962786874"/>
        <n v="-0.20048578717226037"/>
        <n v="-0.2001455185239755"/>
        <n v="-0.1997368520392715"/>
        <n v="-0.19965842216724752"/>
        <n v="-0.19951064154777065"/>
        <n v="-0.1995094239392276"/>
        <n v="-0.19941302110631798"/>
        <n v="-0.199069470208917"/>
        <n v="-0.1990301361590258"/>
        <n v="-0.19895848254324142"/>
        <n v="-0.19798968965897643"/>
        <n v="-0.19791999480476136"/>
        <n v="-0.19768912563709584"/>
        <n v="-0.1976432535587234"/>
        <n v="-0.19760603708890712"/>
        <n v="-0.19698323031912915"/>
        <n v="-0.19695811052549067"/>
        <n v="-0.1964893047666596"/>
        <n v="-0.196350576802003"/>
        <n v="-0.19632468938558742"/>
        <n v="-0.19627947905098833"/>
        <n v="-0.19603156336371988"/>
        <n v="-0.1957834888579458"/>
        <n v="-0.19569783274391622"/>
        <n v="-0.19557035442340742"/>
        <n v="-0.1950151513975206"/>
        <n v="-0.19466794767449044"/>
        <n v="-0.19452024646426638"/>
        <n v="-0.19435221648532341"/>
        <n v="-0.19425838121825453"/>
        <n v="-0.19420652697617055"/>
        <n v="-0.19407759281936032"/>
        <n v="-0.1939666580931866"/>
        <n v="-0.19354147448389844"/>
        <n v="-0.19291437961446878"/>
        <n v="-0.1928919862051768"/>
        <n v="-0.19275484642557633"/>
        <n v="-0.19250931301589205"/>
        <n v="-0.1924936958628397"/>
        <n v="-0.19245587058875196"/>
        <n v="-0.19245441475245045"/>
        <n v="-0.19233633319352397"/>
        <n v="-0.19220652553493286"/>
        <n v="-0.1911710024085577"/>
        <n v="-0.1907466923010503"/>
        <n v="-0.19074229832239495"/>
        <n v="-0.19052712571703453"/>
        <n v="-0.19002547099729158"/>
        <n v="-0.18977999052710928"/>
        <n v="-0.1890928622625563"/>
        <n v="-0.18878906893106154"/>
        <n v="-0.18832698648896828"/>
        <n v="-0.1881201783249037"/>
        <n v="-0.18795288949898686"/>
        <n v="-0.18787461844546857"/>
        <n v="-0.18775664276554585"/>
        <n v="-0.18773038477261716"/>
        <n v="-0.18771598522810784"/>
        <n v="-0.18767495711415674"/>
        <n v="-0.18765949877961002"/>
        <n v="-0.1875857805232527"/>
        <n v="-0.18757654258017592"/>
        <n v="-0.18756801932037445"/>
        <n v="-0.18740200104250268"/>
        <n v="-0.1873473145370684"/>
        <n v="-0.18728902814550696"/>
        <n v="-0.18716912017376588"/>
        <n v="-0.18671166993808644"/>
        <n v="-0.18644739594473939"/>
        <n v="-0.185970411032869"/>
        <n v="-0.18585330885472726"/>
        <n v="-0.18522316996393998"/>
        <n v="-0.1851543486115059"/>
        <n v="-0.18499672124468075"/>
        <n v="-0.18492284416981788"/>
        <n v="-0.18482403258957303"/>
        <n v="-0.18476902844712756"/>
        <n v="-0.18457407873148238"/>
        <n v="-0.18444167703729958"/>
        <n v="-0.18441200444650002"/>
        <n v="-0.18440181359238964"/>
        <n v="-0.18435845614035615"/>
        <n v="-0.18413266916487028"/>
        <n v="-0.184112049228891"/>
        <n v="-0.18405503338537446"/>
        <n v="-0.1838849917053602"/>
        <n v="-0.18365724596830513"/>
        <n v="-0.18350541547693505"/>
        <n v="-0.18325498516332767"/>
        <n v="-0.1832070749141331"/>
        <n v="-0.1830520680526507"/>
        <n v="-0.18303216279994675"/>
        <n v="-0.18287805590999617"/>
        <n v="-0.182795946742592"/>
        <n v="-0.18275031289197805"/>
        <n v="-0.1826798768847368"/>
        <n v="-0.18194743240658107"/>
        <n v="-0.18189634578727418"/>
        <n v="-0.18149511730258322"/>
        <n v="-0.1814532421566022"/>
        <n v="-0.18107882752960958"/>
        <n v="-0.1809468758211926"/>
        <n v="-0.18074258228346696"/>
        <n v="-0.1806898016001002"/>
        <n v="-0.18059099001985535"/>
        <n v="-0.1805270126318425"/>
        <n v="-0.18048619627589896"/>
        <n v="-0.1802929141545628"/>
        <n v="-0.17986881580506295"/>
        <n v="-0.17961359446653608"/>
        <n v="-0.17950003923501973"/>
        <n v="-0.17869422060726892"/>
        <n v="-0.17849503573147396"/>
        <n v="-0.1784160499946803"/>
        <n v="-0.17809018089090478"/>
        <n v="-0.17792294500448985"/>
        <n v="-0.17769694627099655"/>
        <n v="-0.17764159802178894"/>
        <n v="-0.177261095352081"/>
        <n v="-0.17724883985739756"/>
        <n v="-0.1769402555009833"/>
        <n v="-0.17654434743623046"/>
        <n v="-0.1765328595643242"/>
        <n v="-0.1763822202117462"/>
        <n v="-0.17626604447488725"/>
        <n v="-0.1762641121830689"/>
        <n v="-0.17605587465245381"/>
        <n v="-0.17604925721471978"/>
        <n v="-0.17578551261639144"/>
        <n v="-0.17562936755561875"/>
        <n v="-0.17557034001103103"/>
        <n v="-0.17519468130574445"/>
        <n v="-0.17513446262236457"/>
        <n v="-0.1748403572197124"/>
        <n v="-0.17483212512717128"/>
        <n v="-0.17471642584582905"/>
        <n v="-0.17465639245070574"/>
        <n v="-0.1745701804719066"/>
        <n v="-0.17435074623664545"/>
        <n v="-0.17431162394476177"/>
        <n v="-0.17424923474180512"/>
        <n v="-0.17390150162375625"/>
        <n v="-0.17389295189420387"/>
        <n v="-0.1738749259938163"/>
        <n v="-0.17378336712532788"/>
        <n v="-0.17375610328186364"/>
        <n v="-0.1736536918154915"/>
        <n v="-0.1734334634877023"/>
        <n v="-0.17340807899655442"/>
        <n v="-0.1733712860427531"/>
        <n v="-0.17320521482537943"/>
        <n v="-0.17293612333736194"/>
        <n v="-0.17245537972085861"/>
        <n v="-0.17217474742143302"/>
        <n v="-0.17215939496588997"/>
        <n v="-0.17209094418996898"/>
        <n v="-0.17207286535007954"/>
        <n v="-0.171785562673418"/>
        <n v="-0.17134312078651937"/>
        <n v="-0.17109393455120592"/>
        <n v="-0.1710356746293954"/>
        <n v="-0.17089234092807584"/>
        <n v="-0.1705577368064913"/>
        <n v="-0.1705509605502516"/>
        <n v="-0.17026371081309197"/>
        <n v="-0.17009343090531934"/>
        <n v="-0.16993461239970212"/>
        <n v="-0.1697452742712555"/>
        <n v="-0.16972343672673312"/>
        <n v="-0.16961054323899022"/>
        <n v="-0.16943073422088056"/>
        <n v="-0.16931479671177996"/>
        <n v="-0.16930966158009836"/>
        <n v="-0.1691565870104343"/>
        <n v="-0.16902471471127015"/>
        <n v="-0.16897521627701947"/>
        <n v="-0.16859513712332652"/>
        <n v="-0.1684906610163813"/>
        <n v="-0.16771496496519586"/>
        <n v="-0.16757014895782385"/>
        <n v="-0.1674477792992458"/>
        <n v="-0.16744116186151176"/>
        <n v="-0.16739621622442208"/>
        <n v="-0.16720828099277507"/>
        <n v="-0.16711396927018932"/>
        <n v="-0.16676748023043442"/>
        <n v="-0.16667044212350238"/>
        <n v="-0.16661038225862812"/>
        <n v="-0.1665145088207372"/>
        <n v="-0.1662503936458957"/>
        <n v="-0.16617723125430806"/>
        <n v="-0.16594321218628108"/>
        <n v="-0.16589625484812032"/>
        <n v="-0.16581782497609635"/>
        <n v="-0.16566181226407836"/>
        <n v="-0.16558875575149437"/>
        <n v="-0.16524237259074326"/>
        <n v="-0.16522357906757856"/>
        <n v="-0.16516958077566868"/>
        <n v="-0.16428604695916912"/>
        <n v="-0.16423916903026112"/>
        <n v="-0.1637370378550014"/>
        <n v="-0.16340743651634376"/>
        <n v="-0.16321651020284095"/>
        <n v="-0.1631565826867214"/>
        <n v="-0.16315258575432998"/>
        <n v="-0.16280569966831104"/>
        <n v="-0.1626740920666563"/>
        <n v="-0.16255026657177665"/>
        <n v="-0.1624926154542376"/>
        <n v="-0.16237411037929625"/>
        <n v="-0.1623075918951936"/>
        <n v="-0.1622870248987161"/>
        <n v="-0.1622594698879916"/>
        <n v="-0.16225708761040733"/>
        <n v="-0.16182907173776886"/>
        <n v="-0.16167149731044572"/>
        <n v="-0.16160521705410144"/>
        <n v="-0.16140936736692443"/>
        <n v="-0.16139589426369796"/>
        <n v="-0.16117336306757724"/>
        <n v="-0.16089564244075463"/>
        <n v="-0.16044343321576057"/>
        <n v="-0.16037556477436007"/>
        <n v="-0.16030944333652145"/>
        <n v="-0.1601845325818535"/>
        <n v="-0.16007002443930354"/>
        <n v="-0.15997044523628148"/>
        <n v="-0.15945574092932702"/>
        <n v="-0.15942543306450505"/>
        <n v="-0.15938546374059143"/>
        <n v="-0.15938300205375433"/>
        <n v="-0.15913725688606264"/>
        <n v="-0.15907322655854803"/>
        <n v="-0.15860481784598096"/>
        <n v="-0.1582320708132973"/>
        <n v="-0.15819533079899786"/>
        <n v="-0.1581148627561518"/>
        <n v="-0.15760455242785276"/>
        <n v="-0.15738405940255415"/>
        <n v="-0.15678714004919184"/>
        <n v="-0.156689996063256"/>
        <n v="-0.1564039109951375"/>
        <n v="-0.1560738067312121"/>
        <n v="-0.1557115152501483"/>
        <n v="-0.15562440329981725"/>
        <n v="-0.1549690122666369"/>
        <n v="-0.15478269168979694"/>
        <n v="-0.1545326584224536"/>
        <n v="-0.15432214449325793"/>
        <n v="-0.15423916182407296"/>
        <n v="-0.1540296537454129"/>
        <n v="-0.15399651361724076"/>
        <n v="-0.15395514139652752"/>
        <n v="-0.15380722842829592"/>
        <n v="-0.15365052750275365"/>
        <n v="-0.1532056768685198"/>
        <n v="-0.15281188638384188"/>
        <n v="-0.15271376301712142"/>
        <n v="-0.15249443466086404"/>
        <n v="-0.1524209546322651"/>
        <n v="-0.15229442922279007"/>
        <n v="-0.15218791494502276"/>
        <n v="-0.15202816999812277"/>
        <n v="-0.15194034336451648"/>
        <n v="-0.15179449503685805"/>
        <n v="-0.1516872660758154"/>
        <n v="-0.15153972368409707"/>
        <n v="-0.1512839200110496"/>
        <n v="-0.15107258551957495"/>
        <n v="-0.15060372682124198"/>
        <n v="-0.15052958504886968"/>
        <n v="-0.1504689957889767"/>
        <n v="-0.1502178772618449"/>
        <n v="-0.150156838016186"/>
        <n v="-0.15000153998744337"/>
        <n v="-0.14968911751714337"/>
        <n v="-0.1496828177164205"/>
        <n v="-0.149581385630833"/>
        <n v="-0.14956936836390794"/>
        <n v="-0.14955639818594926"/>
        <n v="-0.14948000648474732"/>
        <n v="-0.1490073096725286"/>
        <n v="-0.14878496376466455"/>
        <n v="-0.1487568264194193"/>
        <n v="-0.14817833001270858"/>
        <n v="-0.14809442090224087"/>
        <n v="-0.14798973303728816"/>
        <n v="-0.14791162080227538"/>
        <n v="-0.1478994711865957"/>
        <n v="-0.14783369385551923"/>
        <n v="-0.1476770988089806"/>
        <n v="-0.147631306139861"/>
        <n v="-0.14703449266550245"/>
        <n v="-0.14688620912075787"/>
        <n v="-0.14677673023088567"/>
        <n v="-0.14670264139801525"/>
        <n v="-0.14597895840741945"/>
        <n v="-0.14577884709034172"/>
        <n v="-0.14555533651343644"/>
        <n v="-0.14552489629985987"/>
        <n v="-0.14548992975887315"/>
        <n v="-0.14533733164472595"/>
        <n v="-0.14506466674033203"/>
        <n v="-0.14500563919574433"/>
        <n v="-0.14498541630602907"/>
        <n v="-0.14497342550885495"/>
        <n v="-0.14496540517432127"/>
        <n v="-0.14494473229884014"/>
        <n v="-0.1449142656155126"/>
        <n v="-0.14480354264734646"/>
        <n v="-0.14468209943005117"/>
        <n v="-0.14462579826980984"/>
        <n v="-0.14462537475379486"/>
        <n v="-0.1444334690595074"/>
        <n v="-0.14406826590584054"/>
        <n v="-0.14364827036773584"/>
        <n v="-0.143553191022373"/>
        <n v="-0.14352568895115025"/>
        <n v="-0.14337253497223337"/>
        <n v="-0.14335532963412492"/>
        <n v="-0.143127504487817"/>
        <n v="-0.1427151587077328"/>
        <n v="-0.14254403176793023"/>
        <n v="-0.14236991374627186"/>
        <n v="-0.14236509625160154"/>
        <n v="-0.14222824763926134"/>
        <n v="-0.14199113161037485"/>
        <n v="-0.14186254156032677"/>
        <n v="-0.1412239852887418"/>
        <n v="-0.14073323610638458"/>
        <n v="-0.140480794091706"/>
        <n v="-0.139810738816507"/>
        <n v="-0.1395864076773226"/>
        <n v="-0.13935646495093987"/>
        <n v="-0.13921583116421576"/>
        <n v="-0.13915383900752318"/>
        <n v="-0.13914894210360004"/>
        <n v="-0.13850088319142898"/>
        <n v="-0.1382843341590199"/>
        <n v="-0.13815817932605795"/>
        <n v="-0.13769657333948154"/>
        <n v="-0.13756070410792595"/>
        <n v="-0.1371320529612651"/>
        <n v="-0.13713123239898609"/>
        <n v="-0.1369095482348954"/>
        <n v="-0.13666324720243403"/>
        <n v="-0.13658637904571522"/>
        <n v="-0.1362626010522636"/>
        <n v="-0.13625878940812877"/>
        <n v="-0.13624253698105399"/>
        <n v="-0.13612689063921365"/>
        <n v="-0.13602479680985272"/>
        <n v="-0.13562629470950818"/>
        <n v="-0.13541085740663844"/>
        <n v="-0.13517779124964516"/>
        <n v="-0.13497389475818367"/>
        <n v="-0.134560066672047"/>
        <n v="-0.1341495737745284"/>
        <n v="-0.134089593318907"/>
        <n v="-0.13400872822979687"/>
        <n v="-0.1336504072113735"/>
        <n v="-0.13363309599426115"/>
        <n v="-0.13356236881975966"/>
        <n v="-0.13343070827860293"/>
        <n v="-0.13326982513241276"/>
        <n v="-0.1332312851750496"/>
        <n v="-0.13292870945209792"/>
        <n v="-0.1326972579499117"/>
        <n v="-0.13245074515944288"/>
        <n v="-0.13228107405594183"/>
        <n v="-0.1319467875713685"/>
        <n v="-0.13177293424721953"/>
        <n v="-0.13175559656035626"/>
        <n v="-0.13152544207596598"/>
        <n v="-0.1308076089003271"/>
        <n v="-0.1307765863522299"/>
        <n v="-0.1306076299320041"/>
        <n v="-0.13055966674330774"/>
        <n v="-0.13051157120585657"/>
        <n v="-0.13000385491314925"/>
        <n v="-0.129967035489597"/>
        <n v="-0.12974696598031346"/>
        <n v="-0.12974394842870668"/>
        <n v="-0.12971170827206638"/>
        <n v="-0.12970755252116942"/>
        <n v="-0.1296387046989844"/>
        <n v="-0.1295201202147902"/>
        <n v="-0.12922784122495262"/>
        <n v="-0.1292263059793983"/>
        <n v="-0.12870977525962923"/>
        <n v="-0.12855307433408697"/>
        <n v="-0.12845566565064173"/>
        <n v="-0.12835264537999802"/>
        <n v="-0.12813535519456268"/>
        <n v="-0.1280430022335463"/>
        <n v="-0.12787984268877553"/>
        <n v="-0.12741736320041816"/>
        <n v="-0.12733800688711142"/>
        <n v="-0.1270743946375378"/>
        <n v="-0.12695506900031736"/>
        <n v="-0.12641005682854103"/>
        <n v="-0.12632342133372682"/>
        <n v="-0.12591711065685604"/>
        <n v="-0.1256342284286009"/>
        <n v="-0.12548197442121584"/>
        <n v="-0.1251799810327847"/>
        <n v="-0.12471771330243485"/>
        <n v="-0.12446008321657277"/>
        <n v="-0.12423898138700269"/>
        <n v="-0.12410440917324296"/>
        <n v="-0.12405109909485747"/>
        <n v="-0.1238490025464596"/>
        <n v="-0.12378468105168462"/>
        <n v="-0.12376009065306488"/>
        <n v="-0.12369629855330865"/>
        <n v="-0.12362763601938011"/>
        <n v="-0.12346365591233033"/>
        <n v="-0.12332111630353892"/>
        <n v="-0.12331449886580487"/>
        <n v="-0.12326910324294928"/>
        <n v="-0.12309535579780398"/>
        <n v="-0.12274431396088809"/>
        <n v="-0.12263202927741666"/>
        <n v="-0.12222690973933806"/>
        <n v="-0.12195787119082258"/>
        <n v="-0.12188121479211131"/>
        <n v="-0.12130576240675821"/>
        <n v="-0.12128305136045495"/>
        <n v="-0.12113159144559804"/>
        <n v="-0.12103148284755734"/>
        <n v="-0.12072909241286209"/>
        <n v="-0.12056185652644717"/>
        <n v="-0.12054809225596033"/>
        <n v="-0.12045507755117053"/>
        <n v="-0.12018175090300327"/>
        <n v="-0.11997380453964847"/>
        <n v="-0.11971956258190625"/>
        <n v="-0.11947042928609469"/>
        <n v="-0.11899267675144719"/>
        <n v="-0.11875757242363179"/>
        <n v="-0.11863792914940015"/>
        <n v="-0.11862681185400699"/>
        <n v="-0.11843583260100228"/>
        <n v="-0.11838884879309047"/>
        <n v="-0.11799029375324414"/>
        <n v="-0.11762273479174397"/>
        <n v="-0.11725493760248541"/>
        <n v="-0.1172034539369145"/>
        <n v="-0.11709725729615848"/>
        <n v="-0.11701411580846788"/>
        <n v="-0.11694103282613297"/>
        <n v="-0.11683999778680951"/>
        <n v="-0.11681906021381894"/>
        <n v="-0.11618693609171153"/>
        <n v="-0.11602885873912049"/>
        <n v="-0.11566632903029825"/>
        <n v="-0.11548088195523927"/>
        <n v="-0.11547431745700701"/>
        <n v="-0.11541822805477323"/>
        <n v="-0.11519066760597474"/>
        <n v="-0.11515580694399169"/>
        <n v="-0.11502539048112902"/>
        <n v="-0.11479367428143347"/>
        <n v="-0.11440689828075375"/>
        <n v="-0.11432439206708554"/>
        <n v="-0.11426179110612149"/>
        <n v="-0.11425252669329375"/>
        <n v="-0.1141081871414387"/>
        <n v="-0.11389388803785916"/>
        <n v="-0.1137403634824292"/>
        <n v="-0.11366685698407931"/>
        <n v="-0.11366473940400447"/>
        <n v="-0.11321237136050476"/>
        <n v="-0.11313629729631411"/>
        <n v="-0.11228354780015337"/>
        <n v="-0.11183917362143639"/>
        <n v="-0.11082040584740377"/>
        <n v="-0.11026274113467985"/>
        <n v="-0.11021874840862388"/>
        <n v="-0.11014135085688644"/>
        <n v="-0.10957622167439854"/>
        <n v="-0.10955610466368697"/>
        <n v="-0.10930935364545968"/>
        <n v="-0.10885063286173534"/>
        <n v="-0.1088315481713103"/>
        <n v="-0.10805018759342451"/>
        <n v="-0.1078743490379553"/>
        <n v="-0.10770602789175197"/>
        <n v="-0.10749252288070059"/>
        <n v="-0.10747394111554334"/>
        <n v="-0.10730802871667522"/>
        <n v="-0.1071137407448035"/>
        <n v="-0.10699422981932655"/>
        <n v="-0.10698136552037153"/>
        <n v="-0.10694306379076685"/>
        <n v="-0.10660356276525917"/>
        <n v="-0.10642462724893038"/>
        <n v="-0.10639736340546613"/>
        <n v="-0.10630164878608077"/>
        <n v="-0.1058814150202176"/>
        <n v="-0.10559577993786509"/>
        <n v="-0.10545316091982077"/>
        <n v="-0.10518880751722097"/>
        <n v="-0.10408433068965689"/>
        <n v="-0.10393048849721573"/>
        <n v="-0.10376105562147306"/>
        <n v="-0.10370703085981232"/>
        <n v="-0.10347759105869728"/>
        <n v="-0.10342639856038663"/>
        <n v="-0.10341993994115824"/>
        <n v="-0.10284562575509543"/>
        <n v="-0.10280528585466862"/>
        <n v="-0.10271936504312973"/>
        <n v="-0.10271023297905671"/>
        <n v="-0.10261838294330815"/>
        <n v="-0.10253492381860624"/>
        <n v="-0.10212361035880857"/>
        <n v="-0.10200132010948333"/>
        <n v="-0.10163924038642701"/>
        <n v="-0.10159710054293655"/>
        <n v="-0.10115201168094433"/>
        <n v="-0.10104528564516958"/>
        <n v="-0.10103011847788312"/>
        <n v="-0.10061279638462296"/>
        <n v="-0.10023975818467902"/>
        <n v="-0.10004753485338035"/>
        <n v="-0.10000229804903031"/>
        <n v="-0.09982672419107053"/>
        <n v="-0.09956086201266726"/>
        <n v="-0.09922530498004901"/>
        <n v="-0.09919102665258668"/>
        <n v="-0.09912501109375173"/>
        <n v="-0.09894980781230503"/>
        <n v="-0.09892077049552797"/>
        <n v="-0.09888508927126602"/>
        <n v="-0.09882558527116145"/>
        <n v="-0.09882484411813518"/>
        <n v="-0.09859365731345847"/>
        <n v="-0.09845408231677184"/>
        <n v="-0.09840635735583386"/>
        <n v="-0.09822334549786094"/>
        <n v="-0.09817861161877879"/>
        <n v="-0.09810341105636902"/>
        <n v="-0.09787510945454428"/>
        <n v="-0.09751025040763966"/>
        <n v="-0.09624597569367371"/>
        <n v="-0.09601513299575914"/>
        <n v="-0.09582399492424878"/>
        <n v="-0.09547721471723362"/>
        <n v="-0.09524581615454927"/>
        <n v="-0.09524359269547067"/>
        <n v="-0.09506113670226742"/>
        <n v="-0.09430338714221671"/>
        <n v="-0.09406375648699128"/>
        <n v="-0.09378743875696828"/>
        <n v="-0.09347213108381623"/>
        <n v="-0.09317516694806294"/>
        <n v="-0.09310298393725994"/>
        <n v="-0.09279400253458157"/>
        <n v="-0.09265834506103353"/>
        <n v="-0.0926521246695636"/>
        <n v="-0.09189956318069639"/>
        <n v="-0.09177515535129623"/>
        <n v="-0.09168955217676854"/>
        <n v="-0.09163520977809651"/>
        <n v="-0.09153171305193596"/>
        <n v="-0.09142795162826599"/>
        <n v="-0.09114046366334796"/>
        <n v="-0.09099927401185419"/>
        <n v="-0.09058727233853223"/>
        <n v="-0.0905800990360285"/>
        <n v="-0.09027559102125839"/>
        <n v="-0.09023967156923796"/>
        <n v="-0.08970416203804764"/>
        <n v="-0.08929083687717888"/>
        <n v="-0.08912979491248295"/>
        <n v="-0.08896832943177214"/>
        <n v="-0.08812997948012076"/>
        <n v="-0.08786435552947597"/>
        <n v="-0.08784564141556402"/>
        <n v="-0.08778028760050259"/>
        <n v="-0.08762538661802387"/>
        <n v="-0.08698987436779661"/>
        <n v="-0.08693341438904964"/>
        <n v="-0.08687158105086269"/>
        <n v="-0.08579833852940344"/>
        <n v="-0.08576162498485486"/>
        <n v="-0.08500398130380793"/>
        <n v="-0.08460307045612818"/>
        <n v="-0.08450772641325599"/>
        <n v="-0.08432116760865767"/>
        <n v="-0.08356159163579238"/>
        <n v="-0.0833786062475704"/>
        <n v="-0.08323180500887815"/>
        <n v="-0.08307695696590141"/>
        <n v="-0.08291623263821678"/>
        <n v="-0.08281800339249254"/>
        <n v="-0.08261540391882678"/>
        <n v="-0.08245301199683322"/>
        <n v="-0.08148829545421236"/>
        <n v="-0.08127566394494186"/>
        <n v="-0.08122748899823798"/>
        <n v="-0.08106313831467502"/>
        <n v="-0.08085050680540451"/>
        <n v="-0.08078017667716704"/>
        <n v="-0.08030861806423861"/>
        <n v="-0.07994561189989953"/>
        <n v="-0.0798718936435422"/>
        <n v="-0.07957434717326829"/>
        <n v="-0.07940102324413807"/>
        <n v="-0.07901848240360802"/>
        <n v="-0.07883446469509961"/>
        <n v="-0.07831226944863012"/>
        <n v="-0.07800328804595184"/>
        <n v="-0.07798782971140514"/>
        <n v="-0.07792583755471254"/>
        <n v="-0.07787808612402362"/>
        <n v="-0.07780338848688165"/>
        <n v="-0.0777367376540243"/>
        <n v="-0.07767453373932415"/>
        <n v="-0.07759070403810926"/>
        <n v="-0.0765168262426275"/>
        <n v="-0.07621080945205402"/>
        <n v="-0.07609757185754898"/>
        <n v="-0.07607380202120824"/>
        <n v="-0.07604674993575142"/>
        <n v="-0.07594110915976508"/>
        <n v="-0.07563697172150807"/>
        <n v="-0.07521597033286778"/>
        <n v="-0.07507197488777487"/>
        <n v="-0.0747317062394899"/>
        <n v="-0.07459096657376213"/>
        <n v="-0.07431525764801061"/>
        <n v="-0.07430845492202007"/>
        <n v="-0.0742820116408348"/>
        <n v="-0.07344871741161219"/>
        <n v="-0.07325212657140902"/>
        <n v="-0.07318460223677069"/>
        <n v="-0.07276712132500496"/>
        <n v="-0.07275123947444317"/>
        <n v="-0.07260573525354688"/>
        <n v="-0.07245424886893904"/>
        <n v="-0.07214624684704532"/>
        <n v="-0.07178787288912004"/>
        <n v="-0.07177969373608083"/>
        <n v="-0.07144951006290258"/>
        <n v="-0.07101315621871926"/>
        <n v="-0.07045149457360403"/>
        <n v="-0.07037769690799388"/>
        <n v="-0.07027345902880706"/>
        <n v="-0.07000812624542263"/>
        <n v="-0.06970197710609444"/>
        <n v="-0.06964644356863033"/>
        <n v="-0.06908830240038956"/>
        <n v="-0.06877998274148464"/>
        <n v="-0.06845742235657602"/>
        <n v="-0.06845578123201804"/>
        <n v="-0.06806334070463786"/>
        <n v="-0.06729013281004044"/>
        <n v="-0.06717697462478814"/>
        <n v="-0.06714341098060103"/>
        <n v="-0.06713859348593072"/>
        <n v="-0.0662141639042347"/>
        <n v="-0.06608419742713793"/>
        <n v="-0.0660150319679417"/>
        <n v="-0.06576735450843164"/>
        <n v="-0.06568339245846194"/>
        <n v="-0.06553738531229786"/>
        <n v="-0.06531202185282704"/>
        <n v="-0.06498091173836604"/>
        <n v="-0.06399314004267977"/>
        <n v="-0.06373810399240949"/>
        <n v="-0.06311897651801171"/>
        <n v="-0.06306680463891641"/>
        <n v="-0.06300018027581"/>
        <n v="-0.06295126417607985"/>
        <n v="-0.06244471255241375"/>
        <n v="-0.06232030472301358"/>
        <n v="-0.061996950245576915"/>
        <n v="-0.061920876181386274"/>
        <n v="-0.06151805951163911"/>
        <n v="-0.06016651402883663"/>
        <n v="-0.060158387815299204"/>
        <n v="-0.06000470444136359"/>
        <n v="-0.05983124816347866"/>
        <n v="-0.059626610518990875"/>
        <n v="-0.059353998554098945"/>
        <n v="-0.058945676176157084"/>
        <n v="-0.05893312951421327"/>
        <n v="-0.05879784261717832"/>
        <n v="-0.05877261694453618"/>
        <n v="-0.05867944342124073"/>
        <n v="-0.057601542223616624"/>
        <n v="-0.057544288152341604"/>
        <n v="-0.057171541119658026"/>
        <n v="-0.05715460047905887"/>
        <n v="-0.05695636851429761"/>
        <n v="-0.05679050905493137"/>
        <n v="-0.05670832047827447"/>
        <n v="-0.05653809351000373"/>
        <n v="-0.05598103760155138"/>
        <n v="-0.05508860994873729"/>
        <n v="-0.05465635891594904"/>
        <n v="-0.05456665293002627"/>
        <n v="-0.054420513435107475"/>
        <n v="-0.054164550943554435"/>
        <n v="-0.05397298935602911"/>
        <n v="-0.053870101434140116"/>
        <n v="-0.05380916806748499"/>
        <n v="-0.053337794742813055"/>
        <n v="-0.0532632294544258"/>
        <n v="-0.0528235404216245"/>
        <n v="-0.05278531810127264"/>
        <n v="-0.052563580997680055"/>
        <n v="-0.05207219654130032"/>
        <n v="-0.0519471269681268"/>
        <n v="-0.05185196821351112"/>
        <n v="-0.05159812330203292"/>
        <n v="-0.051452539671883804"/>
        <n v="-0.05125621352919005"/>
        <n v="-0.05109575389901474"/>
        <n v="-0.050801966133373865"/>
        <n v="-0.05032262541367015"/>
        <n v="-0.05022836663058629"/>
        <n v="-0.04996904248066434"/>
        <n v="-0.04992973490052406"/>
        <n v="-0.04934954442975338"/>
        <n v="-0.04934734744042571"/>
        <n v="-0.04877954481309319"/>
        <n v="-0.048613394186466694"/>
        <n v="-0.04857993642128335"/>
        <n v="-0.04854028473438093"/>
        <n v="-0.04836574319670758"/>
        <n v="-0.04811547170160573"/>
        <n v="-0.04805152078334393"/>
        <n v="-0.04781165190036001"/>
        <n v="-0.047184345272922916"/>
        <n v="-0.046821577336342304"/>
        <n v="-0.04671440131480155"/>
        <n v="-0.04671223079522482"/>
        <n v="-0.04658792884482841"/>
        <n v="-0.04651050482334003"/>
        <n v="-0.04541452478582647"/>
        <n v="-0.04511179024436917"/>
        <n v="-0.044892276599855195"/>
        <n v="-0.044548063958680884"/>
        <n v="-0.04442180324671518"/>
        <n v="-0.044324209275013356"/>
        <n v="-0.043482841771755196"/>
        <n v="-0.04346007778595005"/>
        <n v="-0.04330567972873921"/>
        <n v="-0.043165734155539495"/>
        <n v="-0.04306787548632835"/>
        <n v="-0.04264099781298019"/>
        <n v="-0.04237097988367995"/>
        <n v="-0.04231380522165776"/>
        <n v="-0.042138390182203625"/>
        <n v="-0.04169552477928992"/>
        <n v="-0.04145425299950648"/>
        <n v="-0.04131523386758953"/>
        <n v="-0.04115347721961837"/>
        <n v="-0.04075171933990868"/>
        <n v="-0.04028254300456452"/>
        <n v="-0.039686947138749006"/>
        <n v="-0.03957723002111843"/>
        <n v="-0.03922703521623248"/>
        <n v="-0.0389558526178911"/>
        <n v="-0.0388898105893052"/>
        <n v="-0.03873390375629098"/>
        <n v="-0.03850459630393064"/>
        <n v="-0.038249877890671566"/>
        <n v="-0.0378367380180593"/>
        <n v="-0.0374592264302072"/>
        <n v="-0.03711125508439986"/>
        <n v="-0.03637547541762625"/>
        <n v="-0.03620127798671505"/>
        <n v="-0.036152838342501846"/>
        <n v="-0.03569874976519122"/>
        <n v="-0.03564925133094054"/>
        <n v="-0.035474974490776606"/>
        <n v="-0.0354438195939247"/>
        <n v="-0.03518854531589596"/>
        <n v="-0.034981366575318265"/>
        <n v="-0.03497350505929025"/>
        <n v="-0.034262871655905955"/>
        <n v="-0.03409881213960336"/>
        <n v="-0.03403311421777971"/>
        <n v="-0.033849228858025895"/>
        <n v="-0.03372926794678304"/>
        <n v="-0.03272439679199197"/>
        <n v="-0.03235765839277088"/>
        <n v="-0.03212940973044801"/>
        <n v="-0.03199544632095985"/>
        <n v="-0.0315528720853066"/>
        <n v="-0.03135434895328507"/>
        <n v="-0.031221311985079672"/>
        <n v="-0.030868734902609454"/>
        <n v="-0.03038005036082528"/>
        <n v="-0.030161489627345012"/>
        <n v="-0.030071413064909156"/>
        <n v="-0.030018552972289572"/>
        <n v="-0.02970083655180231"/>
        <n v="-0.02963855322784935"/>
        <n v="-0.02940781640893855"/>
        <n v="-0.029284732067085165"/>
        <n v="-0.02913009578211585"/>
        <n v="-0.029050210073790387"/>
        <n v="-0.02881521162497876"/>
        <n v="-0.028406624549527585"/>
        <n v="-0.02826503785176978"/>
        <n v="-0.028245900221842955"/>
        <n v="-0.027965267922417356"/>
        <n v="-0.027830404541397367"/>
        <n v="-0.027351884383972652"/>
        <n v="-0.026916509920573973"/>
        <n v="-0.026768782240599066"/>
        <n v="-0.026397358695462284"/>
        <n v="-0.026303364609887744"/>
        <n v="-0.026014791385181302"/>
        <n v="-0.02587002831731118"/>
        <n v="-0.025773810772658126"/>
        <n v="-0.025653611633656797"/>
        <n v="-0.02548142590381677"/>
        <n v="-0.02541292218839388"/>
        <n v="-0.02538896706379665"/>
        <n v="-0.02520524052254849"/>
        <n v="-0.02501788762542201"/>
        <n v="-0.024417341916181477"/>
        <n v="-0.024317895061914122"/>
        <n v="-0.02389845538857901"/>
        <n v="-0.023866718157206587"/>
        <n v="-0.023635001957511042"/>
        <n v="-0.02335783719545802"/>
        <n v="-0.02331585617047322"/>
        <n v="-0.023056267323041855"/>
        <n v="-0.022578488318643408"/>
        <n v="-0.022463662539082167"/>
        <n v="-0.022127205534932103"/>
        <n v="-0.02169924260179553"/>
        <n v="-0.021584522701238056"/>
        <n v="-0.021569223185196894"/>
        <n v="-0.021183029519037683"/>
        <n v="-0.020091258171923067"/>
        <n v="-0.01974709847025054"/>
        <n v="-0.019570545231506115"/>
        <n v="-0.01953187292538824"/>
        <n v="-0.019067672903220038"/>
        <n v="-0.018506434774119784"/>
        <n v="-0.018476603364814673"/>
        <n v="-0.01811206195492126"/>
        <n v="-0.017701039662383934"/>
        <n v="-0.017533989064225517"/>
        <n v="-0.01739166121344154"/>
        <n v="-0.016623509041272914"/>
        <n v="-0.01661699748254263"/>
        <n v="-0.01654584679202616"/>
        <n v="-0.016333956435781824"/>
        <n v="-0.015435573089007122"/>
        <n v="-0.01527479582182061"/>
        <n v="-0.014797916788953983"/>
        <n v="-0.014676288283402098"/>
        <n v="-0.014285012425063163"/>
        <n v="-0.014090036239667042"/>
        <n v="-0.014066398752081011"/>
        <n v="-0.013891751335403992"/>
        <n v="-0.013523715918386962"/>
        <n v="-0.013180323839491647"/>
        <n v="-0.012759348920602306"/>
        <n v="-0.012629382443505456"/>
        <n v="-0.012510665610556667"/>
        <n v="-0.01199297022174638"/>
        <n v="-0.011155123195362684"/>
        <n v="-0.011144217657977058"/>
        <n v="-0.010922401145131648"/>
        <n v="-0.010915466070386298"/>
        <n v="-0.01085548561476487"/>
        <n v="-0.01051789041132461"/>
        <n v="-0.010438004702999147"/>
        <n v="-0.010418628845313848"/>
        <n v="-0.010237363990902682"/>
        <n v="-0.010236702247129238"/>
        <n v="-0.00988960440310287"/>
        <n v="-0.009790951641363668"/>
        <n v="-0.009505951833033476"/>
        <n v="-0.008308248542672163"/>
        <n v="-0.008195699161691416"/>
        <n v="-0.008121901496081366"/>
        <n v="-0.007974041467351657"/>
        <n v="-0.007894949851554346"/>
        <n v="-0.007834942926181978"/>
        <n v="-0.007788859089802"/>
        <n v="-0.0077177878085383554"/>
        <n v="-0.007236832434027493"/>
        <n v="-0.007032935942565884"/>
        <n v="-0.006825518974229813"/>
        <n v="-0.006537236916783634"/>
        <n v="-0.006511084802858634"/>
        <n v="-0.006243343272138992"/>
        <n v="-0.005696372338793271"/>
        <n v="-0.005554706231782739"/>
        <n v="-0.004813817903078368"/>
        <n v="-0.004736049774827849"/>
        <n v="-0.004564975774527174"/>
        <n v="-0.004296731318539642"/>
        <n v="-0.004119410457018003"/>
        <n v="-0.004067794442692484"/>
        <n v="-0.003921337310762389"/>
        <n v="-0.0036776303138928057"/>
        <n v="-0.0035801157514438035"/>
        <n v="-0.0031108600068468152"/>
        <n v="-0.00302136577893148"/>
        <n v="-0.0030011428892162415"/>
        <n v="-0.0029575736791752336"/>
        <n v="-0.002606028916991544"/>
        <n v="-0.0024187289593669455"/>
        <n v="-0.002169833891313868"/>
        <n v="-0.0020356322540673257"/>
        <n v="-0.0017519029937821378"/>
        <n v="-0.0015845612283634579"/>
        <n v="-0.0015777320326219705"/>
        <n v="-0.001571273413393473"/>
        <n v="-0.0014834203100362276"/>
        <n v="-0.001250327683292009"/>
        <n v="-9.82215576059185E-4"/>
        <n v="-7.56640358580935E-4"/>
        <n v="-5.664551981042802E-4"/>
        <n v="-2.602795890252413E-4"/>
        <n v="-9.277900510091188E-5"/>
        <n v="2.0397337264484476E-4"/>
        <n v="2.3724584957168996E-4"/>
        <n v="3.4468656862167186E-4"/>
        <n v="4.554360065387754E-4"/>
        <n v="5.740204907329543E-4"/>
        <n v="6.503327826820714E-4"/>
        <n v="6.877080710039973E-4"/>
        <n v="0.0010090773171204305"/>
        <n v="0.001031867772676426"/>
        <n v="0.0011825071252544257"/>
        <n v="0.0012005065558910516"/>
        <n v="0.0014644364424758738"/>
        <n v="0.0016154993110688426"/>
        <n v="0.0019400184575466518"/>
        <n v="0.001969823397100822"/>
        <n v="0.001980834813490311"/>
        <n v="0.002135471098459625"/>
        <n v="0.002303818714413893"/>
        <n v="0.00266018097126799"/>
        <n v="0.0029600832493751226"/>
        <n v="0.00344913836767238"/>
        <n v="0.0038128327455358548"/>
        <n v="0.004022896688965604"/>
        <n v="0.004369438668222295"/>
        <n v="0.004562985487067858"/>
        <n v="0.004569761743307558"/>
        <n v="0.0047096014375035055"/>
        <n v="0.004785093167173529"/>
        <n v="0.005239843488257508"/>
        <n v="0.005500094079462219"/>
        <n v="0.006022739311697622"/>
        <n v="0.006401336159338133"/>
        <n v="0.006600309277125568"/>
        <n v="0.007072291406068963"/>
        <n v="0.007484901883662492"/>
        <n v="0.007536226730727846"/>
        <n v="0.007923346838169818"/>
        <n v="0.00812181703068946"/>
        <n v="0.008526777750262409"/>
        <n v="0.008952781921829689"/>
        <n v="0.009323093737427117"/>
        <n v="0.009717254798618109"/>
        <n v="0.009963449952075818"/>
        <n v="0.010732157989014028"/>
        <n v="0.011054956601681019"/>
        <n v="0.011196860936450025"/>
        <n v="0.011230318701633366"/>
        <n v="0.01132579509326025"/>
        <n v="0.011435538680641765"/>
        <n v="0.011637767577794342"/>
        <n v="0.012251786390261452"/>
        <n v="0.01225602155041124"/>
        <n v="0.012464100262520754"/>
        <n v="0.012619821807278482"/>
        <n v="0.012978301644207425"/>
        <n v="0.013238393416906582"/>
        <n v="0.013593061609700802"/>
        <n v="0.01429837459314689"/>
        <n v="0.014380748458060285"/>
        <n v="0.01449298020202983"/>
        <n v="0.014743516394640997"/>
        <n v="0.014955512629889"/>
        <n v="0.015324553897441619"/>
        <n v="0.015476807904826573"/>
        <n v="0.01566172558486691"/>
        <n v="0.01581924707268828"/>
        <n v="0.0158941035283359"/>
        <n v="0.01591350585577214"/>
        <n v="0.01609831765680871"/>
        <n v="0.016190855906081655"/>
        <n v="0.016220793194390435"/>
        <n v="0.01639522885306002"/>
        <n v="0.016879440006936024"/>
        <n v="0.01738112119642992"/>
        <n v="0.01738506518931935"/>
        <n v="0.01750984359523261"/>
        <n v="0.017577579687878386"/>
        <n v="0.018037756307904235"/>
        <n v="0.018261452173066114"/>
        <n v="0.018543990294559123"/>
        <n v="0.01868639755459592"/>
        <n v="0.01871382021656583"/>
        <n v="0.018824146138467966"/>
        <n v="0.019222145313544717"/>
        <n v="0.019330538943628406"/>
        <n v="0.01951442430338221"/>
        <n v="0.01959102776259159"/>
        <n v="0.020098267599782064"/>
        <n v="0.020217063841983775"/>
        <n v="0.02031280493111998"/>
        <n v="0.02036450035469842"/>
        <n v="0.021140858149657212"/>
        <n v="0.021177518754703906"/>
        <n v="0.021609981545499587"/>
        <n v="0.021744500819757335"/>
        <n v="0.0228285165298477"/>
        <n v="0.023128789384468013"/>
        <n v="0.023163517697696263"/>
        <n v="0.023224054018087366"/>
        <n v="0.02326521448079317"/>
        <n v="0.02350979497944373"/>
        <n v="0.023649608203888735"/>
        <n v="0.02384180506543647"/>
        <n v="0.023976483158199866"/>
        <n v="0.024005388126222212"/>
        <n v="0.024266671037713454"/>
        <n v="0.02450820751500631"/>
        <n v="0.024546562184112882"/>
        <n v="0.024724888896170107"/>
        <n v="0.024798951259289576"/>
        <n v="0.024801598234383253"/>
        <n v="0.024813694910561058"/>
        <n v="0.02506020770102997"/>
        <n v="0.025263521857970865"/>
        <n v="0.02539883522475676"/>
        <n v="0.0254043674027024"/>
        <n v="0.025484173701775133"/>
        <n v="0.02613217967444432"/>
        <n v="0.026453151874296723"/>
        <n v="0.0270640472561533"/>
        <n v="0.02750839496511935"/>
        <n v="0.027520650459802808"/>
        <n v="0.027604453691266854"/>
        <n v="0.028191023372013114"/>
        <n v="0.028566205621782834"/>
        <n v="0.028798424746746175"/>
        <n v="0.02910428271881401"/>
        <n v="0.029141155081868143"/>
        <n v="0.02923432860516359"/>
        <n v="0.030148752621005623"/>
        <n v="0.030256272749308526"/>
        <n v="0.0306789152625069"/>
        <n v="0.031195393042774064"/>
        <n v="0.031313262843692916"/>
        <n v="0.03142544164816058"/>
        <n v="0.03164874046705843"/>
        <n v="0.0317552282750747"/>
        <n v="0.03183966678056126"/>
        <n v="0.0320014763680342"/>
        <n v="0.032510198511277115"/>
        <n v="0.032554694162600886"/>
        <n v="0.03260413965734968"/>
        <n v="0.032698530789188246"/>
        <n v="0.0327853780420099"/>
        <n v="0.0330971652382874"/>
        <n v="0.03330939970129388"/>
        <n v="0.03332991375826948"/>
        <n v="0.03334264570846979"/>
        <n v="0.03379797836407438"/>
        <n v="0.03394467372376276"/>
        <n v="0.033980460827028575"/>
        <n v="0.03404232063496647"/>
        <n v="0.03465236898479311"/>
        <n v="0.03477810030174008"/>
        <n v="0.034902958116906156"/>
        <n v="0.035169111462569694"/>
        <n v="0.035341482480666216"/>
        <n v="0.03595224551376818"/>
        <n v="0.03630622549303802"/>
        <n v="0.036401490126657464"/>
        <n v="0.03670239825530019"/>
        <n v="0.036723521116547246"/>
        <n v="0.03713681980766516"/>
        <n v="0.03715608978634669"/>
        <n v="0.037202782426998135"/>
        <n v="0.0372695656086102"/>
        <n v="0.037286797416469716"/>
        <n v="0.03755070083330359"/>
        <n v="0.03837711292728283"/>
        <n v="0.03875375101335405"/>
        <n v="0.03890394038016604"/>
        <n v="0.0389647678678175"/>
        <n v="0.039037983198907035"/>
        <n v="0.03939516601804013"/>
        <n v="0.039810211712719805"/>
        <n v="0.03991712303675114"/>
        <n v="0.03992326401896834"/>
        <n v="0.04015648899446727"/>
        <n v="0.04032237492358445"/>
        <n v="0.04035112107310115"/>
        <n v="0.040671193301421736"/>
        <n v="0.04076825787810473"/>
        <n v="0.04084766713091334"/>
        <n v="0.040959051842852943"/>
        <n v="0.04097088382152143"/>
        <n v="0.04141104930983948"/>
        <n v="0.041709151644883063"/>
        <n v="0.04171333386553097"/>
        <n v="0.04185317355972692"/>
        <n v="0.041885069609605086"/>
        <n v="0.04203687363122413"/>
        <n v="0.04211900926837924"/>
        <n v="0.042324467475146024"/>
        <n v="0.04263900752552087"/>
        <n v="0.04265274532625677"/>
        <n v="0.04290447265766011"/>
        <n v="0.043005401817979814"/>
        <n v="0.043046138764670644"/>
        <n v="0.04350761240249244"/>
        <n v="0.043874218452958816"/>
        <n v="0.04420495799090675"/>
        <n v="0.04429543159960663"/>
        <n v="0.044479105201353"/>
        <n v="0.044527756603573734"/>
        <n v="0.0446061864755977"/>
        <n v="0.04461415387062948"/>
        <n v="0.044938037743084885"/>
        <n v="0.04552865729572435"/>
        <n v="0.04559554635634018"/>
        <n v="0.04582612435674543"/>
        <n v="0.045842826769586106"/>
        <n v="0.04597181386589831"/>
        <n v="0.046001062940682805"/>
        <n v="0.04607610468458692"/>
        <n v="0.04636359264950504"/>
        <n v="0.046888699568577434"/>
        <n v="0.04703359498520217"/>
        <n v="0.04752767935617737"/>
        <n v="0.04802483421826111"/>
        <n v="0.04857556385623977"/>
        <n v="0.04899439472530332"/>
        <n v="0.04901506760078447"/>
        <n v="0.049155277871493604"/>
        <n v="0.049262692120792644"/>
        <n v="0.04960158434202885"/>
        <n v="0.05010916828598147"/>
        <n v="0.05058165334019275"/>
        <n v="0.05088266734783924"/>
        <n v="0.05093195402408248"/>
        <n v="0.051368757854031714"/>
        <n v="0.05152797340591296"/>
        <n v="0.05161762645233385"/>
        <n v="0.05167019537769317"/>
        <n v="0.052614133165829115"/>
        <n v="0.05281988253985625"/>
        <n v="0.05285122272496465"/>
        <n v="0.053411481473280356"/>
        <n v="0.0547713649276278"/>
        <n v="0.05494516531227488"/>
        <n v="0.05506660852957017"/>
        <n v="0.05557784529915206"/>
        <n v="0.05560881490774736"/>
        <n v="0.056020075428043166"/>
        <n v="0.05663263840420878"/>
        <n v="0.0566372176711208"/>
        <n v="0.05670860658939575"/>
        <n v="0.0567181356997327"/>
        <n v="0.05736968861902738"/>
        <n v="0.05834073143212203"/>
        <n v="0.05857644456420889"/>
        <n v="0.05859928795926687"/>
        <n v="0.058782246877737816"/>
        <n v="0.05940058025960754"/>
        <n v="0.059912769940223126"/>
        <n v="0.06063812052512786"/>
        <n v="0.06068701015510707"/>
        <n v="0.06090485620531201"/>
        <n v="0.06152599538078097"/>
        <n v="0.06227051006536356"/>
        <n v="0.062390868022870444"/>
        <n v="0.06290506940455712"/>
        <n v="0.0629690732623209"/>
        <n v="0.06307934624472104"/>
        <n v="0.06323930294962857"/>
        <n v="0.06326458156177268"/>
        <n v="0.06328835139811333"/>
        <n v="0.06343674082186168"/>
        <n v="0.0635482578825559"/>
        <n v="0.06363163759800497"/>
        <n v="0.0637436046444651"/>
        <n v="0.0641543622394931"/>
        <n v="0.06445339101581936"/>
        <n v="0.06446718175605713"/>
        <n v="0.06450442469562445"/>
        <n v="0.0652991789674839"/>
        <n v="0.06550649005681629"/>
        <n v="0.06581332740966868"/>
        <n v="0.06584199414993265"/>
        <n v="0.06585364084034455"/>
        <n v="0.06587447253433135"/>
        <n v="0.06607545735318995"/>
        <n v="0.06634468118996203"/>
        <n v="0.06670901084184791"/>
        <n v="0.06691190148277394"/>
        <n v="0.06693395078530386"/>
        <n v="0.06695777356114638"/>
        <n v="0.06705854390296052"/>
        <n v="0.06731847685715403"/>
        <n v="0.06738571002453202"/>
        <n v="0.06821670138542318"/>
        <n v="0.06835556169883449"/>
        <n v="0.06840611892312264"/>
        <n v="0.0685699137419158"/>
        <n v="0.06866314020471313"/>
        <n v="0.06885067839009612"/>
        <n v="0.06889213002006228"/>
        <n v="0.06929629664710717"/>
        <n v="0.0698766459363834"/>
        <n v="0.06995020537423507"/>
        <n v="0.07012442927489723"/>
        <n v="0.07021426760957471"/>
        <n v="0.07066147405164187"/>
        <n v="0.07075118003756464"/>
        <n v="0.07091500132610877"/>
        <n v="0.07093890351120422"/>
        <n v="0.07112464175352354"/>
        <n v="0.0713105123445975"/>
        <n v="0.07159344751235462"/>
        <n v="0.07161149988249313"/>
        <n v="0.07186073905730836"/>
        <n v="0.07219910188352582"/>
        <n v="0.07268045430430072"/>
        <n v="0.07271759136486426"/>
        <n v="0.0728878183331349"/>
        <n v="0.07313216060402698"/>
        <n v="0.07320495241910155"/>
        <n v="0.07332054582144"/>
        <n v="0.07334092752966088"/>
        <n v="0.07343905089638135"/>
        <n v="0.07384618213553112"/>
        <n v="0.07407996297579963"/>
        <n v="0.07419793865572236"/>
        <n v="0.07423645214333448"/>
        <n v="0.07446345672736338"/>
        <n v="0.07464821558889806"/>
        <n v="0.0746631180586752"/>
        <n v="0.07469543762456825"/>
        <n v="0.07503957085648982"/>
        <n v="0.07513165911999686"/>
        <n v="0.07553619632355484"/>
        <n v="0.07559337098557703"/>
        <n v="0.07584242487213586"/>
        <n v="0.07586566531345776"/>
        <n v="0.07593189263030016"/>
        <n v="0.07598350864462577"/>
        <n v="0.07620648982651232"/>
        <n v="0.07623785648137175"/>
        <n v="0.07688125671737807"/>
        <n v="0.07755321781464448"/>
        <n v="0.07760152511010308"/>
        <n v="0.07762892130232205"/>
        <n v="0.07779128675456476"/>
        <n v="0.07783787351621244"/>
        <n v="0.07803840834930514"/>
        <n v="0.07822711120372926"/>
        <n v="0.07844958946034811"/>
        <n v="0.07849718207253137"/>
        <n v="0.07858064119723328"/>
        <n v="0.07875703561747206"/>
        <n v="0.07912327109142545"/>
        <n v="0.07915924348294766"/>
        <n v="0.07922179150440993"/>
        <n v="0.07965332785392286"/>
        <n v="0.07979224110683604"/>
        <n v="0.08004010385460268"/>
        <n v="0.08006472072297335"/>
        <n v="0.08047576948526163"/>
        <n v="0.08059708035380231"/>
        <n v="0.08060390954954379"/>
        <n v="0.08086400132224295"/>
        <n v="0.08178022528114863"/>
        <n v="0.0817900190889951"/>
        <n v="0.08232259047783147"/>
        <n v="0.08357415971134796"/>
        <n v="0.08364245166876341"/>
        <n v="0.083791555775787"/>
        <n v="0.08422232450252279"/>
        <n v="0.0842824902464008"/>
        <n v="0.08494190468172351"/>
        <n v="0.08500090575656029"/>
        <n v="0.08537089993514652"/>
        <n v="0.08539252572166137"/>
        <n v="0.08546034122355997"/>
        <n v="0.0855923194017278"/>
        <n v="0.08605985461251398"/>
        <n v="0.08656815323974192"/>
        <n v="0.0870779871125241"/>
        <n v="0.08735867235145167"/>
        <n v="0.08757178031623902"/>
        <n v="0.08779992309955813"/>
        <n v="0.08830666001148081"/>
        <n v="0.08841219490846348"/>
        <n v="0.08858903931446827"/>
        <n v="0.08874963129339819"/>
        <n v="0.08886977749289764"/>
        <n v="0.08912071073177283"/>
        <n v="0.0893061578068318"/>
        <n v="0.0896704345192159"/>
        <n v="0.08988777764415305"/>
        <n v="0.0900734629469705"/>
        <n v="0.09011533809295152"/>
        <n v="0.09012904942393649"/>
        <n v="0.09013648742394963"/>
        <n v="0.09038072381583795"/>
        <n v="0.09046521526082628"/>
        <n v="0.09068909641424476"/>
        <n v="0.09073954775952914"/>
        <n v="0.09089341642172123"/>
        <n v="0.09095540857841383"/>
        <n v="0.09103807361058759"/>
        <n v="0.09138837429447731"/>
        <n v="0.0914197144795858"/>
        <n v="0.09150153247972963"/>
        <n v="0.09169619102811444"/>
        <n v="0.09190215216014902"/>
        <n v="0.09193608638084921"/>
        <n v="0.09211443956265737"/>
        <n v="0.09219326648094536"/>
        <n v="0.09234117944917686"/>
        <n v="0.09248406316473051"/>
        <n v="0.09248821891562747"/>
        <n v="0.09250661539252814"/>
        <n v="0.09274187853884917"/>
        <n v="0.09319943465353239"/>
        <n v="0.09348832551525013"/>
        <n v="0.09359468097451179"/>
        <n v="0.09360786291047801"/>
        <n v="0.09362040957242172"/>
        <n v="0.09368457224869106"/>
        <n v="0.09407224822090271"/>
        <n v="0.09426521270522766"/>
        <n v="0.0951644430840323"/>
        <n v="0.09517241047906418"/>
        <n v="0.09529308607358226"/>
        <n v="0.09544414894217523"/>
        <n v="0.09546212190306091"/>
        <n v="0.09552257881419919"/>
        <n v="0.09582769563324076"/>
        <n v="0.09633938238858855"/>
        <n v="0.0963495997124499"/>
        <n v="0.09643009422504692"/>
        <n v="0.09646768127137628"/>
        <n v="0.09652062077324869"/>
        <n v="0.0969436073932092"/>
        <n v="0.09713747184906596"/>
        <n v="0.09728083202013647"/>
        <n v="0.09730391364295282"/>
        <n v="0.09772607970063435"/>
        <n v="0.09772880608498075"/>
        <n v="0.09789527434861856"/>
        <n v="0.09796475744482608"/>
        <n v="0.09825650703964493"/>
        <n v="0.09865101220759807"/>
        <n v="0.09882269501217031"/>
        <n v="0.09882939185915718"/>
        <n v="0.0990473437883659"/>
        <n v="0.09927045731900715"/>
        <n v="0.09951601719844226"/>
        <n v="0.09968627063646394"/>
        <n v="0.1001337947155423"/>
        <n v="0.10038644848822842"/>
        <n v="0.10150937473219493"/>
        <n v="0.10193498185749819"/>
        <n v="0.10208194191469598"/>
        <n v="0.10232879881192694"/>
        <n v="0.10246525037800314"/>
        <n v="0.10281158059925238"/>
        <n v="0.1029738137027404"/>
        <n v="0.10329862401647856"/>
        <n v="0.10347946535487466"/>
        <n v="0.1035227963371572"/>
        <n v="0.10449021279437362"/>
        <n v="0.10500462593406773"/>
        <n v="0.10539579591340299"/>
        <n v="0.10565149370744671"/>
        <n v="0.10565525241207965"/>
        <n v="0.10587839241247185"/>
        <n v="0.10647472943131353"/>
        <n v="0.10693522368835069"/>
        <n v="0.10743094918388388"/>
        <n v="0.10751120546872242"/>
        <n v="0.10762100199560583"/>
        <n v="0.10810910420286937"/>
        <n v="0.1084870128369856"/>
        <n v="0.10852459988331496"/>
        <n v="0.10862870541374707"/>
        <n v="0.10887609170599687"/>
        <n v="0.10956057299545616"/>
        <n v="0.11009412376507718"/>
        <n v="0.11027128580809317"/>
        <n v="0.11107006348209497"/>
        <n v="0.11124132277065224"/>
        <n v="0.11139640904138746"/>
        <n v="0.11166182123402472"/>
        <n v="0.11222115354105766"/>
        <n v="0.11238772768369923"/>
        <n v="0.11311998687359828"/>
        <n v="0.1132048488950998"/>
        <n v="0.11338412851819073"/>
        <n v="0.1134032926178685"/>
        <n v="0.11343833856810805"/>
        <n v="0.11362132395633003"/>
        <n v="0.11382027060436652"/>
        <n v="0.11390312092479686"/>
        <n v="0.11442438972998349"/>
        <n v="0.1144991667763783"/>
        <n v="0.11454832110386683"/>
        <n v="0.11471137476963383"/>
        <n v="0.1152267143506107"/>
        <n v="0.11530834706249801"/>
        <n v="0.11538471229394892"/>
        <n v="0.11598020228076067"/>
        <n v="0.1162114684946903"/>
        <n v="0.11645326966949247"/>
        <n v="0.11672881977673835"/>
        <n v="0.11702080759931567"/>
        <n v="0.11746118484564126"/>
        <n v="0.11769147167878624"/>
        <n v="0.11778708041916784"/>
        <n v="0.1178983063126017"/>
        <n v="0.11832108117455478"/>
        <n v="0.11940041173872935"/>
        <n v="0.11951253760369512"/>
        <n v="0.12014310001049736"/>
        <n v="0.12050660910010424"/>
        <n v="0.12086395073774299"/>
        <n v="0.12192980819869108"/>
        <n v="0.12209773229863037"/>
        <n v="0.1224021873738986"/>
        <n v="0.12313428774529209"/>
        <n v="0.12334906330438838"/>
        <n v="0.1234962880590956"/>
        <n v="0.12363215729065116"/>
        <n v="0.1237021433121264"/>
        <n v="0.12378353779625524"/>
        <n v="0.12471643769825086"/>
        <n v="0.12482964882300494"/>
        <n v="0.12533170058901194"/>
        <n v="0.1255664608100651"/>
        <n v="0.12558475140796208"/>
        <n v="0.125586419002271"/>
        <n v="0.12564756412693368"/>
        <n v="0.12579269777131688"/>
        <n v="0.126398802128254"/>
        <n v="0.1267993688691716"/>
        <n v="0.127097100627702"/>
        <n v="0.1275066670839379"/>
        <n v="0.1276943376180756"/>
        <n v="0.12776850586019883"/>
        <n v="0.12882830174818247"/>
        <n v="0.12933943263876058"/>
        <n v="0.12974960789926795"/>
        <n v="0.1299188290170031"/>
        <n v="0.1302953347543197"/>
        <n v="0.13039486101783979"/>
        <n v="0.1307027306909788"/>
        <n v="0.13076805803628938"/>
        <n v="0.13085080247771594"/>
        <n v="0.13091930619313885"/>
        <n v="0.13125446617949305"/>
        <n v="0.13211936529133347"/>
        <n v="0.13220563020963452"/>
        <n v="0.1324456049716222"/>
        <n v="0.13254851936326212"/>
        <n v="0.13279807617508865"/>
        <n v="0.13320645149253238"/>
        <n v="0.13321555708685448"/>
        <n v="0.133928943344336"/>
        <n v="0.13406351555809573"/>
        <n v="0.13440973990034122"/>
        <n v="0.13442368945908464"/>
        <n v="0.13443930661213702"/>
        <n v="0.13449137261222854"/>
        <n v="0.13455484707497348"/>
        <n v="0.13455950575113826"/>
        <n v="0.13468812227093727"/>
        <n v="0.13472163297562248"/>
        <n v="0.13478341337430766"/>
        <n v="0.1347852133173713"/>
        <n v="0.13548854106949715"/>
        <n v="0.13570768413749795"/>
        <n v="0.13604792631603188"/>
        <n v="0.13647175996802244"/>
        <n v="0.13687317374096997"/>
        <n v="0.137274772802174"/>
        <n v="0.13756366366389175"/>
        <n v="0.1375766073720995"/>
        <n v="0.1379483485542476"/>
        <n v="0.13796094815569318"/>
        <n v="0.13832183673995743"/>
        <n v="0.13870890390789753"/>
        <n v="0.138991680257149"/>
        <n v="0.1394819000444874"/>
        <n v="0.13963068651449986"/>
        <n v="0.1398396651981412"/>
        <n v="0.13989093710570458"/>
        <n v="0.14062351393261494"/>
        <n v="0.14075864201114424"/>
        <n v="0.140853350779994"/>
        <n v="0.1417089854790068"/>
        <n v="0.14182333480305118"/>
        <n v="0.14185414559314094"/>
        <n v="0.14325296605111548"/>
        <n v="0.14401442137629722"/>
        <n v="0.14452163474373678"/>
        <n v="0.14457857117800058"/>
        <n v="0.14479694662322426"/>
        <n v="0.14484056877276716"/>
        <n v="0.1448428187015967"/>
        <n v="0.1452258889371454"/>
        <n v="0.14546313731478658"/>
        <n v="0.1455739661619565"/>
        <n v="0.14573045532949133"/>
        <n v="0.14587537721586702"/>
        <n v="0.14632808936612896"/>
        <n v="0.14638746101747882"/>
        <n v="0.14671640061236302"/>
        <n v="0.14689745370876667"/>
        <n v="0.14709438865573196"/>
        <n v="0.14776822910531495"/>
        <n v="0.14826922208128446"/>
        <n v="0.1484358226936769"/>
        <n v="0.14877018858750304"/>
        <n v="0.14889930803256984"/>
        <n v="0.14906064116452594"/>
        <n v="0.14922634180538663"/>
        <n v="0.15032306299592635"/>
        <n v="0.15083710555910737"/>
        <n v="0.15188266072108741"/>
        <n v="0.1522961976399637"/>
        <n v="0.15241258513483022"/>
        <n v="0.15302054237433294"/>
        <n v="0.15342762067398083"/>
        <n v="0.1536527723754441"/>
        <n v="0.15404264533698345"/>
        <n v="0.15404513349357146"/>
        <n v="0.15407824715199267"/>
        <n v="0.15412623681044005"/>
        <n v="0.1541308954866048"/>
        <n v="0.15421935739423362"/>
        <n v="0.1545362003129399"/>
        <n v="0.1545559467471383"/>
        <n v="0.15482318535259024"/>
        <n v="0.15482464118889172"/>
        <n v="0.15483549378677555"/>
        <n v="0.15510858220718435"/>
        <n v="0.15511972597232854"/>
        <n v="0.1552765327768746"/>
        <n v="0.1553540362076158"/>
        <n v="0.15556717064215408"/>
        <n v="0.15579269292013057"/>
        <n v="0.1559370324719857"/>
        <n v="0.1560799955967921"/>
        <n v="0.15620808272157238"/>
        <n v="0.1562269556539899"/>
        <n v="0.1570522295486788"/>
        <n v="0.15740536249591872"/>
        <n v="0.15750904451033587"/>
        <n v="0.15791813451105483"/>
        <n v="0.15843945625574335"/>
        <n v="0.158905138583964"/>
        <n v="0.15902044081904207"/>
        <n v="0.15939668185884928"/>
        <n v="0.15968027877037974"/>
        <n v="0.16006266079240414"/>
        <n v="0.16010276246507257"/>
        <n v="0.160412485020777"/>
        <n v="0.16041875835174893"/>
        <n v="0.16063059576849137"/>
        <n v="0.16066161831658857"/>
        <n v="0.16088859643086653"/>
        <n v="0.161419897271658"/>
        <n v="0.16151717360634854"/>
        <n v="0.16182395801969912"/>
        <n v="0.16228791981410895"/>
        <n v="0.16308947681195904"/>
        <n v="0.163679911076342"/>
        <n v="0.16392319455719662"/>
        <n v="0.16416282521242206"/>
        <n v="0.16423365826592734"/>
        <n v="0.1643450694476178"/>
        <n v="0.16438424467900345"/>
        <n v="0.16440772334808382"/>
        <n v="0.16478777603202582"/>
        <n v="0.1648315040605724"/>
        <n v="0.16484389190401055"/>
        <n v="0.1656650365175535"/>
        <n v="0.16607494708055154"/>
        <n v="0.16610541376387905"/>
        <n v="0.1664844076577836"/>
        <n v="0.16690165034179105"/>
        <n v="0.1669179027688658"/>
        <n v="0.16776472304081688"/>
        <n v="0.16871241953358576"/>
        <n v="0.1689502237759966"/>
        <n v="0.16977446535039903"/>
        <n v="0.1702402800273743"/>
        <n v="0.17052477691043658"/>
        <n v="0.17056596384289333"/>
        <n v="0.17091515279724379"/>
        <n v="0.17101192620666653"/>
        <n v="0.1712927967338506"/>
        <n v="0.1713564300151012"/>
        <n v="0.17141916332481996"/>
        <n v="0.17188023991637774"/>
        <n v="0.17200366836499326"/>
        <n v="0.17226529538324664"/>
        <n v="0.1722850153476941"/>
        <n v="0.17229761494913978"/>
        <n v="0.17234833099193358"/>
        <n v="0.1729134072349196"/>
        <n v="0.17293799763353934"/>
        <n v="0.17340375937101282"/>
        <n v="0.17361604677352116"/>
        <n v="0.17415197982072647"/>
        <n v="0.17415955016949422"/>
        <n v="0.17489922088965545"/>
        <n v="0.1752638417088016"/>
        <n v="0.1752962671536985"/>
        <n v="0.17534846550254465"/>
        <n v="0.17535606232106335"/>
        <n v="0.17545982374473332"/>
        <n v="0.17551940715409073"/>
        <n v="0.17586711380238865"/>
        <n v="0.17599329510510153"/>
        <n v="0.17608789799494753"/>
        <n v="0.1762059795538739"/>
        <n v="0.1764722917180431"/>
        <n v="0.17648081497784454"/>
        <n v="0.176764014843111"/>
        <n v="0.17695856751249206"/>
        <n v="0.1772087066588392"/>
        <n v="0.17823882995602336"/>
        <n v="0.17833690038324204"/>
        <n v="0.17868555994257368"/>
        <n v="0.17897513901781578"/>
        <n v="0.17902574918160583"/>
        <n v="0.17910539666217282"/>
        <n v="0.17946424707561492"/>
        <n v="0.17947520555250254"/>
        <n v="0.1798435056670289"/>
        <n v="0.17997101045728855"/>
        <n v="0.17997876609431282"/>
        <n v="0.18019801504131747"/>
        <n v="0.18033714005223808"/>
        <n v="0.18043163706308032"/>
        <n v="0.18057962944056463"/>
        <n v="0.18059191140499903"/>
        <n v="0.1808131191135729"/>
        <n v="0.180822621754159"/>
        <n v="0.18110960679380933"/>
        <n v="0.18124574072287422"/>
        <n v="0.18128848937063624"/>
        <n v="0.1814539253139875"/>
        <n v="0.1815613660330375"/>
        <n v="0.18160244708649045"/>
        <n v="0.18166615977699396"/>
        <n v="0.1821791170803866"/>
        <n v="0.18224367680292003"/>
        <n v="0.18274485506714605"/>
        <n v="0.18291632611371084"/>
        <n v="0.18292569640554224"/>
        <n v="0.18328483798624462"/>
        <n v="0.1847358567930654"/>
        <n v="0.18477932012410264"/>
        <n v="0.18506016418153579"/>
        <n v="0.18570703195491475"/>
        <n v="0.1859826879411643"/>
        <n v="0.18621575409815758"/>
        <n v="0.18635884957171875"/>
        <n v="0.18654755242614288"/>
        <n v="0.18742679814299076"/>
        <n v="0.18757960801514548"/>
        <n v="0.1879564313894733"/>
        <n v="0.1880086032685685"/>
        <n v="0.1880290643860422"/>
        <n v="0.18814839002326264"/>
        <n v="0.188161519019727"/>
        <n v="0.18823380790953376"/>
        <n v="0.18842724884937556"/>
        <n v="0.18858508797420812"/>
        <n v="0.18907271372595483"/>
        <n v="0.18921962084365074"/>
        <n v="0.1893089297833095"/>
        <n v="0.18932200584027203"/>
        <n v="0.1896485896273229"/>
        <n v="0.19055936081753577"/>
        <n v="0.19111363740213982"/>
        <n v="0.19119982291118812"/>
        <n v="0.1915345064420255"/>
        <n v="0.19198480984495214"/>
        <n v="0.19202734673470662"/>
        <n v="0.19238169729048954"/>
        <n v="0.19259313766096797"/>
        <n v="0.19288255791770445"/>
        <n v="0.19309127190383638"/>
        <n v="0.1933105208508409"/>
        <n v="0.19357760063778723"/>
        <n v="0.19405461201940855"/>
        <n v="0.1942984248952819"/>
        <n v="0.19462739095991702"/>
        <n v="0.19471651461131928"/>
        <n v="0.19515223318148012"/>
        <n v="0.19542465985811555"/>
        <n v="0.19555952323913542"/>
        <n v="0.19561198628549098"/>
        <n v="0.1966912903799147"/>
        <n v="0.1969722403163516"/>
        <n v="0.19728500689341374"/>
        <n v="0.1974485899541995"/>
        <n v="0.19792753362763918"/>
        <n v="0.19795720621843865"/>
        <n v="0.19810773969201279"/>
        <n v="0.19867445705955689"/>
        <n v="0.1988249111238783"/>
        <n v="0.19924784480433694"/>
        <n v="0.19985299625024044"/>
        <n v="0.20004056090537436"/>
        <n v="0.20063141868577228"/>
        <n v="0.20079404883552432"/>
        <n v="0.20086101730539288"/>
        <n v="0.20090577765422607"/>
        <n v="0.20115252867245337"/>
        <n v="0.20126669270824116"/>
        <n v="0.20144271655196697"/>
        <n v="0.20145764549149495"/>
        <n v="0.2015307020040789"/>
        <n v="0.2015933294347939"/>
        <n v="0.20172379883715846"/>
        <n v="0.20176641513616578"/>
        <n v="0.20184383915765414"/>
        <n v="0.20239951863905792"/>
        <n v="0.20245912851816616"/>
        <n v="0.20264589908077202"/>
        <n v="0.20363351195795273"/>
        <n v="0.20387428081246847"/>
        <n v="0.20407365097651994"/>
        <n v="0.20412082007268825"/>
        <n v="0.20431174638619107"/>
        <n v="0.20522482044473547"/>
        <n v="0.20615687331470103"/>
        <n v="0.2062255358486295"/>
        <n v="0.20624517640382412"/>
        <n v="0.20643904085968087"/>
        <n v="0.20657954229765035"/>
        <n v="0.20660002988487491"/>
        <n v="0.20661104130126431"/>
        <n v="0.206750166312185"/>
        <n v="0.20692015505269729"/>
        <n v="0.20758790745956485"/>
        <n v="0.20783050272689518"/>
        <n v="0.20822400204431282"/>
        <n v="0.20826275375968342"/>
        <n v="0.20844454800911333"/>
        <n v="0.20866377048636695"/>
        <n v="0.20887436382481533"/>
        <n v="0.20924764025251763"/>
        <n v="0.2097289132640397"/>
        <n v="0.20998019060967715"/>
        <n v="0.20999591364173317"/>
        <n v="0.21035905215482706"/>
        <n v="0.21046326356426284"/>
        <n v="0.211426206633571"/>
        <n v="0.21171970323195152"/>
        <n v="0.21189646822870348"/>
        <n v="0.21191404414332524"/>
        <n v="0.21196057796547094"/>
        <n v="0.21219105008687253"/>
        <n v="0.21222765775241734"/>
        <n v="0.21250993117640093"/>
        <n v="0.2126216864648536"/>
        <n v="0.21269008430127284"/>
        <n v="0.21283294154707544"/>
        <n v="0.21318877440891082"/>
        <n v="0.2135101171852763"/>
        <n v="0.21359415864449882"/>
        <n v="0.21389938134254424"/>
        <n v="0.2146334934150088"/>
        <n v="0.2149986965686756"/>
        <n v="0.215106851971001"/>
        <n v="0.21512424259736607"/>
        <n v="0.21518046434835444"/>
        <n v="0.21524613580042717"/>
        <n v="0.2153082073663726"/>
        <n v="0.2159372345276206"/>
        <n v="0.2159440107838603"/>
        <n v="0.21627866784494662"/>
        <n v="0.21672492137598018"/>
        <n v="0.21674435017316726"/>
        <n v="0.21681229802382057"/>
        <n v="0.217296720935704"/>
        <n v="0.2173110940104623"/>
        <n v="0.21731382039480882"/>
        <n v="0.2178596266591132"/>
        <n v="0.21815476438205192"/>
        <n v="0.21841350619745334"/>
        <n v="0.2184309762330713"/>
        <n v="0.21851348244673943"/>
        <n v="0.21853989925817374"/>
        <n v="0.21915889438381692"/>
        <n v="0.21968270428509334"/>
        <n v="0.21970102135274128"/>
        <n v="0.21993750210760515"/>
        <n v="0.22032475456380193"/>
        <n v="0.22171539586873715"/>
        <n v="0.2218620118191729"/>
        <n v="0.2219314684456294"/>
        <n v="0.22229317759217262"/>
        <n v="0.22291336385660787"/>
        <n v="0.22294367172142976"/>
        <n v="0.22294393641893917"/>
        <n v="0.2234147274090905"/>
        <n v="0.22341986254077217"/>
        <n v="0.2235990627546102"/>
        <n v="0.22372730869789614"/>
        <n v="0.22412549316122937"/>
        <n v="0.22477183153958974"/>
        <n v="0.22496611951146137"/>
        <n v="0.22505569314862944"/>
        <n v="0.22509539777503373"/>
        <n v="0.22600256907911942"/>
        <n v="0.2265347698914427"/>
        <n v="0.2265648395285062"/>
        <n v="0.2266231523898187"/>
        <n v="0.22665473080268556"/>
        <n v="0.2268961349312236"/>
        <n v="0.22716175888186851"/>
        <n v="0.22759345404988707"/>
        <n v="0.22846605585924995"/>
        <n v="0.22889076301302128"/>
        <n v="0.22896633415194423"/>
        <n v="0.22960099937014156"/>
        <n v="0.23017859580532035"/>
        <n v="0.23027910144962507"/>
        <n v="0.23036393700137564"/>
        <n v="0.23048410967062605"/>
        <n v="0.23064028120114968"/>
        <n v="0.23084902165703253"/>
        <n v="0.2308548185324875"/>
        <n v="0.23099066129429222"/>
        <n v="0.23100919011994747"/>
        <n v="0.2311630587821397"/>
        <n v="0.231326377145416"/>
        <n v="0.23143082678261037"/>
        <n v="0.2321378602998672"/>
        <n v="0.23218934396543808"/>
        <n v="0.23220559639251295"/>
        <n v="0.23270695994499555"/>
        <n v="0.2327073834610106"/>
        <n v="0.23363443354804928"/>
        <n v="0.23365465643776442"/>
        <n v="0.23367503814598542"/>
        <n v="0.23386403216766988"/>
        <n v="0.23391882455210783"/>
        <n v="0.23402560352738444"/>
        <n v="0.2342932921186022"/>
        <n v="0.23439925053159993"/>
        <n v="0.23488078824063124"/>
        <n v="0.23496723844718895"/>
        <n v="0.2352716935224572"/>
        <n v="0.23548390151571272"/>
        <n v="0.23593388728162817"/>
        <n v="0.23615816548131058"/>
        <n v="0.2362273309405068"/>
        <n v="0.23732574619510652"/>
        <n v="0.2374352250849786"/>
        <n v="0.23820348313615092"/>
        <n v="0.2385135497986176"/>
        <n v="0.23858544164216033"/>
        <n v="0.23880196420481847"/>
        <n v="0.23962744985751497"/>
        <n v="0.2397944475161715"/>
        <n v="0.24018844975885692"/>
        <n v="0.2412338461023313"/>
        <n v="0.24142400479305703"/>
        <n v="0.24197648143459735"/>
        <n v="0.24219723915740538"/>
        <n v="0.24262464622577218"/>
        <n v="0.24264500146424212"/>
        <n v="0.24287557946464747"/>
        <n v="0.24358809222034813"/>
        <n v="0.24367806290378022"/>
        <n v="0.24401200528159142"/>
        <n v="0.24419782293316367"/>
        <n v="0.24458560478437888"/>
        <n v="0.24528864136924458"/>
        <n v="0.24559338761177305"/>
        <n v="0.24562512484314558"/>
        <n v="0.2456625530709693"/>
        <n v="0.2461254825450926"/>
        <n v="0.246143984900997"/>
        <n v="0.24637488053841347"/>
        <n v="0.24650079714361692"/>
        <n v="0.2467456423397768"/>
        <n v="0.24694387430453807"/>
        <n v="0.24737596651882066"/>
        <n v="0.2475393642913499"/>
        <n v="0.24769349765105134"/>
        <n v="0.2480017379007035"/>
        <n v="0.24809054391509439"/>
        <n v="0.24827575276239508"/>
        <n v="0.24870098931118523"/>
        <n v="0.24872880901941918"/>
        <n v="0.24884802877763584"/>
        <n v="0.24915587198102382"/>
        <n v="0.2511624908599954"/>
        <n v="0.251862271665496"/>
        <n v="0.2522384332960503"/>
        <n v="0.2526829662932729"/>
        <n v="0.2527789985496694"/>
        <n v="0.2531548425432125"/>
        <n v="0.2536840522736801"/>
        <n v="0.25382884181130116"/>
        <n v="0.25388980164770725"/>
        <n v="0.2549980107101532"/>
        <n v="0.2552188743119648"/>
        <n v="0.2562280600361586"/>
        <n v="0.256256912064679"/>
        <n v="0.25642912426426995"/>
        <n v="0.25768177875757486"/>
        <n v="0.258299900381437"/>
        <n v="0.2585703682965032"/>
        <n v="0.25942383247593925"/>
        <n v="0.2600411070677715"/>
        <n v="0.2602472270183116"/>
        <n v="0.26035141195799655"/>
        <n v="0.2609560869483831"/>
        <n v="0.26104521059978547"/>
        <n v="0.2611847061872192"/>
        <n v="0.26123949857165707"/>
        <n v="0.2614800027286635"/>
        <n v="0.26158360533382774"/>
        <n v="0.2618692933556821"/>
        <n v="0.26195346716365925"/>
        <n v="0.26225929866597625"/>
        <n v="0.262771011891075"/>
        <n v="0.2628649000976457"/>
        <n v="0.26299788412634906"/>
        <n v="0.2631570996782303"/>
        <n v="0.26401736658365693"/>
        <n v="0.2640831439147334"/>
        <n v="0.2646814396951445"/>
        <n v="0.26482501162422245"/>
        <n v="0.26517623874939494"/>
        <n v="0.26555097101339875"/>
        <n v="0.2660716310143138"/>
        <n v="0.2664210317266718"/>
        <n v="0.2665246608015869"/>
        <n v="0.26668885266664416"/>
        <n v="0.26694566219022736"/>
        <n v="0.26760502368604805"/>
        <n v="0.26781042895331303"/>
        <n v="0.26789539685381825"/>
        <n v="0.2680825379929372"/>
        <n v="0.2682563648473353"/>
        <n v="0.26892771714033015"/>
        <n v="0.26925461856439226"/>
        <n v="0.26930604929046126"/>
        <n v="0.2693845321019872"/>
        <n v="0.2694380539383801"/>
        <n v="0.2695335303300071"/>
        <n v="0.2696282390988567"/>
        <n v="0.26979407208847217"/>
        <n v="0.2697956602735283"/>
        <n v="0.2700515433558286"/>
        <n v="0.2703564748866136"/>
        <n v="0.2714735777853742"/>
        <n v="0.27171304962209397"/>
        <n v="0.2717226581416838"/>
        <n v="0.27177427415600947"/>
        <n v="0.27184113674687427"/>
        <n v="0.2719182696011025"/>
        <n v="0.2721108105694124"/>
        <n v="0.27223961237746797"/>
        <n v="0.2724455470397516"/>
        <n v="0.27294521652817433"/>
        <n v="0.2732694709771428"/>
        <n v="0.2733109490768597"/>
        <n v="0.2737531527360001"/>
        <n v="0.2738944217967466"/>
        <n v="0.2739300765512575"/>
        <n v="0.2740790747792774"/>
        <n v="0.2741319348718971"/>
        <n v="0.27413617003204677"/>
        <n v="0.2742628277902766"/>
        <n v="0.2742909386657708"/>
        <n v="0.2745975377908648"/>
        <n v="0.27483089511511855"/>
        <n v="0.27517960761395205"/>
        <n v="0.2752973980056181"/>
        <n v="0.2753175150163297"/>
        <n v="0.27540867683855386"/>
        <n v="0.27542471750762115"/>
        <n v="0.2755397815149409"/>
        <n v="0.2757712859566289"/>
        <n v="0.2776587644866368"/>
        <n v="0.27813416121345097"/>
        <n v="0.2782217760890499"/>
        <n v="0.2784061643740715"/>
        <n v="0.27871226057389775"/>
        <n v="0.27918310450355094"/>
        <n v="0.280378002000313"/>
        <n v="0.28077478356684665"/>
        <n v="0.280906205880245"/>
        <n v="0.2814420859879483"/>
        <n v="0.281498254799435"/>
        <n v="0.28238747961238575"/>
        <n v="0.2826518594847365"/>
        <n v="0.2831454144606929"/>
        <n v="0.2831661667454269"/>
        <n v="0.28321063592699974"/>
        <n v="0.2832522993149733"/>
        <n v="0.28354542533684085"/>
        <n v="0.2844166507191552"/>
        <n v="0.28446990785803866"/>
        <n v="0.2848067883782037"/>
        <n v="0.2848408020081568"/>
        <n v="0.2851841676173013"/>
        <n v="0.2853729763507293"/>
        <n v="0.28565183517684206"/>
        <n v="0.285656070336992"/>
        <n v="0.285740667660984"/>
        <n v="0.2858650490206332"/>
        <n v="0.28672121311466475"/>
        <n v="0.28699835140696683"/>
        <n v="0.28700584234648163"/>
        <n v="0.28746916886686896"/>
        <n v="0.2876865649313081"/>
        <n v="0.28773230466092575"/>
        <n v="0.2878433452661031"/>
        <n v="0.28791801643349424"/>
        <n v="0.28876504846345274"/>
        <n v="0.28877897155244514"/>
        <n v="0.2897173242231336"/>
        <n v="0.2902406311991423"/>
        <n v="0.2903306812918273"/>
        <n v="0.29049063799673475"/>
        <n v="0.29082005404713573"/>
        <n v="0.29132938499465016"/>
        <n v="0.291622352198012"/>
        <n v="0.2918207429812789"/>
        <n v="0.2919778938925871"/>
        <n v="0.2920910256080886"/>
        <n v="0.29219452233424903"/>
        <n v="0.29219534289652815"/>
        <n v="0.2923854751175028"/>
        <n v="0.2924656784628395"/>
        <n v="0.29269527708246007"/>
        <n v="0.29300597901894937"/>
        <n v="0.2933855023078725"/>
        <n v="0.293920985369312"/>
        <n v="0.29396532220213"/>
        <n v="0.29411103818103396"/>
        <n v="0.29412586124155815"/>
        <n v="0.2944926261105302"/>
        <n v="0.2945540624024532"/>
        <n v="0.2951650636633136"/>
        <n v="0.2953374876209119"/>
        <n v="0.29540990885947344"/>
        <n v="0.2954635365748701"/>
        <n v="0.29550043540767523"/>
        <n v="0.295583894532377"/>
        <n v="0.29617461996402034"/>
        <n v="0.2962479411741135"/>
        <n v="0.29624987346593196"/>
        <n v="0.29627584029160037"/>
        <n v="0.29647653394319873"/>
        <n v="0.2966743688616958"/>
        <n v="0.2967969238085305"/>
        <n v="0.29704685119687"/>
        <n v="0.297179676407068"/>
        <n v="0.29741208082028786"/>
        <n v="0.2974848726353624"/>
        <n v="0.29754792358209237"/>
        <n v="0.29760186893450036"/>
        <n v="0.29788861574639225"/>
        <n v="0.2980047385437494"/>
        <n v="0.2986597590004167"/>
        <n v="0.2987760670860304"/>
        <n v="0.29891278334961585"/>
        <n v="0.2990320825170853"/>
        <n v="0.2997036730378387"/>
        <n v="0.2999988637002793"/>
        <n v="0.3000730848819043"/>
        <n v="0.3002340209675965"/>
        <n v="0.30028846924527225"/>
        <n v="0.3004856688897469"/>
        <n v="0.3010018290330029"/>
        <n v="0.30154903819410706"/>
        <n v="0.30157381388098337"/>
        <n v="0.3016690520448518"/>
        <n v="0.30192236756131124"/>
        <n v="0.3020380668426534"/>
        <n v="0.3023152845442082"/>
        <n v="0.3025593885873419"/>
        <n v="0.30256044737737936"/>
        <n v="0.3028773432355876"/>
        <n v="0.3029985217553736"/>
        <n v="0.3030245944600456"/>
        <n v="0.3031491346382005"/>
        <n v="0.3035841649948371"/>
        <n v="0.303695311479018"/>
        <n v="0.3043605757292977"/>
        <n v="0.30489441766617914"/>
        <n v="0.30504860396538247"/>
        <n v="0.3056316531692543"/>
        <n v="0.30600357963965885"/>
        <n v="0.30617468010971044"/>
        <n v="0.3062220080243844"/>
        <n v="0.3064406481671173"/>
        <n v="0.3068676052497184"/>
        <n v="0.3070289648514254"/>
        <n v="0.3070472554493223"/>
        <n v="0.30716152536411395"/>
        <n v="0.30751410244658417"/>
        <n v="0.307589700055258"/>
        <n v="0.3080738317998812"/>
        <n v="0.3086785597297696"/>
        <n v="0.3087347020715053"/>
        <n v="0.3090625828763521"/>
        <n v="0.30907200610768537"/>
        <n v="0.30923278337487187"/>
        <n v="0.3098933624792357"/>
        <n v="0.3100294169990478"/>
        <n v="0.3101763241167438"/>
        <n v="0.31026870354751107"/>
        <n v="0.3102718269781216"/>
        <n v="0.31028919113473563"/>
        <n v="0.31030851405291915"/>
        <n v="0.31037077090712106"/>
        <n v="0.31044922724889595"/>
        <n v="0.31053652448748365"/>
        <n v="0.31084082074424624"/>
        <n v="0.31112359709349763"/>
        <n v="0.3114157966740825"/>
        <n v="0.31166286532932086"/>
        <n v="0.31180829014096434"/>
        <n v="0.3118776673581683"/>
        <n v="0.3125165147970134"/>
        <n v="0.3125972475373689"/>
        <n v="0.31271662611409123"/>
        <n v="0.31294413362338774"/>
        <n v="0.3131985873391376"/>
        <n v="0.313206316506411"/>
        <n v="0.31372001496282986"/>
        <n v="0.31386321631539466"/>
        <n v="0.3140795535897963"/>
        <n v="0.31426113608121864"/>
        <n v="0.31448919945528503"/>
        <n v="0.31508548353462473"/>
        <n v="0.31553711042509835"/>
        <n v="0.31558229428994633"/>
        <n v="0.3158511740199564"/>
        <n v="0.31594201820516943"/>
        <n v="0.3162104479494134"/>
        <n v="0.3167579482777778"/>
        <n v="0.3170003053173498"/>
        <n v="0.31742040673445826"/>
        <n v="0.31765164647863686"/>
        <n v="0.31766673423667047"/>
        <n v="0.318007611689227"/>
        <n v="0.3183893584372289"/>
        <n v="0.3184377980814422"/>
        <n v="0.3187739639183319"/>
        <n v="0.31896475788308"/>
        <n v="0.31970702263883305"/>
        <n v="0.32011338625520563"/>
        <n v="0.32105936221416376"/>
        <n v="0.3212960017875333"/>
        <n v="0.32133067716125985"/>
        <n v="0.32136201734636816"/>
        <n v="0.3213908693748887"/>
        <n v="0.3215540289196594"/>
        <n v="0.3215630815744797"/>
        <n v="0.322008143966721"/>
        <n v="0.32236087986769685"/>
        <n v="0.3225100369142224"/>
        <n v="0.3225170513982205"/>
        <n v="0.32274858230965936"/>
        <n v="0.32289313361952204"/>
        <n v="0.322906421434492"/>
        <n v="0.3229833954702144"/>
        <n v="0.32313684061639153"/>
        <n v="0.32356345359223043"/>
        <n v="0.32362772214750357"/>
        <n v="0.32374101268151045"/>
        <n v="0.32398903424778275"/>
        <n v="0.3241764930239128"/>
        <n v="0.32472039346615"/>
        <n v="0.32487060930271283"/>
        <n v="0.3254537643855884"/>
        <n v="0.32574141116901206"/>
        <n v="0.32599266204489863"/>
        <n v="0.3261825825078658"/>
        <n v="0.3262329809136484"/>
        <n v="0.3264727439176284"/>
        <n v="0.32671210987534466"/>
        <n v="0.3270597371143897"/>
        <n v="0.32756038598359716"/>
        <n v="0.3276864349375552"/>
        <n v="0.327942132731599"/>
        <n v="0.327973658204964"/>
        <n v="0.3283677133871513"/>
        <n v="0.3287401427828237"/>
        <n v="0.32885668909619575"/>
        <n v="0.3289513184557926"/>
        <n v="0.32986553071362723"/>
        <n v="0.3299902561800386"/>
        <n v="0.33108623621755223"/>
        <n v="0.3312113057907258"/>
        <n v="0.3313688008087961"/>
        <n v="0.33144948060964974"/>
        <n v="0.3315228547592448"/>
        <n v="0.33171624275958483"/>
        <n v="0.33185354135769085"/>
        <n v="0.3319395680482335"/>
        <n v="0.3324063091664916"/>
        <n v="0.33241700294586973"/>
        <n v="0.3324260026611881"/>
        <n v="0.33256483650484836"/>
        <n v="0.33271822871152384"/>
        <n v="0.3331824287336919"/>
        <n v="0.3333429942428709"/>
        <n v="0.3338933797740875"/>
        <n v="0.33477519305677617"/>
        <n v="0.33485248472950985"/>
        <n v="0.33603488850382995"/>
        <n v="0.3360838575430619"/>
        <n v="0.3367548657292948"/>
        <n v="0.3370540268543757"/>
        <n v="0.337655499004899"/>
        <n v="0.3377362582150055"/>
        <n v="0.33850213398859347"/>
        <n v="0.3390078385802297"/>
        <n v="0.33905667527070704"/>
        <n v="0.33954943615413546"/>
        <n v="0.33987181125078736"/>
        <n v="0.34013248535800705"/>
        <n v="0.3402052771730816"/>
        <n v="0.3406422133517856"/>
        <n v="0.3410622882991431"/>
        <n v="0.34114630328861456"/>
        <n v="0.3412539292959213"/>
        <n v="0.3413727784776248"/>
        <n v="0.3415180974102645"/>
        <n v="0.3415620371968187"/>
        <n v="0.3418943649198227"/>
        <n v="0.3419968557954476"/>
        <n v="0.3432192024239306"/>
        <n v="0.3440267415854922"/>
        <n v="0.3444182027320878"/>
        <n v="0.3449632149038641"/>
        <n v="0.34503394207836563"/>
        <n v="0.34576225727537546"/>
        <n v="0.34687081044458357"/>
        <n v="0.34716372470844353"/>
        <n v="0.34753326890126396"/>
        <n v="0.3479296004820317"/>
        <n v="0.3479323798058799"/>
        <n v="0.34843157283878584"/>
        <n v="0.3490083222419347"/>
        <n v="0.3493301150040661"/>
        <n v="0.349685789047396"/>
        <n v="0.3504389328707838"/>
        <n v="0.350622262365768"/>
        <n v="0.35120099700023694"/>
        <n v="0.35122296689351407"/>
        <n v="0.351814221720176"/>
        <n v="0.3518973632078667"/>
        <n v="0.35196083767061176"/>
        <n v="0.3520295002045402"/>
        <n v="0.3535692456164991"/>
        <n v="0.35464484394579177"/>
        <n v="0.3557437356559082"/>
        <n v="0.355857555584934"/>
        <n v="0.356165822304337"/>
        <n v="0.3562265968524864"/>
        <n v="0.357023018718655"/>
        <n v="0.3571472677295494"/>
        <n v="0.3574870334525666"/>
        <n v="0.35755918999361874"/>
        <n v="0.3576089266556279"/>
        <n v="0.3578289696951604"/>
        <n v="0.3579445630974988"/>
        <n v="0.3579939821224968"/>
        <n v="0.3584707552763596"/>
        <n v="0.3585640082089078"/>
        <n v="0.35856991096336654"/>
        <n v="0.35887306902083893"/>
        <n v="0.35947411765534737"/>
        <n v="0.3597482119262918"/>
        <n v="0.35991986826111294"/>
        <n v="0.35995560242487695"/>
        <n v="0.3600511582257567"/>
        <n v="0.3601994417705012"/>
        <n v="0.3603950002904179"/>
        <n v="0.3607593564120547"/>
        <n v="0.3608313011950993"/>
        <n v="0.36091020752264014"/>
        <n v="0.3609532473376623"/>
        <n v="0.36214983889848446"/>
        <n v="0.36231035146816154"/>
        <n v="0.36246922291328065"/>
        <n v="0.3628356701452414"/>
        <n v="0.3632528863594979"/>
        <n v="0.3636607852214247"/>
        <n v="0.36377651097251784"/>
        <n v="0.3639732606312266"/>
        <n v="0.36441654955015523"/>
        <n v="0.36505844101035817"/>
        <n v="0.3653889687902986"/>
        <n v="0.36539169517464487"/>
        <n v="0.3654766630751501"/>
        <n v="0.3654823276018504"/>
        <n v="0.3658648155028787"/>
        <n v="0.36643391514800705"/>
        <n v="0.36699390919881325"/>
        <n v="0.36702911396755844"/>
        <n v="0.36725021579712863"/>
        <n v="0.36737782646639194"/>
        <n v="0.36748942293633896"/>
        <n v="0.3675698380396832"/>
        <n v="0.3678060805667889"/>
        <n v="0.36788239285873797"/>
        <n v="0.3679151888801478"/>
        <n v="0.36800121557069043"/>
        <n v="0.3683189849306797"/>
        <n v="0.3685012291658755"/>
        <n v="0.36895955290333576"/>
        <n v="0.3700254897735368"/>
        <n v="0.37006969425760017"/>
        <n v="0.37007379706899524"/>
        <n v="0.3700848614248865"/>
        <n v="0.37038140204462483"/>
        <n v="0.37050374523345203"/>
        <n v="0.37065975794547"/>
        <n v="0.3707050476893218"/>
        <n v="0.3709300405722795"/>
        <n v="0.3713960934770133"/>
        <n v="0.37167624932092197"/>
        <n v="0.3723744948808681"/>
        <n v="0.37241049374214136"/>
        <n v="0.37256558001287665"/>
        <n v="0.3728140780346657"/>
        <n v="0.3729952899495749"/>
        <n v="0.37326371969381905"/>
        <n v="0.37344432280445666"/>
        <n v="0.3736088587762761"/>
        <n v="0.3743917810694672"/>
        <n v="0.37485026362543306"/>
        <n v="0.3751813208003923"/>
        <n v="0.37563972394710543"/>
        <n v="0.37578784867334436"/>
        <n v="0.3759724487163735"/>
        <n v="0.3761590604604736"/>
        <n v="0.3762059913288835"/>
        <n v="0.3762285435566811"/>
        <n v="0.37623158757803893"/>
        <n v="0.37643098421184124"/>
        <n v="0.377365075252629"/>
        <n v="0.37763077861252664"/>
        <n v="0.3777533335593612"/>
        <n v="0.3785675430981589"/>
        <n v="0.37872207350412435"/>
        <n v="0.37942082198933824"/>
        <n v="0.3796940956980036"/>
        <n v="0.3797306239542955"/>
        <n v="0.3797812870575875"/>
        <n v="0.37995209636037885"/>
        <n v="0.3803220375994631"/>
        <n v="0.3803907795426445"/>
        <n v="0.3807480417710305"/>
        <n v="0.38137317787889075"/>
        <n v="0.38159528555899636"/>
        <n v="0.3820082401433521"/>
        <n v="0.3820247572679364"/>
        <n v="0.382049824122073"/>
        <n v="0.3821655234034151"/>
        <n v="0.3822302419444541"/>
        <n v="0.3823640994749385"/>
        <n v="0.3825848571977464"/>
        <n v="0.38349004327051167"/>
        <n v="0.3835481443738167"/>
        <n v="0.38383105307182286"/>
        <n v="0.3839790189795561"/>
        <n v="0.38475550912326983"/>
        <n v="0.38563274313904644"/>
        <n v="0.3856667302992485"/>
        <n v="0.38581959311090513"/>
        <n v="0.386181831652467"/>
        <n v="0.3863321798377846"/>
        <n v="0.386476889966153"/>
        <n v="0.38685583092055564"/>
        <n v="0.386860251368962"/>
        <n v="0.38696594508445015"/>
        <n v="0.3870596215330135"/>
        <n v="0.3875879048221982"/>
        <n v="0.3878823543316124"/>
        <n v="0.38834372209043044"/>
        <n v="0.38872372183487053"/>
        <n v="0.3888781728315835"/>
        <n v="0.3892111358286099"/>
        <n v="0.38950209133090063"/>
        <n v="0.39032183304764384"/>
        <n v="0.3904784016244315"/>
        <n v="0.3910555216040935"/>
        <n v="0.3913332422309163"/>
        <n v="0.39148989021695674"/>
        <n v="0.39175884935621946"/>
        <n v="0.39208855657388075"/>
        <n v="0.3923161964319321"/>
        <n v="0.39268579356425437"/>
        <n v="0.3931321529742915"/>
        <n v="0.39314814070385695"/>
        <n v="0.39315428168607425"/>
        <n v="0.3937748914665244"/>
        <n v="0.3939478712888926"/>
        <n v="0.3948487692620061"/>
        <n v="0.39491825235821365"/>
        <n v="0.39647485900151896"/>
        <n v="0.3968247891088956"/>
        <n v="0.3974004003127543"/>
        <n v="0.3974201467469527"/>
        <n v="0.397880588064488"/>
        <n v="0.39849757148906"/>
        <n v="0.39860990911203326"/>
        <n v="0.39902540479247883"/>
        <n v="0.39912135763962253"/>
        <n v="0.39929341102070787"/>
        <n v="0.399338171369541"/>
        <n v="0.39968061053740256"/>
        <n v="0.4001676539546288"/>
        <n v="0.4002581010935778"/>
        <n v="0.40026564497259454"/>
        <n v="0.40054167153535725"/>
        <n v="0.40082524197713687"/>
        <n v="0.4016376515728707"/>
        <n v="0.4020356242781966"/>
        <n v="0.40208763733878616"/>
        <n v="0.4021444943637972"/>
        <n v="0.40294062506270545"/>
        <n v="0.4029409691694676"/>
        <n v="0.4030844881590437"/>
        <n v="0.4032501093906514"/>
        <n v="0.40325042702766273"/>
        <n v="0.4033122603658498"/>
        <n v="0.4035021014195642"/>
        <n v="0.40379152167630067"/>
        <n v="0.40392252047368377"/>
        <n v="0.403938640552004"/>
        <n v="0.4040250907585615"/>
        <n v="0.404429469143614"/>
        <n v="0.40522088822685565"/>
        <n v="0.4053483665473644"/>
        <n v="0.40573980122420894"/>
        <n v="0.40637520759543244"/>
        <n v="0.40665247823648915"/>
        <n v="0.4066891123717848"/>
        <n v="0.40714455090639323"/>
        <n v="0.40744048272186"/>
        <n v="0.40799804155558017"/>
        <n v="0.4085369392148902"/>
        <n v="0.40859038164203043"/>
        <n v="0.4086161367096915"/>
        <n v="0.4087172511582678"/>
        <n v="0.40882088023318286"/>
        <n v="0.4089943629808188"/>
        <n v="0.40918775098115867"/>
        <n v="0.40956203325939655"/>
        <n v="0.4098399656442267"/>
        <n v="0.4099628911675744"/>
        <n v="0.41039882149574286"/>
        <n v="0.41059371827188607"/>
        <n v="0.4106811743289794"/>
        <n v="0.41069096813682565"/>
        <n v="0.4107531720515257"/>
        <n v="0.4109657241515436"/>
        <n v="0.41116345319103687"/>
        <n v="0.4113153366219089"/>
        <n v="0.41150930695676946"/>
        <n v="0.41155361731983664"/>
        <n v="0.41186220167625076"/>
        <n v="0.41201392628861716"/>
        <n v="0.41219855280139717"/>
        <n v="0.4123758736629188"/>
        <n v="0.4124057580117258"/>
        <n v="0.4125640735920752"/>
        <n v="0.4127471383895499"/>
        <n v="0.4129168094930511"/>
        <n v="0.4131385465966437"/>
        <n v="0.41412859469091046"/>
        <n v="0.4141720050824458"/>
        <n v="0.4144275969974858"/>
        <n v="0.41443882017188277"/>
        <n v="0.4145960504924437"/>
        <n v="0.4150276133117076"/>
        <n v="0.4151148576107934"/>
        <n v="0.4152953019029254"/>
        <n v="0.4153536147642379"/>
        <n v="0.4155313591417746"/>
        <n v="0.41592139092181935"/>
        <n v="0.41642926603303243"/>
        <n v="0.4174005735436364"/>
        <n v="0.41756632712399877"/>
        <n v="0.4178018020283273"/>
        <n v="0.41780868416357075"/>
        <n v="0.4180849754238429"/>
        <n v="0.41841687963083185"/>
        <n v="0.4184536990543842"/>
        <n v="0.4186629689052857"/>
        <n v="0.41867681258502537"/>
        <n v="0.41885651572413135"/>
        <n v="0.41896445936844906"/>
        <n v="0.4190752088063661"/>
        <n v="0.41918635529054726"/>
        <n v="0.4192597559098934"/>
        <n v="0.41934842957552965"/>
        <n v="0.41959618644429253"/>
        <n v="0.4196155623019779"/>
        <n v="0.41973766726304657"/>
        <n v="0.419899688608527"/>
        <n v="0.42030372288681733"/>
        <n v="0.42035383012533944"/>
        <n v="0.4204471889368915"/>
        <n v="0.42061458364181203"/>
        <n v="0.42061985112224837"/>
        <n v="0.42062781851728015"/>
        <n v="0.4211828627246613"/>
        <n v="0.4213826299349768"/>
        <n v="0.4216332984763427"/>
        <n v="0.42178555248372773"/>
        <n v="0.42209360744512325"/>
        <n v="0.4226770007557572"/>
        <n v="0.4228682447062712"/>
        <n v="0.4233125394757355"/>
        <n v="0.42418736474417706"/>
        <n v="0.42461546002606815"/>
        <n v="0.4255975142555523"/>
        <n v="0.42608948104645267"/>
        <n v="0.4261296091888718"/>
        <n v="0.4262925040361333"/>
        <n v="0.4264159060149978"/>
        <n v="0.42645881348126535"/>
        <n v="0.4268769561368047"/>
        <n v="0.42689299680587206"/>
        <n v="0.427388775240907"/>
        <n v="0.4277058034478699"/>
        <n v="0.42772626456534363"/>
        <n v="0.42810912304288484"/>
        <n v="0.42845428859509294"/>
        <n v="0.4286395768516464"/>
        <n v="0.4290163472864722"/>
        <n v="0.43061766133910895"/>
        <n v="0.43107744091287065"/>
        <n v="0.4311829493401025"/>
        <n v="0.43167777486410375"/>
        <n v="0.43198720625254805"/>
        <n v="0.4320387693273717"/>
        <n v="0.4320496748647575"/>
        <n v="0.4324403683885757"/>
        <n v="0.43278611627530456"/>
        <n v="0.43333536360723074"/>
        <n v="0.43402008312444834"/>
        <n v="0.43484001012944823"/>
        <n v="0.4354727959953292"/>
        <n v="0.4359319932345704"/>
        <n v="0.43603151949809055"/>
        <n v="0.43604893659420646"/>
        <n v="0.4363257307797464"/>
        <n v="0.4366165804030333"/>
        <n v="0.436974769072702"/>
        <n v="0.43725270145753214"/>
        <n v="0.4374753120629057"/>
        <n v="0.43827271330985884"/>
        <n v="0.43844444905393287"/>
        <n v="0.4385111528262922"/>
        <n v="0.4387490629477067"/>
        <n v="0.4388668268696219"/>
        <n v="0.4388904114177061"/>
        <n v="0.4393794665360033"/>
        <n v="0.43958005430859787"/>
        <n v="0.43959990662180004"/>
        <n v="0.439730190735908"/>
        <n v="0.43978313023778043"/>
        <n v="0.44003004007451335"/>
        <n v="0.44028213798242966"/>
        <n v="0.4404524178902024"/>
        <n v="0.44060813943496013"/>
        <n v="0.44085920502258985"/>
        <n v="0.44109121238954585"/>
        <n v="0.44125302197701877"/>
        <n v="0.44283842770934256"/>
        <n v="0.4428459715883595"/>
        <n v="0.4428654268552976"/>
        <n v="0.44366478686382005"/>
        <n v="0.4453544304753307"/>
        <n v="0.445619816198217"/>
        <n v="0.4457204277215255"/>
        <n v="0.4460610140068216"/>
        <n v="0.44613952328809836"/>
        <n v="0.44616175787888485"/>
        <n v="0.4463887889326646"/>
        <n v="0.44650930570867714"/>
        <n v="0.44652465816422016"/>
        <n v="0.44684282457047325"/>
        <n v="0.4474616873473618"/>
        <n v="0.447650760778299"/>
        <n v="0.4482203633486952"/>
        <n v="0.44839863712125055"/>
        <n v="0.449019961584976"/>
        <n v="0.4491583983823724"/>
        <n v="0.44969546962886797"/>
        <n v="0.44981220123049653"/>
        <n v="0.4510012224425509"/>
        <n v="0.45115996153891524"/>
        <n v="0.4516494666429785"/>
        <n v="0.45176442477129447"/>
        <n v="0.45218132334853967"/>
        <n v="0.4524458090998942"/>
        <n v="0.4525197391142589"/>
        <n v="0.452563731840315"/>
        <n v="0.45486633547425526"/>
        <n v="0.45541849447878446"/>
        <n v="0.4556408403866486"/>
        <n v="0.45597735033030046"/>
        <n v="0.45640136927054753"/>
        <n v="0.4564434032350343"/>
        <n v="0.4564877135981015"/>
        <n v="0.4565832693989812"/>
        <n v="0.4565859428438258"/>
        <n v="0.4566454997834323"/>
        <n v="0.4567110124169993"/>
        <n v="0.45682046483712035"/>
        <n v="0.4576031753723039"/>
        <n v="0.45833130528105703"/>
        <n v="0.4583704011031898"/>
        <n v="0.4584809123133485"/>
        <n v="0.45848289754466864"/>
        <n v="0.46048154902860866"/>
        <n v="0.4604893046656329"/>
        <n v="0.46112246110802685"/>
        <n v="0.4612003615850321"/>
        <n v="0.46172398619805205"/>
        <n v="0.46195879935860723"/>
        <n v="0.46203209409894963"/>
        <n v="0.4621174590457188"/>
        <n v="0.4622683366260551"/>
        <n v="0.46255455404292833"/>
        <n v="0.462593226349046"/>
        <n v="0.46295615310413235"/>
        <n v="0.4630536941363322"/>
        <n v="0.4632551818804586"/>
        <n v="0.4634046036244936"/>
        <n v="0.46349102736130027"/>
        <n v="0.4644498411494623"/>
        <n v="0.4645465880891341"/>
        <n v="0.46481223850952985"/>
        <n v="0.46596441382828085"/>
        <n v="0.4660711133943048"/>
        <n v="0.4660945391238834"/>
        <n v="0.46674018928871924"/>
        <n v="0.46725986990884977"/>
        <n v="0.4676969384363082"/>
        <n v="0.4681136517252969"/>
        <n v="0.4681374215616376"/>
        <n v="0.4681527210776788"/>
        <n v="0.4682033841809706"/>
        <n v="0.46848359296438136"/>
        <n v="0.46891258821780424"/>
        <n v="0.4690250052500304"/>
        <n v="0.4691142083106853"/>
        <n v="0.47014250519505507"/>
        <n v="0.4703337756153199"/>
        <n v="0.4711637611256755"/>
        <n v="0.4714766335817414"/>
        <n v="0.4721030137678958"/>
        <n v="0.472228215689824"/>
        <n v="0.472248597398045"/>
        <n v="0.47247761368314506"/>
        <n v="0.4725409028576334"/>
        <n v="0.4727586430288347"/>
        <n v="0.4737167686034724"/>
        <n v="0.47416021634090655"/>
        <n v="0.4745472305693448"/>
        <n v="0.4747851406907595"/>
        <n v="0.4750804901717055"/>
        <n v="0.47515884063447666"/>
        <n v="0.47545535478446416"/>
        <n v="0.4756176937669559"/>
        <n v="0.47589072924786274"/>
        <n v="0.47604557729083946"/>
        <n v="0.47611482215928863"/>
        <n v="0.47672002654469403"/>
        <n v="0.47687852741329995"/>
        <n v="0.4772009289797029"/>
        <n v="0.4778280503188835"/>
        <n v="0.47822986113809507"/>
        <n v="0.47838224749423475"/>
        <n v="0.47846578602818945"/>
        <n v="0.4786999639147221"/>
        <n v="0.4793517815315261"/>
        <n v="0.4795244966563847"/>
        <n v="0.4795738892116317"/>
        <n v="0.48001458409496844"/>
        <n v="0.4802869313623512"/>
        <n v="0.48040159832340684"/>
        <n v="0.48122163120741035"/>
        <n v="0.48227091860427246"/>
        <n v="0.4823257903979631"/>
        <n v="0.4830582084063678"/>
        <n v="0.483084678157304"/>
        <n v="0.4831753370542606"/>
        <n v="0.48347325410104747"/>
        <n v="0.4837865236033774"/>
        <n v="0.4838835881800605"/>
        <n v="0.4839078874114201"/>
        <n v="0.4854332068091188"/>
        <n v="0.4854807729515511"/>
        <n v="0.48558749898732584"/>
        <n v="0.48610924424802926"/>
        <n v="0.48621366741547256"/>
        <n v="0.48683507128845094"/>
        <n v="0.48688123453408366"/>
        <n v="0.4872832041718009"/>
        <n v="0.48746277496215207"/>
        <n v="0.48788052057142717"/>
        <n v="0.4888201967296624"/>
        <n v="0.48902449026738803"/>
        <n v="0.48937958197619724"/>
        <n v="0.48939281685166536"/>
        <n v="0.4896183391296417"/>
        <n v="0.49038503546550893"/>
        <n v="0.4904332104122128"/>
        <n v="0.4904686798784672"/>
        <n v="0.49069843731659346"/>
        <n v="0.49092435664083406"/>
        <n v="0.4910352913670077"/>
        <n v="0.4911462525629323"/>
        <n v="0.4912436347766265"/>
        <n v="0.4915811241010631"/>
        <n v="0.49181625489862946"/>
        <n v="0.491839283581944"/>
        <n v="0.4926317879249738"/>
        <n v="0.49263454077907115"/>
        <n v="0.49266286341257287"/>
        <n v="0.4929879648935715"/>
        <n v="0.49301004066585213"/>
        <n v="0.4932954639901973"/>
        <n v="0.4937387529091258"/>
        <n v="0.49376575205508083"/>
        <n v="0.49407849216239197"/>
        <n v="0.49427815349370385"/>
        <n v="0.49438609713802173"/>
        <n v="0.4944112169316602"/>
        <n v="0.4953860449191385"/>
        <n v="0.4959853465500852"/>
        <n v="0.4960420182868395"/>
        <n v="0.49604230945409994"/>
        <n v="0.4960433417743864"/>
        <n v="0.4960729084861821"/>
        <n v="0.4972422891430417"/>
        <n v="0.4977721606172827"/>
        <n v="0.4981619541695691"/>
        <n v="0.49856490318807106"/>
        <n v="0.49904011462662873"/>
        <n v="0.4990743400145892"/>
        <n v="0.4994546309262896"/>
        <n v="0.500134480009335"/>
        <n v="0.5001525853189754"/>
        <n v="0.5001612673972826"/>
        <n v="0.5001818343937598"/>
        <n v="0.50047927498503"/>
        <n v="0.500935295854159"/>
        <n v="0.5015210449726263"/>
        <n v="0.5018415671867127"/>
        <n v="0.5023482246893826"/>
        <n v="0.5031798513242962"/>
        <n v="0.5036172639585169"/>
        <n v="0.503618058051045"/>
        <n v="0.504913805298874"/>
        <n v="0.5053172837123946"/>
        <n v="0.505992553528528"/>
        <n v="0.5065304453373027"/>
        <n v="0.5067258715084645"/>
        <n v="0.5067700759925281"/>
        <n v="0.5092849670289766"/>
        <n v="0.5096430233498908"/>
        <n v="0.5096922306168813"/>
        <n v="0.5098041976633413"/>
        <n v="0.5098414406029085"/>
        <n v="0.5098485609659104"/>
        <n v="0.5102288783473617"/>
        <n v="0.5103251223617657"/>
        <n v="0.5103566743048817"/>
        <n v="0.5105543504048734"/>
        <n v="0.5112555076374223"/>
        <n v="0.5126414373266911"/>
        <n v="0.5131257278898199"/>
        <n v="0.5137100476417366"/>
        <n v="0.5137932950084309"/>
        <n v="0.513984936005209"/>
        <n v="0.5146658438782918"/>
        <n v="0.5158187603500691"/>
        <n v="0.5168502336045512"/>
        <n v="0.5171422478968793"/>
        <n v="0.5173898724168874"/>
        <n v="0.5178426375066513"/>
        <n v="0.5183930230378677"/>
        <n v="0.5184357187461279"/>
        <n v="0.518643956276743"/>
        <n v="0.5189646108395841"/>
        <n v="0.5189822926332095"/>
        <n v="0.5191878302492291"/>
        <n v="0.5195788943495605"/>
        <n v="0.5201403442366683"/>
        <n v="0.5202821956319355"/>
        <n v="0.5208580185938015"/>
        <n v="0.5209102169426478"/>
        <n v="0.5211183750640102"/>
        <n v="0.5220439163752455"/>
        <n v="0.5221598538843459"/>
        <n v="0.5227886428178355"/>
        <n v="0.5231744394377307"/>
        <n v="0.5236763059154811"/>
        <n v="0.5238411330545608"/>
        <n v="0.523931103737993"/>
        <n v="0.5244689690770167"/>
        <n v="0.5248114082448783"/>
        <n v="0.5248367397965243"/>
        <n v="0.524872103383775"/>
        <n v="0.5252836286015801"/>
        <n v="0.5254075070359615"/>
        <n v="0.5262789441762832"/>
        <n v="0.5263165841621146"/>
        <n v="0.5263490360767623"/>
        <n v="0.5266872400844742"/>
        <n v="0.5266885106325192"/>
        <n v="0.5281957511903284"/>
        <n v="0.5283158709200768"/>
        <n v="0.5284243439594135"/>
        <n v="0.5287151935827005"/>
        <n v="0.528971420771763"/>
        <n v="0.5290126606437214"/>
        <n v="0.5291338391635074"/>
        <n v="0.529399992509171"/>
        <n v="0.5295056597549083"/>
        <n v="0.5296649017765406"/>
        <n v="0.5296754102676622"/>
        <n v="0.5298399462394816"/>
        <n v="0.5300655743964617"/>
        <n v="0.5303580651443068"/>
        <n v="0.5313660332599576"/>
        <n v="0.5315467422495989"/>
        <n v="0.5318399741504702"/>
        <n v="0.5323987241229824"/>
        <n v="0.5326739036537153"/>
        <n v="0.5331911225870086"/>
        <n v="0.5333859399538992"/>
        <n v="0.5339053294067694"/>
        <n v="0.5339508044388778"/>
        <n v="0.5340031351364787"/>
        <n v="0.5343562416139676"/>
        <n v="0.5354432748756647"/>
        <n v="0.5354537568970353"/>
        <n v="0.5356117019008716"/>
        <n v="0.5356261808546336"/>
        <n v="0.5356456625913228"/>
        <n v="0.5357684822356669"/>
        <n v="0.5371910989997329"/>
        <n v="0.5373568525800955"/>
        <n v="0.5376675545165847"/>
        <n v="0.5377592722035787"/>
        <n v="0.537759986886854"/>
        <n v="0.5380155788018939"/>
        <n v="0.5384219424182664"/>
        <n v="0.5389567637359325"/>
        <n v="0.539206320547759"/>
        <n v="0.539294253060369"/>
        <n v="0.5395094521354805"/>
        <n v="0.5400320444282138"/>
        <n v="0.54056517168182"/>
        <n v="0.540608264436344"/>
        <n v="0.5406545865004824"/>
        <n v="0.5413775548078029"/>
        <n v="0.5419486396842514"/>
        <n v="0.5420074025313298"/>
        <n v="0.5420386368374346"/>
        <n v="0.5422094990797278"/>
        <n v="0.5422829526385758"/>
        <n v="0.5424358154502325"/>
        <n v="0.543186100540519"/>
        <n v="0.5433384868966588"/>
        <n v="0.5434509833381377"/>
        <n v="0.5439261947766953"/>
        <n v="0.544298888869877"/>
        <n v="0.5447904850842641"/>
        <n v="0.5448423922658501"/>
        <n v="0.5450982224086486"/>
        <n v="0.5456995622104173"/>
        <n v="0.5457217968012036"/>
        <n v="0.5457258731428478"/>
        <n v="0.5461149784816098"/>
        <n v="0.5465055396566737"/>
        <n v="0.5465868282617986"/>
        <n v="0.5466421500412554"/>
        <n v="0.5472772123057168"/>
        <n v="0.5474733531601539"/>
        <n v="0.5475911170820691"/>
        <n v="0.5477571618296919"/>
        <n v="0.5477935842069803"/>
        <n v="0.5479602377588745"/>
        <n v="0.5480869219868552"/>
        <n v="0.5484245965995485"/>
        <n v="0.5498609776341015"/>
        <n v="0.5502239308589387"/>
        <n v="0.5507753487104415"/>
        <n v="0.5507773604115127"/>
        <n v="0.5507902511802186"/>
        <n v="0.5511435429459642"/>
        <n v="0.5511764183766269"/>
        <n v="0.5512208875581998"/>
        <n v="0.5516016284556661"/>
        <n v="0.5518934839294888"/>
        <n v="0.5519742431395951"/>
        <n v="0.5530564059671198"/>
        <n v="0.5531072278889174"/>
        <n v="0.5533284355974911"/>
        <n v="0.5543092192789303"/>
        <n v="0.5549916094580656"/>
        <n v="0.5553478923056671"/>
        <n v="0.5560166770328211"/>
        <n v="0.5562430198730766"/>
        <n v="0.5562618398659922"/>
        <n v="0.5563868300299131"/>
        <n v="0.5565692066138634"/>
        <n v="0.556670585759949"/>
        <n v="0.5568373451908472"/>
        <n v="0.5571819813480364"/>
        <n v="0.5572504056542067"/>
        <n v="0.5578863943599507"/>
        <n v="0.5579807060825365"/>
        <n v="0.5580590830150586"/>
        <n v="0.5585572437276779"/>
        <n v="0.5585748196422995"/>
        <n v="0.5592321164975473"/>
        <n v="0.5592856912734422"/>
        <n v="0.5598633671178739"/>
        <n v="0.5598871898937164"/>
        <n v="0.5599813427977965"/>
        <n v="0.560452530834212"/>
        <n v="0.5613023421880187"/>
        <n v="0.5616042826369478"/>
        <n v="0.5619470659115718"/>
        <n v="0.5621961462678814"/>
        <n v="0.562316689513645"/>
        <n v="0.5636024311956201"/>
        <n v="0.5636090486333541"/>
        <n v="0.5640933656662338"/>
        <n v="0.5642263761646883"/>
        <n v="0.564658018393205"/>
        <n v="0.5650270861305084"/>
        <n v="0.5651741785364609"/>
        <n v="0.5653342411203721"/>
        <n v="0.5657732684093999"/>
        <n v="0.5665015836064097"/>
        <n v="0.5670038471304241"/>
        <n v="0.5671214522338336"/>
        <n v="0.5676832197579527"/>
        <n v="0.5679369058509253"/>
        <n v="0.5680351880361513"/>
        <n v="0.568687587987476"/>
        <n v="0.5690990337960282"/>
        <n v="0.5692588052126791"/>
        <n v="0.5698424632208224"/>
        <n v="0.5702776259262138"/>
        <n v="0.5705664109089276"/>
        <n v="0.5712837411592987"/>
        <n v="0.5715914255441812"/>
        <n v="0.5719659460501775"/>
        <n v="0.5719857189541269"/>
        <n v="0.5724713330048025"/>
        <n v="0.5724738211613906"/>
        <n v="0.5726127873538056"/>
        <n v="0.5729376770767965"/>
        <n v="0.5733492817038544"/>
        <n v="0.5735488371561624"/>
        <n v="0.5741389273137832"/>
        <n v="0.5743261743319059"/>
        <n v="0.5743326064813835"/>
        <n v="0.574456405506512"/>
        <n v="0.5750915471802263"/>
        <n v="0.5753092608816766"/>
        <n v="0.5763848327412181"/>
        <n v="0.5770607643011251"/>
        <n v="0.5772402292124726"/>
        <n v="0.5773157209421427"/>
        <n v="0.5773467434902398"/>
        <n v="0.5780497271356034"/>
        <n v="0.5784787488587775"/>
        <n v="0.5790044381123705"/>
        <n v="0.5790201346746756"/>
        <n v="0.579083926774432"/>
        <n v="0.5791222285040366"/>
        <n v="0.5792810470096539"/>
        <n v="0.5792817087534273"/>
        <n v="0.579523668746735"/>
        <n v="0.5795497149816564"/>
        <n v="0.5796746522060751"/>
        <n v="0.5798136978077431"/>
        <n v="0.580571712065303"/>
        <n v="0.5809170629057678"/>
        <n v="0.5810065041941813"/>
        <n v="0.5814565958391003"/>
        <n v="0.5818300840248102"/>
        <n v="0.5819025317331226"/>
        <n v="0.5832505302692996"/>
        <n v="0.5834782230668528"/>
        <n v="0.5847292099658489"/>
        <n v="0.5850312298240309"/>
        <n v="0.5850914220376597"/>
        <n v="0.5857126670921324"/>
        <n v="0.5860359421603164"/>
        <n v="0.5868181497702321"/>
        <n v="0.5869223347099171"/>
        <n v="0.5871156168312531"/>
        <n v="0.5874923078568262"/>
        <n v="0.5878440114375156"/>
        <n v="0.5882107233669858"/>
        <n v="0.5883016734312027"/>
        <n v="0.5884679564065838"/>
        <n v="0.5889803578452069"/>
        <n v="0.5894698894190209"/>
        <n v="0.5907376846098613"/>
        <n v="0.5911160696994944"/>
        <n v="0.5921857123348264"/>
        <n v="0.5922583718011462"/>
        <n v="0.5930565406708764"/>
        <n v="0.5932391290128345"/>
        <n v="0.5947559780902336"/>
        <n v="0.5948587601331187"/>
        <n v="0.5950604596352527"/>
        <n v="0.595074859179762"/>
        <n v="0.5951194342403385"/>
        <n v="0.5961473076086931"/>
        <n v="0.5964461510967628"/>
        <n v="0.5968495501010307"/>
        <n v="0.5971828042653174"/>
        <n v="0.5973026592975565"/>
        <n v="0.5977749325937604"/>
        <n v="0.5981384152136162"/>
        <n v="0.5987778714567331"/>
        <n v="0.5999639809961843"/>
        <n v="0.6001619217936853"/>
        <n v="0.6001746272741345"/>
        <n v="0.6002511777938421"/>
        <n v="0.6004566889401108"/>
        <n v="0.6004894055522679"/>
        <n v="0.6005642355381646"/>
        <n v="0.6009068335245319"/>
        <n v="0.6017404718605167"/>
        <n v="0.6023283914985608"/>
        <n v="0.6026919535276694"/>
        <n v="0.6031014405746524"/>
        <n v="0.6032372303969553"/>
        <n v="0.6032651824539438"/>
        <n v="0.6032892699272958"/>
        <n v="0.6037781397573365"/>
        <n v="0.6049994540655329"/>
        <n v="0.6052937182866907"/>
        <n v="0.6059767702095994"/>
        <n v="0.6061341328789152"/>
        <n v="0.6063611109931931"/>
        <n v="0.606480224872406"/>
        <n v="0.6070524214783939"/>
        <n v="0.6071363835283635"/>
        <n v="0.6075658287675526"/>
        <n v="0.6076936776645745"/>
        <n v="0.6079091414371951"/>
        <n v="0.608375088462925"/>
        <n v="0.6086853668833992"/>
        <n v="0.6096276370772261"/>
        <n v="0.610011898451567"/>
        <n v="0.610238479519581"/>
        <n v="0.6103208004449926"/>
        <n v="0.61067867147765"/>
        <n v="0.6108152553924809"/>
        <n v="0.6117337557499671"/>
        <n v="0.6117645400703059"/>
        <n v="0.6127406650755803"/>
        <n v="0.6133758067492944"/>
        <n v="0.6136675828138641"/>
        <n v="0.6143612755766493"/>
        <n v="0.6144781395270327"/>
        <n v="0.6145046092779689"/>
        <n v="0.6145826950432306"/>
        <n v="0.6148544864458436"/>
        <n v="0.615142662624286"/>
        <n v="0.6160290816436377"/>
        <n v="0.6163057699501738"/>
        <n v="0.616385285081986"/>
        <n v="0.616642941637599"/>
        <n v="0.6179475297822408"/>
        <n v="0.6180344829140662"/>
        <n v="0.6189936937484923"/>
        <n v="0.6190222016702506"/>
        <n v="0.6191664618128531"/>
        <n v="0.619340685713515"/>
        <n v="0.6196326735360923"/>
        <n v="0.6196606520628319"/>
        <n v="0.6205582413170785"/>
        <n v="0.621694428906264"/>
        <n v="0.6218563179029899"/>
        <n v="0.6222847308218923"/>
        <n v="0.6231217308162461"/>
        <n v="0.6238116384046473"/>
        <n v="0.6238488284047127"/>
        <n v="0.6239926915010509"/>
        <n v="0.6248561347765899"/>
        <n v="0.6254989526780754"/>
        <n v="0.6255747885145078"/>
        <n v="0.6256686237815766"/>
        <n v="0.6259496001877644"/>
        <n v="0.6263366673557044"/>
        <n v="0.6265197586229302"/>
        <n v="0.6268452836199436"/>
        <n v="0.62720283701559"/>
        <n v="0.6272664702968405"/>
        <n v="0.6283828055728239"/>
        <n v="0.6286376828045885"/>
        <n v="0.6289695340720759"/>
        <n v="0.6290757571825828"/>
        <n v="0.629250378129509"/>
        <n v="0.6305050443238849"/>
        <n v="0.630572648067776"/>
        <n v="0.6306284992422514"/>
        <n v="0.6306583571213074"/>
        <n v="0.6309401276200234"/>
        <n v="0.6313457236136187"/>
        <n v="0.6315645490446083"/>
        <n v="0.6332969677736319"/>
        <n v="0.6343536931705069"/>
        <n v="0.6343860392061511"/>
        <n v="0.6345370226654911"/>
        <n v="0.6348720238333397"/>
        <n v="0.6351459857555294"/>
        <n v="0.6351965429798176"/>
        <n v="0.6354661373931029"/>
        <n v="0.6354732842258555"/>
        <n v="0.6355869188666248"/>
        <n v="0.6356602136069671"/>
        <n v="0.6364029283484861"/>
        <n v="0.6373163465137924"/>
        <n v="0.637570879638795"/>
        <n v="0.6379573909419655"/>
        <n v="0.6389681119117134"/>
        <n v="0.6396232382473844"/>
        <n v="0.6400738592873223"/>
        <n v="0.6402931611738288"/>
        <n v="0.6407293826692576"/>
        <n v="0.6407303091105403"/>
        <n v="0.6415662238451056"/>
        <n v="0.6420791282089964"/>
        <n v="0.6426080203024527"/>
        <n v="0.643538908503377"/>
        <n v="0.6441134873869493"/>
        <n v="0.6452866267484417"/>
        <n v="0.6459075276961523"/>
        <n v="0.6460639639241852"/>
        <n v="0.6467742002813055"/>
        <n v="0.6469007786302824"/>
        <n v="0.6475321086598618"/>
        <n v="0.6482246896931074"/>
        <n v="0.6483052106754553"/>
        <n v="0.6491956001574474"/>
        <n v="0.650425490664947"/>
        <n v="0.6504920885583027"/>
        <n v="0.6507692268506048"/>
        <n v="0.6518784152938353"/>
        <n v="0.6522949432945675"/>
        <n v="0.652877648391677"/>
        <n v="0.6530636248617548"/>
        <n v="0.6535210221579324"/>
        <n v="0.6539240505856871"/>
        <n v="0.6539857780448702"/>
        <n v="0.6540823396962855"/>
        <n v="0.6543187145721457"/>
        <n v="0.6547433952561663"/>
        <n v="0.6548944316550082"/>
        <n v="0.6550029841035977"/>
        <n v="0.6558163201406143"/>
        <n v="0.6561984374651294"/>
        <n v="0.6566629815940597"/>
        <n v="0.6572543687694764"/>
        <n v="0.6576135103501788"/>
        <n v="0.6578187038594363"/>
        <n v="0.6590476414559023"/>
        <n v="0.6591320799613887"/>
        <n v="0.6593348382535601"/>
        <n v="0.6598673302331436"/>
        <n v="0.6600394630234818"/>
        <n v="0.6602901315648475"/>
        <n v="0.6602917726894058"/>
        <n v="0.6605764283909736"/>
        <n v="0.6609140235944139"/>
        <n v="0.660942610925425"/>
        <n v="0.6611175759791134"/>
        <n v="0.6613448717304025"/>
        <n v="0.6614824879655198"/>
        <n v="0.6624983705367004"/>
        <n v="0.6628526681529815"/>
        <n v="0.6633352117125484"/>
        <n v="0.6633573139545801"/>
        <n v="0.6638925852580121"/>
        <n v="0.6641255984755035"/>
        <n v="0.664824505779223"/>
        <n v="0.6650960324843266"/>
        <n v="0.6652652006625598"/>
        <n v="0.6655322539797551"/>
        <n v="0.6664612892981141"/>
        <n v="0.6664739153693107"/>
        <n v="0.6688336407257713"/>
        <n v="0.6695273334885563"/>
        <n v="0.670438581134286"/>
        <n v="0.6705329722661245"/>
        <n v="0.6707270484799888"/>
        <n v="0.6708005814480895"/>
        <n v="0.6724233359989845"/>
        <n v="0.673894339467762"/>
        <n v="0.6740862451620495"/>
        <n v="0.6745110846645757"/>
        <n v="0.6750487647153428"/>
        <n v="0.6753260618261503"/>
        <n v="0.6763499117923627"/>
        <n v="0.676370505258591"/>
        <n v="0.6764314915647481"/>
        <n v="0.6771296577154413"/>
        <n v="0.6775558207055143"/>
        <n v="0.6784290577888996"/>
        <n v="0.6785697445151256"/>
        <n v="0.6786452362447957"/>
        <n v="0.6787085254192841"/>
        <n v="0.6788186395831787"/>
        <n v="0.6800554651654236"/>
        <n v="0.6808180322201447"/>
        <n v="0.6817160714601573"/>
        <n v="0.6819380203217574"/>
        <n v="0.6824404426642775"/>
        <n v="0.6828669762308633"/>
        <n v="0.6833232617975018"/>
        <n v="0.6834868977977894"/>
        <n v="0.6836475691859721"/>
        <n v="0.6841939048452954"/>
        <n v="0.6842800903543437"/>
        <n v="0.6844398088314927"/>
        <n v="0.684886512348292"/>
        <n v="0.6854841463849296"/>
        <n v="0.6856574173745581"/>
        <n v="0.6857924131043327"/>
        <n v="0.6860129061296313"/>
        <n v="0.6863479337672308"/>
        <n v="0.6872977478400745"/>
        <n v="0.6879283631863785"/>
        <n v="0.6887090090809892"/>
        <n v="0.6892430098363761"/>
        <n v="0.6900458373822712"/>
        <n v="0.6903150347492923"/>
        <n v="0.6907328068283184"/>
        <n v="0.6913222881816677"/>
        <n v="0.6914734569292642"/>
        <n v="0.6914906093278709"/>
        <n v="0.6924993185965478"/>
        <n v="0.6929053116364073"/>
        <n v="0.6931330838432133"/>
        <n v="0.6945380188136543"/>
        <n v="0.6948606850775665"/>
        <n v="0.6951253825869285"/>
        <n v="0.6960688439195477"/>
        <n v="0.6965593548741463"/>
        <n v="0.6969294284619854"/>
        <n v="0.6974091926977041"/>
        <n v="0.6976355090682087"/>
        <n v="0.6979466609904637"/>
        <n v="0.6993305260391594"/>
        <n v="0.7000725790369049"/>
        <n v="0.7005510197850768"/>
        <n v="0.7007412049455535"/>
        <n v="0.7008349078638676"/>
        <n v="0.7008946236219797"/>
        <n v="0.7009697712448876"/>
        <n v="0.7010935173305143"/>
        <n v="0.7018348027054827"/>
        <n v="0.701878239566769"/>
        <n v="0.7019113267554392"/>
        <n v="0.7019824509762047"/>
        <n v="0.702768576109259"/>
        <n v="0.7029533614405447"/>
        <n v="0.7031552462309351"/>
        <n v="0.7032998504802996"/>
        <n v="0.7037764118761551"/>
        <n v="0.7039115399546843"/>
        <n v="0.7041514353074192"/>
        <n v="0.7052456948111218"/>
        <n v="0.7055586996159424"/>
        <n v="0.7056282621214027"/>
        <n v="0.7062437367701713"/>
        <n v="0.7072335995761816"/>
        <n v="0.7078018786590309"/>
        <n v="0.7079114634279069"/>
        <n v="0.7086494136142572"/>
        <n v="0.709007602283926"/>
        <n v="0.7090243841060195"/>
        <n v="0.7093882108326375"/>
        <n v="0.7100809506843889"/>
        <n v="0.7110337558390885"/>
        <n v="0.7124403054643365"/>
        <n v="0.7128733505896527"/>
        <n v="0.7129352898068435"/>
        <n v="0.713695633402486"/>
        <n v="0.7137724486197029"/>
        <n v="0.7145729732972663"/>
        <n v="0.7149985539528186"/>
        <n v="0.7163038303109848"/>
        <n v="0.7164159297061995"/>
        <n v="0.7193287405084722"/>
        <n v="0.7195154581315761"/>
        <n v="0.720281439784168"/>
        <n v="0.7208923086962737"/>
        <n v="0.7210485331662992"/>
        <n v="0.7217669222067078"/>
        <n v="0.7218180088260147"/>
        <n v="0.7226461414538047"/>
        <n v="0.7226681642865835"/>
        <n v="0.7239058104311077"/>
        <n v="0.7242572757840385"/>
        <n v="0.7244622045957866"/>
        <n v="0.724554531087052"/>
        <n v="0.724875688575161"/>
        <n v="0.7250637296858118"/>
        <n v="0.7255373264695624"/>
        <n v="0.7255522289393395"/>
        <n v="0.7258094619789375"/>
        <n v="0.7261701652749452"/>
        <n v="0.7267985571621706"/>
        <n v="0.726857320009249"/>
        <n v="0.726857717055513"/>
        <n v="0.7275120228289049"/>
        <n v="0.7277490859182897"/>
        <n v="0.7296580843558086"/>
        <n v="0.7302531243568545"/>
        <n v="0.7307363561299459"/>
        <n v="0.7313227669921863"/>
        <n v="0.7313804710492273"/>
        <n v="0.7315300251420169"/>
        <n v="0.7316856672775217"/>
        <n v="0.7318971605875021"/>
        <n v="0.7323267646451965"/>
        <n v="0.7333490264263528"/>
        <n v="0.733761372206437"/>
        <n v="0.7344300510545873"/>
        <n v="0.7344799730048531"/>
        <n v="0.7349350144931973"/>
        <n v="0.7351133941447564"/>
        <n v="0.7362717369154756"/>
        <n v="0.7363416964671999"/>
        <n v="0.736842901201177"/>
        <n v="0.7392001648708006"/>
        <n v="0.7400269475412927"/>
        <n v="0.7410763408171587"/>
        <n v="0.7411065163332259"/>
        <n v="0.7411803669383379"/>
        <n v="0.7412107277426616"/>
        <n v="0.7423549356663809"/>
        <n v="0.742669819823518"/>
        <n v="0.7439180009289146"/>
        <n v="0.7442396613422914"/>
        <n v="0.7450025989735257"/>
        <n v="0.7454157123763869"/>
        <n v="0.7455273617858359"/>
        <n v="0.7459337254022084"/>
        <n v="0.7460231666906219"/>
        <n v="0.7466390913251564"/>
        <n v="0.7469781423648982"/>
        <n v="0.7471281199737027"/>
        <n v="0.7471813241730845"/>
        <n v="0.7474380807571657"/>
        <n v="0.7475609004015096"/>
        <n v="0.7483223027871897"/>
        <n v="0.7491513353865116"/>
        <n v="0.7493243152088795"/>
        <n v="0.7493866779420852"/>
        <n v="0.7494910217002758"/>
        <n v="0.7497479635726134"/>
        <n v="0.7499421191957306"/>
        <n v="0.750116157808136"/>
        <n v="0.7501790234666096"/>
        <n v="0.7506847280582458"/>
        <n v="0.7510560192546277"/>
        <n v="0.7520392381531531"/>
        <n v="0.7543556854668331"/>
        <n v="0.7571194715713349"/>
        <n v="0.7590911239093199"/>
        <n v="0.7593092346570341"/>
        <n v="0.7594900230559284"/>
        <n v="0.760105074188682"/>
        <n v="0.7601505756905412"/>
        <n v="0.7602383229148948"/>
        <n v="0.7605337253353429"/>
        <n v="0.7605448426307361"/>
        <n v="0.7620502832454816"/>
        <n v="0.7621586504058145"/>
        <n v="0.7624894164135133"/>
        <n v="0.7636658909636237"/>
        <n v="0.7637471530989979"/>
        <n v="0.7656820124831816"/>
        <n v="0.7657346343480429"/>
        <n v="0.7663716289043224"/>
        <n v="0.7669904122719581"/>
        <n v="0.7670612453254634"/>
        <n v="0.768692020210892"/>
        <n v="0.769054602859216"/>
        <n v="0.7692439674574136"/>
        <n v="0.7693606990590423"/>
        <n v="0.7697220640988234"/>
        <n v="0.7701962432170946"/>
        <n v="0.7708974269193946"/>
        <n v="0.7712785913328759"/>
        <n v="0.7714251278740587"/>
        <n v="0.772159769341542"/>
        <n v="0.772894199051018"/>
        <n v="0.7731475145674774"/>
        <n v="0.7739488598073201"/>
        <n v="0.7742341243131595"/>
        <n v="0.774634691054077"/>
        <n v="0.7750376136028279"/>
        <n v="0.7757650288283057"/>
        <n v="0.776253686900339"/>
        <n v="0.7765123757762386"/>
        <n v="0.7775271201481287"/>
        <n v="0.7782003517934402"/>
        <n v="0.7783777785339655"/>
        <n v="0.7788157735027069"/>
        <n v="0.7791921468912689"/>
        <n v="0.7795744759737913"/>
        <n v="0.7807893051930085"/>
        <n v="0.7815137293366303"/>
        <n v="0.7817262020273953"/>
        <n v="0.7819074668818063"/>
        <n v="0.7819713119210645"/>
        <n v="0.7823963102420961"/>
        <n v="0.7845809646658647"/>
        <n v="0.784857997079163"/>
        <n v="0.7851953805245959"/>
        <n v="0.7852008862327906"/>
        <n v="0.7853454110729025"/>
        <n v="0.7855817859487627"/>
        <n v="0.7856635774791555"/>
        <n v="0.7865476671604247"/>
        <n v="0.786961204079301"/>
        <n v="0.7875868695821802"/>
        <n v="0.7876646377104305"/>
        <n v="0.7878184799028719"/>
        <n v="0.7886058491142202"/>
        <n v="0.7892750573573892"/>
        <n v="0.7892987213147262"/>
        <n v="0.7893338731439695"/>
        <n v="0.7897621537141171"/>
        <n v="0.7910534805135399"/>
        <n v="0.7912288426134922"/>
        <n v="0.7916171538597263"/>
        <n v="0.7919361143585076"/>
        <n v="0.7919858245507657"/>
        <n v="0.7924879027865236"/>
        <n v="0.7927496092140299"/>
        <n v="0.7929087453566582"/>
        <n v="0.7931831572646141"/>
        <n v="0.7944087332027112"/>
        <n v="0.7946451874878242"/>
        <n v="0.7956732726141864"/>
        <n v="0.7958057272478712"/>
        <n v="0.7962770211632901"/>
        <n v="0.7966918550999624"/>
        <n v="0.7968287831215554"/>
        <n v="0.7973655896705415"/>
        <n v="0.7974729245105878"/>
        <n v="0.7977874380912119"/>
        <n v="0.7978370159347153"/>
        <n v="0.7982781608038181"/>
        <n v="0.7988301080503397"/>
        <n v="0.799875186756803"/>
        <n v="0.8006844464521755"/>
        <n v="0.8009996217765728"/>
        <n v="0.801016641826425"/>
        <n v="0.8010811486094565"/>
        <n v="0.8028187554096635"/>
        <n v="0.8029192081144664"/>
        <n v="0.8035718198237984"/>
        <n v="0.8049198977692282"/>
        <n v="0.8061273419279341"/>
        <n v="0.8062496321772595"/>
        <n v="0.8063215769603042"/>
        <n v="0.806993326299563"/>
        <n v="0.8070228136021059"/>
        <n v="0.8073309215030033"/>
        <n v="0.8075127686919351"/>
        <n v="0.8076502261085469"/>
        <n v="0.8079500489774011"/>
        <n v="0.8081468515756117"/>
        <n v="0.8092694337128162"/>
        <n v="0.8093217114709151"/>
        <n v="0.8104505404693405"/>
        <n v="0.810990099872424"/>
        <n v="0.8110976994099798"/>
        <n v="0.8114153364212142"/>
        <n v="0.8115522379730562"/>
        <n v="0.8125136987363121"/>
        <n v="0.8127344564591199"/>
        <n v="0.8128278946799247"/>
        <n v="0.8129002365092333"/>
        <n v="0.8139008989736256"/>
        <n v="0.8148585745624974"/>
        <n v="0.8148622009183756"/>
        <n v="0.8155068981721777"/>
        <n v="0.8164261926221922"/>
        <n v="0.8167823960605407"/>
        <n v="0.8170257324808972"/>
        <n v="0.8176268605246584"/>
        <n v="0.8177724441548074"/>
        <n v="0.8179342272725296"/>
        <n v="0.8182138272516686"/>
        <n v="0.8186183115157247"/>
        <n v="0.818635675672339"/>
        <n v="0.8187433546191474"/>
        <n v="0.8196207474534297"/>
        <n v="0.8196932216314932"/>
        <n v="0.821481491534992"/>
        <n v="0.8215805413429953"/>
        <n v="0.8217546593646535"/>
        <n v="0.8223176709670666"/>
        <n v="0.822533293558193"/>
        <n v="0.8228803119929666"/>
        <n v="0.8229659681069961"/>
        <n v="0.8235876896169856"/>
        <n v="0.8236296706419705"/>
        <n v="0.8243417069421544"/>
        <n v="0.8253634393282918"/>
        <n v="0.8262694194935852"/>
        <n v="0.8263428201129314"/>
        <n v="0.8271537738723639"/>
        <n v="0.8279551985214592"/>
        <n v="0.8282432688208978"/>
        <n v="0.8284641059529586"/>
        <n v="0.8304128619563839"/>
        <n v="0.8304769716931513"/>
        <n v="0.8311358302637043"/>
        <n v="0.8321348516035386"/>
        <n v="0.8326894722949046"/>
        <n v="0.8328941893486453"/>
        <n v="0.8330512608507008"/>
        <n v="0.833310876167883"/>
        <n v="0.8337364832931862"/>
        <n v="0.8343486756928389"/>
        <n v="0.8346013824050267"/>
        <n v="0.8349843997010736"/>
        <n v="0.8353736638583413"/>
        <n v="0.8361407837102235"/>
        <n v="0.8363690323725463"/>
        <n v="0.8364847845933904"/>
        <n v="0.8372679451143398"/>
        <n v="0.8374463512356499"/>
        <n v="0.8384374316502031"/>
        <n v="0.838491509351366"/>
        <n v="0.8391551060073366"/>
        <n v="0.8392534411320645"/>
        <n v="0.8395128446912393"/>
        <n v="0.8395963038159411"/>
        <n v="0.8397031622004705"/>
        <n v="0.8412732154772514"/>
        <n v="0.8418777845886343"/>
        <n v="0.8426295784547243"/>
        <n v="0.8427421543054561"/>
        <n v="0.8436590135383842"/>
        <n v="0.844610124629024"/>
        <n v="0.8446289710916906"/>
        <n v="0.8448889305156349"/>
        <n v="0.8451956884592345"/>
        <n v="0.8453263960893576"/>
        <n v="0.8456363568728205"/>
        <n v="0.8459298270014501"/>
        <n v="0.8473265034095989"/>
        <n v="0.8476860420365653"/>
        <n v="0.8482102754538569"/>
        <n v="0.8484404299382471"/>
        <n v="0.8489428258110163"/>
        <n v="0.84902633787522"/>
        <n v="0.8490858948148264"/>
        <n v="0.8500567258699137"/>
        <n v="0.8511595351031688"/>
        <n v="0.8518799358446485"/>
        <n v="0.8518910002005398"/>
        <n v="0.8547996552519154"/>
        <n v="0.8569781157539649"/>
        <n v="0.8572162905728888"/>
        <n v="0.8578521469298782"/>
        <n v="0.8584731272868416"/>
        <n v="0.8589535532663337"/>
        <n v="0.859178281451782"/>
        <n v="0.8601025257452215"/>
        <n v="0.861191041312971"/>
        <n v="0.8617236127018074"/>
        <n v="0.8630486090244209"/>
        <n v="0.8644240566923188"/>
        <n v="0.8648494255898636"/>
        <n v="0.8654985168223213"/>
        <n v="0.8656501884951856"/>
        <n v="0.8659113919974241"/>
        <n v="0.8660925245030806"/>
        <n v="0.867777244740917"/>
        <n v="0.8685239564148273"/>
        <n v="0.8687213148778078"/>
        <n v="0.8697488706091512"/>
        <n v="0.8708058077640337"/>
        <n v="0.8716137704416104"/>
        <n v="0.8716489752103556"/>
        <n v="0.8722959753324891"/>
        <n v="0.8728043798387207"/>
        <n v="0.8737478676410907"/>
        <n v="0.8750306182412101"/>
        <n v="0.8755016474591198"/>
        <n v="0.8771178110420316"/>
        <n v="0.8771299077182095"/>
        <n v="0.8776743904949672"/>
        <n v="0.8784910352508509"/>
        <n v="0.8797539335377682"/>
        <n v="0.8807291585715107"/>
        <n v="0.8809732890843953"/>
        <n v="0.881736861989652"/>
        <n v="0.8822485222752486"/>
        <n v="0.8822845211365219"/>
        <n v="0.8825345014643635"/>
        <n v="0.8835114999714186"/>
        <n v="0.8858714370858869"/>
        <n v="0.8860440992712437"/>
        <n v="0.8861992120117299"/>
        <n v="0.8866149723896847"/>
        <n v="0.889015514102089"/>
        <n v="0.8893463859887916"/>
        <n v="0.8898289295483587"/>
        <n v="0.8899320556980062"/>
        <n v="0.8903813532503971"/>
        <n v="0.8906021903824578"/>
        <n v="0.8908271832654155"/>
        <n v="0.8912948243552055"/>
        <n v="0.8918094492529073"/>
        <n v="0.8924175388411646"/>
        <n v="0.8928748567280894"/>
        <n v="0.8936478528646794"/>
        <n v="0.8937768929004934"/>
        <n v="0.8938625225447718"/>
        <n v="0.8947724996424568"/>
        <n v="0.895456927992414"/>
        <n v="0.8956546570319075"/>
        <n v="0.8957263900569447"/>
        <n v="0.8973954931417288"/>
        <n v="0.8977071215195007"/>
        <n v="0.8989711844754591"/>
        <n v="0.8999972843705012"/>
        <n v="0.9001996456164083"/>
        <n v="0.9005389878234105"/>
        <n v="0.9010645447282488"/>
        <n v="0.9012381862943903"/>
        <n v="0.9023333457696247"/>
        <n v="0.9024028553355833"/>
        <n v="0.9027441563041546"/>
        <n v="0.9028635613506278"/>
        <n v="0.9034457105829679"/>
        <n v="0.903480438896196"/>
        <n v="0.9038258691459136"/>
        <n v="0.9054406563017766"/>
        <n v="0.9055124157965647"/>
        <n v="0.9071448582763022"/>
        <n v="0.9075304166684389"/>
        <n v="0.9075755740635361"/>
        <n v="0.9083730017802402"/>
        <n v="0.9085783541080031"/>
        <n v="0.9087485281367721"/>
        <n v="0.9091150547779857"/>
        <n v="0.9102718887729014"/>
        <n v="0.9116900850885614"/>
        <n v="0.912255373089555"/>
        <n v="0.9131404421516087"/>
        <n v="0.9138430816902102"/>
        <n v="0.9139929004805092"/>
        <n v="0.914863040603035"/>
        <n v="0.9152429344684714"/>
        <n v="0.9152566987389581"/>
        <n v="0.916503556356808"/>
        <n v="0.9167179083998893"/>
        <n v="0.9179913416476793"/>
        <n v="0.9182264724452454"/>
        <n v="0.9186873108090448"/>
        <n v="0.9188561878200177"/>
        <n v="0.9192879094577873"/>
        <n v="0.9200244567473381"/>
        <n v="0.9205314583567701"/>
        <n v="0.920819872762971"/>
        <n v="0.9222675563811739"/>
        <n v="0.9223232752068944"/>
        <n v="0.922535033214384"/>
        <n v="0.9230866628238946"/>
        <n v="0.9238339303625746"/>
        <n v="0.9240259948753677"/>
        <n v="0.924069458206405"/>
        <n v="0.9252819845572905"/>
        <n v="0.9256205326717645"/>
        <n v="0.9265708496698761"/>
        <n v="0.9276904671949755"/>
        <n v="0.9280403973023522"/>
        <n v="0.928466639701678"/>
        <n v="0.928548748869082"/>
        <n v="0.9294507850414859"/>
        <n v="0.9299601159890003"/>
        <n v="0.9299765537043317"/>
        <n v="0.9300387046795299"/>
        <n v="0.9303382363811241"/>
        <n v="0.9303787351000564"/>
        <n v="0.930672628744701"/>
        <n v="0.9308869543180315"/>
        <n v="0.9311066003113002"/>
        <n v="0.9313459397992654"/>
        <n v="0.9324133325057676"/>
        <n v="0.9340300519534491"/>
        <n v="0.9350505932007944"/>
        <n v="0.9357178162126432"/>
        <n v="0.9360747608040179"/>
        <n v="0.9364214351320294"/>
        <n v="0.9366983351965731"/>
        <n v="0.9369568123144651"/>
        <n v="0.9370974461011892"/>
        <n v="0.9375720222657243"/>
        <n v="0.9379541131204884"/>
        <n v="0.9380435279391509"/>
        <n v="0.9383478241959136"/>
        <n v="0.9394448894932153"/>
        <n v="0.9396268425611508"/>
        <n v="0.9401460202560136"/>
        <n v="0.9401586198574591"/>
        <n v="0.9408709208551524"/>
        <n v="0.9411206364854846"/>
        <n v="0.9440982717077999"/>
        <n v="0.9453560083932846"/>
        <n v="0.9456625810486275"/>
        <n v="0.9478882106468455"/>
        <n v="0.9479073218070214"/>
        <n v="0.94808879841944"/>
        <n v="0.948737307317377"/>
        <n v="0.9487868586911296"/>
        <n v="0.9499261167714237"/>
        <n v="0.9501168313269192"/>
        <n v="0.9501780558608346"/>
        <n v="0.950407680950206"/>
        <n v="0.9507793956626033"/>
        <n v="0.9509755365170405"/>
        <n v="0.9512596628235898"/>
        <n v="0.9517099662265163"/>
        <n v="0.952189756931986"/>
        <n v="0.9545079247794769"/>
        <n v="0.9554523390231295"/>
        <n v="0.9557714318706655"/>
        <n v="0.9576873918526808"/>
        <n v="0.9580046053479001"/>
        <n v="0.9583522325869454"/>
        <n v="0.9584925222669073"/>
        <n v="0.9595017079911009"/>
        <n v="0.9597599998207363"/>
        <n v="0.9598108482122849"/>
        <n v="0.9600357087464878"/>
        <n v="0.9606185726621032"/>
        <n v="0.9628223117762966"/>
        <n v="0.9629380110576388"/>
        <n v="0.9635853023470327"/>
        <n v="0.9640820072233505"/>
        <n v="0.9655698983932255"/>
        <n v="0.965632340535684"/>
        <n v="0.9665965012135351"/>
        <n v="0.9667561138116805"/>
        <n v="0.9668776629079796"/>
        <n v="0.9673611593785801"/>
        <n v="0.9681457757358312"/>
        <n v="0.9682724864335628"/>
        <n v="0.9686261223060705"/>
        <n v="0.9688969872674007"/>
        <n v="0.9691776460365771"/>
        <n v="0.96959928269924"/>
        <n v="0.970751034501976"/>
        <n v="0.9713155813499433"/>
        <n v="0.9713562918268832"/>
        <n v="0.9722104706895947"/>
        <n v="0.9727788556514476"/>
        <n v="0.9732607904067432"/>
        <n v="0.9737354989200329"/>
        <n v="0.9741653147357351"/>
        <n v="0.9744861545868327"/>
        <n v="0.975378476360643"/>
        <n v="0.9768274040571399"/>
        <n v="0.9776038147916006"/>
        <n v="0.9776830916956546"/>
        <n v="0.9779183548419755"/>
        <n v="0.9785243003804072"/>
        <n v="0.9803073028034698"/>
        <n v="0.9809155247404817"/>
        <n v="0.9812915804920325"/>
        <n v="0.9813887774174701"/>
        <n v="0.9814675513962564"/>
        <n v="0.9823249330988308"/>
        <n v="0.9824341472911937"/>
        <n v="0.9833219956770959"/>
        <n v="0.983644291364495"/>
        <n v="0.9841779744828707"/>
        <n v="0.98454550697462"/>
        <n v="0.9847057813165386"/>
        <n v="0.984735030391323"/>
        <n v="0.9852059007907272"/>
        <n v="0.9858171932188479"/>
        <n v="0.9859819938881768"/>
        <n v="0.9862054515255803"/>
        <n v="0.9870677830715797"/>
        <n v="0.9872983610719851"/>
        <n v="0.9900505534255768"/>
        <n v="0.9913828553994486"/>
        <n v="0.9922836739633095"/>
        <n v="0.992395958646781"/>
        <n v="0.9933730365630891"/>
        <n v="0.9940672587208929"/>
        <n v="0.9941607763509503"/>
        <n v="0.9947951768716384"/>
        <n v="0.9949703536833341"/>
        <n v="0.9950933056764328"/>
        <n v="0.9978329248983299"/>
        <n v="0.9981468561444333"/>
        <n v="0.9982837047567734"/>
        <n v="0.9994249215986369"/>
        <n v="0.9997508171721634"/>
        <n v="1.0011209444201232"/>
        <n v="1.001461213068408"/>
        <n v="1.0016893029122254"/>
        <n v="1.0024517640879427"/>
        <n v="1.0053237320645207"/>
        <n v="1.0061507000232697"/>
        <n v="1.006186248898777"/>
        <n v="1.0066704865224037"/>
        <n v="1.0069772709357545"/>
        <n v="1.0074198187016568"/>
        <n v="1.007812206289535"/>
        <n v="1.007964407357418"/>
        <n v="1.0082323077066435"/>
        <n v="1.0088793607682789"/>
        <n v="1.0093903593101023"/>
        <n v="1.0099554355530886"/>
        <n v="1.0102520820518306"/>
        <n v="1.0103348000235062"/>
        <n v="1.010779280081227"/>
        <n v="1.0110296309855815"/>
        <n v="1.0127497412804198"/>
        <n v="1.013618796143157"/>
        <n v="1.0143631520092342"/>
        <n v="1.014645716600478"/>
        <n v="1.0146502958673902"/>
        <n v="1.0149339192486715"/>
        <n v="1.015385546139145"/>
        <n v="1.016750511785672"/>
        <n v="1.016851440945992"/>
        <n v="1.017084586512238"/>
        <n v="1.01736963926007"/>
        <n v="1.0176624741146771"/>
        <n v="1.0177418833674858"/>
        <n v="1.0196535287800985"/>
        <n v="1.0198914124317622"/>
        <n v="1.019892232994041"/>
        <n v="1.020010526310975"/>
        <n v="1.021429119672899"/>
        <n v="1.0214391781782546"/>
        <n v="1.0223354439449546"/>
        <n v="1.0226275111767846"/>
        <n v="1.0230138636614494"/>
        <n v="1.0236531081465587"/>
        <n v="1.02578524658447"/>
        <n v="1.027114557476486"/>
        <n v="1.0275309266587125"/>
        <n v="1.028258844809458"/>
        <n v="1.0286066573367598"/>
        <n v="1.0286413327104862"/>
        <n v="1.0304735688702902"/>
        <n v="1.0316949361179883"/>
        <n v="1.0325977663829204"/>
        <n v="1.0329849394298642"/>
        <n v="1.0330652221844538"/>
        <n v="1.03410246584464"/>
        <n v="1.036605551372171"/>
        <n v="1.0374462306619048"/>
        <n v="1.0374987466477623"/>
        <n v="1.0392226156472333"/>
        <n v="1.0421579522075526"/>
        <n v="1.0429929669705862"/>
        <n v="1.043041591903056"/>
        <n v="1.0430585325436552"/>
        <n v="1.0435521669288645"/>
        <n v="1.0436285056905645"/>
        <n v="1.04363289966922"/>
        <n v="1.0442893759621885"/>
        <n v="1.0443999136420983"/>
        <n v="1.0447529407103342"/>
        <n v="1.0449938154438538"/>
        <n v="1.0457511150181384"/>
        <n v="1.0461358528479963"/>
        <n v="1.0465350696316162"/>
        <n v="1.0467335927636376"/>
        <n v="1.0477542398899868"/>
        <n v="1.047879812388428"/>
        <n v="1.050799584735197"/>
        <n v="1.0508042434113616"/>
        <n v="1.0520386073067696"/>
        <n v="1.0531664569244101"/>
        <n v="1.055552334394796"/>
        <n v="1.0566872514359364"/>
        <n v="1.0593069362163416"/>
        <n v="1.059608823725769"/>
        <n v="1.0603619940189077"/>
        <n v="1.0606744958984606"/>
        <n v="1.0610044148741293"/>
        <n v="1.0611243493156215"/>
        <n v="1.0611718095790499"/>
        <n v="1.0639489629077747"/>
        <n v="1.0673566257037994"/>
        <n v="1.0682012754561736"/>
        <n v="1.0687678869447141"/>
        <n v="1.0687984065675435"/>
        <n v="1.0691671301980847"/>
        <n v="1.070517590421099"/>
        <n v="1.0731618656001238"/>
        <n v="1.0740589254593518"/>
        <n v="1.0743797388406984"/>
        <n v="1.0745883204780757"/>
        <n v="1.076022980978818"/>
        <n v="1.0771868559274829"/>
        <n v="1.0772824117283626"/>
        <n v="1.077619106960271"/>
        <n v="1.080577366324901"/>
        <n v="1.0808073884605367"/>
        <n v="1.0808237997061174"/>
        <n v="1.083115021347155"/>
        <n v="1.0831368324219264"/>
        <n v="1.086386947260379"/>
        <n v="1.0872820483580377"/>
        <n v="1.0877027585794177"/>
        <n v="1.0885021450576908"/>
        <n v="1.0887569164104518"/>
        <n v="1.0909839489054696"/>
        <n v="1.0913217029274154"/>
        <n v="1.0914789332479764"/>
        <n v="1.0930493835710215"/>
        <n v="1.094374724000397"/>
        <n v="1.0954353669204109"/>
        <n v="1.096084140515857"/>
        <n v="1.097381952404259"/>
        <n v="1.0975810049312993"/>
        <n v="1.0983065408044608"/>
        <n v="1.0986347657160696"/>
        <n v="1.1008161378907222"/>
        <n v="1.1011673914856457"/>
        <n v="1.101800706746545"/>
        <n v="1.10246414458401"/>
        <n v="1.1034797889274324"/>
        <n v="1.105615368432965"/>
        <n v="1.1056434263689574"/>
        <n v="1.1057519523477959"/>
        <n v="1.1071736426705796"/>
        <n v="1.107738613034562"/>
        <n v="1.1087864445951223"/>
        <n v="1.1091776675139593"/>
        <n v="1.1095024513579468"/>
        <n v="1.110078697835828"/>
        <n v="1.1108723933176496"/>
        <n v="1.112070149547513"/>
        <n v="1.1120995045013014"/>
        <n v="1.1130803675919931"/>
        <n v="1.1135004425393507"/>
        <n v="1.1164867598399733"/>
        <n v="1.1174439060338266"/>
        <n v="1.1175479321550057"/>
        <n v="1.1187848636162543"/>
        <n v="1.1187928045415352"/>
        <n v="1.11879717205044"/>
        <n v="1.120307668387614"/>
        <n v="1.1215170713078892"/>
        <n v="1.1223074580708443"/>
        <n v="1.1236874585359033"/>
        <n v="1.1241015777893"/>
        <n v="1.1254618582899114"/>
        <n v="1.1274558246279358"/>
        <n v="1.1275399984359131"/>
        <n v="1.1279844255541318"/>
        <n v="1.1323610665226782"/>
        <n v="1.1327769327796369"/>
        <n v="1.133476104780866"/>
        <n v="1.1345616292667595"/>
        <n v="1.1364907447149901"/>
        <n v="1.136743001441412"/>
        <n v="1.1373735109087126"/>
        <n v="1.1389001273242072"/>
        <n v="1.1404659719105892"/>
        <n v="1.1418916326960127"/>
        <n v="1.141948013265507"/>
        <n v="1.1421354191021353"/>
        <n v="1.1448397012065323"/>
        <n v="1.1458356255855071"/>
        <n v="1.1490887579755666"/>
        <n v="1.1495370496774222"/>
        <n v="1.1498484398274356"/>
        <n v="1.1511451929258003"/>
        <n v="1.1539573392652624"/>
        <n v="1.1540843940697563"/>
        <n v="1.1550683805910587"/>
        <n v="1.156677264992463"/>
        <n v="1.1618739123752622"/>
        <n v="1.1620552301691751"/>
        <n v="1.1645038144795288"/>
        <n v="1.165305715584141"/>
        <n v="1.1653320265165714"/>
        <n v="1.16548692749905"/>
        <n v="1.1684201464792945"/>
        <n v="1.1692277385803582"/>
        <n v="1.1715152544562648"/>
        <n v="1.1717683052752148"/>
        <n v="1.1732929629291404"/>
        <n v="1.1736652599760578"/>
        <n v="1.1746402732517929"/>
        <n v="1.181153420167155"/>
        <n v="1.1814922329791386"/>
        <n v="1.1815036149720408"/>
        <n v="1.1829626276436447"/>
        <n v="1.1848965076470437"/>
        <n v="1.184956461632914"/>
        <n v="1.185193762950057"/>
        <n v="1.185746980744624"/>
        <n v="1.1860032079336862"/>
        <n v="1.186594542169601"/>
        <n v="1.1876506852319557"/>
        <n v="1.18933535253029"/>
        <n v="1.194391074959105"/>
        <n v="1.1965265221158832"/>
        <n v="1.197451110516085"/>
        <n v="1.1980935313713064"/>
        <n v="1.198766657137614"/>
        <n v="1.1988423606252916"/>
        <n v="1.1997320089542576"/>
        <n v="1.200451986179722"/>
        <n v="1.2015745683169266"/>
        <n v="1.2037284119506053"/>
        <n v="1.2081141849832249"/>
        <n v="1.2101838548089268"/>
        <n v="1.2117265118934886"/>
        <n v="1.2143606226881538"/>
        <n v="1.2165098605851696"/>
        <n v="1.2175407250353802"/>
        <n v="1.2180464296270164"/>
        <n v="1.21932703617731"/>
        <n v="1.2242223519154514"/>
        <n v="1.2290488463011586"/>
        <n v="1.2301809575487002"/>
        <n v="1.2313445677998556"/>
        <n v="1.2320215316800491"/>
        <n v="1.2351294774862234"/>
        <n v="1.23575479888234"/>
        <n v="1.237685926031642"/>
        <n v="1.2377441594837015"/>
        <n v="1.2387971261759436"/>
        <n v="1.2392497589169529"/>
        <n v="1.2401150550750573"/>
        <n v="1.242374777712481"/>
        <n v="1.243576769102494"/>
        <n v="1.2466377311007566"/>
        <n v="1.2488717780797718"/>
        <n v="1.2491335639165309"/>
        <n v="1.2509192133146874"/>
        <n v="1.2538355181240832"/>
        <n v="1.2580498995193912"/>
        <n v="1.2619218946863389"/>
        <n v="1.2625261991002126"/>
        <n v="1.2631074748307713"/>
        <n v="1.2635447551162375"/>
        <n v="1.265928091490533"/>
        <n v="1.268579037046794"/>
        <n v="1.2693704825997862"/>
        <n v="1.2707686148442368"/>
        <n v="1.2721736292239305"/>
        <n v="1.272209363387694"/>
        <n v="1.2770946206204798"/>
        <n v="1.2787870964953407"/>
        <n v="1.2804394706975333"/>
        <n v="1.2832017215564806"/>
        <n v="1.286278935981818"/>
        <n v="1.2883009867255855"/>
        <n v="1.2898861277604"/>
        <n v="1.2919443097141956"/>
        <n v="1.2957636036070292"/>
        <n v="1.296075814319322"/>
        <n v="1.2964360676295636"/>
        <n v="1.2976565878452322"/>
        <n v="1.2986084400888978"/>
        <n v="1.3008712332174301"/>
        <n v="1.303051652481049"/>
        <n v="1.3099390816746488"/>
        <n v="1.311951312140819"/>
        <n v="1.3165365612164937"/>
        <n v="1.3170366806906824"/>
        <n v="1.3202576258636036"/>
        <n v="1.3222488393475302"/>
        <n v="1.3229555816975267"/>
        <n v="1.3234185376414012"/>
        <n v="1.3339491045353546"/>
        <n v="1.3410701557507176"/>
        <n v="1.3488752912092756"/>
        <n v="1.3519092540615831"/>
        <n v="1.3565787828242388"/>
        <n v="1.3594007229715477"/>
        <n v="1.3625249476745476"/>
        <n v="1.363738744573478"/>
        <n v="1.3686376072582451"/>
        <n v="1.3688303070450607"/>
        <n v="1.3721159972287718"/>
        <n v="1.3729615998921796"/>
        <n v="1.3754554210068828"/>
        <n v="1.379154304002708"/>
        <n v="1.3795142926154407"/>
        <n v="1.3798814280609255"/>
        <n v="1.383203514152174"/>
        <n v="1.3837904808791839"/>
        <n v="1.3840232558689172"/>
        <n v="1.385023706575302"/>
        <n v="1.3857049056156452"/>
        <n v="1.3859512066481063"/>
        <n v="1.3877434734839968"/>
        <n v="1.3924569420332062"/>
        <n v="1.3952415598316947"/>
        <n v="1.3991658062869907"/>
        <n v="1.4003912498763331"/>
        <n v="1.402028933366756"/>
        <n v="1.403256335717668"/>
        <n v="1.4032969667853548"/>
        <n v="1.407889071526522"/>
        <n v="1.41200591188963"/>
        <n v="1.4184266793742246"/>
        <n v="1.4196776398034694"/>
        <n v="1.423176940877236"/>
        <n v="1.4242997877119496"/>
        <n v="1.4264398670751413"/>
        <n v="1.4286699435915164"/>
        <n v="1.430987105588472"/>
        <n v="1.4329392497200168"/>
        <n v="1.4346150496517878"/>
        <n v="1.4348517951041613"/>
        <n v="1.4375661621836653"/>
        <n v="1.4388041524349513"/>
        <n v="1.4396615076677748"/>
        <n v="1.4514413409269133"/>
        <n v="1.4520366456254687"/>
        <n v="1.4521867291132768"/>
        <n v="1.4571675421469423"/>
        <n v="1.4590291597302854"/>
        <n v="1.4619746077354623"/>
        <n v="1.4676267995318735"/>
        <n v="1.4705591185405862"/>
        <n v="1.4710204862994043"/>
        <n v="1.4753211590827637"/>
        <n v="1.4754827569122295"/>
        <n v="1.4767840098682534"/>
        <n v="1.4772702591929514"/>
        <n v="1.4806740044658375"/>
        <n v="1.4840987667209675"/>
        <n v="1.4887586604942824"/>
        <n v="1.4919932640586864"/>
        <n v="1.5012081784521065"/>
        <n v="1.5015932074492246"/>
        <n v="1.5033548752530328"/>
        <n v="1.503817831196907"/>
        <n v="1.5098389054423653"/>
        <n v="1.5125335260876704"/>
        <n v="1.5125975828849363"/>
        <n v="1.517075311832308"/>
        <n v="1.5188449735008989"/>
        <n v="1.5191738866260323"/>
        <n v="1.5207666774188673"/>
        <n v="1.5209374073124058"/>
        <n v="1.525749343335098"/>
        <n v="1.5260995381399842"/>
        <n v="1.5274201140141914"/>
        <n v="1.52853009654995"/>
        <n v="1.529695189107158"/>
        <n v="1.5311135971808252"/>
        <n v="1.5346627672653552"/>
        <n v="1.5387991952441558"/>
        <n v="1.539941259118049"/>
        <n v="1.540100977595198"/>
        <n v="1.5409120107638832"/>
        <n v="1.5457895917688975"/>
        <n v="1.5460820825167427"/>
        <n v="1.5477508679645156"/>
        <n v="1.5477811758293376"/>
        <n v="1.5487504981086213"/>
        <n v="1.5565024293677978"/>
        <n v="1.5577838300106195"/>
        <n v="1.5587145064535364"/>
        <n v="1.5604573807341797"/>
        <n v="1.5616902358537843"/>
        <n v="1.5652786076394505"/>
        <n v="1.565969706366644"/>
        <n v="1.566580363520742"/>
        <n v="1.5724707301360774"/>
        <n v="1.573203254023486"/>
        <n v="1.575285629329637"/>
        <n v="1.5753406864115842"/>
        <n v="1.5757662141276347"/>
        <n v="1.5769444886208088"/>
        <n v="1.5838094185261131"/>
        <n v="1.5863003279682135"/>
        <n v="1.5868240584602373"/>
        <n v="1.5875937988174622"/>
        <n v="1.5887177044422132"/>
        <n v="1.5923703977226544"/>
        <n v="1.5935063470840818"/>
        <n v="1.599126933997875"/>
        <n v="1.6042014499498547"/>
        <n v="1.6050056009832965"/>
        <n v="1.6059312481735355"/>
        <n v="1.6081662215938337"/>
        <n v="1.609312229460617"/>
        <n v="1.612671664370436"/>
        <n v="1.6142393088998819"/>
        <n v="1.616564676519627"/>
        <n v="1.6176557596532173"/>
        <n v="1.6217421598027486"/>
        <n v="1.6257298277812873"/>
        <n v="1.6260003486358554"/>
        <n v="1.6278577310590487"/>
        <n v="1.6313631201755303"/>
        <n v="1.6319796006748344"/>
        <n v="1.6326199039499811"/>
        <n v="1.6333454398231426"/>
        <n v="1.6373463426771495"/>
        <n v="1.6431755112283202"/>
        <n v="1.6461557404862273"/>
        <n v="1.6469630678897815"/>
        <n v="1.6488927127330308"/>
        <n v="1.649886387183176"/>
        <n v="1.6504326169634953"/>
        <n v="1.6519593921974958"/>
        <n v="1.6542849980449994"/>
        <n v="1.6576807759228542"/>
        <n v="1.6582823274826302"/>
        <n v="1.6588392510423278"/>
        <n v="1.6621616018310856"/>
        <n v="1.66244390172482"/>
        <n v="1.663704391264402"/>
        <n v="1.6640598800194755"/>
        <n v="1.6643908577851816"/>
        <n v="1.6652113141852003"/>
        <n v="1.6685303562550908"/>
        <n v="1.6728777481488526"/>
        <n v="1.68067917784228"/>
        <n v="1.681603633893727"/>
        <n v="1.6825635594114283"/>
        <n v="1.6827599649633749"/>
        <n v="1.6850645538286355"/>
        <n v="1.685421074903995"/>
        <n v="1.6877248961464784"/>
        <n v="1.6877812767159726"/>
        <n v="1.689436165544504"/>
        <n v="1.6899840893888833"/>
        <n v="1.6931833293660368"/>
        <n v="1.6982315343855856"/>
        <n v="1.6983480012897048"/>
        <n v="1.6996796944593051"/>
        <n v="1.699967420651982"/>
        <n v="1.7013388184479865"/>
        <n v="1.7037854175270197"/>
        <n v="1.7063558950404343"/>
        <n v="1.7067197217670524"/>
        <n v="1.708102369207205"/>
        <n v="1.7089104907032875"/>
        <n v="1.7149823868705432"/>
        <n v="1.7151749278388528"/>
        <n v="1.724042717918496"/>
        <n v="1.7241133921534957"/>
        <n v="1.7275145963302923"/>
        <n v="1.728342464260573"/>
        <n v="1.729137086183678"/>
        <n v="1.7352740979382366"/>
        <n v="1.7383062079079783"/>
        <n v="1.7384449094028847"/>
        <n v="1.739908951327166"/>
        <n v="1.7408969083111085"/>
        <n v="1.7421152050676978"/>
        <n v="1.7434682063868023"/>
        <n v="1.7438973075192288"/>
        <n v="1.7441787868506848"/>
        <n v="1.744729887065176"/>
        <n v="1.7450295246457739"/>
        <n v="1.74505599439671"/>
        <n v="1.7470301084215327"/>
        <n v="1.748153749348774"/>
        <n v="1.7509113680013082"/>
        <n v="1.752071272487332"/>
        <n v="1.7561073801100846"/>
        <n v="1.7589187323570186"/>
        <n v="1.7614308175998683"/>
        <n v="1.7666141506979465"/>
        <n v="1.7698512688886896"/>
        <n v="1.7706821543705766"/>
        <n v="1.776795608046802"/>
        <n v="1.777412353243616"/>
        <n v="1.777611405770656"/>
        <n v="1.785480068631461"/>
        <n v="1.7861023724759713"/>
        <n v="1.7882002325864201"/>
        <n v="1.7901043341200158"/>
        <n v="1.791297061097201"/>
        <n v="1.7966172163378684"/>
        <n v="1.801826198624604"/>
        <n v="1.802098307664228"/>
        <n v="1.802427326668365"/>
        <n v="1.803807035966164"/>
        <n v="1.8048773668150206"/>
        <n v="1.8057153991296602"/>
        <n v="1.8143953598566602"/>
        <n v="1.8148638744482313"/>
        <n v="1.8219876785176912"/>
        <n v="1.8229345015086795"/>
        <n v="1.8235568053531892"/>
        <n v="1.826245735002044"/>
        <n v="1.828472767497061"/>
        <n v="1.8298658704888333"/>
        <n v="1.8329984066936278"/>
        <n v="1.8342095566174645"/>
        <n v="1.8350851759784346"/>
        <n v="1.840603324956104"/>
        <n v="1.8418847255989257"/>
        <n v="1.8458091308727276"/>
        <n v="1.8467649535790343"/>
        <n v="1.8552853017078883"/>
        <n v="1.8616060135339445"/>
        <n v="1.862369665848454"/>
        <n v="1.872294498961983"/>
        <n v="1.8726575580658242"/>
        <n v="1.8741938359404104"/>
        <n v="1.8786334749161853"/>
        <n v="1.878945156233459"/>
        <n v="1.8867670999838617"/>
        <n v="1.8904319958194848"/>
        <n v="1.892941963482259"/>
        <n v="1.8946918787166511"/>
        <n v="1.8977298120315997"/>
        <n v="1.9006044269832716"/>
        <n v="1.9019938242099126"/>
        <n v="1.9034693804758511"/>
        <n v="1.9041389328257827"/>
        <n v="1.9067247627947397"/>
        <n v="1.9098521638678527"/>
        <n v="1.9153692540554854"/>
        <n v="1.9158184457288727"/>
        <n v="1.9162422264413617"/>
        <n v="1.9284417111318426"/>
        <n v="1.9297785923726263"/>
        <n v="1.933102928392704"/>
        <n v="1.9334012424857554"/>
        <n v="1.936136361849993"/>
        <n v="1.938992447976009"/>
        <n v="1.9458375255681113"/>
        <n v="1.9519388031589062"/>
        <n v="1.9584842431704106"/>
        <n v="1.9630116293705389"/>
        <n v="1.970737620273798"/>
        <n v="1.9755879374353478"/>
        <n v="1.9760947272867724"/>
        <n v="1.9899967463574701"/>
        <n v="1.991551182481199"/>
        <n v="2.0019981314319444"/>
        <n v="2.004140460723966"/>
        <n v="2.0054720215448114"/>
        <n v="2.008969999131031"/>
        <n v="2.012854699778428"/>
        <n v="2.031407348209613"/>
        <n v="2.0315290031849162"/>
        <n v="2.032016417178655"/>
        <n v="2.035951410352831"/>
        <n v="2.037907524947016"/>
        <n v="2.040373817520746"/>
        <n v="2.0577201335227646"/>
        <n v="2.063595888835583"/>
        <n v="2.072771627997618"/>
        <n v="2.076856572310848"/>
        <n v="2.0778519672948033"/>
        <n v="2.0785343574739383"/>
        <n v="2.081383296767202"/>
        <n v="2.0841245041741554"/>
        <n v="2.0988980662641783"/>
        <n v="2.0990592670473798"/>
        <n v="2.101343341855665"/>
        <n v="2.101454620688601"/>
        <n v="2.1018415025682846"/>
        <n v="2.112375404650856"/>
        <n v="2.120611732352165"/>
        <n v="2.1334621346879183"/>
        <n v="2.1348606639786323"/>
        <n v="2.135530348677318"/>
        <n v="2.1366537249070507"/>
        <n v="2.144330217376059"/>
        <n v="2.1507875131169456"/>
        <n v="2.1554189254382528"/>
        <n v="2.159844006051013"/>
        <n v="2.1714675354308732"/>
        <n v="2.1728577267500424"/>
        <n v="2.1759978333036045"/>
        <n v="2.176009215296507"/>
        <n v="2.1849979191984263"/>
        <n v="2.1989463132727645"/>
        <n v="2.206558748944507"/>
        <n v="2.2145605546525213"/>
        <n v="2.216008052982468"/>
        <n v="2.2179926225589095"/>
        <n v="2.223659531536841"/>
        <n v="2.2248698344286484"/>
        <n v="2.2259168718966804"/>
        <n v="2.2343541050075952"/>
        <n v="2.242022921248832"/>
        <n v="2.242578786018492"/>
        <n v="2.245422431361569"/>
        <n v="2.2500187977326367"/>
        <n v="2.2561032405618358"/>
        <n v="2.2573973466851074"/>
        <n v="2.2767660575376554"/>
        <n v="2.2782586867929475"/>
        <n v="2.284001828653576"/>
        <n v="2.286218934991992"/>
        <n v="2.291068458061014"/>
        <n v="2.2919374599842492"/>
        <n v="2.29901348615327"/>
        <n v="2.305004120185152"/>
        <n v="2.308302648198066"/>
        <n v="2.3104202282729625"/>
        <n v="2.3115184582393056"/>
        <n v="2.3257808894387506"/>
        <n v="2.328653386810348"/>
        <n v="2.329089873003286"/>
        <n v="2.3358145132286277"/>
        <n v="2.336486315507389"/>
        <n v="2.340405956226022"/>
        <n v="2.3470105826006193"/>
        <n v="2.3629563311411017"/>
        <n v="2.3630672393975245"/>
        <n v="2.367469423675724"/>
        <n v="2.3787619488201273"/>
        <n v="2.3802667541608504"/>
        <n v="2.3911119405144317"/>
        <n v="2.397183042589159"/>
        <n v="2.3988149027343755"/>
        <n v="2.406082172853911"/>
        <n v="2.4077434144226664"/>
        <n v="2.4103554494450514"/>
        <n v="2.414490553936305"/>
        <n v="2.4169144949085366"/>
        <n v="2.4175380163615894"/>
        <n v="2.4224238029893943"/>
        <n v="2.4356348556816534"/>
        <n v="2.441368468431944"/>
        <n v="2.4615180369371106"/>
        <n v="2.4712379941783933"/>
        <n v="2.4772175109148815"/>
        <n v="2.4803078543366834"/>
        <n v="2.482929418469405"/>
        <n v="2.48669050537993"/>
        <n v="2.489287558523285"/>
        <n v="2.491277977914683"/>
        <n v="2.4945326984897993"/>
        <n v="2.501447523875618"/>
        <n v="2.502100929677478"/>
        <n v="2.5027907313868756"/>
        <n v="2.50802088947436"/>
        <n v="2.512982379589842"/>
        <n v="2.5133132514765446"/>
        <n v="2.5138373525450817"/>
        <n v="2.5139715541823278"/>
        <n v="2.5390515108456264"/>
        <n v="2.5438138160853128"/>
        <n v="2.5485741360936793"/>
        <n v="2.550618792004747"/>
        <n v="2.55630780322471"/>
        <n v="2.55673330447101"/>
        <n v="2.5580671416904357"/>
        <n v="2.5656039797535053"/>
        <n v="2.572195371252634"/>
        <n v="2.591979657194881"/>
        <n v="2.5926078902636007"/>
        <n v="2.593830660408099"/>
        <n v="2.603860843130354"/>
        <n v="2.6074492149160204"/>
        <n v="2.609254451929869"/>
        <n v="2.6167197157864064"/>
        <n v="2.6291176177299054"/>
        <n v="2.6312820492639593"/>
        <n v="2.638987129063979"/>
        <n v="2.6522022580978817"/>
        <n v="2.653938038485274"/>
        <n v="2.6743365549979954"/>
        <n v="2.6765299709093235"/>
        <n v="2.679372292764853"/>
        <n v="2.6808708512443555"/>
        <n v="2.682436695830737"/>
        <n v="2.6899183709328547"/>
        <n v="2.6993736306647764"/>
        <n v="2.710872884563991"/>
        <n v="2.7110031157385976"/>
        <n v="2.7125365084103317"/>
        <n v="2.720700573691585"/>
        <n v="2.7232345229487076"/>
        <n v="2.7283466259470166"/>
        <n v="2.7425567529186115"/>
        <n v="2.744284592380723"/>
        <n v="2.753735458133989"/>
        <n v="2.7605007558967696"/>
        <n v="2.761086002089969"/>
        <n v="2.7620058259350015"/>
        <n v="2.768103133063156"/>
        <n v="2.7748783305127867"/>
        <n v="2.7761938771343164"/>
        <n v="2.7841954181448205"/>
        <n v="2.799867628279128"/>
        <n v="2.8070981054448616"/>
        <n v="2.810751195771567"/>
        <n v="2.8163328721514844"/>
        <n v="2.8259212747306144"/>
        <n v="2.829384312245598"/>
        <n v="2.8551303801912047"/>
        <n v="2.878078066067837"/>
        <n v="2.8918873351312544"/>
        <n v="2.901276155788326"/>
        <n v="2.918124681654238"/>
        <n v="2.933033768869054"/>
        <n v="2.938897083398933"/>
        <n v="2.942301887461856"/>
        <n v="2.9436666678201275"/>
        <n v="2.9439573056854065"/>
        <n v="2.96051889945117"/>
        <n v="2.971854570289599"/>
        <n v="2.9797634671718276"/>
        <n v="2.9831338605585347"/>
        <n v="2.9885651887531335"/>
        <n v="2.9896112733101328"/>
        <n v="3.002207963083162"/>
        <n v="3.013996001965091"/>
        <n v="3.015388046166826"/>
        <n v="3.0207576998417442"/>
        <n v="3.0291726983618728"/>
        <n v="3.0375921967396597"/>
        <n v="3.043009760663773"/>
        <n v="3.0453274520557465"/>
        <n v="3.0467404073607214"/>
        <n v="3.0538570645974286"/>
        <n v="3.056281693783185"/>
        <n v="3.0673751664005477"/>
        <n v="3.0707802351609805"/>
        <n v="3.0748899286913356"/>
        <n v="3.075278504635079"/>
        <n v="3.081783445927651"/>
        <n v="3.09029373555115"/>
        <n v="3.094519366590606"/>
        <n v="3.098019726454409"/>
        <n v="3.116335735312224"/>
        <n v="3.1280716287848085"/>
        <n v="3.12895492437355"/>
        <n v="3.1290300984662087"/>
        <n v="3.1365864182659666"/>
        <n v="3.1391412786263286"/>
        <n v="3.139353301331328"/>
        <n v="3.1469151797787824"/>
        <n v="3.1590976179496604"/>
        <n v="3.1617310934703036"/>
        <n v="3.1682336524852905"/>
        <n v="3.178090193641405"/>
        <n v="3.186633305756065"/>
        <n v="3.188064260491676"/>
        <n v="3.197966594316909"/>
        <n v="3.2102009131996225"/>
        <n v="3.2380367679816437"/>
        <n v="3.2540626139884576"/>
        <n v="3.2658821518740004"/>
        <n v="3.2702414551556838"/>
        <n v="3.2713989773641243"/>
        <n v="3.2778935954538317"/>
        <n v="3.2893293219507993"/>
        <n v="3.2950409648078134"/>
        <n v="3.297214131359675"/>
        <n v="3.320842089835368"/>
        <n v="3.321721679658978"/>
        <n v="3.3349734957676787"/>
        <n v="3.3603423697624453"/>
        <n v="3.3612444588743506"/>
        <n v="3.3713641093547704"/>
        <n v="3.376421419968642"/>
        <n v="3.3924927939470666"/>
        <n v="3.396274527263323"/>
        <n v="3.3982999926049606"/>
        <n v="3.401146814318149"/>
        <n v="3.4056874353937454"/>
        <n v="3.4155762696460017"/>
        <n v="3.4215351399767595"/>
        <n v="3.4265183352880095"/>
        <n v="3.4415110669157842"/>
        <n v="3.4503432287106666"/>
        <n v="3.457086662459174"/>
        <n v="3.4920066166842507"/>
        <n v="3.500627020471644"/>
        <n v="3.5196770355229203"/>
        <n v="3.5303840497766146"/>
        <n v="3.534313219605585"/>
        <n v="3.543414578767489"/>
        <n v="3.548408361979113"/>
        <n v="3.5515995551519817"/>
        <n v="3.5588641782964228"/>
        <n v="3.5630808096205597"/>
        <n v="3.5903195068214595"/>
        <n v="3.5942844108141934"/>
        <n v="3.5961981738068807"/>
        <n v="3.5962262317428735"/>
        <n v="3.598850178153179"/>
        <n v="3.6025575314693032"/>
        <n v="3.605768576955375"/>
        <n v="3.6116228917699345"/>
        <n v="3.6196329031007393"/>
        <n v="3.6196371382608885"/>
        <n v="3.6233140513634368"/>
        <n v="3.628326892795735"/>
        <n v="3.6669679646074234"/>
        <n v="3.6843919428586887"/>
        <n v="3.70009962245925"/>
        <n v="3.711140684969759"/>
        <n v="3.71553863408781"/>
        <n v="3.716087881419736"/>
        <n v="3.7452588704389784"/>
        <n v="3.759477626549379"/>
        <n v="3.7642112121093"/>
        <n v="3.7740365189593095"/>
        <n v="3.791929011802145"/>
        <n v="3.794342523692508"/>
        <n v="3.800882140358806"/>
        <n v="3.812415540236729"/>
        <n v="3.9283774015081603"/>
        <n v="3.9392209996766856"/>
        <n v="3.9407250109248806"/>
        <n v="3.9526882795580067"/>
        <n v="3.9720217856418096"/>
        <n v="3.9743029487774915"/>
        <n v="3.9867709955609714"/>
        <n v="3.9941039106628273"/>
        <n v="4.069883895920575"/>
        <n v="4.077603534083608"/>
        <n v="4.0881482887640646"/>
        <n v="4.107285918690939"/>
        <n v="4.110643606597196"/>
        <n v="4.1186721467536564"/>
        <n v="4.128795767696717"/>
        <n v="4.14702548516648"/>
        <n v="4.149330471078005"/>
        <n v="4.171472417736139"/>
        <n v="4.1997172301701235"/>
        <n v="4.213842548059719"/>
        <n v="4.235945584183977"/>
        <n v="4.302464332984164"/>
        <n v="4.313360605957053"/>
        <n v="4.325246582917446"/>
        <n v="4.3674406893973"/>
        <n v="4.37794626884637"/>
        <n v="4.381229841450006"/>
        <n v="4.398117542547303"/>
        <n v="4.427356558826453"/>
        <n v="4.428747014843132"/>
        <n v="4.456682660586181"/>
        <n v="4.472057880114985"/>
        <n v="4.490638321784653"/>
        <n v="4.5308644022824005"/>
        <n v="4.54019551888243"/>
        <n v="4.608356186333191"/>
        <n v="4.611084688259695"/>
        <n v="4.619818117883587"/>
        <n v="4.621515623011125"/>
        <n v="4.689560088255276"/>
        <n v="4.694039299508701"/>
        <n v="4.759989213361269"/>
        <n v="4.813875802922173"/>
        <n v="4.825051861162456"/>
        <n v="4.832943552706576"/>
        <n v="4.852174885551765"/>
        <n v="4.852698192527774"/>
        <n v="4.8706867705665085"/>
        <n v="4.888156806184403"/>
        <n v="4.8976327123220535"/>
        <n v="4.924039994646047"/>
        <n v="5.003953496209992"/>
        <n v="5.009226799991502"/>
        <n v="5.0566616524592165"/>
        <n v="5.0832873102284335"/>
        <n v="5.0926801013481455"/>
        <n v="5.0988229364479105"/>
        <n v="5.152639381168832"/>
        <n v="5.16624536254506"/>
        <n v="5.167197744183744"/>
        <n v="5.2028069707232"/>
        <n v="5.210105739846349"/>
        <n v="5.264338289051989"/>
        <n v="5.265298346918445"/>
        <n v="5.305077882717899"/>
        <n v="5.30902319909494"/>
        <n v="5.330006829452106"/>
        <n v="5.35607371077906"/>
        <n v="5.362345453565884"/>
        <n v="5.370159059344742"/>
        <n v="5.389919522511145"/>
        <n v="5.404577147092068"/>
        <n v="5.425080086772233"/>
        <n v="5.43030918606968"/>
        <n v="5.44414174851392"/>
        <n v="5.466087289620108"/>
        <n v="5.48524265428011"/>
        <n v="5.507404717948956"/>
        <n v="5.517470370137465"/>
        <n v="5.560994846299374"/>
        <n v="5.581072417081994"/>
        <n v="5.612576979343771"/>
        <n v="5.62385097566252"/>
        <n v="5.635818214758286"/>
        <n v="5.666942406699112"/>
        <n v="5.774491916425508"/>
        <n v="5.821292553660791"/>
        <n v="5.829396532607419"/>
        <n v="5.857913718778537"/>
        <n v="5.9812021424115995"/>
        <n v="6.012887757769782"/>
        <n v="6.040993868708862"/>
        <n v="6.070773397302127"/>
        <n v="6.099210909522928"/>
        <n v="6.165201586791939"/>
        <n v="6.195720415528854"/>
        <n v="6.245031179245415"/>
        <n v="6.509618045048534"/>
        <n v="6.788229643687692"/>
        <n v="7.321571831671363"/>
        <n v="7.372847974394938"/>
        <n v="7.391868078627656"/>
        <n v="7.437161263547122"/>
        <n v="7.453008438735117"/>
        <n v="7.465056410571239"/>
        <n v="7.469122693710058"/>
        <n v="7.536990605715466"/>
        <n v="7.538066336393514"/>
        <n v="7.639552949667973"/>
        <n v="7.672155741896093"/>
        <n v="7.694985902078568"/>
        <n v="7.733396687057112"/>
        <n v="7.769024442422223"/>
        <n v="7.85831750023041"/>
        <n v="7.904247282659893"/>
        <n v="8.014201833956353"/>
        <n v="8.564012442182491"/>
        <n v="8.714493770347335"/>
        <n v="8.824552612462483"/>
        <n v="9.135467101051654"/>
        <n v="10.142007438336774"/>
        <n v="12.945523844901276"/>
        <n v="13.077332351965683"/>
        <n v="15.397950768998163"/>
        <n v="15.477647483301942"/>
        <n v="15.528545637982145"/>
        <n v="15.854550266882539"/>
        <n v="16.59077991942209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 cacheId="0" dataCaption="" compact="0" compactData="0">
  <location ref="A11:B16" firstHeaderRow="0" firstDataRow="1" firstDataCol="0"/>
  <pivotFields>
    <pivotField name="E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Total energy suppl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t="default"/>
      </items>
    </pivotField>
    <pivotField name="Tier Type" axis="axisRow" compact="0" outline="0" multipleItemSelectionAllowed="1" showAll="0" sortType="ascending">
      <items>
        <item x="2"/>
        <item x="0"/>
        <item x="3"/>
        <item x="1"/>
        <item t="default"/>
      </items>
    </pivotField>
    <pivotField name="z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t="default"/>
      </items>
    </pivotField>
  </pivotFields>
  <rowFields>
    <field x="4"/>
  </rowFields>
  <dataFields>
    <dataField name="Average of Total energy supply" fld="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Low Demand Tier">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Entity">
  <x14:extLst>
    <ext uri="{2F2917AC-EB37-4324-AD4E-5DD8C200BD13}">
      <x15:tableSlicerCache tableId="3"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3" sourceName="Year">
  <x14:extLst>
    <ext uri="{2F2917AC-EB37-4324-AD4E-5DD8C200BD13}">
      <x15:tableSlicerCache tableId="3"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5" sourceName="Tier Type">
  <x14:extLst>
    <ext uri="{2F2917AC-EB37-4324-AD4E-5DD8C200BD13}">
      <x15:tableSlicerCache tableId="3"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ier Type_1" cache="SlicerCache_Table_3_Col_5" caption="Tier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Low Demand Tier_2" cache="SlicerCache_Table_1_Col_1" caption="Low Demand Tier" rowHeight="247650"/>
  <x14:slicer name="Year_3" cache="SlicerCache_Table_3_Col_3" caption="Year" rowHeight="247650"/>
  <x14:slicer name="Entity_4" cache="SlicerCache_Table_3_Col_1" caption="Entity" rowHeight="247650"/>
</x14:slicers>
</file>

<file path=xl/tables/table1.xml><?xml version="1.0" encoding="utf-8"?>
<table xmlns="http://schemas.openxmlformats.org/spreadsheetml/2006/main" ref="A1:F11317" displayName="Table1" name="Table1" id="3">
  <autoFilter ref="$A$1:$F$11317"/>
  <tableColumns count="6">
    <tableColumn name="Entity" id="1"/>
    <tableColumn name="Code" id="2"/>
    <tableColumn name="Year" id="3"/>
    <tableColumn name="Total energy supply" id="4"/>
    <tableColumn name="Tier Type" id="5"/>
    <tableColumn name="zscore" id="6"/>
  </tableColumns>
  <tableStyleInfo name="primary energy use data -style" showColumnStripes="0" showFirstColumn="1" showLastColumn="1" showRowStripes="1"/>
</table>
</file>

<file path=xl/tables/table2.xml><?xml version="1.0" encoding="utf-8"?>
<table xmlns="http://schemas.openxmlformats.org/spreadsheetml/2006/main" ref="A3:A6" displayName="Table_1" name="Table_1" id="1">
  <autoFilter ref="$A$3:$A$6"/>
  <tableColumns count="1">
    <tableColumn name="Low Demand Tier" id="1"/>
  </tableColumns>
  <tableStyleInfo showColumnStripes="0" showFirstColumn="0" showLastColumn="0" showRowStripes="0"/>
</table>
</file>

<file path=xl/tables/table3.xml><?xml version="1.0" encoding="utf-8"?>
<table xmlns="http://schemas.openxmlformats.org/spreadsheetml/2006/main" ref="A12:F13" displayName="Table3" name="Table3" id="2">
  <tableColumns count="6">
    <tableColumn name="Q1" id="1"/>
    <tableColumn name="Q3" id="2"/>
    <tableColumn name="IQR" id="3"/>
    <tableColumn name="Upper Outlier" id="4"/>
    <tableColumn name="Lower Outlier" id="5"/>
    <tableColumn name="Global Mean" id="6"/>
  </tableColumns>
  <tableStyleInfo name="calculated data -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3" width="10.0"/>
    <col customWidth="1" min="4" max="4" width="23.14"/>
    <col customWidth="1" min="5" max="5" width="36.86"/>
    <col customWidth="1" min="6" max="8" width="16.0"/>
    <col customWidth="1" min="9" max="9" width="23.29"/>
    <col customWidth="1" min="10" max="10" width="28.71"/>
    <col customWidth="1" min="11" max="11" width="12.86"/>
    <col customWidth="1" min="12" max="12" width="22.29"/>
    <col customWidth="1" min="13" max="13" width="18.0"/>
  </cols>
  <sheetData>
    <row r="1" ht="14.25" customHeight="1">
      <c r="A1" s="1" t="s">
        <v>15</v>
      </c>
      <c r="B1" s="1" t="s">
        <v>16</v>
      </c>
      <c r="C1" s="1" t="s">
        <v>17</v>
      </c>
      <c r="D1" s="1" t="s">
        <v>18</v>
      </c>
      <c r="E1" s="1" t="s">
        <v>19</v>
      </c>
      <c r="F1" s="1" t="s">
        <v>20</v>
      </c>
    </row>
    <row r="2" ht="14.25" customHeight="1">
      <c r="A2" s="2" t="s">
        <v>21</v>
      </c>
      <c r="B2" s="2" t="s">
        <v>22</v>
      </c>
      <c r="C2" s="2">
        <v>1965.0</v>
      </c>
      <c r="D2" s="9">
        <v>0.0</v>
      </c>
      <c r="E2" s="10" t="str">
        <f t="array" ref="E2">IFS(D2&lt;=$G$3,'calculated data '!$A$3,D2&lt;=$G$4,'calculated data '!$A$4,D2&lt;=$G$6,'calculated data '!$A$5,D2&gt;=$G$6,'calculated data '!$A$6)</f>
        <v>Low Demand Tier</v>
      </c>
      <c r="F2" s="10">
        <f t="shared" ref="F2:F11317" si="1">STANDARDIZE(D2,$G$8,$G$9)</f>
        <v>-0.6631714749</v>
      </c>
    </row>
    <row r="3" ht="14.25" customHeight="1">
      <c r="A3" s="2" t="s">
        <v>21</v>
      </c>
      <c r="B3" s="2" t="s">
        <v>22</v>
      </c>
      <c r="C3" s="2">
        <v>1966.0</v>
      </c>
      <c r="D3" s="9">
        <v>0.0</v>
      </c>
      <c r="E3" s="10" t="str">
        <f t="array" ref="E3">IFS(D3&lt;=$G$3,'calculated data '!$A$3,D3&lt;=$G$4,'calculated data '!$A$4,D3&lt;=$G$6,'calculated data '!$A$5,D3&gt;=$G$6,'calculated data '!$A$6)</f>
        <v>Low Demand Tier</v>
      </c>
      <c r="F3" s="10">
        <f t="shared" si="1"/>
        <v>-0.6631714749</v>
      </c>
      <c r="G3" s="11">
        <f>QUARTILE($D:$D,1)</f>
        <v>2815.5126</v>
      </c>
      <c r="H3" s="11" t="s">
        <v>23</v>
      </c>
    </row>
    <row r="4" ht="14.25" customHeight="1">
      <c r="A4" s="2" t="s">
        <v>21</v>
      </c>
      <c r="B4" s="2" t="s">
        <v>22</v>
      </c>
      <c r="C4" s="2">
        <v>1967.0</v>
      </c>
      <c r="D4" s="9">
        <v>0.0</v>
      </c>
      <c r="E4" s="10" t="str">
        <f t="array" ref="E4">IFS(D4&lt;=$G$3,'calculated data '!$A$3,D4&lt;=$G$4,'calculated data '!$A$4,D4&lt;=$G$6,'calculated data '!$A$5,D4&gt;=$G$6,'calculated data '!$A$6)</f>
        <v>Low Demand Tier</v>
      </c>
      <c r="F4" s="10">
        <f t="shared" si="1"/>
        <v>-0.6631714749</v>
      </c>
      <c r="G4" s="11">
        <f>QUARTILE($D:$D,3)</f>
        <v>35183.46175</v>
      </c>
      <c r="H4" s="11" t="s">
        <v>24</v>
      </c>
    </row>
    <row r="5" ht="14.25" customHeight="1">
      <c r="A5" s="2" t="s">
        <v>21</v>
      </c>
      <c r="B5" s="2" t="s">
        <v>22</v>
      </c>
      <c r="C5" s="2">
        <v>1968.0</v>
      </c>
      <c r="D5" s="9">
        <v>0.0</v>
      </c>
      <c r="E5" s="10" t="str">
        <f t="array" ref="E5">IFS(D5&lt;=$G$3,'calculated data '!$A$3,D5&lt;=$G$4,'calculated data '!$A$4,D5&lt;=$G$6,'calculated data '!$A$5,D5&gt;=$G$6,'calculated data '!$A$6)</f>
        <v>Low Demand Tier</v>
      </c>
      <c r="F5" s="10">
        <f t="shared" si="1"/>
        <v>-0.6631714749</v>
      </c>
      <c r="G5" s="11">
        <f>G4-G3</f>
        <v>32367.94915</v>
      </c>
      <c r="H5" s="11" t="s">
        <v>25</v>
      </c>
    </row>
    <row r="6" ht="14.25" customHeight="1">
      <c r="A6" s="2" t="s">
        <v>21</v>
      </c>
      <c r="B6" s="2" t="s">
        <v>22</v>
      </c>
      <c r="C6" s="2">
        <v>1969.0</v>
      </c>
      <c r="D6" s="9">
        <v>0.0</v>
      </c>
      <c r="E6" s="10" t="str">
        <f t="array" ref="E6">IFS(D6&lt;=$G$3,'calculated data '!$A$3,D6&lt;=$G$4,'calculated data '!$A$4,D6&lt;=$G$6,'calculated data '!$A$5,D6&gt;=$G$6,'calculated data '!$A$6)</f>
        <v>Low Demand Tier</v>
      </c>
      <c r="F6" s="10">
        <f t="shared" si="1"/>
        <v>-0.6631714749</v>
      </c>
      <c r="G6" s="11">
        <f>G4+1.5*G5</f>
        <v>83735.38548</v>
      </c>
      <c r="H6" s="11" t="s">
        <v>26</v>
      </c>
    </row>
    <row r="7" ht="14.25" customHeight="1">
      <c r="A7" s="2" t="s">
        <v>21</v>
      </c>
      <c r="B7" s="2" t="s">
        <v>22</v>
      </c>
      <c r="C7" s="2">
        <v>1970.0</v>
      </c>
      <c r="D7" s="9">
        <v>0.0</v>
      </c>
      <c r="E7" s="10" t="str">
        <f t="array" ref="E7">IFS(D7&lt;=$G$3,'calculated data '!$A$3,D7&lt;=$G$4,'calculated data '!$A$4,D7&lt;=$G$6,'calculated data '!$A$5,D7&gt;=$G$6,'calculated data '!$A$6)</f>
        <v>Low Demand Tier</v>
      </c>
      <c r="F7" s="10">
        <f t="shared" si="1"/>
        <v>-0.6631714749</v>
      </c>
      <c r="G7" s="11">
        <f>G3-1.5*G5</f>
        <v>-45736.41113</v>
      </c>
      <c r="H7" s="11" t="s">
        <v>27</v>
      </c>
    </row>
    <row r="8" ht="14.25" customHeight="1">
      <c r="A8" s="2" t="s">
        <v>28</v>
      </c>
      <c r="B8" s="2" t="s">
        <v>29</v>
      </c>
      <c r="C8" s="2">
        <v>2012.0</v>
      </c>
      <c r="D8" s="9">
        <v>0.0</v>
      </c>
      <c r="E8" s="10" t="str">
        <f t="array" ref="E8">IFS(D8&lt;=$G$3,'calculated data '!$A$3,D8&lt;=$G$4,'calculated data '!$A$4,D8&lt;=$G$6,'calculated data '!$A$5,D8&gt;=$G$6,'calculated data '!$A$6)</f>
        <v>Low Demand Tier</v>
      </c>
      <c r="F8" s="10">
        <f t="shared" si="1"/>
        <v>-0.6631714749</v>
      </c>
      <c r="G8" s="11">
        <f>AVERAGE($D:$D)</f>
        <v>25053.9371</v>
      </c>
      <c r="H8" s="11" t="s">
        <v>30</v>
      </c>
    </row>
    <row r="9" ht="14.25" customHeight="1">
      <c r="A9" s="2" t="s">
        <v>28</v>
      </c>
      <c r="B9" s="2" t="s">
        <v>29</v>
      </c>
      <c r="C9" s="2">
        <v>2013.0</v>
      </c>
      <c r="D9" s="9">
        <v>0.0</v>
      </c>
      <c r="E9" s="10" t="str">
        <f t="array" ref="E9">IFS(D9&lt;=$G$3,'calculated data '!$A$3,D9&lt;=$G$4,'calculated data '!$A$4,D9&lt;=$G$6,'calculated data '!$A$5,D9&gt;=$G$6,'calculated data '!$A$6)</f>
        <v>Low Demand Tier</v>
      </c>
      <c r="F9" s="10">
        <f t="shared" si="1"/>
        <v>-0.6631714749</v>
      </c>
      <c r="G9" s="11">
        <f>STDEV($D:$D)</f>
        <v>37778.97278</v>
      </c>
      <c r="H9" s="11" t="s">
        <v>4</v>
      </c>
    </row>
    <row r="10" ht="14.25" customHeight="1">
      <c r="A10" s="2" t="s">
        <v>28</v>
      </c>
      <c r="B10" s="2" t="s">
        <v>29</v>
      </c>
      <c r="C10" s="2">
        <v>2014.0</v>
      </c>
      <c r="D10" s="9">
        <v>0.0</v>
      </c>
      <c r="E10" s="10" t="str">
        <f t="array" ref="E10">IFS(D10&lt;=$G$3,'calculated data '!$A$3,D10&lt;=$G$4,'calculated data '!$A$4,D10&lt;=$G$6,'calculated data '!$A$5,D10&gt;=$G$6,'calculated data '!$A$6)</f>
        <v>Low Demand Tier</v>
      </c>
      <c r="F10" s="10">
        <f t="shared" si="1"/>
        <v>-0.6631714749</v>
      </c>
    </row>
    <row r="11" ht="14.25" customHeight="1">
      <c r="A11" s="2" t="s">
        <v>28</v>
      </c>
      <c r="B11" s="2" t="s">
        <v>29</v>
      </c>
      <c r="C11" s="2">
        <v>2015.0</v>
      </c>
      <c r="D11" s="9">
        <v>0.0</v>
      </c>
      <c r="E11" s="10" t="str">
        <f t="array" ref="E11">IFS(D11&lt;=$G$3,'calculated data '!$A$3,D11&lt;=$G$4,'calculated data '!$A$4,D11&lt;=$G$6,'calculated data '!$A$5,D11&gt;=$G$6,'calculated data '!$A$6)</f>
        <v>Low Demand Tier</v>
      </c>
      <c r="F11" s="10">
        <f t="shared" si="1"/>
        <v>-0.6631714749</v>
      </c>
    </row>
    <row r="12" ht="14.25" customHeight="1">
      <c r="A12" s="2" t="s">
        <v>28</v>
      </c>
      <c r="B12" s="2" t="s">
        <v>29</v>
      </c>
      <c r="C12" s="2">
        <v>2016.0</v>
      </c>
      <c r="D12" s="9">
        <v>0.0</v>
      </c>
      <c r="E12" s="10" t="str">
        <f t="array" ref="E12">IFS(D12&lt;=$G$3,'calculated data '!$A$3,D12&lt;=$G$4,'calculated data '!$A$4,D12&lt;=$G$6,'calculated data '!$A$5,D12&gt;=$G$6,'calculated data '!$A$6)</f>
        <v>Low Demand Tier</v>
      </c>
      <c r="F12" s="10">
        <f t="shared" si="1"/>
        <v>-0.6631714749</v>
      </c>
    </row>
    <row r="13" ht="14.25" customHeight="1">
      <c r="A13" s="2" t="s">
        <v>28</v>
      </c>
      <c r="B13" s="2" t="s">
        <v>29</v>
      </c>
      <c r="C13" s="2">
        <v>2017.0</v>
      </c>
      <c r="D13" s="9">
        <v>0.0</v>
      </c>
      <c r="E13" s="10" t="str">
        <f t="array" ref="E13">IFS(D13&lt;=$G$3,'calculated data '!$A$3,D13&lt;=$G$4,'calculated data '!$A$4,D13&lt;=$G$6,'calculated data '!$A$5,D13&gt;=$G$6,'calculated data '!$A$6)</f>
        <v>Low Demand Tier</v>
      </c>
      <c r="F13" s="10">
        <f t="shared" si="1"/>
        <v>-0.6631714749</v>
      </c>
    </row>
    <row r="14" ht="14.25" customHeight="1">
      <c r="A14" s="2" t="s">
        <v>28</v>
      </c>
      <c r="B14" s="2" t="s">
        <v>29</v>
      </c>
      <c r="C14" s="2">
        <v>2018.0</v>
      </c>
      <c r="D14" s="9">
        <v>0.0</v>
      </c>
      <c r="E14" s="10" t="str">
        <f t="array" ref="E14">IFS(D14&lt;=$G$3,'calculated data '!$A$3,D14&lt;=$G$4,'calculated data '!$A$4,D14&lt;=$G$6,'calculated data '!$A$5,D14&gt;=$G$6,'calculated data '!$A$6)</f>
        <v>Low Demand Tier</v>
      </c>
      <c r="F14" s="10">
        <f t="shared" si="1"/>
        <v>-0.6631714749</v>
      </c>
    </row>
    <row r="15" ht="14.25" customHeight="1">
      <c r="A15" s="2" t="s">
        <v>28</v>
      </c>
      <c r="B15" s="2" t="s">
        <v>29</v>
      </c>
      <c r="C15" s="2">
        <v>2019.0</v>
      </c>
      <c r="D15" s="9">
        <v>0.0</v>
      </c>
      <c r="E15" s="10" t="str">
        <f t="array" ref="E15">IFS(D15&lt;=$G$3,'calculated data '!$A$3,D15&lt;=$G$4,'calculated data '!$A$4,D15&lt;=$G$6,'calculated data '!$A$5,D15&gt;=$G$6,'calculated data '!$A$6)</f>
        <v>Low Demand Tier</v>
      </c>
      <c r="F15" s="10">
        <f t="shared" si="1"/>
        <v>-0.6631714749</v>
      </c>
    </row>
    <row r="16" ht="14.25" customHeight="1">
      <c r="A16" s="2" t="s">
        <v>28</v>
      </c>
      <c r="B16" s="2" t="s">
        <v>29</v>
      </c>
      <c r="C16" s="2">
        <v>2020.0</v>
      </c>
      <c r="D16" s="9">
        <v>0.0</v>
      </c>
      <c r="E16" s="10" t="str">
        <f t="array" ref="E16">IFS(D16&lt;=$G$3,'calculated data '!$A$3,D16&lt;=$G$4,'calculated data '!$A$4,D16&lt;=$G$6,'calculated data '!$A$5,D16&gt;=$G$6,'calculated data '!$A$6)</f>
        <v>Low Demand Tier</v>
      </c>
      <c r="F16" s="10">
        <f t="shared" si="1"/>
        <v>-0.6631714749</v>
      </c>
    </row>
    <row r="17" ht="14.25" customHeight="1">
      <c r="A17" s="2" t="s">
        <v>28</v>
      </c>
      <c r="B17" s="2" t="s">
        <v>29</v>
      </c>
      <c r="C17" s="2">
        <v>2021.0</v>
      </c>
      <c r="D17" s="9">
        <v>0.0</v>
      </c>
      <c r="E17" s="10" t="str">
        <f t="array" ref="E17">IFS(D17&lt;=$G$3,'calculated data '!$A$3,D17&lt;=$G$4,'calculated data '!$A$4,D17&lt;=$G$6,'calculated data '!$A$5,D17&gt;=$G$6,'calculated data '!$A$6)</f>
        <v>Low Demand Tier</v>
      </c>
      <c r="F17" s="10">
        <f t="shared" si="1"/>
        <v>-0.6631714749</v>
      </c>
    </row>
    <row r="18" ht="14.25" customHeight="1">
      <c r="A18" s="2" t="s">
        <v>28</v>
      </c>
      <c r="B18" s="2" t="s">
        <v>29</v>
      </c>
      <c r="C18" s="2">
        <v>2022.0</v>
      </c>
      <c r="D18" s="9">
        <v>0.0</v>
      </c>
      <c r="E18" s="10" t="str">
        <f t="array" ref="E18">IFS(D18&lt;=$G$3,'calculated data '!$A$3,D18&lt;=$G$4,'calculated data '!$A$4,D18&lt;=$G$6,'calculated data '!$A$5,D18&gt;=$G$6,'calculated data '!$A$6)</f>
        <v>Low Demand Tier</v>
      </c>
      <c r="F18" s="10">
        <f t="shared" si="1"/>
        <v>-0.6631714749</v>
      </c>
    </row>
    <row r="19" ht="14.25" customHeight="1">
      <c r="A19" s="2" t="s">
        <v>28</v>
      </c>
      <c r="B19" s="2" t="s">
        <v>29</v>
      </c>
      <c r="C19" s="2">
        <v>2023.0</v>
      </c>
      <c r="D19" s="9">
        <v>0.0</v>
      </c>
      <c r="E19" s="10" t="str">
        <f t="array" ref="E19">IFS(D19&lt;=$G$3,'calculated data '!$A$3,D19&lt;=$G$4,'calculated data '!$A$4,D19&lt;=$G$6,'calculated data '!$A$5,D19&gt;=$G$6,'calculated data '!$A$6)</f>
        <v>Low Demand Tier</v>
      </c>
      <c r="F19" s="10">
        <f t="shared" si="1"/>
        <v>-0.6631714749</v>
      </c>
    </row>
    <row r="20" ht="14.25" customHeight="1">
      <c r="A20" s="2" t="s">
        <v>28</v>
      </c>
      <c r="B20" s="2" t="s">
        <v>29</v>
      </c>
      <c r="C20" s="2">
        <v>2024.0</v>
      </c>
      <c r="D20" s="9">
        <v>0.0</v>
      </c>
      <c r="E20" s="10" t="str">
        <f t="array" ref="E20">IFS(D20&lt;=$G$3,'calculated data '!$A$3,D20&lt;=$G$4,'calculated data '!$A$4,D20&lt;=$G$6,'calculated data '!$A$5,D20&gt;=$G$6,'calculated data '!$A$6)</f>
        <v>Low Demand Tier</v>
      </c>
      <c r="F20" s="10">
        <f t="shared" si="1"/>
        <v>-0.6631714749</v>
      </c>
    </row>
    <row r="21" ht="14.25" customHeight="1">
      <c r="A21" s="2" t="s">
        <v>31</v>
      </c>
      <c r="B21" s="2" t="s">
        <v>32</v>
      </c>
      <c r="C21" s="2">
        <v>2012.0</v>
      </c>
      <c r="D21" s="9">
        <v>0.0</v>
      </c>
      <c r="E21" s="10" t="str">
        <f t="array" ref="E21">IFS(D21&lt;=$G$3,'calculated data '!$A$3,D21&lt;=$G$4,'calculated data '!$A$4,D21&lt;=$G$6,'calculated data '!$A$5,D21&gt;=$G$6,'calculated data '!$A$6)</f>
        <v>Low Demand Tier</v>
      </c>
      <c r="F21" s="10">
        <f t="shared" si="1"/>
        <v>-0.6631714749</v>
      </c>
    </row>
    <row r="22" ht="14.25" customHeight="1">
      <c r="A22" s="2" t="s">
        <v>31</v>
      </c>
      <c r="B22" s="2" t="s">
        <v>32</v>
      </c>
      <c r="C22" s="2">
        <v>2013.0</v>
      </c>
      <c r="D22" s="9">
        <v>0.0</v>
      </c>
      <c r="E22" s="10" t="str">
        <f t="array" ref="E22">IFS(D22&lt;=$G$3,'calculated data '!$A$3,D22&lt;=$G$4,'calculated data '!$A$4,D22&lt;=$G$6,'calculated data '!$A$5,D22&gt;=$G$6,'calculated data '!$A$6)</f>
        <v>Low Demand Tier</v>
      </c>
      <c r="F22" s="10">
        <f t="shared" si="1"/>
        <v>-0.6631714749</v>
      </c>
    </row>
    <row r="23" ht="14.25" customHeight="1">
      <c r="A23" s="2" t="s">
        <v>31</v>
      </c>
      <c r="B23" s="2" t="s">
        <v>32</v>
      </c>
      <c r="C23" s="2">
        <v>2014.0</v>
      </c>
      <c r="D23" s="9">
        <v>0.0</v>
      </c>
      <c r="E23" s="10" t="str">
        <f t="array" ref="E23">IFS(D23&lt;=$G$3,'calculated data '!$A$3,D23&lt;=$G$4,'calculated data '!$A$4,D23&lt;=$G$6,'calculated data '!$A$5,D23&gt;=$G$6,'calculated data '!$A$6)</f>
        <v>Low Demand Tier</v>
      </c>
      <c r="F23" s="10">
        <f t="shared" si="1"/>
        <v>-0.6631714749</v>
      </c>
    </row>
    <row r="24" ht="14.25" customHeight="1">
      <c r="A24" s="2" t="s">
        <v>31</v>
      </c>
      <c r="B24" s="2" t="s">
        <v>32</v>
      </c>
      <c r="C24" s="2">
        <v>2015.0</v>
      </c>
      <c r="D24" s="9">
        <v>0.0</v>
      </c>
      <c r="E24" s="10" t="str">
        <f t="array" ref="E24">IFS(D24&lt;=$G$3,'calculated data '!$A$3,D24&lt;=$G$4,'calculated data '!$A$4,D24&lt;=$G$6,'calculated data '!$A$5,D24&gt;=$G$6,'calculated data '!$A$6)</f>
        <v>Low Demand Tier</v>
      </c>
      <c r="F24" s="10">
        <f t="shared" si="1"/>
        <v>-0.6631714749</v>
      </c>
    </row>
    <row r="25" ht="14.25" customHeight="1">
      <c r="A25" s="2" t="s">
        <v>31</v>
      </c>
      <c r="B25" s="2" t="s">
        <v>32</v>
      </c>
      <c r="C25" s="2">
        <v>2016.0</v>
      </c>
      <c r="D25" s="9">
        <v>0.0</v>
      </c>
      <c r="E25" s="10" t="str">
        <f t="array" ref="E25">IFS(D25&lt;=$G$3,'calculated data '!$A$3,D25&lt;=$G$4,'calculated data '!$A$4,D25&lt;=$G$6,'calculated data '!$A$5,D25&gt;=$G$6,'calculated data '!$A$6)</f>
        <v>Low Demand Tier</v>
      </c>
      <c r="F25" s="10">
        <f t="shared" si="1"/>
        <v>-0.6631714749</v>
      </c>
    </row>
    <row r="26" ht="14.25" customHeight="1">
      <c r="A26" s="2" t="s">
        <v>31</v>
      </c>
      <c r="B26" s="2" t="s">
        <v>32</v>
      </c>
      <c r="C26" s="2">
        <v>2017.0</v>
      </c>
      <c r="D26" s="9">
        <v>0.0</v>
      </c>
      <c r="E26" s="10" t="str">
        <f t="array" ref="E26">IFS(D26&lt;=$G$3,'calculated data '!$A$3,D26&lt;=$G$4,'calculated data '!$A$4,D26&lt;=$G$6,'calculated data '!$A$5,D26&gt;=$G$6,'calculated data '!$A$6)</f>
        <v>Low Demand Tier</v>
      </c>
      <c r="F26" s="10">
        <f t="shared" si="1"/>
        <v>-0.6631714749</v>
      </c>
    </row>
    <row r="27" ht="14.25" customHeight="1">
      <c r="A27" s="2" t="s">
        <v>31</v>
      </c>
      <c r="B27" s="2" t="s">
        <v>32</v>
      </c>
      <c r="C27" s="2">
        <v>2018.0</v>
      </c>
      <c r="D27" s="9">
        <v>0.0</v>
      </c>
      <c r="E27" s="10" t="str">
        <f t="array" ref="E27">IFS(D27&lt;=$G$3,'calculated data '!$A$3,D27&lt;=$G$4,'calculated data '!$A$4,D27&lt;=$G$6,'calculated data '!$A$5,D27&gt;=$G$6,'calculated data '!$A$6)</f>
        <v>Low Demand Tier</v>
      </c>
      <c r="F27" s="10">
        <f t="shared" si="1"/>
        <v>-0.6631714749</v>
      </c>
    </row>
    <row r="28" ht="14.25" customHeight="1">
      <c r="A28" s="2" t="s">
        <v>31</v>
      </c>
      <c r="B28" s="2" t="s">
        <v>32</v>
      </c>
      <c r="C28" s="2">
        <v>2019.0</v>
      </c>
      <c r="D28" s="9">
        <v>0.0</v>
      </c>
      <c r="E28" s="10" t="str">
        <f t="array" ref="E28">IFS(D28&lt;=$G$3,'calculated data '!$A$3,D28&lt;=$G$4,'calculated data '!$A$4,D28&lt;=$G$6,'calculated data '!$A$5,D28&gt;=$G$6,'calculated data '!$A$6)</f>
        <v>Low Demand Tier</v>
      </c>
      <c r="F28" s="10">
        <f t="shared" si="1"/>
        <v>-0.6631714749</v>
      </c>
    </row>
    <row r="29" ht="14.25" customHeight="1">
      <c r="A29" s="2" t="s">
        <v>31</v>
      </c>
      <c r="B29" s="2" t="s">
        <v>32</v>
      </c>
      <c r="C29" s="2">
        <v>2020.0</v>
      </c>
      <c r="D29" s="9">
        <v>0.0</v>
      </c>
      <c r="E29" s="10" t="str">
        <f t="array" ref="E29">IFS(D29&lt;=$G$3,'calculated data '!$A$3,D29&lt;=$G$4,'calculated data '!$A$4,D29&lt;=$G$6,'calculated data '!$A$5,D29&gt;=$G$6,'calculated data '!$A$6)</f>
        <v>Low Demand Tier</v>
      </c>
      <c r="F29" s="10">
        <f t="shared" si="1"/>
        <v>-0.6631714749</v>
      </c>
    </row>
    <row r="30" ht="14.25" customHeight="1">
      <c r="A30" s="2" t="s">
        <v>31</v>
      </c>
      <c r="B30" s="2" t="s">
        <v>32</v>
      </c>
      <c r="C30" s="2">
        <v>2021.0</v>
      </c>
      <c r="D30" s="9">
        <v>0.0</v>
      </c>
      <c r="E30" s="10" t="str">
        <f t="array" ref="E30">IFS(D30&lt;=$G$3,'calculated data '!$A$3,D30&lt;=$G$4,'calculated data '!$A$4,D30&lt;=$G$6,'calculated data '!$A$5,D30&gt;=$G$6,'calculated data '!$A$6)</f>
        <v>Low Demand Tier</v>
      </c>
      <c r="F30" s="10">
        <f t="shared" si="1"/>
        <v>-0.6631714749</v>
      </c>
    </row>
    <row r="31" ht="14.25" customHeight="1">
      <c r="A31" s="2" t="s">
        <v>31</v>
      </c>
      <c r="B31" s="2" t="s">
        <v>32</v>
      </c>
      <c r="C31" s="2">
        <v>2022.0</v>
      </c>
      <c r="D31" s="9">
        <v>0.0</v>
      </c>
      <c r="E31" s="10" t="str">
        <f t="array" ref="E31">IFS(D31&lt;=$G$3,'calculated data '!$A$3,D31&lt;=$G$4,'calculated data '!$A$4,D31&lt;=$G$6,'calculated data '!$A$5,D31&gt;=$G$6,'calculated data '!$A$6)</f>
        <v>Low Demand Tier</v>
      </c>
      <c r="F31" s="10">
        <f t="shared" si="1"/>
        <v>-0.6631714749</v>
      </c>
    </row>
    <row r="32" ht="14.25" customHeight="1">
      <c r="A32" s="2" t="s">
        <v>31</v>
      </c>
      <c r="B32" s="2" t="s">
        <v>32</v>
      </c>
      <c r="C32" s="2">
        <v>2023.0</v>
      </c>
      <c r="D32" s="9">
        <v>0.0</v>
      </c>
      <c r="E32" s="10" t="str">
        <f t="array" ref="E32">IFS(D32&lt;=$G$3,'calculated data '!$A$3,D32&lt;=$G$4,'calculated data '!$A$4,D32&lt;=$G$6,'calculated data '!$A$5,D32&gt;=$G$6,'calculated data '!$A$6)</f>
        <v>Low Demand Tier</v>
      </c>
      <c r="F32" s="10">
        <f t="shared" si="1"/>
        <v>-0.6631714749</v>
      </c>
    </row>
    <row r="33" ht="14.25" customHeight="1">
      <c r="A33" s="2" t="s">
        <v>31</v>
      </c>
      <c r="B33" s="2" t="s">
        <v>32</v>
      </c>
      <c r="C33" s="2">
        <v>2024.0</v>
      </c>
      <c r="D33" s="9">
        <v>0.0</v>
      </c>
      <c r="E33" s="10" t="str">
        <f t="array" ref="E33">IFS(D33&lt;=$G$3,'calculated data '!$A$3,D33&lt;=$G$4,'calculated data '!$A$4,D33&lt;=$G$6,'calculated data '!$A$5,D33&gt;=$G$6,'calculated data '!$A$6)</f>
        <v>Low Demand Tier</v>
      </c>
      <c r="F33" s="10">
        <f t="shared" si="1"/>
        <v>-0.6631714749</v>
      </c>
    </row>
    <row r="34" ht="14.25" customHeight="1">
      <c r="A34" s="2" t="s">
        <v>39</v>
      </c>
      <c r="B34" s="2" t="s">
        <v>40</v>
      </c>
      <c r="C34" s="2">
        <v>2011.0</v>
      </c>
      <c r="D34" s="9">
        <v>0.0</v>
      </c>
      <c r="E34" s="10" t="str">
        <f t="array" ref="E34">IFS(D34&lt;=$G$3,'calculated data '!$A$3,D34&lt;=$G$4,'calculated data '!$A$4,D34&lt;=$G$6,'calculated data '!$A$5,D34&gt;=$G$6,'calculated data '!$A$6)</f>
        <v>Low Demand Tier</v>
      </c>
      <c r="F34" s="10">
        <f t="shared" si="1"/>
        <v>-0.6631714749</v>
      </c>
    </row>
    <row r="35" ht="14.25" customHeight="1">
      <c r="A35" s="2" t="s">
        <v>39</v>
      </c>
      <c r="B35" s="2" t="s">
        <v>40</v>
      </c>
      <c r="C35" s="2">
        <v>2012.0</v>
      </c>
      <c r="D35" s="9">
        <v>0.0</v>
      </c>
      <c r="E35" s="10" t="str">
        <f t="array" ref="E35">IFS(D35&lt;=$G$3,'calculated data '!$A$3,D35&lt;=$G$4,'calculated data '!$A$4,D35&lt;=$G$6,'calculated data '!$A$5,D35&gt;=$G$6,'calculated data '!$A$6)</f>
        <v>Low Demand Tier</v>
      </c>
      <c r="F35" s="10">
        <f t="shared" si="1"/>
        <v>-0.6631714749</v>
      </c>
    </row>
    <row r="36" ht="14.25" customHeight="1">
      <c r="A36" s="2" t="s">
        <v>39</v>
      </c>
      <c r="B36" s="2" t="s">
        <v>40</v>
      </c>
      <c r="C36" s="2">
        <v>2013.0</v>
      </c>
      <c r="D36" s="9">
        <v>0.0</v>
      </c>
      <c r="E36" s="10" t="str">
        <f t="array" ref="E36">IFS(D36&lt;=$G$3,'calculated data '!$A$3,D36&lt;=$G$4,'calculated data '!$A$4,D36&lt;=$G$6,'calculated data '!$A$5,D36&gt;=$G$6,'calculated data '!$A$6)</f>
        <v>Low Demand Tier</v>
      </c>
      <c r="F36" s="10">
        <f t="shared" si="1"/>
        <v>-0.6631714749</v>
      </c>
    </row>
    <row r="37" ht="14.25" customHeight="1">
      <c r="A37" s="2" t="s">
        <v>39</v>
      </c>
      <c r="B37" s="2" t="s">
        <v>40</v>
      </c>
      <c r="C37" s="2">
        <v>2014.0</v>
      </c>
      <c r="D37" s="9">
        <v>0.0</v>
      </c>
      <c r="E37" s="10" t="str">
        <f t="array" ref="E37">IFS(D37&lt;=$G$3,'calculated data '!$A$3,D37&lt;=$G$4,'calculated data '!$A$4,D37&lt;=$G$6,'calculated data '!$A$5,D37&gt;=$G$6,'calculated data '!$A$6)</f>
        <v>Low Demand Tier</v>
      </c>
      <c r="F37" s="10">
        <f t="shared" si="1"/>
        <v>-0.6631714749</v>
      </c>
    </row>
    <row r="38" ht="14.25" customHeight="1">
      <c r="A38" s="2" t="s">
        <v>39</v>
      </c>
      <c r="B38" s="2" t="s">
        <v>40</v>
      </c>
      <c r="C38" s="2">
        <v>2015.0</v>
      </c>
      <c r="D38" s="9">
        <v>0.0</v>
      </c>
      <c r="E38" s="10" t="str">
        <f t="array" ref="E38">IFS(D38&lt;=$G$3,'calculated data '!$A$3,D38&lt;=$G$4,'calculated data '!$A$4,D38&lt;=$G$6,'calculated data '!$A$5,D38&gt;=$G$6,'calculated data '!$A$6)</f>
        <v>Low Demand Tier</v>
      </c>
      <c r="F38" s="10">
        <f t="shared" si="1"/>
        <v>-0.6631714749</v>
      </c>
    </row>
    <row r="39" ht="14.25" customHeight="1">
      <c r="A39" s="2" t="s">
        <v>39</v>
      </c>
      <c r="B39" s="2" t="s">
        <v>40</v>
      </c>
      <c r="C39" s="2">
        <v>2016.0</v>
      </c>
      <c r="D39" s="9">
        <v>0.0</v>
      </c>
      <c r="E39" s="10" t="str">
        <f t="array" ref="E39">IFS(D39&lt;=$G$3,'calculated data '!$A$3,D39&lt;=$G$4,'calculated data '!$A$4,D39&lt;=$G$6,'calculated data '!$A$5,D39&gt;=$G$6,'calculated data '!$A$6)</f>
        <v>Low Demand Tier</v>
      </c>
      <c r="F39" s="10">
        <f t="shared" si="1"/>
        <v>-0.6631714749</v>
      </c>
    </row>
    <row r="40" ht="14.25" customHeight="1">
      <c r="A40" s="2" t="s">
        <v>39</v>
      </c>
      <c r="B40" s="2" t="s">
        <v>40</v>
      </c>
      <c r="C40" s="2">
        <v>2017.0</v>
      </c>
      <c r="D40" s="9">
        <v>0.0</v>
      </c>
      <c r="E40" s="10" t="str">
        <f t="array" ref="E40">IFS(D40&lt;=$G$3,'calculated data '!$A$3,D40&lt;=$G$4,'calculated data '!$A$4,D40&lt;=$G$6,'calculated data '!$A$5,D40&gt;=$G$6,'calculated data '!$A$6)</f>
        <v>Low Demand Tier</v>
      </c>
      <c r="F40" s="10">
        <f t="shared" si="1"/>
        <v>-0.6631714749</v>
      </c>
    </row>
    <row r="41" ht="14.25" customHeight="1">
      <c r="A41" s="2" t="s">
        <v>39</v>
      </c>
      <c r="B41" s="2" t="s">
        <v>40</v>
      </c>
      <c r="C41" s="2">
        <v>2018.0</v>
      </c>
      <c r="D41" s="9">
        <v>0.0</v>
      </c>
      <c r="E41" s="10" t="str">
        <f t="array" ref="E41">IFS(D41&lt;=$G$3,'calculated data '!$A$3,D41&lt;=$G$4,'calculated data '!$A$4,D41&lt;=$G$6,'calculated data '!$A$5,D41&gt;=$G$6,'calculated data '!$A$6)</f>
        <v>Low Demand Tier</v>
      </c>
      <c r="F41" s="10">
        <f t="shared" si="1"/>
        <v>-0.6631714749</v>
      </c>
    </row>
    <row r="42" ht="14.25" customHeight="1">
      <c r="A42" s="2" t="s">
        <v>39</v>
      </c>
      <c r="B42" s="2" t="s">
        <v>40</v>
      </c>
      <c r="C42" s="2">
        <v>2019.0</v>
      </c>
      <c r="D42" s="9">
        <v>0.0</v>
      </c>
      <c r="E42" s="10" t="str">
        <f t="array" ref="E42">IFS(D42&lt;=$G$3,'calculated data '!$A$3,D42&lt;=$G$4,'calculated data '!$A$4,D42&lt;=$G$6,'calculated data '!$A$5,D42&gt;=$G$6,'calculated data '!$A$6)</f>
        <v>Low Demand Tier</v>
      </c>
      <c r="F42" s="10">
        <f t="shared" si="1"/>
        <v>-0.6631714749</v>
      </c>
    </row>
    <row r="43" ht="14.25" customHeight="1">
      <c r="A43" s="2" t="s">
        <v>39</v>
      </c>
      <c r="B43" s="2" t="s">
        <v>40</v>
      </c>
      <c r="C43" s="2">
        <v>2020.0</v>
      </c>
      <c r="D43" s="9">
        <v>0.0</v>
      </c>
      <c r="E43" s="10" t="str">
        <f t="array" ref="E43">IFS(D43&lt;=$G$3,'calculated data '!$A$3,D43&lt;=$G$4,'calculated data '!$A$4,D43&lt;=$G$6,'calculated data '!$A$5,D43&gt;=$G$6,'calculated data '!$A$6)</f>
        <v>Low Demand Tier</v>
      </c>
      <c r="F43" s="10">
        <f t="shared" si="1"/>
        <v>-0.6631714749</v>
      </c>
    </row>
    <row r="44" ht="14.25" customHeight="1">
      <c r="A44" s="2" t="s">
        <v>39</v>
      </c>
      <c r="B44" s="2" t="s">
        <v>40</v>
      </c>
      <c r="C44" s="2">
        <v>2021.0</v>
      </c>
      <c r="D44" s="9">
        <v>0.0</v>
      </c>
      <c r="E44" s="10" t="str">
        <f t="array" ref="E44">IFS(D44&lt;=$G$3,'calculated data '!$A$3,D44&lt;=$G$4,'calculated data '!$A$4,D44&lt;=$G$6,'calculated data '!$A$5,D44&gt;=$G$6,'calculated data '!$A$6)</f>
        <v>Low Demand Tier</v>
      </c>
      <c r="F44" s="10">
        <f t="shared" si="1"/>
        <v>-0.6631714749</v>
      </c>
    </row>
    <row r="45" ht="14.25" customHeight="1">
      <c r="A45" s="2" t="s">
        <v>39</v>
      </c>
      <c r="B45" s="2" t="s">
        <v>40</v>
      </c>
      <c r="C45" s="2">
        <v>2022.0</v>
      </c>
      <c r="D45" s="9">
        <v>0.0</v>
      </c>
      <c r="E45" s="10" t="str">
        <f t="array" ref="E45">IFS(D45&lt;=$G$3,'calculated data '!$A$3,D45&lt;=$G$4,'calculated data '!$A$4,D45&lt;=$G$6,'calculated data '!$A$5,D45&gt;=$G$6,'calculated data '!$A$6)</f>
        <v>Low Demand Tier</v>
      </c>
      <c r="F45" s="10">
        <f t="shared" si="1"/>
        <v>-0.6631714749</v>
      </c>
    </row>
    <row r="46" ht="14.25" customHeight="1">
      <c r="A46" s="2" t="s">
        <v>39</v>
      </c>
      <c r="B46" s="2" t="s">
        <v>40</v>
      </c>
      <c r="C46" s="2">
        <v>2023.0</v>
      </c>
      <c r="D46" s="9">
        <v>0.0</v>
      </c>
      <c r="E46" s="10" t="str">
        <f t="array" ref="E46">IFS(D46&lt;=$G$3,'calculated data '!$A$3,D46&lt;=$G$4,'calculated data '!$A$4,D46&lt;=$G$6,'calculated data '!$A$5,D46&gt;=$G$6,'calculated data '!$A$6)</f>
        <v>Low Demand Tier</v>
      </c>
      <c r="F46" s="10">
        <f t="shared" si="1"/>
        <v>-0.6631714749</v>
      </c>
    </row>
    <row r="47" ht="14.25" customHeight="1">
      <c r="A47" s="2" t="s">
        <v>39</v>
      </c>
      <c r="B47" s="2" t="s">
        <v>40</v>
      </c>
      <c r="C47" s="2">
        <v>2024.0</v>
      </c>
      <c r="D47" s="9">
        <v>0.0</v>
      </c>
      <c r="E47" s="10" t="str">
        <f t="array" ref="E47">IFS(D47&lt;=$G$3,'calculated data '!$A$3,D47&lt;=$G$4,'calculated data '!$A$4,D47&lt;=$G$6,'calculated data '!$A$5,D47&gt;=$G$6,'calculated data '!$A$6)</f>
        <v>Low Demand Tier</v>
      </c>
      <c r="F47" s="10">
        <f t="shared" si="1"/>
        <v>-0.6631714749</v>
      </c>
    </row>
    <row r="48" ht="14.25" customHeight="1">
      <c r="A48" s="2" t="s">
        <v>41</v>
      </c>
      <c r="B48" s="2" t="s">
        <v>42</v>
      </c>
      <c r="C48" s="2">
        <v>1980.0</v>
      </c>
      <c r="D48" s="9">
        <v>0.0</v>
      </c>
      <c r="E48" s="10" t="str">
        <f t="array" ref="E48">IFS(D48&lt;=$G$3,'calculated data '!$A$3,D48&lt;=$G$4,'calculated data '!$A$4,D48&lt;=$G$6,'calculated data '!$A$5,D48&gt;=$G$6,'calculated data '!$A$6)</f>
        <v>Low Demand Tier</v>
      </c>
      <c r="F48" s="10">
        <f t="shared" si="1"/>
        <v>-0.6631714749</v>
      </c>
    </row>
    <row r="49" ht="14.25" customHeight="1">
      <c r="A49" s="2" t="s">
        <v>41</v>
      </c>
      <c r="B49" s="2" t="s">
        <v>42</v>
      </c>
      <c r="C49" s="2">
        <v>1981.0</v>
      </c>
      <c r="D49" s="9">
        <v>0.0</v>
      </c>
      <c r="E49" s="10" t="str">
        <f t="array" ref="E49">IFS(D49&lt;=$G$3,'calculated data '!$A$3,D49&lt;=$G$4,'calculated data '!$A$4,D49&lt;=$G$6,'calculated data '!$A$5,D49&gt;=$G$6,'calculated data '!$A$6)</f>
        <v>Low Demand Tier</v>
      </c>
      <c r="F49" s="10">
        <f t="shared" si="1"/>
        <v>-0.6631714749</v>
      </c>
    </row>
    <row r="50" ht="14.25" customHeight="1">
      <c r="A50" s="2" t="s">
        <v>41</v>
      </c>
      <c r="B50" s="2" t="s">
        <v>42</v>
      </c>
      <c r="C50" s="2">
        <v>1982.0</v>
      </c>
      <c r="D50" s="9">
        <v>0.0</v>
      </c>
      <c r="E50" s="10" t="str">
        <f t="array" ref="E50">IFS(D50&lt;=$G$3,'calculated data '!$A$3,D50&lt;=$G$4,'calculated data '!$A$4,D50&lt;=$G$6,'calculated data '!$A$5,D50&gt;=$G$6,'calculated data '!$A$6)</f>
        <v>Low Demand Tier</v>
      </c>
      <c r="F50" s="10">
        <f t="shared" si="1"/>
        <v>-0.6631714749</v>
      </c>
    </row>
    <row r="51" ht="14.25" customHeight="1">
      <c r="A51" s="2" t="s">
        <v>41</v>
      </c>
      <c r="B51" s="2" t="s">
        <v>42</v>
      </c>
      <c r="C51" s="2">
        <v>1983.0</v>
      </c>
      <c r="D51" s="9">
        <v>0.0</v>
      </c>
      <c r="E51" s="10" t="str">
        <f t="array" ref="E51">IFS(D51&lt;=$G$3,'calculated data '!$A$3,D51&lt;=$G$4,'calculated data '!$A$4,D51&lt;=$G$6,'calculated data '!$A$5,D51&gt;=$G$6,'calculated data '!$A$6)</f>
        <v>Low Demand Tier</v>
      </c>
      <c r="F51" s="10">
        <f t="shared" si="1"/>
        <v>-0.6631714749</v>
      </c>
    </row>
    <row r="52" ht="14.25" customHeight="1">
      <c r="A52" s="2" t="s">
        <v>41</v>
      </c>
      <c r="B52" s="2" t="s">
        <v>42</v>
      </c>
      <c r="C52" s="2">
        <v>1984.0</v>
      </c>
      <c r="D52" s="9">
        <v>0.0</v>
      </c>
      <c r="E52" s="10" t="str">
        <f t="array" ref="E52">IFS(D52&lt;=$G$3,'calculated data '!$A$3,D52&lt;=$G$4,'calculated data '!$A$4,D52&lt;=$G$6,'calculated data '!$A$5,D52&gt;=$G$6,'calculated data '!$A$6)</f>
        <v>Low Demand Tier</v>
      </c>
      <c r="F52" s="10">
        <f t="shared" si="1"/>
        <v>-0.6631714749</v>
      </c>
    </row>
    <row r="53" ht="14.25" customHeight="1">
      <c r="A53" s="2" t="s">
        <v>41</v>
      </c>
      <c r="B53" s="2" t="s">
        <v>42</v>
      </c>
      <c r="C53" s="2">
        <v>1985.0</v>
      </c>
      <c r="D53" s="9">
        <v>0.0</v>
      </c>
      <c r="E53" s="10" t="str">
        <f t="array" ref="E53">IFS(D53&lt;=$G$3,'calculated data '!$A$3,D53&lt;=$G$4,'calculated data '!$A$4,D53&lt;=$G$6,'calculated data '!$A$5,D53&gt;=$G$6,'calculated data '!$A$6)</f>
        <v>Low Demand Tier</v>
      </c>
      <c r="F53" s="10">
        <f t="shared" si="1"/>
        <v>-0.6631714749</v>
      </c>
    </row>
    <row r="54" ht="14.25" customHeight="1">
      <c r="A54" s="2" t="s">
        <v>41</v>
      </c>
      <c r="B54" s="2" t="s">
        <v>42</v>
      </c>
      <c r="C54" s="2">
        <v>1986.0</v>
      </c>
      <c r="D54" s="9">
        <v>0.0</v>
      </c>
      <c r="E54" s="10" t="str">
        <f t="array" ref="E54">IFS(D54&lt;=$G$3,'calculated data '!$A$3,D54&lt;=$G$4,'calculated data '!$A$4,D54&lt;=$G$6,'calculated data '!$A$5,D54&gt;=$G$6,'calculated data '!$A$6)</f>
        <v>Low Demand Tier</v>
      </c>
      <c r="F54" s="10">
        <f t="shared" si="1"/>
        <v>-0.6631714749</v>
      </c>
    </row>
    <row r="55" ht="14.25" customHeight="1">
      <c r="A55" s="2" t="s">
        <v>41</v>
      </c>
      <c r="B55" s="2" t="s">
        <v>42</v>
      </c>
      <c r="C55" s="2">
        <v>1987.0</v>
      </c>
      <c r="D55" s="9">
        <v>0.0</v>
      </c>
      <c r="E55" s="10" t="str">
        <f t="array" ref="E55">IFS(D55&lt;=$G$3,'calculated data '!$A$3,D55&lt;=$G$4,'calculated data '!$A$4,D55&lt;=$G$6,'calculated data '!$A$5,D55&gt;=$G$6,'calculated data '!$A$6)</f>
        <v>Low Demand Tier</v>
      </c>
      <c r="F55" s="10">
        <f t="shared" si="1"/>
        <v>-0.6631714749</v>
      </c>
    </row>
    <row r="56" ht="14.25" customHeight="1">
      <c r="A56" s="2" t="s">
        <v>41</v>
      </c>
      <c r="B56" s="2" t="s">
        <v>42</v>
      </c>
      <c r="C56" s="2">
        <v>1988.0</v>
      </c>
      <c r="D56" s="9">
        <v>0.0</v>
      </c>
      <c r="E56" s="10" t="str">
        <f t="array" ref="E56">IFS(D56&lt;=$G$3,'calculated data '!$A$3,D56&lt;=$G$4,'calculated data '!$A$4,D56&lt;=$G$6,'calculated data '!$A$5,D56&gt;=$G$6,'calculated data '!$A$6)</f>
        <v>Low Demand Tier</v>
      </c>
      <c r="F56" s="10">
        <f t="shared" si="1"/>
        <v>-0.6631714749</v>
      </c>
    </row>
    <row r="57" ht="14.25" customHeight="1">
      <c r="A57" s="2" t="s">
        <v>41</v>
      </c>
      <c r="B57" s="2" t="s">
        <v>42</v>
      </c>
      <c r="C57" s="2">
        <v>1989.0</v>
      </c>
      <c r="D57" s="9">
        <v>0.0</v>
      </c>
      <c r="E57" s="10" t="str">
        <f t="array" ref="E57">IFS(D57&lt;=$G$3,'calculated data '!$A$3,D57&lt;=$G$4,'calculated data '!$A$4,D57&lt;=$G$6,'calculated data '!$A$5,D57&gt;=$G$6,'calculated data '!$A$6)</f>
        <v>Low Demand Tier</v>
      </c>
      <c r="F57" s="10">
        <f t="shared" si="1"/>
        <v>-0.6631714749</v>
      </c>
    </row>
    <row r="58" ht="14.25" customHeight="1">
      <c r="A58" s="2" t="s">
        <v>41</v>
      </c>
      <c r="B58" s="2" t="s">
        <v>42</v>
      </c>
      <c r="C58" s="2">
        <v>1990.0</v>
      </c>
      <c r="D58" s="9">
        <v>0.0</v>
      </c>
      <c r="E58" s="10" t="str">
        <f t="array" ref="E58">IFS(D58&lt;=$G$3,'calculated data '!$A$3,D58&lt;=$G$4,'calculated data '!$A$4,D58&lt;=$G$6,'calculated data '!$A$5,D58&gt;=$G$6,'calculated data '!$A$6)</f>
        <v>Low Demand Tier</v>
      </c>
      <c r="F58" s="10">
        <f t="shared" si="1"/>
        <v>-0.6631714749</v>
      </c>
    </row>
    <row r="59" ht="14.25" customHeight="1">
      <c r="A59" s="2" t="s">
        <v>41</v>
      </c>
      <c r="B59" s="2" t="s">
        <v>42</v>
      </c>
      <c r="C59" s="2">
        <v>1991.0</v>
      </c>
      <c r="D59" s="9">
        <v>0.0</v>
      </c>
      <c r="E59" s="10" t="str">
        <f t="array" ref="E59">IFS(D59&lt;=$G$3,'calculated data '!$A$3,D59&lt;=$G$4,'calculated data '!$A$4,D59&lt;=$G$6,'calculated data '!$A$5,D59&gt;=$G$6,'calculated data '!$A$6)</f>
        <v>Low Demand Tier</v>
      </c>
      <c r="F59" s="10">
        <f t="shared" si="1"/>
        <v>-0.6631714749</v>
      </c>
    </row>
    <row r="60" ht="14.25" customHeight="1">
      <c r="A60" s="2" t="s">
        <v>41</v>
      </c>
      <c r="B60" s="2" t="s">
        <v>42</v>
      </c>
      <c r="C60" s="2">
        <v>1992.0</v>
      </c>
      <c r="D60" s="9">
        <v>0.0</v>
      </c>
      <c r="E60" s="10" t="str">
        <f t="array" ref="E60">IFS(D60&lt;=$G$3,'calculated data '!$A$3,D60&lt;=$G$4,'calculated data '!$A$4,D60&lt;=$G$6,'calculated data '!$A$5,D60&gt;=$G$6,'calculated data '!$A$6)</f>
        <v>Low Demand Tier</v>
      </c>
      <c r="F60" s="10">
        <f t="shared" si="1"/>
        <v>-0.6631714749</v>
      </c>
    </row>
    <row r="61" ht="14.25" customHeight="1">
      <c r="A61" s="2" t="s">
        <v>41</v>
      </c>
      <c r="B61" s="2" t="s">
        <v>42</v>
      </c>
      <c r="C61" s="2">
        <v>1993.0</v>
      </c>
      <c r="D61" s="9">
        <v>0.0</v>
      </c>
      <c r="E61" s="10" t="str">
        <f t="array" ref="E61">IFS(D61&lt;=$G$3,'calculated data '!$A$3,D61&lt;=$G$4,'calculated data '!$A$4,D61&lt;=$G$6,'calculated data '!$A$5,D61&gt;=$G$6,'calculated data '!$A$6)</f>
        <v>Low Demand Tier</v>
      </c>
      <c r="F61" s="10">
        <f t="shared" si="1"/>
        <v>-0.6631714749</v>
      </c>
    </row>
    <row r="62" ht="14.25" customHeight="1">
      <c r="A62" s="2" t="s">
        <v>41</v>
      </c>
      <c r="B62" s="2" t="s">
        <v>42</v>
      </c>
      <c r="C62" s="2">
        <v>1994.0</v>
      </c>
      <c r="D62" s="9">
        <v>0.0</v>
      </c>
      <c r="E62" s="10" t="str">
        <f t="array" ref="E62">IFS(D62&lt;=$G$3,'calculated data '!$A$3,D62&lt;=$G$4,'calculated data '!$A$4,D62&lt;=$G$6,'calculated data '!$A$5,D62&gt;=$G$6,'calculated data '!$A$6)</f>
        <v>Low Demand Tier</v>
      </c>
      <c r="F62" s="10">
        <f t="shared" si="1"/>
        <v>-0.6631714749</v>
      </c>
    </row>
    <row r="63" ht="14.25" customHeight="1">
      <c r="A63" s="2" t="s">
        <v>41</v>
      </c>
      <c r="B63" s="2" t="s">
        <v>42</v>
      </c>
      <c r="C63" s="2">
        <v>1995.0</v>
      </c>
      <c r="D63" s="9">
        <v>0.0</v>
      </c>
      <c r="E63" s="10" t="str">
        <f t="array" ref="E63">IFS(D63&lt;=$G$3,'calculated data '!$A$3,D63&lt;=$G$4,'calculated data '!$A$4,D63&lt;=$G$6,'calculated data '!$A$5,D63&gt;=$G$6,'calculated data '!$A$6)</f>
        <v>Low Demand Tier</v>
      </c>
      <c r="F63" s="10">
        <f t="shared" si="1"/>
        <v>-0.6631714749</v>
      </c>
    </row>
    <row r="64" ht="14.25" customHeight="1">
      <c r="A64" s="2" t="s">
        <v>41</v>
      </c>
      <c r="B64" s="2" t="s">
        <v>42</v>
      </c>
      <c r="C64" s="2">
        <v>1996.0</v>
      </c>
      <c r="D64" s="9">
        <v>0.0</v>
      </c>
      <c r="E64" s="10" t="str">
        <f t="array" ref="E64">IFS(D64&lt;=$G$3,'calculated data '!$A$3,D64&lt;=$G$4,'calculated data '!$A$4,D64&lt;=$G$6,'calculated data '!$A$5,D64&gt;=$G$6,'calculated data '!$A$6)</f>
        <v>Low Demand Tier</v>
      </c>
      <c r="F64" s="10">
        <f t="shared" si="1"/>
        <v>-0.6631714749</v>
      </c>
    </row>
    <row r="65" ht="14.25" customHeight="1">
      <c r="A65" s="2" t="s">
        <v>41</v>
      </c>
      <c r="B65" s="2" t="s">
        <v>42</v>
      </c>
      <c r="C65" s="2">
        <v>1997.0</v>
      </c>
      <c r="D65" s="9">
        <v>0.0</v>
      </c>
      <c r="E65" s="10" t="str">
        <f t="array" ref="E65">IFS(D65&lt;=$G$3,'calculated data '!$A$3,D65&lt;=$G$4,'calculated data '!$A$4,D65&lt;=$G$6,'calculated data '!$A$5,D65&gt;=$G$6,'calculated data '!$A$6)</f>
        <v>Low Demand Tier</v>
      </c>
      <c r="F65" s="10">
        <f t="shared" si="1"/>
        <v>-0.6631714749</v>
      </c>
    </row>
    <row r="66" ht="14.25" customHeight="1">
      <c r="A66" s="2" t="s">
        <v>41</v>
      </c>
      <c r="B66" s="2" t="s">
        <v>42</v>
      </c>
      <c r="C66" s="2">
        <v>1998.0</v>
      </c>
      <c r="D66" s="9">
        <v>0.0</v>
      </c>
      <c r="E66" s="10" t="str">
        <f t="array" ref="E66">IFS(D66&lt;=$G$3,'calculated data '!$A$3,D66&lt;=$G$4,'calculated data '!$A$4,D66&lt;=$G$6,'calculated data '!$A$5,D66&gt;=$G$6,'calculated data '!$A$6)</f>
        <v>Low Demand Tier</v>
      </c>
      <c r="F66" s="10">
        <f t="shared" si="1"/>
        <v>-0.6631714749</v>
      </c>
    </row>
    <row r="67" ht="14.25" customHeight="1">
      <c r="A67" s="2" t="s">
        <v>41</v>
      </c>
      <c r="B67" s="2" t="s">
        <v>42</v>
      </c>
      <c r="C67" s="2">
        <v>1999.0</v>
      </c>
      <c r="D67" s="9">
        <v>0.0</v>
      </c>
      <c r="E67" s="10" t="str">
        <f t="array" ref="E67">IFS(D67&lt;=$G$3,'calculated data '!$A$3,D67&lt;=$G$4,'calculated data '!$A$4,D67&lt;=$G$6,'calculated data '!$A$5,D67&gt;=$G$6,'calculated data '!$A$6)</f>
        <v>Low Demand Tier</v>
      </c>
      <c r="F67" s="10">
        <f t="shared" si="1"/>
        <v>-0.6631714749</v>
      </c>
    </row>
    <row r="68" ht="14.25" customHeight="1">
      <c r="A68" s="2" t="s">
        <v>43</v>
      </c>
      <c r="B68" s="2" t="s">
        <v>44</v>
      </c>
      <c r="C68" s="2">
        <v>1980.0</v>
      </c>
      <c r="D68" s="9">
        <v>0.0</v>
      </c>
      <c r="E68" s="10" t="str">
        <f t="array" ref="E68">IFS(D68&lt;=$G$3,'calculated data '!$A$3,D68&lt;=$G$4,'calculated data '!$A$4,D68&lt;=$G$6,'calculated data '!$A$5,D68&gt;=$G$6,'calculated data '!$A$6)</f>
        <v>Low Demand Tier</v>
      </c>
      <c r="F68" s="10">
        <f t="shared" si="1"/>
        <v>-0.6631714749</v>
      </c>
    </row>
    <row r="69" ht="14.25" customHeight="1">
      <c r="A69" s="2" t="s">
        <v>43</v>
      </c>
      <c r="B69" s="2" t="s">
        <v>44</v>
      </c>
      <c r="C69" s="2">
        <v>1981.0</v>
      </c>
      <c r="D69" s="9">
        <v>0.0</v>
      </c>
      <c r="E69" s="10" t="str">
        <f t="array" ref="E69">IFS(D69&lt;=$G$3,'calculated data '!$A$3,D69&lt;=$G$4,'calculated data '!$A$4,D69&lt;=$G$6,'calculated data '!$A$5,D69&gt;=$G$6,'calculated data '!$A$6)</f>
        <v>Low Demand Tier</v>
      </c>
      <c r="F69" s="10">
        <f t="shared" si="1"/>
        <v>-0.6631714749</v>
      </c>
    </row>
    <row r="70" ht="14.25" customHeight="1">
      <c r="A70" s="2" t="s">
        <v>43</v>
      </c>
      <c r="B70" s="2" t="s">
        <v>44</v>
      </c>
      <c r="C70" s="2">
        <v>1982.0</v>
      </c>
      <c r="D70" s="9">
        <v>0.0</v>
      </c>
      <c r="E70" s="10" t="str">
        <f t="array" ref="E70">IFS(D70&lt;=$G$3,'calculated data '!$A$3,D70&lt;=$G$4,'calculated data '!$A$4,D70&lt;=$G$6,'calculated data '!$A$5,D70&gt;=$G$6,'calculated data '!$A$6)</f>
        <v>Low Demand Tier</v>
      </c>
      <c r="F70" s="10">
        <f t="shared" si="1"/>
        <v>-0.6631714749</v>
      </c>
    </row>
    <row r="71" ht="14.25" customHeight="1">
      <c r="A71" s="2" t="s">
        <v>43</v>
      </c>
      <c r="B71" s="2" t="s">
        <v>44</v>
      </c>
      <c r="C71" s="2">
        <v>1983.0</v>
      </c>
      <c r="D71" s="9">
        <v>0.0</v>
      </c>
      <c r="E71" s="10" t="str">
        <f t="array" ref="E71">IFS(D71&lt;=$G$3,'calculated data '!$A$3,D71&lt;=$G$4,'calculated data '!$A$4,D71&lt;=$G$6,'calculated data '!$A$5,D71&gt;=$G$6,'calculated data '!$A$6)</f>
        <v>Low Demand Tier</v>
      </c>
      <c r="F71" s="10">
        <f t="shared" si="1"/>
        <v>-0.6631714749</v>
      </c>
    </row>
    <row r="72" ht="14.25" customHeight="1">
      <c r="A72" s="2" t="s">
        <v>43</v>
      </c>
      <c r="B72" s="2" t="s">
        <v>44</v>
      </c>
      <c r="C72" s="2">
        <v>1984.0</v>
      </c>
      <c r="D72" s="9">
        <v>0.0</v>
      </c>
      <c r="E72" s="10" t="str">
        <f t="array" ref="E72">IFS(D72&lt;=$G$3,'calculated data '!$A$3,D72&lt;=$G$4,'calculated data '!$A$4,D72&lt;=$G$6,'calculated data '!$A$5,D72&gt;=$G$6,'calculated data '!$A$6)</f>
        <v>Low Demand Tier</v>
      </c>
      <c r="F72" s="10">
        <f t="shared" si="1"/>
        <v>-0.6631714749</v>
      </c>
    </row>
    <row r="73" ht="14.25" customHeight="1">
      <c r="A73" s="2" t="s">
        <v>43</v>
      </c>
      <c r="B73" s="2" t="s">
        <v>44</v>
      </c>
      <c r="C73" s="2">
        <v>1985.0</v>
      </c>
      <c r="D73" s="9">
        <v>0.0</v>
      </c>
      <c r="E73" s="10" t="str">
        <f t="array" ref="E73">IFS(D73&lt;=$G$3,'calculated data '!$A$3,D73&lt;=$G$4,'calculated data '!$A$4,D73&lt;=$G$6,'calculated data '!$A$5,D73&gt;=$G$6,'calculated data '!$A$6)</f>
        <v>Low Demand Tier</v>
      </c>
      <c r="F73" s="10">
        <f t="shared" si="1"/>
        <v>-0.6631714749</v>
      </c>
    </row>
    <row r="74" ht="14.25" customHeight="1">
      <c r="A74" s="2" t="s">
        <v>43</v>
      </c>
      <c r="B74" s="2" t="s">
        <v>44</v>
      </c>
      <c r="C74" s="2">
        <v>1986.0</v>
      </c>
      <c r="D74" s="9">
        <v>0.0</v>
      </c>
      <c r="E74" s="10" t="str">
        <f t="array" ref="E74">IFS(D74&lt;=$G$3,'calculated data '!$A$3,D74&lt;=$G$4,'calculated data '!$A$4,D74&lt;=$G$6,'calculated data '!$A$5,D74&gt;=$G$6,'calculated data '!$A$6)</f>
        <v>Low Demand Tier</v>
      </c>
      <c r="F74" s="10">
        <f t="shared" si="1"/>
        <v>-0.6631714749</v>
      </c>
    </row>
    <row r="75" ht="14.25" customHeight="1">
      <c r="A75" s="2" t="s">
        <v>43</v>
      </c>
      <c r="B75" s="2" t="s">
        <v>44</v>
      </c>
      <c r="C75" s="2">
        <v>1987.0</v>
      </c>
      <c r="D75" s="9">
        <v>0.0</v>
      </c>
      <c r="E75" s="10" t="str">
        <f t="array" ref="E75">IFS(D75&lt;=$G$3,'calculated data '!$A$3,D75&lt;=$G$4,'calculated data '!$A$4,D75&lt;=$G$6,'calculated data '!$A$5,D75&gt;=$G$6,'calculated data '!$A$6)</f>
        <v>Low Demand Tier</v>
      </c>
      <c r="F75" s="10">
        <f t="shared" si="1"/>
        <v>-0.6631714749</v>
      </c>
    </row>
    <row r="76" ht="14.25" customHeight="1">
      <c r="A76" s="2" t="s">
        <v>43</v>
      </c>
      <c r="B76" s="2" t="s">
        <v>44</v>
      </c>
      <c r="C76" s="2">
        <v>1988.0</v>
      </c>
      <c r="D76" s="9">
        <v>0.0</v>
      </c>
      <c r="E76" s="10" t="str">
        <f t="array" ref="E76">IFS(D76&lt;=$G$3,'calculated data '!$A$3,D76&lt;=$G$4,'calculated data '!$A$4,D76&lt;=$G$6,'calculated data '!$A$5,D76&gt;=$G$6,'calculated data '!$A$6)</f>
        <v>Low Demand Tier</v>
      </c>
      <c r="F76" s="10">
        <f t="shared" si="1"/>
        <v>-0.6631714749</v>
      </c>
    </row>
    <row r="77" ht="14.25" customHeight="1">
      <c r="A77" s="2" t="s">
        <v>43</v>
      </c>
      <c r="B77" s="2" t="s">
        <v>44</v>
      </c>
      <c r="C77" s="2">
        <v>1989.0</v>
      </c>
      <c r="D77" s="9">
        <v>0.0</v>
      </c>
      <c r="E77" s="10" t="str">
        <f t="array" ref="E77">IFS(D77&lt;=$G$3,'calculated data '!$A$3,D77&lt;=$G$4,'calculated data '!$A$4,D77&lt;=$G$6,'calculated data '!$A$5,D77&gt;=$G$6,'calculated data '!$A$6)</f>
        <v>Low Demand Tier</v>
      </c>
      <c r="F77" s="10">
        <f t="shared" si="1"/>
        <v>-0.6631714749</v>
      </c>
    </row>
    <row r="78" ht="14.25" customHeight="1">
      <c r="A78" s="2" t="s">
        <v>43</v>
      </c>
      <c r="B78" s="2" t="s">
        <v>44</v>
      </c>
      <c r="C78" s="2">
        <v>1990.0</v>
      </c>
      <c r="D78" s="9">
        <v>0.0</v>
      </c>
      <c r="E78" s="10" t="str">
        <f t="array" ref="E78">IFS(D78&lt;=$G$3,'calculated data '!$A$3,D78&lt;=$G$4,'calculated data '!$A$4,D78&lt;=$G$6,'calculated data '!$A$5,D78&gt;=$G$6,'calculated data '!$A$6)</f>
        <v>Low Demand Tier</v>
      </c>
      <c r="F78" s="10">
        <f t="shared" si="1"/>
        <v>-0.6631714749</v>
      </c>
    </row>
    <row r="79" ht="14.25" customHeight="1">
      <c r="A79" s="2" t="s">
        <v>43</v>
      </c>
      <c r="B79" s="2" t="s">
        <v>44</v>
      </c>
      <c r="C79" s="2">
        <v>1991.0</v>
      </c>
      <c r="D79" s="9">
        <v>0.0</v>
      </c>
      <c r="E79" s="10" t="str">
        <f t="array" ref="E79">IFS(D79&lt;=$G$3,'calculated data '!$A$3,D79&lt;=$G$4,'calculated data '!$A$4,D79&lt;=$G$6,'calculated data '!$A$5,D79&gt;=$G$6,'calculated data '!$A$6)</f>
        <v>Low Demand Tier</v>
      </c>
      <c r="F79" s="10">
        <f t="shared" si="1"/>
        <v>-0.6631714749</v>
      </c>
    </row>
    <row r="80" ht="14.25" customHeight="1">
      <c r="A80" s="2" t="s">
        <v>43</v>
      </c>
      <c r="B80" s="2" t="s">
        <v>44</v>
      </c>
      <c r="C80" s="2">
        <v>1992.0</v>
      </c>
      <c r="D80" s="9">
        <v>0.0</v>
      </c>
      <c r="E80" s="10" t="str">
        <f t="array" ref="E80">IFS(D80&lt;=$G$3,'calculated data '!$A$3,D80&lt;=$G$4,'calculated data '!$A$4,D80&lt;=$G$6,'calculated data '!$A$5,D80&gt;=$G$6,'calculated data '!$A$6)</f>
        <v>Low Demand Tier</v>
      </c>
      <c r="F80" s="10">
        <f t="shared" si="1"/>
        <v>-0.6631714749</v>
      </c>
    </row>
    <row r="81" ht="14.25" customHeight="1">
      <c r="A81" s="2" t="s">
        <v>43</v>
      </c>
      <c r="B81" s="2" t="s">
        <v>44</v>
      </c>
      <c r="C81" s="2">
        <v>1993.0</v>
      </c>
      <c r="D81" s="9">
        <v>0.0</v>
      </c>
      <c r="E81" s="10" t="str">
        <f t="array" ref="E81">IFS(D81&lt;=$G$3,'calculated data '!$A$3,D81&lt;=$G$4,'calculated data '!$A$4,D81&lt;=$G$6,'calculated data '!$A$5,D81&gt;=$G$6,'calculated data '!$A$6)</f>
        <v>Low Demand Tier</v>
      </c>
      <c r="F81" s="10">
        <f t="shared" si="1"/>
        <v>-0.6631714749</v>
      </c>
    </row>
    <row r="82" ht="14.25" customHeight="1">
      <c r="A82" s="2" t="s">
        <v>43</v>
      </c>
      <c r="B82" s="2" t="s">
        <v>44</v>
      </c>
      <c r="C82" s="2">
        <v>1994.0</v>
      </c>
      <c r="D82" s="9">
        <v>0.0</v>
      </c>
      <c r="E82" s="10" t="str">
        <f t="array" ref="E82">IFS(D82&lt;=$G$3,'calculated data '!$A$3,D82&lt;=$G$4,'calculated data '!$A$4,D82&lt;=$G$6,'calculated data '!$A$5,D82&gt;=$G$6,'calculated data '!$A$6)</f>
        <v>Low Demand Tier</v>
      </c>
      <c r="F82" s="10">
        <f t="shared" si="1"/>
        <v>-0.6631714749</v>
      </c>
    </row>
    <row r="83" ht="14.25" customHeight="1">
      <c r="A83" s="2" t="s">
        <v>43</v>
      </c>
      <c r="B83" s="2" t="s">
        <v>44</v>
      </c>
      <c r="C83" s="2">
        <v>1995.0</v>
      </c>
      <c r="D83" s="9">
        <v>0.0</v>
      </c>
      <c r="E83" s="10" t="str">
        <f t="array" ref="E83">IFS(D83&lt;=$G$3,'calculated data '!$A$3,D83&lt;=$G$4,'calculated data '!$A$4,D83&lt;=$G$6,'calculated data '!$A$5,D83&gt;=$G$6,'calculated data '!$A$6)</f>
        <v>Low Demand Tier</v>
      </c>
      <c r="F83" s="10">
        <f t="shared" si="1"/>
        <v>-0.6631714749</v>
      </c>
    </row>
    <row r="84" ht="14.25" customHeight="1">
      <c r="A84" s="2" t="s">
        <v>43</v>
      </c>
      <c r="B84" s="2" t="s">
        <v>44</v>
      </c>
      <c r="C84" s="2">
        <v>1996.0</v>
      </c>
      <c r="D84" s="9">
        <v>0.0</v>
      </c>
      <c r="E84" s="10" t="str">
        <f t="array" ref="E84">IFS(D84&lt;=$G$3,'calculated data '!$A$3,D84&lt;=$G$4,'calculated data '!$A$4,D84&lt;=$G$6,'calculated data '!$A$5,D84&gt;=$G$6,'calculated data '!$A$6)</f>
        <v>Low Demand Tier</v>
      </c>
      <c r="F84" s="10">
        <f t="shared" si="1"/>
        <v>-0.6631714749</v>
      </c>
    </row>
    <row r="85" ht="14.25" customHeight="1">
      <c r="A85" s="2" t="s">
        <v>43</v>
      </c>
      <c r="B85" s="2" t="s">
        <v>44</v>
      </c>
      <c r="C85" s="2">
        <v>1997.0</v>
      </c>
      <c r="D85" s="9">
        <v>0.0</v>
      </c>
      <c r="E85" s="10" t="str">
        <f t="array" ref="E85">IFS(D85&lt;=$G$3,'calculated data '!$A$3,D85&lt;=$G$4,'calculated data '!$A$4,D85&lt;=$G$6,'calculated data '!$A$5,D85&gt;=$G$6,'calculated data '!$A$6)</f>
        <v>Low Demand Tier</v>
      </c>
      <c r="F85" s="10">
        <f t="shared" si="1"/>
        <v>-0.6631714749</v>
      </c>
    </row>
    <row r="86" ht="14.25" customHeight="1">
      <c r="A86" s="2" t="s">
        <v>43</v>
      </c>
      <c r="B86" s="2" t="s">
        <v>44</v>
      </c>
      <c r="C86" s="2">
        <v>1998.0</v>
      </c>
      <c r="D86" s="9">
        <v>0.0</v>
      </c>
      <c r="E86" s="10" t="str">
        <f t="array" ref="E86">IFS(D86&lt;=$G$3,'calculated data '!$A$3,D86&lt;=$G$4,'calculated data '!$A$4,D86&lt;=$G$6,'calculated data '!$A$5,D86&gt;=$G$6,'calculated data '!$A$6)</f>
        <v>Low Demand Tier</v>
      </c>
      <c r="F86" s="10">
        <f t="shared" si="1"/>
        <v>-0.6631714749</v>
      </c>
    </row>
    <row r="87" ht="14.25" customHeight="1">
      <c r="A87" s="2" t="s">
        <v>43</v>
      </c>
      <c r="B87" s="2" t="s">
        <v>44</v>
      </c>
      <c r="C87" s="2">
        <v>1999.0</v>
      </c>
      <c r="D87" s="9">
        <v>0.0</v>
      </c>
      <c r="E87" s="10" t="str">
        <f t="array" ref="E87">IFS(D87&lt;=$G$3,'calculated data '!$A$3,D87&lt;=$G$4,'calculated data '!$A$4,D87&lt;=$G$6,'calculated data '!$A$5,D87&gt;=$G$6,'calculated data '!$A$6)</f>
        <v>Low Demand Tier</v>
      </c>
      <c r="F87" s="10">
        <f t="shared" si="1"/>
        <v>-0.6631714749</v>
      </c>
    </row>
    <row r="88" ht="14.25" customHeight="1">
      <c r="A88" s="2" t="s">
        <v>43</v>
      </c>
      <c r="B88" s="2" t="s">
        <v>44</v>
      </c>
      <c r="C88" s="2">
        <v>2000.0</v>
      </c>
      <c r="D88" s="9">
        <v>0.0</v>
      </c>
      <c r="E88" s="10" t="str">
        <f t="array" ref="E88">IFS(D88&lt;=$G$3,'calculated data '!$A$3,D88&lt;=$G$4,'calculated data '!$A$4,D88&lt;=$G$6,'calculated data '!$A$5,D88&gt;=$G$6,'calculated data '!$A$6)</f>
        <v>Low Demand Tier</v>
      </c>
      <c r="F88" s="10">
        <f t="shared" si="1"/>
        <v>-0.6631714749</v>
      </c>
    </row>
    <row r="89" ht="14.25" customHeight="1">
      <c r="A89" s="2" t="s">
        <v>43</v>
      </c>
      <c r="B89" s="2" t="s">
        <v>44</v>
      </c>
      <c r="C89" s="2">
        <v>2001.0</v>
      </c>
      <c r="D89" s="9">
        <v>0.0</v>
      </c>
      <c r="E89" s="10" t="str">
        <f t="array" ref="E89">IFS(D89&lt;=$G$3,'calculated data '!$A$3,D89&lt;=$G$4,'calculated data '!$A$4,D89&lt;=$G$6,'calculated data '!$A$5,D89&gt;=$G$6,'calculated data '!$A$6)</f>
        <v>Low Demand Tier</v>
      </c>
      <c r="F89" s="10">
        <f t="shared" si="1"/>
        <v>-0.6631714749</v>
      </c>
    </row>
    <row r="90" ht="14.25" customHeight="1">
      <c r="A90" s="2" t="s">
        <v>43</v>
      </c>
      <c r="B90" s="2" t="s">
        <v>44</v>
      </c>
      <c r="C90" s="2">
        <v>2002.0</v>
      </c>
      <c r="D90" s="9">
        <v>0.0</v>
      </c>
      <c r="E90" s="10" t="str">
        <f t="array" ref="E90">IFS(D90&lt;=$G$3,'calculated data '!$A$3,D90&lt;=$G$4,'calculated data '!$A$4,D90&lt;=$G$6,'calculated data '!$A$5,D90&gt;=$G$6,'calculated data '!$A$6)</f>
        <v>Low Demand Tier</v>
      </c>
      <c r="F90" s="10">
        <f t="shared" si="1"/>
        <v>-0.6631714749</v>
      </c>
    </row>
    <row r="91" ht="14.25" customHeight="1">
      <c r="A91" s="2" t="s">
        <v>43</v>
      </c>
      <c r="B91" s="2" t="s">
        <v>44</v>
      </c>
      <c r="C91" s="2">
        <v>2003.0</v>
      </c>
      <c r="D91" s="9">
        <v>0.0</v>
      </c>
      <c r="E91" s="10" t="str">
        <f t="array" ref="E91">IFS(D91&lt;=$G$3,'calculated data '!$A$3,D91&lt;=$G$4,'calculated data '!$A$4,D91&lt;=$G$6,'calculated data '!$A$5,D91&gt;=$G$6,'calculated data '!$A$6)</f>
        <v>Low Demand Tier</v>
      </c>
      <c r="F91" s="10">
        <f t="shared" si="1"/>
        <v>-0.6631714749</v>
      </c>
    </row>
    <row r="92" ht="14.25" customHeight="1">
      <c r="A92" s="2" t="s">
        <v>43</v>
      </c>
      <c r="B92" s="2" t="s">
        <v>44</v>
      </c>
      <c r="C92" s="2">
        <v>2004.0</v>
      </c>
      <c r="D92" s="9">
        <v>0.0</v>
      </c>
      <c r="E92" s="10" t="str">
        <f t="array" ref="E92">IFS(D92&lt;=$G$3,'calculated data '!$A$3,D92&lt;=$G$4,'calculated data '!$A$4,D92&lt;=$G$6,'calculated data '!$A$5,D92&gt;=$G$6,'calculated data '!$A$6)</f>
        <v>Low Demand Tier</v>
      </c>
      <c r="F92" s="10">
        <f t="shared" si="1"/>
        <v>-0.6631714749</v>
      </c>
    </row>
    <row r="93" ht="14.25" customHeight="1">
      <c r="A93" s="2" t="s">
        <v>43</v>
      </c>
      <c r="B93" s="2" t="s">
        <v>44</v>
      </c>
      <c r="C93" s="2">
        <v>2005.0</v>
      </c>
      <c r="D93" s="9">
        <v>0.0</v>
      </c>
      <c r="E93" s="10" t="str">
        <f t="array" ref="E93">IFS(D93&lt;=$G$3,'calculated data '!$A$3,D93&lt;=$G$4,'calculated data '!$A$4,D93&lt;=$G$6,'calculated data '!$A$5,D93&gt;=$G$6,'calculated data '!$A$6)</f>
        <v>Low Demand Tier</v>
      </c>
      <c r="F93" s="10">
        <f t="shared" si="1"/>
        <v>-0.6631714749</v>
      </c>
    </row>
    <row r="94" ht="14.25" customHeight="1">
      <c r="A94" s="2" t="s">
        <v>43</v>
      </c>
      <c r="B94" s="2" t="s">
        <v>44</v>
      </c>
      <c r="C94" s="2">
        <v>2006.0</v>
      </c>
      <c r="D94" s="9">
        <v>0.0</v>
      </c>
      <c r="E94" s="10" t="str">
        <f t="array" ref="E94">IFS(D94&lt;=$G$3,'calculated data '!$A$3,D94&lt;=$G$4,'calculated data '!$A$4,D94&lt;=$G$6,'calculated data '!$A$5,D94&gt;=$G$6,'calculated data '!$A$6)</f>
        <v>Low Demand Tier</v>
      </c>
      <c r="F94" s="10">
        <f t="shared" si="1"/>
        <v>-0.6631714749</v>
      </c>
    </row>
    <row r="95" ht="14.25" customHeight="1">
      <c r="A95" s="2" t="s">
        <v>43</v>
      </c>
      <c r="B95" s="2" t="s">
        <v>44</v>
      </c>
      <c r="C95" s="2">
        <v>2007.0</v>
      </c>
      <c r="D95" s="9">
        <v>0.0</v>
      </c>
      <c r="E95" s="10" t="str">
        <f t="array" ref="E95">IFS(D95&lt;=$G$3,'calculated data '!$A$3,D95&lt;=$G$4,'calculated data '!$A$4,D95&lt;=$G$6,'calculated data '!$A$5,D95&gt;=$G$6,'calculated data '!$A$6)</f>
        <v>Low Demand Tier</v>
      </c>
      <c r="F95" s="10">
        <f t="shared" si="1"/>
        <v>-0.6631714749</v>
      </c>
    </row>
    <row r="96" ht="14.25" customHeight="1">
      <c r="A96" s="2" t="s">
        <v>43</v>
      </c>
      <c r="B96" s="2" t="s">
        <v>44</v>
      </c>
      <c r="C96" s="2">
        <v>2008.0</v>
      </c>
      <c r="D96" s="9">
        <v>0.0</v>
      </c>
      <c r="E96" s="10" t="str">
        <f t="array" ref="E96">IFS(D96&lt;=$G$3,'calculated data '!$A$3,D96&lt;=$G$4,'calculated data '!$A$4,D96&lt;=$G$6,'calculated data '!$A$5,D96&gt;=$G$6,'calculated data '!$A$6)</f>
        <v>Low Demand Tier</v>
      </c>
      <c r="F96" s="10">
        <f t="shared" si="1"/>
        <v>-0.6631714749</v>
      </c>
    </row>
    <row r="97" ht="14.25" customHeight="1">
      <c r="A97" s="2" t="s">
        <v>43</v>
      </c>
      <c r="B97" s="2" t="s">
        <v>44</v>
      </c>
      <c r="C97" s="2">
        <v>2009.0</v>
      </c>
      <c r="D97" s="9">
        <v>0.0</v>
      </c>
      <c r="E97" s="10" t="str">
        <f t="array" ref="E97">IFS(D97&lt;=$G$3,'calculated data '!$A$3,D97&lt;=$G$4,'calculated data '!$A$4,D97&lt;=$G$6,'calculated data '!$A$5,D97&gt;=$G$6,'calculated data '!$A$6)</f>
        <v>Low Demand Tier</v>
      </c>
      <c r="F97" s="10">
        <f t="shared" si="1"/>
        <v>-0.6631714749</v>
      </c>
    </row>
    <row r="98" ht="14.25" customHeight="1">
      <c r="A98" s="2" t="s">
        <v>43</v>
      </c>
      <c r="B98" s="2" t="s">
        <v>44</v>
      </c>
      <c r="C98" s="2">
        <v>2010.0</v>
      </c>
      <c r="D98" s="9">
        <v>0.0</v>
      </c>
      <c r="E98" s="10" t="str">
        <f t="array" ref="E98">IFS(D98&lt;=$G$3,'calculated data '!$A$3,D98&lt;=$G$4,'calculated data '!$A$4,D98&lt;=$G$6,'calculated data '!$A$5,D98&gt;=$G$6,'calculated data '!$A$6)</f>
        <v>Low Demand Tier</v>
      </c>
      <c r="F98" s="10">
        <f t="shared" si="1"/>
        <v>-0.6631714749</v>
      </c>
    </row>
    <row r="99" ht="14.25" customHeight="1">
      <c r="A99" s="2" t="s">
        <v>43</v>
      </c>
      <c r="B99" s="2" t="s">
        <v>44</v>
      </c>
      <c r="C99" s="2">
        <v>2011.0</v>
      </c>
      <c r="D99" s="9">
        <v>0.0</v>
      </c>
      <c r="E99" s="10" t="str">
        <f t="array" ref="E99">IFS(D99&lt;=$G$3,'calculated data '!$A$3,D99&lt;=$G$4,'calculated data '!$A$4,D99&lt;=$G$6,'calculated data '!$A$5,D99&gt;=$G$6,'calculated data '!$A$6)</f>
        <v>Low Demand Tier</v>
      </c>
      <c r="F99" s="10">
        <f t="shared" si="1"/>
        <v>-0.6631714749</v>
      </c>
    </row>
    <row r="100" ht="14.25" customHeight="1">
      <c r="A100" s="2" t="s">
        <v>43</v>
      </c>
      <c r="B100" s="2" t="s">
        <v>44</v>
      </c>
      <c r="C100" s="2">
        <v>2012.0</v>
      </c>
      <c r="D100" s="9">
        <v>0.0</v>
      </c>
      <c r="E100" s="10" t="str">
        <f t="array" ref="E100">IFS(D100&lt;=$G$3,'calculated data '!$A$3,D100&lt;=$G$4,'calculated data '!$A$4,D100&lt;=$G$6,'calculated data '!$A$5,D100&gt;=$G$6,'calculated data '!$A$6)</f>
        <v>Low Demand Tier</v>
      </c>
      <c r="F100" s="10">
        <f t="shared" si="1"/>
        <v>-0.6631714749</v>
      </c>
    </row>
    <row r="101" ht="14.25" customHeight="1">
      <c r="A101" s="2" t="s">
        <v>43</v>
      </c>
      <c r="B101" s="2" t="s">
        <v>44</v>
      </c>
      <c r="C101" s="2">
        <v>2013.0</v>
      </c>
      <c r="D101" s="9">
        <v>0.0</v>
      </c>
      <c r="E101" s="10" t="str">
        <f t="array" ref="E101">IFS(D101&lt;=$G$3,'calculated data '!$A$3,D101&lt;=$G$4,'calculated data '!$A$4,D101&lt;=$G$6,'calculated data '!$A$5,D101&gt;=$G$6,'calculated data '!$A$6)</f>
        <v>Low Demand Tier</v>
      </c>
      <c r="F101" s="10">
        <f t="shared" si="1"/>
        <v>-0.6631714749</v>
      </c>
    </row>
    <row r="102" ht="14.25" customHeight="1">
      <c r="A102" s="2" t="s">
        <v>43</v>
      </c>
      <c r="B102" s="2" t="s">
        <v>44</v>
      </c>
      <c r="C102" s="2">
        <v>2014.0</v>
      </c>
      <c r="D102" s="9">
        <v>0.0</v>
      </c>
      <c r="E102" s="10" t="str">
        <f t="array" ref="E102">IFS(D102&lt;=$G$3,'calculated data '!$A$3,D102&lt;=$G$4,'calculated data '!$A$4,D102&lt;=$G$6,'calculated data '!$A$5,D102&gt;=$G$6,'calculated data '!$A$6)</f>
        <v>Low Demand Tier</v>
      </c>
      <c r="F102" s="10">
        <f t="shared" si="1"/>
        <v>-0.6631714749</v>
      </c>
    </row>
    <row r="103" ht="14.25" customHeight="1">
      <c r="A103" s="2" t="s">
        <v>43</v>
      </c>
      <c r="B103" s="2" t="s">
        <v>44</v>
      </c>
      <c r="C103" s="2">
        <v>2015.0</v>
      </c>
      <c r="D103" s="9">
        <v>0.0</v>
      </c>
      <c r="E103" s="10" t="str">
        <f t="array" ref="E103">IFS(D103&lt;=$G$3,'calculated data '!$A$3,D103&lt;=$G$4,'calculated data '!$A$4,D103&lt;=$G$6,'calculated data '!$A$5,D103&gt;=$G$6,'calculated data '!$A$6)</f>
        <v>Low Demand Tier</v>
      </c>
      <c r="F103" s="10">
        <f t="shared" si="1"/>
        <v>-0.6631714749</v>
      </c>
    </row>
    <row r="104" ht="14.25" customHeight="1">
      <c r="A104" s="2" t="s">
        <v>43</v>
      </c>
      <c r="B104" s="2" t="s">
        <v>44</v>
      </c>
      <c r="C104" s="2">
        <v>2016.0</v>
      </c>
      <c r="D104" s="9">
        <v>0.0</v>
      </c>
      <c r="E104" s="10" t="str">
        <f t="array" ref="E104">IFS(D104&lt;=$G$3,'calculated data '!$A$3,D104&lt;=$G$4,'calculated data '!$A$4,D104&lt;=$G$6,'calculated data '!$A$5,D104&gt;=$G$6,'calculated data '!$A$6)</f>
        <v>Low Demand Tier</v>
      </c>
      <c r="F104" s="10">
        <f t="shared" si="1"/>
        <v>-0.6631714749</v>
      </c>
    </row>
    <row r="105" ht="14.25" customHeight="1">
      <c r="A105" s="2" t="s">
        <v>43</v>
      </c>
      <c r="B105" s="2" t="s">
        <v>44</v>
      </c>
      <c r="C105" s="2">
        <v>2017.0</v>
      </c>
      <c r="D105" s="9">
        <v>0.0</v>
      </c>
      <c r="E105" s="10" t="str">
        <f t="array" ref="E105">IFS(D105&lt;=$G$3,'calculated data '!$A$3,D105&lt;=$G$4,'calculated data '!$A$4,D105&lt;=$G$6,'calculated data '!$A$5,D105&gt;=$G$6,'calculated data '!$A$6)</f>
        <v>Low Demand Tier</v>
      </c>
      <c r="F105" s="10">
        <f t="shared" si="1"/>
        <v>-0.6631714749</v>
      </c>
    </row>
    <row r="106" ht="14.25" customHeight="1">
      <c r="A106" s="2" t="s">
        <v>43</v>
      </c>
      <c r="B106" s="2" t="s">
        <v>44</v>
      </c>
      <c r="C106" s="2">
        <v>2018.0</v>
      </c>
      <c r="D106" s="9">
        <v>0.0</v>
      </c>
      <c r="E106" s="10" t="str">
        <f t="array" ref="E106">IFS(D106&lt;=$G$3,'calculated data '!$A$3,D106&lt;=$G$4,'calculated data '!$A$4,D106&lt;=$G$6,'calculated data '!$A$5,D106&gt;=$G$6,'calculated data '!$A$6)</f>
        <v>Low Demand Tier</v>
      </c>
      <c r="F106" s="10">
        <f t="shared" si="1"/>
        <v>-0.6631714749</v>
      </c>
    </row>
    <row r="107" ht="14.25" customHeight="1">
      <c r="A107" s="2" t="s">
        <v>43</v>
      </c>
      <c r="B107" s="2" t="s">
        <v>44</v>
      </c>
      <c r="C107" s="2">
        <v>2019.0</v>
      </c>
      <c r="D107" s="9">
        <v>0.0</v>
      </c>
      <c r="E107" s="10" t="str">
        <f t="array" ref="E107">IFS(D107&lt;=$G$3,'calculated data '!$A$3,D107&lt;=$G$4,'calculated data '!$A$4,D107&lt;=$G$6,'calculated data '!$A$5,D107&gt;=$G$6,'calculated data '!$A$6)</f>
        <v>Low Demand Tier</v>
      </c>
      <c r="F107" s="10">
        <f t="shared" si="1"/>
        <v>-0.6631714749</v>
      </c>
    </row>
    <row r="108" ht="14.25" customHeight="1">
      <c r="A108" s="2" t="s">
        <v>43</v>
      </c>
      <c r="B108" s="2" t="s">
        <v>44</v>
      </c>
      <c r="C108" s="2">
        <v>2020.0</v>
      </c>
      <c r="D108" s="9">
        <v>0.0</v>
      </c>
      <c r="E108" s="10" t="str">
        <f t="array" ref="E108">IFS(D108&lt;=$G$3,'calculated data '!$A$3,D108&lt;=$G$4,'calculated data '!$A$4,D108&lt;=$G$6,'calculated data '!$A$5,D108&gt;=$G$6,'calculated data '!$A$6)</f>
        <v>Low Demand Tier</v>
      </c>
      <c r="F108" s="10">
        <f t="shared" si="1"/>
        <v>-0.6631714749</v>
      </c>
    </row>
    <row r="109" ht="14.25" customHeight="1">
      <c r="A109" s="2" t="s">
        <v>43</v>
      </c>
      <c r="B109" s="2" t="s">
        <v>44</v>
      </c>
      <c r="C109" s="2">
        <v>2021.0</v>
      </c>
      <c r="D109" s="9">
        <v>0.0</v>
      </c>
      <c r="E109" s="10" t="str">
        <f t="array" ref="E109">IFS(D109&lt;=$G$3,'calculated data '!$A$3,D109&lt;=$G$4,'calculated data '!$A$4,D109&lt;=$G$6,'calculated data '!$A$5,D109&gt;=$G$6,'calculated data '!$A$6)</f>
        <v>Low Demand Tier</v>
      </c>
      <c r="F109" s="10">
        <f t="shared" si="1"/>
        <v>-0.6631714749</v>
      </c>
    </row>
    <row r="110" ht="14.25" customHeight="1">
      <c r="A110" s="2" t="s">
        <v>43</v>
      </c>
      <c r="B110" s="2" t="s">
        <v>44</v>
      </c>
      <c r="C110" s="2">
        <v>2022.0</v>
      </c>
      <c r="D110" s="9">
        <v>0.0</v>
      </c>
      <c r="E110" s="10" t="str">
        <f t="array" ref="E110">IFS(D110&lt;=$G$3,'calculated data '!$A$3,D110&lt;=$G$4,'calculated data '!$A$4,D110&lt;=$G$6,'calculated data '!$A$5,D110&gt;=$G$6,'calculated data '!$A$6)</f>
        <v>Low Demand Tier</v>
      </c>
      <c r="F110" s="10">
        <f t="shared" si="1"/>
        <v>-0.6631714749</v>
      </c>
    </row>
    <row r="111" ht="14.25" customHeight="1">
      <c r="A111" s="2" t="s">
        <v>43</v>
      </c>
      <c r="B111" s="2" t="s">
        <v>44</v>
      </c>
      <c r="C111" s="2">
        <v>2023.0</v>
      </c>
      <c r="D111" s="9">
        <v>0.0</v>
      </c>
      <c r="E111" s="10" t="str">
        <f t="array" ref="E111">IFS(D111&lt;=$G$3,'calculated data '!$A$3,D111&lt;=$G$4,'calculated data '!$A$4,D111&lt;=$G$6,'calculated data '!$A$5,D111&gt;=$G$6,'calculated data '!$A$6)</f>
        <v>Low Demand Tier</v>
      </c>
      <c r="F111" s="10">
        <f t="shared" si="1"/>
        <v>-0.6631714749</v>
      </c>
    </row>
    <row r="112" ht="14.25" customHeight="1">
      <c r="A112" s="2" t="s">
        <v>43</v>
      </c>
      <c r="B112" s="2" t="s">
        <v>44</v>
      </c>
      <c r="C112" s="2">
        <v>2024.0</v>
      </c>
      <c r="D112" s="9">
        <v>0.0</v>
      </c>
      <c r="E112" s="10" t="str">
        <f t="array" ref="E112">IFS(D112&lt;=$G$3,'calculated data '!$A$3,D112&lt;=$G$4,'calculated data '!$A$4,D112&lt;=$G$6,'calculated data '!$A$5,D112&gt;=$G$6,'calculated data '!$A$6)</f>
        <v>Low Demand Tier</v>
      </c>
      <c r="F112" s="10">
        <f t="shared" si="1"/>
        <v>-0.6631714749</v>
      </c>
    </row>
    <row r="113" ht="14.25" customHeight="1">
      <c r="A113" s="2" t="s">
        <v>45</v>
      </c>
      <c r="B113" s="2" t="s">
        <v>46</v>
      </c>
      <c r="C113" s="2">
        <v>2012.0</v>
      </c>
      <c r="D113" s="9">
        <v>0.0</v>
      </c>
      <c r="E113" s="10" t="str">
        <f t="array" ref="E113">IFS(D113&lt;=$G$3,'calculated data '!$A$3,D113&lt;=$G$4,'calculated data '!$A$4,D113&lt;=$G$6,'calculated data '!$A$5,D113&gt;=$G$6,'calculated data '!$A$6)</f>
        <v>Low Demand Tier</v>
      </c>
      <c r="F113" s="10">
        <f t="shared" si="1"/>
        <v>-0.6631714749</v>
      </c>
    </row>
    <row r="114" ht="14.25" customHeight="1">
      <c r="A114" s="2" t="s">
        <v>45</v>
      </c>
      <c r="B114" s="2" t="s">
        <v>46</v>
      </c>
      <c r="C114" s="2">
        <v>2013.0</v>
      </c>
      <c r="D114" s="9">
        <v>0.0</v>
      </c>
      <c r="E114" s="10" t="str">
        <f t="array" ref="E114">IFS(D114&lt;=$G$3,'calculated data '!$A$3,D114&lt;=$G$4,'calculated data '!$A$4,D114&lt;=$G$6,'calculated data '!$A$5,D114&gt;=$G$6,'calculated data '!$A$6)</f>
        <v>Low Demand Tier</v>
      </c>
      <c r="F114" s="10">
        <f t="shared" si="1"/>
        <v>-0.6631714749</v>
      </c>
    </row>
    <row r="115" ht="14.25" customHeight="1">
      <c r="A115" s="2" t="s">
        <v>45</v>
      </c>
      <c r="B115" s="2" t="s">
        <v>46</v>
      </c>
      <c r="C115" s="2">
        <v>2014.0</v>
      </c>
      <c r="D115" s="9">
        <v>0.0</v>
      </c>
      <c r="E115" s="10" t="str">
        <f t="array" ref="E115">IFS(D115&lt;=$G$3,'calculated data '!$A$3,D115&lt;=$G$4,'calculated data '!$A$4,D115&lt;=$G$6,'calculated data '!$A$5,D115&gt;=$G$6,'calculated data '!$A$6)</f>
        <v>Low Demand Tier</v>
      </c>
      <c r="F115" s="10">
        <f t="shared" si="1"/>
        <v>-0.6631714749</v>
      </c>
    </row>
    <row r="116" ht="14.25" customHeight="1">
      <c r="A116" s="2" t="s">
        <v>45</v>
      </c>
      <c r="B116" s="2" t="s">
        <v>46</v>
      </c>
      <c r="C116" s="2">
        <v>2015.0</v>
      </c>
      <c r="D116" s="9">
        <v>0.0</v>
      </c>
      <c r="E116" s="10" t="str">
        <f t="array" ref="E116">IFS(D116&lt;=$G$3,'calculated data '!$A$3,D116&lt;=$G$4,'calculated data '!$A$4,D116&lt;=$G$6,'calculated data '!$A$5,D116&gt;=$G$6,'calculated data '!$A$6)</f>
        <v>Low Demand Tier</v>
      </c>
      <c r="F116" s="10">
        <f t="shared" si="1"/>
        <v>-0.6631714749</v>
      </c>
    </row>
    <row r="117" ht="14.25" customHeight="1">
      <c r="A117" s="2" t="s">
        <v>45</v>
      </c>
      <c r="B117" s="2" t="s">
        <v>46</v>
      </c>
      <c r="C117" s="2">
        <v>2016.0</v>
      </c>
      <c r="D117" s="9">
        <v>0.0</v>
      </c>
      <c r="E117" s="10" t="str">
        <f t="array" ref="E117">IFS(D117&lt;=$G$3,'calculated data '!$A$3,D117&lt;=$G$4,'calculated data '!$A$4,D117&lt;=$G$6,'calculated data '!$A$5,D117&gt;=$G$6,'calculated data '!$A$6)</f>
        <v>Low Demand Tier</v>
      </c>
      <c r="F117" s="10">
        <f t="shared" si="1"/>
        <v>-0.6631714749</v>
      </c>
    </row>
    <row r="118" ht="14.25" customHeight="1">
      <c r="A118" s="2" t="s">
        <v>45</v>
      </c>
      <c r="B118" s="2" t="s">
        <v>46</v>
      </c>
      <c r="C118" s="2">
        <v>2017.0</v>
      </c>
      <c r="D118" s="9">
        <v>0.0</v>
      </c>
      <c r="E118" s="10" t="str">
        <f t="array" ref="E118">IFS(D118&lt;=$G$3,'calculated data '!$A$3,D118&lt;=$G$4,'calculated data '!$A$4,D118&lt;=$G$6,'calculated data '!$A$5,D118&gt;=$G$6,'calculated data '!$A$6)</f>
        <v>Low Demand Tier</v>
      </c>
      <c r="F118" s="10">
        <f t="shared" si="1"/>
        <v>-0.6631714749</v>
      </c>
    </row>
    <row r="119" ht="14.25" customHeight="1">
      <c r="A119" s="2" t="s">
        <v>45</v>
      </c>
      <c r="B119" s="2" t="s">
        <v>46</v>
      </c>
      <c r="C119" s="2">
        <v>2018.0</v>
      </c>
      <c r="D119" s="9">
        <v>0.0</v>
      </c>
      <c r="E119" s="10" t="str">
        <f t="array" ref="E119">IFS(D119&lt;=$G$3,'calculated data '!$A$3,D119&lt;=$G$4,'calculated data '!$A$4,D119&lt;=$G$6,'calculated data '!$A$5,D119&gt;=$G$6,'calculated data '!$A$6)</f>
        <v>Low Demand Tier</v>
      </c>
      <c r="F119" s="10">
        <f t="shared" si="1"/>
        <v>-0.6631714749</v>
      </c>
    </row>
    <row r="120" ht="14.25" customHeight="1">
      <c r="A120" s="2" t="s">
        <v>45</v>
      </c>
      <c r="B120" s="2" t="s">
        <v>46</v>
      </c>
      <c r="C120" s="2">
        <v>2019.0</v>
      </c>
      <c r="D120" s="9">
        <v>0.0</v>
      </c>
      <c r="E120" s="10" t="str">
        <f t="array" ref="E120">IFS(D120&lt;=$G$3,'calculated data '!$A$3,D120&lt;=$G$4,'calculated data '!$A$4,D120&lt;=$G$6,'calculated data '!$A$5,D120&gt;=$G$6,'calculated data '!$A$6)</f>
        <v>Low Demand Tier</v>
      </c>
      <c r="F120" s="10">
        <f t="shared" si="1"/>
        <v>-0.6631714749</v>
      </c>
    </row>
    <row r="121" ht="14.25" customHeight="1">
      <c r="A121" s="2" t="s">
        <v>45</v>
      </c>
      <c r="B121" s="2" t="s">
        <v>46</v>
      </c>
      <c r="C121" s="2">
        <v>2020.0</v>
      </c>
      <c r="D121" s="9">
        <v>0.0</v>
      </c>
      <c r="E121" s="10" t="str">
        <f t="array" ref="E121">IFS(D121&lt;=$G$3,'calculated data '!$A$3,D121&lt;=$G$4,'calculated data '!$A$4,D121&lt;=$G$6,'calculated data '!$A$5,D121&gt;=$G$6,'calculated data '!$A$6)</f>
        <v>Low Demand Tier</v>
      </c>
      <c r="F121" s="10">
        <f t="shared" si="1"/>
        <v>-0.6631714749</v>
      </c>
    </row>
    <row r="122" ht="14.25" customHeight="1">
      <c r="A122" s="2" t="s">
        <v>45</v>
      </c>
      <c r="B122" s="2" t="s">
        <v>46</v>
      </c>
      <c r="C122" s="2">
        <v>2021.0</v>
      </c>
      <c r="D122" s="9">
        <v>0.0</v>
      </c>
      <c r="E122" s="10" t="str">
        <f t="array" ref="E122">IFS(D122&lt;=$G$3,'calculated data '!$A$3,D122&lt;=$G$4,'calculated data '!$A$4,D122&lt;=$G$6,'calculated data '!$A$5,D122&gt;=$G$6,'calculated data '!$A$6)</f>
        <v>Low Demand Tier</v>
      </c>
      <c r="F122" s="10">
        <f t="shared" si="1"/>
        <v>-0.6631714749</v>
      </c>
    </row>
    <row r="123" ht="14.25" customHeight="1">
      <c r="A123" s="2" t="s">
        <v>45</v>
      </c>
      <c r="B123" s="2" t="s">
        <v>46</v>
      </c>
      <c r="C123" s="2">
        <v>2022.0</v>
      </c>
      <c r="D123" s="9">
        <v>0.0</v>
      </c>
      <c r="E123" s="10" t="str">
        <f t="array" ref="E123">IFS(D123&lt;=$G$3,'calculated data '!$A$3,D123&lt;=$G$4,'calculated data '!$A$4,D123&lt;=$G$6,'calculated data '!$A$5,D123&gt;=$G$6,'calculated data '!$A$6)</f>
        <v>Low Demand Tier</v>
      </c>
      <c r="F123" s="10">
        <f t="shared" si="1"/>
        <v>-0.6631714749</v>
      </c>
    </row>
    <row r="124" ht="14.25" customHeight="1">
      <c r="A124" s="2" t="s">
        <v>45</v>
      </c>
      <c r="B124" s="2" t="s">
        <v>46</v>
      </c>
      <c r="C124" s="2">
        <v>2023.0</v>
      </c>
      <c r="D124" s="9">
        <v>0.0</v>
      </c>
      <c r="E124" s="10" t="str">
        <f t="array" ref="E124">IFS(D124&lt;=$G$3,'calculated data '!$A$3,D124&lt;=$G$4,'calculated data '!$A$4,D124&lt;=$G$6,'calculated data '!$A$5,D124&gt;=$G$6,'calculated data '!$A$6)</f>
        <v>Low Demand Tier</v>
      </c>
      <c r="F124" s="10">
        <f t="shared" si="1"/>
        <v>-0.6631714749</v>
      </c>
    </row>
    <row r="125" ht="14.25" customHeight="1">
      <c r="A125" s="2" t="s">
        <v>45</v>
      </c>
      <c r="B125" s="2" t="s">
        <v>46</v>
      </c>
      <c r="C125" s="2">
        <v>2024.0</v>
      </c>
      <c r="D125" s="9">
        <v>0.0</v>
      </c>
      <c r="E125" s="10" t="str">
        <f t="array" ref="E125">IFS(D125&lt;=$G$3,'calculated data '!$A$3,D125&lt;=$G$4,'calculated data '!$A$4,D125&lt;=$G$6,'calculated data '!$A$5,D125&gt;=$G$6,'calculated data '!$A$6)</f>
        <v>Low Demand Tier</v>
      </c>
      <c r="F125" s="10">
        <f t="shared" si="1"/>
        <v>-0.6631714749</v>
      </c>
    </row>
    <row r="126" ht="14.25" customHeight="1">
      <c r="A126" s="2" t="s">
        <v>47</v>
      </c>
      <c r="B126" s="2" t="s">
        <v>48</v>
      </c>
      <c r="C126" s="2">
        <v>1980.0</v>
      </c>
      <c r="D126" s="9">
        <v>0.0</v>
      </c>
      <c r="E126" s="10" t="str">
        <f t="array" ref="E126">IFS(D126&lt;=$G$3,'calculated data '!$A$3,D126&lt;=$G$4,'calculated data '!$A$4,D126&lt;=$G$6,'calculated data '!$A$5,D126&gt;=$G$6,'calculated data '!$A$6)</f>
        <v>Low Demand Tier</v>
      </c>
      <c r="F126" s="10">
        <f t="shared" si="1"/>
        <v>-0.6631714749</v>
      </c>
    </row>
    <row r="127" ht="14.25" customHeight="1">
      <c r="A127" s="2" t="s">
        <v>47</v>
      </c>
      <c r="B127" s="2" t="s">
        <v>48</v>
      </c>
      <c r="C127" s="2">
        <v>1981.0</v>
      </c>
      <c r="D127" s="9">
        <v>0.0</v>
      </c>
      <c r="E127" s="10" t="str">
        <f t="array" ref="E127">IFS(D127&lt;=$G$3,'calculated data '!$A$3,D127&lt;=$G$4,'calculated data '!$A$4,D127&lt;=$G$6,'calculated data '!$A$5,D127&gt;=$G$6,'calculated data '!$A$6)</f>
        <v>Low Demand Tier</v>
      </c>
      <c r="F127" s="10">
        <f t="shared" si="1"/>
        <v>-0.6631714749</v>
      </c>
    </row>
    <row r="128" ht="14.25" customHeight="1">
      <c r="A128" s="2" t="s">
        <v>47</v>
      </c>
      <c r="B128" s="2" t="s">
        <v>48</v>
      </c>
      <c r="C128" s="2">
        <v>1982.0</v>
      </c>
      <c r="D128" s="9">
        <v>0.0</v>
      </c>
      <c r="E128" s="10" t="str">
        <f t="array" ref="E128">IFS(D128&lt;=$G$3,'calculated data '!$A$3,D128&lt;=$G$4,'calculated data '!$A$4,D128&lt;=$G$6,'calculated data '!$A$5,D128&gt;=$G$6,'calculated data '!$A$6)</f>
        <v>Low Demand Tier</v>
      </c>
      <c r="F128" s="10">
        <f t="shared" si="1"/>
        <v>-0.6631714749</v>
      </c>
    </row>
    <row r="129" ht="14.25" customHeight="1">
      <c r="A129" s="2" t="s">
        <v>47</v>
      </c>
      <c r="B129" s="2" t="s">
        <v>48</v>
      </c>
      <c r="C129" s="2">
        <v>1983.0</v>
      </c>
      <c r="D129" s="9">
        <v>0.0</v>
      </c>
      <c r="E129" s="10" t="str">
        <f t="array" ref="E129">IFS(D129&lt;=$G$3,'calculated data '!$A$3,D129&lt;=$G$4,'calculated data '!$A$4,D129&lt;=$G$6,'calculated data '!$A$5,D129&gt;=$G$6,'calculated data '!$A$6)</f>
        <v>Low Demand Tier</v>
      </c>
      <c r="F129" s="10">
        <f t="shared" si="1"/>
        <v>-0.6631714749</v>
      </c>
    </row>
    <row r="130" ht="14.25" customHeight="1">
      <c r="A130" s="2" t="s">
        <v>47</v>
      </c>
      <c r="B130" s="2" t="s">
        <v>48</v>
      </c>
      <c r="C130" s="2">
        <v>1984.0</v>
      </c>
      <c r="D130" s="9">
        <v>0.0</v>
      </c>
      <c r="E130" s="10" t="str">
        <f t="array" ref="E130">IFS(D130&lt;=$G$3,'calculated data '!$A$3,D130&lt;=$G$4,'calculated data '!$A$4,D130&lt;=$G$6,'calculated data '!$A$5,D130&gt;=$G$6,'calculated data '!$A$6)</f>
        <v>Low Demand Tier</v>
      </c>
      <c r="F130" s="10">
        <f t="shared" si="1"/>
        <v>-0.6631714749</v>
      </c>
    </row>
    <row r="131" ht="14.25" customHeight="1">
      <c r="A131" s="2" t="s">
        <v>47</v>
      </c>
      <c r="B131" s="2" t="s">
        <v>48</v>
      </c>
      <c r="C131" s="2">
        <v>1985.0</v>
      </c>
      <c r="D131" s="9">
        <v>0.0</v>
      </c>
      <c r="E131" s="10" t="str">
        <f t="array" ref="E131">IFS(D131&lt;=$G$3,'calculated data '!$A$3,D131&lt;=$G$4,'calculated data '!$A$4,D131&lt;=$G$6,'calculated data '!$A$5,D131&gt;=$G$6,'calculated data '!$A$6)</f>
        <v>Low Demand Tier</v>
      </c>
      <c r="F131" s="10">
        <f t="shared" si="1"/>
        <v>-0.6631714749</v>
      </c>
    </row>
    <row r="132" ht="14.25" customHeight="1">
      <c r="A132" s="2" t="s">
        <v>47</v>
      </c>
      <c r="B132" s="2" t="s">
        <v>48</v>
      </c>
      <c r="C132" s="2">
        <v>1986.0</v>
      </c>
      <c r="D132" s="9">
        <v>0.0</v>
      </c>
      <c r="E132" s="10" t="str">
        <f t="array" ref="E132">IFS(D132&lt;=$G$3,'calculated data '!$A$3,D132&lt;=$G$4,'calculated data '!$A$4,D132&lt;=$G$6,'calculated data '!$A$5,D132&gt;=$G$6,'calculated data '!$A$6)</f>
        <v>Low Demand Tier</v>
      </c>
      <c r="F132" s="10">
        <f t="shared" si="1"/>
        <v>-0.6631714749</v>
      </c>
    </row>
    <row r="133" ht="14.25" customHeight="1">
      <c r="A133" s="2" t="s">
        <v>47</v>
      </c>
      <c r="B133" s="2" t="s">
        <v>48</v>
      </c>
      <c r="C133" s="2">
        <v>1987.0</v>
      </c>
      <c r="D133" s="9">
        <v>0.0</v>
      </c>
      <c r="E133" s="10" t="str">
        <f t="array" ref="E133">IFS(D133&lt;=$G$3,'calculated data '!$A$3,D133&lt;=$G$4,'calculated data '!$A$4,D133&lt;=$G$6,'calculated data '!$A$5,D133&gt;=$G$6,'calculated data '!$A$6)</f>
        <v>Low Demand Tier</v>
      </c>
      <c r="F133" s="10">
        <f t="shared" si="1"/>
        <v>-0.6631714749</v>
      </c>
    </row>
    <row r="134" ht="14.25" customHeight="1">
      <c r="A134" s="2" t="s">
        <v>47</v>
      </c>
      <c r="B134" s="2" t="s">
        <v>48</v>
      </c>
      <c r="C134" s="2">
        <v>1988.0</v>
      </c>
      <c r="D134" s="9">
        <v>0.0</v>
      </c>
      <c r="E134" s="10" t="str">
        <f t="array" ref="E134">IFS(D134&lt;=$G$3,'calculated data '!$A$3,D134&lt;=$G$4,'calculated data '!$A$4,D134&lt;=$G$6,'calculated data '!$A$5,D134&gt;=$G$6,'calculated data '!$A$6)</f>
        <v>Low Demand Tier</v>
      </c>
      <c r="F134" s="10">
        <f t="shared" si="1"/>
        <v>-0.6631714749</v>
      </c>
    </row>
    <row r="135" ht="14.25" customHeight="1">
      <c r="A135" s="2" t="s">
        <v>47</v>
      </c>
      <c r="B135" s="2" t="s">
        <v>48</v>
      </c>
      <c r="C135" s="2">
        <v>1989.0</v>
      </c>
      <c r="D135" s="9">
        <v>0.0</v>
      </c>
      <c r="E135" s="10" t="str">
        <f t="array" ref="E135">IFS(D135&lt;=$G$3,'calculated data '!$A$3,D135&lt;=$G$4,'calculated data '!$A$4,D135&lt;=$G$6,'calculated data '!$A$5,D135&gt;=$G$6,'calculated data '!$A$6)</f>
        <v>Low Demand Tier</v>
      </c>
      <c r="F135" s="10">
        <f t="shared" si="1"/>
        <v>-0.6631714749</v>
      </c>
    </row>
    <row r="136" ht="14.25" customHeight="1">
      <c r="A136" s="2" t="s">
        <v>47</v>
      </c>
      <c r="B136" s="2" t="s">
        <v>48</v>
      </c>
      <c r="C136" s="2">
        <v>1990.0</v>
      </c>
      <c r="D136" s="9">
        <v>0.0</v>
      </c>
      <c r="E136" s="10" t="str">
        <f t="array" ref="E136">IFS(D136&lt;=$G$3,'calculated data '!$A$3,D136&lt;=$G$4,'calculated data '!$A$4,D136&lt;=$G$6,'calculated data '!$A$5,D136&gt;=$G$6,'calculated data '!$A$6)</f>
        <v>Low Demand Tier</v>
      </c>
      <c r="F136" s="10">
        <f t="shared" si="1"/>
        <v>-0.6631714749</v>
      </c>
    </row>
    <row r="137" ht="14.25" customHeight="1">
      <c r="A137" s="2" t="s">
        <v>47</v>
      </c>
      <c r="B137" s="2" t="s">
        <v>48</v>
      </c>
      <c r="C137" s="2">
        <v>1991.0</v>
      </c>
      <c r="D137" s="9">
        <v>0.0</v>
      </c>
      <c r="E137" s="10" t="str">
        <f t="array" ref="E137">IFS(D137&lt;=$G$3,'calculated data '!$A$3,D137&lt;=$G$4,'calculated data '!$A$4,D137&lt;=$G$6,'calculated data '!$A$5,D137&gt;=$G$6,'calculated data '!$A$6)</f>
        <v>Low Demand Tier</v>
      </c>
      <c r="F137" s="10">
        <f t="shared" si="1"/>
        <v>-0.6631714749</v>
      </c>
    </row>
    <row r="138" ht="14.25" customHeight="1">
      <c r="A138" s="2" t="s">
        <v>47</v>
      </c>
      <c r="B138" s="2" t="s">
        <v>48</v>
      </c>
      <c r="C138" s="2">
        <v>1992.0</v>
      </c>
      <c r="D138" s="9">
        <v>0.0</v>
      </c>
      <c r="E138" s="10" t="str">
        <f t="array" ref="E138">IFS(D138&lt;=$G$3,'calculated data '!$A$3,D138&lt;=$G$4,'calculated data '!$A$4,D138&lt;=$G$6,'calculated data '!$A$5,D138&gt;=$G$6,'calculated data '!$A$6)</f>
        <v>Low Demand Tier</v>
      </c>
      <c r="F138" s="10">
        <f t="shared" si="1"/>
        <v>-0.6631714749</v>
      </c>
    </row>
    <row r="139" ht="14.25" customHeight="1">
      <c r="A139" s="2" t="s">
        <v>47</v>
      </c>
      <c r="B139" s="2" t="s">
        <v>48</v>
      </c>
      <c r="C139" s="2">
        <v>1993.0</v>
      </c>
      <c r="D139" s="9">
        <v>0.0</v>
      </c>
      <c r="E139" s="10" t="str">
        <f t="array" ref="E139">IFS(D139&lt;=$G$3,'calculated data '!$A$3,D139&lt;=$G$4,'calculated data '!$A$4,D139&lt;=$G$6,'calculated data '!$A$5,D139&gt;=$G$6,'calculated data '!$A$6)</f>
        <v>Low Demand Tier</v>
      </c>
      <c r="F139" s="10">
        <f t="shared" si="1"/>
        <v>-0.6631714749</v>
      </c>
    </row>
    <row r="140" ht="14.25" customHeight="1">
      <c r="A140" s="2" t="s">
        <v>47</v>
      </c>
      <c r="B140" s="2" t="s">
        <v>48</v>
      </c>
      <c r="C140" s="2">
        <v>1994.0</v>
      </c>
      <c r="D140" s="9">
        <v>0.0</v>
      </c>
      <c r="E140" s="10" t="str">
        <f t="array" ref="E140">IFS(D140&lt;=$G$3,'calculated data '!$A$3,D140&lt;=$G$4,'calculated data '!$A$4,D140&lt;=$G$6,'calculated data '!$A$5,D140&gt;=$G$6,'calculated data '!$A$6)</f>
        <v>Low Demand Tier</v>
      </c>
      <c r="F140" s="10">
        <f t="shared" si="1"/>
        <v>-0.6631714749</v>
      </c>
    </row>
    <row r="141" ht="14.25" customHeight="1">
      <c r="A141" s="2" t="s">
        <v>49</v>
      </c>
      <c r="B141" s="2" t="s">
        <v>50</v>
      </c>
      <c r="C141" s="2">
        <v>1980.0</v>
      </c>
      <c r="D141" s="9">
        <v>0.0</v>
      </c>
      <c r="E141" s="10" t="str">
        <f t="array" ref="E141">IFS(D141&lt;=$G$3,'calculated data '!$A$3,D141&lt;=$G$4,'calculated data '!$A$4,D141&lt;=$G$6,'calculated data '!$A$5,D141&gt;=$G$6,'calculated data '!$A$6)</f>
        <v>Low Demand Tier</v>
      </c>
      <c r="F141" s="10">
        <f t="shared" si="1"/>
        <v>-0.6631714749</v>
      </c>
    </row>
    <row r="142" ht="14.25" customHeight="1">
      <c r="A142" s="2" t="s">
        <v>49</v>
      </c>
      <c r="B142" s="2" t="s">
        <v>50</v>
      </c>
      <c r="C142" s="2">
        <v>1981.0</v>
      </c>
      <c r="D142" s="9">
        <v>0.0</v>
      </c>
      <c r="E142" s="10" t="str">
        <f t="array" ref="E142">IFS(D142&lt;=$G$3,'calculated data '!$A$3,D142&lt;=$G$4,'calculated data '!$A$4,D142&lt;=$G$6,'calculated data '!$A$5,D142&gt;=$G$6,'calculated data '!$A$6)</f>
        <v>Low Demand Tier</v>
      </c>
      <c r="F142" s="10">
        <f t="shared" si="1"/>
        <v>-0.6631714749</v>
      </c>
    </row>
    <row r="143" ht="14.25" customHeight="1">
      <c r="A143" s="2" t="s">
        <v>49</v>
      </c>
      <c r="B143" s="2" t="s">
        <v>50</v>
      </c>
      <c r="C143" s="2">
        <v>1982.0</v>
      </c>
      <c r="D143" s="9">
        <v>0.0</v>
      </c>
      <c r="E143" s="10" t="str">
        <f t="array" ref="E143">IFS(D143&lt;=$G$3,'calculated data '!$A$3,D143&lt;=$G$4,'calculated data '!$A$4,D143&lt;=$G$6,'calculated data '!$A$5,D143&gt;=$G$6,'calculated data '!$A$6)</f>
        <v>Low Demand Tier</v>
      </c>
      <c r="F143" s="10">
        <f t="shared" si="1"/>
        <v>-0.6631714749</v>
      </c>
    </row>
    <row r="144" ht="14.25" customHeight="1">
      <c r="A144" s="2" t="s">
        <v>49</v>
      </c>
      <c r="B144" s="2" t="s">
        <v>50</v>
      </c>
      <c r="C144" s="2">
        <v>1983.0</v>
      </c>
      <c r="D144" s="9">
        <v>0.0</v>
      </c>
      <c r="E144" s="10" t="str">
        <f t="array" ref="E144">IFS(D144&lt;=$G$3,'calculated data '!$A$3,D144&lt;=$G$4,'calculated data '!$A$4,D144&lt;=$G$6,'calculated data '!$A$5,D144&gt;=$G$6,'calculated data '!$A$6)</f>
        <v>Low Demand Tier</v>
      </c>
      <c r="F144" s="10">
        <f t="shared" si="1"/>
        <v>-0.6631714749</v>
      </c>
    </row>
    <row r="145" ht="14.25" customHeight="1">
      <c r="A145" s="2" t="s">
        <v>49</v>
      </c>
      <c r="B145" s="2" t="s">
        <v>50</v>
      </c>
      <c r="C145" s="2">
        <v>1984.0</v>
      </c>
      <c r="D145" s="9">
        <v>0.0</v>
      </c>
      <c r="E145" s="10" t="str">
        <f t="array" ref="E145">IFS(D145&lt;=$G$3,'calculated data '!$A$3,D145&lt;=$G$4,'calculated data '!$A$4,D145&lt;=$G$6,'calculated data '!$A$5,D145&gt;=$G$6,'calculated data '!$A$6)</f>
        <v>Low Demand Tier</v>
      </c>
      <c r="F145" s="10">
        <f t="shared" si="1"/>
        <v>-0.6631714749</v>
      </c>
    </row>
    <row r="146" ht="14.25" customHeight="1">
      <c r="A146" s="2" t="s">
        <v>49</v>
      </c>
      <c r="B146" s="2" t="s">
        <v>50</v>
      </c>
      <c r="C146" s="2">
        <v>1985.0</v>
      </c>
      <c r="D146" s="9">
        <v>0.0</v>
      </c>
      <c r="E146" s="10" t="str">
        <f t="array" ref="E146">IFS(D146&lt;=$G$3,'calculated data '!$A$3,D146&lt;=$G$4,'calculated data '!$A$4,D146&lt;=$G$6,'calculated data '!$A$5,D146&gt;=$G$6,'calculated data '!$A$6)</f>
        <v>Low Demand Tier</v>
      </c>
      <c r="F146" s="10">
        <f t="shared" si="1"/>
        <v>-0.6631714749</v>
      </c>
    </row>
    <row r="147" ht="14.25" customHeight="1">
      <c r="A147" s="2" t="s">
        <v>49</v>
      </c>
      <c r="B147" s="2" t="s">
        <v>50</v>
      </c>
      <c r="C147" s="2">
        <v>1986.0</v>
      </c>
      <c r="D147" s="9">
        <v>0.0</v>
      </c>
      <c r="E147" s="10" t="str">
        <f t="array" ref="E147">IFS(D147&lt;=$G$3,'calculated data '!$A$3,D147&lt;=$G$4,'calculated data '!$A$4,D147&lt;=$G$6,'calculated data '!$A$5,D147&gt;=$G$6,'calculated data '!$A$6)</f>
        <v>Low Demand Tier</v>
      </c>
      <c r="F147" s="10">
        <f t="shared" si="1"/>
        <v>-0.6631714749</v>
      </c>
    </row>
    <row r="148" ht="14.25" customHeight="1">
      <c r="A148" s="2" t="s">
        <v>49</v>
      </c>
      <c r="B148" s="2" t="s">
        <v>50</v>
      </c>
      <c r="C148" s="2">
        <v>1987.0</v>
      </c>
      <c r="D148" s="9">
        <v>0.0</v>
      </c>
      <c r="E148" s="10" t="str">
        <f t="array" ref="E148">IFS(D148&lt;=$G$3,'calculated data '!$A$3,D148&lt;=$G$4,'calculated data '!$A$4,D148&lt;=$G$6,'calculated data '!$A$5,D148&gt;=$G$6,'calculated data '!$A$6)</f>
        <v>Low Demand Tier</v>
      </c>
      <c r="F148" s="10">
        <f t="shared" si="1"/>
        <v>-0.6631714749</v>
      </c>
    </row>
    <row r="149" ht="14.25" customHeight="1">
      <c r="A149" s="2" t="s">
        <v>49</v>
      </c>
      <c r="B149" s="2" t="s">
        <v>50</v>
      </c>
      <c r="C149" s="2">
        <v>1988.0</v>
      </c>
      <c r="D149" s="9">
        <v>0.0</v>
      </c>
      <c r="E149" s="10" t="str">
        <f t="array" ref="E149">IFS(D149&lt;=$G$3,'calculated data '!$A$3,D149&lt;=$G$4,'calculated data '!$A$4,D149&lt;=$G$6,'calculated data '!$A$5,D149&gt;=$G$6,'calculated data '!$A$6)</f>
        <v>Low Demand Tier</v>
      </c>
      <c r="F149" s="10">
        <f t="shared" si="1"/>
        <v>-0.6631714749</v>
      </c>
    </row>
    <row r="150" ht="14.25" customHeight="1">
      <c r="A150" s="2" t="s">
        <v>49</v>
      </c>
      <c r="B150" s="2" t="s">
        <v>50</v>
      </c>
      <c r="C150" s="2">
        <v>1989.0</v>
      </c>
      <c r="D150" s="9">
        <v>0.0</v>
      </c>
      <c r="E150" s="10" t="str">
        <f t="array" ref="E150">IFS(D150&lt;=$G$3,'calculated data '!$A$3,D150&lt;=$G$4,'calculated data '!$A$4,D150&lt;=$G$6,'calculated data '!$A$5,D150&gt;=$G$6,'calculated data '!$A$6)</f>
        <v>Low Demand Tier</v>
      </c>
      <c r="F150" s="10">
        <f t="shared" si="1"/>
        <v>-0.6631714749</v>
      </c>
    </row>
    <row r="151" ht="14.25" customHeight="1">
      <c r="A151" s="2" t="s">
        <v>49</v>
      </c>
      <c r="B151" s="2" t="s">
        <v>50</v>
      </c>
      <c r="C151" s="2">
        <v>1990.0</v>
      </c>
      <c r="D151" s="9">
        <v>0.0</v>
      </c>
      <c r="E151" s="10" t="str">
        <f t="array" ref="E151">IFS(D151&lt;=$G$3,'calculated data '!$A$3,D151&lt;=$G$4,'calculated data '!$A$4,D151&lt;=$G$6,'calculated data '!$A$5,D151&gt;=$G$6,'calculated data '!$A$6)</f>
        <v>Low Demand Tier</v>
      </c>
      <c r="F151" s="10">
        <f t="shared" si="1"/>
        <v>-0.6631714749</v>
      </c>
    </row>
    <row r="152" ht="14.25" customHeight="1">
      <c r="A152" s="2" t="s">
        <v>49</v>
      </c>
      <c r="B152" s="2" t="s">
        <v>50</v>
      </c>
      <c r="C152" s="2">
        <v>1991.0</v>
      </c>
      <c r="D152" s="9">
        <v>0.0</v>
      </c>
      <c r="E152" s="10" t="str">
        <f t="array" ref="E152">IFS(D152&lt;=$G$3,'calculated data '!$A$3,D152&lt;=$G$4,'calculated data '!$A$4,D152&lt;=$G$6,'calculated data '!$A$5,D152&gt;=$G$6,'calculated data '!$A$6)</f>
        <v>Low Demand Tier</v>
      </c>
      <c r="F152" s="10">
        <f t="shared" si="1"/>
        <v>-0.6631714749</v>
      </c>
    </row>
    <row r="153" ht="14.25" customHeight="1">
      <c r="A153" s="2" t="s">
        <v>49</v>
      </c>
      <c r="B153" s="2" t="s">
        <v>50</v>
      </c>
      <c r="C153" s="2">
        <v>1992.0</v>
      </c>
      <c r="D153" s="9">
        <v>0.0</v>
      </c>
      <c r="E153" s="10" t="str">
        <f t="array" ref="E153">IFS(D153&lt;=$G$3,'calculated data '!$A$3,D153&lt;=$G$4,'calculated data '!$A$4,D153&lt;=$G$6,'calculated data '!$A$5,D153&gt;=$G$6,'calculated data '!$A$6)</f>
        <v>Low Demand Tier</v>
      </c>
      <c r="F153" s="10">
        <f t="shared" si="1"/>
        <v>-0.6631714749</v>
      </c>
    </row>
    <row r="154" ht="14.25" customHeight="1">
      <c r="A154" s="2" t="s">
        <v>49</v>
      </c>
      <c r="B154" s="2" t="s">
        <v>50</v>
      </c>
      <c r="C154" s="2">
        <v>1993.0</v>
      </c>
      <c r="D154" s="9">
        <v>0.0</v>
      </c>
      <c r="E154" s="10" t="str">
        <f t="array" ref="E154">IFS(D154&lt;=$G$3,'calculated data '!$A$3,D154&lt;=$G$4,'calculated data '!$A$4,D154&lt;=$G$6,'calculated data '!$A$5,D154&gt;=$G$6,'calculated data '!$A$6)</f>
        <v>Low Demand Tier</v>
      </c>
      <c r="F154" s="10">
        <f t="shared" si="1"/>
        <v>-0.6631714749</v>
      </c>
    </row>
    <row r="155" ht="14.25" customHeight="1">
      <c r="A155" s="2" t="s">
        <v>49</v>
      </c>
      <c r="B155" s="2" t="s">
        <v>50</v>
      </c>
      <c r="C155" s="2">
        <v>1994.0</v>
      </c>
      <c r="D155" s="9">
        <v>0.0</v>
      </c>
      <c r="E155" s="10" t="str">
        <f t="array" ref="E155">IFS(D155&lt;=$G$3,'calculated data '!$A$3,D155&lt;=$G$4,'calculated data '!$A$4,D155&lt;=$G$6,'calculated data '!$A$5,D155&gt;=$G$6,'calculated data '!$A$6)</f>
        <v>Low Demand Tier</v>
      </c>
      <c r="F155" s="10">
        <f t="shared" si="1"/>
        <v>-0.6631714749</v>
      </c>
    </row>
    <row r="156" ht="14.25" customHeight="1">
      <c r="A156" s="2" t="s">
        <v>49</v>
      </c>
      <c r="B156" s="2" t="s">
        <v>50</v>
      </c>
      <c r="C156" s="2">
        <v>1995.0</v>
      </c>
      <c r="D156" s="9">
        <v>0.0</v>
      </c>
      <c r="E156" s="10" t="str">
        <f t="array" ref="E156">IFS(D156&lt;=$G$3,'calculated data '!$A$3,D156&lt;=$G$4,'calculated data '!$A$4,D156&lt;=$G$6,'calculated data '!$A$5,D156&gt;=$G$6,'calculated data '!$A$6)</f>
        <v>Low Demand Tier</v>
      </c>
      <c r="F156" s="10">
        <f t="shared" si="1"/>
        <v>-0.6631714749</v>
      </c>
    </row>
    <row r="157" ht="14.25" customHeight="1">
      <c r="A157" s="2" t="s">
        <v>49</v>
      </c>
      <c r="B157" s="2" t="s">
        <v>50</v>
      </c>
      <c r="C157" s="2">
        <v>1996.0</v>
      </c>
      <c r="D157" s="9">
        <v>0.0</v>
      </c>
      <c r="E157" s="10" t="str">
        <f t="array" ref="E157">IFS(D157&lt;=$G$3,'calculated data '!$A$3,D157&lt;=$G$4,'calculated data '!$A$4,D157&lt;=$G$6,'calculated data '!$A$5,D157&gt;=$G$6,'calculated data '!$A$6)</f>
        <v>Low Demand Tier</v>
      </c>
      <c r="F157" s="10">
        <f t="shared" si="1"/>
        <v>-0.6631714749</v>
      </c>
    </row>
    <row r="158" ht="14.25" customHeight="1">
      <c r="A158" s="2" t="s">
        <v>49</v>
      </c>
      <c r="B158" s="2" t="s">
        <v>50</v>
      </c>
      <c r="C158" s="2">
        <v>1997.0</v>
      </c>
      <c r="D158" s="9">
        <v>0.0</v>
      </c>
      <c r="E158" s="10" t="str">
        <f t="array" ref="E158">IFS(D158&lt;=$G$3,'calculated data '!$A$3,D158&lt;=$G$4,'calculated data '!$A$4,D158&lt;=$G$6,'calculated data '!$A$5,D158&gt;=$G$6,'calculated data '!$A$6)</f>
        <v>Low Demand Tier</v>
      </c>
      <c r="F158" s="10">
        <f t="shared" si="1"/>
        <v>-0.6631714749</v>
      </c>
    </row>
    <row r="159" ht="14.25" customHeight="1">
      <c r="A159" s="2" t="s">
        <v>49</v>
      </c>
      <c r="B159" s="2" t="s">
        <v>50</v>
      </c>
      <c r="C159" s="2">
        <v>1998.0</v>
      </c>
      <c r="D159" s="9">
        <v>0.0</v>
      </c>
      <c r="E159" s="10" t="str">
        <f t="array" ref="E159">IFS(D159&lt;=$G$3,'calculated data '!$A$3,D159&lt;=$G$4,'calculated data '!$A$4,D159&lt;=$G$6,'calculated data '!$A$5,D159&gt;=$G$6,'calculated data '!$A$6)</f>
        <v>Low Demand Tier</v>
      </c>
      <c r="F159" s="10">
        <f t="shared" si="1"/>
        <v>-0.6631714749</v>
      </c>
    </row>
    <row r="160" ht="14.25" customHeight="1">
      <c r="A160" s="2" t="s">
        <v>49</v>
      </c>
      <c r="B160" s="2" t="s">
        <v>50</v>
      </c>
      <c r="C160" s="2">
        <v>1999.0</v>
      </c>
      <c r="D160" s="9">
        <v>0.0</v>
      </c>
      <c r="E160" s="10" t="str">
        <f t="array" ref="E160">IFS(D160&lt;=$G$3,'calculated data '!$A$3,D160&lt;=$G$4,'calculated data '!$A$4,D160&lt;=$G$6,'calculated data '!$A$5,D160&gt;=$G$6,'calculated data '!$A$6)</f>
        <v>Low Demand Tier</v>
      </c>
      <c r="F160" s="10">
        <f t="shared" si="1"/>
        <v>-0.6631714749</v>
      </c>
    </row>
    <row r="161" ht="14.25" customHeight="1">
      <c r="A161" s="2" t="s">
        <v>49</v>
      </c>
      <c r="B161" s="2" t="s">
        <v>50</v>
      </c>
      <c r="C161" s="2">
        <v>2000.0</v>
      </c>
      <c r="D161" s="9">
        <v>0.0</v>
      </c>
      <c r="E161" s="10" t="str">
        <f t="array" ref="E161">IFS(D161&lt;=$G$3,'calculated data '!$A$3,D161&lt;=$G$4,'calculated data '!$A$4,D161&lt;=$G$6,'calculated data '!$A$5,D161&gt;=$G$6,'calculated data '!$A$6)</f>
        <v>Low Demand Tier</v>
      </c>
      <c r="F161" s="10">
        <f t="shared" si="1"/>
        <v>-0.6631714749</v>
      </c>
    </row>
    <row r="162" ht="14.25" customHeight="1">
      <c r="A162" s="2" t="s">
        <v>49</v>
      </c>
      <c r="B162" s="2" t="s">
        <v>50</v>
      </c>
      <c r="C162" s="2">
        <v>2001.0</v>
      </c>
      <c r="D162" s="9">
        <v>0.0</v>
      </c>
      <c r="E162" s="10" t="str">
        <f t="array" ref="E162">IFS(D162&lt;=$G$3,'calculated data '!$A$3,D162&lt;=$G$4,'calculated data '!$A$4,D162&lt;=$G$6,'calculated data '!$A$5,D162&gt;=$G$6,'calculated data '!$A$6)</f>
        <v>Low Demand Tier</v>
      </c>
      <c r="F162" s="10">
        <f t="shared" si="1"/>
        <v>-0.6631714749</v>
      </c>
    </row>
    <row r="163" ht="14.25" customHeight="1">
      <c r="A163" s="2" t="s">
        <v>49</v>
      </c>
      <c r="B163" s="2" t="s">
        <v>50</v>
      </c>
      <c r="C163" s="2">
        <v>2002.0</v>
      </c>
      <c r="D163" s="9">
        <v>0.0</v>
      </c>
      <c r="E163" s="10" t="str">
        <f t="array" ref="E163">IFS(D163&lt;=$G$3,'calculated data '!$A$3,D163&lt;=$G$4,'calculated data '!$A$4,D163&lt;=$G$6,'calculated data '!$A$5,D163&gt;=$G$6,'calculated data '!$A$6)</f>
        <v>Low Demand Tier</v>
      </c>
      <c r="F163" s="10">
        <f t="shared" si="1"/>
        <v>-0.6631714749</v>
      </c>
    </row>
    <row r="164" ht="14.25" customHeight="1">
      <c r="A164" s="2" t="s">
        <v>49</v>
      </c>
      <c r="B164" s="2" t="s">
        <v>50</v>
      </c>
      <c r="C164" s="2">
        <v>2003.0</v>
      </c>
      <c r="D164" s="9">
        <v>0.0</v>
      </c>
      <c r="E164" s="10" t="str">
        <f t="array" ref="E164">IFS(D164&lt;=$G$3,'calculated data '!$A$3,D164&lt;=$G$4,'calculated data '!$A$4,D164&lt;=$G$6,'calculated data '!$A$5,D164&gt;=$G$6,'calculated data '!$A$6)</f>
        <v>Low Demand Tier</v>
      </c>
      <c r="F164" s="10">
        <f t="shared" si="1"/>
        <v>-0.6631714749</v>
      </c>
    </row>
    <row r="165" ht="14.25" customHeight="1">
      <c r="A165" s="2" t="s">
        <v>49</v>
      </c>
      <c r="B165" s="2" t="s">
        <v>50</v>
      </c>
      <c r="C165" s="2">
        <v>2004.0</v>
      </c>
      <c r="D165" s="9">
        <v>0.0</v>
      </c>
      <c r="E165" s="10" t="str">
        <f t="array" ref="E165">IFS(D165&lt;=$G$3,'calculated data '!$A$3,D165&lt;=$G$4,'calculated data '!$A$4,D165&lt;=$G$6,'calculated data '!$A$5,D165&gt;=$G$6,'calculated data '!$A$6)</f>
        <v>Low Demand Tier</v>
      </c>
      <c r="F165" s="10">
        <f t="shared" si="1"/>
        <v>-0.6631714749</v>
      </c>
    </row>
    <row r="166" ht="14.25" customHeight="1">
      <c r="A166" s="2" t="s">
        <v>49</v>
      </c>
      <c r="B166" s="2" t="s">
        <v>50</v>
      </c>
      <c r="C166" s="2">
        <v>2005.0</v>
      </c>
      <c r="D166" s="9">
        <v>0.0</v>
      </c>
      <c r="E166" s="10" t="str">
        <f t="array" ref="E166">IFS(D166&lt;=$G$3,'calculated data '!$A$3,D166&lt;=$G$4,'calculated data '!$A$4,D166&lt;=$G$6,'calculated data '!$A$5,D166&gt;=$G$6,'calculated data '!$A$6)</f>
        <v>Low Demand Tier</v>
      </c>
      <c r="F166" s="10">
        <f t="shared" si="1"/>
        <v>-0.6631714749</v>
      </c>
    </row>
    <row r="167" ht="14.25" customHeight="1">
      <c r="A167" s="2" t="s">
        <v>49</v>
      </c>
      <c r="B167" s="2" t="s">
        <v>50</v>
      </c>
      <c r="C167" s="2">
        <v>2006.0</v>
      </c>
      <c r="D167" s="9">
        <v>0.0</v>
      </c>
      <c r="E167" s="10" t="str">
        <f t="array" ref="E167">IFS(D167&lt;=$G$3,'calculated data '!$A$3,D167&lt;=$G$4,'calculated data '!$A$4,D167&lt;=$G$6,'calculated data '!$A$5,D167&gt;=$G$6,'calculated data '!$A$6)</f>
        <v>Low Demand Tier</v>
      </c>
      <c r="F167" s="10">
        <f t="shared" si="1"/>
        <v>-0.6631714749</v>
      </c>
    </row>
    <row r="168" ht="14.25" customHeight="1">
      <c r="A168" s="2" t="s">
        <v>49</v>
      </c>
      <c r="B168" s="2" t="s">
        <v>50</v>
      </c>
      <c r="C168" s="2">
        <v>2007.0</v>
      </c>
      <c r="D168" s="9">
        <v>0.0</v>
      </c>
      <c r="E168" s="10" t="str">
        <f t="array" ref="E168">IFS(D168&lt;=$G$3,'calculated data '!$A$3,D168&lt;=$G$4,'calculated data '!$A$4,D168&lt;=$G$6,'calculated data '!$A$5,D168&gt;=$G$6,'calculated data '!$A$6)</f>
        <v>Low Demand Tier</v>
      </c>
      <c r="F168" s="10">
        <f t="shared" si="1"/>
        <v>-0.6631714749</v>
      </c>
    </row>
    <row r="169" ht="14.25" customHeight="1">
      <c r="A169" s="2" t="s">
        <v>49</v>
      </c>
      <c r="B169" s="2" t="s">
        <v>50</v>
      </c>
      <c r="C169" s="2">
        <v>2008.0</v>
      </c>
      <c r="D169" s="9">
        <v>0.0</v>
      </c>
      <c r="E169" s="10" t="str">
        <f t="array" ref="E169">IFS(D169&lt;=$G$3,'calculated data '!$A$3,D169&lt;=$G$4,'calculated data '!$A$4,D169&lt;=$G$6,'calculated data '!$A$5,D169&gt;=$G$6,'calculated data '!$A$6)</f>
        <v>Low Demand Tier</v>
      </c>
      <c r="F169" s="10">
        <f t="shared" si="1"/>
        <v>-0.6631714749</v>
      </c>
    </row>
    <row r="170" ht="14.25" customHeight="1">
      <c r="A170" s="2" t="s">
        <v>49</v>
      </c>
      <c r="B170" s="2" t="s">
        <v>50</v>
      </c>
      <c r="C170" s="2">
        <v>2009.0</v>
      </c>
      <c r="D170" s="9">
        <v>0.0</v>
      </c>
      <c r="E170" s="10" t="str">
        <f t="array" ref="E170">IFS(D170&lt;=$G$3,'calculated data '!$A$3,D170&lt;=$G$4,'calculated data '!$A$4,D170&lt;=$G$6,'calculated data '!$A$5,D170&gt;=$G$6,'calculated data '!$A$6)</f>
        <v>Low Demand Tier</v>
      </c>
      <c r="F170" s="10">
        <f t="shared" si="1"/>
        <v>-0.6631714749</v>
      </c>
    </row>
    <row r="171" ht="14.25" customHeight="1">
      <c r="A171" s="2" t="s">
        <v>49</v>
      </c>
      <c r="B171" s="2" t="s">
        <v>50</v>
      </c>
      <c r="C171" s="2">
        <v>2010.0</v>
      </c>
      <c r="D171" s="9">
        <v>0.0</v>
      </c>
      <c r="E171" s="10" t="str">
        <f t="array" ref="E171">IFS(D171&lt;=$G$3,'calculated data '!$A$3,D171&lt;=$G$4,'calculated data '!$A$4,D171&lt;=$G$6,'calculated data '!$A$5,D171&gt;=$G$6,'calculated data '!$A$6)</f>
        <v>Low Demand Tier</v>
      </c>
      <c r="F171" s="10">
        <f t="shared" si="1"/>
        <v>-0.6631714749</v>
      </c>
    </row>
    <row r="172" ht="14.25" customHeight="1">
      <c r="A172" s="2" t="s">
        <v>49</v>
      </c>
      <c r="B172" s="2" t="s">
        <v>50</v>
      </c>
      <c r="C172" s="2">
        <v>2011.0</v>
      </c>
      <c r="D172" s="9">
        <v>0.0</v>
      </c>
      <c r="E172" s="10" t="str">
        <f t="array" ref="E172">IFS(D172&lt;=$G$3,'calculated data '!$A$3,D172&lt;=$G$4,'calculated data '!$A$4,D172&lt;=$G$6,'calculated data '!$A$5,D172&gt;=$G$6,'calculated data '!$A$6)</f>
        <v>Low Demand Tier</v>
      </c>
      <c r="F172" s="10">
        <f t="shared" si="1"/>
        <v>-0.6631714749</v>
      </c>
    </row>
    <row r="173" ht="14.25" customHeight="1">
      <c r="A173" s="2" t="s">
        <v>49</v>
      </c>
      <c r="B173" s="2" t="s">
        <v>50</v>
      </c>
      <c r="C173" s="2">
        <v>2012.0</v>
      </c>
      <c r="D173" s="9">
        <v>0.0</v>
      </c>
      <c r="E173" s="10" t="str">
        <f t="array" ref="E173">IFS(D173&lt;=$G$3,'calculated data '!$A$3,D173&lt;=$G$4,'calculated data '!$A$4,D173&lt;=$G$6,'calculated data '!$A$5,D173&gt;=$G$6,'calculated data '!$A$6)</f>
        <v>Low Demand Tier</v>
      </c>
      <c r="F173" s="10">
        <f t="shared" si="1"/>
        <v>-0.6631714749</v>
      </c>
    </row>
    <row r="174" ht="14.25" customHeight="1">
      <c r="A174" s="2" t="s">
        <v>49</v>
      </c>
      <c r="B174" s="2" t="s">
        <v>50</v>
      </c>
      <c r="C174" s="2">
        <v>2013.0</v>
      </c>
      <c r="D174" s="9">
        <v>0.0</v>
      </c>
      <c r="E174" s="10" t="str">
        <f t="array" ref="E174">IFS(D174&lt;=$G$3,'calculated data '!$A$3,D174&lt;=$G$4,'calculated data '!$A$4,D174&lt;=$G$6,'calculated data '!$A$5,D174&gt;=$G$6,'calculated data '!$A$6)</f>
        <v>Low Demand Tier</v>
      </c>
      <c r="F174" s="10">
        <f t="shared" si="1"/>
        <v>-0.6631714749</v>
      </c>
    </row>
    <row r="175" ht="14.25" customHeight="1">
      <c r="A175" s="2" t="s">
        <v>49</v>
      </c>
      <c r="B175" s="2" t="s">
        <v>50</v>
      </c>
      <c r="C175" s="2">
        <v>2014.0</v>
      </c>
      <c r="D175" s="9">
        <v>0.0</v>
      </c>
      <c r="E175" s="10" t="str">
        <f t="array" ref="E175">IFS(D175&lt;=$G$3,'calculated data '!$A$3,D175&lt;=$G$4,'calculated data '!$A$4,D175&lt;=$G$6,'calculated data '!$A$5,D175&gt;=$G$6,'calculated data '!$A$6)</f>
        <v>Low Demand Tier</v>
      </c>
      <c r="F175" s="10">
        <f t="shared" si="1"/>
        <v>-0.6631714749</v>
      </c>
    </row>
    <row r="176" ht="14.25" customHeight="1">
      <c r="A176" s="2" t="s">
        <v>49</v>
      </c>
      <c r="B176" s="2" t="s">
        <v>50</v>
      </c>
      <c r="C176" s="2">
        <v>2015.0</v>
      </c>
      <c r="D176" s="9">
        <v>0.0</v>
      </c>
      <c r="E176" s="10" t="str">
        <f t="array" ref="E176">IFS(D176&lt;=$G$3,'calculated data '!$A$3,D176&lt;=$G$4,'calculated data '!$A$4,D176&lt;=$G$6,'calculated data '!$A$5,D176&gt;=$G$6,'calculated data '!$A$6)</f>
        <v>Low Demand Tier</v>
      </c>
      <c r="F176" s="10">
        <f t="shared" si="1"/>
        <v>-0.6631714749</v>
      </c>
    </row>
    <row r="177" ht="14.25" customHeight="1">
      <c r="A177" s="2" t="s">
        <v>49</v>
      </c>
      <c r="B177" s="2" t="s">
        <v>50</v>
      </c>
      <c r="C177" s="2">
        <v>2016.0</v>
      </c>
      <c r="D177" s="9">
        <v>0.0</v>
      </c>
      <c r="E177" s="10" t="str">
        <f t="array" ref="E177">IFS(D177&lt;=$G$3,'calculated data '!$A$3,D177&lt;=$G$4,'calculated data '!$A$4,D177&lt;=$G$6,'calculated data '!$A$5,D177&gt;=$G$6,'calculated data '!$A$6)</f>
        <v>Low Demand Tier</v>
      </c>
      <c r="F177" s="10">
        <f t="shared" si="1"/>
        <v>-0.6631714749</v>
      </c>
    </row>
    <row r="178" ht="14.25" customHeight="1">
      <c r="A178" s="2" t="s">
        <v>49</v>
      </c>
      <c r="B178" s="2" t="s">
        <v>50</v>
      </c>
      <c r="C178" s="2">
        <v>2017.0</v>
      </c>
      <c r="D178" s="9">
        <v>0.0</v>
      </c>
      <c r="E178" s="10" t="str">
        <f t="array" ref="E178">IFS(D178&lt;=$G$3,'calculated data '!$A$3,D178&lt;=$G$4,'calculated data '!$A$4,D178&lt;=$G$6,'calculated data '!$A$5,D178&gt;=$G$6,'calculated data '!$A$6)</f>
        <v>Low Demand Tier</v>
      </c>
      <c r="F178" s="10">
        <f t="shared" si="1"/>
        <v>-0.6631714749</v>
      </c>
    </row>
    <row r="179" ht="14.25" customHeight="1">
      <c r="A179" s="2" t="s">
        <v>49</v>
      </c>
      <c r="B179" s="2" t="s">
        <v>50</v>
      </c>
      <c r="C179" s="2">
        <v>2018.0</v>
      </c>
      <c r="D179" s="9">
        <v>0.0</v>
      </c>
      <c r="E179" s="10" t="str">
        <f t="array" ref="E179">IFS(D179&lt;=$G$3,'calculated data '!$A$3,D179&lt;=$G$4,'calculated data '!$A$4,D179&lt;=$G$6,'calculated data '!$A$5,D179&gt;=$G$6,'calculated data '!$A$6)</f>
        <v>Low Demand Tier</v>
      </c>
      <c r="F179" s="10">
        <f t="shared" si="1"/>
        <v>-0.6631714749</v>
      </c>
    </row>
    <row r="180" ht="14.25" customHeight="1">
      <c r="A180" s="2" t="s">
        <v>49</v>
      </c>
      <c r="B180" s="2" t="s">
        <v>50</v>
      </c>
      <c r="C180" s="2">
        <v>2019.0</v>
      </c>
      <c r="D180" s="9">
        <v>0.0</v>
      </c>
      <c r="E180" s="10" t="str">
        <f t="array" ref="E180">IFS(D180&lt;=$G$3,'calculated data '!$A$3,D180&lt;=$G$4,'calculated data '!$A$4,D180&lt;=$G$6,'calculated data '!$A$5,D180&gt;=$G$6,'calculated data '!$A$6)</f>
        <v>Low Demand Tier</v>
      </c>
      <c r="F180" s="10">
        <f t="shared" si="1"/>
        <v>-0.6631714749</v>
      </c>
    </row>
    <row r="181" ht="14.25" customHeight="1">
      <c r="A181" s="2" t="s">
        <v>49</v>
      </c>
      <c r="B181" s="2" t="s">
        <v>50</v>
      </c>
      <c r="C181" s="2">
        <v>2020.0</v>
      </c>
      <c r="D181" s="9">
        <v>0.0</v>
      </c>
      <c r="E181" s="10" t="str">
        <f t="array" ref="E181">IFS(D181&lt;=$G$3,'calculated data '!$A$3,D181&lt;=$G$4,'calculated data '!$A$4,D181&lt;=$G$6,'calculated data '!$A$5,D181&gt;=$G$6,'calculated data '!$A$6)</f>
        <v>Low Demand Tier</v>
      </c>
      <c r="F181" s="10">
        <f t="shared" si="1"/>
        <v>-0.6631714749</v>
      </c>
    </row>
    <row r="182" ht="14.25" customHeight="1">
      <c r="A182" s="2" t="s">
        <v>49</v>
      </c>
      <c r="B182" s="2" t="s">
        <v>50</v>
      </c>
      <c r="C182" s="2">
        <v>2021.0</v>
      </c>
      <c r="D182" s="9">
        <v>0.0</v>
      </c>
      <c r="E182" s="10" t="str">
        <f t="array" ref="E182">IFS(D182&lt;=$G$3,'calculated data '!$A$3,D182&lt;=$G$4,'calculated data '!$A$4,D182&lt;=$G$6,'calculated data '!$A$5,D182&gt;=$G$6,'calculated data '!$A$6)</f>
        <v>Low Demand Tier</v>
      </c>
      <c r="F182" s="10">
        <f t="shared" si="1"/>
        <v>-0.6631714749</v>
      </c>
    </row>
    <row r="183" ht="14.25" customHeight="1">
      <c r="A183" s="2" t="s">
        <v>49</v>
      </c>
      <c r="B183" s="2" t="s">
        <v>50</v>
      </c>
      <c r="C183" s="2">
        <v>2022.0</v>
      </c>
      <c r="D183" s="9">
        <v>0.0</v>
      </c>
      <c r="E183" s="10" t="str">
        <f t="array" ref="E183">IFS(D183&lt;=$G$3,'calculated data '!$A$3,D183&lt;=$G$4,'calculated data '!$A$4,D183&lt;=$G$6,'calculated data '!$A$5,D183&gt;=$G$6,'calculated data '!$A$6)</f>
        <v>Low Demand Tier</v>
      </c>
      <c r="F183" s="10">
        <f t="shared" si="1"/>
        <v>-0.6631714749</v>
      </c>
    </row>
    <row r="184" ht="14.25" customHeight="1">
      <c r="A184" s="2" t="s">
        <v>49</v>
      </c>
      <c r="B184" s="2" t="s">
        <v>50</v>
      </c>
      <c r="C184" s="2">
        <v>2023.0</v>
      </c>
      <c r="D184" s="9">
        <v>0.0</v>
      </c>
      <c r="E184" s="10" t="str">
        <f t="array" ref="E184">IFS(D184&lt;=$G$3,'calculated data '!$A$3,D184&lt;=$G$4,'calculated data '!$A$4,D184&lt;=$G$6,'calculated data '!$A$5,D184&gt;=$G$6,'calculated data '!$A$6)</f>
        <v>Low Demand Tier</v>
      </c>
      <c r="F184" s="10">
        <f t="shared" si="1"/>
        <v>-0.6631714749</v>
      </c>
    </row>
    <row r="185" ht="14.25" customHeight="1">
      <c r="A185" s="2" t="s">
        <v>49</v>
      </c>
      <c r="B185" s="2" t="s">
        <v>50</v>
      </c>
      <c r="C185" s="2">
        <v>2024.0</v>
      </c>
      <c r="D185" s="9">
        <v>0.0</v>
      </c>
      <c r="E185" s="10" t="str">
        <f t="array" ref="E185">IFS(D185&lt;=$G$3,'calculated data '!$A$3,D185&lt;=$G$4,'calculated data '!$A$4,D185&lt;=$G$6,'calculated data '!$A$5,D185&gt;=$G$6,'calculated data '!$A$6)</f>
        <v>Low Demand Tier</v>
      </c>
      <c r="F185" s="10">
        <f t="shared" si="1"/>
        <v>-0.6631714749</v>
      </c>
    </row>
    <row r="186" ht="14.25" customHeight="1">
      <c r="A186" s="2" t="s">
        <v>51</v>
      </c>
      <c r="B186" s="2" t="s">
        <v>52</v>
      </c>
      <c r="C186" s="2">
        <v>1980.0</v>
      </c>
      <c r="D186" s="9">
        <v>62.999752</v>
      </c>
      <c r="E186" s="10" t="str">
        <f t="array" ref="E186">IFS(D186&lt;=$G$3,'calculated data '!$A$3,D186&lt;=$G$4,'calculated data '!$A$4,D186&lt;=$G$6,'calculated data '!$A$5,D186&gt;=$G$6,'calculated data '!$A$6)</f>
        <v>Low Demand Tier</v>
      </c>
      <c r="F186" s="10">
        <f t="shared" si="1"/>
        <v>-0.6615038871</v>
      </c>
    </row>
    <row r="187" ht="14.25" customHeight="1">
      <c r="A187" s="2" t="s">
        <v>53</v>
      </c>
      <c r="B187" s="2" t="s">
        <v>54</v>
      </c>
      <c r="C187" s="2">
        <v>1999.0</v>
      </c>
      <c r="D187" s="9">
        <v>96.15236</v>
      </c>
      <c r="E187" s="10" t="str">
        <f t="array" ref="E187">IFS(D187&lt;=$G$3,'calculated data '!$A$3,D187&lt;=$G$4,'calculated data '!$A$4,D187&lt;=$G$6,'calculated data '!$A$5,D187&gt;=$G$6,'calculated data '!$A$6)</f>
        <v>Low Demand Tier</v>
      </c>
      <c r="F187" s="10">
        <f t="shared" si="1"/>
        <v>-0.6606263459</v>
      </c>
    </row>
    <row r="188" ht="14.25" customHeight="1">
      <c r="A188" s="2" t="s">
        <v>55</v>
      </c>
      <c r="B188" s="2" t="s">
        <v>56</v>
      </c>
      <c r="C188" s="2">
        <v>1982.0</v>
      </c>
      <c r="D188" s="9">
        <v>98.25266</v>
      </c>
      <c r="E188" s="10" t="str">
        <f t="array" ref="E188">IFS(D188&lt;=$G$3,'calculated data '!$A$3,D188&lt;=$G$4,'calculated data '!$A$4,D188&lt;=$G$6,'calculated data '!$A$5,D188&gt;=$G$6,'calculated data '!$A$6)</f>
        <v>Low Demand Tier</v>
      </c>
      <c r="F188" s="10">
        <f t="shared" si="1"/>
        <v>-0.6605707515</v>
      </c>
    </row>
    <row r="189" ht="14.25" customHeight="1">
      <c r="A189" s="2" t="s">
        <v>57</v>
      </c>
      <c r="B189" s="2" t="s">
        <v>58</v>
      </c>
      <c r="C189" s="2">
        <v>1800.0</v>
      </c>
      <c r="D189" s="9">
        <v>98.667</v>
      </c>
      <c r="E189" s="10" t="str">
        <f t="array" ref="E189">IFS(D189&lt;=$G$3,'calculated data '!$A$3,D189&lt;=$G$4,'calculated data '!$A$4,D189&lt;=$G$6,'calculated data '!$A$5,D189&gt;=$G$6,'calculated data '!$A$6)</f>
        <v>Low Demand Tier</v>
      </c>
      <c r="F189" s="10">
        <f t="shared" si="1"/>
        <v>-0.660559784</v>
      </c>
    </row>
    <row r="190" ht="14.25" customHeight="1">
      <c r="A190" s="2" t="s">
        <v>53</v>
      </c>
      <c r="B190" s="2" t="s">
        <v>54</v>
      </c>
      <c r="C190" s="2">
        <v>1996.0</v>
      </c>
      <c r="D190" s="9">
        <v>98.78134</v>
      </c>
      <c r="E190" s="10" t="str">
        <f t="array" ref="E190">IFS(D190&lt;=$G$3,'calculated data '!$A$3,D190&lt;=$G$4,'calculated data '!$A$4,D190&lt;=$G$6,'calculated data '!$A$5,D190&gt;=$G$6,'calculated data '!$A$6)</f>
        <v>Low Demand Tier</v>
      </c>
      <c r="F190" s="10">
        <f t="shared" si="1"/>
        <v>-0.6605567574</v>
      </c>
    </row>
    <row r="191" ht="14.25" customHeight="1">
      <c r="A191" s="2" t="s">
        <v>53</v>
      </c>
      <c r="B191" s="2" t="s">
        <v>54</v>
      </c>
      <c r="C191" s="2">
        <v>1998.0</v>
      </c>
      <c r="D191" s="9">
        <v>99.59048</v>
      </c>
      <c r="E191" s="10" t="str">
        <f t="array" ref="E191">IFS(D191&lt;=$G$3,'calculated data '!$A$3,D191&lt;=$G$4,'calculated data '!$A$4,D191&lt;=$G$6,'calculated data '!$A$5,D191&gt;=$G$6,'calculated data '!$A$6)</f>
        <v>Low Demand Tier</v>
      </c>
      <c r="F191" s="10">
        <f t="shared" si="1"/>
        <v>-0.6605353397</v>
      </c>
    </row>
    <row r="192" ht="14.25" customHeight="1">
      <c r="A192" s="2" t="s">
        <v>53</v>
      </c>
      <c r="B192" s="2" t="s">
        <v>54</v>
      </c>
      <c r="C192" s="2">
        <v>1993.0</v>
      </c>
      <c r="D192" s="9">
        <v>100.71731</v>
      </c>
      <c r="E192" s="10" t="str">
        <f t="array" ref="E192">IFS(D192&lt;=$G$3,'calculated data '!$A$3,D192&lt;=$G$4,'calculated data '!$A$4,D192&lt;=$G$6,'calculated data '!$A$5,D192&gt;=$G$6,'calculated data '!$A$6)</f>
        <v>Low Demand Tier</v>
      </c>
      <c r="F192" s="10">
        <f t="shared" si="1"/>
        <v>-0.6605055128</v>
      </c>
    </row>
    <row r="193" ht="14.25" customHeight="1">
      <c r="A193" s="2" t="s">
        <v>53</v>
      </c>
      <c r="B193" s="2" t="s">
        <v>54</v>
      </c>
      <c r="C193" s="2">
        <v>2003.0</v>
      </c>
      <c r="D193" s="9">
        <v>101.881256</v>
      </c>
      <c r="E193" s="10" t="str">
        <f t="array" ref="E193">IFS(D193&lt;=$G$3,'calculated data '!$A$3,D193&lt;=$G$4,'calculated data '!$A$4,D193&lt;=$G$6,'calculated data '!$A$5,D193&gt;=$G$6,'calculated data '!$A$6)</f>
        <v>Low Demand Tier</v>
      </c>
      <c r="F193" s="10">
        <f t="shared" si="1"/>
        <v>-0.6604747034</v>
      </c>
    </row>
    <row r="194" ht="14.25" customHeight="1">
      <c r="A194" s="2" t="s">
        <v>53</v>
      </c>
      <c r="B194" s="2" t="s">
        <v>54</v>
      </c>
      <c r="C194" s="2">
        <v>2004.0</v>
      </c>
      <c r="D194" s="9">
        <v>102.66212</v>
      </c>
      <c r="E194" s="10" t="str">
        <f t="array" ref="E194">IFS(D194&lt;=$G$3,'calculated data '!$A$3,D194&lt;=$G$4,'calculated data '!$A$4,D194&lt;=$G$6,'calculated data '!$A$5,D194&gt;=$G$6,'calculated data '!$A$6)</f>
        <v>Low Demand Tier</v>
      </c>
      <c r="F194" s="10">
        <f t="shared" si="1"/>
        <v>-0.6604540341</v>
      </c>
    </row>
    <row r="195" ht="14.25" customHeight="1">
      <c r="A195" s="2" t="s">
        <v>53</v>
      </c>
      <c r="B195" s="2" t="s">
        <v>54</v>
      </c>
      <c r="C195" s="2">
        <v>1995.0</v>
      </c>
      <c r="D195" s="9">
        <v>102.97276</v>
      </c>
      <c r="E195" s="10" t="str">
        <f t="array" ref="E195">IFS(D195&lt;=$G$3,'calculated data '!$A$3,D195&lt;=$G$4,'calculated data '!$A$4,D195&lt;=$G$6,'calculated data '!$A$5,D195&gt;=$G$6,'calculated data '!$A$6)</f>
        <v>Low Demand Tier</v>
      </c>
      <c r="F195" s="10">
        <f t="shared" si="1"/>
        <v>-0.6604458116</v>
      </c>
    </row>
    <row r="196" ht="14.25" customHeight="1">
      <c r="A196" s="2" t="s">
        <v>53</v>
      </c>
      <c r="B196" s="2" t="s">
        <v>54</v>
      </c>
      <c r="C196" s="2">
        <v>1997.0</v>
      </c>
      <c r="D196" s="9">
        <v>103.07623</v>
      </c>
      <c r="E196" s="10" t="str">
        <f t="array" ref="E196">IFS(D196&lt;=$G$3,'calculated data '!$A$3,D196&lt;=$G$4,'calculated data '!$A$4,D196&lt;=$G$6,'calculated data '!$A$5,D196&gt;=$G$6,'calculated data '!$A$6)</f>
        <v>Low Demand Tier</v>
      </c>
      <c r="F196" s="10">
        <f t="shared" si="1"/>
        <v>-0.6604430728</v>
      </c>
    </row>
    <row r="197" ht="14.25" customHeight="1">
      <c r="A197" s="2" t="s">
        <v>53</v>
      </c>
      <c r="B197" s="2" t="s">
        <v>54</v>
      </c>
      <c r="C197" s="2">
        <v>2006.0</v>
      </c>
      <c r="D197" s="9">
        <v>103.92452</v>
      </c>
      <c r="E197" s="10" t="str">
        <f t="array" ref="E197">IFS(D197&lt;=$G$3,'calculated data '!$A$3,D197&lt;=$G$4,'calculated data '!$A$4,D197&lt;=$G$6,'calculated data '!$A$5,D197&gt;=$G$6,'calculated data '!$A$6)</f>
        <v>Low Demand Tier</v>
      </c>
      <c r="F197" s="10">
        <f t="shared" si="1"/>
        <v>-0.6604206187</v>
      </c>
    </row>
    <row r="198" ht="14.25" customHeight="1">
      <c r="A198" s="2" t="s">
        <v>55</v>
      </c>
      <c r="B198" s="2" t="s">
        <v>56</v>
      </c>
      <c r="C198" s="2">
        <v>1980.0</v>
      </c>
      <c r="D198" s="9">
        <v>105.644</v>
      </c>
      <c r="E198" s="10" t="str">
        <f t="array" ref="E198">IFS(D198&lt;=$G$3,'calculated data '!$A$3,D198&lt;=$G$4,'calculated data '!$A$4,D198&lt;=$G$6,'calculated data '!$A$5,D198&gt;=$G$6,'calculated data '!$A$6)</f>
        <v>Low Demand Tier</v>
      </c>
      <c r="F198" s="10">
        <f t="shared" si="1"/>
        <v>-0.6603751045</v>
      </c>
    </row>
    <row r="199" ht="14.25" customHeight="1">
      <c r="A199" s="2" t="s">
        <v>53</v>
      </c>
      <c r="B199" s="2" t="s">
        <v>54</v>
      </c>
      <c r="C199" s="2">
        <v>2005.0</v>
      </c>
      <c r="D199" s="9">
        <v>106.128426</v>
      </c>
      <c r="E199" s="10" t="str">
        <f t="array" ref="E199">IFS(D199&lt;=$G$3,'calculated data '!$A$3,D199&lt;=$G$4,'calculated data '!$A$4,D199&lt;=$G$6,'calculated data '!$A$5,D199&gt;=$G$6,'calculated data '!$A$6)</f>
        <v>Low Demand Tier</v>
      </c>
      <c r="F199" s="10">
        <f t="shared" si="1"/>
        <v>-0.6603622819</v>
      </c>
    </row>
    <row r="200" ht="14.25" customHeight="1">
      <c r="A200" s="2" t="s">
        <v>53</v>
      </c>
      <c r="B200" s="2" t="s">
        <v>54</v>
      </c>
      <c r="C200" s="2">
        <v>2002.0</v>
      </c>
      <c r="D200" s="9">
        <v>107.270004</v>
      </c>
      <c r="E200" s="10" t="str">
        <f t="array" ref="E200">IFS(D200&lt;=$G$3,'calculated data '!$A$3,D200&lt;=$G$4,'calculated data '!$A$4,D200&lt;=$G$6,'calculated data '!$A$5,D200&gt;=$G$6,'calculated data '!$A$6)</f>
        <v>Low Demand Tier</v>
      </c>
      <c r="F200" s="10">
        <f t="shared" si="1"/>
        <v>-0.6603320646</v>
      </c>
    </row>
    <row r="201" ht="14.25" customHeight="1">
      <c r="A201" s="2" t="s">
        <v>53</v>
      </c>
      <c r="B201" s="2" t="s">
        <v>54</v>
      </c>
      <c r="C201" s="2">
        <v>1994.0</v>
      </c>
      <c r="D201" s="9">
        <v>107.61187</v>
      </c>
      <c r="E201" s="10" t="str">
        <f t="array" ref="E201">IFS(D201&lt;=$G$3,'calculated data '!$A$3,D201&lt;=$G$4,'calculated data '!$A$4,D201&lt;=$G$6,'calculated data '!$A$5,D201&gt;=$G$6,'calculated data '!$A$6)</f>
        <v>Low Demand Tier</v>
      </c>
      <c r="F201" s="10">
        <f t="shared" si="1"/>
        <v>-0.6603230155</v>
      </c>
    </row>
    <row r="202" ht="14.25" customHeight="1">
      <c r="A202" s="2" t="s">
        <v>53</v>
      </c>
      <c r="B202" s="2" t="s">
        <v>54</v>
      </c>
      <c r="C202" s="2">
        <v>1984.0</v>
      </c>
      <c r="D202" s="9">
        <v>107.74866</v>
      </c>
      <c r="E202" s="10" t="str">
        <f t="array" ref="E202">IFS(D202&lt;=$G$3,'calculated data '!$A$3,D202&lt;=$G$4,'calculated data '!$A$4,D202&lt;=$G$6,'calculated data '!$A$5,D202&gt;=$G$6,'calculated data '!$A$6)</f>
        <v>Low Demand Tier</v>
      </c>
      <c r="F202" s="10">
        <f t="shared" si="1"/>
        <v>-0.6603193947</v>
      </c>
    </row>
    <row r="203" ht="14.25" customHeight="1">
      <c r="A203" s="2" t="s">
        <v>53</v>
      </c>
      <c r="B203" s="2" t="s">
        <v>54</v>
      </c>
      <c r="C203" s="2">
        <v>1988.0</v>
      </c>
      <c r="D203" s="9">
        <v>109.77107</v>
      </c>
      <c r="E203" s="10" t="str">
        <f t="array" ref="E203">IFS(D203&lt;=$G$3,'calculated data '!$A$3,D203&lt;=$G$4,'calculated data '!$A$4,D203&lt;=$G$6,'calculated data '!$A$5,D203&gt;=$G$6,'calculated data '!$A$6)</f>
        <v>Low Demand Tier</v>
      </c>
      <c r="F203" s="10">
        <f t="shared" si="1"/>
        <v>-0.660265862</v>
      </c>
    </row>
    <row r="204" ht="14.25" customHeight="1">
      <c r="A204" s="2" t="s">
        <v>53</v>
      </c>
      <c r="B204" s="2" t="s">
        <v>54</v>
      </c>
      <c r="C204" s="2">
        <v>2007.0</v>
      </c>
      <c r="D204" s="9">
        <v>110.805</v>
      </c>
      <c r="E204" s="10" t="str">
        <f t="array" ref="E204">IFS(D204&lt;=$G$3,'calculated data '!$A$3,D204&lt;=$G$4,'calculated data '!$A$4,D204&lt;=$G$6,'calculated data '!$A$5,D204&gt;=$G$6,'calculated data '!$A$6)</f>
        <v>Low Demand Tier</v>
      </c>
      <c r="F204" s="10">
        <f t="shared" si="1"/>
        <v>-0.6602384941</v>
      </c>
    </row>
    <row r="205" ht="14.25" customHeight="1">
      <c r="A205" s="2" t="s">
        <v>59</v>
      </c>
      <c r="B205" s="2" t="s">
        <v>60</v>
      </c>
      <c r="C205" s="2">
        <v>1981.0</v>
      </c>
      <c r="D205" s="9">
        <v>111.203705</v>
      </c>
      <c r="E205" s="10" t="str">
        <f t="array" ref="E205">IFS(D205&lt;=$G$3,'calculated data '!$A$3,D205&lt;=$G$4,'calculated data '!$A$4,D205&lt;=$G$6,'calculated data '!$A$5,D205&gt;=$G$6,'calculated data '!$A$6)</f>
        <v>Low Demand Tier</v>
      </c>
      <c r="F205" s="10">
        <f t="shared" si="1"/>
        <v>-0.6602279405</v>
      </c>
    </row>
    <row r="206" ht="14.25" customHeight="1">
      <c r="A206" s="2" t="s">
        <v>53</v>
      </c>
      <c r="B206" s="2" t="s">
        <v>54</v>
      </c>
      <c r="C206" s="2">
        <v>2008.0</v>
      </c>
      <c r="D206" s="9">
        <v>112.19914</v>
      </c>
      <c r="E206" s="10" t="str">
        <f t="array" ref="E206">IFS(D206&lt;=$G$3,'calculated data '!$A$3,D206&lt;=$G$4,'calculated data '!$A$4,D206&lt;=$G$6,'calculated data '!$A$5,D206&gt;=$G$6,'calculated data '!$A$6)</f>
        <v>Low Demand Tier</v>
      </c>
      <c r="F206" s="10">
        <f t="shared" si="1"/>
        <v>-0.6602015916</v>
      </c>
    </row>
    <row r="207" ht="14.25" customHeight="1">
      <c r="A207" s="2" t="s">
        <v>55</v>
      </c>
      <c r="B207" s="2" t="s">
        <v>56</v>
      </c>
      <c r="C207" s="2">
        <v>1983.0</v>
      </c>
      <c r="D207" s="9">
        <v>112.32062</v>
      </c>
      <c r="E207" s="10" t="str">
        <f t="array" ref="E207">IFS(D207&lt;=$G$3,'calculated data '!$A$3,D207&lt;=$G$4,'calculated data '!$A$4,D207&lt;=$G$6,'calculated data '!$A$5,D207&gt;=$G$6,'calculated data '!$A$6)</f>
        <v>Low Demand Tier</v>
      </c>
      <c r="F207" s="10">
        <f t="shared" si="1"/>
        <v>-0.6601983761</v>
      </c>
    </row>
    <row r="208" ht="14.25" customHeight="1">
      <c r="A208" s="2" t="s">
        <v>53</v>
      </c>
      <c r="B208" s="2" t="s">
        <v>54</v>
      </c>
      <c r="C208" s="2">
        <v>2001.0</v>
      </c>
      <c r="D208" s="9">
        <v>112.51884</v>
      </c>
      <c r="E208" s="10" t="str">
        <f t="array" ref="E208">IFS(D208&lt;=$G$3,'calculated data '!$A$3,D208&lt;=$G$4,'calculated data '!$A$4,D208&lt;=$G$6,'calculated data '!$A$5,D208&gt;=$G$6,'calculated data '!$A$6)</f>
        <v>Low Demand Tier</v>
      </c>
      <c r="F208" s="10">
        <f t="shared" si="1"/>
        <v>-0.6601931292</v>
      </c>
    </row>
    <row r="209" ht="14.25" customHeight="1">
      <c r="A209" s="2" t="s">
        <v>55</v>
      </c>
      <c r="B209" s="2" t="s">
        <v>56</v>
      </c>
      <c r="C209" s="2">
        <v>1981.0</v>
      </c>
      <c r="D209" s="9">
        <v>114.782074</v>
      </c>
      <c r="E209" s="10" t="str">
        <f t="array" ref="E209">IFS(D209&lt;=$G$3,'calculated data '!$A$3,D209&lt;=$G$4,'calculated data '!$A$4,D209&lt;=$G$6,'calculated data '!$A$5,D209&gt;=$G$6,'calculated data '!$A$6)</f>
        <v>Low Demand Tier</v>
      </c>
      <c r="F209" s="10">
        <f t="shared" si="1"/>
        <v>-0.660133222</v>
      </c>
    </row>
    <row r="210" ht="14.25" customHeight="1">
      <c r="A210" s="2" t="s">
        <v>53</v>
      </c>
      <c r="B210" s="2" t="s">
        <v>54</v>
      </c>
      <c r="C210" s="2">
        <v>1989.0</v>
      </c>
      <c r="D210" s="9">
        <v>116.35808</v>
      </c>
      <c r="E210" s="10" t="str">
        <f t="array" ref="E210">IFS(D210&lt;=$G$3,'calculated data '!$A$3,D210&lt;=$G$4,'calculated data '!$A$4,D210&lt;=$G$6,'calculated data '!$A$5,D210&gt;=$G$6,'calculated data '!$A$6)</f>
        <v>Low Demand Tier</v>
      </c>
      <c r="F210" s="10">
        <f t="shared" si="1"/>
        <v>-0.6600915055</v>
      </c>
    </row>
    <row r="211" ht="14.25" customHeight="1">
      <c r="A211" s="2" t="s">
        <v>55</v>
      </c>
      <c r="B211" s="2" t="s">
        <v>56</v>
      </c>
      <c r="C211" s="2">
        <v>2005.0</v>
      </c>
      <c r="D211" s="9">
        <v>117.99816</v>
      </c>
      <c r="E211" s="10" t="str">
        <f t="array" ref="E211">IFS(D211&lt;=$G$3,'calculated data '!$A$3,D211&lt;=$G$4,'calculated data '!$A$4,D211&lt;=$G$6,'calculated data '!$A$5,D211&gt;=$G$6,'calculated data '!$A$6)</f>
        <v>Low Demand Tier</v>
      </c>
      <c r="F211" s="10">
        <f t="shared" si="1"/>
        <v>-0.660048093</v>
      </c>
    </row>
    <row r="212" ht="14.25" customHeight="1">
      <c r="A212" s="2" t="s">
        <v>59</v>
      </c>
      <c r="B212" s="2" t="s">
        <v>60</v>
      </c>
      <c r="C212" s="2">
        <v>1980.0</v>
      </c>
      <c r="D212" s="9">
        <v>118.00948</v>
      </c>
      <c r="E212" s="10" t="str">
        <f t="array" ref="E212">IFS(D212&lt;=$G$3,'calculated data '!$A$3,D212&lt;=$G$4,'calculated data '!$A$4,D212&lt;=$G$6,'calculated data '!$A$5,D212&gt;=$G$6,'calculated data '!$A$6)</f>
        <v>Low Demand Tier</v>
      </c>
      <c r="F212" s="10">
        <f t="shared" si="1"/>
        <v>-0.6600477933</v>
      </c>
    </row>
    <row r="213" ht="14.25" customHeight="1">
      <c r="A213" s="2" t="s">
        <v>53</v>
      </c>
      <c r="B213" s="2" t="s">
        <v>54</v>
      </c>
      <c r="C213" s="2">
        <v>2009.0</v>
      </c>
      <c r="D213" s="9">
        <v>118.031296</v>
      </c>
      <c r="E213" s="10" t="str">
        <f t="array" ref="E213">IFS(D213&lt;=$G$3,'calculated data '!$A$3,D213&lt;=$G$4,'calculated data '!$A$4,D213&lt;=$G$6,'calculated data '!$A$5,D213&gt;=$G$6,'calculated data '!$A$6)</f>
        <v>Low Demand Tier</v>
      </c>
      <c r="F213" s="10">
        <f t="shared" si="1"/>
        <v>-0.6600472159</v>
      </c>
    </row>
    <row r="214" ht="14.25" customHeight="1">
      <c r="A214" s="2" t="s">
        <v>55</v>
      </c>
      <c r="B214" s="2" t="s">
        <v>56</v>
      </c>
      <c r="C214" s="2">
        <v>2009.0</v>
      </c>
      <c r="D214" s="9">
        <v>120.27249</v>
      </c>
      <c r="E214" s="10" t="str">
        <f t="array" ref="E214">IFS(D214&lt;=$G$3,'calculated data '!$A$3,D214&lt;=$G$4,'calculated data '!$A$4,D214&lt;=$G$6,'calculated data '!$A$5,D214&gt;=$G$6,'calculated data '!$A$6)</f>
        <v>Low Demand Tier</v>
      </c>
      <c r="F214" s="10">
        <f t="shared" si="1"/>
        <v>-0.659987892</v>
      </c>
    </row>
    <row r="215" ht="14.25" customHeight="1">
      <c r="A215" s="2" t="s">
        <v>53</v>
      </c>
      <c r="B215" s="2" t="s">
        <v>54</v>
      </c>
      <c r="C215" s="2">
        <v>2000.0</v>
      </c>
      <c r="D215" s="9">
        <v>121.25253</v>
      </c>
      <c r="E215" s="10" t="str">
        <f t="array" ref="E215">IFS(D215&lt;=$G$3,'calculated data '!$A$3,D215&lt;=$G$4,'calculated data '!$A$4,D215&lt;=$G$6,'calculated data '!$A$5,D215&gt;=$G$6,'calculated data '!$A$6)</f>
        <v>Low Demand Tier</v>
      </c>
      <c r="F215" s="10">
        <f t="shared" si="1"/>
        <v>-0.6599619506</v>
      </c>
    </row>
    <row r="216" ht="14.25" customHeight="1">
      <c r="A216" s="2" t="s">
        <v>61</v>
      </c>
      <c r="B216" s="2" t="s">
        <v>62</v>
      </c>
      <c r="C216" s="2">
        <v>1988.0</v>
      </c>
      <c r="D216" s="9">
        <v>124.23486</v>
      </c>
      <c r="E216" s="10" t="str">
        <f t="array" ref="E216">IFS(D216&lt;=$G$3,'calculated data '!$A$3,D216&lt;=$G$4,'calculated data '!$A$4,D216&lt;=$G$6,'calculated data '!$A$5,D216&gt;=$G$6,'calculated data '!$A$6)</f>
        <v>Low Demand Tier</v>
      </c>
      <c r="F216" s="10">
        <f t="shared" si="1"/>
        <v>-0.6598830091</v>
      </c>
    </row>
    <row r="217" ht="14.25" customHeight="1">
      <c r="A217" s="2" t="s">
        <v>55</v>
      </c>
      <c r="B217" s="2" t="s">
        <v>56</v>
      </c>
      <c r="C217" s="2">
        <v>2003.0</v>
      </c>
      <c r="D217" s="9">
        <v>125.22643</v>
      </c>
      <c r="E217" s="10" t="str">
        <f t="array" ref="E217">IFS(D217&lt;=$G$3,'calculated data '!$A$3,D217&lt;=$G$4,'calculated data '!$A$4,D217&lt;=$G$6,'calculated data '!$A$5,D217&gt;=$G$6,'calculated data '!$A$6)</f>
        <v>Low Demand Tier</v>
      </c>
      <c r="F217" s="10">
        <f t="shared" si="1"/>
        <v>-0.6598567625</v>
      </c>
    </row>
    <row r="218" ht="14.25" customHeight="1">
      <c r="A218" s="2" t="s">
        <v>57</v>
      </c>
      <c r="B218" s="2" t="s">
        <v>58</v>
      </c>
      <c r="C218" s="2">
        <v>1810.0</v>
      </c>
      <c r="D218" s="9">
        <v>125.47173</v>
      </c>
      <c r="E218" s="10" t="str">
        <f t="array" ref="E218">IFS(D218&lt;=$G$3,'calculated data '!$A$3,D218&lt;=$G$4,'calculated data '!$A$4,D218&lt;=$G$6,'calculated data '!$A$5,D218&gt;=$G$6,'calculated data '!$A$6)</f>
        <v>Low Demand Tier</v>
      </c>
      <c r="F218" s="10">
        <f t="shared" si="1"/>
        <v>-0.6598502694</v>
      </c>
    </row>
    <row r="219" ht="14.25" customHeight="1">
      <c r="A219" s="2" t="s">
        <v>53</v>
      </c>
      <c r="B219" s="2" t="s">
        <v>54</v>
      </c>
      <c r="C219" s="2">
        <v>2010.0</v>
      </c>
      <c r="D219" s="9">
        <v>126.46681</v>
      </c>
      <c r="E219" s="10" t="str">
        <f t="array" ref="E219">IFS(D219&lt;=$G$3,'calculated data '!$A$3,D219&lt;=$G$4,'calculated data '!$A$4,D219&lt;=$G$6,'calculated data '!$A$5,D219&gt;=$G$6,'calculated data '!$A$6)</f>
        <v>Low Demand Tier</v>
      </c>
      <c r="F219" s="10">
        <f t="shared" si="1"/>
        <v>-0.6598239299</v>
      </c>
    </row>
    <row r="220" ht="14.25" customHeight="1">
      <c r="A220" s="2" t="s">
        <v>55</v>
      </c>
      <c r="B220" s="2" t="s">
        <v>56</v>
      </c>
      <c r="C220" s="2">
        <v>2008.0</v>
      </c>
      <c r="D220" s="9">
        <v>126.631424</v>
      </c>
      <c r="E220" s="10" t="str">
        <f t="array" ref="E220">IFS(D220&lt;=$G$3,'calculated data '!$A$3,D220&lt;=$G$4,'calculated data '!$A$4,D220&lt;=$G$6,'calculated data '!$A$5,D220&gt;=$G$6,'calculated data '!$A$6)</f>
        <v>Low Demand Tier</v>
      </c>
      <c r="F220" s="10">
        <f t="shared" si="1"/>
        <v>-0.6598195726</v>
      </c>
    </row>
    <row r="221" ht="14.25" customHeight="1">
      <c r="A221" s="2" t="s">
        <v>53</v>
      </c>
      <c r="B221" s="2" t="s">
        <v>54</v>
      </c>
      <c r="C221" s="2">
        <v>1985.0</v>
      </c>
      <c r="D221" s="9">
        <v>130.01555</v>
      </c>
      <c r="E221" s="10" t="str">
        <f t="array" ref="E221">IFS(D221&lt;=$G$3,'calculated data '!$A$3,D221&lt;=$G$4,'calculated data '!$A$4,D221&lt;=$G$6,'calculated data '!$A$5,D221&gt;=$G$6,'calculated data '!$A$6)</f>
        <v>Low Demand Tier</v>
      </c>
      <c r="F221" s="10">
        <f t="shared" si="1"/>
        <v>-0.6597299957</v>
      </c>
    </row>
    <row r="222" ht="14.25" customHeight="1">
      <c r="A222" s="2" t="s">
        <v>59</v>
      </c>
      <c r="B222" s="2" t="s">
        <v>60</v>
      </c>
      <c r="C222" s="2">
        <v>1985.0</v>
      </c>
      <c r="D222" s="9">
        <v>134.07072</v>
      </c>
      <c r="E222" s="10" t="str">
        <f t="array" ref="E222">IFS(D222&lt;=$G$3,'calculated data '!$A$3,D222&lt;=$G$4,'calculated data '!$A$4,D222&lt;=$G$6,'calculated data '!$A$5,D222&gt;=$G$6,'calculated data '!$A$6)</f>
        <v>Low Demand Tier</v>
      </c>
      <c r="F222" s="10">
        <f t="shared" si="1"/>
        <v>-0.6596226563</v>
      </c>
    </row>
    <row r="223" ht="14.25" customHeight="1">
      <c r="A223" s="2" t="s">
        <v>55</v>
      </c>
      <c r="B223" s="2" t="s">
        <v>56</v>
      </c>
      <c r="C223" s="2">
        <v>1986.0</v>
      </c>
      <c r="D223" s="9">
        <v>135.65329</v>
      </c>
      <c r="E223" s="10" t="str">
        <f t="array" ref="E223">IFS(D223&lt;=$G$3,'calculated data '!$A$3,D223&lt;=$G$4,'calculated data '!$A$4,D223&lt;=$G$6,'calculated data '!$A$5,D223&gt;=$G$6,'calculated data '!$A$6)</f>
        <v>Low Demand Tier</v>
      </c>
      <c r="F223" s="10">
        <f t="shared" si="1"/>
        <v>-0.6595807661</v>
      </c>
    </row>
    <row r="224" ht="14.25" customHeight="1">
      <c r="A224" s="2" t="s">
        <v>55</v>
      </c>
      <c r="B224" s="2" t="s">
        <v>56</v>
      </c>
      <c r="C224" s="2">
        <v>2006.0</v>
      </c>
      <c r="D224" s="9">
        <v>136.60374</v>
      </c>
      <c r="E224" s="10" t="str">
        <f t="array" ref="E224">IFS(D224&lt;=$G$3,'calculated data '!$A$3,D224&lt;=$G$4,'calculated data '!$A$4,D224&lt;=$G$6,'calculated data '!$A$5,D224&gt;=$G$6,'calculated data '!$A$6)</f>
        <v>Low Demand Tier</v>
      </c>
      <c r="F224" s="10">
        <f t="shared" si="1"/>
        <v>-0.6595556079</v>
      </c>
    </row>
    <row r="225" ht="14.25" customHeight="1">
      <c r="A225" s="2" t="s">
        <v>55</v>
      </c>
      <c r="B225" s="2" t="s">
        <v>56</v>
      </c>
      <c r="C225" s="2">
        <v>1985.0</v>
      </c>
      <c r="D225" s="9">
        <v>136.94191</v>
      </c>
      <c r="E225" s="10" t="str">
        <f t="array" ref="E225">IFS(D225&lt;=$G$3,'calculated data '!$A$3,D225&lt;=$G$4,'calculated data '!$A$4,D225&lt;=$G$6,'calculated data '!$A$5,D225&gt;=$G$6,'calculated data '!$A$6)</f>
        <v>Low Demand Tier</v>
      </c>
      <c r="F225" s="10">
        <f t="shared" si="1"/>
        <v>-0.6595466566</v>
      </c>
    </row>
    <row r="226" ht="14.25" customHeight="1">
      <c r="A226" s="2" t="s">
        <v>55</v>
      </c>
      <c r="B226" s="2" t="s">
        <v>56</v>
      </c>
      <c r="C226" s="2">
        <v>1984.0</v>
      </c>
      <c r="D226" s="9">
        <v>137.42465</v>
      </c>
      <c r="E226" s="10" t="str">
        <f t="array" ref="E226">IFS(D226&lt;=$G$3,'calculated data '!$A$3,D226&lt;=$G$4,'calculated data '!$A$4,D226&lt;=$G$6,'calculated data '!$A$5,D226&gt;=$G$6,'calculated data '!$A$6)</f>
        <v>Low Demand Tier</v>
      </c>
      <c r="F226" s="10">
        <f t="shared" si="1"/>
        <v>-0.6595338786</v>
      </c>
    </row>
    <row r="227" ht="14.25" customHeight="1">
      <c r="A227" s="2" t="s">
        <v>57</v>
      </c>
      <c r="B227" s="2" t="s">
        <v>58</v>
      </c>
      <c r="C227" s="2">
        <v>1820.0</v>
      </c>
      <c r="D227" s="9">
        <v>140.43048</v>
      </c>
      <c r="E227" s="10" t="str">
        <f t="array" ref="E227">IFS(D227&lt;=$G$3,'calculated data '!$A$3,D227&lt;=$G$4,'calculated data '!$A$4,D227&lt;=$G$6,'calculated data '!$A$5,D227&gt;=$G$6,'calculated data '!$A$6)</f>
        <v>Low Demand Tier</v>
      </c>
      <c r="F227" s="10">
        <f t="shared" si="1"/>
        <v>-0.6594543151</v>
      </c>
    </row>
    <row r="228" ht="14.25" customHeight="1">
      <c r="A228" s="2" t="s">
        <v>63</v>
      </c>
      <c r="B228" s="2" t="s">
        <v>64</v>
      </c>
      <c r="C228" s="2">
        <v>1997.0</v>
      </c>
      <c r="D228" s="9">
        <v>140.92766</v>
      </c>
      <c r="E228" s="10" t="str">
        <f t="array" ref="E228">IFS(D228&lt;=$G$3,'calculated data '!$A$3,D228&lt;=$G$4,'calculated data '!$A$4,D228&lt;=$G$6,'calculated data '!$A$5,D228&gt;=$G$6,'calculated data '!$A$6)</f>
        <v>Low Demand Tier</v>
      </c>
      <c r="F228" s="10">
        <f t="shared" si="1"/>
        <v>-0.6594411548</v>
      </c>
    </row>
    <row r="229" ht="14.25" customHeight="1">
      <c r="A229" s="2" t="s">
        <v>55</v>
      </c>
      <c r="B229" s="2" t="s">
        <v>56</v>
      </c>
      <c r="C229" s="2">
        <v>1987.0</v>
      </c>
      <c r="D229" s="9">
        <v>143.85356</v>
      </c>
      <c r="E229" s="10" t="str">
        <f t="array" ref="E229">IFS(D229&lt;=$G$3,'calculated data '!$A$3,D229&lt;=$G$4,'calculated data '!$A$4,D229&lt;=$G$6,'calculated data '!$A$5,D229&gt;=$G$6,'calculated data '!$A$6)</f>
        <v>Low Demand Tier</v>
      </c>
      <c r="F229" s="10">
        <f t="shared" si="1"/>
        <v>-0.659363707</v>
      </c>
    </row>
    <row r="230" ht="14.25" customHeight="1">
      <c r="A230" s="2" t="s">
        <v>63</v>
      </c>
      <c r="B230" s="2" t="s">
        <v>64</v>
      </c>
      <c r="C230" s="2">
        <v>1996.0</v>
      </c>
      <c r="D230" s="9">
        <v>144.92017</v>
      </c>
      <c r="E230" s="10" t="str">
        <f t="array" ref="E230">IFS(D230&lt;=$G$3,'calculated data '!$A$3,D230&lt;=$G$4,'calculated data '!$A$4,D230&lt;=$G$6,'calculated data '!$A$5,D230&gt;=$G$6,'calculated data '!$A$6)</f>
        <v>Low Demand Tier</v>
      </c>
      <c r="F230" s="10">
        <f t="shared" si="1"/>
        <v>-0.6593354741</v>
      </c>
    </row>
    <row r="231" ht="14.25" customHeight="1">
      <c r="A231" s="2" t="s">
        <v>55</v>
      </c>
      <c r="B231" s="2" t="s">
        <v>56</v>
      </c>
      <c r="C231" s="2">
        <v>2004.0</v>
      </c>
      <c r="D231" s="9">
        <v>146.28516</v>
      </c>
      <c r="E231" s="10" t="str">
        <f t="array" ref="E231">IFS(D231&lt;=$G$3,'calculated data '!$A$3,D231&lt;=$G$4,'calculated data '!$A$4,D231&lt;=$G$6,'calculated data '!$A$5,D231&gt;=$G$6,'calculated data '!$A$6)</f>
        <v>Low Demand Tier</v>
      </c>
      <c r="F231" s="10">
        <f t="shared" si="1"/>
        <v>-0.6592993431</v>
      </c>
    </row>
    <row r="232" ht="14.25" customHeight="1">
      <c r="A232" s="2" t="s">
        <v>59</v>
      </c>
      <c r="B232" s="2" t="s">
        <v>60</v>
      </c>
      <c r="C232" s="2">
        <v>1982.0</v>
      </c>
      <c r="D232" s="9">
        <v>149.297</v>
      </c>
      <c r="E232" s="10" t="str">
        <f t="array" ref="E232">IFS(D232&lt;=$G$3,'calculated data '!$A$3,D232&lt;=$G$4,'calculated data '!$A$4,D232&lt;=$G$6,'calculated data '!$A$5,D232&gt;=$G$6,'calculated data '!$A$6)</f>
        <v>Low Demand Tier</v>
      </c>
      <c r="F232" s="10">
        <f t="shared" si="1"/>
        <v>-0.6592196205</v>
      </c>
    </row>
    <row r="233" ht="14.25" customHeight="1">
      <c r="A233" s="2" t="s">
        <v>59</v>
      </c>
      <c r="B233" s="2" t="s">
        <v>60</v>
      </c>
      <c r="C233" s="2">
        <v>1984.0</v>
      </c>
      <c r="D233" s="9">
        <v>153.12726</v>
      </c>
      <c r="E233" s="10" t="str">
        <f t="array" ref="E233">IFS(D233&lt;=$G$3,'calculated data '!$A$3,D233&lt;=$G$4,'calculated data '!$A$4,D233&lt;=$G$6,'calculated data '!$A$5,D233&gt;=$G$6,'calculated data '!$A$6)</f>
        <v>Low Demand Tier</v>
      </c>
      <c r="F233" s="10">
        <f t="shared" si="1"/>
        <v>-0.6591182345</v>
      </c>
    </row>
    <row r="234" ht="14.25" customHeight="1">
      <c r="A234" s="2" t="s">
        <v>65</v>
      </c>
      <c r="B234" s="2" t="s">
        <v>66</v>
      </c>
      <c r="C234" s="2">
        <v>2002.0</v>
      </c>
      <c r="D234" s="9">
        <v>155.69543</v>
      </c>
      <c r="E234" s="10" t="str">
        <f t="array" ref="E234">IFS(D234&lt;=$G$3,'calculated data '!$A$3,D234&lt;=$G$4,'calculated data '!$A$4,D234&lt;=$G$6,'calculated data '!$A$5,D234&gt;=$G$6,'calculated data '!$A$6)</f>
        <v>Low Demand Tier</v>
      </c>
      <c r="F234" s="10">
        <f t="shared" si="1"/>
        <v>-0.6590502556</v>
      </c>
    </row>
    <row r="235" ht="14.25" customHeight="1">
      <c r="A235" s="2" t="s">
        <v>67</v>
      </c>
      <c r="B235" s="2" t="s">
        <v>68</v>
      </c>
      <c r="C235" s="2">
        <v>1980.0</v>
      </c>
      <c r="D235" s="9">
        <v>155.83102</v>
      </c>
      <c r="E235" s="10" t="str">
        <f t="array" ref="E235">IFS(D235&lt;=$G$3,'calculated data '!$A$3,D235&lt;=$G$4,'calculated data '!$A$4,D235&lt;=$G$6,'calculated data '!$A$5,D235&gt;=$G$6,'calculated data '!$A$6)</f>
        <v>Low Demand Tier</v>
      </c>
      <c r="F235" s="10">
        <f t="shared" si="1"/>
        <v>-0.6590466666</v>
      </c>
    </row>
    <row r="236" ht="14.25" customHeight="1">
      <c r="A236" s="2" t="s">
        <v>59</v>
      </c>
      <c r="B236" s="2" t="s">
        <v>60</v>
      </c>
      <c r="C236" s="2">
        <v>1983.0</v>
      </c>
      <c r="D236" s="9">
        <v>156.5558</v>
      </c>
      <c r="E236" s="10" t="str">
        <f t="array" ref="E236">IFS(D236&lt;=$G$3,'calculated data '!$A$3,D236&lt;=$G$4,'calculated data '!$A$4,D236&lt;=$G$6,'calculated data '!$A$5,D236&gt;=$G$6,'calculated data '!$A$6)</f>
        <v>Low Demand Tier</v>
      </c>
      <c r="F236" s="10">
        <f t="shared" si="1"/>
        <v>-0.6590274819</v>
      </c>
    </row>
    <row r="237" ht="14.25" customHeight="1">
      <c r="A237" s="2" t="s">
        <v>65</v>
      </c>
      <c r="B237" s="2" t="s">
        <v>66</v>
      </c>
      <c r="C237" s="2">
        <v>2004.0</v>
      </c>
      <c r="D237" s="9">
        <v>157.75752</v>
      </c>
      <c r="E237" s="10" t="str">
        <f t="array" ref="E237">IFS(D237&lt;=$G$3,'calculated data '!$A$3,D237&lt;=$G$4,'calculated data '!$A$4,D237&lt;=$G$6,'calculated data '!$A$5,D237&gt;=$G$6,'calculated data '!$A$6)</f>
        <v>Low Demand Tier</v>
      </c>
      <c r="F237" s="10">
        <f t="shared" si="1"/>
        <v>-0.6589956726</v>
      </c>
    </row>
    <row r="238" ht="14.25" customHeight="1">
      <c r="A238" s="2" t="s">
        <v>55</v>
      </c>
      <c r="B238" s="2" t="s">
        <v>56</v>
      </c>
      <c r="C238" s="2">
        <v>2002.0</v>
      </c>
      <c r="D238" s="9">
        <v>158.46877</v>
      </c>
      <c r="E238" s="10" t="str">
        <f t="array" ref="E238">IFS(D238&lt;=$G$3,'calculated data '!$A$3,D238&lt;=$G$4,'calculated data '!$A$4,D238&lt;=$G$6,'calculated data '!$A$5,D238&gt;=$G$6,'calculated data '!$A$6)</f>
        <v>Low Demand Tier</v>
      </c>
      <c r="F238" s="10">
        <f t="shared" si="1"/>
        <v>-0.658976846</v>
      </c>
    </row>
    <row r="239" ht="14.25" customHeight="1">
      <c r="A239" s="2" t="s">
        <v>69</v>
      </c>
      <c r="B239" s="2" t="s">
        <v>70</v>
      </c>
      <c r="C239" s="2">
        <v>2013.0</v>
      </c>
      <c r="D239" s="9">
        <v>160.76</v>
      </c>
      <c r="E239" s="10" t="str">
        <f t="array" ref="E239">IFS(D239&lt;=$G$3,'calculated data '!$A$3,D239&lt;=$G$4,'calculated data '!$A$4,D239&lt;=$G$6,'calculated data '!$A$5,D239&gt;=$G$6,'calculated data '!$A$6)</f>
        <v>Low Demand Tier</v>
      </c>
      <c r="F239" s="10">
        <f t="shared" si="1"/>
        <v>-0.6589161977</v>
      </c>
    </row>
    <row r="240" ht="14.25" customHeight="1">
      <c r="A240" s="2" t="s">
        <v>55</v>
      </c>
      <c r="B240" s="2" t="s">
        <v>56</v>
      </c>
      <c r="C240" s="2">
        <v>2015.0</v>
      </c>
      <c r="D240" s="9">
        <v>166.04037</v>
      </c>
      <c r="E240" s="10" t="str">
        <f t="array" ref="E240">IFS(D240&lt;=$G$3,'calculated data '!$A$3,D240&lt;=$G$4,'calculated data '!$A$4,D240&lt;=$G$6,'calculated data '!$A$5,D240&gt;=$G$6,'calculated data '!$A$6)</f>
        <v>Low Demand Tier</v>
      </c>
      <c r="F240" s="10">
        <f t="shared" si="1"/>
        <v>-0.6587764277</v>
      </c>
    </row>
    <row r="241" ht="14.25" customHeight="1">
      <c r="A241" s="2" t="s">
        <v>71</v>
      </c>
      <c r="B241" s="2" t="s">
        <v>72</v>
      </c>
      <c r="C241" s="2">
        <v>1965.0</v>
      </c>
      <c r="D241" s="9">
        <v>166.39279</v>
      </c>
      <c r="E241" s="10" t="str">
        <f t="array" ref="E241">IFS(D241&lt;=$G$3,'calculated data '!$A$3,D241&lt;=$G$4,'calculated data '!$A$4,D241&lt;=$G$6,'calculated data '!$A$5,D241&gt;=$G$6,'calculated data '!$A$6)</f>
        <v>Low Demand Tier</v>
      </c>
      <c r="F241" s="10">
        <f t="shared" si="1"/>
        <v>-0.6587670992</v>
      </c>
    </row>
    <row r="242" ht="14.25" customHeight="1">
      <c r="A242" s="2" t="s">
        <v>55</v>
      </c>
      <c r="B242" s="2" t="s">
        <v>56</v>
      </c>
      <c r="C242" s="2">
        <v>2010.0</v>
      </c>
      <c r="D242" s="9">
        <v>166.68887</v>
      </c>
      <c r="E242" s="10" t="str">
        <f t="array" ref="E242">IFS(D242&lt;=$G$3,'calculated data '!$A$3,D242&lt;=$G$4,'calculated data '!$A$4,D242&lt;=$G$6,'calculated data '!$A$5,D242&gt;=$G$6,'calculated data '!$A$6)</f>
        <v>Low Demand Tier</v>
      </c>
      <c r="F242" s="10">
        <f t="shared" si="1"/>
        <v>-0.658759262</v>
      </c>
    </row>
    <row r="243" ht="14.25" customHeight="1">
      <c r="A243" s="2" t="s">
        <v>55</v>
      </c>
      <c r="B243" s="2" t="s">
        <v>56</v>
      </c>
      <c r="C243" s="2">
        <v>2014.0</v>
      </c>
      <c r="D243" s="9">
        <v>166.76265</v>
      </c>
      <c r="E243" s="10" t="str">
        <f t="array" ref="E243">IFS(D243&lt;=$G$3,'calculated data '!$A$3,D243&lt;=$G$4,'calculated data '!$A$4,D243&lt;=$G$6,'calculated data '!$A$5,D243&gt;=$G$6,'calculated data '!$A$6)</f>
        <v>Low Demand Tier</v>
      </c>
      <c r="F243" s="10">
        <f t="shared" si="1"/>
        <v>-0.6587573091</v>
      </c>
    </row>
    <row r="244" ht="14.25" customHeight="1">
      <c r="A244" s="2" t="s">
        <v>73</v>
      </c>
      <c r="B244" s="2" t="s">
        <v>74</v>
      </c>
      <c r="C244" s="2">
        <v>1981.0</v>
      </c>
      <c r="D244" s="9">
        <v>167.83205</v>
      </c>
      <c r="E244" s="10" t="str">
        <f t="array" ref="E244">IFS(D244&lt;=$G$3,'calculated data '!$A$3,D244&lt;=$G$4,'calculated data '!$A$4,D244&lt;=$G$6,'calculated data '!$A$5,D244&gt;=$G$6,'calculated data '!$A$6)</f>
        <v>Low Demand Tier</v>
      </c>
      <c r="F244" s="10">
        <f t="shared" si="1"/>
        <v>-0.6587290023</v>
      </c>
    </row>
    <row r="245" ht="14.25" customHeight="1">
      <c r="A245" s="2" t="s">
        <v>75</v>
      </c>
      <c r="B245" s="2" t="s">
        <v>76</v>
      </c>
      <c r="C245" s="2">
        <v>2001.0</v>
      </c>
      <c r="D245" s="9">
        <v>172.26837</v>
      </c>
      <c r="E245" s="10" t="str">
        <f t="array" ref="E245">IFS(D245&lt;=$G$3,'calculated data '!$A$3,D245&lt;=$G$4,'calculated data '!$A$4,D245&lt;=$G$6,'calculated data '!$A$5,D245&gt;=$G$6,'calculated data '!$A$6)</f>
        <v>Low Demand Tier</v>
      </c>
      <c r="F245" s="10">
        <f t="shared" si="1"/>
        <v>-0.658611574</v>
      </c>
    </row>
    <row r="246" ht="14.25" customHeight="1">
      <c r="A246" s="2" t="s">
        <v>73</v>
      </c>
      <c r="B246" s="2" t="s">
        <v>74</v>
      </c>
      <c r="C246" s="2">
        <v>1987.0</v>
      </c>
      <c r="D246" s="9">
        <v>173.84134</v>
      </c>
      <c r="E246" s="10" t="str">
        <f t="array" ref="E246">IFS(D246&lt;=$G$3,'calculated data '!$A$3,D246&lt;=$G$4,'calculated data '!$A$4,D246&lt;=$G$6,'calculated data '!$A$5,D246&gt;=$G$6,'calculated data '!$A$6)</f>
        <v>Low Demand Tier</v>
      </c>
      <c r="F246" s="10">
        <f t="shared" si="1"/>
        <v>-0.6585699379</v>
      </c>
    </row>
    <row r="247" ht="14.25" customHeight="1">
      <c r="A247" s="2" t="s">
        <v>65</v>
      </c>
      <c r="B247" s="2" t="s">
        <v>66</v>
      </c>
      <c r="C247" s="2">
        <v>2003.0</v>
      </c>
      <c r="D247" s="9">
        <v>174.55792</v>
      </c>
      <c r="E247" s="10" t="str">
        <f t="array" ref="E247">IFS(D247&lt;=$G$3,'calculated data '!$A$3,D247&lt;=$G$4,'calculated data '!$A$4,D247&lt;=$G$6,'calculated data '!$A$5,D247&gt;=$G$6,'calculated data '!$A$6)</f>
        <v>Low Demand Tier</v>
      </c>
      <c r="F247" s="10">
        <f t="shared" si="1"/>
        <v>-0.6585509702</v>
      </c>
    </row>
    <row r="248" ht="14.25" customHeight="1">
      <c r="A248" s="2" t="s">
        <v>53</v>
      </c>
      <c r="B248" s="2" t="s">
        <v>54</v>
      </c>
      <c r="C248" s="2">
        <v>2011.0</v>
      </c>
      <c r="D248" s="9">
        <v>174.73138</v>
      </c>
      <c r="E248" s="10" t="str">
        <f t="array" ref="E248">IFS(D248&lt;=$G$3,'calculated data '!$A$3,D248&lt;=$G$4,'calculated data '!$A$4,D248&lt;=$G$6,'calculated data '!$A$5,D248&gt;=$G$6,'calculated data '!$A$6)</f>
        <v>Low Demand Tier</v>
      </c>
      <c r="F248" s="10">
        <f t="shared" si="1"/>
        <v>-0.6585463788</v>
      </c>
    </row>
    <row r="249" ht="14.25" customHeight="1">
      <c r="A249" s="2" t="s">
        <v>55</v>
      </c>
      <c r="B249" s="2" t="s">
        <v>56</v>
      </c>
      <c r="C249" s="2">
        <v>2012.0</v>
      </c>
      <c r="D249" s="9">
        <v>175.83287</v>
      </c>
      <c r="E249" s="10" t="str">
        <f t="array" ref="E249">IFS(D249&lt;=$G$3,'calculated data '!$A$3,D249&lt;=$G$4,'calculated data '!$A$4,D249&lt;=$G$6,'calculated data '!$A$5,D249&gt;=$G$6,'calculated data '!$A$6)</f>
        <v>Low Demand Tier</v>
      </c>
      <c r="F249" s="10">
        <f t="shared" si="1"/>
        <v>-0.6585172226</v>
      </c>
    </row>
    <row r="250" ht="14.25" customHeight="1">
      <c r="A250" s="2" t="s">
        <v>55</v>
      </c>
      <c r="B250" s="2" t="s">
        <v>56</v>
      </c>
      <c r="C250" s="2">
        <v>2001.0</v>
      </c>
      <c r="D250" s="9">
        <v>177.2245</v>
      </c>
      <c r="E250" s="10" t="str">
        <f t="array" ref="E250">IFS(D250&lt;=$G$3,'calculated data '!$A$3,D250&lt;=$G$4,'calculated data '!$A$4,D250&lt;=$G$6,'calculated data '!$A$5,D250&gt;=$G$6,'calculated data '!$A$6)</f>
        <v>Low Demand Tier</v>
      </c>
      <c r="F250" s="10">
        <f t="shared" si="1"/>
        <v>-0.6584803865</v>
      </c>
    </row>
    <row r="251" ht="14.25" customHeight="1">
      <c r="A251" s="2" t="s">
        <v>75</v>
      </c>
      <c r="B251" s="2" t="s">
        <v>76</v>
      </c>
      <c r="C251" s="2">
        <v>2002.0</v>
      </c>
      <c r="D251" s="9">
        <v>178.12486</v>
      </c>
      <c r="E251" s="10" t="str">
        <f t="array" ref="E251">IFS(D251&lt;=$G$3,'calculated data '!$A$3,D251&lt;=$G$4,'calculated data '!$A$4,D251&lt;=$G$6,'calculated data '!$A$5,D251&gt;=$G$6,'calculated data '!$A$6)</f>
        <v>Low Demand Tier</v>
      </c>
      <c r="F251" s="10">
        <f t="shared" si="1"/>
        <v>-0.6584565542</v>
      </c>
    </row>
    <row r="252" ht="14.25" customHeight="1">
      <c r="A252" s="2" t="s">
        <v>59</v>
      </c>
      <c r="B252" s="2" t="s">
        <v>60</v>
      </c>
      <c r="C252" s="2">
        <v>1986.0</v>
      </c>
      <c r="D252" s="9">
        <v>178.2067</v>
      </c>
      <c r="E252" s="10" t="str">
        <f t="array" ref="E252">IFS(D252&lt;=$G$3,'calculated data '!$A$3,D252&lt;=$G$4,'calculated data '!$A$4,D252&lt;=$G$6,'calculated data '!$A$5,D252&gt;=$G$6,'calculated data '!$A$6)</f>
        <v>Low Demand Tier</v>
      </c>
      <c r="F252" s="10">
        <f t="shared" si="1"/>
        <v>-0.6584543879</v>
      </c>
    </row>
    <row r="253" ht="14.25" customHeight="1">
      <c r="A253" s="2" t="s">
        <v>73</v>
      </c>
      <c r="B253" s="2" t="s">
        <v>74</v>
      </c>
      <c r="C253" s="2">
        <v>1983.0</v>
      </c>
      <c r="D253" s="9">
        <v>178.5643</v>
      </c>
      <c r="E253" s="10" t="str">
        <f t="array" ref="E253">IFS(D253&lt;=$G$3,'calculated data '!$A$3,D253&lt;=$G$4,'calculated data '!$A$4,D253&lt;=$G$6,'calculated data '!$A$5,D253&gt;=$G$6,'calculated data '!$A$6)</f>
        <v>Low Demand Tier</v>
      </c>
      <c r="F253" s="10">
        <f t="shared" si="1"/>
        <v>-0.6584449223</v>
      </c>
    </row>
    <row r="254" ht="14.25" customHeight="1">
      <c r="A254" s="2" t="s">
        <v>65</v>
      </c>
      <c r="B254" s="2" t="s">
        <v>66</v>
      </c>
      <c r="C254" s="2">
        <v>2001.0</v>
      </c>
      <c r="D254" s="9">
        <v>179.8919</v>
      </c>
      <c r="E254" s="10" t="str">
        <f t="array" ref="E254">IFS(D254&lt;=$G$3,'calculated data '!$A$3,D254&lt;=$G$4,'calculated data '!$A$4,D254&lt;=$G$6,'calculated data '!$A$5,D254&gt;=$G$6,'calculated data '!$A$6)</f>
        <v>Low Demand Tier</v>
      </c>
      <c r="F254" s="10">
        <f t="shared" si="1"/>
        <v>-0.6584097811</v>
      </c>
    </row>
    <row r="255" ht="14.25" customHeight="1">
      <c r="A255" s="2" t="s">
        <v>55</v>
      </c>
      <c r="B255" s="2" t="s">
        <v>56</v>
      </c>
      <c r="C255" s="2">
        <v>2016.0</v>
      </c>
      <c r="D255" s="9">
        <v>182.1317</v>
      </c>
      <c r="E255" s="10" t="str">
        <f t="array" ref="E255">IFS(D255&lt;=$G$3,'calculated data '!$A$3,D255&lt;=$G$4,'calculated data '!$A$4,D255&lt;=$G$6,'calculated data '!$A$5,D255&gt;=$G$6,'calculated data '!$A$6)</f>
        <v>Low Demand Tier</v>
      </c>
      <c r="F255" s="10">
        <f t="shared" si="1"/>
        <v>-0.6583504942</v>
      </c>
    </row>
    <row r="256" ht="14.25" customHeight="1">
      <c r="A256" s="2" t="s">
        <v>69</v>
      </c>
      <c r="B256" s="2" t="s">
        <v>70</v>
      </c>
      <c r="C256" s="2">
        <v>2014.0</v>
      </c>
      <c r="D256" s="9">
        <v>182.18925</v>
      </c>
      <c r="E256" s="10" t="str">
        <f t="array" ref="E256">IFS(D256&lt;=$G$3,'calculated data '!$A$3,D256&lt;=$G$4,'calculated data '!$A$4,D256&lt;=$G$6,'calculated data '!$A$5,D256&gt;=$G$6,'calculated data '!$A$6)</f>
        <v>Low Demand Tier</v>
      </c>
      <c r="F256" s="10">
        <f t="shared" si="1"/>
        <v>-0.6583489708</v>
      </c>
    </row>
    <row r="257" ht="14.25" customHeight="1">
      <c r="A257" s="2" t="s">
        <v>63</v>
      </c>
      <c r="B257" s="2" t="s">
        <v>64</v>
      </c>
      <c r="C257" s="2">
        <v>1994.0</v>
      </c>
      <c r="D257" s="9">
        <v>183.87894</v>
      </c>
      <c r="E257" s="10" t="str">
        <f t="array" ref="E257">IFS(D257&lt;=$G$3,'calculated data '!$A$3,D257&lt;=$G$4,'calculated data '!$A$4,D257&lt;=$G$6,'calculated data '!$A$5,D257&gt;=$G$6,'calculated data '!$A$6)</f>
        <v>Low Demand Tier</v>
      </c>
      <c r="F257" s="10">
        <f t="shared" si="1"/>
        <v>-0.6583042451</v>
      </c>
    </row>
    <row r="258" ht="14.25" customHeight="1">
      <c r="A258" s="2" t="s">
        <v>59</v>
      </c>
      <c r="B258" s="2" t="s">
        <v>60</v>
      </c>
      <c r="C258" s="2">
        <v>1989.0</v>
      </c>
      <c r="D258" s="9">
        <v>183.99046</v>
      </c>
      <c r="E258" s="10" t="str">
        <f t="array" ref="E258">IFS(D258&lt;=$G$3,'calculated data '!$A$3,D258&lt;=$G$4,'calculated data '!$A$4,D258&lt;=$G$6,'calculated data '!$A$5,D258&gt;=$G$6,'calculated data '!$A$6)</f>
        <v>Low Demand Tier</v>
      </c>
      <c r="F258" s="10">
        <f t="shared" si="1"/>
        <v>-0.6583012932</v>
      </c>
    </row>
    <row r="259" ht="14.25" customHeight="1">
      <c r="A259" s="2" t="s">
        <v>73</v>
      </c>
      <c r="B259" s="2" t="s">
        <v>74</v>
      </c>
      <c r="C259" s="2">
        <v>1984.0</v>
      </c>
      <c r="D259" s="9">
        <v>185.34772</v>
      </c>
      <c r="E259" s="10" t="str">
        <f t="array" ref="E259">IFS(D259&lt;=$G$3,'calculated data '!$A$3,D259&lt;=$G$4,'calculated data '!$A$4,D259&lt;=$G$6,'calculated data '!$A$5,D259&gt;=$G$6,'calculated data '!$A$6)</f>
        <v>Low Demand Tier</v>
      </c>
      <c r="F259" s="10">
        <f t="shared" si="1"/>
        <v>-0.6582653669</v>
      </c>
    </row>
    <row r="260" ht="14.25" customHeight="1">
      <c r="A260" s="2" t="s">
        <v>59</v>
      </c>
      <c r="B260" s="2" t="s">
        <v>60</v>
      </c>
      <c r="C260" s="2">
        <v>1988.0</v>
      </c>
      <c r="D260" s="9">
        <v>185.79716</v>
      </c>
      <c r="E260" s="10" t="str">
        <f t="array" ref="E260">IFS(D260&lt;=$G$3,'calculated data '!$A$3,D260&lt;=$G$4,'calculated data '!$A$4,D260&lt;=$G$6,'calculated data '!$A$5,D260&gt;=$G$6,'calculated data '!$A$6)</f>
        <v>Low Demand Tier</v>
      </c>
      <c r="F260" s="10">
        <f t="shared" si="1"/>
        <v>-0.6582534703</v>
      </c>
    </row>
    <row r="261" ht="14.25" customHeight="1">
      <c r="A261" s="2" t="s">
        <v>21</v>
      </c>
      <c r="B261" s="2" t="s">
        <v>22</v>
      </c>
      <c r="C261" s="2">
        <v>1971.0</v>
      </c>
      <c r="D261" s="9">
        <v>185.8994</v>
      </c>
      <c r="E261" s="10" t="str">
        <f t="array" ref="E261">IFS(D261&lt;=$G$3,'calculated data '!$A$3,D261&lt;=$G$4,'calculated data '!$A$4,D261&lt;=$G$6,'calculated data '!$A$5,D261&gt;=$G$6,'calculated data '!$A$6)</f>
        <v>Low Demand Tier</v>
      </c>
      <c r="F261" s="10">
        <f t="shared" si="1"/>
        <v>-0.6582507641</v>
      </c>
    </row>
    <row r="262" ht="14.25" customHeight="1">
      <c r="A262" s="2" t="s">
        <v>55</v>
      </c>
      <c r="B262" s="2" t="s">
        <v>56</v>
      </c>
      <c r="C262" s="2">
        <v>2013.0</v>
      </c>
      <c r="D262" s="9">
        <v>186.60037</v>
      </c>
      <c r="E262" s="10" t="str">
        <f t="array" ref="E262">IFS(D262&lt;=$G$3,'calculated data '!$A$3,D262&lt;=$G$4,'calculated data '!$A$4,D262&lt;=$G$6,'calculated data '!$A$5,D262&gt;=$G$6,'calculated data '!$A$6)</f>
        <v>Low Demand Tier</v>
      </c>
      <c r="F262" s="10">
        <f t="shared" si="1"/>
        <v>-0.6582322096</v>
      </c>
    </row>
    <row r="263" ht="14.25" customHeight="1">
      <c r="A263" s="2" t="s">
        <v>53</v>
      </c>
      <c r="B263" s="2" t="s">
        <v>54</v>
      </c>
      <c r="C263" s="2">
        <v>1987.0</v>
      </c>
      <c r="D263" s="9">
        <v>186.91896</v>
      </c>
      <c r="E263" s="10" t="str">
        <f t="array" ref="E263">IFS(D263&lt;=$G$3,'calculated data '!$A$3,D263&lt;=$G$4,'calculated data '!$A$4,D263&lt;=$G$6,'calculated data '!$A$5,D263&gt;=$G$6,'calculated data '!$A$6)</f>
        <v>Low Demand Tier</v>
      </c>
      <c r="F263" s="10">
        <f t="shared" si="1"/>
        <v>-0.6582237766</v>
      </c>
    </row>
    <row r="264" ht="14.25" customHeight="1">
      <c r="A264" s="2" t="s">
        <v>75</v>
      </c>
      <c r="B264" s="2" t="s">
        <v>76</v>
      </c>
      <c r="C264" s="2">
        <v>2000.0</v>
      </c>
      <c r="D264" s="9">
        <v>187.42914</v>
      </c>
      <c r="E264" s="10" t="str">
        <f t="array" ref="E264">IFS(D264&lt;=$G$3,'calculated data '!$A$3,D264&lt;=$G$4,'calculated data '!$A$4,D264&lt;=$G$6,'calculated data '!$A$5,D264&gt;=$G$6,'calculated data '!$A$6)</f>
        <v>Low Demand Tier</v>
      </c>
      <c r="F264" s="10">
        <f t="shared" si="1"/>
        <v>-0.6582102722</v>
      </c>
    </row>
    <row r="265" ht="14.25" customHeight="1">
      <c r="A265" s="2" t="s">
        <v>75</v>
      </c>
      <c r="B265" s="2" t="s">
        <v>76</v>
      </c>
      <c r="C265" s="2">
        <v>2003.0</v>
      </c>
      <c r="D265" s="9">
        <v>188.63261</v>
      </c>
      <c r="E265" s="10" t="str">
        <f t="array" ref="E265">IFS(D265&lt;=$G$3,'calculated data '!$A$3,D265&lt;=$G$4,'calculated data '!$A$4,D265&lt;=$G$6,'calculated data '!$A$5,D265&gt;=$G$6,'calculated data '!$A$6)</f>
        <v>Low Demand Tier</v>
      </c>
      <c r="F265" s="10">
        <f t="shared" si="1"/>
        <v>-0.6581784167</v>
      </c>
    </row>
    <row r="266" ht="14.25" customHeight="1">
      <c r="A266" s="2" t="s">
        <v>73</v>
      </c>
      <c r="B266" s="2" t="s">
        <v>74</v>
      </c>
      <c r="C266" s="2">
        <v>1982.0</v>
      </c>
      <c r="D266" s="9">
        <v>190.8068</v>
      </c>
      <c r="E266" s="10" t="str">
        <f t="array" ref="E266">IFS(D266&lt;=$G$3,'calculated data '!$A$3,D266&lt;=$G$4,'calculated data '!$A$4,D266&lt;=$G$6,'calculated data '!$A$5,D266&gt;=$G$6,'calculated data '!$A$6)</f>
        <v>Low Demand Tier</v>
      </c>
      <c r="F266" s="10">
        <f t="shared" si="1"/>
        <v>-0.6581208664</v>
      </c>
    </row>
    <row r="267" ht="14.25" customHeight="1">
      <c r="A267" s="2" t="s">
        <v>63</v>
      </c>
      <c r="B267" s="2" t="s">
        <v>64</v>
      </c>
      <c r="C267" s="2">
        <v>1998.0</v>
      </c>
      <c r="D267" s="9">
        <v>191.173</v>
      </c>
      <c r="E267" s="10" t="str">
        <f t="array" ref="E267">IFS(D267&lt;=$G$3,'calculated data '!$A$3,D267&lt;=$G$4,'calculated data '!$A$4,D267&lt;=$G$6,'calculated data '!$A$5,D267&gt;=$G$6,'calculated data '!$A$6)</f>
        <v>Low Demand Tier</v>
      </c>
      <c r="F267" s="10">
        <f t="shared" si="1"/>
        <v>-0.6581111732</v>
      </c>
    </row>
    <row r="268" ht="14.25" customHeight="1">
      <c r="A268" s="2" t="s">
        <v>63</v>
      </c>
      <c r="B268" s="2" t="s">
        <v>64</v>
      </c>
      <c r="C268" s="2">
        <v>1995.0</v>
      </c>
      <c r="D268" s="9">
        <v>191.52744</v>
      </c>
      <c r="E268" s="10" t="str">
        <f t="array" ref="E268">IFS(D268&lt;=$G$3,'calculated data '!$A$3,D268&lt;=$G$4,'calculated data '!$A$4,D268&lt;=$G$6,'calculated data '!$A$5,D268&gt;=$G$6,'calculated data '!$A$6)</f>
        <v>Low Demand Tier</v>
      </c>
      <c r="F268" s="10">
        <f t="shared" si="1"/>
        <v>-0.6581017913</v>
      </c>
    </row>
    <row r="269" ht="14.25" customHeight="1">
      <c r="A269" s="2" t="s">
        <v>59</v>
      </c>
      <c r="B269" s="2" t="s">
        <v>60</v>
      </c>
      <c r="C269" s="2">
        <v>1990.0</v>
      </c>
      <c r="D269" s="9">
        <v>191.96428</v>
      </c>
      <c r="E269" s="10" t="str">
        <f t="array" ref="E269">IFS(D269&lt;=$G$3,'calculated data '!$A$3,D269&lt;=$G$4,'calculated data '!$A$4,D269&lt;=$G$6,'calculated data '!$A$5,D269&gt;=$G$6,'calculated data '!$A$6)</f>
        <v>Low Demand Tier</v>
      </c>
      <c r="F269" s="10">
        <f t="shared" si="1"/>
        <v>-0.6580902282</v>
      </c>
    </row>
    <row r="270" ht="14.25" customHeight="1">
      <c r="A270" s="2" t="s">
        <v>73</v>
      </c>
      <c r="B270" s="2" t="s">
        <v>74</v>
      </c>
      <c r="C270" s="2">
        <v>1985.0</v>
      </c>
      <c r="D270" s="9">
        <v>193.04007</v>
      </c>
      <c r="E270" s="10" t="str">
        <f t="array" ref="E270">IFS(D270&lt;=$G$3,'calculated data '!$A$3,D270&lt;=$G$4,'calculated data '!$A$4,D270&lt;=$G$6,'calculated data '!$A$5,D270&gt;=$G$6,'calculated data '!$A$6)</f>
        <v>Low Demand Tier</v>
      </c>
      <c r="F270" s="10">
        <f t="shared" si="1"/>
        <v>-0.6580617523</v>
      </c>
    </row>
    <row r="271" ht="14.25" customHeight="1">
      <c r="A271" s="2" t="s">
        <v>59</v>
      </c>
      <c r="B271" s="2" t="s">
        <v>60</v>
      </c>
      <c r="C271" s="2">
        <v>1987.0</v>
      </c>
      <c r="D271" s="9">
        <v>193.17833</v>
      </c>
      <c r="E271" s="10" t="str">
        <f t="array" ref="E271">IFS(D271&lt;=$G$3,'calculated data '!$A$3,D271&lt;=$G$4,'calculated data '!$A$4,D271&lt;=$G$6,'calculated data '!$A$5,D271&gt;=$G$6,'calculated data '!$A$6)</f>
        <v>Low Demand Tier</v>
      </c>
      <c r="F271" s="10">
        <f t="shared" si="1"/>
        <v>-0.6580580926</v>
      </c>
    </row>
    <row r="272" ht="14.25" customHeight="1">
      <c r="A272" s="2" t="s">
        <v>61</v>
      </c>
      <c r="B272" s="2" t="s">
        <v>62</v>
      </c>
      <c r="C272" s="2">
        <v>1986.0</v>
      </c>
      <c r="D272" s="9">
        <v>193.19797</v>
      </c>
      <c r="E272" s="10" t="str">
        <f t="array" ref="E272">IFS(D272&lt;=$G$3,'calculated data '!$A$3,D272&lt;=$G$4,'calculated data '!$A$4,D272&lt;=$G$6,'calculated data '!$A$5,D272&gt;=$G$6,'calculated data '!$A$6)</f>
        <v>Low Demand Tier</v>
      </c>
      <c r="F272" s="10">
        <f t="shared" si="1"/>
        <v>-0.6580575727</v>
      </c>
    </row>
    <row r="273" ht="14.25" customHeight="1">
      <c r="A273" s="2" t="s">
        <v>55</v>
      </c>
      <c r="B273" s="2" t="s">
        <v>56</v>
      </c>
      <c r="C273" s="2">
        <v>2011.0</v>
      </c>
      <c r="D273" s="9">
        <v>196.50644</v>
      </c>
      <c r="E273" s="10" t="str">
        <f t="array" ref="E273">IFS(D273&lt;=$G$3,'calculated data '!$A$3,D273&lt;=$G$4,'calculated data '!$A$4,D273&lt;=$G$6,'calculated data '!$A$5,D273&gt;=$G$6,'calculated data '!$A$6)</f>
        <v>Low Demand Tier</v>
      </c>
      <c r="F273" s="10">
        <f t="shared" si="1"/>
        <v>-0.6579699984</v>
      </c>
    </row>
    <row r="274" ht="14.25" customHeight="1">
      <c r="A274" s="2" t="s">
        <v>73</v>
      </c>
      <c r="B274" s="2" t="s">
        <v>74</v>
      </c>
      <c r="C274" s="2">
        <v>1986.0</v>
      </c>
      <c r="D274" s="9">
        <v>198.61502</v>
      </c>
      <c r="E274" s="10" t="str">
        <f t="array" ref="E274">IFS(D274&lt;=$G$3,'calculated data '!$A$3,D274&lt;=$G$4,'calculated data '!$A$4,D274&lt;=$G$6,'calculated data '!$A$5,D274&gt;=$G$6,'calculated data '!$A$6)</f>
        <v>Low Demand Tier</v>
      </c>
      <c r="F274" s="10">
        <f t="shared" si="1"/>
        <v>-0.6579141848</v>
      </c>
    </row>
    <row r="275" ht="14.25" customHeight="1">
      <c r="A275" s="2" t="s">
        <v>75</v>
      </c>
      <c r="B275" s="2" t="s">
        <v>76</v>
      </c>
      <c r="C275" s="2">
        <v>2009.0</v>
      </c>
      <c r="D275" s="9">
        <v>201.9064</v>
      </c>
      <c r="E275" s="10" t="str">
        <f t="array" ref="E275">IFS(D275&lt;=$G$3,'calculated data '!$A$3,D275&lt;=$G$4,'calculated data '!$A$4,D275&lt;=$G$6,'calculated data '!$A$5,D275&gt;=$G$6,'calculated data '!$A$6)</f>
        <v>Low Demand Tier</v>
      </c>
      <c r="F275" s="10">
        <f t="shared" si="1"/>
        <v>-0.6578270628</v>
      </c>
    </row>
    <row r="276" ht="14.25" customHeight="1">
      <c r="A276" s="2" t="s">
        <v>71</v>
      </c>
      <c r="B276" s="2" t="s">
        <v>72</v>
      </c>
      <c r="C276" s="2">
        <v>1966.0</v>
      </c>
      <c r="D276" s="9">
        <v>203.50377</v>
      </c>
      <c r="E276" s="10" t="str">
        <f t="array" ref="E276">IFS(D276&lt;=$G$3,'calculated data '!$A$3,D276&lt;=$G$4,'calculated data '!$A$4,D276&lt;=$G$6,'calculated data '!$A$5,D276&gt;=$G$6,'calculated data '!$A$6)</f>
        <v>Low Demand Tier</v>
      </c>
      <c r="F276" s="10">
        <f t="shared" si="1"/>
        <v>-0.6577847808</v>
      </c>
    </row>
    <row r="277" ht="14.25" customHeight="1">
      <c r="A277" s="2" t="s">
        <v>65</v>
      </c>
      <c r="B277" s="2" t="s">
        <v>66</v>
      </c>
      <c r="C277" s="2">
        <v>2005.0</v>
      </c>
      <c r="D277" s="9">
        <v>205.46812</v>
      </c>
      <c r="E277" s="10" t="str">
        <f t="array" ref="E277">IFS(D277&lt;=$G$3,'calculated data '!$A$3,D277&lt;=$G$4,'calculated data '!$A$4,D277&lt;=$G$6,'calculated data '!$A$5,D277&gt;=$G$6,'calculated data '!$A$6)</f>
        <v>Low Demand Tier</v>
      </c>
      <c r="F277" s="10">
        <f t="shared" si="1"/>
        <v>-0.6577327849</v>
      </c>
    </row>
    <row r="278" ht="14.25" customHeight="1">
      <c r="A278" s="2" t="s">
        <v>69</v>
      </c>
      <c r="B278" s="2" t="s">
        <v>70</v>
      </c>
      <c r="C278" s="2">
        <v>2009.0</v>
      </c>
      <c r="D278" s="9">
        <v>207.1837</v>
      </c>
      <c r="E278" s="10" t="str">
        <f t="array" ref="E278">IFS(D278&lt;=$G$3,'calculated data '!$A$3,D278&lt;=$G$4,'calculated data '!$A$4,D278&lt;=$G$6,'calculated data '!$A$5,D278&gt;=$G$6,'calculated data '!$A$6)</f>
        <v>Low Demand Tier</v>
      </c>
      <c r="F278" s="10">
        <f t="shared" si="1"/>
        <v>-0.657687374</v>
      </c>
    </row>
    <row r="279" ht="14.25" customHeight="1">
      <c r="A279" s="2" t="s">
        <v>21</v>
      </c>
      <c r="B279" s="2" t="s">
        <v>22</v>
      </c>
      <c r="C279" s="2">
        <v>1972.0</v>
      </c>
      <c r="D279" s="9">
        <v>207.2559</v>
      </c>
      <c r="E279" s="10" t="str">
        <f t="array" ref="E279">IFS(D279&lt;=$G$3,'calculated data '!$A$3,D279&lt;=$G$4,'calculated data '!$A$4,D279&lt;=$G$6,'calculated data '!$A$5,D279&gt;=$G$6,'calculated data '!$A$6)</f>
        <v>Low Demand Tier</v>
      </c>
      <c r="F279" s="10">
        <f t="shared" si="1"/>
        <v>-0.6576854628</v>
      </c>
    </row>
    <row r="280" ht="14.25" customHeight="1">
      <c r="A280" s="2" t="s">
        <v>75</v>
      </c>
      <c r="B280" s="2" t="s">
        <v>76</v>
      </c>
      <c r="C280" s="2">
        <v>2004.0</v>
      </c>
      <c r="D280" s="9">
        <v>208.23726</v>
      </c>
      <c r="E280" s="10" t="str">
        <f t="array" ref="E280">IFS(D280&lt;=$G$3,'calculated data '!$A$3,D280&lt;=$G$4,'calculated data '!$A$4,D280&lt;=$G$6,'calculated data '!$A$5,D280&gt;=$G$6,'calculated data '!$A$6)</f>
        <v>Low Demand Tier</v>
      </c>
      <c r="F280" s="10">
        <f t="shared" si="1"/>
        <v>-0.6576594865</v>
      </c>
    </row>
    <row r="281" ht="14.25" customHeight="1">
      <c r="A281" s="2" t="s">
        <v>55</v>
      </c>
      <c r="B281" s="2" t="s">
        <v>56</v>
      </c>
      <c r="C281" s="2">
        <v>2017.0</v>
      </c>
      <c r="D281" s="9">
        <v>210.26073</v>
      </c>
      <c r="E281" s="10" t="str">
        <f t="array" ref="E281">IFS(D281&lt;=$G$3,'calculated data '!$A$3,D281&lt;=$G$4,'calculated data '!$A$4,D281&lt;=$G$6,'calculated data '!$A$5,D281&gt;=$G$6,'calculated data '!$A$6)</f>
        <v>Low Demand Tier</v>
      </c>
      <c r="F281" s="10">
        <f t="shared" si="1"/>
        <v>-0.6576059257</v>
      </c>
    </row>
    <row r="282" ht="14.25" customHeight="1">
      <c r="A282" s="2" t="s">
        <v>55</v>
      </c>
      <c r="B282" s="2" t="s">
        <v>56</v>
      </c>
      <c r="C282" s="2">
        <v>2007.0</v>
      </c>
      <c r="D282" s="9">
        <v>212.68973</v>
      </c>
      <c r="E282" s="10" t="str">
        <f t="array" ref="E282">IFS(D282&lt;=$G$3,'calculated data '!$A$3,D282&lt;=$G$4,'calculated data '!$A$4,D282&lt;=$G$6,'calculated data '!$A$5,D282&gt;=$G$6,'calculated data '!$A$6)</f>
        <v>Low Demand Tier</v>
      </c>
      <c r="F282" s="10">
        <f t="shared" si="1"/>
        <v>-0.6575416307</v>
      </c>
    </row>
    <row r="283" ht="14.25" customHeight="1">
      <c r="A283" s="2" t="s">
        <v>77</v>
      </c>
      <c r="B283" s="2" t="s">
        <v>78</v>
      </c>
      <c r="C283" s="2">
        <v>1985.0</v>
      </c>
      <c r="D283" s="9">
        <v>213.1797</v>
      </c>
      <c r="E283" s="10" t="str">
        <f t="array" ref="E283">IFS(D283&lt;=$G$3,'calculated data '!$A$3,D283&lt;=$G$4,'calculated data '!$A$4,D283&lt;=$G$6,'calculated data '!$A$5,D283&gt;=$G$6,'calculated data '!$A$6)</f>
        <v>Low Demand Tier</v>
      </c>
      <c r="F283" s="10">
        <f t="shared" si="1"/>
        <v>-0.6575286613</v>
      </c>
    </row>
    <row r="284" ht="14.25" customHeight="1">
      <c r="A284" s="2" t="s">
        <v>69</v>
      </c>
      <c r="B284" s="2" t="s">
        <v>70</v>
      </c>
      <c r="C284" s="2">
        <v>2010.0</v>
      </c>
      <c r="D284" s="9">
        <v>214.19595</v>
      </c>
      <c r="E284" s="10" t="str">
        <f t="array" ref="E284">IFS(D284&lt;=$G$3,'calculated data '!$A$3,D284&lt;=$G$4,'calculated data '!$A$4,D284&lt;=$G$6,'calculated data '!$A$5,D284&gt;=$G$6,'calculated data '!$A$6)</f>
        <v>Low Demand Tier</v>
      </c>
      <c r="F284" s="10">
        <f t="shared" si="1"/>
        <v>-0.6575017614</v>
      </c>
    </row>
    <row r="285" ht="14.25" customHeight="1">
      <c r="A285" s="2" t="s">
        <v>69</v>
      </c>
      <c r="B285" s="2" t="s">
        <v>70</v>
      </c>
      <c r="C285" s="2">
        <v>2008.0</v>
      </c>
      <c r="D285" s="9">
        <v>214.71378</v>
      </c>
      <c r="E285" s="10" t="str">
        <f t="array" ref="E285">IFS(D285&lt;=$G$3,'calculated data '!$A$3,D285&lt;=$G$4,'calculated data '!$A$4,D285&lt;=$G$6,'calculated data '!$A$5,D285&gt;=$G$6,'calculated data '!$A$6)</f>
        <v>Low Demand Tier</v>
      </c>
      <c r="F285" s="10">
        <f t="shared" si="1"/>
        <v>-0.6574880546</v>
      </c>
    </row>
    <row r="286" ht="14.25" customHeight="1">
      <c r="A286" s="2" t="s">
        <v>55</v>
      </c>
      <c r="B286" s="2" t="s">
        <v>56</v>
      </c>
      <c r="C286" s="2">
        <v>1988.0</v>
      </c>
      <c r="D286" s="9">
        <v>214.76945</v>
      </c>
      <c r="E286" s="10" t="str">
        <f t="array" ref="E286">IFS(D286&lt;=$G$3,'calculated data '!$A$3,D286&lt;=$G$4,'calculated data '!$A$4,D286&lt;=$G$6,'calculated data '!$A$5,D286&gt;=$G$6,'calculated data '!$A$6)</f>
        <v>Low Demand Tier</v>
      </c>
      <c r="F286" s="10">
        <f t="shared" si="1"/>
        <v>-0.657486581</v>
      </c>
    </row>
    <row r="287" ht="14.25" customHeight="1">
      <c r="A287" s="2" t="s">
        <v>53</v>
      </c>
      <c r="B287" s="2" t="s">
        <v>54</v>
      </c>
      <c r="C287" s="2">
        <v>1992.0</v>
      </c>
      <c r="D287" s="9">
        <v>214.90076</v>
      </c>
      <c r="E287" s="10" t="str">
        <f t="array" ref="E287">IFS(D287&lt;=$G$3,'calculated data '!$A$3,D287&lt;=$G$4,'calculated data '!$A$4,D287&lt;=$G$6,'calculated data '!$A$5,D287&gt;=$G$6,'calculated data '!$A$6)</f>
        <v>Low Demand Tier</v>
      </c>
      <c r="F287" s="10">
        <f t="shared" si="1"/>
        <v>-0.6574831053</v>
      </c>
    </row>
    <row r="288" ht="14.25" customHeight="1">
      <c r="A288" s="2" t="s">
        <v>53</v>
      </c>
      <c r="B288" s="2" t="s">
        <v>54</v>
      </c>
      <c r="C288" s="2">
        <v>1986.0</v>
      </c>
      <c r="D288" s="9">
        <v>217.95201</v>
      </c>
      <c r="E288" s="10" t="str">
        <f t="array" ref="E288">IFS(D288&lt;=$G$3,'calculated data '!$A$3,D288&lt;=$G$4,'calculated data '!$A$4,D288&lt;=$G$6,'calculated data '!$A$5,D288&gt;=$G$6,'calculated data '!$A$6)</f>
        <v>Low Demand Tier</v>
      </c>
      <c r="F288" s="10">
        <f t="shared" si="1"/>
        <v>-0.6574023395</v>
      </c>
    </row>
    <row r="289" ht="14.25" customHeight="1">
      <c r="A289" s="2" t="s">
        <v>61</v>
      </c>
      <c r="B289" s="2" t="s">
        <v>62</v>
      </c>
      <c r="C289" s="2">
        <v>1999.0</v>
      </c>
      <c r="D289" s="9">
        <v>218.84958</v>
      </c>
      <c r="E289" s="10" t="str">
        <f t="array" ref="E289">IFS(D289&lt;=$G$3,'calculated data '!$A$3,D289&lt;=$G$4,'calculated data '!$A$4,D289&lt;=$G$6,'calculated data '!$A$5,D289&gt;=$G$6,'calculated data '!$A$6)</f>
        <v>Low Demand Tier</v>
      </c>
      <c r="F289" s="10">
        <f t="shared" si="1"/>
        <v>-0.657378581</v>
      </c>
    </row>
    <row r="290" ht="14.25" customHeight="1">
      <c r="A290" s="2" t="s">
        <v>61</v>
      </c>
      <c r="B290" s="2" t="s">
        <v>62</v>
      </c>
      <c r="C290" s="2">
        <v>1987.0</v>
      </c>
      <c r="D290" s="9">
        <v>220.33708</v>
      </c>
      <c r="E290" s="10" t="str">
        <f t="array" ref="E290">IFS(D290&lt;=$G$3,'calculated data '!$A$3,D290&lt;=$G$4,'calculated data '!$A$4,D290&lt;=$G$6,'calculated data '!$A$5,D290&gt;=$G$6,'calculated data '!$A$6)</f>
        <v>Low Demand Tier</v>
      </c>
      <c r="F290" s="10">
        <f t="shared" si="1"/>
        <v>-0.6573392073</v>
      </c>
    </row>
    <row r="291" ht="14.25" customHeight="1">
      <c r="A291" s="2" t="s">
        <v>77</v>
      </c>
      <c r="B291" s="2" t="s">
        <v>78</v>
      </c>
      <c r="C291" s="2">
        <v>1990.0</v>
      </c>
      <c r="D291" s="9">
        <v>220.59166</v>
      </c>
      <c r="E291" s="10" t="str">
        <f t="array" ref="E291">IFS(D291&lt;=$G$3,'calculated data '!$A$3,D291&lt;=$G$4,'calculated data '!$A$4,D291&lt;=$G$6,'calculated data '!$A$5,D291&gt;=$G$6,'calculated data '!$A$6)</f>
        <v>Low Demand Tier</v>
      </c>
      <c r="F291" s="10">
        <f t="shared" si="1"/>
        <v>-0.6573324686</v>
      </c>
    </row>
    <row r="292" ht="14.25" customHeight="1">
      <c r="A292" s="2" t="s">
        <v>79</v>
      </c>
      <c r="B292" s="2" t="s">
        <v>80</v>
      </c>
      <c r="C292" s="2">
        <v>1994.0</v>
      </c>
      <c r="D292" s="9">
        <v>221.04395</v>
      </c>
      <c r="E292" s="10" t="str">
        <f t="array" ref="E292">IFS(D292&lt;=$G$3,'calculated data '!$A$3,D292&lt;=$G$4,'calculated data '!$A$4,D292&lt;=$G$6,'calculated data '!$A$5,D292&gt;=$G$6,'calculated data '!$A$6)</f>
        <v>Low Demand Tier</v>
      </c>
      <c r="F292" s="10">
        <f t="shared" si="1"/>
        <v>-0.6573204966</v>
      </c>
    </row>
    <row r="293" ht="14.25" customHeight="1">
      <c r="A293" s="2" t="s">
        <v>77</v>
      </c>
      <c r="B293" s="2" t="s">
        <v>78</v>
      </c>
      <c r="C293" s="2">
        <v>1989.0</v>
      </c>
      <c r="D293" s="9">
        <v>222.04158</v>
      </c>
      <c r="E293" s="10" t="str">
        <f t="array" ref="E293">IFS(D293&lt;=$G$3,'calculated data '!$A$3,D293&lt;=$G$4,'calculated data '!$A$4,D293&lt;=$G$6,'calculated data '!$A$5,D293&gt;=$G$6,'calculated data '!$A$6)</f>
        <v>Low Demand Tier</v>
      </c>
      <c r="F293" s="10">
        <f t="shared" si="1"/>
        <v>-0.6572940896</v>
      </c>
    </row>
    <row r="294" ht="14.25" customHeight="1">
      <c r="A294" s="2" t="s">
        <v>61</v>
      </c>
      <c r="B294" s="2" t="s">
        <v>62</v>
      </c>
      <c r="C294" s="2">
        <v>1995.0</v>
      </c>
      <c r="D294" s="9">
        <v>222.3149</v>
      </c>
      <c r="E294" s="10" t="str">
        <f t="array" ref="E294">IFS(D294&lt;=$G$3,'calculated data '!$A$3,D294&lt;=$G$4,'calculated data '!$A$4,D294&lt;=$G$6,'calculated data '!$A$5,D294&gt;=$G$6,'calculated data '!$A$6)</f>
        <v>Low Demand Tier</v>
      </c>
      <c r="F294" s="10">
        <f t="shared" si="1"/>
        <v>-0.6572868549</v>
      </c>
    </row>
    <row r="295" ht="14.25" customHeight="1">
      <c r="A295" s="2" t="s">
        <v>59</v>
      </c>
      <c r="B295" s="2" t="s">
        <v>60</v>
      </c>
      <c r="C295" s="2">
        <v>1991.0</v>
      </c>
      <c r="D295" s="9">
        <v>222.97385</v>
      </c>
      <c r="E295" s="10" t="str">
        <f t="array" ref="E295">IFS(D295&lt;=$G$3,'calculated data '!$A$3,D295&lt;=$G$4,'calculated data '!$A$4,D295&lt;=$G$6,'calculated data '!$A$5,D295&gt;=$G$6,'calculated data '!$A$6)</f>
        <v>Low Demand Tier</v>
      </c>
      <c r="F295" s="10">
        <f t="shared" si="1"/>
        <v>-0.6572694126</v>
      </c>
    </row>
    <row r="296" ht="14.25" customHeight="1">
      <c r="A296" s="2" t="s">
        <v>63</v>
      </c>
      <c r="B296" s="2" t="s">
        <v>64</v>
      </c>
      <c r="C296" s="2">
        <v>1981.0</v>
      </c>
      <c r="D296" s="9">
        <v>223.02469</v>
      </c>
      <c r="E296" s="10" t="str">
        <f t="array" ref="E296">IFS(D296&lt;=$G$3,'calculated data '!$A$3,D296&lt;=$G$4,'calculated data '!$A$4,D296&lt;=$G$6,'calculated data '!$A$5,D296&gt;=$G$6,'calculated data '!$A$6)</f>
        <v>Low Demand Tier</v>
      </c>
      <c r="F296" s="10">
        <f t="shared" si="1"/>
        <v>-0.6572680669</v>
      </c>
    </row>
    <row r="297" ht="14.25" customHeight="1">
      <c r="A297" s="2" t="s">
        <v>53</v>
      </c>
      <c r="B297" s="2" t="s">
        <v>54</v>
      </c>
      <c r="C297" s="2">
        <v>1991.0</v>
      </c>
      <c r="D297" s="9">
        <v>223.60223</v>
      </c>
      <c r="E297" s="10" t="str">
        <f t="array" ref="E297">IFS(D297&lt;=$G$3,'calculated data '!$A$3,D297&lt;=$G$4,'calculated data '!$A$4,D297&lt;=$G$6,'calculated data '!$A$5,D297&gt;=$G$6,'calculated data '!$A$6)</f>
        <v>Low Demand Tier</v>
      </c>
      <c r="F297" s="10">
        <f t="shared" si="1"/>
        <v>-0.6572527796</v>
      </c>
    </row>
    <row r="298" ht="14.25" customHeight="1">
      <c r="A298" s="2" t="s">
        <v>75</v>
      </c>
      <c r="B298" s="2" t="s">
        <v>76</v>
      </c>
      <c r="C298" s="2">
        <v>2008.0</v>
      </c>
      <c r="D298" s="9">
        <v>223.66545</v>
      </c>
      <c r="E298" s="10" t="str">
        <f t="array" ref="E298">IFS(D298&lt;=$G$3,'calculated data '!$A$3,D298&lt;=$G$4,'calculated data '!$A$4,D298&lt;=$G$6,'calculated data '!$A$5,D298&gt;=$G$6,'calculated data '!$A$6)</f>
        <v>Low Demand Tier</v>
      </c>
      <c r="F298" s="10">
        <f t="shared" si="1"/>
        <v>-0.6572511061</v>
      </c>
    </row>
    <row r="299" ht="14.25" customHeight="1">
      <c r="A299" s="2" t="s">
        <v>73</v>
      </c>
      <c r="B299" s="2" t="s">
        <v>74</v>
      </c>
      <c r="C299" s="2">
        <v>1989.0</v>
      </c>
      <c r="D299" s="9">
        <v>223.97394</v>
      </c>
      <c r="E299" s="10" t="str">
        <f t="array" ref="E299">IFS(D299&lt;=$G$3,'calculated data '!$A$3,D299&lt;=$G$4,'calculated data '!$A$4,D299&lt;=$G$6,'calculated data '!$A$5,D299&gt;=$G$6,'calculated data '!$A$6)</f>
        <v>Low Demand Tier</v>
      </c>
      <c r="F299" s="10">
        <f t="shared" si="1"/>
        <v>-0.6572429405</v>
      </c>
    </row>
    <row r="300" ht="14.25" customHeight="1">
      <c r="A300" s="2" t="s">
        <v>63</v>
      </c>
      <c r="B300" s="2" t="s">
        <v>64</v>
      </c>
      <c r="C300" s="2">
        <v>1991.0</v>
      </c>
      <c r="D300" s="9">
        <v>224.46619</v>
      </c>
      <c r="E300" s="10" t="str">
        <f t="array" ref="E300">IFS(D300&lt;=$G$3,'calculated data '!$A$3,D300&lt;=$G$4,'calculated data '!$A$4,D300&lt;=$G$6,'calculated data '!$A$5,D300&gt;=$G$6,'calculated data '!$A$6)</f>
        <v>Low Demand Tier</v>
      </c>
      <c r="F300" s="10">
        <f t="shared" si="1"/>
        <v>-0.6572299107</v>
      </c>
    </row>
    <row r="301" ht="14.25" customHeight="1">
      <c r="A301" s="2" t="s">
        <v>61</v>
      </c>
      <c r="B301" s="2" t="s">
        <v>62</v>
      </c>
      <c r="C301" s="2">
        <v>1998.0</v>
      </c>
      <c r="D301" s="9">
        <v>225.01915</v>
      </c>
      <c r="E301" s="10" t="str">
        <f t="array" ref="E301">IFS(D301&lt;=$G$3,'calculated data '!$A$3,D301&lt;=$G$4,'calculated data '!$A$4,D301&lt;=$G$6,'calculated data '!$A$5,D301&gt;=$G$6,'calculated data '!$A$6)</f>
        <v>Low Demand Tier</v>
      </c>
      <c r="F301" s="10">
        <f t="shared" si="1"/>
        <v>-0.657215274</v>
      </c>
    </row>
    <row r="302" ht="14.25" customHeight="1">
      <c r="A302" s="2" t="s">
        <v>61</v>
      </c>
      <c r="B302" s="2" t="s">
        <v>62</v>
      </c>
      <c r="C302" s="2">
        <v>1997.0</v>
      </c>
      <c r="D302" s="9">
        <v>225.23103</v>
      </c>
      <c r="E302" s="10" t="str">
        <f t="array" ref="E302">IFS(D302&lt;=$G$3,'calculated data '!$A$3,D302&lt;=$G$4,'calculated data '!$A$4,D302&lt;=$G$6,'calculated data '!$A$5,D302&gt;=$G$6,'calculated data '!$A$6)</f>
        <v>Low Demand Tier</v>
      </c>
      <c r="F302" s="10">
        <f t="shared" si="1"/>
        <v>-0.6572096656</v>
      </c>
    </row>
    <row r="303" ht="14.25" customHeight="1">
      <c r="A303" s="2" t="s">
        <v>55</v>
      </c>
      <c r="B303" s="2" t="s">
        <v>56</v>
      </c>
      <c r="C303" s="2">
        <v>2000.0</v>
      </c>
      <c r="D303" s="9">
        <v>225.2426</v>
      </c>
      <c r="E303" s="10" t="str">
        <f t="array" ref="E303">IFS(D303&lt;=$G$3,'calculated data '!$A$3,D303&lt;=$G$4,'calculated data '!$A$4,D303&lt;=$G$6,'calculated data '!$A$5,D303&gt;=$G$6,'calculated data '!$A$6)</f>
        <v>Low Demand Tier</v>
      </c>
      <c r="F303" s="10">
        <f t="shared" si="1"/>
        <v>-0.6572093594</v>
      </c>
    </row>
    <row r="304" ht="14.25" customHeight="1">
      <c r="A304" s="2" t="s">
        <v>61</v>
      </c>
      <c r="B304" s="2" t="s">
        <v>62</v>
      </c>
      <c r="C304" s="2">
        <v>1991.0</v>
      </c>
      <c r="D304" s="9">
        <v>225.41104</v>
      </c>
      <c r="E304" s="10" t="str">
        <f t="array" ref="E304">IFS(D304&lt;=$G$3,'calculated data '!$A$3,D304&lt;=$G$4,'calculated data '!$A$4,D304&lt;=$G$6,'calculated data '!$A$5,D304&gt;=$G$6,'calculated data '!$A$6)</f>
        <v>Low Demand Tier</v>
      </c>
      <c r="F304" s="10">
        <f t="shared" si="1"/>
        <v>-0.6572049008</v>
      </c>
    </row>
    <row r="305" ht="14.25" customHeight="1">
      <c r="A305" s="2" t="s">
        <v>61</v>
      </c>
      <c r="B305" s="2" t="s">
        <v>62</v>
      </c>
      <c r="C305" s="2">
        <v>1994.0</v>
      </c>
      <c r="D305" s="9">
        <v>226.88382</v>
      </c>
      <c r="E305" s="10" t="str">
        <f t="array" ref="E305">IFS(D305&lt;=$G$3,'calculated data '!$A$3,D305&lt;=$G$4,'calculated data '!$A$4,D305&lt;=$G$6,'calculated data '!$A$5,D305&gt;=$G$6,'calculated data '!$A$6)</f>
        <v>Low Demand Tier</v>
      </c>
      <c r="F305" s="10">
        <f t="shared" si="1"/>
        <v>-0.6571659167</v>
      </c>
    </row>
    <row r="306" ht="14.25" customHeight="1">
      <c r="A306" s="2" t="s">
        <v>57</v>
      </c>
      <c r="B306" s="2" t="s">
        <v>58</v>
      </c>
      <c r="C306" s="2">
        <v>1830.0</v>
      </c>
      <c r="D306" s="9">
        <v>227.09729</v>
      </c>
      <c r="E306" s="10" t="str">
        <f t="array" ref="E306">IFS(D306&lt;=$G$3,'calculated data '!$A$3,D306&lt;=$G$4,'calculated data '!$A$4,D306&lt;=$G$6,'calculated data '!$A$5,D306&gt;=$G$6,'calculated data '!$A$6)</f>
        <v>Low Demand Tier</v>
      </c>
      <c r="F306" s="10">
        <f t="shared" si="1"/>
        <v>-0.6571602662</v>
      </c>
    </row>
    <row r="307" ht="14.25" customHeight="1">
      <c r="A307" s="2" t="s">
        <v>77</v>
      </c>
      <c r="B307" s="2" t="s">
        <v>78</v>
      </c>
      <c r="C307" s="2">
        <v>1984.0</v>
      </c>
      <c r="D307" s="9">
        <v>227.61267</v>
      </c>
      <c r="E307" s="10" t="str">
        <f t="array" ref="E307">IFS(D307&lt;=$G$3,'calculated data '!$A$3,D307&lt;=$G$4,'calculated data '!$A$4,D307&lt;=$G$6,'calculated data '!$A$5,D307&gt;=$G$6,'calculated data '!$A$6)</f>
        <v>Low Demand Tier</v>
      </c>
      <c r="F307" s="10">
        <f t="shared" si="1"/>
        <v>-0.6571466242</v>
      </c>
    </row>
    <row r="308" ht="14.25" customHeight="1">
      <c r="A308" s="2" t="s">
        <v>63</v>
      </c>
      <c r="B308" s="2" t="s">
        <v>64</v>
      </c>
      <c r="C308" s="2">
        <v>1999.0</v>
      </c>
      <c r="D308" s="9">
        <v>227.91978</v>
      </c>
      <c r="E308" s="10" t="str">
        <f t="array" ref="E308">IFS(D308&lt;=$G$3,'calculated data '!$A$3,D308&lt;=$G$4,'calculated data '!$A$4,D308&lt;=$G$6,'calculated data '!$A$5,D308&gt;=$G$6,'calculated data '!$A$6)</f>
        <v>Low Demand Tier</v>
      </c>
      <c r="F308" s="10">
        <f t="shared" si="1"/>
        <v>-0.6571384951</v>
      </c>
    </row>
    <row r="309" ht="14.25" customHeight="1">
      <c r="A309" s="2" t="s">
        <v>63</v>
      </c>
      <c r="B309" s="2" t="s">
        <v>64</v>
      </c>
      <c r="C309" s="2">
        <v>1980.0</v>
      </c>
      <c r="D309" s="9">
        <v>228.44035</v>
      </c>
      <c r="E309" s="10" t="str">
        <f t="array" ref="E309">IFS(D309&lt;=$G$3,'calculated data '!$A$3,D309&lt;=$G$4,'calculated data '!$A$4,D309&lt;=$G$6,'calculated data '!$A$5,D309&gt;=$G$6,'calculated data '!$A$6)</f>
        <v>Low Demand Tier</v>
      </c>
      <c r="F309" s="10">
        <f t="shared" si="1"/>
        <v>-0.6571247157</v>
      </c>
    </row>
    <row r="310" ht="14.25" customHeight="1">
      <c r="A310" s="2" t="s">
        <v>75</v>
      </c>
      <c r="B310" s="2" t="s">
        <v>76</v>
      </c>
      <c r="C310" s="2">
        <v>2005.0</v>
      </c>
      <c r="D310" s="9">
        <v>229.0679</v>
      </c>
      <c r="E310" s="10" t="str">
        <f t="array" ref="E310">IFS(D310&lt;=$G$3,'calculated data '!$A$3,D310&lt;=$G$4,'calculated data '!$A$4,D310&lt;=$G$6,'calculated data '!$A$5,D310&gt;=$G$6,'calculated data '!$A$6)</f>
        <v>Low Demand Tier</v>
      </c>
      <c r="F310" s="10">
        <f t="shared" si="1"/>
        <v>-0.6571081046</v>
      </c>
    </row>
    <row r="311" ht="14.25" customHeight="1">
      <c r="A311" s="2" t="s">
        <v>61</v>
      </c>
      <c r="B311" s="2" t="s">
        <v>62</v>
      </c>
      <c r="C311" s="2">
        <v>1996.0</v>
      </c>
      <c r="D311" s="9">
        <v>229.34215</v>
      </c>
      <c r="E311" s="10" t="str">
        <f t="array" ref="E311">IFS(D311&lt;=$G$3,'calculated data '!$A$3,D311&lt;=$G$4,'calculated data '!$A$4,D311&lt;=$G$6,'calculated data '!$A$5,D311&gt;=$G$6,'calculated data '!$A$6)</f>
        <v>Low Demand Tier</v>
      </c>
      <c r="F311" s="10">
        <f t="shared" si="1"/>
        <v>-0.6571008453</v>
      </c>
    </row>
    <row r="312" ht="14.25" customHeight="1">
      <c r="A312" s="2" t="s">
        <v>61</v>
      </c>
      <c r="B312" s="2" t="s">
        <v>62</v>
      </c>
      <c r="C312" s="2">
        <v>1990.0</v>
      </c>
      <c r="D312" s="9">
        <v>229.7938</v>
      </c>
      <c r="E312" s="10" t="str">
        <f t="array" ref="E312">IFS(D312&lt;=$G$3,'calculated data '!$A$3,D312&lt;=$G$4,'calculated data '!$A$4,D312&lt;=$G$6,'calculated data '!$A$5,D312&gt;=$G$6,'calculated data '!$A$6)</f>
        <v>Low Demand Tier</v>
      </c>
      <c r="F312" s="10">
        <f t="shared" si="1"/>
        <v>-0.6570888902</v>
      </c>
    </row>
    <row r="313" ht="14.25" customHeight="1">
      <c r="A313" s="2" t="s">
        <v>53</v>
      </c>
      <c r="B313" s="2" t="s">
        <v>54</v>
      </c>
      <c r="C313" s="2">
        <v>1983.0</v>
      </c>
      <c r="D313" s="9">
        <v>229.85553</v>
      </c>
      <c r="E313" s="10" t="str">
        <f t="array" ref="E313">IFS(D313&lt;=$G$3,'calculated data '!$A$3,D313&lt;=$G$4,'calculated data '!$A$4,D313&lt;=$G$6,'calculated data '!$A$5,D313&gt;=$G$6,'calculated data '!$A$6)</f>
        <v>Low Demand Tier</v>
      </c>
      <c r="F313" s="10">
        <f t="shared" si="1"/>
        <v>-0.6570872563</v>
      </c>
    </row>
    <row r="314" ht="14.25" customHeight="1">
      <c r="A314" s="2" t="s">
        <v>69</v>
      </c>
      <c r="B314" s="2" t="s">
        <v>70</v>
      </c>
      <c r="C314" s="2">
        <v>2011.0</v>
      </c>
      <c r="D314" s="9">
        <v>230.49832</v>
      </c>
      <c r="E314" s="10" t="str">
        <f t="array" ref="E314">IFS(D314&lt;=$G$3,'calculated data '!$A$3,D314&lt;=$G$4,'calculated data '!$A$4,D314&lt;=$G$6,'calculated data '!$A$5,D314&gt;=$G$6,'calculated data '!$A$6)</f>
        <v>Low Demand Tier</v>
      </c>
      <c r="F314" s="10">
        <f t="shared" si="1"/>
        <v>-0.6570702418</v>
      </c>
    </row>
    <row r="315" ht="14.25" customHeight="1">
      <c r="A315" s="2" t="s">
        <v>75</v>
      </c>
      <c r="B315" s="2" t="s">
        <v>76</v>
      </c>
      <c r="C315" s="2">
        <v>2016.0</v>
      </c>
      <c r="D315" s="9">
        <v>231.31975</v>
      </c>
      <c r="E315" s="10" t="str">
        <f t="array" ref="E315">IFS(D315&lt;=$G$3,'calculated data '!$A$3,D315&lt;=$G$4,'calculated data '!$A$4,D315&lt;=$G$6,'calculated data '!$A$5,D315&gt;=$G$6,'calculated data '!$A$6)</f>
        <v>Low Demand Tier</v>
      </c>
      <c r="F315" s="10">
        <f t="shared" si="1"/>
        <v>-0.6570484987</v>
      </c>
    </row>
    <row r="316" ht="14.25" customHeight="1">
      <c r="A316" s="2" t="s">
        <v>61</v>
      </c>
      <c r="B316" s="2" t="s">
        <v>62</v>
      </c>
      <c r="C316" s="2">
        <v>1993.0</v>
      </c>
      <c r="D316" s="9">
        <v>231.61542</v>
      </c>
      <c r="E316" s="10" t="str">
        <f t="array" ref="E316">IFS(D316&lt;=$G$3,'calculated data '!$A$3,D316&lt;=$G$4,'calculated data '!$A$4,D316&lt;=$G$6,'calculated data '!$A$5,D316&gt;=$G$6,'calculated data '!$A$6)</f>
        <v>Low Demand Tier</v>
      </c>
      <c r="F316" s="10">
        <f t="shared" si="1"/>
        <v>-0.6570406724</v>
      </c>
    </row>
    <row r="317" ht="14.25" customHeight="1">
      <c r="A317" s="2" t="s">
        <v>61</v>
      </c>
      <c r="B317" s="2" t="s">
        <v>62</v>
      </c>
      <c r="C317" s="2">
        <v>1989.0</v>
      </c>
      <c r="D317" s="9">
        <v>232.50331</v>
      </c>
      <c r="E317" s="10" t="str">
        <f t="array" ref="E317">IFS(D317&lt;=$G$3,'calculated data '!$A$3,D317&lt;=$G$4,'calculated data '!$A$4,D317&lt;=$G$6,'calculated data '!$A$5,D317&gt;=$G$6,'calculated data '!$A$6)</f>
        <v>Low Demand Tier</v>
      </c>
      <c r="F317" s="10">
        <f t="shared" si="1"/>
        <v>-0.6570171702</v>
      </c>
    </row>
    <row r="318" ht="14.25" customHeight="1">
      <c r="A318" s="2" t="s">
        <v>63</v>
      </c>
      <c r="B318" s="2" t="s">
        <v>64</v>
      </c>
      <c r="C318" s="2">
        <v>1982.0</v>
      </c>
      <c r="D318" s="9">
        <v>233.23352</v>
      </c>
      <c r="E318" s="10" t="str">
        <f t="array" ref="E318">IFS(D318&lt;=$G$3,'calculated data '!$A$3,D318&lt;=$G$4,'calculated data '!$A$4,D318&lt;=$G$6,'calculated data '!$A$5,D318&gt;=$G$6,'calculated data '!$A$6)</f>
        <v>Low Demand Tier</v>
      </c>
      <c r="F318" s="10">
        <f t="shared" si="1"/>
        <v>-0.6569978417</v>
      </c>
    </row>
    <row r="319" ht="14.25" customHeight="1">
      <c r="A319" s="2" t="s">
        <v>77</v>
      </c>
      <c r="B319" s="2" t="s">
        <v>78</v>
      </c>
      <c r="C319" s="2">
        <v>1983.0</v>
      </c>
      <c r="D319" s="9">
        <v>233.63786</v>
      </c>
      <c r="E319" s="10" t="str">
        <f t="array" ref="E319">IFS(D319&lt;=$G$3,'calculated data '!$A$3,D319&lt;=$G$4,'calculated data '!$A$4,D319&lt;=$G$6,'calculated data '!$A$5,D319&gt;=$G$6,'calculated data '!$A$6)</f>
        <v>Low Demand Tier</v>
      </c>
      <c r="F319" s="10">
        <f t="shared" si="1"/>
        <v>-0.6569871389</v>
      </c>
    </row>
    <row r="320" ht="14.25" customHeight="1">
      <c r="A320" s="2" t="s">
        <v>69</v>
      </c>
      <c r="B320" s="2" t="s">
        <v>70</v>
      </c>
      <c r="C320" s="2">
        <v>2012.0</v>
      </c>
      <c r="D320" s="9">
        <v>234.50502</v>
      </c>
      <c r="E320" s="10" t="str">
        <f t="array" ref="E320">IFS(D320&lt;=$G$3,'calculated data '!$A$3,D320&lt;=$G$4,'calculated data '!$A$4,D320&lt;=$G$6,'calculated data '!$A$5,D320&gt;=$G$6,'calculated data '!$A$6)</f>
        <v>Low Demand Tier</v>
      </c>
      <c r="F320" s="10">
        <f t="shared" si="1"/>
        <v>-0.6569641854</v>
      </c>
    </row>
    <row r="321" ht="14.25" customHeight="1">
      <c r="A321" s="2" t="s">
        <v>79</v>
      </c>
      <c r="B321" s="2" t="s">
        <v>80</v>
      </c>
      <c r="C321" s="2">
        <v>1980.0</v>
      </c>
      <c r="D321" s="9">
        <v>235.12926</v>
      </c>
      <c r="E321" s="10" t="str">
        <f t="array" ref="E321">IFS(D321&lt;=$G$3,'calculated data '!$A$3,D321&lt;=$G$4,'calculated data '!$A$4,D321&lt;=$G$6,'calculated data '!$A$5,D321&gt;=$G$6,'calculated data '!$A$6)</f>
        <v>Low Demand Tier</v>
      </c>
      <c r="F321" s="10">
        <f t="shared" si="1"/>
        <v>-0.6569476619</v>
      </c>
    </row>
    <row r="322" ht="14.25" customHeight="1">
      <c r="A322" s="2" t="s">
        <v>61</v>
      </c>
      <c r="B322" s="2" t="s">
        <v>62</v>
      </c>
      <c r="C322" s="2">
        <v>1984.0</v>
      </c>
      <c r="D322" s="9">
        <v>235.62679</v>
      </c>
      <c r="E322" s="10" t="str">
        <f t="array" ref="E322">IFS(D322&lt;=$G$3,'calculated data '!$A$3,D322&lt;=$G$4,'calculated data '!$A$4,D322&lt;=$G$6,'calculated data '!$A$5,D322&gt;=$G$6,'calculated data '!$A$6)</f>
        <v>Low Demand Tier</v>
      </c>
      <c r="F322" s="10">
        <f t="shared" si="1"/>
        <v>-0.6569344924</v>
      </c>
    </row>
    <row r="323" ht="14.25" customHeight="1">
      <c r="A323" s="2" t="s">
        <v>61</v>
      </c>
      <c r="B323" s="2" t="s">
        <v>62</v>
      </c>
      <c r="C323" s="2">
        <v>1992.0</v>
      </c>
      <c r="D323" s="9">
        <v>236.02853</v>
      </c>
      <c r="E323" s="10" t="str">
        <f t="array" ref="E323">IFS(D323&lt;=$G$3,'calculated data '!$A$3,D323&lt;=$G$4,'calculated data '!$A$4,D323&lt;=$G$6,'calculated data '!$A$5,D323&gt;=$G$6,'calculated data '!$A$6)</f>
        <v>Low Demand Tier</v>
      </c>
      <c r="F323" s="10">
        <f t="shared" si="1"/>
        <v>-0.6569238585</v>
      </c>
    </row>
    <row r="324" ht="14.25" customHeight="1">
      <c r="A324" s="2" t="s">
        <v>73</v>
      </c>
      <c r="B324" s="2" t="s">
        <v>74</v>
      </c>
      <c r="C324" s="2">
        <v>1990.0</v>
      </c>
      <c r="D324" s="9">
        <v>236.26082</v>
      </c>
      <c r="E324" s="10" t="str">
        <f t="array" ref="E324">IFS(D324&lt;=$G$3,'calculated data '!$A$3,D324&lt;=$G$4,'calculated data '!$A$4,D324&lt;=$G$6,'calculated data '!$A$5,D324&gt;=$G$6,'calculated data '!$A$6)</f>
        <v>Low Demand Tier</v>
      </c>
      <c r="F324" s="10">
        <f t="shared" si="1"/>
        <v>-0.6569177098</v>
      </c>
    </row>
    <row r="325" ht="14.25" customHeight="1">
      <c r="A325" s="2" t="s">
        <v>79</v>
      </c>
      <c r="B325" s="2" t="s">
        <v>80</v>
      </c>
      <c r="C325" s="2">
        <v>1993.0</v>
      </c>
      <c r="D325" s="9">
        <v>236.78851</v>
      </c>
      <c r="E325" s="10" t="str">
        <f t="array" ref="E325">IFS(D325&lt;=$G$3,'calculated data '!$A$3,D325&lt;=$G$4,'calculated data '!$A$4,D325&lt;=$G$6,'calculated data '!$A$5,D325&gt;=$G$6,'calculated data '!$A$6)</f>
        <v>Low Demand Tier</v>
      </c>
      <c r="F325" s="10">
        <f t="shared" si="1"/>
        <v>-0.656903742</v>
      </c>
    </row>
    <row r="326" ht="14.25" customHeight="1">
      <c r="A326" s="2" t="s">
        <v>53</v>
      </c>
      <c r="B326" s="2" t="s">
        <v>54</v>
      </c>
      <c r="C326" s="2">
        <v>1990.0</v>
      </c>
      <c r="D326" s="9">
        <v>237.19882</v>
      </c>
      <c r="E326" s="10" t="str">
        <f t="array" ref="E326">IFS(D326&lt;=$G$3,'calculated data '!$A$3,D326&lt;=$G$4,'calculated data '!$A$4,D326&lt;=$G$6,'calculated data '!$A$5,D326&gt;=$G$6,'calculated data '!$A$6)</f>
        <v>Low Demand Tier</v>
      </c>
      <c r="F326" s="10">
        <f t="shared" si="1"/>
        <v>-0.6568928812</v>
      </c>
    </row>
    <row r="327" ht="14.25" customHeight="1">
      <c r="A327" s="2" t="s">
        <v>55</v>
      </c>
      <c r="B327" s="2" t="s">
        <v>56</v>
      </c>
      <c r="C327" s="2">
        <v>1989.0</v>
      </c>
      <c r="D327" s="9">
        <v>237.78174</v>
      </c>
      <c r="E327" s="10" t="str">
        <f t="array" ref="E327">IFS(D327&lt;=$G$3,'calculated data '!$A$3,D327&lt;=$G$4,'calculated data '!$A$4,D327&lt;=$G$6,'calculated data '!$A$5,D327&gt;=$G$6,'calculated data '!$A$6)</f>
        <v>Low Demand Tier</v>
      </c>
      <c r="F327" s="10">
        <f t="shared" si="1"/>
        <v>-0.6568774515</v>
      </c>
    </row>
    <row r="328" ht="14.25" customHeight="1">
      <c r="A328" s="2" t="s">
        <v>63</v>
      </c>
      <c r="B328" s="2" t="s">
        <v>64</v>
      </c>
      <c r="C328" s="2">
        <v>2000.0</v>
      </c>
      <c r="D328" s="9">
        <v>237.98022</v>
      </c>
      <c r="E328" s="10" t="str">
        <f t="array" ref="E328">IFS(D328&lt;=$G$3,'calculated data '!$A$3,D328&lt;=$G$4,'calculated data '!$A$4,D328&lt;=$G$6,'calculated data '!$A$5,D328&gt;=$G$6,'calculated data '!$A$6)</f>
        <v>Low Demand Tier</v>
      </c>
      <c r="F328" s="10">
        <f t="shared" si="1"/>
        <v>-0.6568721977</v>
      </c>
    </row>
    <row r="329" ht="14.25" customHeight="1">
      <c r="A329" s="2" t="s">
        <v>75</v>
      </c>
      <c r="B329" s="2" t="s">
        <v>76</v>
      </c>
      <c r="C329" s="2">
        <v>2010.0</v>
      </c>
      <c r="D329" s="9">
        <v>238.14412</v>
      </c>
      <c r="E329" s="10" t="str">
        <f t="array" ref="E329">IFS(D329&lt;=$G$3,'calculated data '!$A$3,D329&lt;=$G$4,'calculated data '!$A$4,D329&lt;=$G$6,'calculated data '!$A$5,D329&gt;=$G$6,'calculated data '!$A$6)</f>
        <v>Low Demand Tier</v>
      </c>
      <c r="F329" s="10">
        <f t="shared" si="1"/>
        <v>-0.6568678593</v>
      </c>
    </row>
    <row r="330" ht="14.25" customHeight="1">
      <c r="A330" s="2" t="s">
        <v>75</v>
      </c>
      <c r="B330" s="2" t="s">
        <v>76</v>
      </c>
      <c r="C330" s="2">
        <v>2017.0</v>
      </c>
      <c r="D330" s="9">
        <v>238.27934</v>
      </c>
      <c r="E330" s="10" t="str">
        <f t="array" ref="E330">IFS(D330&lt;=$G$3,'calculated data '!$A$3,D330&lt;=$G$4,'calculated data '!$A$4,D330&lt;=$G$6,'calculated data '!$A$5,D330&gt;=$G$6,'calculated data '!$A$6)</f>
        <v>Low Demand Tier</v>
      </c>
      <c r="F330" s="10">
        <f t="shared" si="1"/>
        <v>-0.6568642801</v>
      </c>
    </row>
    <row r="331" ht="14.25" customHeight="1">
      <c r="A331" s="2" t="s">
        <v>61</v>
      </c>
      <c r="B331" s="2" t="s">
        <v>62</v>
      </c>
      <c r="C331" s="2">
        <v>1983.0</v>
      </c>
      <c r="D331" s="9">
        <v>238.75394</v>
      </c>
      <c r="E331" s="10" t="str">
        <f t="array" ref="E331">IFS(D331&lt;=$G$3,'calculated data '!$A$3,D331&lt;=$G$4,'calculated data '!$A$4,D331&lt;=$G$6,'calculated data '!$A$5,D331&gt;=$G$6,'calculated data '!$A$6)</f>
        <v>Low Demand Tier</v>
      </c>
      <c r="F331" s="10">
        <f t="shared" si="1"/>
        <v>-0.6568517176</v>
      </c>
    </row>
    <row r="332" ht="14.25" customHeight="1">
      <c r="A332" s="2" t="s">
        <v>59</v>
      </c>
      <c r="B332" s="2" t="s">
        <v>60</v>
      </c>
      <c r="C332" s="2">
        <v>1993.0</v>
      </c>
      <c r="D332" s="9">
        <v>239.04204</v>
      </c>
      <c r="E332" s="10" t="str">
        <f t="array" ref="E332">IFS(D332&lt;=$G$3,'calculated data '!$A$3,D332&lt;=$G$4,'calculated data '!$A$4,D332&lt;=$G$6,'calculated data '!$A$5,D332&gt;=$G$6,'calculated data '!$A$6)</f>
        <v>Low Demand Tier</v>
      </c>
      <c r="F332" s="10">
        <f t="shared" si="1"/>
        <v>-0.6568440916</v>
      </c>
    </row>
    <row r="333" ht="14.25" customHeight="1">
      <c r="A333" s="2" t="s">
        <v>77</v>
      </c>
      <c r="B333" s="2" t="s">
        <v>78</v>
      </c>
      <c r="C333" s="2">
        <v>1982.0</v>
      </c>
      <c r="D333" s="9">
        <v>240.35197</v>
      </c>
      <c r="E333" s="10" t="str">
        <f t="array" ref="E333">IFS(D333&lt;=$G$3,'calculated data '!$A$3,D333&lt;=$G$4,'calculated data '!$A$4,D333&lt;=$G$6,'calculated data '!$A$5,D333&gt;=$G$6,'calculated data '!$A$6)</f>
        <v>Low Demand Tier</v>
      </c>
      <c r="F333" s="10">
        <f t="shared" si="1"/>
        <v>-0.6568094181</v>
      </c>
    </row>
    <row r="334" ht="14.25" customHeight="1">
      <c r="A334" s="2" t="s">
        <v>81</v>
      </c>
      <c r="B334" s="2" t="s">
        <v>82</v>
      </c>
      <c r="C334" s="2">
        <v>2017.0</v>
      </c>
      <c r="D334" s="9">
        <v>241.23174</v>
      </c>
      <c r="E334" s="10" t="str">
        <f t="array" ref="E334">IFS(D334&lt;=$G$3,'calculated data '!$A$3,D334&lt;=$G$4,'calculated data '!$A$4,D334&lt;=$G$6,'calculated data '!$A$5,D334&gt;=$G$6,'calculated data '!$A$6)</f>
        <v>Low Demand Tier</v>
      </c>
      <c r="F334" s="10">
        <f t="shared" si="1"/>
        <v>-0.6567861308</v>
      </c>
    </row>
    <row r="335" ht="14.25" customHeight="1">
      <c r="A335" s="2" t="s">
        <v>53</v>
      </c>
      <c r="B335" s="2" t="s">
        <v>54</v>
      </c>
      <c r="C335" s="2">
        <v>1982.0</v>
      </c>
      <c r="D335" s="9">
        <v>241.52907</v>
      </c>
      <c r="E335" s="10" t="str">
        <f t="array" ref="E335">IFS(D335&lt;=$G$3,'calculated data '!$A$3,D335&lt;=$G$4,'calculated data '!$A$4,D335&lt;=$G$6,'calculated data '!$A$5,D335&gt;=$G$6,'calculated data '!$A$6)</f>
        <v>Low Demand Tier</v>
      </c>
      <c r="F335" s="10">
        <f t="shared" si="1"/>
        <v>-0.6567782606</v>
      </c>
    </row>
    <row r="336" ht="14.25" customHeight="1">
      <c r="A336" s="2" t="s">
        <v>59</v>
      </c>
      <c r="B336" s="2" t="s">
        <v>60</v>
      </c>
      <c r="C336" s="2">
        <v>1992.0</v>
      </c>
      <c r="D336" s="9">
        <v>241.66899</v>
      </c>
      <c r="E336" s="10" t="str">
        <f t="array" ref="E336">IFS(D336&lt;=$G$3,'calculated data '!$A$3,D336&lt;=$G$4,'calculated data '!$A$4,D336&lt;=$G$6,'calculated data '!$A$5,D336&gt;=$G$6,'calculated data '!$A$6)</f>
        <v>Low Demand Tier</v>
      </c>
      <c r="F336" s="10">
        <f t="shared" si="1"/>
        <v>-0.6567745569</v>
      </c>
    </row>
    <row r="337" ht="14.25" customHeight="1">
      <c r="A337" s="2" t="s">
        <v>61</v>
      </c>
      <c r="B337" s="2" t="s">
        <v>62</v>
      </c>
      <c r="C337" s="2">
        <v>1982.0</v>
      </c>
      <c r="D337" s="9">
        <v>241.88258</v>
      </c>
      <c r="E337" s="10" t="str">
        <f t="array" ref="E337">IFS(D337&lt;=$G$3,'calculated data '!$A$3,D337&lt;=$G$4,'calculated data '!$A$4,D337&lt;=$G$6,'calculated data '!$A$5,D337&gt;=$G$6,'calculated data '!$A$6)</f>
        <v>Low Demand Tier</v>
      </c>
      <c r="F337" s="10">
        <f t="shared" si="1"/>
        <v>-0.6567689032</v>
      </c>
    </row>
    <row r="338" ht="14.25" customHeight="1">
      <c r="A338" s="2" t="s">
        <v>83</v>
      </c>
      <c r="B338" s="2" t="s">
        <v>84</v>
      </c>
      <c r="C338" s="2">
        <v>1984.0</v>
      </c>
      <c r="D338" s="9">
        <v>243.10722</v>
      </c>
      <c r="E338" s="10" t="str">
        <f t="array" ref="E338">IFS(D338&lt;=$G$3,'calculated data '!$A$3,D338&lt;=$G$4,'calculated data '!$A$4,D338&lt;=$G$6,'calculated data '!$A$5,D338&gt;=$G$6,'calculated data '!$A$6)</f>
        <v>Low Demand Tier</v>
      </c>
      <c r="F338" s="10">
        <f t="shared" si="1"/>
        <v>-0.6567364873</v>
      </c>
    </row>
    <row r="339" ht="14.25" customHeight="1">
      <c r="A339" s="2" t="s">
        <v>79</v>
      </c>
      <c r="B339" s="2" t="s">
        <v>80</v>
      </c>
      <c r="C339" s="2">
        <v>1981.0</v>
      </c>
      <c r="D339" s="9">
        <v>243.17146</v>
      </c>
      <c r="E339" s="10" t="str">
        <f t="array" ref="E339">IFS(D339&lt;=$G$3,'calculated data '!$A$3,D339&lt;=$G$4,'calculated data '!$A$4,D339&lt;=$G$6,'calculated data '!$A$5,D339&gt;=$G$6,'calculated data '!$A$6)</f>
        <v>Low Demand Tier</v>
      </c>
      <c r="F339" s="10">
        <f t="shared" si="1"/>
        <v>-0.6567347869</v>
      </c>
    </row>
    <row r="340" ht="14.25" customHeight="1">
      <c r="A340" s="2" t="s">
        <v>77</v>
      </c>
      <c r="B340" s="2" t="s">
        <v>78</v>
      </c>
      <c r="C340" s="2">
        <v>1992.0</v>
      </c>
      <c r="D340" s="9">
        <v>243.53133</v>
      </c>
      <c r="E340" s="10" t="str">
        <f t="array" ref="E340">IFS(D340&lt;=$G$3,'calculated data '!$A$3,D340&lt;=$G$4,'calculated data '!$A$4,D340&lt;=$G$6,'calculated data '!$A$5,D340&gt;=$G$6,'calculated data '!$A$6)</f>
        <v>Low Demand Tier</v>
      </c>
      <c r="F340" s="10">
        <f t="shared" si="1"/>
        <v>-0.6567252612</v>
      </c>
    </row>
    <row r="341" ht="14.25" customHeight="1">
      <c r="A341" s="2" t="s">
        <v>73</v>
      </c>
      <c r="B341" s="2" t="s">
        <v>74</v>
      </c>
      <c r="C341" s="2">
        <v>1988.0</v>
      </c>
      <c r="D341" s="9">
        <v>244.63014</v>
      </c>
      <c r="E341" s="10" t="str">
        <f t="array" ref="E341">IFS(D341&lt;=$G$3,'calculated data '!$A$3,D341&lt;=$G$4,'calculated data '!$A$4,D341&lt;=$G$6,'calculated data '!$A$5,D341&gt;=$G$6,'calculated data '!$A$6)</f>
        <v>Low Demand Tier</v>
      </c>
      <c r="F341" s="10">
        <f t="shared" si="1"/>
        <v>-0.656696176</v>
      </c>
    </row>
    <row r="342" ht="14.25" customHeight="1">
      <c r="A342" s="2" t="s">
        <v>63</v>
      </c>
      <c r="B342" s="2" t="s">
        <v>64</v>
      </c>
      <c r="C342" s="2">
        <v>2001.0</v>
      </c>
      <c r="D342" s="9">
        <v>244.97125</v>
      </c>
      <c r="E342" s="10" t="str">
        <f t="array" ref="E342">IFS(D342&lt;=$G$3,'calculated data '!$A$3,D342&lt;=$G$4,'calculated data '!$A$4,D342&lt;=$G$6,'calculated data '!$A$5,D342&gt;=$G$6,'calculated data '!$A$6)</f>
        <v>Low Demand Tier</v>
      </c>
      <c r="F342" s="10">
        <f t="shared" si="1"/>
        <v>-0.6566871469</v>
      </c>
    </row>
    <row r="343" ht="14.25" customHeight="1">
      <c r="A343" s="2" t="s">
        <v>75</v>
      </c>
      <c r="B343" s="2" t="s">
        <v>76</v>
      </c>
      <c r="C343" s="2">
        <v>2007.0</v>
      </c>
      <c r="D343" s="9">
        <v>245.08362</v>
      </c>
      <c r="E343" s="10" t="str">
        <f t="array" ref="E343">IFS(D343&lt;=$G$3,'calculated data '!$A$3,D343&lt;=$G$4,'calculated data '!$A$4,D343&lt;=$G$6,'calculated data '!$A$5,D343&gt;=$G$6,'calculated data '!$A$6)</f>
        <v>Low Demand Tier</v>
      </c>
      <c r="F343" s="10">
        <f t="shared" si="1"/>
        <v>-0.6566841725</v>
      </c>
    </row>
    <row r="344" ht="14.25" customHeight="1">
      <c r="A344" s="2" t="s">
        <v>77</v>
      </c>
      <c r="B344" s="2" t="s">
        <v>78</v>
      </c>
      <c r="C344" s="2">
        <v>1986.0</v>
      </c>
      <c r="D344" s="9">
        <v>245.25323</v>
      </c>
      <c r="E344" s="10" t="str">
        <f t="array" ref="E344">IFS(D344&lt;=$G$3,'calculated data '!$A$3,D344&lt;=$G$4,'calculated data '!$A$4,D344&lt;=$G$6,'calculated data '!$A$5,D344&gt;=$G$6,'calculated data '!$A$6)</f>
        <v>Low Demand Tier</v>
      </c>
      <c r="F344" s="10">
        <f t="shared" si="1"/>
        <v>-0.656679683</v>
      </c>
    </row>
    <row r="345" ht="14.25" customHeight="1">
      <c r="A345" s="2" t="s">
        <v>55</v>
      </c>
      <c r="B345" s="2" t="s">
        <v>56</v>
      </c>
      <c r="C345" s="2">
        <v>1990.0</v>
      </c>
      <c r="D345" s="9">
        <v>245.51309</v>
      </c>
      <c r="E345" s="10" t="str">
        <f t="array" ref="E345">IFS(D345&lt;=$G$3,'calculated data '!$A$3,D345&lt;=$G$4,'calculated data '!$A$4,D345&lt;=$G$6,'calculated data '!$A$5,D345&gt;=$G$6,'calculated data '!$A$6)</f>
        <v>Low Demand Tier</v>
      </c>
      <c r="F345" s="10">
        <f t="shared" si="1"/>
        <v>-0.6566728045</v>
      </c>
    </row>
    <row r="346" ht="14.25" customHeight="1">
      <c r="A346" s="2" t="s">
        <v>73</v>
      </c>
      <c r="B346" s="2" t="s">
        <v>74</v>
      </c>
      <c r="C346" s="2">
        <v>1991.0</v>
      </c>
      <c r="D346" s="9">
        <v>245.67453</v>
      </c>
      <c r="E346" s="10" t="str">
        <f t="array" ref="E346">IFS(D346&lt;=$G$3,'calculated data '!$A$3,D346&lt;=$G$4,'calculated data '!$A$4,D346&lt;=$G$6,'calculated data '!$A$5,D346&gt;=$G$6,'calculated data '!$A$6)</f>
        <v>Low Demand Tier</v>
      </c>
      <c r="F346" s="10">
        <f t="shared" si="1"/>
        <v>-0.6566685313</v>
      </c>
    </row>
    <row r="347" ht="14.25" customHeight="1">
      <c r="A347" s="2" t="s">
        <v>63</v>
      </c>
      <c r="B347" s="2" t="s">
        <v>64</v>
      </c>
      <c r="C347" s="2">
        <v>2002.0</v>
      </c>
      <c r="D347" s="9">
        <v>246.01785</v>
      </c>
      <c r="E347" s="10" t="str">
        <f t="array" ref="E347">IFS(D347&lt;=$G$3,'calculated data '!$A$3,D347&lt;=$G$4,'calculated data '!$A$4,D347&lt;=$G$6,'calculated data '!$A$5,D347&gt;=$G$6,'calculated data '!$A$6)</f>
        <v>Low Demand Tier</v>
      </c>
      <c r="F347" s="10">
        <f t="shared" si="1"/>
        <v>-0.6566594437</v>
      </c>
    </row>
    <row r="348" ht="14.25" customHeight="1">
      <c r="A348" s="2" t="s">
        <v>75</v>
      </c>
      <c r="B348" s="2" t="s">
        <v>76</v>
      </c>
      <c r="C348" s="2">
        <v>2006.0</v>
      </c>
      <c r="D348" s="9">
        <v>246.06664</v>
      </c>
      <c r="E348" s="10" t="str">
        <f t="array" ref="E348">IFS(D348&lt;=$G$3,'calculated data '!$A$3,D348&lt;=$G$4,'calculated data '!$A$4,D348&lt;=$G$6,'calculated data '!$A$5,D348&gt;=$G$6,'calculated data '!$A$6)</f>
        <v>Low Demand Tier</v>
      </c>
      <c r="F348" s="10">
        <f t="shared" si="1"/>
        <v>-0.6566581522</v>
      </c>
    </row>
    <row r="349" ht="14.25" customHeight="1">
      <c r="A349" s="2" t="s">
        <v>69</v>
      </c>
      <c r="B349" s="2" t="s">
        <v>70</v>
      </c>
      <c r="C349" s="2">
        <v>2015.0</v>
      </c>
      <c r="D349" s="9">
        <v>246.22226</v>
      </c>
      <c r="E349" s="10" t="str">
        <f t="array" ref="E349">IFS(D349&lt;=$G$3,'calculated data '!$A$3,D349&lt;=$G$4,'calculated data '!$A$4,D349&lt;=$G$6,'calculated data '!$A$5,D349&gt;=$G$6,'calculated data '!$A$6)</f>
        <v>Low Demand Tier</v>
      </c>
      <c r="F349" s="10">
        <f t="shared" si="1"/>
        <v>-0.656654033</v>
      </c>
    </row>
    <row r="350" ht="14.25" customHeight="1">
      <c r="A350" s="2" t="s">
        <v>73</v>
      </c>
      <c r="B350" s="2" t="s">
        <v>74</v>
      </c>
      <c r="C350" s="2">
        <v>1995.0</v>
      </c>
      <c r="D350" s="9">
        <v>246.47372</v>
      </c>
      <c r="E350" s="10" t="str">
        <f t="array" ref="E350">IFS(D350&lt;=$G$3,'calculated data '!$A$3,D350&lt;=$G$4,'calculated data '!$A$4,D350&lt;=$G$6,'calculated data '!$A$5,D350&gt;=$G$6,'calculated data '!$A$6)</f>
        <v>Low Demand Tier</v>
      </c>
      <c r="F350" s="10">
        <f t="shared" si="1"/>
        <v>-0.6566473769</v>
      </c>
    </row>
    <row r="351" ht="14.25" customHeight="1">
      <c r="A351" s="2" t="s">
        <v>73</v>
      </c>
      <c r="B351" s="2" t="s">
        <v>74</v>
      </c>
      <c r="C351" s="2">
        <v>1996.0</v>
      </c>
      <c r="D351" s="9">
        <v>246.77525</v>
      </c>
      <c r="E351" s="10" t="str">
        <f t="array" ref="E351">IFS(D351&lt;=$G$3,'calculated data '!$A$3,D351&lt;=$G$4,'calculated data '!$A$4,D351&lt;=$G$6,'calculated data '!$A$5,D351&gt;=$G$6,'calculated data '!$A$6)</f>
        <v>Low Demand Tier</v>
      </c>
      <c r="F351" s="10">
        <f t="shared" si="1"/>
        <v>-0.6566393955</v>
      </c>
    </row>
    <row r="352" ht="14.25" customHeight="1">
      <c r="A352" s="2" t="s">
        <v>55</v>
      </c>
      <c r="B352" s="2" t="s">
        <v>56</v>
      </c>
      <c r="C352" s="2">
        <v>1992.0</v>
      </c>
      <c r="D352" s="9">
        <v>246.85565</v>
      </c>
      <c r="E352" s="10" t="str">
        <f t="array" ref="E352">IFS(D352&lt;=$G$3,'calculated data '!$A$3,D352&lt;=$G$4,'calculated data '!$A$4,D352&lt;=$G$6,'calculated data '!$A$5,D352&gt;=$G$6,'calculated data '!$A$6)</f>
        <v>Low Demand Tier</v>
      </c>
      <c r="F352" s="10">
        <f t="shared" si="1"/>
        <v>-0.6566372673</v>
      </c>
    </row>
    <row r="353" ht="14.25" customHeight="1">
      <c r="A353" s="2" t="s">
        <v>77</v>
      </c>
      <c r="B353" s="2" t="s">
        <v>78</v>
      </c>
      <c r="C353" s="2">
        <v>1981.0</v>
      </c>
      <c r="D353" s="9">
        <v>247.08188</v>
      </c>
      <c r="E353" s="10" t="str">
        <f t="array" ref="E353">IFS(D353&lt;=$G$3,'calculated data '!$A$3,D353&lt;=$G$4,'calculated data '!$A$4,D353&lt;=$G$6,'calculated data '!$A$5,D353&gt;=$G$6,'calculated data '!$A$6)</f>
        <v>Low Demand Tier</v>
      </c>
      <c r="F353" s="10">
        <f t="shared" si="1"/>
        <v>-0.6566312791</v>
      </c>
    </row>
    <row r="354" ht="14.25" customHeight="1">
      <c r="A354" s="2" t="s">
        <v>77</v>
      </c>
      <c r="B354" s="2" t="s">
        <v>78</v>
      </c>
      <c r="C354" s="2">
        <v>1991.0</v>
      </c>
      <c r="D354" s="9">
        <v>248.2372</v>
      </c>
      <c r="E354" s="10" t="str">
        <f t="array" ref="E354">IFS(D354&lt;=$G$3,'calculated data '!$A$3,D354&lt;=$G$4,'calculated data '!$A$4,D354&lt;=$G$6,'calculated data '!$A$5,D354&gt;=$G$6,'calculated data '!$A$6)</f>
        <v>Low Demand Tier</v>
      </c>
      <c r="F354" s="10">
        <f t="shared" si="1"/>
        <v>-0.656600698</v>
      </c>
    </row>
    <row r="355" ht="14.25" customHeight="1">
      <c r="A355" s="2" t="s">
        <v>77</v>
      </c>
      <c r="B355" s="2" t="s">
        <v>78</v>
      </c>
      <c r="C355" s="2">
        <v>1987.0</v>
      </c>
      <c r="D355" s="9">
        <v>249.20978</v>
      </c>
      <c r="E355" s="10" t="str">
        <f t="array" ref="E355">IFS(D355&lt;=$G$3,'calculated data '!$A$3,D355&lt;=$G$4,'calculated data '!$A$4,D355&lt;=$G$6,'calculated data '!$A$5,D355&gt;=$G$6,'calculated data '!$A$6)</f>
        <v>Low Demand Tier</v>
      </c>
      <c r="F355" s="10">
        <f t="shared" si="1"/>
        <v>-0.6565749541</v>
      </c>
    </row>
    <row r="356" ht="14.25" customHeight="1">
      <c r="A356" s="2" t="s">
        <v>61</v>
      </c>
      <c r="B356" s="2" t="s">
        <v>62</v>
      </c>
      <c r="C356" s="2">
        <v>1980.0</v>
      </c>
      <c r="D356" s="9">
        <v>250.20389</v>
      </c>
      <c r="E356" s="10" t="str">
        <f t="array" ref="E356">IFS(D356&lt;=$G$3,'calculated data '!$A$3,D356&lt;=$G$4,'calculated data '!$A$4,D356&lt;=$G$6,'calculated data '!$A$5,D356&gt;=$G$6,'calculated data '!$A$6)</f>
        <v>Low Demand Tier</v>
      </c>
      <c r="F356" s="10">
        <f t="shared" si="1"/>
        <v>-0.6565486402</v>
      </c>
    </row>
    <row r="357" ht="14.25" customHeight="1">
      <c r="A357" s="2" t="s">
        <v>73</v>
      </c>
      <c r="B357" s="2" t="s">
        <v>74</v>
      </c>
      <c r="C357" s="2">
        <v>1997.0</v>
      </c>
      <c r="D357" s="9">
        <v>250.90631</v>
      </c>
      <c r="E357" s="10" t="str">
        <f t="array" ref="E357">IFS(D357&lt;=$G$3,'calculated data '!$A$3,D357&lt;=$G$4,'calculated data '!$A$4,D357&lt;=$G$6,'calculated data '!$A$5,D357&gt;=$G$6,'calculated data '!$A$6)</f>
        <v>Low Demand Tier</v>
      </c>
      <c r="F357" s="10">
        <f t="shared" si="1"/>
        <v>-0.6565300474</v>
      </c>
    </row>
    <row r="358" ht="14.25" customHeight="1">
      <c r="A358" s="2" t="s">
        <v>81</v>
      </c>
      <c r="B358" s="2" t="s">
        <v>82</v>
      </c>
      <c r="C358" s="2">
        <v>2016.0</v>
      </c>
      <c r="D358" s="9">
        <v>251.34724</v>
      </c>
      <c r="E358" s="10" t="str">
        <f t="array" ref="E358">IFS(D358&lt;=$G$3,'calculated data '!$A$3,D358&lt;=$G$4,'calculated data '!$A$4,D358&lt;=$G$6,'calculated data '!$A$5,D358&gt;=$G$6,'calculated data '!$A$6)</f>
        <v>Low Demand Tier</v>
      </c>
      <c r="F358" s="10">
        <f t="shared" si="1"/>
        <v>-0.656518376</v>
      </c>
    </row>
    <row r="359" ht="14.25" customHeight="1">
      <c r="A359" s="2" t="s">
        <v>61</v>
      </c>
      <c r="B359" s="2" t="s">
        <v>62</v>
      </c>
      <c r="C359" s="2">
        <v>1985.0</v>
      </c>
      <c r="D359" s="9">
        <v>251.81546</v>
      </c>
      <c r="E359" s="10" t="str">
        <f t="array" ref="E359">IFS(D359&lt;=$G$3,'calculated data '!$A$3,D359&lt;=$G$4,'calculated data '!$A$4,D359&lt;=$G$6,'calculated data '!$A$5,D359&gt;=$G$6,'calculated data '!$A$6)</f>
        <v>Low Demand Tier</v>
      </c>
      <c r="F359" s="10">
        <f t="shared" si="1"/>
        <v>-0.6565059824</v>
      </c>
    </row>
    <row r="360" ht="14.25" customHeight="1">
      <c r="A360" s="2" t="s">
        <v>79</v>
      </c>
      <c r="B360" s="2" t="s">
        <v>80</v>
      </c>
      <c r="C360" s="2">
        <v>1992.0</v>
      </c>
      <c r="D360" s="9">
        <v>251.89693</v>
      </c>
      <c r="E360" s="10" t="str">
        <f t="array" ref="E360">IFS(D360&lt;=$G$3,'calculated data '!$A$3,D360&lt;=$G$4,'calculated data '!$A$4,D360&lt;=$G$6,'calculated data '!$A$5,D360&gt;=$G$6,'calculated data '!$A$6)</f>
        <v>Low Demand Tier</v>
      </c>
      <c r="F360" s="10">
        <f t="shared" si="1"/>
        <v>-0.6565038259</v>
      </c>
    </row>
    <row r="361" ht="14.25" customHeight="1">
      <c r="A361" s="2" t="s">
        <v>53</v>
      </c>
      <c r="B361" s="2" t="s">
        <v>54</v>
      </c>
      <c r="C361" s="2">
        <v>1981.0</v>
      </c>
      <c r="D361" s="9">
        <v>253.14996</v>
      </c>
      <c r="E361" s="10" t="str">
        <f t="array" ref="E361">IFS(D361&lt;=$G$3,'calculated data '!$A$3,D361&lt;=$G$4,'calculated data '!$A$4,D361&lt;=$G$6,'calculated data '!$A$5,D361&gt;=$G$6,'calculated data '!$A$6)</f>
        <v>Low Demand Tier</v>
      </c>
      <c r="F361" s="10">
        <f t="shared" si="1"/>
        <v>-0.6564706585</v>
      </c>
    </row>
    <row r="362" ht="14.25" customHeight="1">
      <c r="A362" s="2" t="s">
        <v>75</v>
      </c>
      <c r="B362" s="2" t="s">
        <v>76</v>
      </c>
      <c r="C362" s="2">
        <v>2019.0</v>
      </c>
      <c r="D362" s="9">
        <v>253.65848</v>
      </c>
      <c r="E362" s="10" t="str">
        <f t="array" ref="E362">IFS(D362&lt;=$G$3,'calculated data '!$A$3,D362&lt;=$G$4,'calculated data '!$A$4,D362&lt;=$G$6,'calculated data '!$A$5,D362&gt;=$G$6,'calculated data '!$A$6)</f>
        <v>Low Demand Tier</v>
      </c>
      <c r="F362" s="10">
        <f t="shared" si="1"/>
        <v>-0.6564571981</v>
      </c>
    </row>
    <row r="363" ht="14.25" customHeight="1">
      <c r="A363" s="2" t="s">
        <v>83</v>
      </c>
      <c r="B363" s="2" t="s">
        <v>84</v>
      </c>
      <c r="C363" s="2">
        <v>1985.0</v>
      </c>
      <c r="D363" s="9">
        <v>253.74026</v>
      </c>
      <c r="E363" s="10" t="str">
        <f t="array" ref="E363">IFS(D363&lt;=$G$3,'calculated data '!$A$3,D363&lt;=$G$4,'calculated data '!$A$4,D363&lt;=$G$6,'calculated data '!$A$5,D363&gt;=$G$6,'calculated data '!$A$6)</f>
        <v>Low Demand Tier</v>
      </c>
      <c r="F363" s="10">
        <f t="shared" si="1"/>
        <v>-0.6564550334</v>
      </c>
    </row>
    <row r="364" ht="14.25" customHeight="1">
      <c r="A364" s="2" t="s">
        <v>73</v>
      </c>
      <c r="B364" s="2" t="s">
        <v>74</v>
      </c>
      <c r="C364" s="2">
        <v>1994.0</v>
      </c>
      <c r="D364" s="9">
        <v>254.18454</v>
      </c>
      <c r="E364" s="10" t="str">
        <f t="array" ref="E364">IFS(D364&lt;=$G$3,'calculated data '!$A$3,D364&lt;=$G$4,'calculated data '!$A$4,D364&lt;=$G$6,'calculated data '!$A$5,D364&gt;=$G$6,'calculated data '!$A$6)</f>
        <v>Low Demand Tier</v>
      </c>
      <c r="F364" s="10">
        <f t="shared" si="1"/>
        <v>-0.6564432734</v>
      </c>
    </row>
    <row r="365" ht="14.25" customHeight="1">
      <c r="A365" s="2" t="s">
        <v>77</v>
      </c>
      <c r="B365" s="2" t="s">
        <v>78</v>
      </c>
      <c r="C365" s="2">
        <v>1988.0</v>
      </c>
      <c r="D365" s="9">
        <v>254.41924</v>
      </c>
      <c r="E365" s="10" t="str">
        <f t="array" ref="E365">IFS(D365&lt;=$G$3,'calculated data '!$A$3,D365&lt;=$G$4,'calculated data '!$A$4,D365&lt;=$G$6,'calculated data '!$A$5,D365&gt;=$G$6,'calculated data '!$A$6)</f>
        <v>Low Demand Tier</v>
      </c>
      <c r="F365" s="10">
        <f t="shared" si="1"/>
        <v>-0.656437061</v>
      </c>
    </row>
    <row r="366" ht="14.25" customHeight="1">
      <c r="A366" s="2" t="s">
        <v>77</v>
      </c>
      <c r="B366" s="2" t="s">
        <v>78</v>
      </c>
      <c r="C366" s="2">
        <v>1980.0</v>
      </c>
      <c r="D366" s="9">
        <v>254.61865</v>
      </c>
      <c r="E366" s="10" t="str">
        <f t="array" ref="E366">IFS(D366&lt;=$G$3,'calculated data '!$A$3,D366&lt;=$G$4,'calculated data '!$A$4,D366&lt;=$G$6,'calculated data '!$A$5,D366&gt;=$G$6,'calculated data '!$A$6)</f>
        <v>Low Demand Tier</v>
      </c>
      <c r="F366" s="10">
        <f t="shared" si="1"/>
        <v>-0.6564317826</v>
      </c>
    </row>
    <row r="367" ht="14.25" customHeight="1">
      <c r="A367" s="2" t="s">
        <v>73</v>
      </c>
      <c r="B367" s="2" t="s">
        <v>74</v>
      </c>
      <c r="C367" s="2">
        <v>1993.0</v>
      </c>
      <c r="D367" s="9">
        <v>254.84502</v>
      </c>
      <c r="E367" s="10" t="str">
        <f t="array" ref="E367">IFS(D367&lt;=$G$3,'calculated data '!$A$3,D367&lt;=$G$4,'calculated data '!$A$4,D367&lt;=$G$6,'calculated data '!$A$5,D367&gt;=$G$6,'calculated data '!$A$6)</f>
        <v>Low Demand Tier</v>
      </c>
      <c r="F367" s="10">
        <f t="shared" si="1"/>
        <v>-0.6564257907</v>
      </c>
    </row>
    <row r="368" ht="14.25" customHeight="1">
      <c r="A368" s="2" t="s">
        <v>73</v>
      </c>
      <c r="B368" s="2" t="s">
        <v>74</v>
      </c>
      <c r="C368" s="2">
        <v>1980.0</v>
      </c>
      <c r="D368" s="9">
        <v>255.00987</v>
      </c>
      <c r="E368" s="10" t="str">
        <f t="array" ref="E368">IFS(D368&lt;=$G$3,'calculated data '!$A$3,D368&lt;=$G$4,'calculated data '!$A$4,D368&lt;=$G$6,'calculated data '!$A$5,D368&gt;=$G$6,'calculated data '!$A$6)</f>
        <v>Low Demand Tier</v>
      </c>
      <c r="F368" s="10">
        <f t="shared" si="1"/>
        <v>-0.6564214271</v>
      </c>
    </row>
    <row r="369" ht="14.25" customHeight="1">
      <c r="A369" s="2" t="s">
        <v>21</v>
      </c>
      <c r="B369" s="2" t="s">
        <v>22</v>
      </c>
      <c r="C369" s="2">
        <v>1973.0</v>
      </c>
      <c r="D369" s="9">
        <v>255.45174</v>
      </c>
      <c r="E369" s="10" t="str">
        <f t="array" ref="E369">IFS(D369&lt;=$G$3,'calculated data '!$A$3,D369&lt;=$G$4,'calculated data '!$A$4,D369&lt;=$G$6,'calculated data '!$A$5,D369&gt;=$G$6,'calculated data '!$A$6)</f>
        <v>Low Demand Tier</v>
      </c>
      <c r="F369" s="10">
        <f t="shared" si="1"/>
        <v>-0.656409731</v>
      </c>
    </row>
    <row r="370" ht="14.25" customHeight="1">
      <c r="A370" s="2" t="s">
        <v>81</v>
      </c>
      <c r="B370" s="2" t="s">
        <v>82</v>
      </c>
      <c r="C370" s="2">
        <v>2014.0</v>
      </c>
      <c r="D370" s="9">
        <v>255.56593</v>
      </c>
      <c r="E370" s="10" t="str">
        <f t="array" ref="E370">IFS(D370&lt;=$G$3,'calculated data '!$A$3,D370&lt;=$G$4,'calculated data '!$A$4,D370&lt;=$G$6,'calculated data '!$A$5,D370&gt;=$G$6,'calculated data '!$A$6)</f>
        <v>Low Demand Tier</v>
      </c>
      <c r="F370" s="10">
        <f t="shared" si="1"/>
        <v>-0.6564067084</v>
      </c>
    </row>
    <row r="371" ht="14.25" customHeight="1">
      <c r="A371" s="2" t="s">
        <v>81</v>
      </c>
      <c r="B371" s="2" t="s">
        <v>82</v>
      </c>
      <c r="C371" s="2">
        <v>2015.0</v>
      </c>
      <c r="D371" s="9">
        <v>256.09003</v>
      </c>
      <c r="E371" s="10" t="str">
        <f t="array" ref="E371">IFS(D371&lt;=$G$3,'calculated data '!$A$3,D371&lt;=$G$4,'calculated data '!$A$4,D371&lt;=$G$6,'calculated data '!$A$5,D371&gt;=$G$6,'calculated data '!$A$6)</f>
        <v>Low Demand Tier</v>
      </c>
      <c r="F371" s="10">
        <f t="shared" si="1"/>
        <v>-0.6563928356</v>
      </c>
    </row>
    <row r="372" ht="14.25" customHeight="1">
      <c r="A372" s="2" t="s">
        <v>63</v>
      </c>
      <c r="B372" s="2" t="s">
        <v>64</v>
      </c>
      <c r="C372" s="2">
        <v>1984.0</v>
      </c>
      <c r="D372" s="9">
        <v>256.16733</v>
      </c>
      <c r="E372" s="10" t="str">
        <f t="array" ref="E372">IFS(D372&lt;=$G$3,'calculated data '!$A$3,D372&lt;=$G$4,'calculated data '!$A$4,D372&lt;=$G$6,'calculated data '!$A$5,D372&gt;=$G$6,'calculated data '!$A$6)</f>
        <v>Low Demand Tier</v>
      </c>
      <c r="F372" s="10">
        <f t="shared" si="1"/>
        <v>-0.6563907895</v>
      </c>
    </row>
    <row r="373" ht="14.25" customHeight="1">
      <c r="A373" s="2" t="s">
        <v>63</v>
      </c>
      <c r="B373" s="2" t="s">
        <v>64</v>
      </c>
      <c r="C373" s="2">
        <v>2003.0</v>
      </c>
      <c r="D373" s="9">
        <v>256.37155</v>
      </c>
      <c r="E373" s="10" t="str">
        <f t="array" ref="E373">IFS(D373&lt;=$G$3,'calculated data '!$A$3,D373&lt;=$G$4,'calculated data '!$A$4,D373&lt;=$G$6,'calculated data '!$A$5,D373&gt;=$G$6,'calculated data '!$A$6)</f>
        <v>Low Demand Tier</v>
      </c>
      <c r="F373" s="10">
        <f t="shared" si="1"/>
        <v>-0.6563853838</v>
      </c>
    </row>
    <row r="374" ht="14.25" customHeight="1">
      <c r="A374" s="2" t="s">
        <v>65</v>
      </c>
      <c r="B374" s="2" t="s">
        <v>66</v>
      </c>
      <c r="C374" s="2">
        <v>2006.0</v>
      </c>
      <c r="D374" s="9">
        <v>256.86743</v>
      </c>
      <c r="E374" s="10" t="str">
        <f t="array" ref="E374">IFS(D374&lt;=$G$3,'calculated data '!$A$3,D374&lt;=$G$4,'calculated data '!$A$4,D374&lt;=$G$6,'calculated data '!$A$5,D374&gt;=$G$6,'calculated data '!$A$6)</f>
        <v>Low Demand Tier</v>
      </c>
      <c r="F374" s="10">
        <f t="shared" si="1"/>
        <v>-0.656372258</v>
      </c>
    </row>
    <row r="375" ht="14.25" customHeight="1">
      <c r="A375" s="2" t="s">
        <v>85</v>
      </c>
      <c r="B375" s="2" t="s">
        <v>86</v>
      </c>
      <c r="C375" s="2">
        <v>1986.0</v>
      </c>
      <c r="D375" s="9">
        <v>257.54047</v>
      </c>
      <c r="E375" s="10" t="str">
        <f t="array" ref="E375">IFS(D375&lt;=$G$3,'calculated data '!$A$3,D375&lt;=$G$4,'calculated data '!$A$4,D375&lt;=$G$6,'calculated data '!$A$5,D375&gt;=$G$6,'calculated data '!$A$6)</f>
        <v>Low Demand Tier</v>
      </c>
      <c r="F375" s="10">
        <f t="shared" si="1"/>
        <v>-0.6563544428</v>
      </c>
    </row>
    <row r="376" ht="14.25" customHeight="1">
      <c r="A376" s="2" t="s">
        <v>69</v>
      </c>
      <c r="B376" s="2" t="s">
        <v>70</v>
      </c>
      <c r="C376" s="2">
        <v>2016.0</v>
      </c>
      <c r="D376" s="9">
        <v>258.429</v>
      </c>
      <c r="E376" s="10" t="str">
        <f t="array" ref="E376">IFS(D376&lt;=$G$3,'calculated data '!$A$3,D376&lt;=$G$4,'calculated data '!$A$4,D376&lt;=$G$6,'calculated data '!$A$5,D376&gt;=$G$6,'calculated data '!$A$6)</f>
        <v>Low Demand Tier</v>
      </c>
      <c r="F376" s="10">
        <f t="shared" si="1"/>
        <v>-0.6563309236</v>
      </c>
    </row>
    <row r="377" ht="14.25" customHeight="1">
      <c r="A377" s="2" t="s">
        <v>77</v>
      </c>
      <c r="B377" s="2" t="s">
        <v>78</v>
      </c>
      <c r="C377" s="2">
        <v>1993.0</v>
      </c>
      <c r="D377" s="9">
        <v>258.528</v>
      </c>
      <c r="E377" s="10" t="str">
        <f t="array" ref="E377">IFS(D377&lt;=$G$3,'calculated data '!$A$3,D377&lt;=$G$4,'calculated data '!$A$4,D377&lt;=$G$6,'calculated data '!$A$5,D377&gt;=$G$6,'calculated data '!$A$6)</f>
        <v>Low Demand Tier</v>
      </c>
      <c r="F377" s="10">
        <f t="shared" si="1"/>
        <v>-0.6563283031</v>
      </c>
    </row>
    <row r="378" ht="14.25" customHeight="1">
      <c r="A378" s="2" t="s">
        <v>73</v>
      </c>
      <c r="B378" s="2" t="s">
        <v>74</v>
      </c>
      <c r="C378" s="2">
        <v>1992.0</v>
      </c>
      <c r="D378" s="9">
        <v>258.7136</v>
      </c>
      <c r="E378" s="10" t="str">
        <f t="array" ref="E378">IFS(D378&lt;=$G$3,'calculated data '!$A$3,D378&lt;=$G$4,'calculated data '!$A$4,D378&lt;=$G$6,'calculated data '!$A$5,D378&gt;=$G$6,'calculated data '!$A$6)</f>
        <v>Low Demand Tier</v>
      </c>
      <c r="F378" s="10">
        <f t="shared" si="1"/>
        <v>-0.6563233903</v>
      </c>
    </row>
    <row r="379" ht="14.25" customHeight="1">
      <c r="A379" s="2" t="s">
        <v>73</v>
      </c>
      <c r="B379" s="2" t="s">
        <v>74</v>
      </c>
      <c r="C379" s="2">
        <v>1999.0</v>
      </c>
      <c r="D379" s="9">
        <v>258.8687</v>
      </c>
      <c r="E379" s="10" t="str">
        <f t="array" ref="E379">IFS(D379&lt;=$G$3,'calculated data '!$A$3,D379&lt;=$G$4,'calculated data '!$A$4,D379&lt;=$G$6,'calculated data '!$A$5,D379&gt;=$G$6,'calculated data '!$A$6)</f>
        <v>Low Demand Tier</v>
      </c>
      <c r="F379" s="10">
        <f t="shared" si="1"/>
        <v>-0.6563192849</v>
      </c>
    </row>
    <row r="380" ht="14.25" customHeight="1">
      <c r="A380" s="2" t="s">
        <v>79</v>
      </c>
      <c r="B380" s="2" t="s">
        <v>80</v>
      </c>
      <c r="C380" s="2">
        <v>1982.0</v>
      </c>
      <c r="D380" s="9">
        <v>259.40555</v>
      </c>
      <c r="E380" s="10" t="str">
        <f t="array" ref="E380">IFS(D380&lt;=$G$3,'calculated data '!$A$3,D380&lt;=$G$4,'calculated data '!$A$4,D380&lt;=$G$6,'calculated data '!$A$5,D380&gt;=$G$6,'calculated data '!$A$6)</f>
        <v>Low Demand Tier</v>
      </c>
      <c r="F380" s="10">
        <f t="shared" si="1"/>
        <v>-0.6563050746</v>
      </c>
    </row>
    <row r="381" ht="14.25" customHeight="1">
      <c r="A381" s="2" t="s">
        <v>79</v>
      </c>
      <c r="B381" s="2" t="s">
        <v>80</v>
      </c>
      <c r="C381" s="2">
        <v>1990.0</v>
      </c>
      <c r="D381" s="9">
        <v>259.63687</v>
      </c>
      <c r="E381" s="10" t="str">
        <f t="array" ref="E381">IFS(D381&lt;=$G$3,'calculated data '!$A$3,D381&lt;=$G$4,'calculated data '!$A$4,D381&lt;=$G$6,'calculated data '!$A$5,D381&gt;=$G$6,'calculated data '!$A$6)</f>
        <v>Low Demand Tier</v>
      </c>
      <c r="F381" s="10">
        <f t="shared" si="1"/>
        <v>-0.6562989516</v>
      </c>
    </row>
    <row r="382" ht="14.25" customHeight="1">
      <c r="A382" s="2" t="s">
        <v>55</v>
      </c>
      <c r="B382" s="2" t="s">
        <v>56</v>
      </c>
      <c r="C382" s="2">
        <v>2019.0</v>
      </c>
      <c r="D382" s="9">
        <v>260.2344</v>
      </c>
      <c r="E382" s="10" t="str">
        <f t="array" ref="E382">IFS(D382&lt;=$G$3,'calculated data '!$A$3,D382&lt;=$G$4,'calculated data '!$A$4,D382&lt;=$G$6,'calculated data '!$A$5,D382&gt;=$G$6,'calculated data '!$A$6)</f>
        <v>Low Demand Tier</v>
      </c>
      <c r="F382" s="10">
        <f t="shared" si="1"/>
        <v>-0.6562831351</v>
      </c>
    </row>
    <row r="383" ht="14.25" customHeight="1">
      <c r="A383" s="2" t="s">
        <v>63</v>
      </c>
      <c r="B383" s="2" t="s">
        <v>64</v>
      </c>
      <c r="C383" s="2">
        <v>1983.0</v>
      </c>
      <c r="D383" s="9">
        <v>260.6616</v>
      </c>
      <c r="E383" s="10" t="str">
        <f t="array" ref="E383">IFS(D383&lt;=$G$3,'calculated data '!$A$3,D383&lt;=$G$4,'calculated data '!$A$4,D383&lt;=$G$6,'calculated data '!$A$5,D383&gt;=$G$6,'calculated data '!$A$6)</f>
        <v>Low Demand Tier</v>
      </c>
      <c r="F383" s="10">
        <f t="shared" si="1"/>
        <v>-0.6562718273</v>
      </c>
    </row>
    <row r="384" ht="14.25" customHeight="1">
      <c r="A384" s="2" t="s">
        <v>69</v>
      </c>
      <c r="B384" s="2" t="s">
        <v>70</v>
      </c>
      <c r="C384" s="2">
        <v>2017.0</v>
      </c>
      <c r="D384" s="9">
        <v>261.11578</v>
      </c>
      <c r="E384" s="10" t="str">
        <f t="array" ref="E384">IFS(D384&lt;=$G$3,'calculated data '!$A$3,D384&lt;=$G$4,'calculated data '!$A$4,D384&lt;=$G$6,'calculated data '!$A$5,D384&gt;=$G$6,'calculated data '!$A$6)</f>
        <v>Low Demand Tier</v>
      </c>
      <c r="F384" s="10">
        <f t="shared" si="1"/>
        <v>-0.6562598052</v>
      </c>
    </row>
    <row r="385" ht="14.25" customHeight="1">
      <c r="A385" s="2" t="s">
        <v>65</v>
      </c>
      <c r="B385" s="2" t="s">
        <v>66</v>
      </c>
      <c r="C385" s="2">
        <v>2000.0</v>
      </c>
      <c r="D385" s="9">
        <v>262.68048</v>
      </c>
      <c r="E385" s="10" t="str">
        <f t="array" ref="E385">IFS(D385&lt;=$G$3,'calculated data '!$A$3,D385&lt;=$G$4,'calculated data '!$A$4,D385&lt;=$G$6,'calculated data '!$A$5,D385&gt;=$G$6,'calculated data '!$A$6)</f>
        <v>Low Demand Tier</v>
      </c>
      <c r="F385" s="10">
        <f t="shared" si="1"/>
        <v>-0.656218388</v>
      </c>
    </row>
    <row r="386" ht="14.25" customHeight="1">
      <c r="A386" s="2" t="s">
        <v>21</v>
      </c>
      <c r="B386" s="2" t="s">
        <v>22</v>
      </c>
      <c r="C386" s="2">
        <v>1975.0</v>
      </c>
      <c r="D386" s="9">
        <v>263.02783</v>
      </c>
      <c r="E386" s="10" t="str">
        <f t="array" ref="E386">IFS(D386&lt;=$G$3,'calculated data '!$A$3,D386&lt;=$G$4,'calculated data '!$A$4,D386&lt;=$G$6,'calculated data '!$A$5,D386&gt;=$G$6,'calculated data '!$A$6)</f>
        <v>Low Demand Tier</v>
      </c>
      <c r="F386" s="10">
        <f t="shared" si="1"/>
        <v>-0.6562091937</v>
      </c>
    </row>
    <row r="387" ht="14.25" customHeight="1">
      <c r="A387" s="2" t="s">
        <v>75</v>
      </c>
      <c r="B387" s="2" t="s">
        <v>76</v>
      </c>
      <c r="C387" s="2">
        <v>2012.0</v>
      </c>
      <c r="D387" s="9">
        <v>263.1805</v>
      </c>
      <c r="E387" s="10" t="str">
        <f t="array" ref="E387">IFS(D387&lt;=$G$3,'calculated data '!$A$3,D387&lt;=$G$4,'calculated data '!$A$4,D387&lt;=$G$6,'calculated data '!$A$5,D387&gt;=$G$6,'calculated data '!$A$6)</f>
        <v>Low Demand Tier</v>
      </c>
      <c r="F387" s="10">
        <f t="shared" si="1"/>
        <v>-0.6562051526</v>
      </c>
    </row>
    <row r="388" ht="14.25" customHeight="1">
      <c r="A388" s="2" t="s">
        <v>55</v>
      </c>
      <c r="B388" s="2" t="s">
        <v>56</v>
      </c>
      <c r="C388" s="2">
        <v>2018.0</v>
      </c>
      <c r="D388" s="9">
        <v>263.72635</v>
      </c>
      <c r="E388" s="10" t="str">
        <f t="array" ref="E388">IFS(D388&lt;=$G$3,'calculated data '!$A$3,D388&lt;=$G$4,'calculated data '!$A$4,D388&lt;=$G$6,'calculated data '!$A$5,D388&gt;=$G$6,'calculated data '!$A$6)</f>
        <v>Low Demand Tier</v>
      </c>
      <c r="F388" s="10">
        <f t="shared" si="1"/>
        <v>-0.6561907041</v>
      </c>
    </row>
    <row r="389" ht="14.25" customHeight="1">
      <c r="A389" s="2" t="s">
        <v>79</v>
      </c>
      <c r="B389" s="2" t="s">
        <v>80</v>
      </c>
      <c r="C389" s="2">
        <v>1991.0</v>
      </c>
      <c r="D389" s="9">
        <v>264.77148</v>
      </c>
      <c r="E389" s="10" t="str">
        <f t="array" ref="E389">IFS(D389&lt;=$G$3,'calculated data '!$A$3,D389&lt;=$G$4,'calculated data '!$A$4,D389&lt;=$G$6,'calculated data '!$A$5,D389&gt;=$G$6,'calculated data '!$A$6)</f>
        <v>Low Demand Tier</v>
      </c>
      <c r="F389" s="10">
        <f t="shared" si="1"/>
        <v>-0.6561630398</v>
      </c>
    </row>
    <row r="390" ht="14.25" customHeight="1">
      <c r="A390" s="2" t="s">
        <v>63</v>
      </c>
      <c r="B390" s="2" t="s">
        <v>64</v>
      </c>
      <c r="C390" s="2">
        <v>2004.0</v>
      </c>
      <c r="D390" s="9">
        <v>264.8528</v>
      </c>
      <c r="E390" s="10" t="str">
        <f t="array" ref="E390">IFS(D390&lt;=$G$3,'calculated data '!$A$3,D390&lt;=$G$4,'calculated data '!$A$4,D390&lt;=$G$6,'calculated data '!$A$5,D390&gt;=$G$6,'calculated data '!$A$6)</f>
        <v>Low Demand Tier</v>
      </c>
      <c r="F390" s="10">
        <f t="shared" si="1"/>
        <v>-0.6561608872</v>
      </c>
    </row>
    <row r="391" ht="14.25" customHeight="1">
      <c r="A391" s="2" t="s">
        <v>81</v>
      </c>
      <c r="B391" s="2" t="s">
        <v>82</v>
      </c>
      <c r="C391" s="2">
        <v>2013.0</v>
      </c>
      <c r="D391" s="9">
        <v>264.88943</v>
      </c>
      <c r="E391" s="10" t="str">
        <f t="array" ref="E391">IFS(D391&lt;=$G$3,'calculated data '!$A$3,D391&lt;=$G$4,'calculated data '!$A$4,D391&lt;=$G$6,'calculated data '!$A$5,D391&gt;=$G$6,'calculated data '!$A$6)</f>
        <v>Low Demand Tier</v>
      </c>
      <c r="F391" s="10">
        <f t="shared" si="1"/>
        <v>-0.6561599177</v>
      </c>
    </row>
    <row r="392" ht="14.25" customHeight="1">
      <c r="A392" s="2" t="s">
        <v>59</v>
      </c>
      <c r="B392" s="2" t="s">
        <v>60</v>
      </c>
      <c r="C392" s="2">
        <v>1994.0</v>
      </c>
      <c r="D392" s="9">
        <v>265.9874</v>
      </c>
      <c r="E392" s="10" t="str">
        <f t="array" ref="E392">IFS(D392&lt;=$G$3,'calculated data '!$A$3,D392&lt;=$G$4,'calculated data '!$A$4,D392&lt;=$G$6,'calculated data '!$A$5,D392&gt;=$G$6,'calculated data '!$A$6)</f>
        <v>Low Demand Tier</v>
      </c>
      <c r="F392" s="10">
        <f t="shared" si="1"/>
        <v>-0.6561308547</v>
      </c>
    </row>
    <row r="393" ht="14.25" customHeight="1">
      <c r="A393" s="2" t="s">
        <v>87</v>
      </c>
      <c r="B393" s="2" t="s">
        <v>88</v>
      </c>
      <c r="C393" s="2">
        <v>1988.0</v>
      </c>
      <c r="D393" s="9">
        <v>266.1113</v>
      </c>
      <c r="E393" s="10" t="str">
        <f t="array" ref="E393">IFS(D393&lt;=$G$3,'calculated data '!$A$3,D393&lt;=$G$4,'calculated data '!$A$4,D393&lt;=$G$6,'calculated data '!$A$5,D393&gt;=$G$6,'calculated data '!$A$6)</f>
        <v>Low Demand Tier</v>
      </c>
      <c r="F393" s="10">
        <f t="shared" si="1"/>
        <v>-0.6561275751</v>
      </c>
    </row>
    <row r="394" ht="14.25" customHeight="1">
      <c r="A394" s="2" t="s">
        <v>73</v>
      </c>
      <c r="B394" s="2" t="s">
        <v>74</v>
      </c>
      <c r="C394" s="2">
        <v>1998.0</v>
      </c>
      <c r="D394" s="9">
        <v>267.2601</v>
      </c>
      <c r="E394" s="10" t="str">
        <f t="array" ref="E394">IFS(D394&lt;=$G$3,'calculated data '!$A$3,D394&lt;=$G$4,'calculated data '!$A$4,D394&lt;=$G$6,'calculated data '!$A$5,D394&gt;=$G$6,'calculated data '!$A$6)</f>
        <v>Low Demand Tier</v>
      </c>
      <c r="F394" s="10">
        <f t="shared" si="1"/>
        <v>-0.6560971666</v>
      </c>
    </row>
    <row r="395" ht="14.25" customHeight="1">
      <c r="A395" s="2" t="s">
        <v>21</v>
      </c>
      <c r="B395" s="2" t="s">
        <v>22</v>
      </c>
      <c r="C395" s="2">
        <v>1974.0</v>
      </c>
      <c r="D395" s="9">
        <v>267.2887</v>
      </c>
      <c r="E395" s="10" t="str">
        <f t="array" ref="E395">IFS(D395&lt;=$G$3,'calculated data '!$A$3,D395&lt;=$G$4,'calculated data '!$A$4,D395&lt;=$G$6,'calculated data '!$A$5,D395&gt;=$G$6,'calculated data '!$A$6)</f>
        <v>Low Demand Tier</v>
      </c>
      <c r="F395" s="10">
        <f t="shared" si="1"/>
        <v>-0.6560964096</v>
      </c>
    </row>
    <row r="396" ht="14.25" customHeight="1">
      <c r="A396" s="2" t="s">
        <v>53</v>
      </c>
      <c r="B396" s="2" t="s">
        <v>54</v>
      </c>
      <c r="C396" s="2">
        <v>1980.0</v>
      </c>
      <c r="D396" s="9">
        <v>267.5294</v>
      </c>
      <c r="E396" s="10" t="str">
        <f t="array" ref="E396">IFS(D396&lt;=$G$3,'calculated data '!$A$3,D396&lt;=$G$4,'calculated data '!$A$4,D396&lt;=$G$6,'calculated data '!$A$5,D396&gt;=$G$6,'calculated data '!$A$6)</f>
        <v>Low Demand Tier</v>
      </c>
      <c r="F396" s="10">
        <f t="shared" si="1"/>
        <v>-0.6560900383</v>
      </c>
    </row>
    <row r="397" ht="14.25" customHeight="1">
      <c r="A397" s="2" t="s">
        <v>75</v>
      </c>
      <c r="B397" s="2" t="s">
        <v>76</v>
      </c>
      <c r="C397" s="2">
        <v>2011.0</v>
      </c>
      <c r="D397" s="9">
        <v>267.57297</v>
      </c>
      <c r="E397" s="10" t="str">
        <f t="array" ref="E397">IFS(D397&lt;=$G$3,'calculated data '!$A$3,D397&lt;=$G$4,'calculated data '!$A$4,D397&lt;=$G$6,'calculated data '!$A$5,D397&gt;=$G$6,'calculated data '!$A$6)</f>
        <v>Low Demand Tier</v>
      </c>
      <c r="F397" s="10">
        <f t="shared" si="1"/>
        <v>-0.656088885</v>
      </c>
    </row>
    <row r="398" ht="14.25" customHeight="1">
      <c r="A398" s="2" t="s">
        <v>83</v>
      </c>
      <c r="B398" s="2" t="s">
        <v>84</v>
      </c>
      <c r="C398" s="2">
        <v>1988.0</v>
      </c>
      <c r="D398" s="9">
        <v>268.94724</v>
      </c>
      <c r="E398" s="10" t="str">
        <f t="array" ref="E398">IFS(D398&lt;=$G$3,'calculated data '!$A$3,D398&lt;=$G$4,'calculated data '!$A$4,D398&lt;=$G$6,'calculated data '!$A$5,D398&gt;=$G$6,'calculated data '!$A$6)</f>
        <v>Low Demand Tier</v>
      </c>
      <c r="F398" s="10">
        <f t="shared" si="1"/>
        <v>-0.6560525084</v>
      </c>
    </row>
    <row r="399" ht="14.25" customHeight="1">
      <c r="A399" s="2" t="s">
        <v>79</v>
      </c>
      <c r="B399" s="2" t="s">
        <v>80</v>
      </c>
      <c r="C399" s="2">
        <v>1989.0</v>
      </c>
      <c r="D399" s="9">
        <v>269.56467</v>
      </c>
      <c r="E399" s="10" t="str">
        <f t="array" ref="E399">IFS(D399&lt;=$G$3,'calculated data '!$A$3,D399&lt;=$G$4,'calculated data '!$A$4,D399&lt;=$G$6,'calculated data '!$A$5,D399&gt;=$G$6,'calculated data '!$A$6)</f>
        <v>Low Demand Tier</v>
      </c>
      <c r="F399" s="10">
        <f t="shared" si="1"/>
        <v>-0.6560361652</v>
      </c>
    </row>
    <row r="400" ht="14.25" customHeight="1">
      <c r="A400" s="2" t="s">
        <v>79</v>
      </c>
      <c r="B400" s="2" t="s">
        <v>80</v>
      </c>
      <c r="C400" s="2">
        <v>1987.0</v>
      </c>
      <c r="D400" s="9">
        <v>269.87814</v>
      </c>
      <c r="E400" s="10" t="str">
        <f t="array" ref="E400">IFS(D400&lt;=$G$3,'calculated data '!$A$3,D400&lt;=$G$4,'calculated data '!$A$4,D400&lt;=$G$6,'calculated data '!$A$5,D400&gt;=$G$6,'calculated data '!$A$6)</f>
        <v>Low Demand Tier</v>
      </c>
      <c r="F400" s="10">
        <f t="shared" si="1"/>
        <v>-0.6560278677</v>
      </c>
    </row>
    <row r="401" ht="14.25" customHeight="1">
      <c r="A401" s="2" t="s">
        <v>55</v>
      </c>
      <c r="B401" s="2" t="s">
        <v>56</v>
      </c>
      <c r="C401" s="2">
        <v>1995.0</v>
      </c>
      <c r="D401" s="9">
        <v>270.71185</v>
      </c>
      <c r="E401" s="10" t="str">
        <f t="array" ref="E401">IFS(D401&lt;=$G$3,'calculated data '!$A$3,D401&lt;=$G$4,'calculated data '!$A$4,D401&lt;=$G$6,'calculated data '!$A$5,D401&gt;=$G$6,'calculated data '!$A$6)</f>
        <v>Low Demand Tier</v>
      </c>
      <c r="F401" s="10">
        <f t="shared" si="1"/>
        <v>-0.6560057996</v>
      </c>
    </row>
    <row r="402" ht="14.25" customHeight="1">
      <c r="A402" s="2" t="s">
        <v>69</v>
      </c>
      <c r="B402" s="2" t="s">
        <v>70</v>
      </c>
      <c r="C402" s="2">
        <v>2018.0</v>
      </c>
      <c r="D402" s="9">
        <v>272.04395</v>
      </c>
      <c r="E402" s="10" t="str">
        <f t="array" ref="E402">IFS(D402&lt;=$G$3,'calculated data '!$A$3,D402&lt;=$G$4,'calculated data '!$A$4,D402&lt;=$G$6,'calculated data '!$A$5,D402&gt;=$G$6,'calculated data '!$A$6)</f>
        <v>Low Demand Tier</v>
      </c>
      <c r="F402" s="10">
        <f t="shared" si="1"/>
        <v>-0.6559705393</v>
      </c>
    </row>
    <row r="403" ht="14.25" customHeight="1">
      <c r="A403" s="2" t="s">
        <v>77</v>
      </c>
      <c r="B403" s="2" t="s">
        <v>78</v>
      </c>
      <c r="C403" s="2">
        <v>1995.0</v>
      </c>
      <c r="D403" s="9">
        <v>272.3037</v>
      </c>
      <c r="E403" s="10" t="str">
        <f t="array" ref="E403">IFS(D403&lt;=$G$3,'calculated data '!$A$3,D403&lt;=$G$4,'calculated data '!$A$4,D403&lt;=$G$6,'calculated data '!$A$5,D403&gt;=$G$6,'calculated data '!$A$6)</f>
        <v>Low Demand Tier</v>
      </c>
      <c r="F403" s="10">
        <f t="shared" si="1"/>
        <v>-0.6559636638</v>
      </c>
    </row>
    <row r="404" ht="14.25" customHeight="1">
      <c r="A404" s="2" t="s">
        <v>89</v>
      </c>
      <c r="B404" s="2" t="s">
        <v>90</v>
      </c>
      <c r="C404" s="2">
        <v>2001.0</v>
      </c>
      <c r="D404" s="9">
        <v>272.5111</v>
      </c>
      <c r="E404" s="10" t="str">
        <f t="array" ref="E404">IFS(D404&lt;=$G$3,'calculated data '!$A$3,D404&lt;=$G$4,'calculated data '!$A$4,D404&lt;=$G$6,'calculated data '!$A$5,D404&gt;=$G$6,'calculated data '!$A$6)</f>
        <v>Low Demand Tier</v>
      </c>
      <c r="F404" s="10">
        <f t="shared" si="1"/>
        <v>-0.6559581739</v>
      </c>
    </row>
    <row r="405" ht="14.25" customHeight="1">
      <c r="A405" s="2" t="s">
        <v>51</v>
      </c>
      <c r="B405" s="2" t="s">
        <v>52</v>
      </c>
      <c r="C405" s="2">
        <v>1983.0</v>
      </c>
      <c r="D405" s="9">
        <v>272.5501</v>
      </c>
      <c r="E405" s="10" t="str">
        <f t="array" ref="E405">IFS(D405&lt;=$G$3,'calculated data '!$A$3,D405&lt;=$G$4,'calculated data '!$A$4,D405&lt;=$G$6,'calculated data '!$A$5,D405&gt;=$G$6,'calculated data '!$A$6)</f>
        <v>Low Demand Tier</v>
      </c>
      <c r="F405" s="10">
        <f t="shared" si="1"/>
        <v>-0.6559571416</v>
      </c>
    </row>
    <row r="406" ht="14.25" customHeight="1">
      <c r="A406" s="2" t="s">
        <v>55</v>
      </c>
      <c r="B406" s="2" t="s">
        <v>56</v>
      </c>
      <c r="C406" s="2">
        <v>2021.0</v>
      </c>
      <c r="D406" s="9">
        <v>272.5843</v>
      </c>
      <c r="E406" s="10" t="str">
        <f t="array" ref="E406">IFS(D406&lt;=$G$3,'calculated data '!$A$3,D406&lt;=$G$4,'calculated data '!$A$4,D406&lt;=$G$6,'calculated data '!$A$5,D406&gt;=$G$6,'calculated data '!$A$6)</f>
        <v>Low Demand Tier</v>
      </c>
      <c r="F406" s="10">
        <f t="shared" si="1"/>
        <v>-0.6559562364</v>
      </c>
    </row>
    <row r="407" ht="14.25" customHeight="1">
      <c r="A407" s="2" t="s">
        <v>69</v>
      </c>
      <c r="B407" s="2" t="s">
        <v>70</v>
      </c>
      <c r="C407" s="2">
        <v>1980.0</v>
      </c>
      <c r="D407" s="9">
        <v>273.16632</v>
      </c>
      <c r="E407" s="10" t="str">
        <f t="array" ref="E407">IFS(D407&lt;=$G$3,'calculated data '!$A$3,D407&lt;=$G$4,'calculated data '!$A$4,D407&lt;=$G$6,'calculated data '!$A$5,D407&gt;=$G$6,'calculated data '!$A$6)</f>
        <v>Low Demand Tier</v>
      </c>
      <c r="F407" s="10">
        <f t="shared" si="1"/>
        <v>-0.6559408304</v>
      </c>
    </row>
    <row r="408" ht="14.25" customHeight="1">
      <c r="A408" s="2" t="s">
        <v>81</v>
      </c>
      <c r="B408" s="2" t="s">
        <v>82</v>
      </c>
      <c r="C408" s="2">
        <v>2012.0</v>
      </c>
      <c r="D408" s="9">
        <v>273.57166</v>
      </c>
      <c r="E408" s="10" t="str">
        <f t="array" ref="E408">IFS(D408&lt;=$G$3,'calculated data '!$A$3,D408&lt;=$G$4,'calculated data '!$A$4,D408&lt;=$G$6,'calculated data '!$A$5,D408&gt;=$G$6,'calculated data '!$A$6)</f>
        <v>Low Demand Tier</v>
      </c>
      <c r="F408" s="10">
        <f t="shared" si="1"/>
        <v>-0.6559301012</v>
      </c>
    </row>
    <row r="409" ht="14.25" customHeight="1">
      <c r="A409" s="2" t="s">
        <v>89</v>
      </c>
      <c r="B409" s="2" t="s">
        <v>90</v>
      </c>
      <c r="C409" s="2">
        <v>2006.0</v>
      </c>
      <c r="D409" s="9">
        <v>274.10272</v>
      </c>
      <c r="E409" s="10" t="str">
        <f t="array" ref="E409">IFS(D409&lt;=$G$3,'calculated data '!$A$3,D409&lt;=$G$4,'calculated data '!$A$4,D409&lt;=$G$6,'calculated data '!$A$5,D409&gt;=$G$6,'calculated data '!$A$6)</f>
        <v>Low Demand Tier</v>
      </c>
      <c r="F409" s="10">
        <f t="shared" si="1"/>
        <v>-0.6559160442</v>
      </c>
    </row>
    <row r="410" ht="14.25" customHeight="1">
      <c r="A410" s="2" t="s">
        <v>63</v>
      </c>
      <c r="B410" s="2" t="s">
        <v>64</v>
      </c>
      <c r="C410" s="2">
        <v>1993.0</v>
      </c>
      <c r="D410" s="9">
        <v>274.48294</v>
      </c>
      <c r="E410" s="10" t="str">
        <f t="array" ref="E410">IFS(D410&lt;=$G$3,'calculated data '!$A$3,D410&lt;=$G$4,'calculated data '!$A$4,D410&lt;=$G$6,'calculated data '!$A$5,D410&gt;=$G$6,'calculated data '!$A$6)</f>
        <v>Low Demand Tier</v>
      </c>
      <c r="F410" s="10">
        <f t="shared" si="1"/>
        <v>-0.6559059798</v>
      </c>
    </row>
    <row r="411" ht="14.25" customHeight="1">
      <c r="A411" s="2" t="s">
        <v>51</v>
      </c>
      <c r="B411" s="2" t="s">
        <v>52</v>
      </c>
      <c r="C411" s="2">
        <v>1984.0</v>
      </c>
      <c r="D411" s="9">
        <v>274.52844</v>
      </c>
      <c r="E411" s="10" t="str">
        <f t="array" ref="E411">IFS(D411&lt;=$G$3,'calculated data '!$A$3,D411&lt;=$G$4,'calculated data '!$A$4,D411&lt;=$G$6,'calculated data '!$A$5,D411&gt;=$G$6,'calculated data '!$A$6)</f>
        <v>Low Demand Tier</v>
      </c>
      <c r="F411" s="10">
        <f t="shared" si="1"/>
        <v>-0.6559047755</v>
      </c>
    </row>
    <row r="412" ht="14.25" customHeight="1">
      <c r="A412" s="2" t="s">
        <v>55</v>
      </c>
      <c r="B412" s="2" t="s">
        <v>56</v>
      </c>
      <c r="C412" s="2">
        <v>1991.0</v>
      </c>
      <c r="D412" s="9">
        <v>274.80493</v>
      </c>
      <c r="E412" s="10" t="str">
        <f t="array" ref="E412">IFS(D412&lt;=$G$3,'calculated data '!$A$3,D412&lt;=$G$4,'calculated data '!$A$4,D412&lt;=$G$6,'calculated data '!$A$5,D412&gt;=$G$6,'calculated data '!$A$6)</f>
        <v>Low Demand Tier</v>
      </c>
      <c r="F412" s="10">
        <f t="shared" si="1"/>
        <v>-0.6558974568</v>
      </c>
    </row>
    <row r="413" ht="14.25" customHeight="1">
      <c r="A413" s="2" t="s">
        <v>53</v>
      </c>
      <c r="B413" s="2" t="s">
        <v>54</v>
      </c>
      <c r="C413" s="2">
        <v>2016.0</v>
      </c>
      <c r="D413" s="9">
        <v>275.6423</v>
      </c>
      <c r="E413" s="10" t="str">
        <f t="array" ref="E413">IFS(D413&lt;=$G$3,'calculated data '!$A$3,D413&lt;=$G$4,'calculated data '!$A$4,D413&lt;=$G$6,'calculated data '!$A$5,D413&gt;=$G$6,'calculated data '!$A$6)</f>
        <v>Low Demand Tier</v>
      </c>
      <c r="F413" s="10">
        <f t="shared" si="1"/>
        <v>-0.6558752919</v>
      </c>
    </row>
    <row r="414" ht="14.25" customHeight="1">
      <c r="A414" s="2" t="s">
        <v>81</v>
      </c>
      <c r="B414" s="2" t="s">
        <v>82</v>
      </c>
      <c r="C414" s="2">
        <v>2011.0</v>
      </c>
      <c r="D414" s="9">
        <v>275.73633</v>
      </c>
      <c r="E414" s="10" t="str">
        <f t="array" ref="E414">IFS(D414&lt;=$G$3,'calculated data '!$A$3,D414&lt;=$G$4,'calculated data '!$A$4,D414&lt;=$G$6,'calculated data '!$A$5,D414&gt;=$G$6,'calculated data '!$A$6)</f>
        <v>Low Demand Tier</v>
      </c>
      <c r="F414" s="10">
        <f t="shared" si="1"/>
        <v>-0.6558728029</v>
      </c>
    </row>
    <row r="415" ht="14.25" customHeight="1">
      <c r="A415" s="2" t="s">
        <v>59</v>
      </c>
      <c r="B415" s="2" t="s">
        <v>60</v>
      </c>
      <c r="C415" s="2">
        <v>1995.0</v>
      </c>
      <c r="D415" s="9">
        <v>275.8802</v>
      </c>
      <c r="E415" s="10" t="str">
        <f t="array" ref="E415">IFS(D415&lt;=$G$3,'calculated data '!$A$3,D415&lt;=$G$4,'calculated data '!$A$4,D415&lt;=$G$6,'calculated data '!$A$5,D415&gt;=$G$6,'calculated data '!$A$6)</f>
        <v>Low Demand Tier</v>
      </c>
      <c r="F415" s="10">
        <f t="shared" si="1"/>
        <v>-0.6558689947</v>
      </c>
    </row>
    <row r="416" ht="14.25" customHeight="1">
      <c r="A416" s="2" t="s">
        <v>77</v>
      </c>
      <c r="B416" s="2" t="s">
        <v>78</v>
      </c>
      <c r="C416" s="2">
        <v>1994.0</v>
      </c>
      <c r="D416" s="9">
        <v>277.20236</v>
      </c>
      <c r="E416" s="10" t="str">
        <f t="array" ref="E416">IFS(D416&lt;=$G$3,'calculated data '!$A$3,D416&lt;=$G$4,'calculated data '!$A$4,D416&lt;=$G$6,'calculated data '!$A$5,D416&gt;=$G$6,'calculated data '!$A$6)</f>
        <v>Low Demand Tier</v>
      </c>
      <c r="F416" s="10">
        <f t="shared" si="1"/>
        <v>-0.6558339975</v>
      </c>
    </row>
    <row r="417" ht="14.25" customHeight="1">
      <c r="A417" s="2" t="s">
        <v>55</v>
      </c>
      <c r="B417" s="2" t="s">
        <v>56</v>
      </c>
      <c r="C417" s="2">
        <v>1999.0</v>
      </c>
      <c r="D417" s="9">
        <v>277.3784</v>
      </c>
      <c r="E417" s="10" t="str">
        <f t="array" ref="E417">IFS(D417&lt;=$G$3,'calculated data '!$A$3,D417&lt;=$G$4,'calculated data '!$A$4,D417&lt;=$G$6,'calculated data '!$A$5,D417&gt;=$G$6,'calculated data '!$A$6)</f>
        <v>Low Demand Tier</v>
      </c>
      <c r="F417" s="10">
        <f t="shared" si="1"/>
        <v>-0.6558293377</v>
      </c>
    </row>
    <row r="418" ht="14.25" customHeight="1">
      <c r="A418" s="2" t="s">
        <v>63</v>
      </c>
      <c r="B418" s="2" t="s">
        <v>64</v>
      </c>
      <c r="C418" s="2">
        <v>1986.0</v>
      </c>
      <c r="D418" s="9">
        <v>277.4782</v>
      </c>
      <c r="E418" s="10" t="str">
        <f t="array" ref="E418">IFS(D418&lt;=$G$3,'calculated data '!$A$3,D418&lt;=$G$4,'calculated data '!$A$4,D418&lt;=$G$6,'calculated data '!$A$5,D418&gt;=$G$6,'calculated data '!$A$6)</f>
        <v>Low Demand Tier</v>
      </c>
      <c r="F418" s="10">
        <f t="shared" si="1"/>
        <v>-0.655826696</v>
      </c>
    </row>
    <row r="419" ht="14.25" customHeight="1">
      <c r="A419" s="2" t="s">
        <v>81</v>
      </c>
      <c r="B419" s="2" t="s">
        <v>82</v>
      </c>
      <c r="C419" s="2">
        <v>2010.0</v>
      </c>
      <c r="D419" s="9">
        <v>277.69427</v>
      </c>
      <c r="E419" s="10" t="str">
        <f t="array" ref="E419">IFS(D419&lt;=$G$3,'calculated data '!$A$3,D419&lt;=$G$4,'calculated data '!$A$4,D419&lt;=$G$6,'calculated data '!$A$5,D419&gt;=$G$6,'calculated data '!$A$6)</f>
        <v>Low Demand Tier</v>
      </c>
      <c r="F419" s="10">
        <f t="shared" si="1"/>
        <v>-0.6558209767</v>
      </c>
    </row>
    <row r="420" ht="14.25" customHeight="1">
      <c r="A420" s="2" t="s">
        <v>81</v>
      </c>
      <c r="B420" s="2" t="s">
        <v>82</v>
      </c>
      <c r="C420" s="2">
        <v>2009.0</v>
      </c>
      <c r="D420" s="9">
        <v>277.73074</v>
      </c>
      <c r="E420" s="10" t="str">
        <f t="array" ref="E420">IFS(D420&lt;=$G$3,'calculated data '!$A$3,D420&lt;=$G$4,'calculated data '!$A$4,D420&lt;=$G$6,'calculated data '!$A$5,D420&gt;=$G$6,'calculated data '!$A$6)</f>
        <v>Low Demand Tier</v>
      </c>
      <c r="F420" s="10">
        <f t="shared" si="1"/>
        <v>-0.6558200114</v>
      </c>
    </row>
    <row r="421" ht="14.25" customHeight="1">
      <c r="A421" s="2" t="s">
        <v>63</v>
      </c>
      <c r="B421" s="2" t="s">
        <v>64</v>
      </c>
      <c r="C421" s="2">
        <v>1990.0</v>
      </c>
      <c r="D421" s="9">
        <v>278.25366</v>
      </c>
      <c r="E421" s="10" t="str">
        <f t="array" ref="E421">IFS(D421&lt;=$G$3,'calculated data '!$A$3,D421&lt;=$G$4,'calculated data '!$A$4,D421&lt;=$G$6,'calculated data '!$A$5,D421&gt;=$G$6,'calculated data '!$A$6)</f>
        <v>Low Demand Tier</v>
      </c>
      <c r="F421" s="10">
        <f t="shared" si="1"/>
        <v>-0.6558061698</v>
      </c>
    </row>
    <row r="422" ht="14.25" customHeight="1">
      <c r="A422" s="2" t="s">
        <v>55</v>
      </c>
      <c r="B422" s="2" t="s">
        <v>56</v>
      </c>
      <c r="C422" s="2">
        <v>2024.0</v>
      </c>
      <c r="D422" s="9">
        <v>278.34103</v>
      </c>
      <c r="E422" s="10" t="str">
        <f t="array" ref="E422">IFS(D422&lt;=$G$3,'calculated data '!$A$3,D422&lt;=$G$4,'calculated data '!$A$4,D422&lt;=$G$6,'calculated data '!$A$5,D422&gt;=$G$6,'calculated data '!$A$6)</f>
        <v>Low Demand Tier</v>
      </c>
      <c r="F422" s="10">
        <f t="shared" si="1"/>
        <v>-0.6558038571</v>
      </c>
    </row>
    <row r="423" ht="14.25" customHeight="1">
      <c r="A423" s="2" t="s">
        <v>81</v>
      </c>
      <c r="B423" s="2" t="s">
        <v>82</v>
      </c>
      <c r="C423" s="2">
        <v>1999.0</v>
      </c>
      <c r="D423" s="9">
        <v>279.24442</v>
      </c>
      <c r="E423" s="10" t="str">
        <f t="array" ref="E423">IFS(D423&lt;=$G$3,'calculated data '!$A$3,D423&lt;=$G$4,'calculated data '!$A$4,D423&lt;=$G$6,'calculated data '!$A$5,D423&gt;=$G$6,'calculated data '!$A$6)</f>
        <v>Low Demand Tier</v>
      </c>
      <c r="F423" s="10">
        <f t="shared" si="1"/>
        <v>-0.6557799446</v>
      </c>
    </row>
    <row r="424" ht="14.25" customHeight="1">
      <c r="A424" s="2" t="s">
        <v>75</v>
      </c>
      <c r="B424" s="2" t="s">
        <v>76</v>
      </c>
      <c r="C424" s="2">
        <v>2018.0</v>
      </c>
      <c r="D424" s="9">
        <v>279.3724</v>
      </c>
      <c r="E424" s="10" t="str">
        <f t="array" ref="E424">IFS(D424&lt;=$G$3,'calculated data '!$A$3,D424&lt;=$G$4,'calculated data '!$A$4,D424&lt;=$G$6,'calculated data '!$A$5,D424&gt;=$G$6,'calculated data '!$A$6)</f>
        <v>Low Demand Tier</v>
      </c>
      <c r="F424" s="10">
        <f t="shared" si="1"/>
        <v>-0.655776557</v>
      </c>
    </row>
    <row r="425" ht="14.25" customHeight="1">
      <c r="A425" s="2" t="s">
        <v>77</v>
      </c>
      <c r="B425" s="2" t="s">
        <v>78</v>
      </c>
      <c r="C425" s="2">
        <v>1996.0</v>
      </c>
      <c r="D425" s="9">
        <v>279.5712</v>
      </c>
      <c r="E425" s="10" t="str">
        <f t="array" ref="E425">IFS(D425&lt;=$G$3,'calculated data '!$A$3,D425&lt;=$G$4,'calculated data '!$A$4,D425&lt;=$G$6,'calculated data '!$A$5,D425&gt;=$G$6,'calculated data '!$A$6)</f>
        <v>Low Demand Tier</v>
      </c>
      <c r="F425" s="10">
        <f t="shared" si="1"/>
        <v>-0.6557712949</v>
      </c>
    </row>
    <row r="426" ht="14.25" customHeight="1">
      <c r="A426" s="2" t="s">
        <v>89</v>
      </c>
      <c r="B426" s="2" t="s">
        <v>90</v>
      </c>
      <c r="C426" s="2">
        <v>2002.0</v>
      </c>
      <c r="D426" s="9">
        <v>279.74094</v>
      </c>
      <c r="E426" s="10" t="str">
        <f t="array" ref="E426">IFS(D426&lt;=$G$3,'calculated data '!$A$3,D426&lt;=$G$4,'calculated data '!$A$4,D426&lt;=$G$6,'calculated data '!$A$5,D426&gt;=$G$6,'calculated data '!$A$6)</f>
        <v>Low Demand Tier</v>
      </c>
      <c r="F426" s="10">
        <f t="shared" si="1"/>
        <v>-0.6557668019</v>
      </c>
    </row>
    <row r="427" ht="14.25" customHeight="1">
      <c r="A427" s="2" t="s">
        <v>79</v>
      </c>
      <c r="B427" s="2" t="s">
        <v>80</v>
      </c>
      <c r="C427" s="2">
        <v>1988.0</v>
      </c>
      <c r="D427" s="9">
        <v>280.06912</v>
      </c>
      <c r="E427" s="10" t="str">
        <f t="array" ref="E427">IFS(D427&lt;=$G$3,'calculated data '!$A$3,D427&lt;=$G$4,'calculated data '!$A$4,D427&lt;=$G$6,'calculated data '!$A$5,D427&gt;=$G$6,'calculated data '!$A$6)</f>
        <v>Low Demand Tier</v>
      </c>
      <c r="F427" s="10">
        <f t="shared" si="1"/>
        <v>-0.655758115</v>
      </c>
    </row>
    <row r="428" ht="14.25" customHeight="1">
      <c r="A428" s="2" t="s">
        <v>75</v>
      </c>
      <c r="B428" s="2" t="s">
        <v>76</v>
      </c>
      <c r="C428" s="2">
        <v>2015.0</v>
      </c>
      <c r="D428" s="9">
        <v>280.16806</v>
      </c>
      <c r="E428" s="10" t="str">
        <f t="array" ref="E428">IFS(D428&lt;=$G$3,'calculated data '!$A$3,D428&lt;=$G$4,'calculated data '!$A$4,D428&lt;=$G$6,'calculated data '!$A$5,D428&gt;=$G$6,'calculated data '!$A$6)</f>
        <v>Low Demand Tier</v>
      </c>
      <c r="F428" s="10">
        <f t="shared" si="1"/>
        <v>-0.6557554961</v>
      </c>
    </row>
    <row r="429" ht="14.25" customHeight="1">
      <c r="A429" s="2" t="s">
        <v>79</v>
      </c>
      <c r="B429" s="2" t="s">
        <v>80</v>
      </c>
      <c r="C429" s="2">
        <v>1983.0</v>
      </c>
      <c r="D429" s="9">
        <v>280.3388</v>
      </c>
      <c r="E429" s="10" t="str">
        <f t="array" ref="E429">IFS(D429&lt;=$G$3,'calculated data '!$A$3,D429&lt;=$G$4,'calculated data '!$A$4,D429&lt;=$G$6,'calculated data '!$A$5,D429&gt;=$G$6,'calculated data '!$A$6)</f>
        <v>Low Demand Tier</v>
      </c>
      <c r="F429" s="10">
        <f t="shared" si="1"/>
        <v>-0.6557509767</v>
      </c>
    </row>
    <row r="430" ht="14.25" customHeight="1">
      <c r="A430" s="2" t="s">
        <v>79</v>
      </c>
      <c r="B430" s="2" t="s">
        <v>80</v>
      </c>
      <c r="C430" s="2">
        <v>1986.0</v>
      </c>
      <c r="D430" s="9">
        <v>280.77277</v>
      </c>
      <c r="E430" s="10" t="str">
        <f t="array" ref="E430">IFS(D430&lt;=$G$3,'calculated data '!$A$3,D430&lt;=$G$4,'calculated data '!$A$4,D430&lt;=$G$6,'calculated data '!$A$5,D430&gt;=$G$6,'calculated data '!$A$6)</f>
        <v>Low Demand Tier</v>
      </c>
      <c r="F430" s="10">
        <f t="shared" si="1"/>
        <v>-0.6557394896</v>
      </c>
    </row>
    <row r="431" ht="14.25" customHeight="1">
      <c r="A431" s="2" t="s">
        <v>67</v>
      </c>
      <c r="B431" s="2" t="s">
        <v>68</v>
      </c>
      <c r="C431" s="2">
        <v>2007.0</v>
      </c>
      <c r="D431" s="9">
        <v>281.71756</v>
      </c>
      <c r="E431" s="10" t="str">
        <f t="array" ref="E431">IFS(D431&lt;=$G$3,'calculated data '!$A$3,D431&lt;=$G$4,'calculated data '!$A$4,D431&lt;=$G$6,'calculated data '!$A$5,D431&gt;=$G$6,'calculated data '!$A$6)</f>
        <v>Low Demand Tier</v>
      </c>
      <c r="F431" s="10">
        <f t="shared" si="1"/>
        <v>-0.6557144812</v>
      </c>
    </row>
    <row r="432" ht="14.25" customHeight="1">
      <c r="A432" s="2" t="s">
        <v>63</v>
      </c>
      <c r="B432" s="2" t="s">
        <v>64</v>
      </c>
      <c r="C432" s="2">
        <v>1988.0</v>
      </c>
      <c r="D432" s="9">
        <v>282.85944</v>
      </c>
      <c r="E432" s="10" t="str">
        <f t="array" ref="E432">IFS(D432&lt;=$G$3,'calculated data '!$A$3,D432&lt;=$G$4,'calculated data '!$A$4,D432&lt;=$G$6,'calculated data '!$A$5,D432&gt;=$G$6,'calculated data '!$A$6)</f>
        <v>Low Demand Tier</v>
      </c>
      <c r="F432" s="10">
        <f t="shared" si="1"/>
        <v>-0.655684256</v>
      </c>
    </row>
    <row r="433" ht="14.25" customHeight="1">
      <c r="A433" s="2" t="s">
        <v>55</v>
      </c>
      <c r="B433" s="2" t="s">
        <v>56</v>
      </c>
      <c r="C433" s="2">
        <v>2023.0</v>
      </c>
      <c r="D433" s="9">
        <v>282.95456</v>
      </c>
      <c r="E433" s="10" t="str">
        <f t="array" ref="E433">IFS(D433&lt;=$G$3,'calculated data '!$A$3,D433&lt;=$G$4,'calculated data '!$A$4,D433&lt;=$G$6,'calculated data '!$A$5,D433&gt;=$G$6,'calculated data '!$A$6)</f>
        <v>Low Demand Tier</v>
      </c>
      <c r="F433" s="10">
        <f t="shared" si="1"/>
        <v>-0.6556817382</v>
      </c>
    </row>
    <row r="434" ht="14.25" customHeight="1">
      <c r="A434" s="2" t="s">
        <v>55</v>
      </c>
      <c r="B434" s="2" t="s">
        <v>56</v>
      </c>
      <c r="C434" s="2">
        <v>1997.0</v>
      </c>
      <c r="D434" s="9">
        <v>283.10806</v>
      </c>
      <c r="E434" s="10" t="str">
        <f t="array" ref="E434">IFS(D434&lt;=$G$3,'calculated data '!$A$3,D434&lt;=$G$4,'calculated data '!$A$4,D434&lt;=$G$6,'calculated data '!$A$5,D434&gt;=$G$6,'calculated data '!$A$6)</f>
        <v>Low Demand Tier</v>
      </c>
      <c r="F434" s="10">
        <f t="shared" si="1"/>
        <v>-0.6556776751</v>
      </c>
    </row>
    <row r="435" ht="14.25" customHeight="1">
      <c r="A435" s="2" t="s">
        <v>55</v>
      </c>
      <c r="B435" s="2" t="s">
        <v>56</v>
      </c>
      <c r="C435" s="2">
        <v>1996.0</v>
      </c>
      <c r="D435" s="9">
        <v>283.28046</v>
      </c>
      <c r="E435" s="10" t="str">
        <f t="array" ref="E435">IFS(D435&lt;=$G$3,'calculated data '!$A$3,D435&lt;=$G$4,'calculated data '!$A$4,D435&lt;=$G$6,'calculated data '!$A$5,D435&gt;=$G$6,'calculated data '!$A$6)</f>
        <v>Low Demand Tier</v>
      </c>
      <c r="F435" s="10">
        <f t="shared" si="1"/>
        <v>-0.6556731117</v>
      </c>
    </row>
    <row r="436" ht="14.25" customHeight="1">
      <c r="A436" s="2" t="s">
        <v>83</v>
      </c>
      <c r="B436" s="2" t="s">
        <v>84</v>
      </c>
      <c r="C436" s="2">
        <v>1987.0</v>
      </c>
      <c r="D436" s="9">
        <v>283.49365</v>
      </c>
      <c r="E436" s="10" t="str">
        <f t="array" ref="E436">IFS(D436&lt;=$G$3,'calculated data '!$A$3,D436&lt;=$G$4,'calculated data '!$A$4,D436&lt;=$G$6,'calculated data '!$A$5,D436&gt;=$G$6,'calculated data '!$A$6)</f>
        <v>Low Demand Tier</v>
      </c>
      <c r="F436" s="10">
        <f t="shared" si="1"/>
        <v>-0.6556674686</v>
      </c>
    </row>
    <row r="437" ht="14.25" customHeight="1">
      <c r="A437" s="2" t="s">
        <v>67</v>
      </c>
      <c r="B437" s="2" t="s">
        <v>68</v>
      </c>
      <c r="C437" s="2">
        <v>2009.0</v>
      </c>
      <c r="D437" s="9">
        <v>284.67303</v>
      </c>
      <c r="E437" s="10" t="str">
        <f t="array" ref="E437">IFS(D437&lt;=$G$3,'calculated data '!$A$3,D437&lt;=$G$4,'calculated data '!$A$4,D437&lt;=$G$6,'calculated data '!$A$5,D437&gt;=$G$6,'calculated data '!$A$6)</f>
        <v>Low Demand Tier</v>
      </c>
      <c r="F437" s="10">
        <f t="shared" si="1"/>
        <v>-0.6556362507</v>
      </c>
    </row>
    <row r="438" ht="14.25" customHeight="1">
      <c r="A438" s="2" t="s">
        <v>69</v>
      </c>
      <c r="B438" s="2" t="s">
        <v>70</v>
      </c>
      <c r="C438" s="2">
        <v>2007.0</v>
      </c>
      <c r="D438" s="9">
        <v>284.67633</v>
      </c>
      <c r="E438" s="10" t="str">
        <f t="array" ref="E438">IFS(D438&lt;=$G$3,'calculated data '!$A$3,D438&lt;=$G$4,'calculated data '!$A$4,D438&lt;=$G$6,'calculated data '!$A$5,D438&gt;=$G$6,'calculated data '!$A$6)</f>
        <v>Low Demand Tier</v>
      </c>
      <c r="F438" s="10">
        <f t="shared" si="1"/>
        <v>-0.6556361633</v>
      </c>
    </row>
    <row r="439" ht="14.25" customHeight="1">
      <c r="A439" s="2" t="s">
        <v>67</v>
      </c>
      <c r="B439" s="2" t="s">
        <v>68</v>
      </c>
      <c r="C439" s="2">
        <v>2006.0</v>
      </c>
      <c r="D439" s="9">
        <v>284.86237</v>
      </c>
      <c r="E439" s="10" t="str">
        <f t="array" ref="E439">IFS(D439&lt;=$G$3,'calculated data '!$A$3,D439&lt;=$G$4,'calculated data '!$A$4,D439&lt;=$G$6,'calculated data '!$A$5,D439&gt;=$G$6,'calculated data '!$A$6)</f>
        <v>Low Demand Tier</v>
      </c>
      <c r="F439" s="10">
        <f t="shared" si="1"/>
        <v>-0.6556312389</v>
      </c>
    </row>
    <row r="440" ht="14.25" customHeight="1">
      <c r="A440" s="2" t="s">
        <v>67</v>
      </c>
      <c r="B440" s="2" t="s">
        <v>68</v>
      </c>
      <c r="C440" s="2">
        <v>2008.0</v>
      </c>
      <c r="D440" s="9">
        <v>284.9128</v>
      </c>
      <c r="E440" s="10" t="str">
        <f t="array" ref="E440">IFS(D440&lt;=$G$3,'calculated data '!$A$3,D440&lt;=$G$4,'calculated data '!$A$4,D440&lt;=$G$6,'calculated data '!$A$5,D440&gt;=$G$6,'calculated data '!$A$6)</f>
        <v>Low Demand Tier</v>
      </c>
      <c r="F440" s="10">
        <f t="shared" si="1"/>
        <v>-0.655629904</v>
      </c>
    </row>
    <row r="441" ht="14.25" customHeight="1">
      <c r="A441" s="2" t="s">
        <v>55</v>
      </c>
      <c r="B441" s="2" t="s">
        <v>56</v>
      </c>
      <c r="C441" s="2">
        <v>1998.0</v>
      </c>
      <c r="D441" s="9">
        <v>285.07437</v>
      </c>
      <c r="E441" s="10" t="str">
        <f t="array" ref="E441">IFS(D441&lt;=$G$3,'calculated data '!$A$3,D441&lt;=$G$4,'calculated data '!$A$4,D441&lt;=$G$6,'calculated data '!$A$5,D441&gt;=$G$6,'calculated data '!$A$6)</f>
        <v>Low Demand Tier</v>
      </c>
      <c r="F441" s="10">
        <f t="shared" si="1"/>
        <v>-0.6556256273</v>
      </c>
    </row>
    <row r="442" ht="14.25" customHeight="1">
      <c r="A442" s="2" t="s">
        <v>75</v>
      </c>
      <c r="B442" s="2" t="s">
        <v>76</v>
      </c>
      <c r="C442" s="2">
        <v>2020.0</v>
      </c>
      <c r="D442" s="9">
        <v>285.17548</v>
      </c>
      <c r="E442" s="10" t="str">
        <f t="array" ref="E442">IFS(D442&lt;=$G$3,'calculated data '!$A$3,D442&lt;=$G$4,'calculated data '!$A$4,D442&lt;=$G$6,'calculated data '!$A$5,D442&gt;=$G$6,'calculated data '!$A$6)</f>
        <v>Low Demand Tier</v>
      </c>
      <c r="F442" s="10">
        <f t="shared" si="1"/>
        <v>-0.655622951</v>
      </c>
    </row>
    <row r="443" ht="14.25" customHeight="1">
      <c r="A443" s="2" t="s">
        <v>67</v>
      </c>
      <c r="B443" s="2" t="s">
        <v>68</v>
      </c>
      <c r="C443" s="2">
        <v>1982.0</v>
      </c>
      <c r="D443" s="9">
        <v>285.23782</v>
      </c>
      <c r="E443" s="10" t="str">
        <f t="array" ref="E443">IFS(D443&lt;=$G$3,'calculated data '!$A$3,D443&lt;=$G$4,'calculated data '!$A$4,D443&lt;=$G$6,'calculated data '!$A$5,D443&gt;=$G$6,'calculated data '!$A$6)</f>
        <v>Low Demand Tier</v>
      </c>
      <c r="F443" s="10">
        <f t="shared" si="1"/>
        <v>-0.6556213008</v>
      </c>
    </row>
    <row r="444" ht="14.25" customHeight="1">
      <c r="A444" s="2" t="s">
        <v>81</v>
      </c>
      <c r="B444" s="2" t="s">
        <v>82</v>
      </c>
      <c r="C444" s="2">
        <v>2008.0</v>
      </c>
      <c r="D444" s="9">
        <v>285.58847</v>
      </c>
      <c r="E444" s="10" t="str">
        <f t="array" ref="E444">IFS(D444&lt;=$G$3,'calculated data '!$A$3,D444&lt;=$G$4,'calculated data '!$A$4,D444&lt;=$G$6,'calculated data '!$A$5,D444&gt;=$G$6,'calculated data '!$A$6)</f>
        <v>Low Demand Tier</v>
      </c>
      <c r="F444" s="10">
        <f t="shared" si="1"/>
        <v>-0.6556120192</v>
      </c>
    </row>
    <row r="445" ht="14.25" customHeight="1">
      <c r="A445" s="2" t="s">
        <v>55</v>
      </c>
      <c r="B445" s="2" t="s">
        <v>56</v>
      </c>
      <c r="C445" s="2">
        <v>2020.0</v>
      </c>
      <c r="D445" s="9">
        <v>285.65326</v>
      </c>
      <c r="E445" s="10" t="str">
        <f t="array" ref="E445">IFS(D445&lt;=$G$3,'calculated data '!$A$3,D445&lt;=$G$4,'calculated data '!$A$4,D445&lt;=$G$6,'calculated data '!$A$5,D445&gt;=$G$6,'calculated data '!$A$6)</f>
        <v>Low Demand Tier</v>
      </c>
      <c r="F445" s="10">
        <f t="shared" si="1"/>
        <v>-0.6556103042</v>
      </c>
    </row>
    <row r="446" ht="14.25" customHeight="1">
      <c r="A446" s="2" t="s">
        <v>69</v>
      </c>
      <c r="B446" s="2" t="s">
        <v>70</v>
      </c>
      <c r="C446" s="2">
        <v>2005.0</v>
      </c>
      <c r="D446" s="9">
        <v>285.68045</v>
      </c>
      <c r="E446" s="10" t="str">
        <f t="array" ref="E446">IFS(D446&lt;=$G$3,'calculated data '!$A$3,D446&lt;=$G$4,'calculated data '!$A$4,D446&lt;=$G$6,'calculated data '!$A$5,D446&gt;=$G$6,'calculated data '!$A$6)</f>
        <v>Low Demand Tier</v>
      </c>
      <c r="F446" s="10">
        <f t="shared" si="1"/>
        <v>-0.6556095845</v>
      </c>
    </row>
    <row r="447" ht="14.25" customHeight="1">
      <c r="A447" s="2" t="s">
        <v>89</v>
      </c>
      <c r="B447" s="2" t="s">
        <v>90</v>
      </c>
      <c r="C447" s="2">
        <v>2005.0</v>
      </c>
      <c r="D447" s="9">
        <v>285.699</v>
      </c>
      <c r="E447" s="10" t="str">
        <f t="array" ref="E447">IFS(D447&lt;=$G$3,'calculated data '!$A$3,D447&lt;=$G$4,'calculated data '!$A$4,D447&lt;=$G$6,'calculated data '!$A$5,D447&gt;=$G$6,'calculated data '!$A$6)</f>
        <v>Low Demand Tier</v>
      </c>
      <c r="F447" s="10">
        <f t="shared" si="1"/>
        <v>-0.6556090935</v>
      </c>
    </row>
    <row r="448" ht="14.25" customHeight="1">
      <c r="A448" s="2" t="s">
        <v>63</v>
      </c>
      <c r="B448" s="2" t="s">
        <v>64</v>
      </c>
      <c r="C448" s="2">
        <v>1989.0</v>
      </c>
      <c r="D448" s="9">
        <v>286.04068</v>
      </c>
      <c r="E448" s="10" t="str">
        <f t="array" ref="E448">IFS(D448&lt;=$G$3,'calculated data '!$A$3,D448&lt;=$G$4,'calculated data '!$A$4,D448&lt;=$G$6,'calculated data '!$A$5,D448&gt;=$G$6,'calculated data '!$A$6)</f>
        <v>Low Demand Tier</v>
      </c>
      <c r="F448" s="10">
        <f t="shared" si="1"/>
        <v>-0.6556000493</v>
      </c>
    </row>
    <row r="449" ht="14.25" customHeight="1">
      <c r="A449" s="2" t="s">
        <v>51</v>
      </c>
      <c r="B449" s="2" t="s">
        <v>52</v>
      </c>
      <c r="C449" s="2">
        <v>1982.0</v>
      </c>
      <c r="D449" s="9">
        <v>287.29395</v>
      </c>
      <c r="E449" s="10" t="str">
        <f t="array" ref="E449">IFS(D449&lt;=$G$3,'calculated data '!$A$3,D449&lt;=$G$4,'calculated data '!$A$4,D449&lt;=$G$6,'calculated data '!$A$5,D449&gt;=$G$6,'calculated data '!$A$6)</f>
        <v>Low Demand Tier</v>
      </c>
      <c r="F449" s="10">
        <f t="shared" si="1"/>
        <v>-0.6555668756</v>
      </c>
    </row>
    <row r="450" ht="14.25" customHeight="1">
      <c r="A450" s="2" t="s">
        <v>89</v>
      </c>
      <c r="B450" s="2" t="s">
        <v>90</v>
      </c>
      <c r="C450" s="2">
        <v>2007.0</v>
      </c>
      <c r="D450" s="9">
        <v>287.41928</v>
      </c>
      <c r="E450" s="10" t="str">
        <f t="array" ref="E450">IFS(D450&lt;=$G$3,'calculated data '!$A$3,D450&lt;=$G$4,'calculated data '!$A$4,D450&lt;=$G$6,'calculated data '!$A$5,D450&gt;=$G$6,'calculated data '!$A$6)</f>
        <v>Low Demand Tier</v>
      </c>
      <c r="F450" s="10">
        <f t="shared" si="1"/>
        <v>-0.6555635581</v>
      </c>
    </row>
    <row r="451" ht="14.25" customHeight="1">
      <c r="A451" s="2" t="s">
        <v>53</v>
      </c>
      <c r="B451" s="2" t="s">
        <v>54</v>
      </c>
      <c r="C451" s="2">
        <v>2015.0</v>
      </c>
      <c r="D451" s="9">
        <v>287.97665</v>
      </c>
      <c r="E451" s="10" t="str">
        <f t="array" ref="E451">IFS(D451&lt;=$G$3,'calculated data '!$A$3,D451&lt;=$G$4,'calculated data '!$A$4,D451&lt;=$G$6,'calculated data '!$A$5,D451&gt;=$G$6,'calculated data '!$A$6)</f>
        <v>Low Demand Tier</v>
      </c>
      <c r="F451" s="10">
        <f t="shared" si="1"/>
        <v>-0.6555488047</v>
      </c>
    </row>
    <row r="452" ht="14.25" customHeight="1">
      <c r="A452" s="2" t="s">
        <v>89</v>
      </c>
      <c r="B452" s="2" t="s">
        <v>90</v>
      </c>
      <c r="C452" s="2">
        <v>2000.0</v>
      </c>
      <c r="D452" s="9">
        <v>288.23282</v>
      </c>
      <c r="E452" s="10" t="str">
        <f t="array" ref="E452">IFS(D452&lt;=$G$3,'calculated data '!$A$3,D452&lt;=$G$4,'calculated data '!$A$4,D452&lt;=$G$6,'calculated data '!$A$5,D452&gt;=$G$6,'calculated data '!$A$6)</f>
        <v>Low Demand Tier</v>
      </c>
      <c r="F452" s="10">
        <f t="shared" si="1"/>
        <v>-0.6555420239</v>
      </c>
    </row>
    <row r="453" ht="14.25" customHeight="1">
      <c r="A453" s="2" t="s">
        <v>55</v>
      </c>
      <c r="B453" s="2" t="s">
        <v>56</v>
      </c>
      <c r="C453" s="2">
        <v>1993.0</v>
      </c>
      <c r="D453" s="9">
        <v>288.75607</v>
      </c>
      <c r="E453" s="10" t="str">
        <f t="array" ref="E453">IFS(D453&lt;=$G$3,'calculated data '!$A$3,D453&lt;=$G$4,'calculated data '!$A$4,D453&lt;=$G$6,'calculated data '!$A$5,D453&gt;=$G$6,'calculated data '!$A$6)</f>
        <v>Low Demand Tier</v>
      </c>
      <c r="F453" s="10">
        <f t="shared" si="1"/>
        <v>-0.6555281736</v>
      </c>
    </row>
    <row r="454" ht="14.25" customHeight="1">
      <c r="A454" s="2" t="s">
        <v>83</v>
      </c>
      <c r="B454" s="2" t="s">
        <v>84</v>
      </c>
      <c r="C454" s="2">
        <v>1986.0</v>
      </c>
      <c r="D454" s="9">
        <v>289.0706</v>
      </c>
      <c r="E454" s="10" t="str">
        <f t="array" ref="E454">IFS(D454&lt;=$G$3,'calculated data '!$A$3,D454&lt;=$G$4,'calculated data '!$A$4,D454&lt;=$G$6,'calculated data '!$A$5,D454&gt;=$G$6,'calculated data '!$A$6)</f>
        <v>Low Demand Tier</v>
      </c>
      <c r="F454" s="10">
        <f t="shared" si="1"/>
        <v>-0.6555198481</v>
      </c>
    </row>
    <row r="455" ht="14.25" customHeight="1">
      <c r="A455" s="2" t="s">
        <v>67</v>
      </c>
      <c r="B455" s="2" t="s">
        <v>68</v>
      </c>
      <c r="C455" s="2">
        <v>2005.0</v>
      </c>
      <c r="D455" s="9">
        <v>289.5822</v>
      </c>
      <c r="E455" s="10" t="str">
        <f t="array" ref="E455">IFS(D455&lt;=$G$3,'calculated data '!$A$3,D455&lt;=$G$4,'calculated data '!$A$4,D455&lt;=$G$6,'calculated data '!$A$5,D455&gt;=$G$6,'calculated data '!$A$6)</f>
        <v>Low Demand Tier</v>
      </c>
      <c r="F455" s="10">
        <f t="shared" si="1"/>
        <v>-0.6555063062</v>
      </c>
    </row>
    <row r="456" ht="14.25" customHeight="1">
      <c r="A456" s="2" t="s">
        <v>51</v>
      </c>
      <c r="B456" s="2" t="s">
        <v>52</v>
      </c>
      <c r="C456" s="2">
        <v>1985.0</v>
      </c>
      <c r="D456" s="9">
        <v>289.80206</v>
      </c>
      <c r="E456" s="10" t="str">
        <f t="array" ref="E456">IFS(D456&lt;=$G$3,'calculated data '!$A$3,D456&lt;=$G$4,'calculated data '!$A$4,D456&lt;=$G$6,'calculated data '!$A$5,D456&gt;=$G$6,'calculated data '!$A$6)</f>
        <v>Low Demand Tier</v>
      </c>
      <c r="F456" s="10">
        <f t="shared" si="1"/>
        <v>-0.6555004865</v>
      </c>
    </row>
    <row r="457" ht="14.25" customHeight="1">
      <c r="A457" s="2" t="s">
        <v>69</v>
      </c>
      <c r="B457" s="2" t="s">
        <v>70</v>
      </c>
      <c r="C457" s="2">
        <v>2006.0</v>
      </c>
      <c r="D457" s="9">
        <v>290.68692</v>
      </c>
      <c r="E457" s="10" t="str">
        <f t="array" ref="E457">IFS(D457&lt;=$G$3,'calculated data '!$A$3,D457&lt;=$G$4,'calculated data '!$A$4,D457&lt;=$G$6,'calculated data '!$A$5,D457&gt;=$G$6,'calculated data '!$A$6)</f>
        <v>Low Demand Tier</v>
      </c>
      <c r="F457" s="10">
        <f t="shared" si="1"/>
        <v>-0.6554770645</v>
      </c>
    </row>
    <row r="458" ht="14.25" customHeight="1">
      <c r="A458" s="2" t="s">
        <v>81</v>
      </c>
      <c r="B458" s="2" t="s">
        <v>82</v>
      </c>
      <c r="C458" s="2">
        <v>1998.0</v>
      </c>
      <c r="D458" s="9">
        <v>290.77142</v>
      </c>
      <c r="E458" s="10" t="str">
        <f t="array" ref="E458">IFS(D458&lt;=$G$3,'calculated data '!$A$3,D458&lt;=$G$4,'calculated data '!$A$4,D458&lt;=$G$6,'calculated data '!$A$5,D458&gt;=$G$6,'calculated data '!$A$6)</f>
        <v>Low Demand Tier</v>
      </c>
      <c r="F458" s="10">
        <f t="shared" si="1"/>
        <v>-0.6554748278</v>
      </c>
    </row>
    <row r="459" ht="14.25" customHeight="1">
      <c r="A459" s="2" t="s">
        <v>83</v>
      </c>
      <c r="B459" s="2" t="s">
        <v>84</v>
      </c>
      <c r="C459" s="2">
        <v>1983.0</v>
      </c>
      <c r="D459" s="9">
        <v>291.1571</v>
      </c>
      <c r="E459" s="10" t="str">
        <f t="array" ref="E459">IFS(D459&lt;=$G$3,'calculated data '!$A$3,D459&lt;=$G$4,'calculated data '!$A$4,D459&lt;=$G$6,'calculated data '!$A$5,D459&gt;=$G$6,'calculated data '!$A$6)</f>
        <v>Low Demand Tier</v>
      </c>
      <c r="F459" s="10">
        <f t="shared" si="1"/>
        <v>-0.655464619</v>
      </c>
    </row>
    <row r="460" ht="14.25" customHeight="1">
      <c r="A460" s="2" t="s">
        <v>79</v>
      </c>
      <c r="B460" s="2" t="s">
        <v>80</v>
      </c>
      <c r="C460" s="2">
        <v>1985.0</v>
      </c>
      <c r="D460" s="9">
        <v>291.18405</v>
      </c>
      <c r="E460" s="10" t="str">
        <f t="array" ref="E460">IFS(D460&lt;=$G$3,'calculated data '!$A$3,D460&lt;=$G$4,'calculated data '!$A$4,D460&lt;=$G$6,'calculated data '!$A$5,D460&gt;=$G$6,'calculated data '!$A$6)</f>
        <v>Low Demand Tier</v>
      </c>
      <c r="F460" s="10">
        <f t="shared" si="1"/>
        <v>-0.6554639056</v>
      </c>
    </row>
    <row r="461" ht="14.25" customHeight="1">
      <c r="A461" s="2" t="s">
        <v>51</v>
      </c>
      <c r="B461" s="2" t="s">
        <v>52</v>
      </c>
      <c r="C461" s="2">
        <v>1981.0</v>
      </c>
      <c r="D461" s="9">
        <v>291.5597</v>
      </c>
      <c r="E461" s="10" t="str">
        <f t="array" ref="E461">IFS(D461&lt;=$G$3,'calculated data '!$A$3,D461&lt;=$G$4,'calculated data '!$A$4,D461&lt;=$G$6,'calculated data '!$A$5,D461&gt;=$G$6,'calculated data '!$A$6)</f>
        <v>Low Demand Tier</v>
      </c>
      <c r="F461" s="10">
        <f t="shared" si="1"/>
        <v>-0.6554539622</v>
      </c>
    </row>
    <row r="462" ht="14.25" customHeight="1">
      <c r="A462" s="2" t="s">
        <v>57</v>
      </c>
      <c r="B462" s="2" t="s">
        <v>58</v>
      </c>
      <c r="C462" s="2">
        <v>1840.0</v>
      </c>
      <c r="D462" s="9">
        <v>291.89487</v>
      </c>
      <c r="E462" s="10" t="str">
        <f t="array" ref="E462">IFS(D462&lt;=$G$3,'calculated data '!$A$3,D462&lt;=$G$4,'calculated data '!$A$4,D462&lt;=$G$6,'calculated data '!$A$5,D462&gt;=$G$6,'calculated data '!$A$6)</f>
        <v>Low Demand Tier</v>
      </c>
      <c r="F462" s="10">
        <f t="shared" si="1"/>
        <v>-0.6554450904</v>
      </c>
    </row>
    <row r="463" ht="14.25" customHeight="1">
      <c r="A463" s="2" t="s">
        <v>53</v>
      </c>
      <c r="B463" s="2" t="s">
        <v>54</v>
      </c>
      <c r="C463" s="2">
        <v>2012.0</v>
      </c>
      <c r="D463" s="9">
        <v>292.12543</v>
      </c>
      <c r="E463" s="10" t="str">
        <f t="array" ref="E463">IFS(D463&lt;=$G$3,'calculated data '!$A$3,D463&lt;=$G$4,'calculated data '!$A$4,D463&lt;=$G$6,'calculated data '!$A$5,D463&gt;=$G$6,'calculated data '!$A$6)</f>
        <v>Low Demand Tier</v>
      </c>
      <c r="F463" s="10">
        <f t="shared" si="1"/>
        <v>-0.6554389875</v>
      </c>
    </row>
    <row r="464" ht="14.25" customHeight="1">
      <c r="A464" s="2" t="s">
        <v>53</v>
      </c>
      <c r="B464" s="2" t="s">
        <v>54</v>
      </c>
      <c r="C464" s="2">
        <v>2013.0</v>
      </c>
      <c r="D464" s="9">
        <v>292.35577</v>
      </c>
      <c r="E464" s="10" t="str">
        <f t="array" ref="E464">IFS(D464&lt;=$G$3,'calculated data '!$A$3,D464&lt;=$G$4,'calculated data '!$A$4,D464&lt;=$G$6,'calculated data '!$A$5,D464&gt;=$G$6,'calculated data '!$A$6)</f>
        <v>Low Demand Tier</v>
      </c>
      <c r="F464" s="10">
        <f t="shared" si="1"/>
        <v>-0.6554328905</v>
      </c>
    </row>
    <row r="465" ht="14.25" customHeight="1">
      <c r="A465" s="2" t="s">
        <v>53</v>
      </c>
      <c r="B465" s="2" t="s">
        <v>54</v>
      </c>
      <c r="C465" s="2">
        <v>2014.0</v>
      </c>
      <c r="D465" s="9">
        <v>293.20334</v>
      </c>
      <c r="E465" s="10" t="str">
        <f t="array" ref="E465">IFS(D465&lt;=$G$3,'calculated data '!$A$3,D465&lt;=$G$4,'calculated data '!$A$4,D465&lt;=$G$6,'calculated data '!$A$5,D465&gt;=$G$6,'calculated data '!$A$6)</f>
        <v>Low Demand Tier</v>
      </c>
      <c r="F465" s="10">
        <f t="shared" si="1"/>
        <v>-0.6554104555</v>
      </c>
    </row>
    <row r="466" ht="14.25" customHeight="1">
      <c r="A466" s="2" t="s">
        <v>73</v>
      </c>
      <c r="B466" s="2" t="s">
        <v>74</v>
      </c>
      <c r="C466" s="2">
        <v>2002.0</v>
      </c>
      <c r="D466" s="9">
        <v>294.33344</v>
      </c>
      <c r="E466" s="10" t="str">
        <f t="array" ref="E466">IFS(D466&lt;=$G$3,'calculated data '!$A$3,D466&lt;=$G$4,'calculated data '!$A$4,D466&lt;=$G$6,'calculated data '!$A$5,D466&gt;=$G$6,'calculated data '!$A$6)</f>
        <v>Low Demand Tier</v>
      </c>
      <c r="F466" s="10">
        <f t="shared" si="1"/>
        <v>-0.655380542</v>
      </c>
    </row>
    <row r="467" ht="14.25" customHeight="1">
      <c r="A467" s="2" t="s">
        <v>91</v>
      </c>
      <c r="B467" s="2" t="s">
        <v>92</v>
      </c>
      <c r="C467" s="2">
        <v>1988.0</v>
      </c>
      <c r="D467" s="9">
        <v>294.9355</v>
      </c>
      <c r="E467" s="10" t="str">
        <f t="array" ref="E467">IFS(D467&lt;=$G$3,'calculated data '!$A$3,D467&lt;=$G$4,'calculated data '!$A$4,D467&lt;=$G$6,'calculated data '!$A$5,D467&gt;=$G$6,'calculated data '!$A$6)</f>
        <v>Low Demand Tier</v>
      </c>
      <c r="F467" s="10">
        <f t="shared" si="1"/>
        <v>-0.6553646057</v>
      </c>
    </row>
    <row r="468" ht="14.25" customHeight="1">
      <c r="A468" s="2" t="s">
        <v>69</v>
      </c>
      <c r="B468" s="2" t="s">
        <v>70</v>
      </c>
      <c r="C468" s="2">
        <v>2004.0</v>
      </c>
      <c r="D468" s="9">
        <v>295.43762</v>
      </c>
      <c r="E468" s="10" t="str">
        <f t="array" ref="E468">IFS(D468&lt;=$G$3,'calculated data '!$A$3,D468&lt;=$G$4,'calculated data '!$A$4,D468&lt;=$G$6,'calculated data '!$A$5,D468&gt;=$G$6,'calculated data '!$A$6)</f>
        <v>Low Demand Tier</v>
      </c>
      <c r="F468" s="10">
        <f t="shared" si="1"/>
        <v>-0.6553513147</v>
      </c>
    </row>
    <row r="469" ht="14.25" customHeight="1">
      <c r="A469" s="2" t="s">
        <v>63</v>
      </c>
      <c r="B469" s="2" t="s">
        <v>64</v>
      </c>
      <c r="C469" s="2">
        <v>1985.0</v>
      </c>
      <c r="D469" s="9">
        <v>296.28177</v>
      </c>
      <c r="E469" s="10" t="str">
        <f t="array" ref="E469">IFS(D469&lt;=$G$3,'calculated data '!$A$3,D469&lt;=$G$4,'calculated data '!$A$4,D469&lt;=$G$6,'calculated data '!$A$5,D469&gt;=$G$6,'calculated data '!$A$6)</f>
        <v>Low Demand Tier</v>
      </c>
      <c r="F469" s="10">
        <f t="shared" si="1"/>
        <v>-0.6553289702</v>
      </c>
    </row>
    <row r="470" ht="14.25" customHeight="1">
      <c r="A470" s="2" t="s">
        <v>69</v>
      </c>
      <c r="B470" s="2" t="s">
        <v>70</v>
      </c>
      <c r="C470" s="2">
        <v>2003.0</v>
      </c>
      <c r="D470" s="9">
        <v>296.65887</v>
      </c>
      <c r="E470" s="10" t="str">
        <f t="array" ref="E470">IFS(D470&lt;=$G$3,'calculated data '!$A$3,D470&lt;=$G$4,'calculated data '!$A$4,D470&lt;=$G$6,'calculated data '!$A$5,D470&gt;=$G$6,'calculated data '!$A$6)</f>
        <v>Low Demand Tier</v>
      </c>
      <c r="F470" s="10">
        <f t="shared" si="1"/>
        <v>-0.6553189885</v>
      </c>
    </row>
    <row r="471" ht="14.25" customHeight="1">
      <c r="A471" s="2" t="s">
        <v>89</v>
      </c>
      <c r="B471" s="2" t="s">
        <v>90</v>
      </c>
      <c r="C471" s="2">
        <v>2003.0</v>
      </c>
      <c r="D471" s="9">
        <v>296.8414</v>
      </c>
      <c r="E471" s="10" t="str">
        <f t="array" ref="E471">IFS(D471&lt;=$G$3,'calculated data '!$A$3,D471&lt;=$G$4,'calculated data '!$A$4,D471&lt;=$G$6,'calculated data '!$A$5,D471&gt;=$G$6,'calculated data '!$A$6)</f>
        <v>Low Demand Tier</v>
      </c>
      <c r="F471" s="10">
        <f t="shared" si="1"/>
        <v>-0.655314157</v>
      </c>
    </row>
    <row r="472" ht="14.25" customHeight="1">
      <c r="A472" s="2" t="s">
        <v>63</v>
      </c>
      <c r="B472" s="2" t="s">
        <v>64</v>
      </c>
      <c r="C472" s="2">
        <v>2005.0</v>
      </c>
      <c r="D472" s="9">
        <v>297.26492</v>
      </c>
      <c r="E472" s="10" t="str">
        <f t="array" ref="E472">IFS(D472&lt;=$G$3,'calculated data '!$A$3,D472&lt;=$G$4,'calculated data '!$A$4,D472&lt;=$G$6,'calculated data '!$A$5,D472&gt;=$G$6,'calculated data '!$A$6)</f>
        <v>Low Demand Tier</v>
      </c>
      <c r="F472" s="10">
        <f t="shared" si="1"/>
        <v>-0.6553029465</v>
      </c>
    </row>
    <row r="473" ht="14.25" customHeight="1">
      <c r="A473" s="2" t="s">
        <v>81</v>
      </c>
      <c r="B473" s="2" t="s">
        <v>82</v>
      </c>
      <c r="C473" s="2">
        <v>2007.0</v>
      </c>
      <c r="D473" s="9">
        <v>297.32495</v>
      </c>
      <c r="E473" s="10" t="str">
        <f t="array" ref="E473">IFS(D473&lt;=$G$3,'calculated data '!$A$3,D473&lt;=$G$4,'calculated data '!$A$4,D473&lt;=$G$6,'calculated data '!$A$5,D473&gt;=$G$6,'calculated data '!$A$6)</f>
        <v>Low Demand Tier</v>
      </c>
      <c r="F473" s="10">
        <f t="shared" si="1"/>
        <v>-0.6553013575</v>
      </c>
    </row>
    <row r="474" ht="14.25" customHeight="1">
      <c r="A474" s="2" t="s">
        <v>83</v>
      </c>
      <c r="B474" s="2" t="s">
        <v>84</v>
      </c>
      <c r="C474" s="2">
        <v>1982.0</v>
      </c>
      <c r="D474" s="9">
        <v>298.45047</v>
      </c>
      <c r="E474" s="10" t="str">
        <f t="array" ref="E474">IFS(D474&lt;=$G$3,'calculated data '!$A$3,D474&lt;=$G$4,'calculated data '!$A$4,D474&lt;=$G$6,'calculated data '!$A$5,D474&gt;=$G$6,'calculated data '!$A$6)</f>
        <v>Low Demand Tier</v>
      </c>
      <c r="F474" s="10">
        <f t="shared" si="1"/>
        <v>-0.6552715653</v>
      </c>
    </row>
    <row r="475" ht="14.25" customHeight="1">
      <c r="A475" s="2" t="s">
        <v>67</v>
      </c>
      <c r="B475" s="2" t="s">
        <v>68</v>
      </c>
      <c r="C475" s="2">
        <v>2004.0</v>
      </c>
      <c r="D475" s="9">
        <v>299.31223</v>
      </c>
      <c r="E475" s="10" t="str">
        <f t="array" ref="E475">IFS(D475&lt;=$G$3,'calculated data '!$A$3,D475&lt;=$G$4,'calculated data '!$A$4,D475&lt;=$G$6,'calculated data '!$A$5,D475&gt;=$G$6,'calculated data '!$A$6)</f>
        <v>Low Demand Tier</v>
      </c>
      <c r="F475" s="10">
        <f t="shared" si="1"/>
        <v>-0.6552487547</v>
      </c>
    </row>
    <row r="476" ht="14.25" customHeight="1">
      <c r="A476" s="2" t="s">
        <v>65</v>
      </c>
      <c r="B476" s="2" t="s">
        <v>66</v>
      </c>
      <c r="C476" s="2">
        <v>2007.0</v>
      </c>
      <c r="D476" s="9">
        <v>299.4335</v>
      </c>
      <c r="E476" s="10" t="str">
        <f t="array" ref="E476">IFS(D476&lt;=$G$3,'calculated data '!$A$3,D476&lt;=$G$4,'calculated data '!$A$4,D476&lt;=$G$6,'calculated data '!$A$5,D476&gt;=$G$6,'calculated data '!$A$6)</f>
        <v>Low Demand Tier</v>
      </c>
      <c r="F476" s="10">
        <f t="shared" si="1"/>
        <v>-0.6552455447</v>
      </c>
    </row>
    <row r="477" ht="14.25" customHeight="1">
      <c r="A477" s="2" t="s">
        <v>21</v>
      </c>
      <c r="B477" s="2" t="s">
        <v>22</v>
      </c>
      <c r="C477" s="2">
        <v>1976.0</v>
      </c>
      <c r="D477" s="9">
        <v>299.6201</v>
      </c>
      <c r="E477" s="10" t="str">
        <f t="array" ref="E477">IFS(D477&lt;=$G$3,'calculated data '!$A$3,D477&lt;=$G$4,'calculated data '!$A$4,D477&lt;=$G$6,'calculated data '!$A$5,D477&gt;=$G$6,'calculated data '!$A$6)</f>
        <v>Low Demand Tier</v>
      </c>
      <c r="F477" s="10">
        <f t="shared" si="1"/>
        <v>-0.6552406055</v>
      </c>
    </row>
    <row r="478" ht="14.25" customHeight="1">
      <c r="A478" s="2" t="s">
        <v>73</v>
      </c>
      <c r="B478" s="2" t="s">
        <v>74</v>
      </c>
      <c r="C478" s="2">
        <v>2001.0</v>
      </c>
      <c r="D478" s="9">
        <v>299.81622</v>
      </c>
      <c r="E478" s="10" t="str">
        <f t="array" ref="E478">IFS(D478&lt;=$G$3,'calculated data '!$A$3,D478&lt;=$G$4,'calculated data '!$A$4,D478&lt;=$G$6,'calculated data '!$A$5,D478&gt;=$G$6,'calculated data '!$A$6)</f>
        <v>Low Demand Tier</v>
      </c>
      <c r="F478" s="10">
        <f t="shared" si="1"/>
        <v>-0.6552354142</v>
      </c>
    </row>
    <row r="479" ht="14.25" customHeight="1">
      <c r="A479" s="2" t="s">
        <v>55</v>
      </c>
      <c r="B479" s="2" t="s">
        <v>56</v>
      </c>
      <c r="C479" s="2">
        <v>1994.0</v>
      </c>
      <c r="D479" s="9">
        <v>300.24112</v>
      </c>
      <c r="E479" s="10" t="str">
        <f t="array" ref="E479">IFS(D479&lt;=$G$3,'calculated data '!$A$3,D479&lt;=$G$4,'calculated data '!$A$4,D479&lt;=$G$6,'calculated data '!$A$5,D479&gt;=$G$6,'calculated data '!$A$6)</f>
        <v>Low Demand Tier</v>
      </c>
      <c r="F479" s="10">
        <f t="shared" si="1"/>
        <v>-0.6552241672</v>
      </c>
    </row>
    <row r="480" ht="14.25" customHeight="1">
      <c r="A480" s="2" t="s">
        <v>21</v>
      </c>
      <c r="B480" s="2" t="s">
        <v>22</v>
      </c>
      <c r="C480" s="2">
        <v>1977.0</v>
      </c>
      <c r="D480" s="9">
        <v>300.2788</v>
      </c>
      <c r="E480" s="10" t="str">
        <f t="array" ref="E480">IFS(D480&lt;=$G$3,'calculated data '!$A$3,D480&lt;=$G$4,'calculated data '!$A$4,D480&lt;=$G$6,'calculated data '!$A$5,D480&gt;=$G$6,'calculated data '!$A$6)</f>
        <v>Low Demand Tier</v>
      </c>
      <c r="F480" s="10">
        <f t="shared" si="1"/>
        <v>-0.6552231698</v>
      </c>
    </row>
    <row r="481" ht="14.25" customHeight="1">
      <c r="A481" s="2" t="s">
        <v>61</v>
      </c>
      <c r="B481" s="2" t="s">
        <v>62</v>
      </c>
      <c r="C481" s="2">
        <v>2003.0</v>
      </c>
      <c r="D481" s="9">
        <v>300.45764</v>
      </c>
      <c r="E481" s="10" t="str">
        <f t="array" ref="E481">IFS(D481&lt;=$G$3,'calculated data '!$A$3,D481&lt;=$G$4,'calculated data '!$A$4,D481&lt;=$G$6,'calculated data '!$A$5,D481&gt;=$G$6,'calculated data '!$A$6)</f>
        <v>Low Demand Tier</v>
      </c>
      <c r="F481" s="10">
        <f t="shared" si="1"/>
        <v>-0.655218436</v>
      </c>
    </row>
    <row r="482" ht="14.25" customHeight="1">
      <c r="A482" s="2" t="s">
        <v>79</v>
      </c>
      <c r="B482" s="2" t="s">
        <v>80</v>
      </c>
      <c r="C482" s="2">
        <v>1984.0</v>
      </c>
      <c r="D482" s="9">
        <v>301.03403</v>
      </c>
      <c r="E482" s="10" t="str">
        <f t="array" ref="E482">IFS(D482&lt;=$G$3,'calculated data '!$A$3,D482&lt;=$G$4,'calculated data '!$A$4,D482&lt;=$G$6,'calculated data '!$A$5,D482&gt;=$G$6,'calculated data '!$A$6)</f>
        <v>Low Demand Tier</v>
      </c>
      <c r="F482" s="10">
        <f t="shared" si="1"/>
        <v>-0.6552031791</v>
      </c>
    </row>
    <row r="483" ht="14.25" customHeight="1">
      <c r="A483" s="2" t="s">
        <v>73</v>
      </c>
      <c r="B483" s="2" t="s">
        <v>74</v>
      </c>
      <c r="C483" s="2">
        <v>2003.0</v>
      </c>
      <c r="D483" s="9">
        <v>302.17783</v>
      </c>
      <c r="E483" s="10" t="str">
        <f t="array" ref="E483">IFS(D483&lt;=$G$3,'calculated data '!$A$3,D483&lt;=$G$4,'calculated data '!$A$4,D483&lt;=$G$6,'calculated data '!$A$5,D483&gt;=$G$6,'calculated data '!$A$6)</f>
        <v>Low Demand Tier</v>
      </c>
      <c r="F483" s="10">
        <f t="shared" si="1"/>
        <v>-0.655172903</v>
      </c>
    </row>
    <row r="484" ht="14.25" customHeight="1">
      <c r="A484" s="2" t="s">
        <v>81</v>
      </c>
      <c r="B484" s="2" t="s">
        <v>82</v>
      </c>
      <c r="C484" s="2">
        <v>2006.0</v>
      </c>
      <c r="D484" s="9">
        <v>302.38345</v>
      </c>
      <c r="E484" s="10" t="str">
        <f t="array" ref="E484">IFS(D484&lt;=$G$3,'calculated data '!$A$3,D484&lt;=$G$4,'calculated data '!$A$4,D484&lt;=$G$6,'calculated data '!$A$5,D484&gt;=$G$6,'calculated data '!$A$6)</f>
        <v>Low Demand Tier</v>
      </c>
      <c r="F484" s="10">
        <f t="shared" si="1"/>
        <v>-0.6551674603</v>
      </c>
    </row>
    <row r="485" ht="14.25" customHeight="1">
      <c r="A485" s="2" t="s">
        <v>73</v>
      </c>
      <c r="B485" s="2" t="s">
        <v>74</v>
      </c>
      <c r="C485" s="2">
        <v>2000.0</v>
      </c>
      <c r="D485" s="9">
        <v>302.7364</v>
      </c>
      <c r="E485" s="10" t="str">
        <f t="array" ref="E485">IFS(D485&lt;=$G$3,'calculated data '!$A$3,D485&lt;=$G$4,'calculated data '!$A$4,D485&lt;=$G$6,'calculated data '!$A$5,D485&gt;=$G$6,'calculated data '!$A$6)</f>
        <v>Low Demand Tier</v>
      </c>
      <c r="F485" s="10">
        <f t="shared" si="1"/>
        <v>-0.6551581178</v>
      </c>
    </row>
    <row r="486" ht="14.25" customHeight="1">
      <c r="A486" s="2" t="s">
        <v>81</v>
      </c>
      <c r="B486" s="2" t="s">
        <v>82</v>
      </c>
      <c r="C486" s="2">
        <v>1997.0</v>
      </c>
      <c r="D486" s="9">
        <v>303.06754</v>
      </c>
      <c r="E486" s="10" t="str">
        <f t="array" ref="E486">IFS(D486&lt;=$G$3,'calculated data '!$A$3,D486&lt;=$G$4,'calculated data '!$A$4,D486&lt;=$G$6,'calculated data '!$A$5,D486&gt;=$G$6,'calculated data '!$A$6)</f>
        <v>Low Demand Tier</v>
      </c>
      <c r="F486" s="10">
        <f t="shared" si="1"/>
        <v>-0.6551493526</v>
      </c>
    </row>
    <row r="487" ht="14.25" customHeight="1">
      <c r="A487" s="2" t="s">
        <v>63</v>
      </c>
      <c r="B487" s="2" t="s">
        <v>64</v>
      </c>
      <c r="C487" s="2">
        <v>1987.0</v>
      </c>
      <c r="D487" s="9">
        <v>303.28506</v>
      </c>
      <c r="E487" s="10" t="str">
        <f t="array" ref="E487">IFS(D487&lt;=$G$3,'calculated data '!$A$3,D487&lt;=$G$4,'calculated data '!$A$4,D487&lt;=$G$6,'calculated data '!$A$5,D487&gt;=$G$6,'calculated data '!$A$6)</f>
        <v>Low Demand Tier</v>
      </c>
      <c r="F487" s="10">
        <f t="shared" si="1"/>
        <v>-0.6551435949</v>
      </c>
    </row>
    <row r="488" ht="14.25" customHeight="1">
      <c r="A488" s="2" t="s">
        <v>83</v>
      </c>
      <c r="B488" s="2" t="s">
        <v>84</v>
      </c>
      <c r="C488" s="2">
        <v>1990.0</v>
      </c>
      <c r="D488" s="9">
        <v>303.67258</v>
      </c>
      <c r="E488" s="10" t="str">
        <f t="array" ref="E488">IFS(D488&lt;=$G$3,'calculated data '!$A$3,D488&lt;=$G$4,'calculated data '!$A$4,D488&lt;=$G$6,'calculated data '!$A$5,D488&gt;=$G$6,'calculated data '!$A$6)</f>
        <v>Low Demand Tier</v>
      </c>
      <c r="F488" s="10">
        <f t="shared" si="1"/>
        <v>-0.6551333373</v>
      </c>
    </row>
    <row r="489" ht="14.25" customHeight="1">
      <c r="A489" s="2" t="s">
        <v>63</v>
      </c>
      <c r="B489" s="2" t="s">
        <v>64</v>
      </c>
      <c r="C489" s="2">
        <v>1992.0</v>
      </c>
      <c r="D489" s="9">
        <v>303.96542</v>
      </c>
      <c r="E489" s="10" t="str">
        <f t="array" ref="E489">IFS(D489&lt;=$G$3,'calculated data '!$A$3,D489&lt;=$G$4,'calculated data '!$A$4,D489&lt;=$G$6,'calculated data '!$A$5,D489&gt;=$G$6,'calculated data '!$A$6)</f>
        <v>Low Demand Tier</v>
      </c>
      <c r="F489" s="10">
        <f t="shared" si="1"/>
        <v>-0.6551255859</v>
      </c>
    </row>
    <row r="490" ht="14.25" customHeight="1">
      <c r="A490" s="2" t="s">
        <v>67</v>
      </c>
      <c r="B490" s="2" t="s">
        <v>68</v>
      </c>
      <c r="C490" s="2">
        <v>2010.0</v>
      </c>
      <c r="D490" s="9">
        <v>305.0113</v>
      </c>
      <c r="E490" s="10" t="str">
        <f t="array" ref="E490">IFS(D490&lt;=$G$3,'calculated data '!$A$3,D490&lt;=$G$4,'calculated data '!$A$4,D490&lt;=$G$6,'calculated data '!$A$5,D490&gt;=$G$6,'calculated data '!$A$6)</f>
        <v>Low Demand Tier</v>
      </c>
      <c r="F490" s="10">
        <f t="shared" si="1"/>
        <v>-0.6550979017</v>
      </c>
    </row>
    <row r="491" ht="14.25" customHeight="1">
      <c r="A491" s="2" t="s">
        <v>67</v>
      </c>
      <c r="B491" s="2" t="s">
        <v>68</v>
      </c>
      <c r="C491" s="2">
        <v>1981.0</v>
      </c>
      <c r="D491" s="9">
        <v>305.28192</v>
      </c>
      <c r="E491" s="10" t="str">
        <f t="array" ref="E491">IFS(D491&lt;=$G$3,'calculated data '!$A$3,D491&lt;=$G$4,'calculated data '!$A$4,D491&lt;=$G$6,'calculated data '!$A$5,D491&gt;=$G$6,'calculated data '!$A$6)</f>
        <v>Low Demand Tier</v>
      </c>
      <c r="F491" s="10">
        <f t="shared" si="1"/>
        <v>-0.6550907385</v>
      </c>
    </row>
    <row r="492" ht="14.25" customHeight="1">
      <c r="A492" s="2" t="s">
        <v>83</v>
      </c>
      <c r="B492" s="2" t="s">
        <v>84</v>
      </c>
      <c r="C492" s="2">
        <v>1989.0</v>
      </c>
      <c r="D492" s="9">
        <v>306.18195</v>
      </c>
      <c r="E492" s="10" t="str">
        <f t="array" ref="E492">IFS(D492&lt;=$G$3,'calculated data '!$A$3,D492&lt;=$G$4,'calculated data '!$A$4,D492&lt;=$G$6,'calculated data '!$A$5,D492&gt;=$G$6,'calculated data '!$A$6)</f>
        <v>Low Demand Tier</v>
      </c>
      <c r="F492" s="10">
        <f t="shared" si="1"/>
        <v>-0.6550669149</v>
      </c>
    </row>
    <row r="493" ht="14.25" customHeight="1">
      <c r="A493" s="2" t="s">
        <v>61</v>
      </c>
      <c r="B493" s="2" t="s">
        <v>62</v>
      </c>
      <c r="C493" s="2">
        <v>2004.0</v>
      </c>
      <c r="D493" s="9">
        <v>306.4724</v>
      </c>
      <c r="E493" s="10" t="str">
        <f t="array" ref="E493">IFS(D493&lt;=$G$3,'calculated data '!$A$3,D493&lt;=$G$4,'calculated data '!$A$4,D493&lt;=$G$6,'calculated data '!$A$5,D493&gt;=$G$6,'calculated data '!$A$6)</f>
        <v>Low Demand Tier</v>
      </c>
      <c r="F493" s="10">
        <f t="shared" si="1"/>
        <v>-0.6550592268</v>
      </c>
    </row>
    <row r="494" ht="14.25" customHeight="1">
      <c r="A494" s="2" t="s">
        <v>67</v>
      </c>
      <c r="B494" s="2" t="s">
        <v>68</v>
      </c>
      <c r="C494" s="2">
        <v>1983.0</v>
      </c>
      <c r="D494" s="9">
        <v>306.9773</v>
      </c>
      <c r="E494" s="10" t="str">
        <f t="array" ref="E494">IFS(D494&lt;=$G$3,'calculated data '!$A$3,D494&lt;=$G$4,'calculated data '!$A$4,D494&lt;=$G$6,'calculated data '!$A$5,D494&gt;=$G$6,'calculated data '!$A$6)</f>
        <v>Low Demand Tier</v>
      </c>
      <c r="F494" s="10">
        <f t="shared" si="1"/>
        <v>-0.6550458622</v>
      </c>
    </row>
    <row r="495" ht="14.25" customHeight="1">
      <c r="A495" s="2" t="s">
        <v>55</v>
      </c>
      <c r="B495" s="2" t="s">
        <v>56</v>
      </c>
      <c r="C495" s="2">
        <v>2022.0</v>
      </c>
      <c r="D495" s="9">
        <v>307.09818</v>
      </c>
      <c r="E495" s="10" t="str">
        <f t="array" ref="E495">IFS(D495&lt;=$G$3,'calculated data '!$A$3,D495&lt;=$G$4,'calculated data '!$A$4,D495&lt;=$G$6,'calculated data '!$A$5,D495&gt;=$G$6,'calculated data '!$A$6)</f>
        <v>Low Demand Tier</v>
      </c>
      <c r="F495" s="10">
        <f t="shared" si="1"/>
        <v>-0.6550426626</v>
      </c>
    </row>
    <row r="496" ht="14.25" customHeight="1">
      <c r="A496" s="2" t="s">
        <v>89</v>
      </c>
      <c r="B496" s="2" t="s">
        <v>90</v>
      </c>
      <c r="C496" s="2">
        <v>2008.0</v>
      </c>
      <c r="D496" s="9">
        <v>307.89026</v>
      </c>
      <c r="E496" s="10" t="str">
        <f t="array" ref="E496">IFS(D496&lt;=$G$3,'calculated data '!$A$3,D496&lt;=$G$4,'calculated data '!$A$4,D496&lt;=$G$6,'calculated data '!$A$5,D496&gt;=$G$6,'calculated data '!$A$6)</f>
        <v>Low Demand Tier</v>
      </c>
      <c r="F496" s="10">
        <f t="shared" si="1"/>
        <v>-0.6550216964</v>
      </c>
    </row>
    <row r="497" ht="14.25" customHeight="1">
      <c r="A497" s="2" t="s">
        <v>65</v>
      </c>
      <c r="B497" s="2" t="s">
        <v>66</v>
      </c>
      <c r="C497" s="2">
        <v>1999.0</v>
      </c>
      <c r="D497" s="9">
        <v>309.21442</v>
      </c>
      <c r="E497" s="10" t="str">
        <f t="array" ref="E497">IFS(D497&lt;=$G$3,'calculated data '!$A$3,D497&lt;=$G$4,'calculated data '!$A$4,D497&lt;=$G$6,'calculated data '!$A$5,D497&gt;=$G$6,'calculated data '!$A$6)</f>
        <v>Low Demand Tier</v>
      </c>
      <c r="F497" s="10">
        <f t="shared" si="1"/>
        <v>-0.6549866462</v>
      </c>
    </row>
    <row r="498" ht="14.25" customHeight="1">
      <c r="A498" s="2" t="s">
        <v>91</v>
      </c>
      <c r="B498" s="2" t="s">
        <v>92</v>
      </c>
      <c r="C498" s="2">
        <v>1987.0</v>
      </c>
      <c r="D498" s="9">
        <v>309.36108</v>
      </c>
      <c r="E498" s="10" t="str">
        <f t="array" ref="E498">IFS(D498&lt;=$G$3,'calculated data '!$A$3,D498&lt;=$G$4,'calculated data '!$A$4,D498&lt;=$G$6,'calculated data '!$A$5,D498&gt;=$G$6,'calculated data '!$A$6)</f>
        <v>Low Demand Tier</v>
      </c>
      <c r="F498" s="10">
        <f t="shared" si="1"/>
        <v>-0.6549827642</v>
      </c>
    </row>
    <row r="499" ht="14.25" customHeight="1">
      <c r="A499" s="2" t="s">
        <v>81</v>
      </c>
      <c r="B499" s="2" t="s">
        <v>82</v>
      </c>
      <c r="C499" s="2">
        <v>2005.0</v>
      </c>
      <c r="D499" s="9">
        <v>309.43265</v>
      </c>
      <c r="E499" s="10" t="str">
        <f t="array" ref="E499">IFS(D499&lt;=$G$3,'calculated data '!$A$3,D499&lt;=$G$4,'calculated data '!$A$4,D499&lt;=$G$6,'calculated data '!$A$5,D499&gt;=$G$6,'calculated data '!$A$6)</f>
        <v>Low Demand Tier</v>
      </c>
      <c r="F499" s="10">
        <f t="shared" si="1"/>
        <v>-0.6549808697</v>
      </c>
    </row>
    <row r="500" ht="14.25" customHeight="1">
      <c r="A500" s="2" t="s">
        <v>75</v>
      </c>
      <c r="B500" s="2" t="s">
        <v>76</v>
      </c>
      <c r="C500" s="2">
        <v>2021.0</v>
      </c>
      <c r="D500" s="9">
        <v>310.06357</v>
      </c>
      <c r="E500" s="10" t="str">
        <f t="array" ref="E500">IFS(D500&lt;=$G$3,'calculated data '!$A$3,D500&lt;=$G$4,'calculated data '!$A$4,D500&lt;=$G$6,'calculated data '!$A$5,D500&gt;=$G$6,'calculated data '!$A$6)</f>
        <v>Low Demand Tier</v>
      </c>
      <c r="F500" s="10">
        <f t="shared" si="1"/>
        <v>-0.6549641694</v>
      </c>
    </row>
    <row r="501" ht="14.25" customHeight="1">
      <c r="A501" s="2" t="s">
        <v>21</v>
      </c>
      <c r="B501" s="2" t="s">
        <v>22</v>
      </c>
      <c r="C501" s="2">
        <v>1978.0</v>
      </c>
      <c r="D501" s="9">
        <v>310.3325</v>
      </c>
      <c r="E501" s="10" t="str">
        <f t="array" ref="E501">IFS(D501&lt;=$G$3,'calculated data '!$A$3,D501&lt;=$G$4,'calculated data '!$A$4,D501&lt;=$G$6,'calculated data '!$A$5,D501&gt;=$G$6,'calculated data '!$A$6)</f>
        <v>Low Demand Tier</v>
      </c>
      <c r="F501" s="10">
        <f t="shared" si="1"/>
        <v>-0.6549570509</v>
      </c>
    </row>
    <row r="502" ht="14.25" customHeight="1">
      <c r="A502" s="2" t="s">
        <v>83</v>
      </c>
      <c r="B502" s="2" t="s">
        <v>84</v>
      </c>
      <c r="C502" s="2">
        <v>1981.0</v>
      </c>
      <c r="D502" s="9">
        <v>310.69284</v>
      </c>
      <c r="E502" s="10" t="str">
        <f t="array" ref="E502">IFS(D502&lt;=$G$3,'calculated data '!$A$3,D502&lt;=$G$4,'calculated data '!$A$4,D502&lt;=$G$6,'calculated data '!$A$5,D502&gt;=$G$6,'calculated data '!$A$6)</f>
        <v>Low Demand Tier</v>
      </c>
      <c r="F502" s="10">
        <f t="shared" si="1"/>
        <v>-0.6549475128</v>
      </c>
    </row>
    <row r="503" ht="14.25" customHeight="1">
      <c r="A503" s="2" t="s">
        <v>67</v>
      </c>
      <c r="B503" s="2" t="s">
        <v>68</v>
      </c>
      <c r="C503" s="2">
        <v>2003.0</v>
      </c>
      <c r="D503" s="9">
        <v>311.86325</v>
      </c>
      <c r="E503" s="10" t="str">
        <f t="array" ref="E503">IFS(D503&lt;=$G$3,'calculated data '!$A$3,D503&lt;=$G$4,'calculated data '!$A$4,D503&lt;=$G$6,'calculated data '!$A$5,D503&gt;=$G$6,'calculated data '!$A$6)</f>
        <v>Low Demand Tier</v>
      </c>
      <c r="F503" s="10">
        <f t="shared" si="1"/>
        <v>-0.6549165323</v>
      </c>
    </row>
    <row r="504" ht="14.25" customHeight="1">
      <c r="A504" s="2" t="s">
        <v>75</v>
      </c>
      <c r="B504" s="2" t="s">
        <v>76</v>
      </c>
      <c r="C504" s="2">
        <v>2024.0</v>
      </c>
      <c r="D504" s="9">
        <v>312.46207</v>
      </c>
      <c r="E504" s="10" t="str">
        <f t="array" ref="E504">IFS(D504&lt;=$G$3,'calculated data '!$A$3,D504&lt;=$G$4,'calculated data '!$A$4,D504&lt;=$G$6,'calculated data '!$A$5,D504&gt;=$G$6,'calculated data '!$A$6)</f>
        <v>Low Demand Tier</v>
      </c>
      <c r="F504" s="10">
        <f t="shared" si="1"/>
        <v>-0.6549006817</v>
      </c>
    </row>
    <row r="505" ht="14.25" customHeight="1">
      <c r="A505" s="2" t="s">
        <v>91</v>
      </c>
      <c r="B505" s="2" t="s">
        <v>92</v>
      </c>
      <c r="C505" s="2">
        <v>1984.0</v>
      </c>
      <c r="D505" s="9">
        <v>312.5506</v>
      </c>
      <c r="E505" s="10" t="str">
        <f t="array" ref="E505">IFS(D505&lt;=$G$3,'calculated data '!$A$3,D505&lt;=$G$4,'calculated data '!$A$4,D505&lt;=$G$6,'calculated data '!$A$5,D505&gt;=$G$6,'calculated data '!$A$6)</f>
        <v>Low Demand Tier</v>
      </c>
      <c r="F505" s="10">
        <f t="shared" si="1"/>
        <v>-0.6548983384</v>
      </c>
    </row>
    <row r="506" ht="14.25" customHeight="1">
      <c r="A506" s="2" t="s">
        <v>73</v>
      </c>
      <c r="B506" s="2" t="s">
        <v>74</v>
      </c>
      <c r="C506" s="2">
        <v>2004.0</v>
      </c>
      <c r="D506" s="9">
        <v>313.06656</v>
      </c>
      <c r="E506" s="10" t="str">
        <f t="array" ref="E506">IFS(D506&lt;=$G$3,'calculated data '!$A$3,D506&lt;=$G$4,'calculated data '!$A$4,D506&lt;=$G$6,'calculated data '!$A$5,D506&gt;=$G$6,'calculated data '!$A$6)</f>
        <v>Low Demand Tier</v>
      </c>
      <c r="F506" s="10">
        <f t="shared" si="1"/>
        <v>-0.654884681</v>
      </c>
    </row>
    <row r="507" ht="14.25" customHeight="1">
      <c r="A507" s="2" t="s">
        <v>75</v>
      </c>
      <c r="B507" s="2" t="s">
        <v>76</v>
      </c>
      <c r="C507" s="2">
        <v>2022.0</v>
      </c>
      <c r="D507" s="9">
        <v>313.66656</v>
      </c>
      <c r="E507" s="10" t="str">
        <f t="array" ref="E507">IFS(D507&lt;=$G$3,'calculated data '!$A$3,D507&lt;=$G$4,'calculated data '!$A$4,D507&lt;=$G$6,'calculated data '!$A$5,D507&gt;=$G$6,'calculated data '!$A$6)</f>
        <v>Low Demand Tier</v>
      </c>
      <c r="F507" s="10">
        <f t="shared" si="1"/>
        <v>-0.6548687992</v>
      </c>
    </row>
    <row r="508" ht="14.25" customHeight="1">
      <c r="A508" s="2" t="s">
        <v>63</v>
      </c>
      <c r="B508" s="2" t="s">
        <v>64</v>
      </c>
      <c r="C508" s="2">
        <v>2006.0</v>
      </c>
      <c r="D508" s="9">
        <v>313.91116</v>
      </c>
      <c r="E508" s="10" t="str">
        <f t="array" ref="E508">IFS(D508&lt;=$G$3,'calculated data '!$A$3,D508&lt;=$G$4,'calculated data '!$A$4,D508&lt;=$G$6,'calculated data '!$A$5,D508&gt;=$G$6,'calculated data '!$A$6)</f>
        <v>Low Demand Tier</v>
      </c>
      <c r="F508" s="10">
        <f t="shared" si="1"/>
        <v>-0.6548623247</v>
      </c>
    </row>
    <row r="509" ht="14.25" customHeight="1">
      <c r="A509" s="2" t="s">
        <v>89</v>
      </c>
      <c r="B509" s="2" t="s">
        <v>90</v>
      </c>
      <c r="C509" s="2">
        <v>2004.0</v>
      </c>
      <c r="D509" s="9">
        <v>314.17807</v>
      </c>
      <c r="E509" s="10" t="str">
        <f t="array" ref="E509">IFS(D509&lt;=$G$3,'calculated data '!$A$3,D509&lt;=$G$4,'calculated data '!$A$4,D509&lt;=$G$6,'calculated data '!$A$5,D509&gt;=$G$6,'calculated data '!$A$6)</f>
        <v>Low Demand Tier</v>
      </c>
      <c r="F509" s="10">
        <f t="shared" si="1"/>
        <v>-0.6548552596</v>
      </c>
    </row>
    <row r="510" ht="14.25" customHeight="1">
      <c r="A510" s="2" t="s">
        <v>81</v>
      </c>
      <c r="B510" s="2" t="s">
        <v>82</v>
      </c>
      <c r="C510" s="2">
        <v>1996.0</v>
      </c>
      <c r="D510" s="9">
        <v>314.7615</v>
      </c>
      <c r="E510" s="10" t="str">
        <f t="array" ref="E510">IFS(D510&lt;=$G$3,'calculated data '!$A$3,D510&lt;=$G$4,'calculated data '!$A$4,D510&lt;=$G$6,'calculated data '!$A$5,D510&gt;=$G$6,'calculated data '!$A$6)</f>
        <v>Low Demand Tier</v>
      </c>
      <c r="F510" s="10">
        <f t="shared" si="1"/>
        <v>-0.6548398164</v>
      </c>
    </row>
    <row r="511" ht="14.25" customHeight="1">
      <c r="A511" s="2" t="s">
        <v>61</v>
      </c>
      <c r="B511" s="2" t="s">
        <v>62</v>
      </c>
      <c r="C511" s="2">
        <v>2005.0</v>
      </c>
      <c r="D511" s="9">
        <v>316.04974</v>
      </c>
      <c r="E511" s="10" t="str">
        <f t="array" ref="E511">IFS(D511&lt;=$G$3,'calculated data '!$A$3,D511&lt;=$G$4,'calculated data '!$A$4,D511&lt;=$G$6,'calculated data '!$A$5,D511&gt;=$G$6,'calculated data '!$A$6)</f>
        <v>Low Demand Tier</v>
      </c>
      <c r="F511" s="10">
        <f t="shared" si="1"/>
        <v>-0.654805717</v>
      </c>
    </row>
    <row r="512" ht="14.25" customHeight="1">
      <c r="A512" s="2" t="s">
        <v>69</v>
      </c>
      <c r="B512" s="2" t="s">
        <v>70</v>
      </c>
      <c r="C512" s="2">
        <v>2019.0</v>
      </c>
      <c r="D512" s="9">
        <v>316.8184</v>
      </c>
      <c r="E512" s="10" t="str">
        <f t="array" ref="E512">IFS(D512&lt;=$G$3,'calculated data '!$A$3,D512&lt;=$G$4,'calculated data '!$A$4,D512&lt;=$G$6,'calculated data '!$A$5,D512&gt;=$G$6,'calculated data '!$A$6)</f>
        <v>Low Demand Tier</v>
      </c>
      <c r="F512" s="10">
        <f t="shared" si="1"/>
        <v>-0.6547853707</v>
      </c>
    </row>
    <row r="513" ht="14.25" customHeight="1">
      <c r="A513" s="2" t="s">
        <v>91</v>
      </c>
      <c r="B513" s="2" t="s">
        <v>92</v>
      </c>
      <c r="C513" s="2">
        <v>1986.0</v>
      </c>
      <c r="D513" s="9">
        <v>317.17426</v>
      </c>
      <c r="E513" s="10" t="str">
        <f t="array" ref="E513">IFS(D513&lt;=$G$3,'calculated data '!$A$3,D513&lt;=$G$4,'calculated data '!$A$4,D513&lt;=$G$6,'calculated data '!$A$5,D513&gt;=$G$6,'calculated data '!$A$6)</f>
        <v>Low Demand Tier</v>
      </c>
      <c r="F513" s="10">
        <f t="shared" si="1"/>
        <v>-0.6547759512</v>
      </c>
    </row>
    <row r="514" ht="14.25" customHeight="1">
      <c r="A514" s="2" t="s">
        <v>81</v>
      </c>
      <c r="B514" s="2" t="s">
        <v>82</v>
      </c>
      <c r="C514" s="2">
        <v>2004.0</v>
      </c>
      <c r="D514" s="9">
        <v>317.29498</v>
      </c>
      <c r="E514" s="10" t="str">
        <f t="array" ref="E514">IFS(D514&lt;=$G$3,'calculated data '!$A$3,D514&lt;=$G$4,'calculated data '!$A$4,D514&lt;=$G$6,'calculated data '!$A$5,D514&gt;=$G$6,'calculated data '!$A$6)</f>
        <v>Low Demand Tier</v>
      </c>
      <c r="F514" s="10">
        <f t="shared" si="1"/>
        <v>-0.6547727558</v>
      </c>
    </row>
    <row r="515" ht="14.25" customHeight="1">
      <c r="A515" s="2" t="s">
        <v>59</v>
      </c>
      <c r="B515" s="2" t="s">
        <v>60</v>
      </c>
      <c r="C515" s="2">
        <v>1996.0</v>
      </c>
      <c r="D515" s="9">
        <v>317.51257</v>
      </c>
      <c r="E515" s="10" t="str">
        <f t="array" ref="E515">IFS(D515&lt;=$G$3,'calculated data '!$A$3,D515&lt;=$G$4,'calculated data '!$A$4,D515&lt;=$G$6,'calculated data '!$A$5,D515&gt;=$G$6,'calculated data '!$A$6)</f>
        <v>Low Demand Tier</v>
      </c>
      <c r="F515" s="10">
        <f t="shared" si="1"/>
        <v>-0.6547669962</v>
      </c>
    </row>
    <row r="516" ht="14.25" customHeight="1">
      <c r="A516" s="2" t="s">
        <v>65</v>
      </c>
      <c r="B516" s="2" t="s">
        <v>66</v>
      </c>
      <c r="C516" s="2">
        <v>1998.0</v>
      </c>
      <c r="D516" s="9">
        <v>321.27844</v>
      </c>
      <c r="E516" s="10" t="str">
        <f t="array" ref="E516">IFS(D516&lt;=$G$3,'calculated data '!$A$3,D516&lt;=$G$4,'calculated data '!$A$4,D516&lt;=$G$6,'calculated data '!$A$5,D516&gt;=$G$6,'calculated data '!$A$6)</f>
        <v>Low Demand Tier</v>
      </c>
      <c r="F516" s="10">
        <f t="shared" si="1"/>
        <v>-0.6546673146</v>
      </c>
    </row>
    <row r="517" ht="14.25" customHeight="1">
      <c r="A517" s="2" t="s">
        <v>75</v>
      </c>
      <c r="B517" s="2" t="s">
        <v>76</v>
      </c>
      <c r="C517" s="2">
        <v>2023.0</v>
      </c>
      <c r="D517" s="9">
        <v>321.35803</v>
      </c>
      <c r="E517" s="10" t="str">
        <f t="array" ref="E517">IFS(D517&lt;=$G$3,'calculated data '!$A$3,D517&lt;=$G$4,'calculated data '!$A$4,D517&lt;=$G$6,'calculated data '!$A$5,D517&gt;=$G$6,'calculated data '!$A$6)</f>
        <v>Low Demand Tier</v>
      </c>
      <c r="F517" s="10">
        <f t="shared" si="1"/>
        <v>-0.6546652079</v>
      </c>
    </row>
    <row r="518" ht="14.25" customHeight="1">
      <c r="A518" s="2" t="s">
        <v>69</v>
      </c>
      <c r="B518" s="2" t="s">
        <v>70</v>
      </c>
      <c r="C518" s="2">
        <v>2020.0</v>
      </c>
      <c r="D518" s="9">
        <v>321.40564</v>
      </c>
      <c r="E518" s="10" t="str">
        <f t="array" ref="E518">IFS(D518&lt;=$G$3,'calculated data '!$A$3,D518&lt;=$G$4,'calculated data '!$A$4,D518&lt;=$G$6,'calculated data '!$A$5,D518&gt;=$G$6,'calculated data '!$A$6)</f>
        <v>Low Demand Tier</v>
      </c>
      <c r="F518" s="10">
        <f t="shared" si="1"/>
        <v>-0.6546639476</v>
      </c>
    </row>
    <row r="519" ht="14.25" customHeight="1">
      <c r="A519" s="2" t="s">
        <v>61</v>
      </c>
      <c r="B519" s="2" t="s">
        <v>62</v>
      </c>
      <c r="C519" s="2">
        <v>1981.0</v>
      </c>
      <c r="D519" s="9">
        <v>321.99002</v>
      </c>
      <c r="E519" s="10" t="str">
        <f t="array" ref="E519">IFS(D519&lt;=$G$3,'calculated data '!$A$3,D519&lt;=$G$4,'calculated data '!$A$4,D519&lt;=$G$6,'calculated data '!$A$5,D519&gt;=$G$6,'calculated data '!$A$6)</f>
        <v>Low Demand Tier</v>
      </c>
      <c r="F519" s="10">
        <f t="shared" si="1"/>
        <v>-0.6546484793</v>
      </c>
    </row>
    <row r="520" ht="14.25" customHeight="1">
      <c r="A520" s="2" t="s">
        <v>67</v>
      </c>
      <c r="B520" s="2" t="s">
        <v>68</v>
      </c>
      <c r="C520" s="2">
        <v>2001.0</v>
      </c>
      <c r="D520" s="9">
        <v>322.99686</v>
      </c>
      <c r="E520" s="10" t="str">
        <f t="array" ref="E520">IFS(D520&lt;=$G$3,'calculated data '!$A$3,D520&lt;=$G$4,'calculated data '!$A$4,D520&lt;=$G$6,'calculated data '!$A$5,D520&gt;=$G$6,'calculated data '!$A$6)</f>
        <v>Low Demand Tier</v>
      </c>
      <c r="F520" s="10">
        <f t="shared" si="1"/>
        <v>-0.6546218285</v>
      </c>
    </row>
    <row r="521" ht="14.25" customHeight="1">
      <c r="A521" s="2" t="s">
        <v>67</v>
      </c>
      <c r="B521" s="2" t="s">
        <v>68</v>
      </c>
      <c r="C521" s="2">
        <v>2002.0</v>
      </c>
      <c r="D521" s="9">
        <v>324.63733</v>
      </c>
      <c r="E521" s="10" t="str">
        <f t="array" ref="E521">IFS(D521&lt;=$G$3,'calculated data '!$A$3,D521&lt;=$G$4,'calculated data '!$A$4,D521&lt;=$G$6,'calculated data '!$A$5,D521&gt;=$G$6,'calculated data '!$A$6)</f>
        <v>Low Demand Tier</v>
      </c>
      <c r="F521" s="10">
        <f t="shared" si="1"/>
        <v>-0.6545784056</v>
      </c>
    </row>
    <row r="522" ht="14.25" customHeight="1">
      <c r="A522" s="2" t="s">
        <v>81</v>
      </c>
      <c r="B522" s="2" t="s">
        <v>82</v>
      </c>
      <c r="C522" s="2">
        <v>1995.0</v>
      </c>
      <c r="D522" s="9">
        <v>325.5123</v>
      </c>
      <c r="E522" s="10" t="str">
        <f t="array" ref="E522">IFS(D522&lt;=$G$3,'calculated data '!$A$3,D522&lt;=$G$4,'calculated data '!$A$4,D522&lt;=$G$6,'calculated data '!$A$5,D522&gt;=$G$6,'calculated data '!$A$6)</f>
        <v>Low Demand Tier</v>
      </c>
      <c r="F522" s="10">
        <f t="shared" si="1"/>
        <v>-0.6545552454</v>
      </c>
    </row>
    <row r="523" ht="14.25" customHeight="1">
      <c r="A523" s="2" t="s">
        <v>83</v>
      </c>
      <c r="B523" s="2" t="s">
        <v>84</v>
      </c>
      <c r="C523" s="2">
        <v>1991.0</v>
      </c>
      <c r="D523" s="9">
        <v>325.53574</v>
      </c>
      <c r="E523" s="10" t="str">
        <f t="array" ref="E523">IFS(D523&lt;=$G$3,'calculated data '!$A$3,D523&lt;=$G$4,'calculated data '!$A$4,D523&lt;=$G$6,'calculated data '!$A$5,D523&gt;=$G$6,'calculated data '!$A$6)</f>
        <v>Low Demand Tier</v>
      </c>
      <c r="F523" s="10">
        <f t="shared" si="1"/>
        <v>-0.6545546249</v>
      </c>
    </row>
    <row r="524" ht="14.25" customHeight="1">
      <c r="A524" s="2" t="s">
        <v>61</v>
      </c>
      <c r="B524" s="2" t="s">
        <v>62</v>
      </c>
      <c r="C524" s="2">
        <v>2002.0</v>
      </c>
      <c r="D524" s="9">
        <v>325.8642</v>
      </c>
      <c r="E524" s="10" t="str">
        <f t="array" ref="E524">IFS(D524&lt;=$G$3,'calculated data '!$A$3,D524&lt;=$G$4,'calculated data '!$A$4,D524&lt;=$G$6,'calculated data '!$A$5,D524&gt;=$G$6,'calculated data '!$A$6)</f>
        <v>Low Demand Tier</v>
      </c>
      <c r="F524" s="10">
        <f t="shared" si="1"/>
        <v>-0.6545459307</v>
      </c>
    </row>
    <row r="525" ht="14.25" customHeight="1">
      <c r="A525" s="2" t="s">
        <v>67</v>
      </c>
      <c r="B525" s="2" t="s">
        <v>68</v>
      </c>
      <c r="C525" s="2">
        <v>2000.0</v>
      </c>
      <c r="D525" s="9">
        <v>325.9538</v>
      </c>
      <c r="E525" s="10" t="str">
        <f t="array" ref="E525">IFS(D525&lt;=$G$3,'calculated data '!$A$3,D525&lt;=$G$4,'calculated data '!$A$4,D525&lt;=$G$6,'calculated data '!$A$5,D525&gt;=$G$6,'calculated data '!$A$6)</f>
        <v>Low Demand Tier</v>
      </c>
      <c r="F525" s="10">
        <f t="shared" si="1"/>
        <v>-0.654543559</v>
      </c>
    </row>
    <row r="526" ht="14.25" customHeight="1">
      <c r="A526" s="2" t="s">
        <v>69</v>
      </c>
      <c r="B526" s="2" t="s">
        <v>70</v>
      </c>
      <c r="C526" s="2">
        <v>2002.0</v>
      </c>
      <c r="D526" s="9">
        <v>325.9946</v>
      </c>
      <c r="E526" s="10" t="str">
        <f t="array" ref="E526">IFS(D526&lt;=$G$3,'calculated data '!$A$3,D526&lt;=$G$4,'calculated data '!$A$4,D526&lt;=$G$6,'calculated data '!$A$5,D526&gt;=$G$6,'calculated data '!$A$6)</f>
        <v>Low Demand Tier</v>
      </c>
      <c r="F526" s="10">
        <f t="shared" si="1"/>
        <v>-0.654542479</v>
      </c>
    </row>
    <row r="527" ht="14.25" customHeight="1">
      <c r="A527" s="2" t="s">
        <v>81</v>
      </c>
      <c r="B527" s="2" t="s">
        <v>82</v>
      </c>
      <c r="C527" s="2">
        <v>2019.0</v>
      </c>
      <c r="D527" s="9">
        <v>326.20074</v>
      </c>
      <c r="E527" s="10" t="str">
        <f t="array" ref="E527">IFS(D527&lt;=$G$3,'calculated data '!$A$3,D527&lt;=$G$4,'calculated data '!$A$4,D527&lt;=$G$6,'calculated data '!$A$5,D527&gt;=$G$6,'calculated data '!$A$6)</f>
        <v>Low Demand Tier</v>
      </c>
      <c r="F527" s="10">
        <f t="shared" si="1"/>
        <v>-0.6545370225</v>
      </c>
    </row>
    <row r="528" ht="14.25" customHeight="1">
      <c r="A528" s="2" t="s">
        <v>81</v>
      </c>
      <c r="B528" s="2" t="s">
        <v>82</v>
      </c>
      <c r="C528" s="2">
        <v>2018.0</v>
      </c>
      <c r="D528" s="9">
        <v>326.76312</v>
      </c>
      <c r="E528" s="10" t="str">
        <f t="array" ref="E528">IFS(D528&lt;=$G$3,'calculated data '!$A$3,D528&lt;=$G$4,'calculated data '!$A$4,D528&lt;=$G$6,'calculated data '!$A$5,D528&gt;=$G$6,'calculated data '!$A$6)</f>
        <v>Low Demand Tier</v>
      </c>
      <c r="F528" s="10">
        <f t="shared" si="1"/>
        <v>-0.6545221365</v>
      </c>
    </row>
    <row r="529" ht="14.25" customHeight="1">
      <c r="A529" s="2" t="s">
        <v>93</v>
      </c>
      <c r="B529" s="2" t="s">
        <v>94</v>
      </c>
      <c r="C529" s="2">
        <v>1982.0</v>
      </c>
      <c r="D529" s="9">
        <v>327.1628</v>
      </c>
      <c r="E529" s="10" t="str">
        <f t="array" ref="E529">IFS(D529&lt;=$G$3,'calculated data '!$A$3,D529&lt;=$G$4,'calculated data '!$A$4,D529&lt;=$G$6,'calculated data '!$A$5,D529&gt;=$G$6,'calculated data '!$A$6)</f>
        <v>Low Demand Tier</v>
      </c>
      <c r="F529" s="10">
        <f t="shared" si="1"/>
        <v>-0.6545115571</v>
      </c>
    </row>
    <row r="530" ht="14.25" customHeight="1">
      <c r="A530" s="2" t="s">
        <v>81</v>
      </c>
      <c r="B530" s="2" t="s">
        <v>82</v>
      </c>
      <c r="C530" s="2">
        <v>2001.0</v>
      </c>
      <c r="D530" s="9">
        <v>327.8165</v>
      </c>
      <c r="E530" s="10" t="str">
        <f t="array" ref="E530">IFS(D530&lt;=$G$3,'calculated data '!$A$3,D530&lt;=$G$4,'calculated data '!$A$4,D530&lt;=$G$6,'calculated data '!$A$5,D530&gt;=$G$6,'calculated data '!$A$6)</f>
        <v>Low Demand Tier</v>
      </c>
      <c r="F530" s="10">
        <f t="shared" si="1"/>
        <v>-0.6544942538</v>
      </c>
    </row>
    <row r="531" ht="14.25" customHeight="1">
      <c r="A531" s="2" t="s">
        <v>83</v>
      </c>
      <c r="B531" s="2" t="s">
        <v>84</v>
      </c>
      <c r="C531" s="2">
        <v>1992.0</v>
      </c>
      <c r="D531" s="9">
        <v>328.1569</v>
      </c>
      <c r="E531" s="10" t="str">
        <f t="array" ref="E531">IFS(D531&lt;=$G$3,'calculated data '!$A$3,D531&lt;=$G$4,'calculated data '!$A$4,D531&lt;=$G$6,'calculated data '!$A$5,D531&gt;=$G$6,'calculated data '!$A$6)</f>
        <v>Low Demand Tier</v>
      </c>
      <c r="F531" s="10">
        <f t="shared" si="1"/>
        <v>-0.6544852435</v>
      </c>
    </row>
    <row r="532" ht="14.25" customHeight="1">
      <c r="A532" s="2" t="s">
        <v>89</v>
      </c>
      <c r="B532" s="2" t="s">
        <v>90</v>
      </c>
      <c r="C532" s="2">
        <v>1986.0</v>
      </c>
      <c r="D532" s="9">
        <v>328.37604</v>
      </c>
      <c r="E532" s="10" t="str">
        <f t="array" ref="E532">IFS(D532&lt;=$G$3,'calculated data '!$A$3,D532&lt;=$G$4,'calculated data '!$A$4,D532&lt;=$G$6,'calculated data '!$A$5,D532&gt;=$G$6,'calculated data '!$A$6)</f>
        <v>Low Demand Tier</v>
      </c>
      <c r="F532" s="10">
        <f t="shared" si="1"/>
        <v>-0.6544794429</v>
      </c>
    </row>
    <row r="533" ht="14.25" customHeight="1">
      <c r="A533" s="2" t="s">
        <v>75</v>
      </c>
      <c r="B533" s="2" t="s">
        <v>76</v>
      </c>
      <c r="C533" s="2">
        <v>2013.0</v>
      </c>
      <c r="D533" s="9">
        <v>328.4769</v>
      </c>
      <c r="E533" s="10" t="str">
        <f t="array" ref="E533">IFS(D533&lt;=$G$3,'calculated data '!$A$3,D533&lt;=$G$4,'calculated data '!$A$4,D533&lt;=$G$6,'calculated data '!$A$5,D533&gt;=$G$6,'calculated data '!$A$6)</f>
        <v>Low Demand Tier</v>
      </c>
      <c r="F533" s="10">
        <f t="shared" si="1"/>
        <v>-0.6544767732</v>
      </c>
    </row>
    <row r="534" ht="14.25" customHeight="1">
      <c r="A534" s="2" t="s">
        <v>81</v>
      </c>
      <c r="B534" s="2" t="s">
        <v>82</v>
      </c>
      <c r="C534" s="2">
        <v>2003.0</v>
      </c>
      <c r="D534" s="9">
        <v>328.9689</v>
      </c>
      <c r="E534" s="10" t="str">
        <f t="array" ref="E534">IFS(D534&lt;=$G$3,'calculated data '!$A$3,D534&lt;=$G$4,'calculated data '!$A$4,D534&lt;=$G$6,'calculated data '!$A$5,D534&gt;=$G$6,'calculated data '!$A$6)</f>
        <v>Low Demand Tier</v>
      </c>
      <c r="F534" s="10">
        <f t="shared" si="1"/>
        <v>-0.65446375</v>
      </c>
    </row>
    <row r="535" ht="14.25" customHeight="1">
      <c r="A535" s="2" t="s">
        <v>95</v>
      </c>
      <c r="B535" s="2" t="s">
        <v>96</v>
      </c>
      <c r="C535" s="2">
        <v>1994.0</v>
      </c>
      <c r="D535" s="9">
        <v>329.2824</v>
      </c>
      <c r="E535" s="10" t="str">
        <f t="array" ref="E535">IFS(D535&lt;=$G$3,'calculated data '!$A$3,D535&lt;=$G$4,'calculated data '!$A$4,D535&lt;=$G$6,'calculated data '!$A$5,D535&gt;=$G$6,'calculated data '!$A$6)</f>
        <v>Low Demand Tier</v>
      </c>
      <c r="F535" s="10">
        <f t="shared" si="1"/>
        <v>-0.6544554518</v>
      </c>
    </row>
    <row r="536" ht="14.25" customHeight="1">
      <c r="A536" s="2" t="s">
        <v>91</v>
      </c>
      <c r="B536" s="2" t="s">
        <v>92</v>
      </c>
      <c r="C536" s="2">
        <v>1989.0</v>
      </c>
      <c r="D536" s="9">
        <v>329.6309</v>
      </c>
      <c r="E536" s="10" t="str">
        <f t="array" ref="E536">IFS(D536&lt;=$G$3,'calculated data '!$A$3,D536&lt;=$G$4,'calculated data '!$A$4,D536&lt;=$G$6,'calculated data '!$A$5,D536&gt;=$G$6,'calculated data '!$A$6)</f>
        <v>Low Demand Tier</v>
      </c>
      <c r="F536" s="10">
        <f t="shared" si="1"/>
        <v>-0.6544462271</v>
      </c>
    </row>
    <row r="537" ht="14.25" customHeight="1">
      <c r="A537" s="2" t="s">
        <v>83</v>
      </c>
      <c r="B537" s="2" t="s">
        <v>84</v>
      </c>
      <c r="C537" s="2">
        <v>1994.0</v>
      </c>
      <c r="D537" s="9">
        <v>330.19586</v>
      </c>
      <c r="E537" s="10" t="str">
        <f t="array" ref="E537">IFS(D537&lt;=$G$3,'calculated data '!$A$3,D537&lt;=$G$4,'calculated data '!$A$4,D537&lt;=$G$6,'calculated data '!$A$5,D537&gt;=$G$6,'calculated data '!$A$6)</f>
        <v>Low Demand Tier</v>
      </c>
      <c r="F537" s="10">
        <f t="shared" si="1"/>
        <v>-0.6544312727</v>
      </c>
    </row>
    <row r="538" ht="14.25" customHeight="1">
      <c r="A538" s="2" t="s">
        <v>97</v>
      </c>
      <c r="B538" s="2" t="s">
        <v>98</v>
      </c>
      <c r="C538" s="2">
        <v>1996.0</v>
      </c>
      <c r="D538" s="9">
        <v>330.94583</v>
      </c>
      <c r="E538" s="10" t="str">
        <f t="array" ref="E538">IFS(D538&lt;=$G$3,'calculated data '!$A$3,D538&lt;=$G$4,'calculated data '!$A$4,D538&lt;=$G$6,'calculated data '!$A$5,D538&gt;=$G$6,'calculated data '!$A$6)</f>
        <v>Low Demand Tier</v>
      </c>
      <c r="F538" s="10">
        <f t="shared" si="1"/>
        <v>-0.6544114212</v>
      </c>
    </row>
    <row r="539" ht="14.25" customHeight="1">
      <c r="A539" s="2" t="s">
        <v>67</v>
      </c>
      <c r="B539" s="2" t="s">
        <v>68</v>
      </c>
      <c r="C539" s="2">
        <v>2011.0</v>
      </c>
      <c r="D539" s="9">
        <v>331.09988</v>
      </c>
      <c r="E539" s="10" t="str">
        <f t="array" ref="E539">IFS(D539&lt;=$G$3,'calculated data '!$A$3,D539&lt;=$G$4,'calculated data '!$A$4,D539&lt;=$G$6,'calculated data '!$A$5,D539&gt;=$G$6,'calculated data '!$A$6)</f>
        <v>Low Demand Tier</v>
      </c>
      <c r="F539" s="10">
        <f t="shared" si="1"/>
        <v>-0.6544073435</v>
      </c>
    </row>
    <row r="540" ht="14.25" customHeight="1">
      <c r="A540" s="2" t="s">
        <v>91</v>
      </c>
      <c r="B540" s="2" t="s">
        <v>92</v>
      </c>
      <c r="C540" s="2">
        <v>1983.0</v>
      </c>
      <c r="D540" s="9">
        <v>332.59985</v>
      </c>
      <c r="E540" s="10" t="str">
        <f t="array" ref="E540">IFS(D540&lt;=$G$3,'calculated data '!$A$3,D540&lt;=$G$4,'calculated data '!$A$4,D540&lt;=$G$6,'calculated data '!$A$5,D540&gt;=$G$6,'calculated data '!$A$6)</f>
        <v>Low Demand Tier</v>
      </c>
      <c r="F540" s="10">
        <f t="shared" si="1"/>
        <v>-0.6543676397</v>
      </c>
    </row>
    <row r="541" ht="14.25" customHeight="1">
      <c r="A541" s="2" t="s">
        <v>97</v>
      </c>
      <c r="B541" s="2" t="s">
        <v>98</v>
      </c>
      <c r="C541" s="2">
        <v>1997.0</v>
      </c>
      <c r="D541" s="9">
        <v>332.73523</v>
      </c>
      <c r="E541" s="10" t="str">
        <f t="array" ref="E541">IFS(D541&lt;=$G$3,'calculated data '!$A$3,D541&lt;=$G$4,'calculated data '!$A$4,D541&lt;=$G$6,'calculated data '!$A$5,D541&gt;=$G$6,'calculated data '!$A$6)</f>
        <v>Low Demand Tier</v>
      </c>
      <c r="F541" s="10">
        <f t="shared" si="1"/>
        <v>-0.6543640562</v>
      </c>
    </row>
    <row r="542" ht="14.25" customHeight="1">
      <c r="A542" s="2" t="s">
        <v>21</v>
      </c>
      <c r="B542" s="2" t="s">
        <v>22</v>
      </c>
      <c r="C542" s="2">
        <v>1979.0</v>
      </c>
      <c r="D542" s="9">
        <v>333.34637</v>
      </c>
      <c r="E542" s="10" t="str">
        <f t="array" ref="E542">IFS(D542&lt;=$G$3,'calculated data '!$A$3,D542&lt;=$G$4,'calculated data '!$A$4,D542&lt;=$G$6,'calculated data '!$A$5,D542&gt;=$G$6,'calculated data '!$A$6)</f>
        <v>Low Demand Tier</v>
      </c>
      <c r="F542" s="10">
        <f t="shared" si="1"/>
        <v>-0.6543478795</v>
      </c>
    </row>
    <row r="543" ht="14.25" customHeight="1">
      <c r="A543" s="2" t="s">
        <v>97</v>
      </c>
      <c r="B543" s="2" t="s">
        <v>98</v>
      </c>
      <c r="C543" s="2">
        <v>1995.0</v>
      </c>
      <c r="D543" s="9">
        <v>333.82336</v>
      </c>
      <c r="E543" s="10" t="str">
        <f t="array" ref="E543">IFS(D543&lt;=$G$3,'calculated data '!$A$3,D543&lt;=$G$4,'calculated data '!$A$4,D543&lt;=$G$6,'calculated data '!$A$5,D543&gt;=$G$6,'calculated data '!$A$6)</f>
        <v>Low Demand Tier</v>
      </c>
      <c r="F543" s="10">
        <f t="shared" si="1"/>
        <v>-0.6543352537</v>
      </c>
    </row>
    <row r="544" ht="14.25" customHeight="1">
      <c r="A544" s="2" t="s">
        <v>69</v>
      </c>
      <c r="B544" s="2" t="s">
        <v>70</v>
      </c>
      <c r="C544" s="2">
        <v>2000.0</v>
      </c>
      <c r="D544" s="9">
        <v>334.19046</v>
      </c>
      <c r="E544" s="10" t="str">
        <f t="array" ref="E544">IFS(D544&lt;=$G$3,'calculated data '!$A$3,D544&lt;=$G$4,'calculated data '!$A$4,D544&lt;=$G$6,'calculated data '!$A$5,D544&gt;=$G$6,'calculated data '!$A$6)</f>
        <v>Low Demand Tier</v>
      </c>
      <c r="F544" s="10">
        <f t="shared" si="1"/>
        <v>-0.6543255366</v>
      </c>
    </row>
    <row r="545" ht="14.25" customHeight="1">
      <c r="A545" s="2" t="s">
        <v>97</v>
      </c>
      <c r="B545" s="2" t="s">
        <v>98</v>
      </c>
      <c r="C545" s="2">
        <v>1994.0</v>
      </c>
      <c r="D545" s="9">
        <v>335.32242</v>
      </c>
      <c r="E545" s="10" t="str">
        <f t="array" ref="E545">IFS(D545&lt;=$G$3,'calculated data '!$A$3,D545&lt;=$G$4,'calculated data '!$A$4,D545&lt;=$G$6,'calculated data '!$A$5,D545&gt;=$G$6,'calculated data '!$A$6)</f>
        <v>Low Demand Tier</v>
      </c>
      <c r="F545" s="10">
        <f t="shared" si="1"/>
        <v>-0.6542955739</v>
      </c>
    </row>
    <row r="546" ht="14.25" customHeight="1">
      <c r="A546" s="2" t="s">
        <v>81</v>
      </c>
      <c r="B546" s="2" t="s">
        <v>82</v>
      </c>
      <c r="C546" s="2">
        <v>2000.0</v>
      </c>
      <c r="D546" s="9">
        <v>335.59055</v>
      </c>
      <c r="E546" s="10" t="str">
        <f t="array" ref="E546">IFS(D546&lt;=$G$3,'calculated data '!$A$3,D546&lt;=$G$4,'calculated data '!$A$4,D546&lt;=$G$6,'calculated data '!$A$5,D546&gt;=$G$6,'calculated data '!$A$6)</f>
        <v>Low Demand Tier</v>
      </c>
      <c r="F546" s="10">
        <f t="shared" si="1"/>
        <v>-0.6542884766</v>
      </c>
    </row>
    <row r="547" ht="14.25" customHeight="1">
      <c r="A547" s="2" t="s">
        <v>69</v>
      </c>
      <c r="B547" s="2" t="s">
        <v>70</v>
      </c>
      <c r="C547" s="2">
        <v>2001.0</v>
      </c>
      <c r="D547" s="9">
        <v>336.54614</v>
      </c>
      <c r="E547" s="10" t="str">
        <f t="array" ref="E547">IFS(D547&lt;=$G$3,'calculated data '!$A$3,D547&lt;=$G$4,'calculated data '!$A$4,D547&lt;=$G$6,'calculated data '!$A$5,D547&gt;=$G$6,'calculated data '!$A$6)</f>
        <v>Low Demand Tier</v>
      </c>
      <c r="F547" s="10">
        <f t="shared" si="1"/>
        <v>-0.6542631824</v>
      </c>
    </row>
    <row r="548" ht="14.25" customHeight="1">
      <c r="A548" s="2" t="s">
        <v>81</v>
      </c>
      <c r="B548" s="2" t="s">
        <v>82</v>
      </c>
      <c r="C548" s="2">
        <v>2021.0</v>
      </c>
      <c r="D548" s="9">
        <v>336.73923</v>
      </c>
      <c r="E548" s="10" t="str">
        <f t="array" ref="E548">IFS(D548&lt;=$G$3,'calculated data '!$A$3,D548&lt;=$G$4,'calculated data '!$A$4,D548&lt;=$G$6,'calculated data '!$A$5,D548&gt;=$G$6,'calculated data '!$A$6)</f>
        <v>Low Demand Tier</v>
      </c>
      <c r="F548" s="10">
        <f t="shared" si="1"/>
        <v>-0.6542580713</v>
      </c>
    </row>
    <row r="549" ht="14.25" customHeight="1">
      <c r="A549" s="2" t="s">
        <v>83</v>
      </c>
      <c r="B549" s="2" t="s">
        <v>84</v>
      </c>
      <c r="C549" s="2">
        <v>1993.0</v>
      </c>
      <c r="D549" s="9">
        <v>337.1226</v>
      </c>
      <c r="E549" s="10" t="str">
        <f t="array" ref="E549">IFS(D549&lt;=$G$3,'calculated data '!$A$3,D549&lt;=$G$4,'calculated data '!$A$4,D549&lt;=$G$6,'calculated data '!$A$5,D549&gt;=$G$6,'calculated data '!$A$6)</f>
        <v>Low Demand Tier</v>
      </c>
      <c r="F549" s="10">
        <f t="shared" si="1"/>
        <v>-0.6542479236</v>
      </c>
    </row>
    <row r="550" ht="14.25" customHeight="1">
      <c r="A550" s="2" t="s">
        <v>81</v>
      </c>
      <c r="B550" s="2" t="s">
        <v>82</v>
      </c>
      <c r="C550" s="2">
        <v>1994.0</v>
      </c>
      <c r="D550" s="9">
        <v>337.47366</v>
      </c>
      <c r="E550" s="10" t="str">
        <f t="array" ref="E550">IFS(D550&lt;=$G$3,'calculated data '!$A$3,D550&lt;=$G$4,'calculated data '!$A$4,D550&lt;=$G$6,'calculated data '!$A$5,D550&gt;=$G$6,'calculated data '!$A$6)</f>
        <v>Low Demand Tier</v>
      </c>
      <c r="F550" s="10">
        <f t="shared" si="1"/>
        <v>-0.6542386312</v>
      </c>
    </row>
    <row r="551" ht="14.25" customHeight="1">
      <c r="A551" s="2" t="s">
        <v>77</v>
      </c>
      <c r="B551" s="2" t="s">
        <v>78</v>
      </c>
      <c r="C551" s="2">
        <v>2000.0</v>
      </c>
      <c r="D551" s="9">
        <v>340.9589</v>
      </c>
      <c r="E551" s="10" t="str">
        <f t="array" ref="E551">IFS(D551&lt;=$G$3,'calculated data '!$A$3,D551&lt;=$G$4,'calculated data '!$A$4,D551&lt;=$G$6,'calculated data '!$A$5,D551&gt;=$G$6,'calculated data '!$A$6)</f>
        <v>Low Demand Tier</v>
      </c>
      <c r="F551" s="10">
        <f t="shared" si="1"/>
        <v>-0.6541463777</v>
      </c>
    </row>
    <row r="552" ht="14.25" customHeight="1">
      <c r="A552" s="2" t="s">
        <v>81</v>
      </c>
      <c r="B552" s="2" t="s">
        <v>82</v>
      </c>
      <c r="C552" s="2">
        <v>2020.0</v>
      </c>
      <c r="D552" s="9">
        <v>341.1231</v>
      </c>
      <c r="E552" s="10" t="str">
        <f t="array" ref="E552">IFS(D552&lt;=$G$3,'calculated data '!$A$3,D552&lt;=$G$4,'calculated data '!$A$4,D552&lt;=$G$6,'calculated data '!$A$5,D552&gt;=$G$6,'calculated data '!$A$6)</f>
        <v>Low Demand Tier</v>
      </c>
      <c r="F552" s="10">
        <f t="shared" si="1"/>
        <v>-0.6541420314</v>
      </c>
    </row>
    <row r="553" ht="14.25" customHeight="1">
      <c r="A553" s="2" t="s">
        <v>65</v>
      </c>
      <c r="B553" s="2" t="s">
        <v>66</v>
      </c>
      <c r="C553" s="2">
        <v>1997.0</v>
      </c>
      <c r="D553" s="9">
        <v>341.21838</v>
      </c>
      <c r="E553" s="10" t="str">
        <f t="array" ref="E553">IFS(D553&lt;=$G$3,'calculated data '!$A$3,D553&lt;=$G$4,'calculated data '!$A$4,D553&lt;=$G$6,'calculated data '!$A$5,D553&gt;=$G$6,'calculated data '!$A$6)</f>
        <v>Low Demand Tier</v>
      </c>
      <c r="F553" s="10">
        <f t="shared" si="1"/>
        <v>-0.6541395094</v>
      </c>
    </row>
    <row r="554" ht="14.25" customHeight="1">
      <c r="A554" s="2" t="s">
        <v>81</v>
      </c>
      <c r="B554" s="2" t="s">
        <v>82</v>
      </c>
      <c r="C554" s="2">
        <v>2002.0</v>
      </c>
      <c r="D554" s="9">
        <v>341.33844</v>
      </c>
      <c r="E554" s="10" t="str">
        <f t="array" ref="E554">IFS(D554&lt;=$G$3,'calculated data '!$A$3,D554&lt;=$G$4,'calculated data '!$A$4,D554&lt;=$G$6,'calculated data '!$A$5,D554&gt;=$G$6,'calculated data '!$A$6)</f>
        <v>Low Demand Tier</v>
      </c>
      <c r="F554" s="10">
        <f t="shared" si="1"/>
        <v>-0.6541363314</v>
      </c>
    </row>
    <row r="555" ht="14.25" customHeight="1">
      <c r="A555" s="2" t="s">
        <v>69</v>
      </c>
      <c r="B555" s="2" t="s">
        <v>70</v>
      </c>
      <c r="C555" s="2">
        <v>1981.0</v>
      </c>
      <c r="D555" s="9">
        <v>341.86484</v>
      </c>
      <c r="E555" s="10" t="str">
        <f t="array" ref="E555">IFS(D555&lt;=$G$3,'calculated data '!$A$3,D555&lt;=$G$4,'calculated data '!$A$4,D555&lt;=$G$6,'calculated data '!$A$5,D555&gt;=$G$6,'calculated data '!$A$6)</f>
        <v>Low Demand Tier</v>
      </c>
      <c r="F555" s="10">
        <f t="shared" si="1"/>
        <v>-0.6541223977</v>
      </c>
    </row>
    <row r="556" ht="14.25" customHeight="1">
      <c r="A556" s="2" t="s">
        <v>63</v>
      </c>
      <c r="B556" s="2" t="s">
        <v>64</v>
      </c>
      <c r="C556" s="2">
        <v>2007.0</v>
      </c>
      <c r="D556" s="9">
        <v>342.7118</v>
      </c>
      <c r="E556" s="10" t="str">
        <f t="array" ref="E556">IFS(D556&lt;=$G$3,'calculated data '!$A$3,D556&lt;=$G$4,'calculated data '!$A$4,D556&lt;=$G$6,'calculated data '!$A$5,D556&gt;=$G$6,'calculated data '!$A$6)</f>
        <v>Low Demand Tier</v>
      </c>
      <c r="F556" s="10">
        <f t="shared" si="1"/>
        <v>-0.6540999789</v>
      </c>
    </row>
    <row r="557" ht="14.25" customHeight="1">
      <c r="A557" s="2" t="s">
        <v>91</v>
      </c>
      <c r="B557" s="2" t="s">
        <v>92</v>
      </c>
      <c r="C557" s="2">
        <v>1985.0</v>
      </c>
      <c r="D557" s="9">
        <v>343.25577</v>
      </c>
      <c r="E557" s="10" t="str">
        <f t="array" ref="E557">IFS(D557&lt;=$G$3,'calculated data '!$A$3,D557&lt;=$G$4,'calculated data '!$A$4,D557&lt;=$G$6,'calculated data '!$A$5,D557&gt;=$G$6,'calculated data '!$A$6)</f>
        <v>Low Demand Tier</v>
      </c>
      <c r="F557" s="10">
        <f t="shared" si="1"/>
        <v>-0.6540855802</v>
      </c>
    </row>
    <row r="558" ht="14.25" customHeight="1">
      <c r="A558" s="2" t="s">
        <v>91</v>
      </c>
      <c r="B558" s="2" t="s">
        <v>92</v>
      </c>
      <c r="C558" s="2">
        <v>1990.0</v>
      </c>
      <c r="D558" s="9">
        <v>343.47134</v>
      </c>
      <c r="E558" s="10" t="str">
        <f t="array" ref="E558">IFS(D558&lt;=$G$3,'calculated data '!$A$3,D558&lt;=$G$4,'calculated data '!$A$4,D558&lt;=$G$6,'calculated data '!$A$5,D558&gt;=$G$6,'calculated data '!$A$6)</f>
        <v>Low Demand Tier</v>
      </c>
      <c r="F558" s="10">
        <f t="shared" si="1"/>
        <v>-0.6540798741</v>
      </c>
    </row>
    <row r="559" ht="14.25" customHeight="1">
      <c r="A559" s="2" t="s">
        <v>69</v>
      </c>
      <c r="B559" s="2" t="s">
        <v>70</v>
      </c>
      <c r="C559" s="2">
        <v>2021.0</v>
      </c>
      <c r="D559" s="9">
        <v>343.4854</v>
      </c>
      <c r="E559" s="10" t="str">
        <f t="array" ref="E559">IFS(D559&lt;=$G$3,'calculated data '!$A$3,D559&lt;=$G$4,'calculated data '!$A$4,D559&lt;=$G$6,'calculated data '!$A$5,D559&gt;=$G$6,'calculated data '!$A$6)</f>
        <v>Low Demand Tier</v>
      </c>
      <c r="F559" s="10">
        <f t="shared" si="1"/>
        <v>-0.6540795019</v>
      </c>
    </row>
    <row r="560" ht="14.25" customHeight="1">
      <c r="A560" s="2" t="s">
        <v>75</v>
      </c>
      <c r="B560" s="2" t="s">
        <v>76</v>
      </c>
      <c r="C560" s="2">
        <v>1998.0</v>
      </c>
      <c r="D560" s="9">
        <v>343.64545</v>
      </c>
      <c r="E560" s="10" t="str">
        <f t="array" ref="E560">IFS(D560&lt;=$G$3,'calculated data '!$A$3,D560&lt;=$G$4,'calculated data '!$A$4,D560&lt;=$G$6,'calculated data '!$A$5,D560&gt;=$G$6,'calculated data '!$A$6)</f>
        <v>Low Demand Tier</v>
      </c>
      <c r="F560" s="10">
        <f t="shared" si="1"/>
        <v>-0.6540752654</v>
      </c>
    </row>
    <row r="561" ht="14.25" customHeight="1">
      <c r="A561" s="2" t="s">
        <v>51</v>
      </c>
      <c r="B561" s="2" t="s">
        <v>52</v>
      </c>
      <c r="C561" s="2">
        <v>1986.0</v>
      </c>
      <c r="D561" s="9">
        <v>344.21066</v>
      </c>
      <c r="E561" s="10" t="str">
        <f t="array" ref="E561">IFS(D561&lt;=$G$3,'calculated data '!$A$3,D561&lt;=$G$4,'calculated data '!$A$4,D561&lt;=$G$6,'calculated data '!$A$5,D561&gt;=$G$6,'calculated data '!$A$6)</f>
        <v>Low Demand Tier</v>
      </c>
      <c r="F561" s="10">
        <f t="shared" si="1"/>
        <v>-0.6540603044</v>
      </c>
    </row>
    <row r="562" ht="14.25" customHeight="1">
      <c r="A562" s="2" t="s">
        <v>89</v>
      </c>
      <c r="B562" s="2" t="s">
        <v>90</v>
      </c>
      <c r="C562" s="2">
        <v>1987.0</v>
      </c>
      <c r="D562" s="9">
        <v>344.51108</v>
      </c>
      <c r="E562" s="10" t="str">
        <f t="array" ref="E562">IFS(D562&lt;=$G$3,'calculated data '!$A$3,D562&lt;=$G$4,'calculated data '!$A$4,D562&lt;=$G$6,'calculated data '!$A$5,D562&gt;=$G$6,'calculated data '!$A$6)</f>
        <v>Low Demand Tier</v>
      </c>
      <c r="F562" s="10">
        <f t="shared" si="1"/>
        <v>-0.6540523524</v>
      </c>
    </row>
    <row r="563" ht="14.25" customHeight="1">
      <c r="A563" s="2" t="s">
        <v>99</v>
      </c>
      <c r="B563" s="2" t="s">
        <v>100</v>
      </c>
      <c r="C563" s="2">
        <v>1983.0</v>
      </c>
      <c r="D563" s="9">
        <v>344.56448</v>
      </c>
      <c r="E563" s="10" t="str">
        <f t="array" ref="E563">IFS(D563&lt;=$G$3,'calculated data '!$A$3,D563&lt;=$G$4,'calculated data '!$A$4,D563&lt;=$G$6,'calculated data '!$A$5,D563&gt;=$G$6,'calculated data '!$A$6)</f>
        <v>Low Demand Tier</v>
      </c>
      <c r="F563" s="10">
        <f t="shared" si="1"/>
        <v>-0.6540509389</v>
      </c>
    </row>
    <row r="564" ht="14.25" customHeight="1">
      <c r="A564" s="2" t="s">
        <v>81</v>
      </c>
      <c r="B564" s="2" t="s">
        <v>82</v>
      </c>
      <c r="C564" s="2">
        <v>1992.0</v>
      </c>
      <c r="D564" s="9">
        <v>346.89957</v>
      </c>
      <c r="E564" s="10" t="str">
        <f t="array" ref="E564">IFS(D564&lt;=$G$3,'calculated data '!$A$3,D564&lt;=$G$4,'calculated data '!$A$4,D564&lt;=$G$6,'calculated data '!$A$5,D564&gt;=$G$6,'calculated data '!$A$6)</f>
        <v>Low Demand Tier</v>
      </c>
      <c r="F564" s="10">
        <f t="shared" si="1"/>
        <v>-0.6539891297</v>
      </c>
    </row>
    <row r="565" ht="14.25" customHeight="1">
      <c r="A565" s="2" t="s">
        <v>69</v>
      </c>
      <c r="B565" s="2" t="s">
        <v>70</v>
      </c>
      <c r="C565" s="2">
        <v>1985.0</v>
      </c>
      <c r="D565" s="9">
        <v>346.97385</v>
      </c>
      <c r="E565" s="10" t="str">
        <f t="array" ref="E565">IFS(D565&lt;=$G$3,'calculated data '!$A$3,D565&lt;=$G$4,'calculated data '!$A$4,D565&lt;=$G$6,'calculated data '!$A$5,D565&gt;=$G$6,'calculated data '!$A$6)</f>
        <v>Low Demand Tier</v>
      </c>
      <c r="F565" s="10">
        <f t="shared" si="1"/>
        <v>-0.6539871635</v>
      </c>
    </row>
    <row r="566" ht="14.25" customHeight="1">
      <c r="A566" s="2" t="s">
        <v>61</v>
      </c>
      <c r="B566" s="2" t="s">
        <v>62</v>
      </c>
      <c r="C566" s="2">
        <v>2001.0</v>
      </c>
      <c r="D566" s="9">
        <v>347.35654</v>
      </c>
      <c r="E566" s="10" t="str">
        <f t="array" ref="E566">IFS(D566&lt;=$G$3,'calculated data '!$A$3,D566&lt;=$G$4,'calculated data '!$A$4,D566&lt;=$G$6,'calculated data '!$A$5,D566&gt;=$G$6,'calculated data '!$A$6)</f>
        <v>Low Demand Tier</v>
      </c>
      <c r="F566" s="10">
        <f t="shared" si="1"/>
        <v>-0.6539770338</v>
      </c>
    </row>
    <row r="567" ht="14.25" customHeight="1">
      <c r="A567" s="2" t="s">
        <v>97</v>
      </c>
      <c r="B567" s="2" t="s">
        <v>98</v>
      </c>
      <c r="C567" s="2">
        <v>1986.0</v>
      </c>
      <c r="D567" s="9">
        <v>347.6495</v>
      </c>
      <c r="E567" s="10" t="str">
        <f t="array" ref="E567">IFS(D567&lt;=$G$3,'calculated data '!$A$3,D567&lt;=$G$4,'calculated data '!$A$4,D567&lt;=$G$6,'calculated data '!$A$5,D567&gt;=$G$6,'calculated data '!$A$6)</f>
        <v>Low Demand Tier</v>
      </c>
      <c r="F567" s="10">
        <f t="shared" si="1"/>
        <v>-0.6539692792</v>
      </c>
    </row>
    <row r="568" ht="14.25" customHeight="1">
      <c r="A568" s="2" t="s">
        <v>101</v>
      </c>
      <c r="B568" s="2" t="s">
        <v>102</v>
      </c>
      <c r="C568" s="2">
        <v>1990.0</v>
      </c>
      <c r="D568" s="9">
        <v>348.7722</v>
      </c>
      <c r="E568" s="10" t="str">
        <f t="array" ref="E568">IFS(D568&lt;=$G$3,'calculated data '!$A$3,D568&lt;=$G$4,'calculated data '!$A$4,D568&lt;=$G$6,'calculated data '!$A$5,D568&gt;=$G$6,'calculated data '!$A$6)</f>
        <v>Low Demand Tier</v>
      </c>
      <c r="F568" s="10">
        <f t="shared" si="1"/>
        <v>-0.6539395616</v>
      </c>
    </row>
    <row r="569" ht="14.25" customHeight="1">
      <c r="A569" s="2" t="s">
        <v>69</v>
      </c>
      <c r="B569" s="2" t="s">
        <v>70</v>
      </c>
      <c r="C569" s="2">
        <v>2023.0</v>
      </c>
      <c r="D569" s="9">
        <v>349.13443</v>
      </c>
      <c r="E569" s="10" t="str">
        <f t="array" ref="E569">IFS(D569&lt;=$G$3,'calculated data '!$A$3,D569&lt;=$G$4,'calculated data '!$A$4,D569&lt;=$G$6,'calculated data '!$A$5,D569&gt;=$G$6,'calculated data '!$A$6)</f>
        <v>Low Demand Tier</v>
      </c>
      <c r="F569" s="10">
        <f t="shared" si="1"/>
        <v>-0.6539299735</v>
      </c>
    </row>
    <row r="570" ht="14.25" customHeight="1">
      <c r="A570" s="2" t="s">
        <v>89</v>
      </c>
      <c r="B570" s="2" t="s">
        <v>90</v>
      </c>
      <c r="C570" s="2">
        <v>2009.0</v>
      </c>
      <c r="D570" s="9">
        <v>349.23425</v>
      </c>
      <c r="E570" s="10" t="str">
        <f t="array" ref="E570">IFS(D570&lt;=$G$3,'calculated data '!$A$3,D570&lt;=$G$4,'calculated data '!$A$4,D570&lt;=$G$6,'calculated data '!$A$5,D570&gt;=$G$6,'calculated data '!$A$6)</f>
        <v>Low Demand Tier</v>
      </c>
      <c r="F570" s="10">
        <f t="shared" si="1"/>
        <v>-0.6539273313</v>
      </c>
    </row>
    <row r="571" ht="14.25" customHeight="1">
      <c r="A571" s="2" t="s">
        <v>77</v>
      </c>
      <c r="B571" s="2" t="s">
        <v>78</v>
      </c>
      <c r="C571" s="2">
        <v>2006.0</v>
      </c>
      <c r="D571" s="9">
        <v>349.4673</v>
      </c>
      <c r="E571" s="10" t="str">
        <f t="array" ref="E571">IFS(D571&lt;=$G$3,'calculated data '!$A$3,D571&lt;=$G$4,'calculated data '!$A$4,D571&lt;=$G$6,'calculated data '!$A$5,D571&gt;=$G$6,'calculated data '!$A$6)</f>
        <v>Low Demand Tier</v>
      </c>
      <c r="F571" s="10">
        <f t="shared" si="1"/>
        <v>-0.6539211625</v>
      </c>
    </row>
    <row r="572" ht="14.25" customHeight="1">
      <c r="A572" s="2" t="s">
        <v>69</v>
      </c>
      <c r="B572" s="2" t="s">
        <v>70</v>
      </c>
      <c r="C572" s="2">
        <v>2022.0</v>
      </c>
      <c r="D572" s="9">
        <v>351.04642</v>
      </c>
      <c r="E572" s="10" t="str">
        <f t="array" ref="E572">IFS(D572&lt;=$G$3,'calculated data '!$A$3,D572&lt;=$G$4,'calculated data '!$A$4,D572&lt;=$G$6,'calculated data '!$A$5,D572&gt;=$G$6,'calculated data '!$A$6)</f>
        <v>Low Demand Tier</v>
      </c>
      <c r="F572" s="10">
        <f t="shared" si="1"/>
        <v>-0.6538793636</v>
      </c>
    </row>
    <row r="573" ht="14.25" customHeight="1">
      <c r="A573" s="2" t="s">
        <v>77</v>
      </c>
      <c r="B573" s="2" t="s">
        <v>78</v>
      </c>
      <c r="C573" s="2">
        <v>2004.0</v>
      </c>
      <c r="D573" s="9">
        <v>351.6996</v>
      </c>
      <c r="E573" s="10" t="str">
        <f t="array" ref="E573">IFS(D573&lt;=$G$3,'calculated data '!$A$3,D573&lt;=$G$4,'calculated data '!$A$4,D573&lt;=$G$6,'calculated data '!$A$5,D573&gt;=$G$6,'calculated data '!$A$6)</f>
        <v>Low Demand Tier</v>
      </c>
      <c r="F573" s="10">
        <f t="shared" si="1"/>
        <v>-0.6538620741</v>
      </c>
    </row>
    <row r="574" ht="14.25" customHeight="1">
      <c r="A574" s="2" t="s">
        <v>97</v>
      </c>
      <c r="B574" s="2" t="s">
        <v>98</v>
      </c>
      <c r="C574" s="2">
        <v>1987.0</v>
      </c>
      <c r="D574" s="9">
        <v>351.95712</v>
      </c>
      <c r="E574" s="10" t="str">
        <f t="array" ref="E574">IFS(D574&lt;=$G$3,'calculated data '!$A$3,D574&lt;=$G$4,'calculated data '!$A$4,D574&lt;=$G$6,'calculated data '!$A$5,D574&gt;=$G$6,'calculated data '!$A$6)</f>
        <v>Low Demand Tier</v>
      </c>
      <c r="F574" s="10">
        <f t="shared" si="1"/>
        <v>-0.6538552576</v>
      </c>
    </row>
    <row r="575" ht="14.25" customHeight="1">
      <c r="A575" s="2" t="s">
        <v>75</v>
      </c>
      <c r="B575" s="2" t="s">
        <v>76</v>
      </c>
      <c r="C575" s="2">
        <v>1999.0</v>
      </c>
      <c r="D575" s="9">
        <v>352.61154</v>
      </c>
      <c r="E575" s="10" t="str">
        <f t="array" ref="E575">IFS(D575&lt;=$G$3,'calculated data '!$A$3,D575&lt;=$G$4,'calculated data '!$A$4,D575&lt;=$G$6,'calculated data '!$A$5,D575&gt;=$G$6,'calculated data '!$A$6)</f>
        <v>Low Demand Tier</v>
      </c>
      <c r="F575" s="10">
        <f t="shared" si="1"/>
        <v>-0.6538379352</v>
      </c>
    </row>
    <row r="576" ht="14.25" customHeight="1">
      <c r="A576" s="2" t="s">
        <v>101</v>
      </c>
      <c r="B576" s="2" t="s">
        <v>102</v>
      </c>
      <c r="C576" s="2">
        <v>1991.0</v>
      </c>
      <c r="D576" s="9">
        <v>353.39838</v>
      </c>
      <c r="E576" s="10" t="str">
        <f t="array" ref="E576">IFS(D576&lt;=$G$3,'calculated data '!$A$3,D576&lt;=$G$4,'calculated data '!$A$4,D576&lt;=$G$6,'calculated data '!$A$5,D576&gt;=$G$6,'calculated data '!$A$6)</f>
        <v>Low Demand Tier</v>
      </c>
      <c r="F576" s="10">
        <f t="shared" si="1"/>
        <v>-0.6538171078</v>
      </c>
    </row>
    <row r="577" ht="14.25" customHeight="1">
      <c r="A577" s="2" t="s">
        <v>63</v>
      </c>
      <c r="B577" s="2" t="s">
        <v>64</v>
      </c>
      <c r="C577" s="2">
        <v>2008.0</v>
      </c>
      <c r="D577" s="9">
        <v>353.99915</v>
      </c>
      <c r="E577" s="10" t="str">
        <f t="array" ref="E577">IFS(D577&lt;=$G$3,'calculated data '!$A$3,D577&lt;=$G$4,'calculated data '!$A$4,D577&lt;=$G$6,'calculated data '!$A$5,D577&gt;=$G$6,'calculated data '!$A$6)</f>
        <v>Low Demand Tier</v>
      </c>
      <c r="F577" s="10">
        <f t="shared" si="1"/>
        <v>-0.6538012056</v>
      </c>
    </row>
    <row r="578" ht="14.25" customHeight="1">
      <c r="A578" s="2" t="s">
        <v>99</v>
      </c>
      <c r="B578" s="2" t="s">
        <v>100</v>
      </c>
      <c r="C578" s="2">
        <v>1982.0</v>
      </c>
      <c r="D578" s="9">
        <v>354.05112</v>
      </c>
      <c r="E578" s="10" t="str">
        <f t="array" ref="E578">IFS(D578&lt;=$G$3,'calculated data '!$A$3,D578&lt;=$G$4,'calculated data '!$A$4,D578&lt;=$G$6,'calculated data '!$A$5,D578&gt;=$G$6,'calculated data '!$A$6)</f>
        <v>Low Demand Tier</v>
      </c>
      <c r="F578" s="10">
        <f t="shared" si="1"/>
        <v>-0.6537998299</v>
      </c>
    </row>
    <row r="579" ht="14.25" customHeight="1">
      <c r="A579" s="2" t="s">
        <v>63</v>
      </c>
      <c r="B579" s="2" t="s">
        <v>64</v>
      </c>
      <c r="C579" s="2">
        <v>2009.0</v>
      </c>
      <c r="D579" s="9">
        <v>354.18802</v>
      </c>
      <c r="E579" s="10" t="str">
        <f t="array" ref="E579">IFS(D579&lt;=$G$3,'calculated data '!$A$3,D579&lt;=$G$4,'calculated data '!$A$4,D579&lt;=$G$6,'calculated data '!$A$5,D579&gt;=$G$6,'calculated data '!$A$6)</f>
        <v>Low Demand Tier</v>
      </c>
      <c r="F579" s="10">
        <f t="shared" si="1"/>
        <v>-0.6537962062</v>
      </c>
    </row>
    <row r="580" ht="14.25" customHeight="1">
      <c r="A580" s="2" t="s">
        <v>61</v>
      </c>
      <c r="B580" s="2" t="s">
        <v>62</v>
      </c>
      <c r="C580" s="2">
        <v>2000.0</v>
      </c>
      <c r="D580" s="9">
        <v>354.2473</v>
      </c>
      <c r="E580" s="10" t="str">
        <f t="array" ref="E580">IFS(D580&lt;=$G$3,'calculated data '!$A$3,D580&lt;=$G$4,'calculated data '!$A$4,D580&lt;=$G$6,'calculated data '!$A$5,D580&gt;=$G$6,'calculated data '!$A$6)</f>
        <v>Low Demand Tier</v>
      </c>
      <c r="F580" s="10">
        <f t="shared" si="1"/>
        <v>-0.6537946371</v>
      </c>
    </row>
    <row r="581" ht="14.25" customHeight="1">
      <c r="A581" s="2" t="s">
        <v>103</v>
      </c>
      <c r="B581" s="2" t="s">
        <v>104</v>
      </c>
      <c r="C581" s="2">
        <v>1997.0</v>
      </c>
      <c r="D581" s="9">
        <v>354.5502</v>
      </c>
      <c r="E581" s="10" t="str">
        <f t="array" ref="E581">IFS(D581&lt;=$G$3,'calculated data '!$A$3,D581&lt;=$G$4,'calculated data '!$A$4,D581&lt;=$G$6,'calculated data '!$A$5,D581&gt;=$G$6,'calculated data '!$A$6)</f>
        <v>Low Demand Tier</v>
      </c>
      <c r="F581" s="10">
        <f t="shared" si="1"/>
        <v>-0.6537866194</v>
      </c>
    </row>
    <row r="582" ht="14.25" customHeight="1">
      <c r="A582" s="2" t="s">
        <v>89</v>
      </c>
      <c r="B582" s="2" t="s">
        <v>90</v>
      </c>
      <c r="C582" s="2">
        <v>1999.0</v>
      </c>
      <c r="D582" s="9">
        <v>354.67816</v>
      </c>
      <c r="E582" s="10" t="str">
        <f t="array" ref="E582">IFS(D582&lt;=$G$3,'calculated data '!$A$3,D582&lt;=$G$4,'calculated data '!$A$4,D582&lt;=$G$6,'calculated data '!$A$5,D582&gt;=$G$6,'calculated data '!$A$6)</f>
        <v>Low Demand Tier</v>
      </c>
      <c r="F582" s="10">
        <f t="shared" si="1"/>
        <v>-0.6537832323</v>
      </c>
    </row>
    <row r="583" ht="14.25" customHeight="1">
      <c r="A583" s="2" t="s">
        <v>81</v>
      </c>
      <c r="B583" s="2" t="s">
        <v>82</v>
      </c>
      <c r="C583" s="2">
        <v>1993.0</v>
      </c>
      <c r="D583" s="9">
        <v>354.9195</v>
      </c>
      <c r="E583" s="10" t="str">
        <f t="array" ref="E583">IFS(D583&lt;=$G$3,'calculated data '!$A$3,D583&lt;=$G$4,'calculated data '!$A$4,D583&lt;=$G$6,'calculated data '!$A$5,D583&gt;=$G$6,'calculated data '!$A$6)</f>
        <v>Low Demand Tier</v>
      </c>
      <c r="F583" s="10">
        <f t="shared" si="1"/>
        <v>-0.6537768441</v>
      </c>
    </row>
    <row r="584" ht="14.25" customHeight="1">
      <c r="A584" s="2" t="s">
        <v>101</v>
      </c>
      <c r="B584" s="2" t="s">
        <v>102</v>
      </c>
      <c r="C584" s="2">
        <v>2002.0</v>
      </c>
      <c r="D584" s="9">
        <v>355.05792</v>
      </c>
      <c r="E584" s="10" t="str">
        <f t="array" ref="E584">IFS(D584&lt;=$G$3,'calculated data '!$A$3,D584&lt;=$G$4,'calculated data '!$A$4,D584&lt;=$G$6,'calculated data '!$A$5,D584&gt;=$G$6,'calculated data '!$A$6)</f>
        <v>Low Demand Tier</v>
      </c>
      <c r="F584" s="10">
        <f t="shared" si="1"/>
        <v>-0.6537731802</v>
      </c>
    </row>
    <row r="585" ht="14.25" customHeight="1">
      <c r="A585" s="2" t="s">
        <v>69</v>
      </c>
      <c r="B585" s="2" t="s">
        <v>70</v>
      </c>
      <c r="C585" s="2">
        <v>1984.0</v>
      </c>
      <c r="D585" s="9">
        <v>355.74335</v>
      </c>
      <c r="E585" s="10" t="str">
        <f t="array" ref="E585">IFS(D585&lt;=$G$3,'calculated data '!$A$3,D585&lt;=$G$4,'calculated data '!$A$4,D585&lt;=$G$6,'calculated data '!$A$5,D585&gt;=$G$6,'calculated data '!$A$6)</f>
        <v>Low Demand Tier</v>
      </c>
      <c r="F585" s="10">
        <f t="shared" si="1"/>
        <v>-0.653755037</v>
      </c>
    </row>
    <row r="586" ht="14.25" customHeight="1">
      <c r="A586" s="2" t="s">
        <v>59</v>
      </c>
      <c r="B586" s="2" t="s">
        <v>60</v>
      </c>
      <c r="C586" s="2">
        <v>1997.0</v>
      </c>
      <c r="D586" s="9">
        <v>355.7631</v>
      </c>
      <c r="E586" s="10" t="str">
        <f t="array" ref="E586">IFS(D586&lt;=$G$3,'calculated data '!$A$3,D586&lt;=$G$4,'calculated data '!$A$4,D586&lt;=$G$6,'calculated data '!$A$5,D586&gt;=$G$6,'calculated data '!$A$6)</f>
        <v>Low Demand Tier</v>
      </c>
      <c r="F586" s="10">
        <f t="shared" si="1"/>
        <v>-0.6537545142</v>
      </c>
    </row>
    <row r="587" ht="14.25" customHeight="1">
      <c r="A587" s="2" t="s">
        <v>81</v>
      </c>
      <c r="B587" s="2" t="s">
        <v>82</v>
      </c>
      <c r="C587" s="2">
        <v>1991.0</v>
      </c>
      <c r="D587" s="9">
        <v>355.82306</v>
      </c>
      <c r="E587" s="10" t="str">
        <f t="array" ref="E587">IFS(D587&lt;=$G$3,'calculated data '!$A$3,D587&lt;=$G$4,'calculated data '!$A$4,D587&lt;=$G$6,'calculated data '!$A$5,D587&gt;=$G$6,'calculated data '!$A$6)</f>
        <v>Low Demand Tier</v>
      </c>
      <c r="F587" s="10">
        <f t="shared" si="1"/>
        <v>-0.6537529271</v>
      </c>
    </row>
    <row r="588" ht="14.25" customHeight="1">
      <c r="A588" s="2" t="s">
        <v>91</v>
      </c>
      <c r="B588" s="2" t="s">
        <v>92</v>
      </c>
      <c r="C588" s="2">
        <v>2009.0</v>
      </c>
      <c r="D588" s="9">
        <v>356.4677</v>
      </c>
      <c r="E588" s="10" t="str">
        <f t="array" ref="E588">IFS(D588&lt;=$G$3,'calculated data '!$A$3,D588&lt;=$G$4,'calculated data '!$A$4,D588&lt;=$G$6,'calculated data '!$A$5,D588&gt;=$G$6,'calculated data '!$A$6)</f>
        <v>Low Demand Tier</v>
      </c>
      <c r="F588" s="10">
        <f t="shared" si="1"/>
        <v>-0.6537358637</v>
      </c>
    </row>
    <row r="589" ht="14.25" customHeight="1">
      <c r="A589" s="2" t="s">
        <v>101</v>
      </c>
      <c r="B589" s="2" t="s">
        <v>102</v>
      </c>
      <c r="C589" s="2">
        <v>1986.0</v>
      </c>
      <c r="D589" s="9">
        <v>356.54248</v>
      </c>
      <c r="E589" s="10" t="str">
        <f t="array" ref="E589">IFS(D589&lt;=$G$3,'calculated data '!$A$3,D589&lt;=$G$4,'calculated data '!$A$4,D589&lt;=$G$6,'calculated data '!$A$5,D589&gt;=$G$6,'calculated data '!$A$6)</f>
        <v>Low Demand Tier</v>
      </c>
      <c r="F589" s="10">
        <f t="shared" si="1"/>
        <v>-0.6537338842</v>
      </c>
    </row>
    <row r="590" ht="14.25" customHeight="1">
      <c r="A590" s="2" t="s">
        <v>69</v>
      </c>
      <c r="B590" s="2" t="s">
        <v>70</v>
      </c>
      <c r="C590" s="2">
        <v>2024.0</v>
      </c>
      <c r="D590" s="9">
        <v>356.6505</v>
      </c>
      <c r="E590" s="10" t="str">
        <f t="array" ref="E590">IFS(D590&lt;=$G$3,'calculated data '!$A$3,D590&lt;=$G$4,'calculated data '!$A$4,D590&lt;=$G$6,'calculated data '!$A$5,D590&gt;=$G$6,'calculated data '!$A$6)</f>
        <v>Low Demand Tier</v>
      </c>
      <c r="F590" s="10">
        <f t="shared" si="1"/>
        <v>-0.653731025</v>
      </c>
    </row>
    <row r="591" ht="14.25" customHeight="1">
      <c r="A591" s="2" t="s">
        <v>81</v>
      </c>
      <c r="B591" s="2" t="s">
        <v>82</v>
      </c>
      <c r="C591" s="2">
        <v>2024.0</v>
      </c>
      <c r="D591" s="9">
        <v>357.34778</v>
      </c>
      <c r="E591" s="10" t="str">
        <f t="array" ref="E591">IFS(D591&lt;=$G$3,'calculated data '!$A$3,D591&lt;=$G$4,'calculated data '!$A$4,D591&lt;=$G$6,'calculated data '!$A$5,D591&gt;=$G$6,'calculated data '!$A$6)</f>
        <v>Low Demand Tier</v>
      </c>
      <c r="F591" s="10">
        <f t="shared" si="1"/>
        <v>-0.6537125682</v>
      </c>
    </row>
    <row r="592" ht="14.25" customHeight="1">
      <c r="A592" s="2" t="s">
        <v>69</v>
      </c>
      <c r="B592" s="2" t="s">
        <v>70</v>
      </c>
      <c r="C592" s="2">
        <v>1992.0</v>
      </c>
      <c r="D592" s="9">
        <v>357.67642</v>
      </c>
      <c r="E592" s="10" t="str">
        <f t="array" ref="E592">IFS(D592&lt;=$G$3,'calculated data '!$A$3,D592&lt;=$G$4,'calculated data '!$A$4,D592&lt;=$G$6,'calculated data '!$A$5,D592&gt;=$G$6,'calculated data '!$A$6)</f>
        <v>Low Demand Tier</v>
      </c>
      <c r="F592" s="10">
        <f t="shared" si="1"/>
        <v>-0.6537038691</v>
      </c>
    </row>
    <row r="593" ht="14.25" customHeight="1">
      <c r="A593" s="2" t="s">
        <v>69</v>
      </c>
      <c r="B593" s="2" t="s">
        <v>70</v>
      </c>
      <c r="C593" s="2">
        <v>1999.0</v>
      </c>
      <c r="D593" s="9">
        <v>358.02612</v>
      </c>
      <c r="E593" s="10" t="str">
        <f t="array" ref="E593">IFS(D593&lt;=$G$3,'calculated data '!$A$3,D593&lt;=$G$4,'calculated data '!$A$4,D593&lt;=$G$6,'calculated data '!$A$5,D593&gt;=$G$6,'calculated data '!$A$6)</f>
        <v>Low Demand Tier</v>
      </c>
      <c r="F593" s="10">
        <f t="shared" si="1"/>
        <v>-0.6536946127</v>
      </c>
    </row>
    <row r="594" ht="14.25" customHeight="1">
      <c r="A594" s="2" t="s">
        <v>91</v>
      </c>
      <c r="B594" s="2" t="s">
        <v>92</v>
      </c>
      <c r="C594" s="2">
        <v>2007.0</v>
      </c>
      <c r="D594" s="9">
        <v>358.31165</v>
      </c>
      <c r="E594" s="10" t="str">
        <f t="array" ref="E594">IFS(D594&lt;=$G$3,'calculated data '!$A$3,D594&lt;=$G$4,'calculated data '!$A$4,D594&lt;=$G$6,'calculated data '!$A$5,D594&gt;=$G$6,'calculated data '!$A$6)</f>
        <v>Low Demand Tier</v>
      </c>
      <c r="F594" s="10">
        <f t="shared" si="1"/>
        <v>-0.6536870548</v>
      </c>
    </row>
    <row r="595" ht="14.25" customHeight="1">
      <c r="A595" s="2" t="s">
        <v>97</v>
      </c>
      <c r="B595" s="2" t="s">
        <v>98</v>
      </c>
      <c r="C595" s="2">
        <v>1992.0</v>
      </c>
      <c r="D595" s="9">
        <v>358.48834</v>
      </c>
      <c r="E595" s="10" t="str">
        <f t="array" ref="E595">IFS(D595&lt;=$G$3,'calculated data '!$A$3,D595&lt;=$G$4,'calculated data '!$A$4,D595&lt;=$G$6,'calculated data '!$A$5,D595&gt;=$G$6,'calculated data '!$A$6)</f>
        <v>Low Demand Tier</v>
      </c>
      <c r="F595" s="10">
        <f t="shared" si="1"/>
        <v>-0.6536823778</v>
      </c>
    </row>
    <row r="596" ht="14.25" customHeight="1">
      <c r="A596" s="2" t="s">
        <v>67</v>
      </c>
      <c r="B596" s="2" t="s">
        <v>68</v>
      </c>
      <c r="C596" s="2">
        <v>2012.0</v>
      </c>
      <c r="D596" s="9">
        <v>359.02377</v>
      </c>
      <c r="E596" s="10" t="str">
        <f t="array" ref="E596">IFS(D596&lt;=$G$3,'calculated data '!$A$3,D596&lt;=$G$4,'calculated data '!$A$4,D596&lt;=$G$6,'calculated data '!$A$5,D596&gt;=$G$6,'calculated data '!$A$6)</f>
        <v>Low Demand Tier</v>
      </c>
      <c r="F596" s="10">
        <f t="shared" si="1"/>
        <v>-0.6536682051</v>
      </c>
    </row>
    <row r="597" ht="14.25" customHeight="1">
      <c r="A597" s="2" t="s">
        <v>81</v>
      </c>
      <c r="B597" s="2" t="s">
        <v>82</v>
      </c>
      <c r="C597" s="2">
        <v>2022.0</v>
      </c>
      <c r="D597" s="9">
        <v>359.70557</v>
      </c>
      <c r="E597" s="10" t="str">
        <f t="array" ref="E597">IFS(D597&lt;=$G$3,'calculated data '!$A$3,D597&lt;=$G$4,'calculated data '!$A$4,D597&lt;=$G$6,'calculated data '!$A$5,D597&gt;=$G$6,'calculated data '!$A$6)</f>
        <v>Low Demand Tier</v>
      </c>
      <c r="F597" s="10">
        <f t="shared" si="1"/>
        <v>-0.653650158</v>
      </c>
    </row>
    <row r="598" ht="14.25" customHeight="1">
      <c r="A598" s="2" t="s">
        <v>101</v>
      </c>
      <c r="B598" s="2" t="s">
        <v>102</v>
      </c>
      <c r="C598" s="2">
        <v>1999.0</v>
      </c>
      <c r="D598" s="9">
        <v>359.88263</v>
      </c>
      <c r="E598" s="10" t="str">
        <f t="array" ref="E598">IFS(D598&lt;=$G$3,'calculated data '!$A$3,D598&lt;=$G$4,'calculated data '!$A$4,D598&lt;=$G$6,'calculated data '!$A$5,D598&gt;=$G$6,'calculated data '!$A$6)</f>
        <v>Low Demand Tier</v>
      </c>
      <c r="F598" s="10">
        <f t="shared" si="1"/>
        <v>-0.6536454713</v>
      </c>
    </row>
    <row r="599" ht="14.25" customHeight="1">
      <c r="A599" s="2" t="s">
        <v>81</v>
      </c>
      <c r="B599" s="2" t="s">
        <v>82</v>
      </c>
      <c r="C599" s="2">
        <v>2023.0</v>
      </c>
      <c r="D599" s="9">
        <v>360.80646</v>
      </c>
      <c r="E599" s="10" t="str">
        <f t="array" ref="E599">IFS(D599&lt;=$G$3,'calculated data '!$A$3,D599&lt;=$G$4,'calculated data '!$A$4,D599&lt;=$G$6,'calculated data '!$A$5,D599&gt;=$G$6,'calculated data '!$A$6)</f>
        <v>Low Demand Tier</v>
      </c>
      <c r="F599" s="10">
        <f t="shared" si="1"/>
        <v>-0.6536210178</v>
      </c>
    </row>
    <row r="600" ht="14.25" customHeight="1">
      <c r="A600" s="2" t="s">
        <v>63</v>
      </c>
      <c r="B600" s="2" t="s">
        <v>64</v>
      </c>
      <c r="C600" s="2">
        <v>2010.0</v>
      </c>
      <c r="D600" s="9">
        <v>360.90558</v>
      </c>
      <c r="E600" s="10" t="str">
        <f t="array" ref="E600">IFS(D600&lt;=$G$3,'calculated data '!$A$3,D600&lt;=$G$4,'calculated data '!$A$4,D600&lt;=$G$6,'calculated data '!$A$5,D600&gt;=$G$6,'calculated data '!$A$6)</f>
        <v>Low Demand Tier</v>
      </c>
      <c r="F600" s="10">
        <f t="shared" si="1"/>
        <v>-0.6536183941</v>
      </c>
    </row>
    <row r="601" ht="14.25" customHeight="1">
      <c r="A601" s="2" t="s">
        <v>93</v>
      </c>
      <c r="B601" s="2" t="s">
        <v>94</v>
      </c>
      <c r="C601" s="2">
        <v>1987.0</v>
      </c>
      <c r="D601" s="9">
        <v>361.42786</v>
      </c>
      <c r="E601" s="10" t="str">
        <f t="array" ref="E601">IFS(D601&lt;=$G$3,'calculated data '!$A$3,D601&lt;=$G$4,'calculated data '!$A$4,D601&lt;=$G$6,'calculated data '!$A$5,D601&gt;=$G$6,'calculated data '!$A$6)</f>
        <v>Low Demand Tier</v>
      </c>
      <c r="F601" s="10">
        <f t="shared" si="1"/>
        <v>-0.6536045695</v>
      </c>
    </row>
    <row r="602" ht="14.25" customHeight="1">
      <c r="A602" s="2" t="s">
        <v>91</v>
      </c>
      <c r="B602" s="2" t="s">
        <v>92</v>
      </c>
      <c r="C602" s="2">
        <v>2015.0</v>
      </c>
      <c r="D602" s="9">
        <v>361.83582</v>
      </c>
      <c r="E602" s="10" t="str">
        <f t="array" ref="E602">IFS(D602&lt;=$G$3,'calculated data '!$A$3,D602&lt;=$G$4,'calculated data '!$A$4,D602&lt;=$G$6,'calculated data '!$A$5,D602&gt;=$G$6,'calculated data '!$A$6)</f>
        <v>Low Demand Tier</v>
      </c>
      <c r="F602" s="10">
        <f t="shared" si="1"/>
        <v>-0.6535937709</v>
      </c>
    </row>
    <row r="603" ht="14.25" customHeight="1">
      <c r="A603" s="2" t="s">
        <v>77</v>
      </c>
      <c r="B603" s="2" t="s">
        <v>78</v>
      </c>
      <c r="C603" s="2">
        <v>2005.0</v>
      </c>
      <c r="D603" s="9">
        <v>362.9585</v>
      </c>
      <c r="E603" s="10" t="str">
        <f t="array" ref="E603">IFS(D603&lt;=$G$3,'calculated data '!$A$3,D603&lt;=$G$4,'calculated data '!$A$4,D603&lt;=$G$6,'calculated data '!$A$5,D603&gt;=$G$6,'calculated data '!$A$6)</f>
        <v>Low Demand Tier</v>
      </c>
      <c r="F603" s="10">
        <f t="shared" si="1"/>
        <v>-0.6535640538</v>
      </c>
    </row>
    <row r="604" ht="14.25" customHeight="1">
      <c r="A604" s="2" t="s">
        <v>69</v>
      </c>
      <c r="B604" s="2" t="s">
        <v>70</v>
      </c>
      <c r="C604" s="2">
        <v>1982.0</v>
      </c>
      <c r="D604" s="9">
        <v>363.1121</v>
      </c>
      <c r="E604" s="10" t="str">
        <f t="array" ref="E604">IFS(D604&lt;=$G$3,'calculated data '!$A$3,D604&lt;=$G$4,'calculated data '!$A$4,D604&lt;=$G$6,'calculated data '!$A$5,D604&gt;=$G$6,'calculated data '!$A$6)</f>
        <v>Low Demand Tier</v>
      </c>
      <c r="F604" s="10">
        <f t="shared" si="1"/>
        <v>-0.653559988</v>
      </c>
    </row>
    <row r="605" ht="14.25" customHeight="1">
      <c r="A605" s="2" t="s">
        <v>61</v>
      </c>
      <c r="B605" s="2" t="s">
        <v>62</v>
      </c>
      <c r="C605" s="2">
        <v>2006.0</v>
      </c>
      <c r="D605" s="9">
        <v>364.02505</v>
      </c>
      <c r="E605" s="10" t="str">
        <f t="array" ref="E605">IFS(D605&lt;=$G$3,'calculated data '!$A$3,D605&lt;=$G$4,'calculated data '!$A$4,D605&lt;=$G$6,'calculated data '!$A$5,D605&gt;=$G$6,'calculated data '!$A$6)</f>
        <v>Low Demand Tier</v>
      </c>
      <c r="F605" s="10">
        <f t="shared" si="1"/>
        <v>-0.6535358225</v>
      </c>
    </row>
    <row r="606" ht="14.25" customHeight="1">
      <c r="A606" s="2" t="s">
        <v>99</v>
      </c>
      <c r="B606" s="2" t="s">
        <v>100</v>
      </c>
      <c r="C606" s="2">
        <v>1981.0</v>
      </c>
      <c r="D606" s="9">
        <v>364.06845</v>
      </c>
      <c r="E606" s="10" t="str">
        <f t="array" ref="E606">IFS(D606&lt;=$G$3,'calculated data '!$A$3,D606&lt;=$G$4,'calculated data '!$A$4,D606&lt;=$G$6,'calculated data '!$A$5,D606&gt;=$G$6,'calculated data '!$A$6)</f>
        <v>Low Demand Tier</v>
      </c>
      <c r="F606" s="10">
        <f t="shared" si="1"/>
        <v>-0.6535346737</v>
      </c>
    </row>
    <row r="607" ht="14.25" customHeight="1">
      <c r="A607" s="2" t="s">
        <v>69</v>
      </c>
      <c r="B607" s="2" t="s">
        <v>70</v>
      </c>
      <c r="C607" s="2">
        <v>1989.0</v>
      </c>
      <c r="D607" s="9">
        <v>364.1716</v>
      </c>
      <c r="E607" s="10" t="str">
        <f t="array" ref="E607">IFS(D607&lt;=$G$3,'calculated data '!$A$3,D607&lt;=$G$4,'calculated data '!$A$4,D607&lt;=$G$6,'calculated data '!$A$5,D607&gt;=$G$6,'calculated data '!$A$6)</f>
        <v>Low Demand Tier</v>
      </c>
      <c r="F607" s="10">
        <f t="shared" si="1"/>
        <v>-0.6535319433</v>
      </c>
    </row>
    <row r="608" ht="14.25" customHeight="1">
      <c r="A608" s="2" t="s">
        <v>73</v>
      </c>
      <c r="B608" s="2" t="s">
        <v>74</v>
      </c>
      <c r="C608" s="2">
        <v>2005.0</v>
      </c>
      <c r="D608" s="9">
        <v>365.94373</v>
      </c>
      <c r="E608" s="10" t="str">
        <f t="array" ref="E608">IFS(D608&lt;=$G$3,'calculated data '!$A$3,D608&lt;=$G$4,'calculated data '!$A$4,D608&lt;=$G$6,'calculated data '!$A$5,D608&gt;=$G$6,'calculated data '!$A$6)</f>
        <v>Low Demand Tier</v>
      </c>
      <c r="F608" s="10">
        <f t="shared" si="1"/>
        <v>-0.6534850355</v>
      </c>
    </row>
    <row r="609" ht="14.25" customHeight="1">
      <c r="A609" s="2" t="s">
        <v>67</v>
      </c>
      <c r="B609" s="2" t="s">
        <v>68</v>
      </c>
      <c r="C609" s="2">
        <v>2013.0</v>
      </c>
      <c r="D609" s="9">
        <v>366.9607</v>
      </c>
      <c r="E609" s="10" t="str">
        <f t="array" ref="E609">IFS(D609&lt;=$G$3,'calculated data '!$A$3,D609&lt;=$G$4,'calculated data '!$A$4,D609&lt;=$G$6,'calculated data '!$A$5,D609&gt;=$G$6,'calculated data '!$A$6)</f>
        <v>Low Demand Tier</v>
      </c>
      <c r="F609" s="10">
        <f t="shared" si="1"/>
        <v>-0.6534581166</v>
      </c>
    </row>
    <row r="610" ht="14.25" customHeight="1">
      <c r="A610" s="2" t="s">
        <v>91</v>
      </c>
      <c r="B610" s="2" t="s">
        <v>92</v>
      </c>
      <c r="C610" s="2">
        <v>1993.0</v>
      </c>
      <c r="D610" s="9">
        <v>367.30908</v>
      </c>
      <c r="E610" s="10" t="str">
        <f t="array" ref="E610">IFS(D610&lt;=$G$3,'calculated data '!$A$3,D610&lt;=$G$4,'calculated data '!$A$4,D610&lt;=$G$6,'calculated data '!$A$5,D610&gt;=$G$6,'calculated data '!$A$6)</f>
        <v>Low Demand Tier</v>
      </c>
      <c r="F610" s="10">
        <f t="shared" si="1"/>
        <v>-0.653448895</v>
      </c>
    </row>
    <row r="611" ht="14.25" customHeight="1">
      <c r="A611" s="2" t="s">
        <v>93</v>
      </c>
      <c r="B611" s="2" t="s">
        <v>94</v>
      </c>
      <c r="C611" s="2">
        <v>1999.0</v>
      </c>
      <c r="D611" s="9">
        <v>367.44513</v>
      </c>
      <c r="E611" s="10" t="str">
        <f t="array" ref="E611">IFS(D611&lt;=$G$3,'calculated data '!$A$3,D611&lt;=$G$4,'calculated data '!$A$4,D611&lt;=$G$6,'calculated data '!$A$5,D611&gt;=$G$6,'calculated data '!$A$6)</f>
        <v>Low Demand Tier</v>
      </c>
      <c r="F611" s="10">
        <f t="shared" si="1"/>
        <v>-0.6534452938</v>
      </c>
    </row>
    <row r="612" ht="14.25" customHeight="1">
      <c r="A612" s="2" t="s">
        <v>91</v>
      </c>
      <c r="B612" s="2" t="s">
        <v>92</v>
      </c>
      <c r="C612" s="2">
        <v>2005.0</v>
      </c>
      <c r="D612" s="9">
        <v>367.8602</v>
      </c>
      <c r="E612" s="10" t="str">
        <f t="array" ref="E612">IFS(D612&lt;=$G$3,'calculated data '!$A$3,D612&lt;=$G$4,'calculated data '!$A$4,D612&lt;=$G$6,'calculated data '!$A$5,D612&gt;=$G$6,'calculated data '!$A$6)</f>
        <v>Low Demand Tier</v>
      </c>
      <c r="F612" s="10">
        <f t="shared" si="1"/>
        <v>-0.653434307</v>
      </c>
    </row>
    <row r="613" ht="14.25" customHeight="1">
      <c r="A613" s="2" t="s">
        <v>101</v>
      </c>
      <c r="B613" s="2" t="s">
        <v>102</v>
      </c>
      <c r="C613" s="2">
        <v>1993.0</v>
      </c>
      <c r="D613" s="9">
        <v>367.91443</v>
      </c>
      <c r="E613" s="10" t="str">
        <f t="array" ref="E613">IFS(D613&lt;=$G$3,'calculated data '!$A$3,D613&lt;=$G$4,'calculated data '!$A$4,D613&lt;=$G$6,'calculated data '!$A$5,D613&gt;=$G$6,'calculated data '!$A$6)</f>
        <v>Low Demand Tier</v>
      </c>
      <c r="F613" s="10">
        <f t="shared" si="1"/>
        <v>-0.6534328716</v>
      </c>
    </row>
    <row r="614" ht="14.25" customHeight="1">
      <c r="A614" s="2" t="s">
        <v>69</v>
      </c>
      <c r="B614" s="2" t="s">
        <v>70</v>
      </c>
      <c r="C614" s="2">
        <v>1998.0</v>
      </c>
      <c r="D614" s="9">
        <v>367.95215</v>
      </c>
      <c r="E614" s="10" t="str">
        <f t="array" ref="E614">IFS(D614&lt;=$G$3,'calculated data '!$A$3,D614&lt;=$G$4,'calculated data '!$A$4,D614&lt;=$G$6,'calculated data '!$A$5,D614&gt;=$G$6,'calculated data '!$A$6)</f>
        <v>Low Demand Tier</v>
      </c>
      <c r="F614" s="10">
        <f t="shared" si="1"/>
        <v>-0.6534318731</v>
      </c>
    </row>
    <row r="615" ht="14.25" customHeight="1">
      <c r="A615" s="2" t="s">
        <v>103</v>
      </c>
      <c r="B615" s="2" t="s">
        <v>104</v>
      </c>
      <c r="C615" s="2">
        <v>1995.0</v>
      </c>
      <c r="D615" s="9">
        <v>368.18167</v>
      </c>
      <c r="E615" s="10" t="str">
        <f t="array" ref="E615">IFS(D615&lt;=$G$3,'calculated data '!$A$3,D615&lt;=$G$4,'calculated data '!$A$4,D615&lt;=$G$6,'calculated data '!$A$5,D615&gt;=$G$6,'calculated data '!$A$6)</f>
        <v>Low Demand Tier</v>
      </c>
      <c r="F615" s="10">
        <f t="shared" si="1"/>
        <v>-0.6534257978</v>
      </c>
    </row>
    <row r="616" ht="14.25" customHeight="1">
      <c r="A616" s="2" t="s">
        <v>101</v>
      </c>
      <c r="B616" s="2" t="s">
        <v>102</v>
      </c>
      <c r="C616" s="2">
        <v>1989.0</v>
      </c>
      <c r="D616" s="9">
        <v>368.3424</v>
      </c>
      <c r="E616" s="10" t="str">
        <f t="array" ref="E616">IFS(D616&lt;=$G$3,'calculated data '!$A$3,D616&lt;=$G$4,'calculated data '!$A$4,D616&lt;=$G$6,'calculated data '!$A$5,D616&gt;=$G$6,'calculated data '!$A$6)</f>
        <v>Low Demand Tier</v>
      </c>
      <c r="F616" s="10">
        <f t="shared" si="1"/>
        <v>-0.6534215433</v>
      </c>
    </row>
    <row r="617" ht="14.25" customHeight="1">
      <c r="A617" s="2" t="s">
        <v>83</v>
      </c>
      <c r="B617" s="2" t="s">
        <v>84</v>
      </c>
      <c r="C617" s="2">
        <v>1995.0</v>
      </c>
      <c r="D617" s="9">
        <v>368.38705</v>
      </c>
      <c r="E617" s="10" t="str">
        <f t="array" ref="E617">IFS(D617&lt;=$G$3,'calculated data '!$A$3,D617&lt;=$G$4,'calculated data '!$A$4,D617&lt;=$G$6,'calculated data '!$A$5,D617&gt;=$G$6,'calculated data '!$A$6)</f>
        <v>Low Demand Tier</v>
      </c>
      <c r="F617" s="10">
        <f t="shared" si="1"/>
        <v>-0.6534203614</v>
      </c>
    </row>
    <row r="618" ht="14.25" customHeight="1">
      <c r="A618" s="2" t="s">
        <v>91</v>
      </c>
      <c r="B618" s="2" t="s">
        <v>92</v>
      </c>
      <c r="C618" s="2">
        <v>2018.0</v>
      </c>
      <c r="D618" s="9">
        <v>368.75854</v>
      </c>
      <c r="E618" s="10" t="str">
        <f t="array" ref="E618">IFS(D618&lt;=$G$3,'calculated data '!$A$3,D618&lt;=$G$4,'calculated data '!$A$4,D618&lt;=$G$6,'calculated data '!$A$5,D618&gt;=$G$6,'calculated data '!$A$6)</f>
        <v>Low Demand Tier</v>
      </c>
      <c r="F618" s="10">
        <f t="shared" si="1"/>
        <v>-0.6534105282</v>
      </c>
    </row>
    <row r="619" ht="14.25" customHeight="1">
      <c r="A619" s="2" t="s">
        <v>65</v>
      </c>
      <c r="B619" s="2" t="s">
        <v>66</v>
      </c>
      <c r="C619" s="2">
        <v>1996.0</v>
      </c>
      <c r="D619" s="9">
        <v>368.8991</v>
      </c>
      <c r="E619" s="10" t="str">
        <f t="array" ref="E619">IFS(D619&lt;=$G$3,'calculated data '!$A$3,D619&lt;=$G$4,'calculated data '!$A$4,D619&lt;=$G$6,'calculated data '!$A$5,D619&gt;=$G$6,'calculated data '!$A$6)</f>
        <v>Low Demand Tier</v>
      </c>
      <c r="F619" s="10">
        <f t="shared" si="1"/>
        <v>-0.6534068076</v>
      </c>
    </row>
    <row r="620" ht="14.25" customHeight="1">
      <c r="A620" s="2" t="s">
        <v>67</v>
      </c>
      <c r="B620" s="2" t="s">
        <v>68</v>
      </c>
      <c r="C620" s="2">
        <v>2014.0</v>
      </c>
      <c r="D620" s="9">
        <v>370.45035</v>
      </c>
      <c r="E620" s="10" t="str">
        <f t="array" ref="E620">IFS(D620&lt;=$G$3,'calculated data '!$A$3,D620&lt;=$G$4,'calculated data '!$A$4,D620&lt;=$G$6,'calculated data '!$A$5,D620&gt;=$G$6,'calculated data '!$A$6)</f>
        <v>Low Demand Tier</v>
      </c>
      <c r="F620" s="10">
        <f t="shared" si="1"/>
        <v>-0.6533657464</v>
      </c>
    </row>
    <row r="621" ht="14.25" customHeight="1">
      <c r="A621" s="2" t="s">
        <v>97</v>
      </c>
      <c r="B621" s="2" t="s">
        <v>98</v>
      </c>
      <c r="C621" s="2">
        <v>1991.0</v>
      </c>
      <c r="D621" s="9">
        <v>370.6299</v>
      </c>
      <c r="E621" s="10" t="str">
        <f t="array" ref="E621">IFS(D621&lt;=$G$3,'calculated data '!$A$3,D621&lt;=$G$4,'calculated data '!$A$4,D621&lt;=$G$6,'calculated data '!$A$5,D621&gt;=$G$6,'calculated data '!$A$6)</f>
        <v>Low Demand Tier</v>
      </c>
      <c r="F621" s="10">
        <f t="shared" si="1"/>
        <v>-0.6533609937</v>
      </c>
    </row>
    <row r="622" ht="14.25" customHeight="1">
      <c r="A622" s="2" t="s">
        <v>97</v>
      </c>
      <c r="B622" s="2" t="s">
        <v>98</v>
      </c>
      <c r="C622" s="2">
        <v>1998.0</v>
      </c>
      <c r="D622" s="9">
        <v>371.2756</v>
      </c>
      <c r="E622" s="10" t="str">
        <f t="array" ref="E622">IFS(D622&lt;=$G$3,'calculated data '!$A$3,D622&lt;=$G$4,'calculated data '!$A$4,D622&lt;=$G$6,'calculated data '!$A$5,D622&gt;=$G$6,'calculated data '!$A$6)</f>
        <v>Low Demand Tier</v>
      </c>
      <c r="F622" s="10">
        <f t="shared" si="1"/>
        <v>-0.6533439022</v>
      </c>
    </row>
    <row r="623" ht="14.25" customHeight="1">
      <c r="A623" s="2" t="s">
        <v>75</v>
      </c>
      <c r="B623" s="2" t="s">
        <v>76</v>
      </c>
      <c r="C623" s="2">
        <v>1997.0</v>
      </c>
      <c r="D623" s="9">
        <v>372.76688</v>
      </c>
      <c r="E623" s="10" t="str">
        <f t="array" ref="E623">IFS(D623&lt;=$G$3,'calculated data '!$A$3,D623&lt;=$G$4,'calculated data '!$A$4,D623&lt;=$G$6,'calculated data '!$A$5,D623&gt;=$G$6,'calculated data '!$A$6)</f>
        <v>Low Demand Tier</v>
      </c>
      <c r="F623" s="10">
        <f t="shared" si="1"/>
        <v>-0.6533044284</v>
      </c>
    </row>
    <row r="624" ht="14.25" customHeight="1">
      <c r="A624" s="2" t="s">
        <v>101</v>
      </c>
      <c r="B624" s="2" t="s">
        <v>102</v>
      </c>
      <c r="C624" s="2">
        <v>1998.0</v>
      </c>
      <c r="D624" s="9">
        <v>372.86465</v>
      </c>
      <c r="E624" s="10" t="str">
        <f t="array" ref="E624">IFS(D624&lt;=$G$3,'calculated data '!$A$3,D624&lt;=$G$4,'calculated data '!$A$4,D624&lt;=$G$6,'calculated data '!$A$5,D624&gt;=$G$6,'calculated data '!$A$6)</f>
        <v>Low Demand Tier</v>
      </c>
      <c r="F624" s="10">
        <f t="shared" si="1"/>
        <v>-0.6533018405</v>
      </c>
    </row>
    <row r="625" ht="14.25" customHeight="1">
      <c r="A625" s="2" t="s">
        <v>91</v>
      </c>
      <c r="B625" s="2" t="s">
        <v>92</v>
      </c>
      <c r="C625" s="2">
        <v>2006.0</v>
      </c>
      <c r="D625" s="9">
        <v>373.2348</v>
      </c>
      <c r="E625" s="10" t="str">
        <f t="array" ref="E625">IFS(D625&lt;=$G$3,'calculated data '!$A$3,D625&lt;=$G$4,'calculated data '!$A$4,D625&lt;=$G$6,'calculated data '!$A$5,D625&gt;=$G$6,'calculated data '!$A$6)</f>
        <v>Low Demand Tier</v>
      </c>
      <c r="F625" s="10">
        <f t="shared" si="1"/>
        <v>-0.6532920427</v>
      </c>
    </row>
    <row r="626" ht="14.25" customHeight="1">
      <c r="A626" s="2" t="s">
        <v>97</v>
      </c>
      <c r="B626" s="2" t="s">
        <v>98</v>
      </c>
      <c r="C626" s="2">
        <v>1990.0</v>
      </c>
      <c r="D626" s="9">
        <v>373.3362</v>
      </c>
      <c r="E626" s="10" t="str">
        <f t="array" ref="E626">IFS(D626&lt;=$G$3,'calculated data '!$A$3,D626&lt;=$G$4,'calculated data '!$A$4,D626&lt;=$G$6,'calculated data '!$A$5,D626&gt;=$G$6,'calculated data '!$A$6)</f>
        <v>Low Demand Tier</v>
      </c>
      <c r="F626" s="10">
        <f t="shared" si="1"/>
        <v>-0.6532893587</v>
      </c>
    </row>
    <row r="627" ht="14.25" customHeight="1">
      <c r="A627" s="2" t="s">
        <v>67</v>
      </c>
      <c r="B627" s="2" t="s">
        <v>68</v>
      </c>
      <c r="C627" s="2">
        <v>1993.0</v>
      </c>
      <c r="D627" s="9">
        <v>374.48047</v>
      </c>
      <c r="E627" s="10" t="str">
        <f t="array" ref="E627">IFS(D627&lt;=$G$3,'calculated data '!$A$3,D627&lt;=$G$4,'calculated data '!$A$4,D627&lt;=$G$6,'calculated data '!$A$5,D627&gt;=$G$6,'calculated data '!$A$6)</f>
        <v>Low Demand Tier</v>
      </c>
      <c r="F627" s="10">
        <f t="shared" si="1"/>
        <v>-0.6532590701</v>
      </c>
    </row>
    <row r="628" ht="14.25" customHeight="1">
      <c r="A628" s="2" t="s">
        <v>69</v>
      </c>
      <c r="B628" s="2" t="s">
        <v>70</v>
      </c>
      <c r="C628" s="2">
        <v>1988.0</v>
      </c>
      <c r="D628" s="9">
        <v>374.4821</v>
      </c>
      <c r="E628" s="10" t="str">
        <f t="array" ref="E628">IFS(D628&lt;=$G$3,'calculated data '!$A$3,D628&lt;=$G$4,'calculated data '!$A$4,D628&lt;=$G$6,'calculated data '!$A$5,D628&gt;=$G$6,'calculated data '!$A$6)</f>
        <v>Low Demand Tier</v>
      </c>
      <c r="F628" s="10">
        <f t="shared" si="1"/>
        <v>-0.653259027</v>
      </c>
    </row>
    <row r="629" ht="14.25" customHeight="1">
      <c r="A629" s="2" t="s">
        <v>103</v>
      </c>
      <c r="B629" s="2" t="s">
        <v>104</v>
      </c>
      <c r="C629" s="2">
        <v>1996.0</v>
      </c>
      <c r="D629" s="9">
        <v>374.62222</v>
      </c>
      <c r="E629" s="10" t="str">
        <f t="array" ref="E629">IFS(D629&lt;=$G$3,'calculated data '!$A$3,D629&lt;=$G$4,'calculated data '!$A$4,D629&lt;=$G$6,'calculated data '!$A$5,D629&gt;=$G$6,'calculated data '!$A$6)</f>
        <v>Low Demand Tier</v>
      </c>
      <c r="F629" s="10">
        <f t="shared" si="1"/>
        <v>-0.653255318</v>
      </c>
    </row>
    <row r="630" ht="14.25" customHeight="1">
      <c r="A630" s="2" t="s">
        <v>101</v>
      </c>
      <c r="B630" s="2" t="s">
        <v>102</v>
      </c>
      <c r="C630" s="2">
        <v>1992.0</v>
      </c>
      <c r="D630" s="9">
        <v>374.6957</v>
      </c>
      <c r="E630" s="10" t="str">
        <f t="array" ref="E630">IFS(D630&lt;=$G$3,'calculated data '!$A$3,D630&lt;=$G$4,'calculated data '!$A$4,D630&lt;=$G$6,'calculated data '!$A$5,D630&gt;=$G$6,'calculated data '!$A$6)</f>
        <v>Low Demand Tier</v>
      </c>
      <c r="F630" s="10">
        <f t="shared" si="1"/>
        <v>-0.653253373</v>
      </c>
    </row>
    <row r="631" ht="14.25" customHeight="1">
      <c r="A631" s="2" t="s">
        <v>103</v>
      </c>
      <c r="B631" s="2" t="s">
        <v>104</v>
      </c>
      <c r="C631" s="2">
        <v>1998.0</v>
      </c>
      <c r="D631" s="9">
        <v>374.82986</v>
      </c>
      <c r="E631" s="10" t="str">
        <f t="array" ref="E631">IFS(D631&lt;=$G$3,'calculated data '!$A$3,D631&lt;=$G$4,'calculated data '!$A$4,D631&lt;=$G$6,'calculated data '!$A$5,D631&gt;=$G$6,'calculated data '!$A$6)</f>
        <v>Low Demand Tier</v>
      </c>
      <c r="F631" s="10">
        <f t="shared" si="1"/>
        <v>-0.6532498219</v>
      </c>
    </row>
    <row r="632" ht="14.25" customHeight="1">
      <c r="A632" s="2" t="s">
        <v>99</v>
      </c>
      <c r="B632" s="2" t="s">
        <v>100</v>
      </c>
      <c r="C632" s="2">
        <v>1980.0</v>
      </c>
      <c r="D632" s="9">
        <v>375.47458</v>
      </c>
      <c r="E632" s="10" t="str">
        <f t="array" ref="E632">IFS(D632&lt;=$G$3,'calculated data '!$A$3,D632&lt;=$G$4,'calculated data '!$A$4,D632&lt;=$G$6,'calculated data '!$A$5,D632&gt;=$G$6,'calculated data '!$A$6)</f>
        <v>Low Demand Tier</v>
      </c>
      <c r="F632" s="10">
        <f t="shared" si="1"/>
        <v>-0.6532327563</v>
      </c>
    </row>
    <row r="633" ht="14.25" customHeight="1">
      <c r="A633" s="2" t="s">
        <v>97</v>
      </c>
      <c r="B633" s="2" t="s">
        <v>98</v>
      </c>
      <c r="C633" s="2">
        <v>1993.0</v>
      </c>
      <c r="D633" s="9">
        <v>375.80118</v>
      </c>
      <c r="E633" s="10" t="str">
        <f t="array" ref="E633">IFS(D633&lt;=$G$3,'calculated data '!$A$3,D633&lt;=$G$4,'calculated data '!$A$4,D633&lt;=$G$6,'calculated data '!$A$5,D633&gt;=$G$6,'calculated data '!$A$6)</f>
        <v>Low Demand Tier</v>
      </c>
      <c r="F633" s="10">
        <f t="shared" si="1"/>
        <v>-0.6532241113</v>
      </c>
    </row>
    <row r="634" ht="14.25" customHeight="1">
      <c r="A634" s="2" t="s">
        <v>77</v>
      </c>
      <c r="B634" s="2" t="s">
        <v>78</v>
      </c>
      <c r="C634" s="2">
        <v>2001.0</v>
      </c>
      <c r="D634" s="9">
        <v>376.25003</v>
      </c>
      <c r="E634" s="10" t="str">
        <f t="array" ref="E634">IFS(D634&lt;=$G$3,'calculated data '!$A$3,D634&lt;=$G$4,'calculated data '!$A$4,D634&lt;=$G$6,'calculated data '!$A$5,D634&gt;=$G$6,'calculated data '!$A$6)</f>
        <v>Low Demand Tier</v>
      </c>
      <c r="F634" s="10">
        <f t="shared" si="1"/>
        <v>-0.6532122303</v>
      </c>
    </row>
    <row r="635" ht="14.25" customHeight="1">
      <c r="A635" s="2" t="s">
        <v>69</v>
      </c>
      <c r="B635" s="2" t="s">
        <v>70</v>
      </c>
      <c r="C635" s="2">
        <v>1990.0</v>
      </c>
      <c r="D635" s="9">
        <v>377.5567</v>
      </c>
      <c r="E635" s="10" t="str">
        <f t="array" ref="E635">IFS(D635&lt;=$G$3,'calculated data '!$A$3,D635&lt;=$G$4,'calculated data '!$A$4,D635&lt;=$G$6,'calculated data '!$A$5,D635&gt;=$G$6,'calculated data '!$A$6)</f>
        <v>Low Demand Tier</v>
      </c>
      <c r="F635" s="10">
        <f t="shared" si="1"/>
        <v>-0.6531776431</v>
      </c>
    </row>
    <row r="636" ht="14.25" customHeight="1">
      <c r="A636" s="2" t="s">
        <v>69</v>
      </c>
      <c r="B636" s="2" t="s">
        <v>70</v>
      </c>
      <c r="C636" s="2">
        <v>1997.0</v>
      </c>
      <c r="D636" s="9">
        <v>378.63834</v>
      </c>
      <c r="E636" s="10" t="str">
        <f t="array" ref="E636">IFS(D636&lt;=$G$3,'calculated data '!$A$3,D636&lt;=$G$4,'calculated data '!$A$4,D636&lt;=$G$6,'calculated data '!$A$5,D636&gt;=$G$6,'calculated data '!$A$6)</f>
        <v>Low Demand Tier</v>
      </c>
      <c r="F636" s="10">
        <f t="shared" si="1"/>
        <v>-0.6531490123</v>
      </c>
    </row>
    <row r="637" ht="14.25" customHeight="1">
      <c r="A637" s="2" t="s">
        <v>87</v>
      </c>
      <c r="B637" s="2" t="s">
        <v>88</v>
      </c>
      <c r="C637" s="2">
        <v>1984.0</v>
      </c>
      <c r="D637" s="9">
        <v>378.67023</v>
      </c>
      <c r="E637" s="10" t="str">
        <f t="array" ref="E637">IFS(D637&lt;=$G$3,'calculated data '!$A$3,D637&lt;=$G$4,'calculated data '!$A$4,D637&lt;=$G$6,'calculated data '!$A$5,D637&gt;=$G$6,'calculated data '!$A$6)</f>
        <v>Low Demand Tier</v>
      </c>
      <c r="F637" s="10">
        <f t="shared" si="1"/>
        <v>-0.6531481682</v>
      </c>
    </row>
    <row r="638" ht="14.25" customHeight="1">
      <c r="A638" s="2" t="s">
        <v>91</v>
      </c>
      <c r="B638" s="2" t="s">
        <v>92</v>
      </c>
      <c r="C638" s="2">
        <v>2002.0</v>
      </c>
      <c r="D638" s="9">
        <v>379.28214</v>
      </c>
      <c r="E638" s="10" t="str">
        <f t="array" ref="E638">IFS(D638&lt;=$G$3,'calculated data '!$A$3,D638&lt;=$G$4,'calculated data '!$A$4,D638&lt;=$G$6,'calculated data '!$A$5,D638&gt;=$G$6,'calculated data '!$A$6)</f>
        <v>Low Demand Tier</v>
      </c>
      <c r="F638" s="10">
        <f t="shared" si="1"/>
        <v>-0.6531319711</v>
      </c>
    </row>
    <row r="639" ht="14.25" customHeight="1">
      <c r="A639" s="2" t="s">
        <v>69</v>
      </c>
      <c r="B639" s="2" t="s">
        <v>70</v>
      </c>
      <c r="C639" s="2">
        <v>1987.0</v>
      </c>
      <c r="D639" s="9">
        <v>379.46304</v>
      </c>
      <c r="E639" s="10" t="str">
        <f t="array" ref="E639">IFS(D639&lt;=$G$3,'calculated data '!$A$3,D639&lt;=$G$4,'calculated data '!$A$4,D639&lt;=$G$6,'calculated data '!$A$5,D639&gt;=$G$6,'calculated data '!$A$6)</f>
        <v>Low Demand Tier</v>
      </c>
      <c r="F639" s="10">
        <f t="shared" si="1"/>
        <v>-0.6531271827</v>
      </c>
    </row>
    <row r="640" ht="14.25" customHeight="1">
      <c r="A640" s="2" t="s">
        <v>69</v>
      </c>
      <c r="B640" s="2" t="s">
        <v>70</v>
      </c>
      <c r="C640" s="2">
        <v>1995.0</v>
      </c>
      <c r="D640" s="9">
        <v>379.8591</v>
      </c>
      <c r="E640" s="10" t="str">
        <f t="array" ref="E640">IFS(D640&lt;=$G$3,'calculated data '!$A$3,D640&lt;=$G$4,'calculated data '!$A$4,D640&lt;=$G$6,'calculated data '!$A$5,D640&gt;=$G$6,'calculated data '!$A$6)</f>
        <v>Low Demand Tier</v>
      </c>
      <c r="F640" s="10">
        <f t="shared" si="1"/>
        <v>-0.6531166991</v>
      </c>
    </row>
    <row r="641" ht="14.25" customHeight="1">
      <c r="A641" s="2" t="s">
        <v>69</v>
      </c>
      <c r="B641" s="2" t="s">
        <v>70</v>
      </c>
      <c r="C641" s="2">
        <v>1983.0</v>
      </c>
      <c r="D641" s="9">
        <v>380.95322</v>
      </c>
      <c r="E641" s="10" t="str">
        <f t="array" ref="E641">IFS(D641&lt;=$G$3,'calculated data '!$A$3,D641&lt;=$G$4,'calculated data '!$A$4,D641&lt;=$G$6,'calculated data '!$A$5,D641&gt;=$G$6,'calculated data '!$A$6)</f>
        <v>Low Demand Tier</v>
      </c>
      <c r="F641" s="10">
        <f t="shared" si="1"/>
        <v>-0.653087738</v>
      </c>
    </row>
    <row r="642" ht="14.25" customHeight="1">
      <c r="A642" s="2" t="s">
        <v>77</v>
      </c>
      <c r="B642" s="2" t="s">
        <v>78</v>
      </c>
      <c r="C642" s="2">
        <v>2002.0</v>
      </c>
      <c r="D642" s="9">
        <v>381.05847</v>
      </c>
      <c r="E642" s="10" t="str">
        <f t="array" ref="E642">IFS(D642&lt;=$G$3,'calculated data '!$A$3,D642&lt;=$G$4,'calculated data '!$A$4,D642&lt;=$G$6,'calculated data '!$A$5,D642&gt;=$G$6,'calculated data '!$A$6)</f>
        <v>Low Demand Tier</v>
      </c>
      <c r="F642" s="10">
        <f t="shared" si="1"/>
        <v>-0.6530849521</v>
      </c>
    </row>
    <row r="643" ht="14.25" customHeight="1">
      <c r="A643" s="2" t="s">
        <v>89</v>
      </c>
      <c r="B643" s="2" t="s">
        <v>90</v>
      </c>
      <c r="C643" s="2">
        <v>2018.0</v>
      </c>
      <c r="D643" s="9">
        <v>381.82718</v>
      </c>
      <c r="E643" s="10" t="str">
        <f t="array" ref="E643">IFS(D643&lt;=$G$3,'calculated data '!$A$3,D643&lt;=$G$4,'calculated data '!$A$4,D643&lt;=$G$6,'calculated data '!$A$5,D643&gt;=$G$6,'calculated data '!$A$6)</f>
        <v>Low Demand Tier</v>
      </c>
      <c r="F643" s="10">
        <f t="shared" si="1"/>
        <v>-0.6530646045</v>
      </c>
    </row>
    <row r="644" ht="14.25" customHeight="1">
      <c r="A644" s="2" t="s">
        <v>21</v>
      </c>
      <c r="B644" s="2" t="s">
        <v>22</v>
      </c>
      <c r="C644" s="2">
        <v>1980.0</v>
      </c>
      <c r="D644" s="9">
        <v>381.85434</v>
      </c>
      <c r="E644" s="10" t="str">
        <f t="array" ref="E644">IFS(D644&lt;=$G$3,'calculated data '!$A$3,D644&lt;=$G$4,'calculated data '!$A$4,D644&lt;=$G$6,'calculated data '!$A$5,D644&gt;=$G$6,'calculated data '!$A$6)</f>
        <v>Low Demand Tier</v>
      </c>
      <c r="F644" s="10">
        <f t="shared" si="1"/>
        <v>-0.6530638856</v>
      </c>
    </row>
    <row r="645" ht="14.25" customHeight="1">
      <c r="A645" s="2" t="s">
        <v>75</v>
      </c>
      <c r="B645" s="2" t="s">
        <v>76</v>
      </c>
      <c r="C645" s="2">
        <v>1994.0</v>
      </c>
      <c r="D645" s="9">
        <v>381.95898</v>
      </c>
      <c r="E645" s="10" t="str">
        <f t="array" ref="E645">IFS(D645&lt;=$G$3,'calculated data '!$A$3,D645&lt;=$G$4,'calculated data '!$A$4,D645&lt;=$G$6,'calculated data '!$A$5,D645&gt;=$G$6,'calculated data '!$A$6)</f>
        <v>Low Demand Tier</v>
      </c>
      <c r="F645" s="10">
        <f t="shared" si="1"/>
        <v>-0.6530611158</v>
      </c>
    </row>
    <row r="646" ht="14.25" customHeight="1">
      <c r="A646" s="2" t="s">
        <v>91</v>
      </c>
      <c r="B646" s="2" t="s">
        <v>92</v>
      </c>
      <c r="C646" s="2">
        <v>2023.0</v>
      </c>
      <c r="D646" s="9">
        <v>382.16806</v>
      </c>
      <c r="E646" s="10" t="str">
        <f t="array" ref="E646">IFS(D646&lt;=$G$3,'calculated data '!$A$3,D646&lt;=$G$4,'calculated data '!$A$4,D646&lt;=$G$6,'calculated data '!$A$5,D646&gt;=$G$6,'calculated data '!$A$6)</f>
        <v>Low Demand Tier</v>
      </c>
      <c r="F646" s="10">
        <f t="shared" si="1"/>
        <v>-0.6530555815</v>
      </c>
    </row>
    <row r="647" ht="14.25" customHeight="1">
      <c r="A647" s="2" t="s">
        <v>53</v>
      </c>
      <c r="B647" s="2" t="s">
        <v>54</v>
      </c>
      <c r="C647" s="2">
        <v>2024.0</v>
      </c>
      <c r="D647" s="9">
        <v>382.54034</v>
      </c>
      <c r="E647" s="10" t="str">
        <f t="array" ref="E647">IFS(D647&lt;=$G$3,'calculated data '!$A$3,D647&lt;=$G$4,'calculated data '!$A$4,D647&lt;=$G$6,'calculated data '!$A$5,D647&gt;=$G$6,'calculated data '!$A$6)</f>
        <v>Low Demand Tier</v>
      </c>
      <c r="F647" s="10">
        <f t="shared" si="1"/>
        <v>-0.6530457274</v>
      </c>
    </row>
    <row r="648" ht="14.25" customHeight="1">
      <c r="A648" s="2" t="s">
        <v>69</v>
      </c>
      <c r="B648" s="2" t="s">
        <v>70</v>
      </c>
      <c r="C648" s="2">
        <v>1993.0</v>
      </c>
      <c r="D648" s="9">
        <v>382.62646</v>
      </c>
      <c r="E648" s="10" t="str">
        <f t="array" ref="E648">IFS(D648&lt;=$G$3,'calculated data '!$A$3,D648&lt;=$G$4,'calculated data '!$A$4,D648&lt;=$G$6,'calculated data '!$A$5,D648&gt;=$G$6,'calculated data '!$A$6)</f>
        <v>Low Demand Tier</v>
      </c>
      <c r="F648" s="10">
        <f t="shared" si="1"/>
        <v>-0.6530434478</v>
      </c>
    </row>
    <row r="649" ht="14.25" customHeight="1">
      <c r="A649" s="2" t="s">
        <v>63</v>
      </c>
      <c r="B649" s="2" t="s">
        <v>64</v>
      </c>
      <c r="C649" s="2">
        <v>2011.0</v>
      </c>
      <c r="D649" s="9">
        <v>383.1946</v>
      </c>
      <c r="E649" s="10" t="str">
        <f t="array" ref="E649">IFS(D649&lt;=$G$3,'calculated data '!$A$3,D649&lt;=$G$4,'calculated data '!$A$4,D649&lt;=$G$6,'calculated data '!$A$5,D649&gt;=$G$6,'calculated data '!$A$6)</f>
        <v>Low Demand Tier</v>
      </c>
      <c r="F649" s="10">
        <f t="shared" si="1"/>
        <v>-0.6530284093</v>
      </c>
    </row>
    <row r="650" ht="14.25" customHeight="1">
      <c r="A650" s="2" t="s">
        <v>77</v>
      </c>
      <c r="B650" s="2" t="s">
        <v>78</v>
      </c>
      <c r="C650" s="2">
        <v>1999.0</v>
      </c>
      <c r="D650" s="9">
        <v>383.80945</v>
      </c>
      <c r="E650" s="10" t="str">
        <f t="array" ref="E650">IFS(D650&lt;=$G$3,'calculated data '!$A$3,D650&lt;=$G$4,'calculated data '!$A$4,D650&lt;=$G$6,'calculated data '!$A$5,D650&gt;=$G$6,'calculated data '!$A$6)</f>
        <v>Low Demand Tier</v>
      </c>
      <c r="F650" s="10">
        <f t="shared" si="1"/>
        <v>-0.6530121343</v>
      </c>
    </row>
    <row r="651" ht="14.25" customHeight="1">
      <c r="A651" s="2" t="s">
        <v>103</v>
      </c>
      <c r="B651" s="2" t="s">
        <v>104</v>
      </c>
      <c r="C651" s="2">
        <v>1999.0</v>
      </c>
      <c r="D651" s="9">
        <v>384.20483</v>
      </c>
      <c r="E651" s="10" t="str">
        <f t="array" ref="E651">IFS(D651&lt;=$G$3,'calculated data '!$A$3,D651&lt;=$G$4,'calculated data '!$A$4,D651&lt;=$G$6,'calculated data '!$A$5,D651&gt;=$G$6,'calculated data '!$A$6)</f>
        <v>Low Demand Tier</v>
      </c>
      <c r="F651" s="10">
        <f t="shared" si="1"/>
        <v>-0.6530016687</v>
      </c>
    </row>
    <row r="652" ht="14.25" customHeight="1">
      <c r="A652" s="2" t="s">
        <v>67</v>
      </c>
      <c r="B652" s="2" t="s">
        <v>68</v>
      </c>
      <c r="C652" s="2">
        <v>1999.0</v>
      </c>
      <c r="D652" s="9">
        <v>384.2718</v>
      </c>
      <c r="E652" s="10" t="str">
        <f t="array" ref="E652">IFS(D652&lt;=$G$3,'calculated data '!$A$3,D652&lt;=$G$4,'calculated data '!$A$4,D652&lt;=$G$6,'calculated data '!$A$5,D652&gt;=$G$6,'calculated data '!$A$6)</f>
        <v>Low Demand Tier</v>
      </c>
      <c r="F652" s="10">
        <f t="shared" si="1"/>
        <v>-0.6529998961</v>
      </c>
    </row>
    <row r="653" ht="14.25" customHeight="1">
      <c r="A653" s="2" t="s">
        <v>75</v>
      </c>
      <c r="B653" s="2" t="s">
        <v>76</v>
      </c>
      <c r="C653" s="2">
        <v>1995.0</v>
      </c>
      <c r="D653" s="9">
        <v>384.42993</v>
      </c>
      <c r="E653" s="10" t="str">
        <f t="array" ref="E653">IFS(D653&lt;=$G$3,'calculated data '!$A$3,D653&lt;=$G$4,'calculated data '!$A$4,D653&lt;=$G$6,'calculated data '!$A$5,D653&gt;=$G$6,'calculated data '!$A$6)</f>
        <v>Low Demand Tier</v>
      </c>
      <c r="F653" s="10">
        <f t="shared" si="1"/>
        <v>-0.6529957104</v>
      </c>
    </row>
    <row r="654" ht="14.25" customHeight="1">
      <c r="A654" s="2" t="s">
        <v>91</v>
      </c>
      <c r="B654" s="2" t="s">
        <v>92</v>
      </c>
      <c r="C654" s="2">
        <v>1992.0</v>
      </c>
      <c r="D654" s="9">
        <v>384.537</v>
      </c>
      <c r="E654" s="10" t="str">
        <f t="array" ref="E654">IFS(D654&lt;=$G$3,'calculated data '!$A$3,D654&lt;=$G$4,'calculated data '!$A$4,D654&lt;=$G$6,'calculated data '!$A$5,D654&gt;=$G$6,'calculated data '!$A$6)</f>
        <v>Low Demand Tier</v>
      </c>
      <c r="F654" s="10">
        <f t="shared" si="1"/>
        <v>-0.6529928763</v>
      </c>
    </row>
    <row r="655" ht="14.25" customHeight="1">
      <c r="A655" s="2" t="s">
        <v>101</v>
      </c>
      <c r="B655" s="2" t="s">
        <v>102</v>
      </c>
      <c r="C655" s="2">
        <v>2009.0</v>
      </c>
      <c r="D655" s="9">
        <v>384.63342</v>
      </c>
      <c r="E655" s="10" t="str">
        <f t="array" ref="E655">IFS(D655&lt;=$G$3,'calculated data '!$A$3,D655&lt;=$G$4,'calculated data '!$A$4,D655&lt;=$G$6,'calculated data '!$A$5,D655&gt;=$G$6,'calculated data '!$A$6)</f>
        <v>Low Demand Tier</v>
      </c>
      <c r="F655" s="10">
        <f t="shared" si="1"/>
        <v>-0.6529903241</v>
      </c>
    </row>
    <row r="656" ht="14.25" customHeight="1">
      <c r="A656" s="2" t="s">
        <v>101</v>
      </c>
      <c r="B656" s="2" t="s">
        <v>102</v>
      </c>
      <c r="C656" s="2">
        <v>1997.0</v>
      </c>
      <c r="D656" s="9">
        <v>384.6927</v>
      </c>
      <c r="E656" s="10" t="str">
        <f t="array" ref="E656">IFS(D656&lt;=$G$3,'calculated data '!$A$3,D656&lt;=$G$4,'calculated data '!$A$4,D656&lt;=$G$6,'calculated data '!$A$5,D656&gt;=$G$6,'calculated data '!$A$6)</f>
        <v>Low Demand Tier</v>
      </c>
      <c r="F656" s="10">
        <f t="shared" si="1"/>
        <v>-0.6529887549</v>
      </c>
    </row>
    <row r="657" ht="14.25" customHeight="1">
      <c r="A657" s="2" t="s">
        <v>91</v>
      </c>
      <c r="B657" s="2" t="s">
        <v>92</v>
      </c>
      <c r="C657" s="2">
        <v>2016.0</v>
      </c>
      <c r="D657" s="9">
        <v>385.01498</v>
      </c>
      <c r="E657" s="10" t="str">
        <f t="array" ref="E657">IFS(D657&lt;=$G$3,'calculated data '!$A$3,D657&lt;=$G$4,'calculated data '!$A$4,D657&lt;=$G$6,'calculated data '!$A$5,D657&gt;=$G$6,'calculated data '!$A$6)</f>
        <v>Low Demand Tier</v>
      </c>
      <c r="F657" s="10">
        <f t="shared" si="1"/>
        <v>-0.6529802243</v>
      </c>
    </row>
    <row r="658" ht="14.25" customHeight="1">
      <c r="A658" s="2" t="s">
        <v>65</v>
      </c>
      <c r="B658" s="2" t="s">
        <v>66</v>
      </c>
      <c r="C658" s="2">
        <v>1995.0</v>
      </c>
      <c r="D658" s="9">
        <v>386.4902</v>
      </c>
      <c r="E658" s="10" t="str">
        <f t="array" ref="E658">IFS(D658&lt;=$G$3,'calculated data '!$A$3,D658&lt;=$G$4,'calculated data '!$A$4,D658&lt;=$G$6,'calculated data '!$A$5,D658&gt;=$G$6,'calculated data '!$A$6)</f>
        <v>Low Demand Tier</v>
      </c>
      <c r="F658" s="10">
        <f t="shared" si="1"/>
        <v>-0.6529411756</v>
      </c>
    </row>
    <row r="659" ht="14.25" customHeight="1">
      <c r="A659" s="2" t="s">
        <v>69</v>
      </c>
      <c r="B659" s="2" t="s">
        <v>70</v>
      </c>
      <c r="C659" s="2">
        <v>1991.0</v>
      </c>
      <c r="D659" s="9">
        <v>386.6169</v>
      </c>
      <c r="E659" s="10" t="str">
        <f t="array" ref="E659">IFS(D659&lt;=$G$3,'calculated data '!$A$3,D659&lt;=$G$4,'calculated data '!$A$4,D659&lt;=$G$6,'calculated data '!$A$5,D659&gt;=$G$6,'calculated data '!$A$6)</f>
        <v>Low Demand Tier</v>
      </c>
      <c r="F659" s="10">
        <f t="shared" si="1"/>
        <v>-0.6529378218</v>
      </c>
    </row>
    <row r="660" ht="14.25" customHeight="1">
      <c r="A660" s="2" t="s">
        <v>103</v>
      </c>
      <c r="B660" s="2" t="s">
        <v>104</v>
      </c>
      <c r="C660" s="2">
        <v>1994.0</v>
      </c>
      <c r="D660" s="9">
        <v>387.21384</v>
      </c>
      <c r="E660" s="10" t="str">
        <f t="array" ref="E660">IFS(D660&lt;=$G$3,'calculated data '!$A$3,D660&lt;=$G$4,'calculated data '!$A$4,D660&lt;=$G$6,'calculated data '!$A$5,D660&gt;=$G$6,'calculated data '!$A$6)</f>
        <v>Low Demand Tier</v>
      </c>
      <c r="F660" s="10">
        <f t="shared" si="1"/>
        <v>-0.652922021</v>
      </c>
    </row>
    <row r="661" ht="14.25" customHeight="1">
      <c r="A661" s="2" t="s">
        <v>87</v>
      </c>
      <c r="B661" s="2" t="s">
        <v>88</v>
      </c>
      <c r="C661" s="2">
        <v>1989.0</v>
      </c>
      <c r="D661" s="9">
        <v>387.5024</v>
      </c>
      <c r="E661" s="10" t="str">
        <f t="array" ref="E661">IFS(D661&lt;=$G$3,'calculated data '!$A$3,D661&lt;=$G$4,'calculated data '!$A$4,D661&lt;=$G$6,'calculated data '!$A$5,D661&gt;=$G$6,'calculated data '!$A$6)</f>
        <v>Low Demand Tier</v>
      </c>
      <c r="F661" s="10">
        <f t="shared" si="1"/>
        <v>-0.6529143829</v>
      </c>
    </row>
    <row r="662" ht="14.25" customHeight="1">
      <c r="A662" s="2" t="s">
        <v>67</v>
      </c>
      <c r="B662" s="2" t="s">
        <v>68</v>
      </c>
      <c r="C662" s="2">
        <v>2016.0</v>
      </c>
      <c r="D662" s="9">
        <v>387.80502</v>
      </c>
      <c r="E662" s="10" t="str">
        <f t="array" ref="E662">IFS(D662&lt;=$G$3,'calculated data '!$A$3,D662&lt;=$G$4,'calculated data '!$A$4,D662&lt;=$G$6,'calculated data '!$A$5,D662&gt;=$G$6,'calculated data '!$A$6)</f>
        <v>Low Demand Tier</v>
      </c>
      <c r="F662" s="10">
        <f t="shared" si="1"/>
        <v>-0.6529063726</v>
      </c>
    </row>
    <row r="663" ht="14.25" customHeight="1">
      <c r="A663" s="2" t="s">
        <v>73</v>
      </c>
      <c r="B663" s="2" t="s">
        <v>74</v>
      </c>
      <c r="C663" s="2">
        <v>2006.0</v>
      </c>
      <c r="D663" s="9">
        <v>387.97705</v>
      </c>
      <c r="E663" s="10" t="str">
        <f t="array" ref="E663">IFS(D663&lt;=$G$3,'calculated data '!$A$3,D663&lt;=$G$4,'calculated data '!$A$4,D663&lt;=$G$6,'calculated data '!$A$5,D663&gt;=$G$6,'calculated data '!$A$6)</f>
        <v>Low Demand Tier</v>
      </c>
      <c r="F663" s="10">
        <f t="shared" si="1"/>
        <v>-0.652901819</v>
      </c>
    </row>
    <row r="664" ht="14.25" customHeight="1">
      <c r="A664" s="2" t="s">
        <v>87</v>
      </c>
      <c r="B664" s="2" t="s">
        <v>88</v>
      </c>
      <c r="C664" s="2">
        <v>1983.0</v>
      </c>
      <c r="D664" s="9">
        <v>388.60672</v>
      </c>
      <c r="E664" s="10" t="str">
        <f t="array" ref="E664">IFS(D664&lt;=$G$3,'calculated data '!$A$3,D664&lt;=$G$4,'calculated data '!$A$4,D664&lt;=$G$6,'calculated data '!$A$5,D664&gt;=$G$6,'calculated data '!$A$6)</f>
        <v>Low Demand Tier</v>
      </c>
      <c r="F664" s="10">
        <f t="shared" si="1"/>
        <v>-0.6528851518</v>
      </c>
    </row>
    <row r="665" ht="14.25" customHeight="1">
      <c r="A665" s="2" t="s">
        <v>91</v>
      </c>
      <c r="B665" s="2" t="s">
        <v>92</v>
      </c>
      <c r="C665" s="2">
        <v>2014.0</v>
      </c>
      <c r="D665" s="9">
        <v>388.7584</v>
      </c>
      <c r="E665" s="10" t="str">
        <f t="array" ref="E665">IFS(D665&lt;=$G$3,'calculated data '!$A$3,D665&lt;=$G$4,'calculated data '!$A$4,D665&lt;=$G$6,'calculated data '!$A$5,D665&gt;=$G$6,'calculated data '!$A$6)</f>
        <v>Low Demand Tier</v>
      </c>
      <c r="F665" s="10">
        <f t="shared" si="1"/>
        <v>-0.6528811369</v>
      </c>
    </row>
    <row r="666" ht="14.25" customHeight="1">
      <c r="A666" s="2" t="s">
        <v>69</v>
      </c>
      <c r="B666" s="2" t="s">
        <v>70</v>
      </c>
      <c r="C666" s="2">
        <v>1996.0</v>
      </c>
      <c r="D666" s="9">
        <v>389.56604</v>
      </c>
      <c r="E666" s="10" t="str">
        <f t="array" ref="E666">IFS(D666&lt;=$G$3,'calculated data '!$A$3,D666&lt;=$G$4,'calculated data '!$A$4,D666&lt;=$G$6,'calculated data '!$A$5,D666&gt;=$G$6,'calculated data '!$A$6)</f>
        <v>Low Demand Tier</v>
      </c>
      <c r="F666" s="10">
        <f t="shared" si="1"/>
        <v>-0.6528597588</v>
      </c>
    </row>
    <row r="667" ht="14.25" customHeight="1">
      <c r="A667" s="2" t="s">
        <v>101</v>
      </c>
      <c r="B667" s="2" t="s">
        <v>102</v>
      </c>
      <c r="C667" s="2">
        <v>1996.0</v>
      </c>
      <c r="D667" s="9">
        <v>389.9098</v>
      </c>
      <c r="E667" s="10" t="str">
        <f t="array" ref="E667">IFS(D667&lt;=$G$3,'calculated data '!$A$3,D667&lt;=$G$4,'calculated data '!$A$4,D667&lt;=$G$6,'calculated data '!$A$5,D667&gt;=$G$6,'calculated data '!$A$6)</f>
        <v>Low Demand Tier</v>
      </c>
      <c r="F667" s="10">
        <f t="shared" si="1"/>
        <v>-0.6528506596</v>
      </c>
    </row>
    <row r="668" ht="14.25" customHeight="1">
      <c r="A668" s="2" t="s">
        <v>69</v>
      </c>
      <c r="B668" s="2" t="s">
        <v>70</v>
      </c>
      <c r="C668" s="2">
        <v>1994.0</v>
      </c>
      <c r="D668" s="9">
        <v>390.0993</v>
      </c>
      <c r="E668" s="10" t="str">
        <f t="array" ref="E668">IFS(D668&lt;=$G$3,'calculated data '!$A$3,D668&lt;=$G$4,'calculated data '!$A$4,D668&lt;=$G$6,'calculated data '!$A$5,D668&gt;=$G$6,'calculated data '!$A$6)</f>
        <v>Low Demand Tier</v>
      </c>
      <c r="F668" s="10">
        <f t="shared" si="1"/>
        <v>-0.6528456436</v>
      </c>
    </row>
    <row r="669" ht="14.25" customHeight="1">
      <c r="A669" s="2" t="s">
        <v>103</v>
      </c>
      <c r="B669" s="2" t="s">
        <v>104</v>
      </c>
      <c r="C669" s="2">
        <v>2000.0</v>
      </c>
      <c r="D669" s="9">
        <v>390.5872</v>
      </c>
      <c r="E669" s="10" t="str">
        <f t="array" ref="E669">IFS(D669&lt;=$G$3,'calculated data '!$A$3,D669&lt;=$G$4,'calculated data '!$A$4,D669&lt;=$G$6,'calculated data '!$A$5,D669&gt;=$G$6,'calculated data '!$A$6)</f>
        <v>Low Demand Tier</v>
      </c>
      <c r="F669" s="10">
        <f t="shared" si="1"/>
        <v>-0.652832729</v>
      </c>
    </row>
    <row r="670" ht="14.25" customHeight="1">
      <c r="A670" s="2" t="s">
        <v>67</v>
      </c>
      <c r="B670" s="2" t="s">
        <v>68</v>
      </c>
      <c r="C670" s="2">
        <v>2015.0</v>
      </c>
      <c r="D670" s="9">
        <v>390.74545</v>
      </c>
      <c r="E670" s="10" t="str">
        <f t="array" ref="E670">IFS(D670&lt;=$G$3,'calculated data '!$A$3,D670&lt;=$G$4,'calculated data '!$A$4,D670&lt;=$G$6,'calculated data '!$A$5,D670&gt;=$G$6,'calculated data '!$A$6)</f>
        <v>Low Demand Tier</v>
      </c>
      <c r="F670" s="10">
        <f t="shared" si="1"/>
        <v>-0.6528285401</v>
      </c>
    </row>
    <row r="671" ht="14.25" customHeight="1">
      <c r="A671" s="2" t="s">
        <v>91</v>
      </c>
      <c r="B671" s="2" t="s">
        <v>92</v>
      </c>
      <c r="C671" s="2">
        <v>1991.0</v>
      </c>
      <c r="D671" s="9">
        <v>391.13187</v>
      </c>
      <c r="E671" s="10" t="str">
        <f t="array" ref="E671">IFS(D671&lt;=$G$3,'calculated data '!$A$3,D671&lt;=$G$4,'calculated data '!$A$4,D671&lt;=$G$6,'calculated data '!$A$5,D671&gt;=$G$6,'calculated data '!$A$6)</f>
        <v>Low Demand Tier</v>
      </c>
      <c r="F671" s="10">
        <f t="shared" si="1"/>
        <v>-0.6528183117</v>
      </c>
    </row>
    <row r="672" ht="14.25" customHeight="1">
      <c r="A672" s="2" t="s">
        <v>91</v>
      </c>
      <c r="B672" s="2" t="s">
        <v>92</v>
      </c>
      <c r="C672" s="2">
        <v>2013.0</v>
      </c>
      <c r="D672" s="9">
        <v>391.17166</v>
      </c>
      <c r="E672" s="10" t="str">
        <f t="array" ref="E672">IFS(D672&lt;=$G$3,'calculated data '!$A$3,D672&lt;=$G$4,'calculated data '!$A$4,D672&lt;=$G$6,'calculated data '!$A$5,D672&gt;=$G$6,'calculated data '!$A$6)</f>
        <v>Low Demand Tier</v>
      </c>
      <c r="F672" s="10">
        <f t="shared" si="1"/>
        <v>-0.6528172585</v>
      </c>
    </row>
    <row r="673" ht="14.25" customHeight="1">
      <c r="A673" s="2" t="s">
        <v>77</v>
      </c>
      <c r="B673" s="2" t="s">
        <v>78</v>
      </c>
      <c r="C673" s="2">
        <v>1998.0</v>
      </c>
      <c r="D673" s="9">
        <v>391.21936</v>
      </c>
      <c r="E673" s="10" t="str">
        <f t="array" ref="E673">IFS(D673&lt;=$G$3,'calculated data '!$A$3,D673&lt;=$G$4,'calculated data '!$A$4,D673&lt;=$G$6,'calculated data '!$A$5,D673&gt;=$G$6,'calculated data '!$A$6)</f>
        <v>Low Demand Tier</v>
      </c>
      <c r="F673" s="10">
        <f t="shared" si="1"/>
        <v>-0.6528159959</v>
      </c>
    </row>
    <row r="674" ht="14.25" customHeight="1">
      <c r="A674" s="2" t="s">
        <v>91</v>
      </c>
      <c r="B674" s="2" t="s">
        <v>92</v>
      </c>
      <c r="C674" s="2">
        <v>2021.0</v>
      </c>
      <c r="D674" s="9">
        <v>391.59543</v>
      </c>
      <c r="E674" s="10" t="str">
        <f t="array" ref="E674">IFS(D674&lt;=$G$3,'calculated data '!$A$3,D674&lt;=$G$4,'calculated data '!$A$4,D674&lt;=$G$6,'calculated data '!$A$5,D674&gt;=$G$6,'calculated data '!$A$6)</f>
        <v>Low Demand Tier</v>
      </c>
      <c r="F674" s="10">
        <f t="shared" si="1"/>
        <v>-0.6528060414</v>
      </c>
    </row>
    <row r="675" ht="14.25" customHeight="1">
      <c r="A675" s="2" t="s">
        <v>67</v>
      </c>
      <c r="B675" s="2" t="s">
        <v>68</v>
      </c>
      <c r="C675" s="2">
        <v>2018.0</v>
      </c>
      <c r="D675" s="9">
        <v>391.707</v>
      </c>
      <c r="E675" s="10" t="str">
        <f t="array" ref="E675">IFS(D675&lt;=$G$3,'calculated data '!$A$3,D675&lt;=$G$4,'calculated data '!$A$4,D675&lt;=$G$6,'calculated data '!$A$5,D675&gt;=$G$6,'calculated data '!$A$6)</f>
        <v>Low Demand Tier</v>
      </c>
      <c r="F675" s="10">
        <f t="shared" si="1"/>
        <v>-0.6528030882</v>
      </c>
    </row>
    <row r="676" ht="14.25" customHeight="1">
      <c r="A676" s="2" t="s">
        <v>101</v>
      </c>
      <c r="B676" s="2" t="s">
        <v>102</v>
      </c>
      <c r="C676" s="2">
        <v>1994.0</v>
      </c>
      <c r="D676" s="9">
        <v>391.7109</v>
      </c>
      <c r="E676" s="10" t="str">
        <f t="array" ref="E676">IFS(D676&lt;=$G$3,'calculated data '!$A$3,D676&lt;=$G$4,'calculated data '!$A$4,D676&lt;=$G$6,'calculated data '!$A$5,D676&gt;=$G$6,'calculated data '!$A$6)</f>
        <v>Low Demand Tier</v>
      </c>
      <c r="F676" s="10">
        <f t="shared" si="1"/>
        <v>-0.6528029849</v>
      </c>
    </row>
    <row r="677" ht="14.25" customHeight="1">
      <c r="A677" s="2" t="s">
        <v>53</v>
      </c>
      <c r="B677" s="2" t="s">
        <v>54</v>
      </c>
      <c r="C677" s="2">
        <v>2023.0</v>
      </c>
      <c r="D677" s="9">
        <v>391.97833</v>
      </c>
      <c r="E677" s="10" t="str">
        <f t="array" ref="E677">IFS(D677&lt;=$G$3,'calculated data '!$A$3,D677&lt;=$G$4,'calculated data '!$A$4,D677&lt;=$G$6,'calculated data '!$A$5,D677&gt;=$G$6,'calculated data '!$A$6)</f>
        <v>Low Demand Tier</v>
      </c>
      <c r="F677" s="10">
        <f t="shared" si="1"/>
        <v>-0.6527959061</v>
      </c>
    </row>
    <row r="678" ht="14.25" customHeight="1">
      <c r="A678" s="2" t="s">
        <v>95</v>
      </c>
      <c r="B678" s="2" t="s">
        <v>96</v>
      </c>
      <c r="C678" s="2">
        <v>1993.0</v>
      </c>
      <c r="D678" s="9">
        <v>392.16254</v>
      </c>
      <c r="E678" s="10" t="str">
        <f t="array" ref="E678">IFS(D678&lt;=$G$3,'calculated data '!$A$3,D678&lt;=$G$4,'calculated data '!$A$4,D678&lt;=$G$6,'calculated data '!$A$5,D678&gt;=$G$6,'calculated data '!$A$6)</f>
        <v>Low Demand Tier</v>
      </c>
      <c r="F678" s="10">
        <f t="shared" si="1"/>
        <v>-0.6527910301</v>
      </c>
    </row>
    <row r="679" ht="14.25" customHeight="1">
      <c r="A679" s="2" t="s">
        <v>91</v>
      </c>
      <c r="B679" s="2" t="s">
        <v>92</v>
      </c>
      <c r="C679" s="2">
        <v>2022.0</v>
      </c>
      <c r="D679" s="9">
        <v>392.59195</v>
      </c>
      <c r="E679" s="10" t="str">
        <f t="array" ref="E679">IFS(D679&lt;=$G$3,'calculated data '!$A$3,D679&lt;=$G$4,'calculated data '!$A$4,D679&lt;=$G$6,'calculated data '!$A$5,D679&gt;=$G$6,'calculated data '!$A$6)</f>
        <v>Low Demand Tier</v>
      </c>
      <c r="F679" s="10">
        <f t="shared" si="1"/>
        <v>-0.6527796638</v>
      </c>
    </row>
    <row r="680" ht="14.25" customHeight="1">
      <c r="A680" s="2" t="s">
        <v>67</v>
      </c>
      <c r="B680" s="2" t="s">
        <v>68</v>
      </c>
      <c r="C680" s="2">
        <v>1998.0</v>
      </c>
      <c r="D680" s="9">
        <v>392.74152</v>
      </c>
      <c r="E680" s="10" t="str">
        <f t="array" ref="E680">IFS(D680&lt;=$G$3,'calculated data '!$A$3,D680&lt;=$G$4,'calculated data '!$A$4,D680&lt;=$G$6,'calculated data '!$A$5,D680&gt;=$G$6,'calculated data '!$A$6)</f>
        <v>Low Demand Tier</v>
      </c>
      <c r="F680" s="10">
        <f t="shared" si="1"/>
        <v>-0.6527757047</v>
      </c>
    </row>
    <row r="681" ht="14.25" customHeight="1">
      <c r="A681" s="2" t="s">
        <v>89</v>
      </c>
      <c r="B681" s="2" t="s">
        <v>90</v>
      </c>
      <c r="C681" s="2">
        <v>1997.0</v>
      </c>
      <c r="D681" s="9">
        <v>392.9728</v>
      </c>
      <c r="E681" s="10" t="str">
        <f t="array" ref="E681">IFS(D681&lt;=$G$3,'calculated data '!$A$3,D681&lt;=$G$4,'calculated data '!$A$4,D681&lt;=$G$6,'calculated data '!$A$5,D681&gt;=$G$6,'calculated data '!$A$6)</f>
        <v>Low Demand Tier</v>
      </c>
      <c r="F681" s="10">
        <f t="shared" si="1"/>
        <v>-0.6527695827</v>
      </c>
    </row>
    <row r="682" ht="14.25" customHeight="1">
      <c r="A682" s="2" t="s">
        <v>105</v>
      </c>
      <c r="B682" s="2" t="s">
        <v>106</v>
      </c>
      <c r="C682" s="2">
        <v>2005.0</v>
      </c>
      <c r="D682" s="9">
        <v>393.41092</v>
      </c>
      <c r="E682" s="10" t="str">
        <f t="array" ref="E682">IFS(D682&lt;=$G$3,'calculated data '!$A$3,D682&lt;=$G$4,'calculated data '!$A$4,D682&lt;=$G$6,'calculated data '!$A$5,D682&gt;=$G$6,'calculated data '!$A$6)</f>
        <v>Low Demand Tier</v>
      </c>
      <c r="F682" s="10">
        <f t="shared" si="1"/>
        <v>-0.6527579858</v>
      </c>
    </row>
    <row r="683" ht="14.25" customHeight="1">
      <c r="A683" s="2" t="s">
        <v>91</v>
      </c>
      <c r="B683" s="2" t="s">
        <v>92</v>
      </c>
      <c r="C683" s="2">
        <v>2003.0</v>
      </c>
      <c r="D683" s="9">
        <v>393.57727</v>
      </c>
      <c r="E683" s="10" t="str">
        <f t="array" ref="E683">IFS(D683&lt;=$G$3,'calculated data '!$A$3,D683&lt;=$G$4,'calculated data '!$A$4,D683&lt;=$G$6,'calculated data '!$A$5,D683&gt;=$G$6,'calculated data '!$A$6)</f>
        <v>Low Demand Tier</v>
      </c>
      <c r="F683" s="10">
        <f t="shared" si="1"/>
        <v>-0.6527535826</v>
      </c>
    </row>
    <row r="684" ht="14.25" customHeight="1">
      <c r="A684" s="2" t="s">
        <v>75</v>
      </c>
      <c r="B684" s="2" t="s">
        <v>76</v>
      </c>
      <c r="C684" s="2">
        <v>1996.0</v>
      </c>
      <c r="D684" s="9">
        <v>393.99045</v>
      </c>
      <c r="E684" s="10" t="str">
        <f t="array" ref="E684">IFS(D684&lt;=$G$3,'calculated data '!$A$3,D684&lt;=$G$4,'calculated data '!$A$4,D684&lt;=$G$6,'calculated data '!$A$5,D684&gt;=$G$6,'calculated data '!$A$6)</f>
        <v>Low Demand Tier</v>
      </c>
      <c r="F684" s="10">
        <f t="shared" si="1"/>
        <v>-0.6527426458</v>
      </c>
    </row>
    <row r="685" ht="14.25" customHeight="1">
      <c r="A685" s="2" t="s">
        <v>91</v>
      </c>
      <c r="B685" s="2" t="s">
        <v>92</v>
      </c>
      <c r="C685" s="2">
        <v>2012.0</v>
      </c>
      <c r="D685" s="9">
        <v>394.27286</v>
      </c>
      <c r="E685" s="10" t="str">
        <f t="array" ref="E685">IFS(D685&lt;=$G$3,'calculated data '!$A$3,D685&lt;=$G$4,'calculated data '!$A$4,D685&lt;=$G$6,'calculated data '!$A$5,D685&gt;=$G$6,'calculated data '!$A$6)</f>
        <v>Low Demand Tier</v>
      </c>
      <c r="F685" s="10">
        <f t="shared" si="1"/>
        <v>-0.6527351705</v>
      </c>
    </row>
    <row r="686" ht="14.25" customHeight="1">
      <c r="A686" s="2" t="s">
        <v>91</v>
      </c>
      <c r="B686" s="2" t="s">
        <v>92</v>
      </c>
      <c r="C686" s="2">
        <v>1982.0</v>
      </c>
      <c r="D686" s="9">
        <v>394.31036</v>
      </c>
      <c r="E686" s="10" t="str">
        <f t="array" ref="E686">IFS(D686&lt;=$G$3,'calculated data '!$A$3,D686&lt;=$G$4,'calculated data '!$A$4,D686&lt;=$G$6,'calculated data '!$A$5,D686&gt;=$G$6,'calculated data '!$A$6)</f>
        <v>Low Demand Tier</v>
      </c>
      <c r="F686" s="10">
        <f t="shared" si="1"/>
        <v>-0.6527341779</v>
      </c>
    </row>
    <row r="687" ht="14.25" customHeight="1">
      <c r="A687" s="2" t="s">
        <v>89</v>
      </c>
      <c r="B687" s="2" t="s">
        <v>90</v>
      </c>
      <c r="C687" s="2">
        <v>1998.0</v>
      </c>
      <c r="D687" s="9">
        <v>394.33826</v>
      </c>
      <c r="E687" s="10" t="str">
        <f t="array" ref="E687">IFS(D687&lt;=$G$3,'calculated data '!$A$3,D687&lt;=$G$4,'calculated data '!$A$4,D687&lt;=$G$6,'calculated data '!$A$5,D687&gt;=$G$6,'calculated data '!$A$6)</f>
        <v>Low Demand Tier</v>
      </c>
      <c r="F687" s="10">
        <f t="shared" si="1"/>
        <v>-0.6527334394</v>
      </c>
    </row>
    <row r="688" ht="14.25" customHeight="1">
      <c r="A688" s="2" t="s">
        <v>21</v>
      </c>
      <c r="B688" s="2" t="s">
        <v>22</v>
      </c>
      <c r="C688" s="2">
        <v>1981.0</v>
      </c>
      <c r="D688" s="9">
        <v>394.41144</v>
      </c>
      <c r="E688" s="10" t="str">
        <f t="array" ref="E688">IFS(D688&lt;=$G$3,'calculated data '!$A$3,D688&lt;=$G$4,'calculated data '!$A$4,D688&lt;=$G$6,'calculated data '!$A$5,D688&gt;=$G$6,'calculated data '!$A$6)</f>
        <v>Low Demand Tier</v>
      </c>
      <c r="F688" s="10">
        <f t="shared" si="1"/>
        <v>-0.6527315023</v>
      </c>
    </row>
    <row r="689" ht="14.25" customHeight="1">
      <c r="A689" s="2" t="s">
        <v>91</v>
      </c>
      <c r="B689" s="2" t="s">
        <v>92</v>
      </c>
      <c r="C689" s="2">
        <v>1994.0</v>
      </c>
      <c r="D689" s="9">
        <v>395.7484</v>
      </c>
      <c r="E689" s="10" t="str">
        <f t="array" ref="E689">IFS(D689&lt;=$G$3,'calculated data '!$A$3,D689&lt;=$G$4,'calculated data '!$A$4,D689&lt;=$G$6,'calculated data '!$A$5,D689&gt;=$G$6,'calculated data '!$A$6)</f>
        <v>Low Demand Tier</v>
      </c>
      <c r="F689" s="10">
        <f t="shared" si="1"/>
        <v>-0.6526961133</v>
      </c>
    </row>
    <row r="690" ht="14.25" customHeight="1">
      <c r="A690" s="2" t="s">
        <v>91</v>
      </c>
      <c r="B690" s="2" t="s">
        <v>92</v>
      </c>
      <c r="C690" s="2">
        <v>1999.0</v>
      </c>
      <c r="D690" s="9">
        <v>396.79398</v>
      </c>
      <c r="E690" s="10" t="str">
        <f t="array" ref="E690">IFS(D690&lt;=$G$3,'calculated data '!$A$3,D690&lt;=$G$4,'calculated data '!$A$4,D690&lt;=$G$6,'calculated data '!$A$5,D690&gt;=$G$6,'calculated data '!$A$6)</f>
        <v>Low Demand Tier</v>
      </c>
      <c r="F690" s="10">
        <f t="shared" si="1"/>
        <v>-0.6526684371</v>
      </c>
    </row>
    <row r="691" ht="14.25" customHeight="1">
      <c r="A691" s="2" t="s">
        <v>101</v>
      </c>
      <c r="B691" s="2" t="s">
        <v>102</v>
      </c>
      <c r="C691" s="2">
        <v>1995.0</v>
      </c>
      <c r="D691" s="9">
        <v>397.5918</v>
      </c>
      <c r="E691" s="10" t="str">
        <f t="array" ref="E691">IFS(D691&lt;=$G$3,'calculated data '!$A$3,D691&lt;=$G$4,'calculated data '!$A$4,D691&lt;=$G$6,'calculated data '!$A$5,D691&gt;=$G$6,'calculated data '!$A$6)</f>
        <v>Low Demand Tier</v>
      </c>
      <c r="F691" s="10">
        <f t="shared" si="1"/>
        <v>-0.652647319</v>
      </c>
    </row>
    <row r="692" ht="14.25" customHeight="1">
      <c r="A692" s="2" t="s">
        <v>91</v>
      </c>
      <c r="B692" s="2" t="s">
        <v>92</v>
      </c>
      <c r="C692" s="2">
        <v>2024.0</v>
      </c>
      <c r="D692" s="9">
        <v>399.19748</v>
      </c>
      <c r="E692" s="10" t="str">
        <f t="array" ref="E692">IFS(D692&lt;=$G$3,'calculated data '!$A$3,D692&lt;=$G$4,'calculated data '!$A$4,D692&lt;=$G$6,'calculated data '!$A$5,D692&gt;=$G$6,'calculated data '!$A$6)</f>
        <v>Low Demand Tier</v>
      </c>
      <c r="F692" s="10">
        <f t="shared" si="1"/>
        <v>-0.652604817</v>
      </c>
    </row>
    <row r="693" ht="14.25" customHeight="1">
      <c r="A693" s="2" t="s">
        <v>89</v>
      </c>
      <c r="B693" s="2" t="s">
        <v>90</v>
      </c>
      <c r="C693" s="2">
        <v>1985.0</v>
      </c>
      <c r="D693" s="9">
        <v>399.5727</v>
      </c>
      <c r="E693" s="10" t="str">
        <f t="array" ref="E693">IFS(D693&lt;=$G$3,'calculated data '!$A$3,D693&lt;=$G$4,'calculated data '!$A$4,D693&lt;=$G$6,'calculated data '!$A$5,D693&gt;=$G$6,'calculated data '!$A$6)</f>
        <v>Low Demand Tier</v>
      </c>
      <c r="F693" s="10">
        <f t="shared" si="1"/>
        <v>-0.652594885</v>
      </c>
    </row>
    <row r="694" ht="14.25" customHeight="1">
      <c r="A694" s="2" t="s">
        <v>87</v>
      </c>
      <c r="B694" s="2" t="s">
        <v>88</v>
      </c>
      <c r="C694" s="2">
        <v>1982.0</v>
      </c>
      <c r="D694" s="9">
        <v>399.99384</v>
      </c>
      <c r="E694" s="10" t="str">
        <f t="array" ref="E694">IFS(D694&lt;=$G$3,'calculated data '!$A$3,D694&lt;=$G$4,'calculated data '!$A$4,D694&lt;=$G$6,'calculated data '!$A$5,D694&gt;=$G$6,'calculated data '!$A$6)</f>
        <v>Low Demand Tier</v>
      </c>
      <c r="F694" s="10">
        <f t="shared" si="1"/>
        <v>-0.6525837376</v>
      </c>
    </row>
    <row r="695" ht="14.25" customHeight="1">
      <c r="A695" s="2" t="s">
        <v>101</v>
      </c>
      <c r="B695" s="2" t="s">
        <v>102</v>
      </c>
      <c r="C695" s="2">
        <v>2010.0</v>
      </c>
      <c r="D695" s="9">
        <v>400.65176</v>
      </c>
      <c r="E695" s="10" t="str">
        <f t="array" ref="E695">IFS(D695&lt;=$G$3,'calculated data '!$A$3,D695&lt;=$G$4,'calculated data '!$A$4,D695&lt;=$G$6,'calculated data '!$A$5,D695&gt;=$G$6,'calculated data '!$A$6)</f>
        <v>Low Demand Tier</v>
      </c>
      <c r="F695" s="10">
        <f t="shared" si="1"/>
        <v>-0.6525663226</v>
      </c>
    </row>
    <row r="696" ht="14.25" customHeight="1">
      <c r="A696" s="2" t="s">
        <v>91</v>
      </c>
      <c r="B696" s="2" t="s">
        <v>92</v>
      </c>
      <c r="C696" s="2">
        <v>2001.0</v>
      </c>
      <c r="D696" s="9">
        <v>401.72867</v>
      </c>
      <c r="E696" s="10" t="str">
        <f t="array" ref="E696">IFS(D696&lt;=$G$3,'calculated data '!$A$3,D696&lt;=$G$4,'calculated data '!$A$4,D696&lt;=$G$6,'calculated data '!$A$5,D696&gt;=$G$6,'calculated data '!$A$6)</f>
        <v>Low Demand Tier</v>
      </c>
      <c r="F696" s="10">
        <f t="shared" si="1"/>
        <v>-0.6525378171</v>
      </c>
    </row>
    <row r="697" ht="14.25" customHeight="1">
      <c r="A697" s="2" t="s">
        <v>91</v>
      </c>
      <c r="B697" s="2" t="s">
        <v>92</v>
      </c>
      <c r="C697" s="2">
        <v>2008.0</v>
      </c>
      <c r="D697" s="9">
        <v>402.03653</v>
      </c>
      <c r="E697" s="10" t="str">
        <f t="array" ref="E697">IFS(D697&lt;=$G$3,'calculated data '!$A$3,D697&lt;=$G$4,'calculated data '!$A$4,D697&lt;=$G$6,'calculated data '!$A$5,D697&gt;=$G$6,'calculated data '!$A$6)</f>
        <v>Low Demand Tier</v>
      </c>
      <c r="F697" s="10">
        <f t="shared" si="1"/>
        <v>-0.6525296681</v>
      </c>
    </row>
    <row r="698" ht="14.25" customHeight="1">
      <c r="A698" s="2" t="s">
        <v>91</v>
      </c>
      <c r="B698" s="2" t="s">
        <v>92</v>
      </c>
      <c r="C698" s="2">
        <v>2020.0</v>
      </c>
      <c r="D698" s="9">
        <v>402.50174</v>
      </c>
      <c r="E698" s="10" t="str">
        <f t="array" ref="E698">IFS(D698&lt;=$G$3,'calculated data '!$A$3,D698&lt;=$G$4,'calculated data '!$A$4,D698&lt;=$G$6,'calculated data '!$A$5,D698&gt;=$G$6,'calculated data '!$A$6)</f>
        <v>Low Demand Tier</v>
      </c>
      <c r="F698" s="10">
        <f t="shared" si="1"/>
        <v>-0.6525173541</v>
      </c>
    </row>
    <row r="699" ht="14.25" customHeight="1">
      <c r="A699" s="2" t="s">
        <v>89</v>
      </c>
      <c r="B699" s="2" t="s">
        <v>90</v>
      </c>
      <c r="C699" s="2">
        <v>2011.0</v>
      </c>
      <c r="D699" s="9">
        <v>402.53995</v>
      </c>
      <c r="E699" s="10" t="str">
        <f t="array" ref="E699">IFS(D699&lt;=$G$3,'calculated data '!$A$3,D699&lt;=$G$4,'calculated data '!$A$4,D699&lt;=$G$6,'calculated data '!$A$5,D699&gt;=$G$6,'calculated data '!$A$6)</f>
        <v>Low Demand Tier</v>
      </c>
      <c r="F699" s="10">
        <f t="shared" si="1"/>
        <v>-0.6525163427</v>
      </c>
    </row>
    <row r="700" ht="14.25" customHeight="1">
      <c r="A700" s="2" t="s">
        <v>67</v>
      </c>
      <c r="B700" s="2" t="s">
        <v>68</v>
      </c>
      <c r="C700" s="2">
        <v>1997.0</v>
      </c>
      <c r="D700" s="9">
        <v>402.5688</v>
      </c>
      <c r="E700" s="10" t="str">
        <f t="array" ref="E700">IFS(D700&lt;=$G$3,'calculated data '!$A$3,D700&lt;=$G$4,'calculated data '!$A$4,D700&lt;=$G$6,'calculated data '!$A$5,D700&gt;=$G$6,'calculated data '!$A$6)</f>
        <v>Low Demand Tier</v>
      </c>
      <c r="F700" s="10">
        <f t="shared" si="1"/>
        <v>-0.652515579</v>
      </c>
    </row>
    <row r="701" ht="14.25" customHeight="1">
      <c r="A701" s="2" t="s">
        <v>91</v>
      </c>
      <c r="B701" s="2" t="s">
        <v>92</v>
      </c>
      <c r="C701" s="2">
        <v>2017.0</v>
      </c>
      <c r="D701" s="9">
        <v>402.65982</v>
      </c>
      <c r="E701" s="10" t="str">
        <f t="array" ref="E701">IFS(D701&lt;=$G$3,'calculated data '!$A$3,D701&lt;=$G$4,'calculated data '!$A$4,D701&lt;=$G$6,'calculated data '!$A$5,D701&gt;=$G$6,'calculated data '!$A$6)</f>
        <v>Low Demand Tier</v>
      </c>
      <c r="F701" s="10">
        <f t="shared" si="1"/>
        <v>-0.6525131697</v>
      </c>
    </row>
    <row r="702" ht="14.25" customHeight="1">
      <c r="A702" s="2" t="s">
        <v>87</v>
      </c>
      <c r="B702" s="2" t="s">
        <v>88</v>
      </c>
      <c r="C702" s="2">
        <v>1985.0</v>
      </c>
      <c r="D702" s="9">
        <v>403.79095</v>
      </c>
      <c r="E702" s="10" t="str">
        <f t="array" ref="E702">IFS(D702&lt;=$G$3,'calculated data '!$A$3,D702&lt;=$G$4,'calculated data '!$A$4,D702&lt;=$G$6,'calculated data '!$A$5,D702&gt;=$G$6,'calculated data '!$A$6)</f>
        <v>Low Demand Tier</v>
      </c>
      <c r="F702" s="10">
        <f t="shared" si="1"/>
        <v>-0.652483229</v>
      </c>
    </row>
    <row r="703" ht="14.25" customHeight="1">
      <c r="A703" s="2" t="s">
        <v>87</v>
      </c>
      <c r="B703" s="2" t="s">
        <v>88</v>
      </c>
      <c r="C703" s="2">
        <v>1987.0</v>
      </c>
      <c r="D703" s="9">
        <v>403.89114</v>
      </c>
      <c r="E703" s="10" t="str">
        <f t="array" ref="E703">IFS(D703&lt;=$G$3,'calculated data '!$A$3,D703&lt;=$G$4,'calculated data '!$A$4,D703&lt;=$G$6,'calculated data '!$A$5,D703&gt;=$G$6,'calculated data '!$A$6)</f>
        <v>Low Demand Tier</v>
      </c>
      <c r="F703" s="10">
        <f t="shared" si="1"/>
        <v>-0.652480577</v>
      </c>
    </row>
    <row r="704" ht="14.25" customHeight="1">
      <c r="A704" s="2" t="s">
        <v>67</v>
      </c>
      <c r="B704" s="2" t="s">
        <v>68</v>
      </c>
      <c r="C704" s="2">
        <v>2017.0</v>
      </c>
      <c r="D704" s="9">
        <v>403.9657</v>
      </c>
      <c r="E704" s="10" t="str">
        <f t="array" ref="E704">IFS(D704&lt;=$G$3,'calculated data '!$A$3,D704&lt;=$G$4,'calculated data '!$A$4,D704&lt;=$G$6,'calculated data '!$A$5,D704&gt;=$G$6,'calculated data '!$A$6)</f>
        <v>Low Demand Tier</v>
      </c>
      <c r="F704" s="10">
        <f t="shared" si="1"/>
        <v>-0.6524786034</v>
      </c>
    </row>
    <row r="705" ht="14.25" customHeight="1">
      <c r="A705" s="2" t="s">
        <v>89</v>
      </c>
      <c r="B705" s="2" t="s">
        <v>90</v>
      </c>
      <c r="C705" s="2">
        <v>1996.0</v>
      </c>
      <c r="D705" s="9">
        <v>404.1924</v>
      </c>
      <c r="E705" s="10" t="str">
        <f t="array" ref="E705">IFS(D705&lt;=$G$3,'calculated data '!$A$3,D705&lt;=$G$4,'calculated data '!$A$4,D705&lt;=$G$6,'calculated data '!$A$5,D705&gt;=$G$6,'calculated data '!$A$6)</f>
        <v>Low Demand Tier</v>
      </c>
      <c r="F705" s="10">
        <f t="shared" si="1"/>
        <v>-0.6524726027</v>
      </c>
    </row>
    <row r="706" ht="14.25" customHeight="1">
      <c r="A706" s="2" t="s">
        <v>91</v>
      </c>
      <c r="B706" s="2" t="s">
        <v>92</v>
      </c>
      <c r="C706" s="2">
        <v>2004.0</v>
      </c>
      <c r="D706" s="9">
        <v>404.19977</v>
      </c>
      <c r="E706" s="10" t="str">
        <f t="array" ref="E706">IFS(D706&lt;=$G$3,'calculated data '!$A$3,D706&lt;=$G$4,'calculated data '!$A$4,D706&lt;=$G$6,'calculated data '!$A$5,D706&gt;=$G$6,'calculated data '!$A$6)</f>
        <v>Low Demand Tier</v>
      </c>
      <c r="F706" s="10">
        <f t="shared" si="1"/>
        <v>-0.6524724076</v>
      </c>
    </row>
    <row r="707" ht="14.25" customHeight="1">
      <c r="A707" s="2" t="s">
        <v>105</v>
      </c>
      <c r="B707" s="2" t="s">
        <v>106</v>
      </c>
      <c r="C707" s="2">
        <v>2009.0</v>
      </c>
      <c r="D707" s="9">
        <v>404.41083</v>
      </c>
      <c r="E707" s="10" t="str">
        <f t="array" ref="E707">IFS(D707&lt;=$G$3,'calculated data '!$A$3,D707&lt;=$G$4,'calculated data '!$A$4,D707&lt;=$G$6,'calculated data '!$A$5,D707&gt;=$G$6,'calculated data '!$A$6)</f>
        <v>Low Demand Tier</v>
      </c>
      <c r="F707" s="10">
        <f t="shared" si="1"/>
        <v>-0.6524668209</v>
      </c>
    </row>
    <row r="708" ht="14.25" customHeight="1">
      <c r="A708" s="2" t="s">
        <v>77</v>
      </c>
      <c r="B708" s="2" t="s">
        <v>78</v>
      </c>
      <c r="C708" s="2">
        <v>2003.0</v>
      </c>
      <c r="D708" s="9">
        <v>404.9955</v>
      </c>
      <c r="E708" s="10" t="str">
        <f t="array" ref="E708">IFS(D708&lt;=$G$3,'calculated data '!$A$3,D708&lt;=$G$4,'calculated data '!$A$4,D708&lt;=$G$6,'calculated data '!$A$5,D708&gt;=$G$6,'calculated data '!$A$6)</f>
        <v>Low Demand Tier</v>
      </c>
      <c r="F708" s="10">
        <f t="shared" si="1"/>
        <v>-0.6524513449</v>
      </c>
    </row>
    <row r="709" ht="14.25" customHeight="1">
      <c r="A709" s="2" t="s">
        <v>75</v>
      </c>
      <c r="B709" s="2" t="s">
        <v>76</v>
      </c>
      <c r="C709" s="2">
        <v>2014.0</v>
      </c>
      <c r="D709" s="9">
        <v>404.9994</v>
      </c>
      <c r="E709" s="10" t="str">
        <f t="array" ref="E709">IFS(D709&lt;=$G$3,'calculated data '!$A$3,D709&lt;=$G$4,'calculated data '!$A$4,D709&lt;=$G$6,'calculated data '!$A$5,D709&gt;=$G$6,'calculated data '!$A$6)</f>
        <v>Low Demand Tier</v>
      </c>
      <c r="F709" s="10">
        <f t="shared" si="1"/>
        <v>-0.6524512416</v>
      </c>
    </row>
    <row r="710" ht="14.25" customHeight="1">
      <c r="A710" s="2" t="s">
        <v>83</v>
      </c>
      <c r="B710" s="2" t="s">
        <v>84</v>
      </c>
      <c r="C710" s="2">
        <v>1996.0</v>
      </c>
      <c r="D710" s="9">
        <v>406.1546</v>
      </c>
      <c r="E710" s="10" t="str">
        <f t="array" ref="E710">IFS(D710&lt;=$G$3,'calculated data '!$A$3,D710&lt;=$G$4,'calculated data '!$A$4,D710&lt;=$G$6,'calculated data '!$A$5,D710&gt;=$G$6,'calculated data '!$A$6)</f>
        <v>Low Demand Tier</v>
      </c>
      <c r="F710" s="10">
        <f t="shared" si="1"/>
        <v>-0.6524206638</v>
      </c>
    </row>
    <row r="711" ht="14.25" customHeight="1">
      <c r="A711" s="2" t="s">
        <v>91</v>
      </c>
      <c r="B711" s="2" t="s">
        <v>92</v>
      </c>
      <c r="C711" s="2">
        <v>1997.0</v>
      </c>
      <c r="D711" s="9">
        <v>406.4854</v>
      </c>
      <c r="E711" s="10" t="str">
        <f t="array" ref="E711">IFS(D711&lt;=$G$3,'calculated data '!$A$3,D711&lt;=$G$4,'calculated data '!$A$4,D711&lt;=$G$6,'calculated data '!$A$5,D711&gt;=$G$6,'calculated data '!$A$6)</f>
        <v>Low Demand Tier</v>
      </c>
      <c r="F711" s="10">
        <f t="shared" si="1"/>
        <v>-0.6524119076</v>
      </c>
    </row>
    <row r="712" ht="14.25" customHeight="1">
      <c r="A712" s="2" t="s">
        <v>97</v>
      </c>
      <c r="B712" s="2" t="s">
        <v>98</v>
      </c>
      <c r="C712" s="2">
        <v>1989.0</v>
      </c>
      <c r="D712" s="9">
        <v>406.62216</v>
      </c>
      <c r="E712" s="10" t="str">
        <f t="array" ref="E712">IFS(D712&lt;=$G$3,'calculated data '!$A$3,D712&lt;=$G$4,'calculated data '!$A$4,D712&lt;=$G$6,'calculated data '!$A$5,D712&gt;=$G$6,'calculated data '!$A$6)</f>
        <v>Low Demand Tier</v>
      </c>
      <c r="F712" s="10">
        <f t="shared" si="1"/>
        <v>-0.6524082876</v>
      </c>
    </row>
    <row r="713" ht="14.25" customHeight="1">
      <c r="A713" s="2" t="s">
        <v>91</v>
      </c>
      <c r="B713" s="2" t="s">
        <v>92</v>
      </c>
      <c r="C713" s="2">
        <v>2011.0</v>
      </c>
      <c r="D713" s="9">
        <v>407.03745</v>
      </c>
      <c r="E713" s="10" t="str">
        <f t="array" ref="E713">IFS(D713&lt;=$G$3,'calculated data '!$A$3,D713&lt;=$G$4,'calculated data '!$A$4,D713&lt;=$G$6,'calculated data '!$A$5,D713&gt;=$G$6,'calculated data '!$A$6)</f>
        <v>Low Demand Tier</v>
      </c>
      <c r="F713" s="10">
        <f t="shared" si="1"/>
        <v>-0.652397295</v>
      </c>
    </row>
    <row r="714" ht="14.25" customHeight="1">
      <c r="A714" s="2" t="s">
        <v>89</v>
      </c>
      <c r="B714" s="2" t="s">
        <v>90</v>
      </c>
      <c r="C714" s="2">
        <v>1983.0</v>
      </c>
      <c r="D714" s="9">
        <v>407.19907</v>
      </c>
      <c r="E714" s="10" t="str">
        <f t="array" ref="E714">IFS(D714&lt;=$G$3,'calculated data '!$A$3,D714&lt;=$G$4,'calculated data '!$A$4,D714&lt;=$G$6,'calculated data '!$A$5,D714&gt;=$G$6,'calculated data '!$A$6)</f>
        <v>Low Demand Tier</v>
      </c>
      <c r="F714" s="10">
        <f t="shared" si="1"/>
        <v>-0.6523930169</v>
      </c>
    </row>
    <row r="715" ht="14.25" customHeight="1">
      <c r="A715" s="2" t="s">
        <v>21</v>
      </c>
      <c r="B715" s="2" t="s">
        <v>22</v>
      </c>
      <c r="C715" s="2">
        <v>1983.0</v>
      </c>
      <c r="D715" s="9">
        <v>407.97818</v>
      </c>
      <c r="E715" s="10" t="str">
        <f t="array" ref="E715">IFS(D715&lt;=$G$3,'calculated data '!$A$3,D715&lt;=$G$4,'calculated data '!$A$4,D715&lt;=$G$6,'calculated data '!$A$5,D715&gt;=$G$6,'calculated data '!$A$6)</f>
        <v>Low Demand Tier</v>
      </c>
      <c r="F715" s="10">
        <f t="shared" si="1"/>
        <v>-0.6523723941</v>
      </c>
    </row>
    <row r="716" ht="14.25" customHeight="1">
      <c r="A716" s="2" t="s">
        <v>91</v>
      </c>
      <c r="B716" s="2" t="s">
        <v>92</v>
      </c>
      <c r="C716" s="2">
        <v>1998.0</v>
      </c>
      <c r="D716" s="9">
        <v>408.3941</v>
      </c>
      <c r="E716" s="10" t="str">
        <f t="array" ref="E716">IFS(D716&lt;=$G$3,'calculated data '!$A$3,D716&lt;=$G$4,'calculated data '!$A$4,D716&lt;=$G$6,'calculated data '!$A$5,D716&gt;=$G$6,'calculated data '!$A$6)</f>
        <v>Low Demand Tier</v>
      </c>
      <c r="F716" s="10">
        <f t="shared" si="1"/>
        <v>-0.6523613848</v>
      </c>
    </row>
    <row r="717" ht="14.25" customHeight="1">
      <c r="A717" s="2" t="s">
        <v>83</v>
      </c>
      <c r="B717" s="2" t="s">
        <v>84</v>
      </c>
      <c r="C717" s="2">
        <v>1999.0</v>
      </c>
      <c r="D717" s="9">
        <v>408.50293</v>
      </c>
      <c r="E717" s="10" t="str">
        <f t="array" ref="E717">IFS(D717&lt;=$G$3,'calculated data '!$A$3,D717&lt;=$G$4,'calculated data '!$A$4,D717&lt;=$G$6,'calculated data '!$A$5,D717&gt;=$G$6,'calculated data '!$A$6)</f>
        <v>Low Demand Tier</v>
      </c>
      <c r="F717" s="10">
        <f t="shared" si="1"/>
        <v>-0.6523585041</v>
      </c>
    </row>
    <row r="718" ht="14.25" customHeight="1">
      <c r="A718" s="2" t="s">
        <v>63</v>
      </c>
      <c r="B718" s="2" t="s">
        <v>64</v>
      </c>
      <c r="C718" s="2">
        <v>2012.0</v>
      </c>
      <c r="D718" s="9">
        <v>408.92007</v>
      </c>
      <c r="E718" s="10" t="str">
        <f t="array" ref="E718">IFS(D718&lt;=$G$3,'calculated data '!$A$3,D718&lt;=$G$4,'calculated data '!$A$4,D718&lt;=$G$6,'calculated data '!$A$5,D718&gt;=$G$6,'calculated data '!$A$6)</f>
        <v>Low Demand Tier</v>
      </c>
      <c r="F718" s="10">
        <f t="shared" si="1"/>
        <v>-0.6523474625</v>
      </c>
    </row>
    <row r="719" ht="14.25" customHeight="1">
      <c r="A719" s="2" t="s">
        <v>101</v>
      </c>
      <c r="B719" s="2" t="s">
        <v>102</v>
      </c>
      <c r="C719" s="2">
        <v>2020.0</v>
      </c>
      <c r="D719" s="9">
        <v>409.26163</v>
      </c>
      <c r="E719" s="10" t="str">
        <f t="array" ref="E719">IFS(D719&lt;=$G$3,'calculated data '!$A$3,D719&lt;=$G$4,'calculated data '!$A$4,D719&lt;=$G$6,'calculated data '!$A$5,D719&gt;=$G$6,'calculated data '!$A$6)</f>
        <v>Low Demand Tier</v>
      </c>
      <c r="F719" s="10">
        <f t="shared" si="1"/>
        <v>-0.6523384215</v>
      </c>
    </row>
    <row r="720" ht="14.25" customHeight="1">
      <c r="A720" s="2" t="s">
        <v>53</v>
      </c>
      <c r="B720" s="2" t="s">
        <v>54</v>
      </c>
      <c r="C720" s="2">
        <v>2017.0</v>
      </c>
      <c r="D720" s="9">
        <v>410.6641</v>
      </c>
      <c r="E720" s="10" t="str">
        <f t="array" ref="E720">IFS(D720&lt;=$G$3,'calculated data '!$A$3,D720&lt;=$G$4,'calculated data '!$A$4,D720&lt;=$G$6,'calculated data '!$A$5,D720&gt;=$G$6,'calculated data '!$A$6)</f>
        <v>Low Demand Tier</v>
      </c>
      <c r="F720" s="10">
        <f t="shared" si="1"/>
        <v>-0.6523012984</v>
      </c>
    </row>
    <row r="721" ht="14.25" customHeight="1">
      <c r="A721" s="2" t="s">
        <v>107</v>
      </c>
      <c r="B721" s="2" t="s">
        <v>108</v>
      </c>
      <c r="C721" s="2">
        <v>1983.0</v>
      </c>
      <c r="D721" s="9">
        <v>410.82767</v>
      </c>
      <c r="E721" s="10" t="str">
        <f t="array" ref="E721">IFS(D721&lt;=$G$3,'calculated data '!$A$3,D721&lt;=$G$4,'calculated data '!$A$4,D721&lt;=$G$6,'calculated data '!$A$5,D721&gt;=$G$6,'calculated data '!$A$6)</f>
        <v>Low Demand Tier</v>
      </c>
      <c r="F721" s="10">
        <f t="shared" si="1"/>
        <v>-0.6522969688</v>
      </c>
    </row>
    <row r="722" ht="14.25" customHeight="1">
      <c r="A722" s="2" t="s">
        <v>89</v>
      </c>
      <c r="B722" s="2" t="s">
        <v>90</v>
      </c>
      <c r="C722" s="2">
        <v>1984.0</v>
      </c>
      <c r="D722" s="9">
        <v>411.49118</v>
      </c>
      <c r="E722" s="10" t="str">
        <f t="array" ref="E722">IFS(D722&lt;=$G$3,'calculated data '!$A$3,D722&lt;=$G$4,'calculated data '!$A$4,D722&lt;=$G$6,'calculated data '!$A$5,D722&gt;=$G$6,'calculated data '!$A$6)</f>
        <v>Low Demand Tier</v>
      </c>
      <c r="F722" s="10">
        <f t="shared" si="1"/>
        <v>-0.6522794058</v>
      </c>
    </row>
    <row r="723" ht="14.25" customHeight="1">
      <c r="A723" s="2" t="s">
        <v>87</v>
      </c>
      <c r="B723" s="2" t="s">
        <v>88</v>
      </c>
      <c r="C723" s="2">
        <v>1981.0</v>
      </c>
      <c r="D723" s="9">
        <v>411.7773</v>
      </c>
      <c r="E723" s="10" t="str">
        <f t="array" ref="E723">IFS(D723&lt;=$G$3,'calculated data '!$A$3,D723&lt;=$G$4,'calculated data '!$A$4,D723&lt;=$G$6,'calculated data '!$A$5,D723&gt;=$G$6,'calculated data '!$A$6)</f>
        <v>Low Demand Tier</v>
      </c>
      <c r="F723" s="10">
        <f t="shared" si="1"/>
        <v>-0.6522718323</v>
      </c>
    </row>
    <row r="724" ht="14.25" customHeight="1">
      <c r="A724" s="2" t="s">
        <v>91</v>
      </c>
      <c r="B724" s="2" t="s">
        <v>92</v>
      </c>
      <c r="C724" s="2">
        <v>1996.0</v>
      </c>
      <c r="D724" s="9">
        <v>412.1587</v>
      </c>
      <c r="E724" s="10" t="str">
        <f t="array" ref="E724">IFS(D724&lt;=$G$3,'calculated data '!$A$3,D724&lt;=$G$4,'calculated data '!$A$4,D724&lt;=$G$6,'calculated data '!$A$5,D724&gt;=$G$6,'calculated data '!$A$6)</f>
        <v>Low Demand Tier</v>
      </c>
      <c r="F724" s="10">
        <f t="shared" si="1"/>
        <v>-0.6522617368</v>
      </c>
    </row>
    <row r="725" ht="14.25" customHeight="1">
      <c r="A725" s="2" t="s">
        <v>87</v>
      </c>
      <c r="B725" s="2" t="s">
        <v>88</v>
      </c>
      <c r="C725" s="2">
        <v>1986.0</v>
      </c>
      <c r="D725" s="9">
        <v>412.92215</v>
      </c>
      <c r="E725" s="10" t="str">
        <f t="array" ref="E725">IFS(D725&lt;=$G$3,'calculated data '!$A$3,D725&lt;=$G$4,'calculated data '!$A$4,D725&lt;=$G$6,'calculated data '!$A$5,D725&gt;=$G$6,'calculated data '!$A$6)</f>
        <v>Low Demand Tier</v>
      </c>
      <c r="F725" s="10">
        <f t="shared" si="1"/>
        <v>-0.6522415284</v>
      </c>
    </row>
    <row r="726" ht="14.25" customHeight="1">
      <c r="A726" s="2" t="s">
        <v>105</v>
      </c>
      <c r="B726" s="2" t="s">
        <v>106</v>
      </c>
      <c r="C726" s="2">
        <v>2008.0</v>
      </c>
      <c r="D726" s="9">
        <v>413.68042</v>
      </c>
      <c r="E726" s="10" t="str">
        <f t="array" ref="E726">IFS(D726&lt;=$G$3,'calculated data '!$A$3,D726&lt;=$G$4,'calculated data '!$A$4,D726&lt;=$G$6,'calculated data '!$A$5,D726&gt;=$G$6,'calculated data '!$A$6)</f>
        <v>Low Demand Tier</v>
      </c>
      <c r="F726" s="10">
        <f t="shared" si="1"/>
        <v>-0.6522214572</v>
      </c>
    </row>
    <row r="727" ht="14.25" customHeight="1">
      <c r="A727" s="2" t="s">
        <v>103</v>
      </c>
      <c r="B727" s="2" t="s">
        <v>104</v>
      </c>
      <c r="C727" s="2">
        <v>1991.0</v>
      </c>
      <c r="D727" s="9">
        <v>415.0981</v>
      </c>
      <c r="E727" s="10" t="str">
        <f t="array" ref="E727">IFS(D727&lt;=$G$3,'calculated data '!$A$3,D727&lt;=$G$4,'calculated data '!$A$4,D727&lt;=$G$6,'calculated data '!$A$5,D727&gt;=$G$6,'calculated data '!$A$6)</f>
        <v>Low Demand Tier</v>
      </c>
      <c r="F727" s="10">
        <f t="shared" si="1"/>
        <v>-0.6521839316</v>
      </c>
    </row>
    <row r="728" ht="14.25" customHeight="1">
      <c r="A728" s="2" t="s">
        <v>91</v>
      </c>
      <c r="B728" s="2" t="s">
        <v>92</v>
      </c>
      <c r="C728" s="2">
        <v>1995.0</v>
      </c>
      <c r="D728" s="9">
        <v>415.3265</v>
      </c>
      <c r="E728" s="10" t="str">
        <f t="array" ref="E728">IFS(D728&lt;=$G$3,'calculated data '!$A$3,D728&lt;=$G$4,'calculated data '!$A$4,D728&lt;=$G$6,'calculated data '!$A$5,D728&gt;=$G$6,'calculated data '!$A$6)</f>
        <v>Low Demand Tier</v>
      </c>
      <c r="F728" s="10">
        <f t="shared" si="1"/>
        <v>-0.6521778859</v>
      </c>
    </row>
    <row r="729" ht="14.25" customHeight="1">
      <c r="A729" s="2" t="s">
        <v>89</v>
      </c>
      <c r="B729" s="2" t="s">
        <v>90</v>
      </c>
      <c r="C729" s="2">
        <v>1995.0</v>
      </c>
      <c r="D729" s="9">
        <v>415.87695</v>
      </c>
      <c r="E729" s="10" t="str">
        <f t="array" ref="E729">IFS(D729&lt;=$G$3,'calculated data '!$A$3,D729&lt;=$G$4,'calculated data '!$A$4,D729&lt;=$G$6,'calculated data '!$A$5,D729&gt;=$G$6,'calculated data '!$A$6)</f>
        <v>Low Demand Tier</v>
      </c>
      <c r="F729" s="10">
        <f t="shared" si="1"/>
        <v>-0.6521633156</v>
      </c>
    </row>
    <row r="730" ht="14.25" customHeight="1">
      <c r="A730" s="2" t="s">
        <v>89</v>
      </c>
      <c r="B730" s="2" t="s">
        <v>90</v>
      </c>
      <c r="C730" s="2">
        <v>2010.0</v>
      </c>
      <c r="D730" s="9">
        <v>416.40424</v>
      </c>
      <c r="E730" s="10" t="str">
        <f t="array" ref="E730">IFS(D730&lt;=$G$3,'calculated data '!$A$3,D730&lt;=$G$4,'calculated data '!$A$4,D730&lt;=$G$6,'calculated data '!$A$5,D730&gt;=$G$6,'calculated data '!$A$6)</f>
        <v>Low Demand Tier</v>
      </c>
      <c r="F730" s="10">
        <f t="shared" si="1"/>
        <v>-0.6521493584</v>
      </c>
    </row>
    <row r="731" ht="14.25" customHeight="1">
      <c r="A731" s="2" t="s">
        <v>83</v>
      </c>
      <c r="B731" s="2" t="s">
        <v>84</v>
      </c>
      <c r="C731" s="2">
        <v>1998.0</v>
      </c>
      <c r="D731" s="9">
        <v>416.90558</v>
      </c>
      <c r="E731" s="10" t="str">
        <f t="array" ref="E731">IFS(D731&lt;=$G$3,'calculated data '!$A$3,D731&lt;=$G$4,'calculated data '!$A$4,D731&lt;=$G$6,'calculated data '!$A$5,D731&gt;=$G$6,'calculated data '!$A$6)</f>
        <v>Low Demand Tier</v>
      </c>
      <c r="F731" s="10">
        <f t="shared" si="1"/>
        <v>-0.652136088</v>
      </c>
    </row>
    <row r="732" ht="14.25" customHeight="1">
      <c r="A732" s="2" t="s">
        <v>89</v>
      </c>
      <c r="B732" s="2" t="s">
        <v>90</v>
      </c>
      <c r="C732" s="2">
        <v>1994.0</v>
      </c>
      <c r="D732" s="9">
        <v>417.15472</v>
      </c>
      <c r="E732" s="10" t="str">
        <f t="array" ref="E732">IFS(D732&lt;=$G$3,'calculated data '!$A$3,D732&lt;=$G$4,'calculated data '!$A$4,D732&lt;=$G$6,'calculated data '!$A$5,D732&gt;=$G$6,'calculated data '!$A$6)</f>
        <v>Low Demand Tier</v>
      </c>
      <c r="F732" s="10">
        <f t="shared" si="1"/>
        <v>-0.6521294933</v>
      </c>
    </row>
    <row r="733" ht="14.25" customHeight="1">
      <c r="A733" s="2" t="s">
        <v>69</v>
      </c>
      <c r="B733" s="2" t="s">
        <v>70</v>
      </c>
      <c r="C733" s="2">
        <v>1986.0</v>
      </c>
      <c r="D733" s="9">
        <v>417.18875</v>
      </c>
      <c r="E733" s="10" t="str">
        <f t="array" ref="E733">IFS(D733&lt;=$G$3,'calculated data '!$A$3,D733&lt;=$G$4,'calculated data '!$A$4,D733&lt;=$G$6,'calculated data '!$A$5,D733&gt;=$G$6,'calculated data '!$A$6)</f>
        <v>Low Demand Tier</v>
      </c>
      <c r="F733" s="10">
        <f t="shared" si="1"/>
        <v>-0.6521285926</v>
      </c>
    </row>
    <row r="734" ht="14.25" customHeight="1">
      <c r="A734" s="2" t="s">
        <v>105</v>
      </c>
      <c r="B734" s="2" t="s">
        <v>106</v>
      </c>
      <c r="C734" s="2">
        <v>2000.0</v>
      </c>
      <c r="D734" s="9">
        <v>417.36618</v>
      </c>
      <c r="E734" s="10" t="str">
        <f t="array" ref="E734">IFS(D734&lt;=$G$3,'calculated data '!$A$3,D734&lt;=$G$4,'calculated data '!$A$4,D734&lt;=$G$6,'calculated data '!$A$5,D734&gt;=$G$6,'calculated data '!$A$6)</f>
        <v>Low Demand Tier</v>
      </c>
      <c r="F734" s="10">
        <f t="shared" si="1"/>
        <v>-0.6521238961</v>
      </c>
    </row>
    <row r="735" ht="14.25" customHeight="1">
      <c r="A735" s="2" t="s">
        <v>107</v>
      </c>
      <c r="B735" s="2" t="s">
        <v>108</v>
      </c>
      <c r="C735" s="2">
        <v>1982.0</v>
      </c>
      <c r="D735" s="9">
        <v>417.40216</v>
      </c>
      <c r="E735" s="10" t="str">
        <f t="array" ref="E735">IFS(D735&lt;=$G$3,'calculated data '!$A$3,D735&lt;=$G$4,'calculated data '!$A$4,D735&lt;=$G$6,'calculated data '!$A$5,D735&gt;=$G$6,'calculated data '!$A$6)</f>
        <v>Low Demand Tier</v>
      </c>
      <c r="F735" s="10">
        <f t="shared" si="1"/>
        <v>-0.6521229437</v>
      </c>
    </row>
    <row r="736" ht="14.25" customHeight="1">
      <c r="A736" s="2" t="s">
        <v>89</v>
      </c>
      <c r="B736" s="2" t="s">
        <v>90</v>
      </c>
      <c r="C736" s="2">
        <v>1992.0</v>
      </c>
      <c r="D736" s="9">
        <v>417.97418</v>
      </c>
      <c r="E736" s="10" t="str">
        <f t="array" ref="E736">IFS(D736&lt;=$G$3,'calculated data '!$A$3,D736&lt;=$G$4,'calculated data '!$A$4,D736&lt;=$G$6,'calculated data '!$A$5,D736&gt;=$G$6,'calculated data '!$A$6)</f>
        <v>Low Demand Tier</v>
      </c>
      <c r="F736" s="10">
        <f t="shared" si="1"/>
        <v>-0.6521078024</v>
      </c>
    </row>
    <row r="737" ht="14.25" customHeight="1">
      <c r="A737" s="2" t="s">
        <v>67</v>
      </c>
      <c r="B737" s="2" t="s">
        <v>68</v>
      </c>
      <c r="C737" s="2">
        <v>1989.0</v>
      </c>
      <c r="D737" s="9">
        <v>419.59677</v>
      </c>
      <c r="E737" s="10" t="str">
        <f t="array" ref="E737">IFS(D737&lt;=$G$3,'calculated data '!$A$3,D737&lt;=$G$4,'calculated data '!$A$4,D737&lt;=$G$6,'calculated data '!$A$5,D737&gt;=$G$6,'calculated data '!$A$6)</f>
        <v>Low Demand Tier</v>
      </c>
      <c r="F737" s="10">
        <f t="shared" si="1"/>
        <v>-0.6520648529</v>
      </c>
    </row>
    <row r="738" ht="14.25" customHeight="1">
      <c r="A738" s="2" t="s">
        <v>91</v>
      </c>
      <c r="B738" s="2" t="s">
        <v>92</v>
      </c>
      <c r="C738" s="2">
        <v>2019.0</v>
      </c>
      <c r="D738" s="9">
        <v>419.86392</v>
      </c>
      <c r="E738" s="10" t="str">
        <f t="array" ref="E738">IFS(D738&lt;=$G$3,'calculated data '!$A$3,D738&lt;=$G$4,'calculated data '!$A$4,D738&lt;=$G$6,'calculated data '!$A$5,D738&gt;=$G$6,'calculated data '!$A$6)</f>
        <v>Low Demand Tier</v>
      </c>
      <c r="F738" s="10">
        <f t="shared" si="1"/>
        <v>-0.6520577815</v>
      </c>
    </row>
    <row r="739" ht="14.25" customHeight="1">
      <c r="A739" s="2" t="s">
        <v>67</v>
      </c>
      <c r="B739" s="2" t="s">
        <v>68</v>
      </c>
      <c r="C739" s="2">
        <v>1988.0</v>
      </c>
      <c r="D739" s="9">
        <v>420.24146</v>
      </c>
      <c r="E739" s="10" t="str">
        <f t="array" ref="E739">IFS(D739&lt;=$G$3,'calculated data '!$A$3,D739&lt;=$G$4,'calculated data '!$A$4,D739&lt;=$G$6,'calculated data '!$A$5,D739&gt;=$G$6,'calculated data '!$A$6)</f>
        <v>Low Demand Tier</v>
      </c>
      <c r="F739" s="10">
        <f t="shared" si="1"/>
        <v>-0.6520477881</v>
      </c>
    </row>
    <row r="740" ht="14.25" customHeight="1">
      <c r="A740" s="2" t="s">
        <v>91</v>
      </c>
      <c r="B740" s="2" t="s">
        <v>92</v>
      </c>
      <c r="C740" s="2">
        <v>2010.0</v>
      </c>
      <c r="D740" s="9">
        <v>420.6762</v>
      </c>
      <c r="E740" s="10" t="str">
        <f t="array" ref="E740">IFS(D740&lt;=$G$3,'calculated data '!$A$3,D740&lt;=$G$4,'calculated data '!$A$4,D740&lt;=$G$6,'calculated data '!$A$5,D740&gt;=$G$6,'calculated data '!$A$6)</f>
        <v>Low Demand Tier</v>
      </c>
      <c r="F740" s="10">
        <f t="shared" si="1"/>
        <v>-0.6520362807</v>
      </c>
    </row>
    <row r="741" ht="14.25" customHeight="1">
      <c r="A741" s="2" t="s">
        <v>53</v>
      </c>
      <c r="B741" s="2" t="s">
        <v>54</v>
      </c>
      <c r="C741" s="2">
        <v>2019.0</v>
      </c>
      <c r="D741" s="9">
        <v>421.2947</v>
      </c>
      <c r="E741" s="10" t="str">
        <f t="array" ref="E741">IFS(D741&lt;=$G$3,'calculated data '!$A$3,D741&lt;=$G$4,'calculated data '!$A$4,D741&lt;=$G$6,'calculated data '!$A$5,D741&gt;=$G$6,'calculated data '!$A$6)</f>
        <v>Low Demand Tier</v>
      </c>
      <c r="F741" s="10">
        <f t="shared" si="1"/>
        <v>-0.6520199091</v>
      </c>
    </row>
    <row r="742" ht="14.25" customHeight="1">
      <c r="A742" s="2" t="s">
        <v>101</v>
      </c>
      <c r="B742" s="2" t="s">
        <v>102</v>
      </c>
      <c r="C742" s="2">
        <v>1982.0</v>
      </c>
      <c r="D742" s="9">
        <v>423.75336</v>
      </c>
      <c r="E742" s="10" t="str">
        <f t="array" ref="E742">IFS(D742&lt;=$G$3,'calculated data '!$A$3,D742&lt;=$G$4,'calculated data '!$A$4,D742&lt;=$G$6,'calculated data '!$A$5,D742&gt;=$G$6,'calculated data '!$A$6)</f>
        <v>Low Demand Tier</v>
      </c>
      <c r="F742" s="10">
        <f t="shared" si="1"/>
        <v>-0.651954829</v>
      </c>
    </row>
    <row r="743" ht="14.25" customHeight="1">
      <c r="A743" s="2" t="s">
        <v>67</v>
      </c>
      <c r="B743" s="2" t="s">
        <v>68</v>
      </c>
      <c r="C743" s="2">
        <v>1992.0</v>
      </c>
      <c r="D743" s="9">
        <v>423.9773</v>
      </c>
      <c r="E743" s="10" t="str">
        <f t="array" ref="E743">IFS(D743&lt;=$G$3,'calculated data '!$A$3,D743&lt;=$G$4,'calculated data '!$A$4,D743&lt;=$G$6,'calculated data '!$A$5,D743&gt;=$G$6,'calculated data '!$A$6)</f>
        <v>Low Demand Tier</v>
      </c>
      <c r="F743" s="10">
        <f t="shared" si="1"/>
        <v>-0.6519489014</v>
      </c>
    </row>
    <row r="744" ht="14.25" customHeight="1">
      <c r="A744" s="2" t="s">
        <v>107</v>
      </c>
      <c r="B744" s="2" t="s">
        <v>108</v>
      </c>
      <c r="C744" s="2">
        <v>1981.0</v>
      </c>
      <c r="D744" s="9">
        <v>424.07266</v>
      </c>
      <c r="E744" s="10" t="str">
        <f t="array" ref="E744">IFS(D744&lt;=$G$3,'calculated data '!$A$3,D744&lt;=$G$4,'calculated data '!$A$4,D744&lt;=$G$6,'calculated data '!$A$5,D744&gt;=$G$6,'calculated data '!$A$6)</f>
        <v>Low Demand Tier</v>
      </c>
      <c r="F744" s="10">
        <f t="shared" si="1"/>
        <v>-0.6519463772</v>
      </c>
    </row>
    <row r="745" ht="14.25" customHeight="1">
      <c r="A745" s="2" t="s">
        <v>87</v>
      </c>
      <c r="B745" s="2" t="s">
        <v>88</v>
      </c>
      <c r="C745" s="2">
        <v>1980.0</v>
      </c>
      <c r="D745" s="9">
        <v>425.10095</v>
      </c>
      <c r="E745" s="10" t="str">
        <f t="array" ref="E745">IFS(D745&lt;=$G$3,'calculated data '!$A$3,D745&lt;=$G$4,'calculated data '!$A$4,D745&lt;=$G$6,'calculated data '!$A$5,D745&gt;=$G$6,'calculated data '!$A$6)</f>
        <v>Low Demand Tier</v>
      </c>
      <c r="F745" s="10">
        <f t="shared" si="1"/>
        <v>-0.6519191586</v>
      </c>
    </row>
    <row r="746" ht="14.25" customHeight="1">
      <c r="A746" s="2" t="s">
        <v>53</v>
      </c>
      <c r="B746" s="2" t="s">
        <v>54</v>
      </c>
      <c r="C746" s="2">
        <v>2018.0</v>
      </c>
      <c r="D746" s="9">
        <v>425.1015</v>
      </c>
      <c r="E746" s="10" t="str">
        <f t="array" ref="E746">IFS(D746&lt;=$G$3,'calculated data '!$A$3,D746&lt;=$G$4,'calculated data '!$A$4,D746&lt;=$G$6,'calculated data '!$A$5,D746&gt;=$G$6,'calculated data '!$A$6)</f>
        <v>Low Demand Tier</v>
      </c>
      <c r="F746" s="10">
        <f t="shared" si="1"/>
        <v>-0.6519191441</v>
      </c>
    </row>
    <row r="747" ht="14.25" customHeight="1">
      <c r="A747" s="2" t="s">
        <v>61</v>
      </c>
      <c r="B747" s="2" t="s">
        <v>62</v>
      </c>
      <c r="C747" s="2">
        <v>2007.0</v>
      </c>
      <c r="D747" s="9">
        <v>425.29068</v>
      </c>
      <c r="E747" s="10" t="str">
        <f t="array" ref="E747">IFS(D747&lt;=$G$3,'calculated data '!$A$3,D747&lt;=$G$4,'calculated data '!$A$4,D747&lt;=$G$6,'calculated data '!$A$5,D747&gt;=$G$6,'calculated data '!$A$6)</f>
        <v>Low Demand Tier</v>
      </c>
      <c r="F747" s="10">
        <f t="shared" si="1"/>
        <v>-0.6519141365</v>
      </c>
    </row>
    <row r="748" ht="14.25" customHeight="1">
      <c r="A748" s="2" t="s">
        <v>21</v>
      </c>
      <c r="B748" s="2" t="s">
        <v>22</v>
      </c>
      <c r="C748" s="2">
        <v>1984.0</v>
      </c>
      <c r="D748" s="9">
        <v>426.1833</v>
      </c>
      <c r="E748" s="10" t="str">
        <f t="array" ref="E748">IFS(D748&lt;=$G$3,'calculated data '!$A$3,D748&lt;=$G$4,'calculated data '!$A$4,D748&lt;=$G$6,'calculated data '!$A$5,D748&gt;=$G$6,'calculated data '!$A$6)</f>
        <v>Low Demand Tier</v>
      </c>
      <c r="F748" s="10">
        <f t="shared" si="1"/>
        <v>-0.6518905091</v>
      </c>
    </row>
    <row r="749" ht="14.25" customHeight="1">
      <c r="A749" s="2" t="s">
        <v>89</v>
      </c>
      <c r="B749" s="2" t="s">
        <v>90</v>
      </c>
      <c r="C749" s="2">
        <v>1993.0</v>
      </c>
      <c r="D749" s="9">
        <v>426.55518</v>
      </c>
      <c r="E749" s="10" t="str">
        <f t="array" ref="E749">IFS(D749&lt;=$G$3,'calculated data '!$A$3,D749&lt;=$G$4,'calculated data '!$A$4,D749&lt;=$G$6,'calculated data '!$A$5,D749&gt;=$G$6,'calculated data '!$A$6)</f>
        <v>Low Demand Tier</v>
      </c>
      <c r="F749" s="10">
        <f t="shared" si="1"/>
        <v>-0.6518806655</v>
      </c>
    </row>
    <row r="750" ht="14.25" customHeight="1">
      <c r="A750" s="2" t="s">
        <v>21</v>
      </c>
      <c r="B750" s="2" t="s">
        <v>22</v>
      </c>
      <c r="C750" s="2">
        <v>1982.0</v>
      </c>
      <c r="D750" s="9">
        <v>426.84964</v>
      </c>
      <c r="E750" s="10" t="str">
        <f t="array" ref="E750">IFS(D750&lt;=$G$3,'calculated data '!$A$3,D750&lt;=$G$4,'calculated data '!$A$4,D750&lt;=$G$6,'calculated data '!$A$5,D750&gt;=$G$6,'calculated data '!$A$6)</f>
        <v>Low Demand Tier</v>
      </c>
      <c r="F750" s="10">
        <f t="shared" si="1"/>
        <v>-0.6518728712</v>
      </c>
    </row>
    <row r="751" ht="14.25" customHeight="1">
      <c r="A751" s="2" t="s">
        <v>103</v>
      </c>
      <c r="B751" s="2" t="s">
        <v>104</v>
      </c>
      <c r="C751" s="2">
        <v>2001.0</v>
      </c>
      <c r="D751" s="9">
        <v>428.2784</v>
      </c>
      <c r="E751" s="10" t="str">
        <f t="array" ref="E751">IFS(D751&lt;=$G$3,'calculated data '!$A$3,D751&lt;=$G$4,'calculated data '!$A$4,D751&lt;=$G$6,'calculated data '!$A$5,D751&gt;=$G$6,'calculated data '!$A$6)</f>
        <v>Low Demand Tier</v>
      </c>
      <c r="F751" s="10">
        <f t="shared" si="1"/>
        <v>-0.6518350523</v>
      </c>
    </row>
    <row r="752" ht="14.25" customHeight="1">
      <c r="A752" s="2" t="s">
        <v>97</v>
      </c>
      <c r="B752" s="2" t="s">
        <v>98</v>
      </c>
      <c r="C752" s="2">
        <v>1999.0</v>
      </c>
      <c r="D752" s="9">
        <v>429.0188</v>
      </c>
      <c r="E752" s="10" t="str">
        <f t="array" ref="E752">IFS(D752&lt;=$G$3,'calculated data '!$A$3,D752&lt;=$G$4,'calculated data '!$A$4,D752&lt;=$G$6,'calculated data '!$A$5,D752&gt;=$G$6,'calculated data '!$A$6)</f>
        <v>Low Demand Tier</v>
      </c>
      <c r="F752" s="10">
        <f t="shared" si="1"/>
        <v>-0.6518154541</v>
      </c>
    </row>
    <row r="753" ht="14.25" customHeight="1">
      <c r="A753" s="2" t="s">
        <v>101</v>
      </c>
      <c r="B753" s="2" t="s">
        <v>102</v>
      </c>
      <c r="C753" s="2">
        <v>2006.0</v>
      </c>
      <c r="D753" s="9">
        <v>429.44547</v>
      </c>
      <c r="E753" s="10" t="str">
        <f t="array" ref="E753">IFS(D753&lt;=$G$3,'calculated data '!$A$3,D753&lt;=$G$4,'calculated data '!$A$4,D753&lt;=$G$6,'calculated data '!$A$5,D753&gt;=$G$6,'calculated data '!$A$6)</f>
        <v>Low Demand Tier</v>
      </c>
      <c r="F753" s="10">
        <f t="shared" si="1"/>
        <v>-0.6518041603</v>
      </c>
    </row>
    <row r="754" ht="14.25" customHeight="1">
      <c r="A754" s="2" t="s">
        <v>83</v>
      </c>
      <c r="B754" s="2" t="s">
        <v>84</v>
      </c>
      <c r="C754" s="2">
        <v>1997.0</v>
      </c>
      <c r="D754" s="9">
        <v>429.55368</v>
      </c>
      <c r="E754" s="10" t="str">
        <f t="array" ref="E754">IFS(D754&lt;=$G$3,'calculated data '!$A$3,D754&lt;=$G$4,'calculated data '!$A$4,D754&lt;=$G$6,'calculated data '!$A$5,D754&gt;=$G$6,'calculated data '!$A$6)</f>
        <v>Low Demand Tier</v>
      </c>
      <c r="F754" s="10">
        <f t="shared" si="1"/>
        <v>-0.651801296</v>
      </c>
    </row>
    <row r="755" ht="14.25" customHeight="1">
      <c r="A755" s="2" t="s">
        <v>53</v>
      </c>
      <c r="B755" s="2" t="s">
        <v>54</v>
      </c>
      <c r="C755" s="2">
        <v>2020.0</v>
      </c>
      <c r="D755" s="9">
        <v>429.6828</v>
      </c>
      <c r="E755" s="10" t="str">
        <f t="array" ref="E755">IFS(D755&lt;=$G$3,'calculated data '!$A$3,D755&lt;=$G$4,'calculated data '!$A$4,D755&lt;=$G$6,'calculated data '!$A$5,D755&gt;=$G$6,'calculated data '!$A$6)</f>
        <v>Low Demand Tier</v>
      </c>
      <c r="F755" s="10">
        <f t="shared" si="1"/>
        <v>-0.6517978782</v>
      </c>
    </row>
    <row r="756" ht="14.25" customHeight="1">
      <c r="A756" s="2" t="s">
        <v>89</v>
      </c>
      <c r="B756" s="2" t="s">
        <v>90</v>
      </c>
      <c r="C756" s="2">
        <v>1980.0</v>
      </c>
      <c r="D756" s="9">
        <v>430.13785</v>
      </c>
      <c r="E756" s="10" t="str">
        <f t="array" ref="E756">IFS(D756&lt;=$G$3,'calculated data '!$A$3,D756&lt;=$G$4,'calculated data '!$A$4,D756&lt;=$G$6,'calculated data '!$A$5,D756&gt;=$G$6,'calculated data '!$A$6)</f>
        <v>Low Demand Tier</v>
      </c>
      <c r="F756" s="10">
        <f t="shared" si="1"/>
        <v>-0.6517858331</v>
      </c>
    </row>
    <row r="757" ht="14.25" customHeight="1">
      <c r="A757" s="2" t="s">
        <v>91</v>
      </c>
      <c r="B757" s="2" t="s">
        <v>92</v>
      </c>
      <c r="C757" s="2">
        <v>2000.0</v>
      </c>
      <c r="D757" s="9">
        <v>430.20172</v>
      </c>
      <c r="E757" s="10" t="str">
        <f t="array" ref="E757">IFS(D757&lt;=$G$3,'calculated data '!$A$3,D757&lt;=$G$4,'calculated data '!$A$4,D757&lt;=$G$6,'calculated data '!$A$5,D757&gt;=$G$6,'calculated data '!$A$6)</f>
        <v>Low Demand Tier</v>
      </c>
      <c r="F757" s="10">
        <f t="shared" si="1"/>
        <v>-0.6517841425</v>
      </c>
    </row>
    <row r="758" ht="14.25" customHeight="1">
      <c r="A758" s="2" t="s">
        <v>67</v>
      </c>
      <c r="B758" s="2" t="s">
        <v>68</v>
      </c>
      <c r="C758" s="2">
        <v>2019.0</v>
      </c>
      <c r="D758" s="9">
        <v>430.31583</v>
      </c>
      <c r="E758" s="10" t="str">
        <f t="array" ref="E758">IFS(D758&lt;=$G$3,'calculated data '!$A$3,D758&lt;=$G$4,'calculated data '!$A$4,D758&lt;=$G$6,'calculated data '!$A$5,D758&gt;=$G$6,'calculated data '!$A$6)</f>
        <v>Low Demand Tier</v>
      </c>
      <c r="F758" s="10">
        <f t="shared" si="1"/>
        <v>-0.651781122</v>
      </c>
    </row>
    <row r="759" ht="14.25" customHeight="1">
      <c r="A759" s="2" t="s">
        <v>103</v>
      </c>
      <c r="B759" s="2" t="s">
        <v>104</v>
      </c>
      <c r="C759" s="2">
        <v>1983.0</v>
      </c>
      <c r="D759" s="9">
        <v>430.67532</v>
      </c>
      <c r="E759" s="10" t="str">
        <f t="array" ref="E759">IFS(D759&lt;=$G$3,'calculated data '!$A$3,D759&lt;=$G$4,'calculated data '!$A$4,D759&lt;=$G$6,'calculated data '!$A$5,D759&gt;=$G$6,'calculated data '!$A$6)</f>
        <v>Low Demand Tier</v>
      </c>
      <c r="F759" s="10">
        <f t="shared" si="1"/>
        <v>-0.6517716064</v>
      </c>
    </row>
    <row r="760" ht="14.25" customHeight="1">
      <c r="A760" s="2" t="s">
        <v>89</v>
      </c>
      <c r="B760" s="2" t="s">
        <v>90</v>
      </c>
      <c r="C760" s="2">
        <v>1981.0</v>
      </c>
      <c r="D760" s="9">
        <v>430.8741</v>
      </c>
      <c r="E760" s="10" t="str">
        <f t="array" ref="E760">IFS(D760&lt;=$G$3,'calculated data '!$A$3,D760&lt;=$G$4,'calculated data '!$A$4,D760&lt;=$G$6,'calculated data '!$A$5,D760&gt;=$G$6,'calculated data '!$A$6)</f>
        <v>Low Demand Tier</v>
      </c>
      <c r="F760" s="10">
        <f t="shared" si="1"/>
        <v>-0.6517663448</v>
      </c>
    </row>
    <row r="761" ht="14.25" customHeight="1">
      <c r="A761" s="2" t="s">
        <v>105</v>
      </c>
      <c r="B761" s="2" t="s">
        <v>106</v>
      </c>
      <c r="C761" s="2">
        <v>2007.0</v>
      </c>
      <c r="D761" s="9">
        <v>431.1645</v>
      </c>
      <c r="E761" s="10" t="str">
        <f t="array" ref="E761">IFS(D761&lt;=$G$3,'calculated data '!$A$3,D761&lt;=$G$4,'calculated data '!$A$4,D761&lt;=$G$6,'calculated data '!$A$5,D761&gt;=$G$6,'calculated data '!$A$6)</f>
        <v>Low Demand Tier</v>
      </c>
      <c r="F761" s="10">
        <f t="shared" si="1"/>
        <v>-0.651758658</v>
      </c>
    </row>
    <row r="762" ht="14.25" customHeight="1">
      <c r="A762" s="2" t="s">
        <v>67</v>
      </c>
      <c r="B762" s="2" t="s">
        <v>68</v>
      </c>
      <c r="C762" s="2">
        <v>1990.0</v>
      </c>
      <c r="D762" s="9">
        <v>431.63815</v>
      </c>
      <c r="E762" s="10" t="str">
        <f t="array" ref="E762">IFS(D762&lt;=$G$3,'calculated data '!$A$3,D762&lt;=$G$4,'calculated data '!$A$4,D762&lt;=$G$6,'calculated data '!$A$5,D762&gt;=$G$6,'calculated data '!$A$6)</f>
        <v>Low Demand Tier</v>
      </c>
      <c r="F762" s="10">
        <f t="shared" si="1"/>
        <v>-0.6517461206</v>
      </c>
    </row>
    <row r="763" ht="14.25" customHeight="1">
      <c r="A763" s="2" t="s">
        <v>67</v>
      </c>
      <c r="B763" s="2" t="s">
        <v>68</v>
      </c>
      <c r="C763" s="2">
        <v>1991.0</v>
      </c>
      <c r="D763" s="9">
        <v>431.79678</v>
      </c>
      <c r="E763" s="10" t="str">
        <f t="array" ref="E763">IFS(D763&lt;=$G$3,'calculated data '!$A$3,D763&lt;=$G$4,'calculated data '!$A$4,D763&lt;=$G$6,'calculated data '!$A$5,D763&gt;=$G$6,'calculated data '!$A$6)</f>
        <v>Low Demand Tier</v>
      </c>
      <c r="F763" s="10">
        <f t="shared" si="1"/>
        <v>-0.6517419217</v>
      </c>
    </row>
    <row r="764" ht="14.25" customHeight="1">
      <c r="A764" s="2" t="s">
        <v>107</v>
      </c>
      <c r="B764" s="2" t="s">
        <v>108</v>
      </c>
      <c r="C764" s="2">
        <v>1980.0</v>
      </c>
      <c r="D764" s="9">
        <v>431.96292</v>
      </c>
      <c r="E764" s="10" t="str">
        <f t="array" ref="E764">IFS(D764&lt;=$G$3,'calculated data '!$A$3,D764&lt;=$G$4,'calculated data '!$A$4,D764&lt;=$G$6,'calculated data '!$A$5,D764&gt;=$G$6,'calculated data '!$A$6)</f>
        <v>Low Demand Tier</v>
      </c>
      <c r="F764" s="10">
        <f t="shared" si="1"/>
        <v>-0.651737524</v>
      </c>
    </row>
    <row r="765" ht="14.25" customHeight="1">
      <c r="A765" s="2" t="s">
        <v>89</v>
      </c>
      <c r="B765" s="2" t="s">
        <v>90</v>
      </c>
      <c r="C765" s="2">
        <v>1982.0</v>
      </c>
      <c r="D765" s="9">
        <v>434.0698</v>
      </c>
      <c r="E765" s="10" t="str">
        <f t="array" ref="E765">IFS(D765&lt;=$G$3,'calculated data '!$A$3,D765&lt;=$G$4,'calculated data '!$A$4,D765&lt;=$G$6,'calculated data '!$A$5,D765&gt;=$G$6,'calculated data '!$A$6)</f>
        <v>Low Demand Tier</v>
      </c>
      <c r="F765" s="10">
        <f t="shared" si="1"/>
        <v>-0.6516817554</v>
      </c>
    </row>
    <row r="766" ht="14.25" customHeight="1">
      <c r="A766" s="2" t="s">
        <v>93</v>
      </c>
      <c r="B766" s="2" t="s">
        <v>94</v>
      </c>
      <c r="C766" s="2">
        <v>1989.0</v>
      </c>
      <c r="D766" s="9">
        <v>434.46365</v>
      </c>
      <c r="E766" s="10" t="str">
        <f t="array" ref="E766">IFS(D766&lt;=$G$3,'calculated data '!$A$3,D766&lt;=$G$4,'calculated data '!$A$4,D766&lt;=$G$6,'calculated data '!$A$5,D766&gt;=$G$6,'calculated data '!$A$6)</f>
        <v>Low Demand Tier</v>
      </c>
      <c r="F766" s="10">
        <f t="shared" si="1"/>
        <v>-0.6516713303</v>
      </c>
    </row>
    <row r="767" ht="14.25" customHeight="1">
      <c r="A767" s="2" t="s">
        <v>93</v>
      </c>
      <c r="B767" s="2" t="s">
        <v>94</v>
      </c>
      <c r="C767" s="2">
        <v>1988.0</v>
      </c>
      <c r="D767" s="9">
        <v>434.7144</v>
      </c>
      <c r="E767" s="10" t="str">
        <f t="array" ref="E767">IFS(D767&lt;=$G$3,'calculated data '!$A$3,D767&lt;=$G$4,'calculated data '!$A$4,D767&lt;=$G$6,'calculated data '!$A$5,D767&gt;=$G$6,'calculated data '!$A$6)</f>
        <v>Low Demand Tier</v>
      </c>
      <c r="F767" s="10">
        <f t="shared" si="1"/>
        <v>-0.651664693</v>
      </c>
    </row>
    <row r="768" ht="14.25" customHeight="1">
      <c r="A768" s="2" t="s">
        <v>67</v>
      </c>
      <c r="B768" s="2" t="s">
        <v>68</v>
      </c>
      <c r="C768" s="2">
        <v>1987.0</v>
      </c>
      <c r="D768" s="9">
        <v>435.93936</v>
      </c>
      <c r="E768" s="10" t="str">
        <f t="array" ref="E768">IFS(D768&lt;=$G$3,'calculated data '!$A$3,D768&lt;=$G$4,'calculated data '!$A$4,D768&lt;=$G$6,'calculated data '!$A$5,D768&gt;=$G$6,'calculated data '!$A$6)</f>
        <v>Low Demand Tier</v>
      </c>
      <c r="F768" s="10">
        <f t="shared" si="1"/>
        <v>-0.6516322686</v>
      </c>
    </row>
    <row r="769" ht="14.25" customHeight="1">
      <c r="A769" s="2" t="s">
        <v>105</v>
      </c>
      <c r="B769" s="2" t="s">
        <v>106</v>
      </c>
      <c r="C769" s="2">
        <v>2010.0</v>
      </c>
      <c r="D769" s="9">
        <v>437.28287</v>
      </c>
      <c r="E769" s="10" t="str">
        <f t="array" ref="E769">IFS(D769&lt;=$G$3,'calculated data '!$A$3,D769&lt;=$G$4,'calculated data '!$A$4,D769&lt;=$G$6,'calculated data '!$A$5,D769&gt;=$G$6,'calculated data '!$A$6)</f>
        <v>Low Demand Tier</v>
      </c>
      <c r="F769" s="10">
        <f t="shared" si="1"/>
        <v>-0.6515967062</v>
      </c>
    </row>
    <row r="770" ht="14.25" customHeight="1">
      <c r="A770" s="2" t="s">
        <v>59</v>
      </c>
      <c r="B770" s="2" t="s">
        <v>60</v>
      </c>
      <c r="C770" s="2">
        <v>1998.0</v>
      </c>
      <c r="D770" s="9">
        <v>437.88342</v>
      </c>
      <c r="E770" s="10" t="str">
        <f t="array" ref="E770">IFS(D770&lt;=$G$3,'calculated data '!$A$3,D770&lt;=$G$4,'calculated data '!$A$4,D770&lt;=$G$6,'calculated data '!$A$5,D770&gt;=$G$6,'calculated data '!$A$6)</f>
        <v>Low Demand Tier</v>
      </c>
      <c r="F770" s="10">
        <f t="shared" si="1"/>
        <v>-0.6515808098</v>
      </c>
    </row>
    <row r="771" ht="14.25" customHeight="1">
      <c r="A771" s="2" t="s">
        <v>89</v>
      </c>
      <c r="B771" s="2" t="s">
        <v>90</v>
      </c>
      <c r="C771" s="2">
        <v>2017.0</v>
      </c>
      <c r="D771" s="9">
        <v>438.04407</v>
      </c>
      <c r="E771" s="10" t="str">
        <f t="array" ref="E771">IFS(D771&lt;=$G$3,'calculated data '!$A$3,D771&lt;=$G$4,'calculated data '!$A$4,D771&lt;=$G$6,'calculated data '!$A$5,D771&gt;=$G$6,'calculated data '!$A$6)</f>
        <v>Low Demand Tier</v>
      </c>
      <c r="F771" s="10">
        <f t="shared" si="1"/>
        <v>-0.6515765575</v>
      </c>
    </row>
    <row r="772" ht="14.25" customHeight="1">
      <c r="A772" s="2" t="s">
        <v>103</v>
      </c>
      <c r="B772" s="2" t="s">
        <v>104</v>
      </c>
      <c r="C772" s="2">
        <v>1992.0</v>
      </c>
      <c r="D772" s="9">
        <v>438.9639</v>
      </c>
      <c r="E772" s="10" t="str">
        <f t="array" ref="E772">IFS(D772&lt;=$G$3,'calculated data '!$A$3,D772&lt;=$G$4,'calculated data '!$A$4,D772&lt;=$G$6,'calculated data '!$A$5,D772&gt;=$G$6,'calculated data '!$A$6)</f>
        <v>Low Demand Tier</v>
      </c>
      <c r="F772" s="10">
        <f t="shared" si="1"/>
        <v>-0.6515522098</v>
      </c>
    </row>
    <row r="773" ht="14.25" customHeight="1">
      <c r="A773" s="2" t="s">
        <v>91</v>
      </c>
      <c r="B773" s="2" t="s">
        <v>92</v>
      </c>
      <c r="C773" s="2">
        <v>1980.0</v>
      </c>
      <c r="D773" s="9">
        <v>439.26218</v>
      </c>
      <c r="E773" s="10" t="str">
        <f t="array" ref="E773">IFS(D773&lt;=$G$3,'calculated data '!$A$3,D773&lt;=$G$4,'calculated data '!$A$4,D773&lt;=$G$6,'calculated data '!$A$5,D773&gt;=$G$6,'calculated data '!$A$6)</f>
        <v>Low Demand Tier</v>
      </c>
      <c r="F773" s="10">
        <f t="shared" si="1"/>
        <v>-0.6515443144</v>
      </c>
    </row>
    <row r="774" ht="14.25" customHeight="1">
      <c r="A774" s="2" t="s">
        <v>67</v>
      </c>
      <c r="B774" s="2" t="s">
        <v>68</v>
      </c>
      <c r="C774" s="2">
        <v>2020.0</v>
      </c>
      <c r="D774" s="9">
        <v>440.12512</v>
      </c>
      <c r="E774" s="10" t="str">
        <f t="array" ref="E774">IFS(D774&lt;=$G$3,'calculated data '!$A$3,D774&lt;=$G$4,'calculated data '!$A$4,D774&lt;=$G$6,'calculated data '!$A$5,D774&gt;=$G$6,'calculated data '!$A$6)</f>
        <v>Low Demand Tier</v>
      </c>
      <c r="F774" s="10">
        <f t="shared" si="1"/>
        <v>-0.6515214726</v>
      </c>
    </row>
    <row r="775" ht="14.25" customHeight="1">
      <c r="A775" s="2" t="s">
        <v>109</v>
      </c>
      <c r="B775" s="2" t="s">
        <v>110</v>
      </c>
      <c r="C775" s="2">
        <v>2018.0</v>
      </c>
      <c r="D775" s="9">
        <v>440.8255</v>
      </c>
      <c r="E775" s="10" t="str">
        <f t="array" ref="E775">IFS(D775&lt;=$G$3,'calculated data '!$A$3,D775&lt;=$G$4,'calculated data '!$A$4,D775&lt;=$G$6,'calculated data '!$A$5,D775&gt;=$G$6,'calculated data '!$A$6)</f>
        <v>Low Demand Tier</v>
      </c>
      <c r="F775" s="10">
        <f t="shared" si="1"/>
        <v>-0.6515029337</v>
      </c>
    </row>
    <row r="776" ht="14.25" customHeight="1">
      <c r="A776" s="2" t="s">
        <v>101</v>
      </c>
      <c r="B776" s="2" t="s">
        <v>102</v>
      </c>
      <c r="C776" s="2">
        <v>2007.0</v>
      </c>
      <c r="D776" s="9">
        <v>441.54108</v>
      </c>
      <c r="E776" s="10" t="str">
        <f t="array" ref="E776">IFS(D776&lt;=$G$3,'calculated data '!$A$3,D776&lt;=$G$4,'calculated data '!$A$4,D776&lt;=$G$6,'calculated data '!$A$5,D776&gt;=$G$6,'calculated data '!$A$6)</f>
        <v>Low Demand Tier</v>
      </c>
      <c r="F776" s="10">
        <f t="shared" si="1"/>
        <v>-0.6514839925</v>
      </c>
    </row>
    <row r="777" ht="14.25" customHeight="1">
      <c r="A777" s="2" t="s">
        <v>89</v>
      </c>
      <c r="B777" s="2" t="s">
        <v>90</v>
      </c>
      <c r="C777" s="2">
        <v>1991.0</v>
      </c>
      <c r="D777" s="9">
        <v>441.74545</v>
      </c>
      <c r="E777" s="10" t="str">
        <f t="array" ref="E777">IFS(D777&lt;=$G$3,'calculated data '!$A$3,D777&lt;=$G$4,'calculated data '!$A$4,D777&lt;=$G$6,'calculated data '!$A$5,D777&gt;=$G$6,'calculated data '!$A$6)</f>
        <v>Low Demand Tier</v>
      </c>
      <c r="F777" s="10">
        <f t="shared" si="1"/>
        <v>-0.6514785829</v>
      </c>
    </row>
    <row r="778" ht="14.25" customHeight="1">
      <c r="A778" s="2" t="s">
        <v>77</v>
      </c>
      <c r="B778" s="2" t="s">
        <v>78</v>
      </c>
      <c r="C778" s="2">
        <v>1997.0</v>
      </c>
      <c r="D778" s="9">
        <v>442.53815</v>
      </c>
      <c r="E778" s="10" t="str">
        <f t="array" ref="E778">IFS(D778&lt;=$G$3,'calculated data '!$A$3,D778&lt;=$G$4,'calculated data '!$A$4,D778&lt;=$G$6,'calculated data '!$A$5,D778&gt;=$G$6,'calculated data '!$A$6)</f>
        <v>Low Demand Tier</v>
      </c>
      <c r="F778" s="10">
        <f t="shared" si="1"/>
        <v>-0.6514576003</v>
      </c>
    </row>
    <row r="779" ht="14.25" customHeight="1">
      <c r="A779" s="2" t="s">
        <v>93</v>
      </c>
      <c r="B779" s="2" t="s">
        <v>94</v>
      </c>
      <c r="C779" s="2">
        <v>1984.0</v>
      </c>
      <c r="D779" s="9">
        <v>443.8896</v>
      </c>
      <c r="E779" s="10" t="str">
        <f t="array" ref="E779">IFS(D779&lt;=$G$3,'calculated data '!$A$3,D779&lt;=$G$4,'calculated data '!$A$4,D779&lt;=$G$6,'calculated data '!$A$5,D779&gt;=$G$6,'calculated data '!$A$6)</f>
        <v>Low Demand Tier</v>
      </c>
      <c r="F779" s="10">
        <f t="shared" si="1"/>
        <v>-0.6514218277</v>
      </c>
    </row>
    <row r="780" ht="14.25" customHeight="1">
      <c r="A780" s="2" t="s">
        <v>101</v>
      </c>
      <c r="B780" s="2" t="s">
        <v>102</v>
      </c>
      <c r="C780" s="2">
        <v>2011.0</v>
      </c>
      <c r="D780" s="9">
        <v>445.29364</v>
      </c>
      <c r="E780" s="10" t="str">
        <f t="array" ref="E780">IFS(D780&lt;=$G$3,'calculated data '!$A$3,D780&lt;=$G$4,'calculated data '!$A$4,D780&lt;=$G$6,'calculated data '!$A$5,D780&gt;=$G$6,'calculated data '!$A$6)</f>
        <v>Low Demand Tier</v>
      </c>
      <c r="F780" s="10">
        <f t="shared" si="1"/>
        <v>-0.6513846631</v>
      </c>
    </row>
    <row r="781" ht="14.25" customHeight="1">
      <c r="A781" s="2" t="s">
        <v>103</v>
      </c>
      <c r="B781" s="2" t="s">
        <v>104</v>
      </c>
      <c r="C781" s="2">
        <v>1993.0</v>
      </c>
      <c r="D781" s="9">
        <v>445.60825</v>
      </c>
      <c r="E781" s="10" t="str">
        <f t="array" ref="E781">IFS(D781&lt;=$G$3,'calculated data '!$A$3,D781&lt;=$G$4,'calculated data '!$A$4,D781&lt;=$G$6,'calculated data '!$A$5,D781&gt;=$G$6,'calculated data '!$A$6)</f>
        <v>Low Demand Tier</v>
      </c>
      <c r="F781" s="10">
        <f t="shared" si="1"/>
        <v>-0.6513763355</v>
      </c>
    </row>
    <row r="782" ht="14.25" customHeight="1">
      <c r="A782" s="2" t="s">
        <v>57</v>
      </c>
      <c r="B782" s="2" t="s">
        <v>58</v>
      </c>
      <c r="C782" s="2">
        <v>1850.0</v>
      </c>
      <c r="D782" s="9">
        <v>446.0636</v>
      </c>
      <c r="E782" s="10" t="str">
        <f t="array" ref="E782">IFS(D782&lt;=$G$3,'calculated data '!$A$3,D782&lt;=$G$4,'calculated data '!$A$4,D782&lt;=$G$6,'calculated data '!$A$5,D782&gt;=$G$6,'calculated data '!$A$6)</f>
        <v>Low Demand Tier</v>
      </c>
      <c r="F782" s="10">
        <f t="shared" si="1"/>
        <v>-0.6513642825</v>
      </c>
    </row>
    <row r="783" ht="14.25" customHeight="1">
      <c r="A783" s="2" t="s">
        <v>105</v>
      </c>
      <c r="B783" s="2" t="s">
        <v>106</v>
      </c>
      <c r="C783" s="2">
        <v>2004.0</v>
      </c>
      <c r="D783" s="9">
        <v>447.60278</v>
      </c>
      <c r="E783" s="10" t="str">
        <f t="array" ref="E783">IFS(D783&lt;=$G$3,'calculated data '!$A$3,D783&lt;=$G$4,'calculated data '!$A$4,D783&lt;=$G$6,'calculated data '!$A$5,D783&gt;=$G$6,'calculated data '!$A$6)</f>
        <v>Low Demand Tier</v>
      </c>
      <c r="F783" s="10">
        <f t="shared" si="1"/>
        <v>-0.6513235408</v>
      </c>
    </row>
    <row r="784" ht="14.25" customHeight="1">
      <c r="A784" s="2" t="s">
        <v>53</v>
      </c>
      <c r="B784" s="2" t="s">
        <v>54</v>
      </c>
      <c r="C784" s="2">
        <v>2022.0</v>
      </c>
      <c r="D784" s="9">
        <v>448.06906</v>
      </c>
      <c r="E784" s="10" t="str">
        <f t="array" ref="E784">IFS(D784&lt;=$G$3,'calculated data '!$A$3,D784&lt;=$G$4,'calculated data '!$A$4,D784&lt;=$G$6,'calculated data '!$A$5,D784&gt;=$G$6,'calculated data '!$A$6)</f>
        <v>Low Demand Tier</v>
      </c>
      <c r="F784" s="10">
        <f t="shared" si="1"/>
        <v>-0.6513111985</v>
      </c>
    </row>
    <row r="785" ht="14.25" customHeight="1">
      <c r="A785" s="2" t="s">
        <v>101</v>
      </c>
      <c r="B785" s="2" t="s">
        <v>102</v>
      </c>
      <c r="C785" s="2">
        <v>2005.0</v>
      </c>
      <c r="D785" s="9">
        <v>448.10397</v>
      </c>
      <c r="E785" s="10" t="str">
        <f t="array" ref="E785">IFS(D785&lt;=$G$3,'calculated data '!$A$3,D785&lt;=$G$4,'calculated data '!$A$4,D785&lt;=$G$6,'calculated data '!$A$5,D785&gt;=$G$6,'calculated data '!$A$6)</f>
        <v>Low Demand Tier</v>
      </c>
      <c r="F785" s="10">
        <f t="shared" si="1"/>
        <v>-0.6513102744</v>
      </c>
    </row>
    <row r="786" ht="14.25" customHeight="1">
      <c r="A786" s="2" t="s">
        <v>91</v>
      </c>
      <c r="B786" s="2" t="s">
        <v>92</v>
      </c>
      <c r="C786" s="2">
        <v>1981.0</v>
      </c>
      <c r="D786" s="9">
        <v>449.45126</v>
      </c>
      <c r="E786" s="10" t="str">
        <f t="array" ref="E786">IFS(D786&lt;=$G$3,'calculated data '!$A$3,D786&lt;=$G$4,'calculated data '!$A$4,D786&lt;=$G$6,'calculated data '!$A$5,D786&gt;=$G$6,'calculated data '!$A$6)</f>
        <v>Low Demand Tier</v>
      </c>
      <c r="F786" s="10">
        <f t="shared" si="1"/>
        <v>-0.651274612</v>
      </c>
    </row>
    <row r="787" ht="14.25" customHeight="1">
      <c r="A787" s="2" t="s">
        <v>67</v>
      </c>
      <c r="B787" s="2" t="s">
        <v>68</v>
      </c>
      <c r="C787" s="2">
        <v>1994.0</v>
      </c>
      <c r="D787" s="9">
        <v>449.8916</v>
      </c>
      <c r="E787" s="10" t="str">
        <f t="array" ref="E787">IFS(D787&lt;=$G$3,'calculated data '!$A$3,D787&lt;=$G$4,'calculated data '!$A$4,D787&lt;=$G$6,'calculated data '!$A$5,D787&gt;=$G$6,'calculated data '!$A$6)</f>
        <v>Low Demand Tier</v>
      </c>
      <c r="F787" s="10">
        <f t="shared" si="1"/>
        <v>-0.6512629563</v>
      </c>
    </row>
    <row r="788" ht="14.25" customHeight="1">
      <c r="A788" s="2" t="s">
        <v>89</v>
      </c>
      <c r="B788" s="2" t="s">
        <v>90</v>
      </c>
      <c r="C788" s="2">
        <v>1990.0</v>
      </c>
      <c r="D788" s="9">
        <v>450.17517</v>
      </c>
      <c r="E788" s="10" t="str">
        <f t="array" ref="E788">IFS(D788&lt;=$G$3,'calculated data '!$A$3,D788&lt;=$G$4,'calculated data '!$A$4,D788&lt;=$G$6,'calculated data '!$A$5,D788&gt;=$G$6,'calculated data '!$A$6)</f>
        <v>Low Demand Tier</v>
      </c>
      <c r="F788" s="10">
        <f t="shared" si="1"/>
        <v>-0.6512554503</v>
      </c>
    </row>
    <row r="789" ht="14.25" customHeight="1">
      <c r="A789" s="2" t="s">
        <v>101</v>
      </c>
      <c r="B789" s="2" t="s">
        <v>102</v>
      </c>
      <c r="C789" s="2">
        <v>2003.0</v>
      </c>
      <c r="D789" s="9">
        <v>450.40002</v>
      </c>
      <c r="E789" s="10" t="str">
        <f t="array" ref="E789">IFS(D789&lt;=$G$3,'calculated data '!$A$3,D789&lt;=$G$4,'calculated data '!$A$4,D789&lt;=$G$6,'calculated data '!$A$5,D789&gt;=$G$6,'calculated data '!$A$6)</f>
        <v>Low Demand Tier</v>
      </c>
      <c r="F789" s="10">
        <f t="shared" si="1"/>
        <v>-0.6512494985</v>
      </c>
    </row>
    <row r="790" ht="14.25" customHeight="1">
      <c r="A790" s="2" t="s">
        <v>73</v>
      </c>
      <c r="B790" s="2" t="s">
        <v>74</v>
      </c>
      <c r="C790" s="2">
        <v>2008.0</v>
      </c>
      <c r="D790" s="9">
        <v>451.65173</v>
      </c>
      <c r="E790" s="10" t="str">
        <f t="array" ref="E790">IFS(D790&lt;=$G$3,'calculated data '!$A$3,D790&lt;=$G$4,'calculated data '!$A$4,D790&lt;=$G$6,'calculated data '!$A$5,D790&gt;=$G$6,'calculated data '!$A$6)</f>
        <v>Low Demand Tier</v>
      </c>
      <c r="F790" s="10">
        <f t="shared" si="1"/>
        <v>-0.6512163661</v>
      </c>
    </row>
    <row r="791" ht="14.25" customHeight="1">
      <c r="A791" s="2" t="s">
        <v>67</v>
      </c>
      <c r="B791" s="2" t="s">
        <v>68</v>
      </c>
      <c r="C791" s="2">
        <v>1986.0</v>
      </c>
      <c r="D791" s="9">
        <v>452.5742</v>
      </c>
      <c r="E791" s="10" t="str">
        <f t="array" ref="E791">IFS(D791&lt;=$G$3,'calculated data '!$A$3,D791&lt;=$G$4,'calculated data '!$A$4,D791&lt;=$G$6,'calculated data '!$A$5,D791&gt;=$G$6,'calculated data '!$A$6)</f>
        <v>Low Demand Tier</v>
      </c>
      <c r="F791" s="10">
        <f t="shared" si="1"/>
        <v>-0.6511919485</v>
      </c>
    </row>
    <row r="792" ht="14.25" customHeight="1">
      <c r="A792" s="2" t="s">
        <v>103</v>
      </c>
      <c r="B792" s="2" t="s">
        <v>104</v>
      </c>
      <c r="C792" s="2">
        <v>1987.0</v>
      </c>
      <c r="D792" s="9">
        <v>453.8531</v>
      </c>
      <c r="E792" s="10" t="str">
        <f t="array" ref="E792">IFS(D792&lt;=$G$3,'calculated data '!$A$3,D792&lt;=$G$4,'calculated data '!$A$4,D792&lt;=$G$6,'calculated data '!$A$5,D792&gt;=$G$6,'calculated data '!$A$6)</f>
        <v>Low Demand Tier</v>
      </c>
      <c r="F792" s="10">
        <f t="shared" si="1"/>
        <v>-0.6511580964</v>
      </c>
    </row>
    <row r="793" ht="14.25" customHeight="1">
      <c r="A793" s="2" t="s">
        <v>103</v>
      </c>
      <c r="B793" s="2" t="s">
        <v>104</v>
      </c>
      <c r="C793" s="2">
        <v>1989.0</v>
      </c>
      <c r="D793" s="9">
        <v>454.828</v>
      </c>
      <c r="E793" s="10" t="str">
        <f t="array" ref="E793">IFS(D793&lt;=$G$3,'calculated data '!$A$3,D793&lt;=$G$4,'calculated data '!$A$4,D793&lt;=$G$6,'calculated data '!$A$5,D793&gt;=$G$6,'calculated data '!$A$6)</f>
        <v>Low Demand Tier</v>
      </c>
      <c r="F793" s="10">
        <f t="shared" si="1"/>
        <v>-0.651132291</v>
      </c>
    </row>
    <row r="794" ht="14.25" customHeight="1">
      <c r="A794" s="2" t="s">
        <v>73</v>
      </c>
      <c r="B794" s="2" t="s">
        <v>74</v>
      </c>
      <c r="C794" s="2">
        <v>2007.0</v>
      </c>
      <c r="D794" s="9">
        <v>455.04968</v>
      </c>
      <c r="E794" s="10" t="str">
        <f t="array" ref="E794">IFS(D794&lt;=$G$3,'calculated data '!$A$3,D794&lt;=$G$4,'calculated data '!$A$4,D794&lt;=$G$6,'calculated data '!$A$5,D794&gt;=$G$6,'calculated data '!$A$6)</f>
        <v>Low Demand Tier</v>
      </c>
      <c r="F794" s="10">
        <f t="shared" si="1"/>
        <v>-0.6511264232</v>
      </c>
    </row>
    <row r="795" ht="14.25" customHeight="1">
      <c r="A795" s="2" t="s">
        <v>59</v>
      </c>
      <c r="B795" s="2" t="s">
        <v>60</v>
      </c>
      <c r="C795" s="2">
        <v>2007.0</v>
      </c>
      <c r="D795" s="9">
        <v>456.07898</v>
      </c>
      <c r="E795" s="10" t="str">
        <f t="array" ref="E795">IFS(D795&lt;=$G$3,'calculated data '!$A$3,D795&lt;=$G$4,'calculated data '!$A$4,D795&lt;=$G$6,'calculated data '!$A$5,D795&gt;=$G$6,'calculated data '!$A$6)</f>
        <v>Low Demand Tier</v>
      </c>
      <c r="F795" s="10">
        <f t="shared" si="1"/>
        <v>-0.6510991779</v>
      </c>
    </row>
    <row r="796" ht="14.25" customHeight="1">
      <c r="A796" s="2" t="s">
        <v>89</v>
      </c>
      <c r="B796" s="2" t="s">
        <v>90</v>
      </c>
      <c r="C796" s="2">
        <v>2021.0</v>
      </c>
      <c r="D796" s="9">
        <v>459.1946</v>
      </c>
      <c r="E796" s="10" t="str">
        <f t="array" ref="E796">IFS(D796&lt;=$G$3,'calculated data '!$A$3,D796&lt;=$G$4,'calculated data '!$A$4,D796&lt;=$G$6,'calculated data '!$A$5,D796&gt;=$G$6,'calculated data '!$A$6)</f>
        <v>Low Demand Tier</v>
      </c>
      <c r="F796" s="10">
        <f t="shared" si="1"/>
        <v>-0.6510167082</v>
      </c>
    </row>
    <row r="797" ht="14.25" customHeight="1">
      <c r="A797" s="2" t="s">
        <v>101</v>
      </c>
      <c r="B797" s="2" t="s">
        <v>102</v>
      </c>
      <c r="C797" s="2">
        <v>2008.0</v>
      </c>
      <c r="D797" s="9">
        <v>460.26605</v>
      </c>
      <c r="E797" s="10" t="str">
        <f t="array" ref="E797">IFS(D797&lt;=$G$3,'calculated data '!$A$3,D797&lt;=$G$4,'calculated data '!$A$4,D797&lt;=$G$6,'calculated data '!$A$5,D797&gt;=$G$6,'calculated data '!$A$6)</f>
        <v>Low Demand Tier</v>
      </c>
      <c r="F797" s="10">
        <f t="shared" si="1"/>
        <v>-0.6509883472</v>
      </c>
    </row>
    <row r="798" ht="14.25" customHeight="1">
      <c r="A798" s="2" t="s">
        <v>103</v>
      </c>
      <c r="B798" s="2" t="s">
        <v>104</v>
      </c>
      <c r="C798" s="2">
        <v>1985.0</v>
      </c>
      <c r="D798" s="9">
        <v>460.48068</v>
      </c>
      <c r="E798" s="10" t="str">
        <f t="array" ref="E798">IFS(D798&lt;=$G$3,'calculated data '!$A$3,D798&lt;=$G$4,'calculated data '!$A$4,D798&lt;=$G$6,'calculated data '!$A$5,D798&gt;=$G$6,'calculated data '!$A$6)</f>
        <v>Low Demand Tier</v>
      </c>
      <c r="F798" s="10">
        <f t="shared" si="1"/>
        <v>-0.650982666</v>
      </c>
    </row>
    <row r="799" ht="14.25" customHeight="1">
      <c r="A799" s="2" t="s">
        <v>93</v>
      </c>
      <c r="B799" s="2" t="s">
        <v>94</v>
      </c>
      <c r="C799" s="2">
        <v>1983.0</v>
      </c>
      <c r="D799" s="9">
        <v>461.0506</v>
      </c>
      <c r="E799" s="10" t="str">
        <f t="array" ref="E799">IFS(D799&lt;=$G$3,'calculated data '!$A$3,D799&lt;=$G$4,'calculated data '!$A$4,D799&lt;=$G$6,'calculated data '!$A$5,D799&gt;=$G$6,'calculated data '!$A$6)</f>
        <v>Low Demand Tier</v>
      </c>
      <c r="F799" s="10">
        <f t="shared" si="1"/>
        <v>-0.6509675803</v>
      </c>
    </row>
    <row r="800" ht="14.25" customHeight="1">
      <c r="A800" s="2" t="s">
        <v>53</v>
      </c>
      <c r="B800" s="2" t="s">
        <v>54</v>
      </c>
      <c r="C800" s="2">
        <v>2021.0</v>
      </c>
      <c r="D800" s="9">
        <v>462.58588</v>
      </c>
      <c r="E800" s="10" t="str">
        <f t="array" ref="E800">IFS(D800&lt;=$G$3,'calculated data '!$A$3,D800&lt;=$G$4,'calculated data '!$A$4,D800&lt;=$G$6,'calculated data '!$A$5,D800&gt;=$G$6,'calculated data '!$A$6)</f>
        <v>Low Demand Tier</v>
      </c>
      <c r="F800" s="10">
        <f t="shared" si="1"/>
        <v>-0.6509269419</v>
      </c>
    </row>
    <row r="801" ht="14.25" customHeight="1">
      <c r="A801" s="2" t="s">
        <v>101</v>
      </c>
      <c r="B801" s="2" t="s">
        <v>102</v>
      </c>
      <c r="C801" s="2">
        <v>2018.0</v>
      </c>
      <c r="D801" s="9">
        <v>462.9019</v>
      </c>
      <c r="E801" s="10" t="str">
        <f t="array" ref="E801">IFS(D801&lt;=$G$3,'calculated data '!$A$3,D801&lt;=$G$4,'calculated data '!$A$4,D801&lt;=$G$6,'calculated data '!$A$5,D801&gt;=$G$6,'calculated data '!$A$6)</f>
        <v>Low Demand Tier</v>
      </c>
      <c r="F801" s="10">
        <f t="shared" si="1"/>
        <v>-0.6509185769</v>
      </c>
    </row>
    <row r="802" ht="14.25" customHeight="1">
      <c r="A802" s="2" t="s">
        <v>77</v>
      </c>
      <c r="B802" s="2" t="s">
        <v>78</v>
      </c>
      <c r="C802" s="2">
        <v>2009.0</v>
      </c>
      <c r="D802" s="9">
        <v>463.29468</v>
      </c>
      <c r="E802" s="10" t="str">
        <f t="array" ref="E802">IFS(D802&lt;=$G$3,'calculated data '!$A$3,D802&lt;=$G$4,'calculated data '!$A$4,D802&lt;=$G$6,'calculated data '!$A$5,D802&gt;=$G$6,'calculated data '!$A$6)</f>
        <v>Low Demand Tier</v>
      </c>
      <c r="F802" s="10">
        <f t="shared" si="1"/>
        <v>-0.6509081801</v>
      </c>
    </row>
    <row r="803" ht="14.25" customHeight="1">
      <c r="A803" s="2" t="s">
        <v>67</v>
      </c>
      <c r="B803" s="2" t="s">
        <v>68</v>
      </c>
      <c r="C803" s="2">
        <v>1996.0</v>
      </c>
      <c r="D803" s="9">
        <v>463.58517</v>
      </c>
      <c r="E803" s="10" t="str">
        <f t="array" ref="E803">IFS(D803&lt;=$G$3,'calculated data '!$A$3,D803&lt;=$G$4,'calculated data '!$A$4,D803&lt;=$G$6,'calculated data '!$A$5,D803&gt;=$G$6,'calculated data '!$A$6)</f>
        <v>Low Demand Tier</v>
      </c>
      <c r="F803" s="10">
        <f t="shared" si="1"/>
        <v>-0.6509004909</v>
      </c>
    </row>
    <row r="804" ht="14.25" customHeight="1">
      <c r="A804" s="2" t="s">
        <v>105</v>
      </c>
      <c r="B804" s="2" t="s">
        <v>106</v>
      </c>
      <c r="C804" s="2">
        <v>2003.0</v>
      </c>
      <c r="D804" s="9">
        <v>463.9062</v>
      </c>
      <c r="E804" s="10" t="str">
        <f t="array" ref="E804">IFS(D804&lt;=$G$3,'calculated data '!$A$3,D804&lt;=$G$4,'calculated data '!$A$4,D804&lt;=$G$6,'calculated data '!$A$5,D804&gt;=$G$6,'calculated data '!$A$6)</f>
        <v>Low Demand Tier</v>
      </c>
      <c r="F804" s="10">
        <f t="shared" si="1"/>
        <v>-0.6508919933</v>
      </c>
    </row>
    <row r="805" ht="14.25" customHeight="1">
      <c r="A805" s="2" t="s">
        <v>67</v>
      </c>
      <c r="B805" s="2" t="s">
        <v>68</v>
      </c>
      <c r="C805" s="2">
        <v>1985.0</v>
      </c>
      <c r="D805" s="9">
        <v>464.39035</v>
      </c>
      <c r="E805" s="10" t="str">
        <f t="array" ref="E805">IFS(D805&lt;=$G$3,'calculated data '!$A$3,D805&lt;=$G$4,'calculated data '!$A$4,D805&lt;=$G$6,'calculated data '!$A$5,D805&gt;=$G$6,'calculated data '!$A$6)</f>
        <v>Low Demand Tier</v>
      </c>
      <c r="F805" s="10">
        <f t="shared" si="1"/>
        <v>-0.650879178</v>
      </c>
    </row>
    <row r="806" ht="14.25" customHeight="1">
      <c r="A806" s="2" t="s">
        <v>73</v>
      </c>
      <c r="B806" s="2" t="s">
        <v>74</v>
      </c>
      <c r="C806" s="2">
        <v>2009.0</v>
      </c>
      <c r="D806" s="9">
        <v>465.5516</v>
      </c>
      <c r="E806" s="10" t="str">
        <f t="array" ref="E806">IFS(D806&lt;=$G$3,'calculated data '!$A$3,D806&lt;=$G$4,'calculated data '!$A$4,D806&lt;=$G$6,'calculated data '!$A$5,D806&gt;=$G$6,'calculated data '!$A$6)</f>
        <v>Low Demand Tier</v>
      </c>
      <c r="F806" s="10">
        <f t="shared" si="1"/>
        <v>-0.65084844</v>
      </c>
    </row>
    <row r="807" ht="14.25" customHeight="1">
      <c r="A807" s="2" t="s">
        <v>63</v>
      </c>
      <c r="B807" s="2" t="s">
        <v>64</v>
      </c>
      <c r="C807" s="2">
        <v>2013.0</v>
      </c>
      <c r="D807" s="9">
        <v>466.4675</v>
      </c>
      <c r="E807" s="10" t="str">
        <f t="array" ref="E807">IFS(D807&lt;=$G$3,'calculated data '!$A$3,D807&lt;=$G$4,'calculated data '!$A$4,D807&lt;=$G$6,'calculated data '!$A$5,D807&gt;=$G$6,'calculated data '!$A$6)</f>
        <v>Low Demand Tier</v>
      </c>
      <c r="F807" s="10">
        <f t="shared" si="1"/>
        <v>-0.6508241963</v>
      </c>
    </row>
    <row r="808" ht="14.25" customHeight="1">
      <c r="A808" s="2" t="s">
        <v>89</v>
      </c>
      <c r="B808" s="2" t="s">
        <v>90</v>
      </c>
      <c r="C808" s="2">
        <v>2016.0</v>
      </c>
      <c r="D808" s="9">
        <v>466.9426</v>
      </c>
      <c r="E808" s="10" t="str">
        <f t="array" ref="E808">IFS(D808&lt;=$G$3,'calculated data '!$A$3,D808&lt;=$G$4,'calculated data '!$A$4,D808&lt;=$G$6,'calculated data '!$A$5,D808&gt;=$G$6,'calculated data '!$A$6)</f>
        <v>Low Demand Tier</v>
      </c>
      <c r="F808" s="10">
        <f t="shared" si="1"/>
        <v>-0.6508116206</v>
      </c>
    </row>
    <row r="809" ht="14.25" customHeight="1">
      <c r="A809" s="2" t="s">
        <v>21</v>
      </c>
      <c r="B809" s="2" t="s">
        <v>22</v>
      </c>
      <c r="C809" s="2">
        <v>1985.0</v>
      </c>
      <c r="D809" s="9">
        <v>467.0933</v>
      </c>
      <c r="E809" s="10" t="str">
        <f t="array" ref="E809">IFS(D809&lt;=$G$3,'calculated data '!$A$3,D809&lt;=$G$4,'calculated data '!$A$4,D809&lt;=$G$6,'calculated data '!$A$5,D809&gt;=$G$6,'calculated data '!$A$6)</f>
        <v>Low Demand Tier</v>
      </c>
      <c r="F809" s="10">
        <f t="shared" si="1"/>
        <v>-0.6508076316</v>
      </c>
    </row>
    <row r="810" ht="14.25" customHeight="1">
      <c r="A810" s="2" t="s">
        <v>59</v>
      </c>
      <c r="B810" s="2" t="s">
        <v>60</v>
      </c>
      <c r="C810" s="2">
        <v>2006.0</v>
      </c>
      <c r="D810" s="9">
        <v>468.01636</v>
      </c>
      <c r="E810" s="10" t="str">
        <f t="array" ref="E810">IFS(D810&lt;=$G$3,'calculated data '!$A$3,D810&lt;=$G$4,'calculated data '!$A$4,D810&lt;=$G$6,'calculated data '!$A$5,D810&gt;=$G$6,'calculated data '!$A$6)</f>
        <v>Low Demand Tier</v>
      </c>
      <c r="F810" s="10">
        <f t="shared" si="1"/>
        <v>-0.6507831984</v>
      </c>
    </row>
    <row r="811" ht="14.25" customHeight="1">
      <c r="A811" s="2" t="s">
        <v>59</v>
      </c>
      <c r="B811" s="2" t="s">
        <v>60</v>
      </c>
      <c r="C811" s="2">
        <v>2000.0</v>
      </c>
      <c r="D811" s="9">
        <v>468.38828</v>
      </c>
      <c r="E811" s="10" t="str">
        <f t="array" ref="E811">IFS(D811&lt;=$G$3,'calculated data '!$A$3,D811&lt;=$G$4,'calculated data '!$A$4,D811&lt;=$G$6,'calculated data '!$A$5,D811&gt;=$G$6,'calculated data '!$A$6)</f>
        <v>Low Demand Tier</v>
      </c>
      <c r="F811" s="10">
        <f t="shared" si="1"/>
        <v>-0.6507733538</v>
      </c>
    </row>
    <row r="812" ht="14.25" customHeight="1">
      <c r="A812" s="2" t="s">
        <v>87</v>
      </c>
      <c r="B812" s="2" t="s">
        <v>88</v>
      </c>
      <c r="C812" s="2">
        <v>1998.0</v>
      </c>
      <c r="D812" s="9">
        <v>469.03436</v>
      </c>
      <c r="E812" s="10" t="str">
        <f t="array" ref="E812">IFS(D812&lt;=$G$3,'calculated data '!$A$3,D812&lt;=$G$4,'calculated data '!$A$4,D812&lt;=$G$6,'calculated data '!$A$5,D812&gt;=$G$6,'calculated data '!$A$6)</f>
        <v>Low Demand Tier</v>
      </c>
      <c r="F812" s="10">
        <f t="shared" si="1"/>
        <v>-0.6507562522</v>
      </c>
    </row>
    <row r="813" ht="14.25" customHeight="1">
      <c r="A813" s="2" t="s">
        <v>103</v>
      </c>
      <c r="B813" s="2" t="s">
        <v>104</v>
      </c>
      <c r="C813" s="2">
        <v>2002.0</v>
      </c>
      <c r="D813" s="9">
        <v>469.11624</v>
      </c>
      <c r="E813" s="10" t="str">
        <f t="array" ref="E813">IFS(D813&lt;=$G$3,'calculated data '!$A$3,D813&lt;=$G$4,'calculated data '!$A$4,D813&lt;=$G$6,'calculated data '!$A$5,D813&gt;=$G$6,'calculated data '!$A$6)</f>
        <v>Low Demand Tier</v>
      </c>
      <c r="F813" s="10">
        <f t="shared" si="1"/>
        <v>-0.6507540849</v>
      </c>
    </row>
    <row r="814" ht="14.25" customHeight="1">
      <c r="A814" s="2" t="s">
        <v>89</v>
      </c>
      <c r="B814" s="2" t="s">
        <v>90</v>
      </c>
      <c r="C814" s="2">
        <v>1989.0</v>
      </c>
      <c r="D814" s="9">
        <v>469.373</v>
      </c>
      <c r="E814" s="10" t="str">
        <f t="array" ref="E814">IFS(D814&lt;=$G$3,'calculated data '!$A$3,D814&lt;=$G$4,'calculated data '!$A$4,D814&lt;=$G$6,'calculated data '!$A$5,D814&gt;=$G$6,'calculated data '!$A$6)</f>
        <v>Low Demand Tier</v>
      </c>
      <c r="F814" s="10">
        <f t="shared" si="1"/>
        <v>-0.6507472885</v>
      </c>
    </row>
    <row r="815" ht="14.25" customHeight="1">
      <c r="A815" s="2" t="s">
        <v>105</v>
      </c>
      <c r="B815" s="2" t="s">
        <v>106</v>
      </c>
      <c r="C815" s="2">
        <v>2002.0</v>
      </c>
      <c r="D815" s="9">
        <v>470.08942</v>
      </c>
      <c r="E815" s="10" t="str">
        <f t="array" ref="E815">IFS(D815&lt;=$G$3,'calculated data '!$A$3,D815&lt;=$G$4,'calculated data '!$A$4,D815&lt;=$G$6,'calculated data '!$A$5,D815&gt;=$G$6,'calculated data '!$A$6)</f>
        <v>Low Demand Tier</v>
      </c>
      <c r="F815" s="10">
        <f t="shared" si="1"/>
        <v>-0.650728325</v>
      </c>
    </row>
    <row r="816" ht="14.25" customHeight="1">
      <c r="A816" s="2" t="s">
        <v>93</v>
      </c>
      <c r="B816" s="2" t="s">
        <v>94</v>
      </c>
      <c r="C816" s="2">
        <v>1986.0</v>
      </c>
      <c r="D816" s="9">
        <v>470.19125</v>
      </c>
      <c r="E816" s="10" t="str">
        <f t="array" ref="E816">IFS(D816&lt;=$G$3,'calculated data '!$A$3,D816&lt;=$G$4,'calculated data '!$A$4,D816&lt;=$G$6,'calculated data '!$A$5,D816&gt;=$G$6,'calculated data '!$A$6)</f>
        <v>Low Demand Tier</v>
      </c>
      <c r="F816" s="10">
        <f t="shared" si="1"/>
        <v>-0.6507256296</v>
      </c>
    </row>
    <row r="817" ht="14.25" customHeight="1">
      <c r="A817" s="2" t="s">
        <v>67</v>
      </c>
      <c r="B817" s="2" t="s">
        <v>68</v>
      </c>
      <c r="C817" s="2">
        <v>1984.0</v>
      </c>
      <c r="D817" s="9">
        <v>470.20312</v>
      </c>
      <c r="E817" s="10" t="str">
        <f t="array" ref="E817">IFS(D817&lt;=$G$3,'calculated data '!$A$3,D817&lt;=$G$4,'calculated data '!$A$4,D817&lt;=$G$6,'calculated data '!$A$5,D817&gt;=$G$6,'calculated data '!$A$6)</f>
        <v>Low Demand Tier</v>
      </c>
      <c r="F817" s="10">
        <f t="shared" si="1"/>
        <v>-0.6507253154</v>
      </c>
    </row>
    <row r="818" ht="14.25" customHeight="1">
      <c r="A818" s="2" t="s">
        <v>103</v>
      </c>
      <c r="B818" s="2" t="s">
        <v>104</v>
      </c>
      <c r="C818" s="2">
        <v>1980.0</v>
      </c>
      <c r="D818" s="9">
        <v>470.22662</v>
      </c>
      <c r="E818" s="10" t="str">
        <f t="array" ref="E818">IFS(D818&lt;=$G$3,'calculated data '!$A$3,D818&lt;=$G$4,'calculated data '!$A$4,D818&lt;=$G$6,'calculated data '!$A$5,D818&gt;=$G$6,'calculated data '!$A$6)</f>
        <v>Low Demand Tier</v>
      </c>
      <c r="F818" s="10">
        <f t="shared" si="1"/>
        <v>-0.6507246934</v>
      </c>
    </row>
    <row r="819" ht="14.25" customHeight="1">
      <c r="A819" s="2" t="s">
        <v>103</v>
      </c>
      <c r="B819" s="2" t="s">
        <v>104</v>
      </c>
      <c r="C819" s="2">
        <v>1988.0</v>
      </c>
      <c r="D819" s="9">
        <v>470.94104</v>
      </c>
      <c r="E819" s="10" t="str">
        <f t="array" ref="E819">IFS(D819&lt;=$G$3,'calculated data '!$A$3,D819&lt;=$G$4,'calculated data '!$A$4,D819&lt;=$G$6,'calculated data '!$A$5,D819&gt;=$G$6,'calculated data '!$A$6)</f>
        <v>Low Demand Tier</v>
      </c>
      <c r="F819" s="10">
        <f t="shared" si="1"/>
        <v>-0.6507057829</v>
      </c>
    </row>
    <row r="820" ht="14.25" customHeight="1">
      <c r="A820" s="2" t="s">
        <v>105</v>
      </c>
      <c r="B820" s="2" t="s">
        <v>106</v>
      </c>
      <c r="C820" s="2">
        <v>2006.0</v>
      </c>
      <c r="D820" s="9">
        <v>471.7315</v>
      </c>
      <c r="E820" s="10" t="str">
        <f t="array" ref="E820">IFS(D820&lt;=$G$3,'calculated data '!$A$3,D820&lt;=$G$4,'calculated data '!$A$4,D820&lt;=$G$6,'calculated data '!$A$5,D820&gt;=$G$6,'calculated data '!$A$6)</f>
        <v>Low Demand Tier</v>
      </c>
      <c r="F820" s="10">
        <f t="shared" si="1"/>
        <v>-0.6506848596</v>
      </c>
    </row>
    <row r="821" ht="14.25" customHeight="1">
      <c r="A821" s="2" t="s">
        <v>89</v>
      </c>
      <c r="B821" s="2" t="s">
        <v>90</v>
      </c>
      <c r="C821" s="2">
        <v>1988.0</v>
      </c>
      <c r="D821" s="9">
        <v>472.2003</v>
      </c>
      <c r="E821" s="10" t="str">
        <f t="array" ref="E821">IFS(D821&lt;=$G$3,'calculated data '!$A$3,D821&lt;=$G$4,'calculated data '!$A$4,D821&lt;=$G$6,'calculated data '!$A$5,D821&gt;=$G$6,'calculated data '!$A$6)</f>
        <v>Low Demand Tier</v>
      </c>
      <c r="F821" s="10">
        <f t="shared" si="1"/>
        <v>-0.6506724506</v>
      </c>
    </row>
    <row r="822" ht="14.25" customHeight="1">
      <c r="A822" s="2" t="s">
        <v>103</v>
      </c>
      <c r="B822" s="2" t="s">
        <v>104</v>
      </c>
      <c r="C822" s="2">
        <v>2003.0</v>
      </c>
      <c r="D822" s="9">
        <v>473.16513</v>
      </c>
      <c r="E822" s="10" t="str">
        <f t="array" ref="E822">IFS(D822&lt;=$G$3,'calculated data '!$A$3,D822&lt;=$G$4,'calculated data '!$A$4,D822&lt;=$G$6,'calculated data '!$A$5,D822&gt;=$G$6,'calculated data '!$A$6)</f>
        <v>Low Demand Tier</v>
      </c>
      <c r="F822" s="10">
        <f t="shared" si="1"/>
        <v>-0.6506469117</v>
      </c>
    </row>
    <row r="823" ht="14.25" customHeight="1">
      <c r="A823" s="2" t="s">
        <v>59</v>
      </c>
      <c r="B823" s="2" t="s">
        <v>60</v>
      </c>
      <c r="C823" s="2">
        <v>1999.0</v>
      </c>
      <c r="D823" s="9">
        <v>474.37433</v>
      </c>
      <c r="E823" s="10" t="str">
        <f t="array" ref="E823">IFS(D823&lt;=$G$3,'calculated data '!$A$3,D823&lt;=$G$4,'calculated data '!$A$4,D823&lt;=$G$6,'calculated data '!$A$5,D823&gt;=$G$6,'calculated data '!$A$6)</f>
        <v>Low Demand Tier</v>
      </c>
      <c r="F823" s="10">
        <f t="shared" si="1"/>
        <v>-0.6506149045</v>
      </c>
    </row>
    <row r="824" ht="14.25" customHeight="1">
      <c r="A824" s="2" t="s">
        <v>103</v>
      </c>
      <c r="B824" s="2" t="s">
        <v>104</v>
      </c>
      <c r="C824" s="2">
        <v>1984.0</v>
      </c>
      <c r="D824" s="9">
        <v>476.00443</v>
      </c>
      <c r="E824" s="10" t="str">
        <f t="array" ref="E824">IFS(D824&lt;=$G$3,'calculated data '!$A$3,D824&lt;=$G$4,'calculated data '!$A$4,D824&lt;=$G$6,'calculated data '!$A$5,D824&gt;=$G$6,'calculated data '!$A$6)</f>
        <v>Low Demand Tier</v>
      </c>
      <c r="F824" s="10">
        <f t="shared" si="1"/>
        <v>-0.6505717562</v>
      </c>
    </row>
    <row r="825" ht="14.25" customHeight="1">
      <c r="A825" s="2" t="s">
        <v>93</v>
      </c>
      <c r="B825" s="2" t="s">
        <v>94</v>
      </c>
      <c r="C825" s="2">
        <v>1981.0</v>
      </c>
      <c r="D825" s="9">
        <v>477.1376</v>
      </c>
      <c r="E825" s="10" t="str">
        <f t="array" ref="E825">IFS(D825&lt;=$G$3,'calculated data '!$A$3,D825&lt;=$G$4,'calculated data '!$A$4,D825&lt;=$G$6,'calculated data '!$A$5,D825&gt;=$G$6,'calculated data '!$A$6)</f>
        <v>Low Demand Tier</v>
      </c>
      <c r="F825" s="10">
        <f t="shared" si="1"/>
        <v>-0.6505417615</v>
      </c>
    </row>
    <row r="826" ht="14.25" customHeight="1">
      <c r="A826" s="2" t="s">
        <v>59</v>
      </c>
      <c r="B826" s="2" t="s">
        <v>60</v>
      </c>
      <c r="C826" s="2">
        <v>2002.0</v>
      </c>
      <c r="D826" s="9">
        <v>477.54047</v>
      </c>
      <c r="E826" s="10" t="str">
        <f t="array" ref="E826">IFS(D826&lt;=$G$3,'calculated data '!$A$3,D826&lt;=$G$4,'calculated data '!$A$4,D826&lt;=$G$6,'calculated data '!$A$5,D826&gt;=$G$6,'calculated data '!$A$6)</f>
        <v>Low Demand Tier</v>
      </c>
      <c r="F826" s="10">
        <f t="shared" si="1"/>
        <v>-0.6505310976</v>
      </c>
    </row>
    <row r="827" ht="14.25" customHeight="1">
      <c r="A827" s="2" t="s">
        <v>59</v>
      </c>
      <c r="B827" s="2" t="s">
        <v>60</v>
      </c>
      <c r="C827" s="2">
        <v>2001.0</v>
      </c>
      <c r="D827" s="9">
        <v>478.17096</v>
      </c>
      <c r="E827" s="10" t="str">
        <f t="array" ref="E827">IFS(D827&lt;=$G$3,'calculated data '!$A$3,D827&lt;=$G$4,'calculated data '!$A$4,D827&lt;=$G$6,'calculated data '!$A$5,D827&gt;=$G$6,'calculated data '!$A$6)</f>
        <v>Low Demand Tier</v>
      </c>
      <c r="F827" s="10">
        <f t="shared" si="1"/>
        <v>-0.6505144087</v>
      </c>
    </row>
    <row r="828" ht="14.25" customHeight="1">
      <c r="A828" s="2" t="s">
        <v>101</v>
      </c>
      <c r="B828" s="2" t="s">
        <v>102</v>
      </c>
      <c r="C828" s="2">
        <v>2004.0</v>
      </c>
      <c r="D828" s="9">
        <v>479.4927</v>
      </c>
      <c r="E828" s="10" t="str">
        <f t="array" ref="E828">IFS(D828&lt;=$G$3,'calculated data '!$A$3,D828&lt;=$G$4,'calculated data '!$A$4,D828&lt;=$G$6,'calculated data '!$A$5,D828&gt;=$G$6,'calculated data '!$A$6)</f>
        <v>Low Demand Tier</v>
      </c>
      <c r="F828" s="10">
        <f t="shared" si="1"/>
        <v>-0.6504794225</v>
      </c>
    </row>
    <row r="829" ht="14.25" customHeight="1">
      <c r="A829" s="2" t="s">
        <v>75</v>
      </c>
      <c r="B829" s="2" t="s">
        <v>76</v>
      </c>
      <c r="C829" s="2">
        <v>1991.0</v>
      </c>
      <c r="D829" s="9">
        <v>480.6044</v>
      </c>
      <c r="E829" s="10" t="str">
        <f t="array" ref="E829">IFS(D829&lt;=$G$3,'calculated data '!$A$3,D829&lt;=$G$4,'calculated data '!$A$4,D829&lt;=$G$6,'calculated data '!$A$5,D829&gt;=$G$6,'calculated data '!$A$6)</f>
        <v>Low Demand Tier</v>
      </c>
      <c r="F829" s="10">
        <f t="shared" si="1"/>
        <v>-0.6504499961</v>
      </c>
    </row>
    <row r="830" ht="14.25" customHeight="1">
      <c r="A830" s="2" t="s">
        <v>77</v>
      </c>
      <c r="B830" s="2" t="s">
        <v>78</v>
      </c>
      <c r="C830" s="2">
        <v>2007.0</v>
      </c>
      <c r="D830" s="9">
        <v>480.70282</v>
      </c>
      <c r="E830" s="10" t="str">
        <f t="array" ref="E830">IFS(D830&lt;=$G$3,'calculated data '!$A$3,D830&lt;=$G$4,'calculated data '!$A$4,D830&lt;=$G$6,'calculated data '!$A$5,D830&gt;=$G$6,'calculated data '!$A$6)</f>
        <v>Low Demand Tier</v>
      </c>
      <c r="F830" s="10">
        <f t="shared" si="1"/>
        <v>-0.650447391</v>
      </c>
    </row>
    <row r="831" ht="14.25" customHeight="1">
      <c r="A831" s="2" t="s">
        <v>65</v>
      </c>
      <c r="B831" s="2" t="s">
        <v>66</v>
      </c>
      <c r="C831" s="2">
        <v>1980.0</v>
      </c>
      <c r="D831" s="9">
        <v>481.20862</v>
      </c>
      <c r="E831" s="10" t="str">
        <f t="array" ref="E831">IFS(D831&lt;=$G$3,'calculated data '!$A$3,D831&lt;=$G$4,'calculated data '!$A$4,D831&lt;=$G$6,'calculated data '!$A$5,D831&gt;=$G$6,'calculated data '!$A$6)</f>
        <v>Low Demand Tier</v>
      </c>
      <c r="F831" s="10">
        <f t="shared" si="1"/>
        <v>-0.6504340026</v>
      </c>
    </row>
    <row r="832" ht="14.25" customHeight="1">
      <c r="A832" s="2" t="s">
        <v>85</v>
      </c>
      <c r="B832" s="2" t="s">
        <v>86</v>
      </c>
      <c r="C832" s="2">
        <v>1985.0</v>
      </c>
      <c r="D832" s="9">
        <v>481.51395</v>
      </c>
      <c r="E832" s="10" t="str">
        <f t="array" ref="E832">IFS(D832&lt;=$G$3,'calculated data '!$A$3,D832&lt;=$G$4,'calculated data '!$A$4,D832&lt;=$G$6,'calculated data '!$A$5,D832&gt;=$G$6,'calculated data '!$A$6)</f>
        <v>Low Demand Tier</v>
      </c>
      <c r="F832" s="10">
        <f t="shared" si="1"/>
        <v>-0.6504259206</v>
      </c>
    </row>
    <row r="833" ht="14.25" customHeight="1">
      <c r="A833" s="2" t="s">
        <v>75</v>
      </c>
      <c r="B833" s="2" t="s">
        <v>76</v>
      </c>
      <c r="C833" s="2">
        <v>1993.0</v>
      </c>
      <c r="D833" s="9">
        <v>483.29703</v>
      </c>
      <c r="E833" s="10" t="str">
        <f t="array" ref="E833">IFS(D833&lt;=$G$3,'calculated data '!$A$3,D833&lt;=$G$4,'calculated data '!$A$4,D833&lt;=$G$6,'calculated data '!$A$5,D833&gt;=$G$6,'calculated data '!$A$6)</f>
        <v>Low Demand Tier</v>
      </c>
      <c r="F833" s="10">
        <f t="shared" si="1"/>
        <v>-0.6503787229</v>
      </c>
    </row>
    <row r="834" ht="14.25" customHeight="1">
      <c r="A834" s="2" t="s">
        <v>59</v>
      </c>
      <c r="B834" s="2" t="s">
        <v>60</v>
      </c>
      <c r="C834" s="2">
        <v>2004.0</v>
      </c>
      <c r="D834" s="9">
        <v>483.3191</v>
      </c>
      <c r="E834" s="10" t="str">
        <f t="array" ref="E834">IFS(D834&lt;=$G$3,'calculated data '!$A$3,D834&lt;=$G$4,'calculated data '!$A$4,D834&lt;=$G$6,'calculated data '!$A$5,D834&gt;=$G$6,'calculated data '!$A$6)</f>
        <v>Low Demand Tier</v>
      </c>
      <c r="F834" s="10">
        <f t="shared" si="1"/>
        <v>-0.6503781387</v>
      </c>
    </row>
    <row r="835" ht="14.25" customHeight="1">
      <c r="A835" s="2" t="s">
        <v>93</v>
      </c>
      <c r="B835" s="2" t="s">
        <v>94</v>
      </c>
      <c r="C835" s="2">
        <v>1990.0</v>
      </c>
      <c r="D835" s="9">
        <v>484.10336</v>
      </c>
      <c r="E835" s="10" t="str">
        <f t="array" ref="E835">IFS(D835&lt;=$G$3,'calculated data '!$A$3,D835&lt;=$G$4,'calculated data '!$A$4,D835&lt;=$G$6,'calculated data '!$A$5,D835&gt;=$G$6,'calculated data '!$A$6)</f>
        <v>Low Demand Tier</v>
      </c>
      <c r="F835" s="10">
        <f t="shared" si="1"/>
        <v>-0.6503573795</v>
      </c>
    </row>
    <row r="836" ht="14.25" customHeight="1">
      <c r="A836" s="2" t="s">
        <v>65</v>
      </c>
      <c r="B836" s="2" t="s">
        <v>66</v>
      </c>
      <c r="C836" s="2">
        <v>1994.0</v>
      </c>
      <c r="D836" s="9">
        <v>484.3461</v>
      </c>
      <c r="E836" s="10" t="str">
        <f t="array" ref="E836">IFS(D836&lt;=$G$3,'calculated data '!$A$3,D836&lt;=$G$4,'calculated data '!$A$4,D836&lt;=$G$6,'calculated data '!$A$5,D836&gt;=$G$6,'calculated data '!$A$6)</f>
        <v>Low Demand Tier</v>
      </c>
      <c r="F836" s="10">
        <f t="shared" si="1"/>
        <v>-0.6503509543</v>
      </c>
    </row>
    <row r="837" ht="14.25" customHeight="1">
      <c r="A837" s="2" t="s">
        <v>87</v>
      </c>
      <c r="B837" s="2" t="s">
        <v>88</v>
      </c>
      <c r="C837" s="2">
        <v>1991.0</v>
      </c>
      <c r="D837" s="9">
        <v>485.2289</v>
      </c>
      <c r="E837" s="10" t="str">
        <f t="array" ref="E837">IFS(D837&lt;=$G$3,'calculated data '!$A$3,D837&lt;=$G$4,'calculated data '!$A$4,D837&lt;=$G$6,'calculated data '!$A$5,D837&gt;=$G$6,'calculated data '!$A$6)</f>
        <v>Low Demand Tier</v>
      </c>
      <c r="F837" s="10">
        <f t="shared" si="1"/>
        <v>-0.6503275868</v>
      </c>
    </row>
    <row r="838" ht="14.25" customHeight="1">
      <c r="A838" s="2" t="s">
        <v>87</v>
      </c>
      <c r="B838" s="2" t="s">
        <v>88</v>
      </c>
      <c r="C838" s="2">
        <v>1990.0</v>
      </c>
      <c r="D838" s="9">
        <v>486.25693</v>
      </c>
      <c r="E838" s="10" t="str">
        <f t="array" ref="E838">IFS(D838&lt;=$G$3,'calculated data '!$A$3,D838&lt;=$G$4,'calculated data '!$A$4,D838&lt;=$G$6,'calculated data '!$A$5,D838&gt;=$G$6,'calculated data '!$A$6)</f>
        <v>Low Demand Tier</v>
      </c>
      <c r="F838" s="10">
        <f t="shared" si="1"/>
        <v>-0.6503003751</v>
      </c>
    </row>
    <row r="839" ht="14.25" customHeight="1">
      <c r="A839" s="2" t="s">
        <v>93</v>
      </c>
      <c r="B839" s="2" t="s">
        <v>94</v>
      </c>
      <c r="C839" s="2">
        <v>1980.0</v>
      </c>
      <c r="D839" s="9">
        <v>487.28918</v>
      </c>
      <c r="E839" s="10" t="str">
        <f t="array" ref="E839">IFS(D839&lt;=$G$3,'calculated data '!$A$3,D839&lt;=$G$4,'calculated data '!$A$4,D839&lt;=$G$6,'calculated data '!$A$5,D839&gt;=$G$6,'calculated data '!$A$6)</f>
        <v>Low Demand Tier</v>
      </c>
      <c r="F839" s="10">
        <f t="shared" si="1"/>
        <v>-0.6502730517</v>
      </c>
    </row>
    <row r="840" ht="14.25" customHeight="1">
      <c r="A840" s="2" t="s">
        <v>61</v>
      </c>
      <c r="B840" s="2" t="s">
        <v>62</v>
      </c>
      <c r="C840" s="2">
        <v>2008.0</v>
      </c>
      <c r="D840" s="9">
        <v>488.06387</v>
      </c>
      <c r="E840" s="10" t="str">
        <f t="array" ref="E840">IFS(D840&lt;=$G$3,'calculated data '!$A$3,D840&lt;=$G$4,'calculated data '!$A$4,D840&lt;=$G$6,'calculated data '!$A$5,D840&gt;=$G$6,'calculated data '!$A$6)</f>
        <v>Low Demand Tier</v>
      </c>
      <c r="F840" s="10">
        <f t="shared" si="1"/>
        <v>-0.6502525458</v>
      </c>
    </row>
    <row r="841" ht="14.25" customHeight="1">
      <c r="A841" s="2" t="s">
        <v>67</v>
      </c>
      <c r="B841" s="2" t="s">
        <v>68</v>
      </c>
      <c r="C841" s="2">
        <v>2021.0</v>
      </c>
      <c r="D841" s="9">
        <v>488.13574</v>
      </c>
      <c r="E841" s="10" t="str">
        <f t="array" ref="E841">IFS(D841&lt;=$G$3,'calculated data '!$A$3,D841&lt;=$G$4,'calculated data '!$A$4,D841&lt;=$G$6,'calculated data '!$A$5,D841&gt;=$G$6,'calculated data '!$A$6)</f>
        <v>Low Demand Tier</v>
      </c>
      <c r="F841" s="10">
        <f t="shared" si="1"/>
        <v>-0.6502506434</v>
      </c>
    </row>
    <row r="842" ht="14.25" customHeight="1">
      <c r="A842" s="2" t="s">
        <v>87</v>
      </c>
      <c r="B842" s="2" t="s">
        <v>88</v>
      </c>
      <c r="C842" s="2">
        <v>1999.0</v>
      </c>
      <c r="D842" s="9">
        <v>488.28928</v>
      </c>
      <c r="E842" s="10" t="str">
        <f t="array" ref="E842">IFS(D842&lt;=$G$3,'calculated data '!$A$3,D842&lt;=$G$4,'calculated data '!$A$4,D842&lt;=$G$6,'calculated data '!$A$5,D842&gt;=$G$6,'calculated data '!$A$6)</f>
        <v>Low Demand Tier</v>
      </c>
      <c r="F842" s="10">
        <f t="shared" si="1"/>
        <v>-0.6502465793</v>
      </c>
    </row>
    <row r="843" ht="14.25" customHeight="1">
      <c r="A843" s="2" t="s">
        <v>107</v>
      </c>
      <c r="B843" s="2" t="s">
        <v>108</v>
      </c>
      <c r="C843" s="2">
        <v>2018.0</v>
      </c>
      <c r="D843" s="9">
        <v>489.60825</v>
      </c>
      <c r="E843" s="10" t="str">
        <f t="array" ref="E843">IFS(D843&lt;=$G$3,'calculated data '!$A$3,D843&lt;=$G$4,'calculated data '!$A$4,D843&lt;=$G$6,'calculated data '!$A$5,D843&gt;=$G$6,'calculated data '!$A$6)</f>
        <v>Low Demand Tier</v>
      </c>
      <c r="F843" s="10">
        <f t="shared" si="1"/>
        <v>-0.6502116665</v>
      </c>
    </row>
    <row r="844" ht="14.25" customHeight="1">
      <c r="A844" s="2" t="s">
        <v>101</v>
      </c>
      <c r="B844" s="2" t="s">
        <v>102</v>
      </c>
      <c r="C844" s="2">
        <v>2001.0</v>
      </c>
      <c r="D844" s="9">
        <v>490.90063</v>
      </c>
      <c r="E844" s="10" t="str">
        <f t="array" ref="E844">IFS(D844&lt;=$G$3,'calculated data '!$A$3,D844&lt;=$G$4,'calculated data '!$A$4,D844&lt;=$G$6,'calculated data '!$A$5,D844&gt;=$G$6,'calculated data '!$A$6)</f>
        <v>Low Demand Tier</v>
      </c>
      <c r="F844" s="10">
        <f t="shared" si="1"/>
        <v>-0.6501774575</v>
      </c>
    </row>
    <row r="845" ht="14.25" customHeight="1">
      <c r="A845" s="2" t="s">
        <v>103</v>
      </c>
      <c r="B845" s="2" t="s">
        <v>104</v>
      </c>
      <c r="C845" s="2">
        <v>1990.0</v>
      </c>
      <c r="D845" s="9">
        <v>491.10403</v>
      </c>
      <c r="E845" s="10" t="str">
        <f t="array" ref="E845">IFS(D845&lt;=$G$3,'calculated data '!$A$3,D845&lt;=$G$4,'calculated data '!$A$4,D845&lt;=$G$6,'calculated data '!$A$5,D845&gt;=$G$6,'calculated data '!$A$6)</f>
        <v>Low Demand Tier</v>
      </c>
      <c r="F845" s="10">
        <f t="shared" si="1"/>
        <v>-0.6501720735</v>
      </c>
    </row>
    <row r="846" ht="14.25" customHeight="1">
      <c r="A846" s="2" t="s">
        <v>95</v>
      </c>
      <c r="B846" s="2" t="s">
        <v>96</v>
      </c>
      <c r="C846" s="2">
        <v>1990.0</v>
      </c>
      <c r="D846" s="9">
        <v>494.32803</v>
      </c>
      <c r="E846" s="10" t="str">
        <f t="array" ref="E846">IFS(D846&lt;=$G$3,'calculated data '!$A$3,D846&lt;=$G$4,'calculated data '!$A$4,D846&lt;=$G$6,'calculated data '!$A$5,D846&gt;=$G$6,'calculated data '!$A$6)</f>
        <v>Low Demand Tier</v>
      </c>
      <c r="F846" s="10">
        <f t="shared" si="1"/>
        <v>-0.6500867351</v>
      </c>
    </row>
    <row r="847" ht="14.25" customHeight="1">
      <c r="A847" s="2" t="s">
        <v>59</v>
      </c>
      <c r="B847" s="2" t="s">
        <v>60</v>
      </c>
      <c r="C847" s="2">
        <v>2005.0</v>
      </c>
      <c r="D847" s="9">
        <v>495.1146</v>
      </c>
      <c r="E847" s="10" t="str">
        <f t="array" ref="E847">IFS(D847&lt;=$G$3,'calculated data '!$A$3,D847&lt;=$G$4,'calculated data '!$A$4,D847&lt;=$G$6,'calculated data '!$A$5,D847&gt;=$G$6,'calculated data '!$A$6)</f>
        <v>Low Demand Tier</v>
      </c>
      <c r="F847" s="10">
        <f t="shared" si="1"/>
        <v>-0.6500659147</v>
      </c>
    </row>
    <row r="848" ht="14.25" customHeight="1">
      <c r="A848" s="2" t="s">
        <v>105</v>
      </c>
      <c r="B848" s="2" t="s">
        <v>106</v>
      </c>
      <c r="C848" s="2">
        <v>2001.0</v>
      </c>
      <c r="D848" s="9">
        <v>495.19138</v>
      </c>
      <c r="E848" s="10" t="str">
        <f t="array" ref="E848">IFS(D848&lt;=$G$3,'calculated data '!$A$3,D848&lt;=$G$4,'calculated data '!$A$4,D848&lt;=$G$6,'calculated data '!$A$5,D848&gt;=$G$6,'calculated data '!$A$6)</f>
        <v>Low Demand Tier</v>
      </c>
      <c r="F848" s="10">
        <f t="shared" si="1"/>
        <v>-0.6500638824</v>
      </c>
    </row>
    <row r="849" ht="14.25" customHeight="1">
      <c r="A849" s="2" t="s">
        <v>101</v>
      </c>
      <c r="B849" s="2" t="s">
        <v>102</v>
      </c>
      <c r="C849" s="2">
        <v>1987.0</v>
      </c>
      <c r="D849" s="9">
        <v>495.5368</v>
      </c>
      <c r="E849" s="10" t="str">
        <f t="array" ref="E849">IFS(D849&lt;=$G$3,'calculated data '!$A$3,D849&lt;=$G$4,'calculated data '!$A$4,D849&lt;=$G$6,'calculated data '!$A$5,D849&gt;=$G$6,'calculated data '!$A$6)</f>
        <v>Low Demand Tier</v>
      </c>
      <c r="F849" s="10">
        <f t="shared" si="1"/>
        <v>-0.6500547392</v>
      </c>
    </row>
    <row r="850" ht="14.25" customHeight="1">
      <c r="A850" s="2" t="s">
        <v>101</v>
      </c>
      <c r="B850" s="2" t="s">
        <v>102</v>
      </c>
      <c r="C850" s="2">
        <v>1981.0</v>
      </c>
      <c r="D850" s="9">
        <v>495.70392</v>
      </c>
      <c r="E850" s="10" t="str">
        <f t="array" ref="E850">IFS(D850&lt;=$G$3,'calculated data '!$A$3,D850&lt;=$G$4,'calculated data '!$A$4,D850&lt;=$G$6,'calculated data '!$A$5,D850&gt;=$G$6,'calculated data '!$A$6)</f>
        <v>Low Demand Tier</v>
      </c>
      <c r="F850" s="10">
        <f t="shared" si="1"/>
        <v>-0.6500503156</v>
      </c>
    </row>
    <row r="851" ht="14.25" customHeight="1">
      <c r="A851" s="2" t="s">
        <v>85</v>
      </c>
      <c r="B851" s="2" t="s">
        <v>86</v>
      </c>
      <c r="C851" s="2">
        <v>1984.0</v>
      </c>
      <c r="D851" s="9">
        <v>496.51566</v>
      </c>
      <c r="E851" s="10" t="str">
        <f t="array" ref="E851">IFS(D851&lt;=$G$3,'calculated data '!$A$3,D851&lt;=$G$4,'calculated data '!$A$4,D851&lt;=$G$6,'calculated data '!$A$5,D851&gt;=$G$6,'calculated data '!$A$6)</f>
        <v>Low Demand Tier</v>
      </c>
      <c r="F851" s="10">
        <f t="shared" si="1"/>
        <v>-0.650028829</v>
      </c>
    </row>
    <row r="852" ht="14.25" customHeight="1">
      <c r="A852" s="2" t="s">
        <v>87</v>
      </c>
      <c r="B852" s="2" t="s">
        <v>88</v>
      </c>
      <c r="C852" s="2">
        <v>1992.0</v>
      </c>
      <c r="D852" s="9">
        <v>496.87906</v>
      </c>
      <c r="E852" s="10" t="str">
        <f t="array" ref="E852">IFS(D852&lt;=$G$3,'calculated data '!$A$3,D852&lt;=$G$4,'calculated data '!$A$4,D852&lt;=$G$6,'calculated data '!$A$5,D852&gt;=$G$6,'calculated data '!$A$6)</f>
        <v>Low Demand Tier</v>
      </c>
      <c r="F852" s="10">
        <f t="shared" si="1"/>
        <v>-0.6500192099</v>
      </c>
    </row>
    <row r="853" ht="14.25" customHeight="1">
      <c r="A853" s="2" t="s">
        <v>93</v>
      </c>
      <c r="B853" s="2" t="s">
        <v>94</v>
      </c>
      <c r="C853" s="2">
        <v>1985.0</v>
      </c>
      <c r="D853" s="9">
        <v>497.1995</v>
      </c>
      <c r="E853" s="10" t="str">
        <f t="array" ref="E853">IFS(D853&lt;=$G$3,'calculated data '!$A$3,D853&lt;=$G$4,'calculated data '!$A$4,D853&lt;=$G$6,'calculated data '!$A$5,D853&gt;=$G$6,'calculated data '!$A$6)</f>
        <v>Low Demand Tier</v>
      </c>
      <c r="F853" s="10">
        <f t="shared" si="1"/>
        <v>-0.650010728</v>
      </c>
    </row>
    <row r="854" ht="14.25" customHeight="1">
      <c r="A854" s="2" t="s">
        <v>95</v>
      </c>
      <c r="B854" s="2" t="s">
        <v>96</v>
      </c>
      <c r="C854" s="2">
        <v>1991.0</v>
      </c>
      <c r="D854" s="9">
        <v>497.61053</v>
      </c>
      <c r="E854" s="10" t="str">
        <f t="array" ref="E854">IFS(D854&lt;=$G$3,'calculated data '!$A$3,D854&lt;=$G$4,'calculated data '!$A$4,D854&lt;=$G$6,'calculated data '!$A$5,D854&gt;=$G$6,'calculated data '!$A$6)</f>
        <v>Low Demand Tier</v>
      </c>
      <c r="F854" s="10">
        <f t="shared" si="1"/>
        <v>-0.6499998481</v>
      </c>
    </row>
    <row r="855" ht="14.25" customHeight="1">
      <c r="A855" s="2" t="s">
        <v>67</v>
      </c>
      <c r="B855" s="2" t="s">
        <v>68</v>
      </c>
      <c r="C855" s="2">
        <v>2022.0</v>
      </c>
      <c r="D855" s="9">
        <v>498.15335</v>
      </c>
      <c r="E855" s="10" t="str">
        <f t="array" ref="E855">IFS(D855&lt;=$G$3,'calculated data '!$A$3,D855&lt;=$G$4,'calculated data '!$A$4,D855&lt;=$G$6,'calculated data '!$A$5,D855&gt;=$G$6,'calculated data '!$A$6)</f>
        <v>Low Demand Tier</v>
      </c>
      <c r="F855" s="10">
        <f t="shared" si="1"/>
        <v>-0.6499854798</v>
      </c>
    </row>
    <row r="856" ht="14.25" customHeight="1">
      <c r="A856" s="2" t="s">
        <v>85</v>
      </c>
      <c r="B856" s="2" t="s">
        <v>86</v>
      </c>
      <c r="C856" s="2">
        <v>1997.0</v>
      </c>
      <c r="D856" s="9">
        <v>498.67517</v>
      </c>
      <c r="E856" s="10" t="str">
        <f t="array" ref="E856">IFS(D856&lt;=$G$3,'calculated data '!$A$3,D856&lt;=$G$4,'calculated data '!$A$4,D856&lt;=$G$6,'calculated data '!$A$5,D856&gt;=$G$6,'calculated data '!$A$6)</f>
        <v>Low Demand Tier</v>
      </c>
      <c r="F856" s="10">
        <f t="shared" si="1"/>
        <v>-0.6499716673</v>
      </c>
    </row>
    <row r="857" ht="14.25" customHeight="1">
      <c r="A857" s="2" t="s">
        <v>59</v>
      </c>
      <c r="B857" s="2" t="s">
        <v>60</v>
      </c>
      <c r="C857" s="2">
        <v>2003.0</v>
      </c>
      <c r="D857" s="9">
        <v>498.73526</v>
      </c>
      <c r="E857" s="10" t="str">
        <f t="array" ref="E857">IFS(D857&lt;=$G$3,'calculated data '!$A$3,D857&lt;=$G$4,'calculated data '!$A$4,D857&lt;=$G$6,'calculated data '!$A$5,D857&gt;=$G$6,'calculated data '!$A$6)</f>
        <v>Low Demand Tier</v>
      </c>
      <c r="F857" s="10">
        <f t="shared" si="1"/>
        <v>-0.6499700768</v>
      </c>
    </row>
    <row r="858" ht="14.25" customHeight="1">
      <c r="A858" s="2" t="s">
        <v>77</v>
      </c>
      <c r="B858" s="2" t="s">
        <v>78</v>
      </c>
      <c r="C858" s="2">
        <v>2010.0</v>
      </c>
      <c r="D858" s="9">
        <v>500.35275</v>
      </c>
      <c r="E858" s="10" t="str">
        <f t="array" ref="E858">IFS(D858&lt;=$G$3,'calculated data '!$A$3,D858&lt;=$G$4,'calculated data '!$A$4,D858&lt;=$G$6,'calculated data '!$A$5,D858&gt;=$G$6,'calculated data '!$A$6)</f>
        <v>Low Demand Tier</v>
      </c>
      <c r="F858" s="10">
        <f t="shared" si="1"/>
        <v>-0.6499272622</v>
      </c>
    </row>
    <row r="859" ht="14.25" customHeight="1">
      <c r="A859" s="2" t="s">
        <v>21</v>
      </c>
      <c r="B859" s="2" t="s">
        <v>22</v>
      </c>
      <c r="C859" s="2">
        <v>1986.0</v>
      </c>
      <c r="D859" s="9">
        <v>503.29462</v>
      </c>
      <c r="E859" s="10" t="str">
        <f t="array" ref="E859">IFS(D859&lt;=$G$3,'calculated data '!$A$3,D859&lt;=$G$4,'calculated data '!$A$4,D859&lt;=$G$6,'calculated data '!$A$5,D859&gt;=$G$6,'calculated data '!$A$6)</f>
        <v>Low Demand Tier</v>
      </c>
      <c r="F859" s="10">
        <f t="shared" si="1"/>
        <v>-0.6498493917</v>
      </c>
    </row>
    <row r="860" ht="14.25" customHeight="1">
      <c r="A860" s="2" t="s">
        <v>75</v>
      </c>
      <c r="B860" s="2" t="s">
        <v>76</v>
      </c>
      <c r="C860" s="2">
        <v>1992.0</v>
      </c>
      <c r="D860" s="9">
        <v>503.61917</v>
      </c>
      <c r="E860" s="10" t="str">
        <f t="array" ref="E860">IFS(D860&lt;=$G$3,'calculated data '!$A$3,D860&lt;=$G$4,'calculated data '!$A$4,D860&lt;=$G$6,'calculated data '!$A$5,D860&gt;=$G$6,'calculated data '!$A$6)</f>
        <v>Low Demand Tier</v>
      </c>
      <c r="F860" s="10">
        <f t="shared" si="1"/>
        <v>-0.6498408009</v>
      </c>
    </row>
    <row r="861" ht="14.25" customHeight="1">
      <c r="A861" s="2" t="s">
        <v>103</v>
      </c>
      <c r="B861" s="2" t="s">
        <v>104</v>
      </c>
      <c r="C861" s="2">
        <v>1982.0</v>
      </c>
      <c r="D861" s="9">
        <v>503.74088</v>
      </c>
      <c r="E861" s="10" t="str">
        <f t="array" ref="E861">IFS(D861&lt;=$G$3,'calculated data '!$A$3,D861&lt;=$G$4,'calculated data '!$A$4,D861&lt;=$G$6,'calculated data '!$A$5,D861&gt;=$G$6,'calculated data '!$A$6)</f>
        <v>Low Demand Tier</v>
      </c>
      <c r="F861" s="10">
        <f t="shared" si="1"/>
        <v>-0.6498375793</v>
      </c>
    </row>
    <row r="862" ht="14.25" customHeight="1">
      <c r="A862" s="2" t="s">
        <v>107</v>
      </c>
      <c r="B862" s="2" t="s">
        <v>108</v>
      </c>
      <c r="C862" s="2">
        <v>1986.0</v>
      </c>
      <c r="D862" s="9">
        <v>505.33994</v>
      </c>
      <c r="E862" s="10" t="str">
        <f t="array" ref="E862">IFS(D862&lt;=$G$3,'calculated data '!$A$3,D862&lt;=$G$4,'calculated data '!$A$4,D862&lt;=$G$6,'calculated data '!$A$5,D862&gt;=$G$6,'calculated data '!$A$6)</f>
        <v>Low Demand Tier</v>
      </c>
      <c r="F862" s="10">
        <f t="shared" si="1"/>
        <v>-0.6497952525</v>
      </c>
    </row>
    <row r="863" ht="14.25" customHeight="1">
      <c r="A863" s="2" t="s">
        <v>87</v>
      </c>
      <c r="B863" s="2" t="s">
        <v>88</v>
      </c>
      <c r="C863" s="2">
        <v>1993.0</v>
      </c>
      <c r="D863" s="9">
        <v>505.71738</v>
      </c>
      <c r="E863" s="10" t="str">
        <f t="array" ref="E863">IFS(D863&lt;=$G$3,'calculated data '!$A$3,D863&lt;=$G$4,'calculated data '!$A$4,D863&lt;=$G$6,'calculated data '!$A$5,D863&gt;=$G$6,'calculated data '!$A$6)</f>
        <v>Low Demand Tier</v>
      </c>
      <c r="F863" s="10">
        <f t="shared" si="1"/>
        <v>-0.6497852618</v>
      </c>
    </row>
    <row r="864" ht="14.25" customHeight="1">
      <c r="A864" s="2" t="s">
        <v>77</v>
      </c>
      <c r="B864" s="2" t="s">
        <v>78</v>
      </c>
      <c r="C864" s="2">
        <v>2008.0</v>
      </c>
      <c r="D864" s="9">
        <v>508.08987</v>
      </c>
      <c r="E864" s="10" t="str">
        <f t="array" ref="E864">IFS(D864&lt;=$G$3,'calculated data '!$A$3,D864&lt;=$G$4,'calculated data '!$A$4,D864&lt;=$G$6,'calculated data '!$A$5,D864&gt;=$G$6,'calculated data '!$A$6)</f>
        <v>Low Demand Tier</v>
      </c>
      <c r="F864" s="10">
        <f t="shared" si="1"/>
        <v>-0.6497224626</v>
      </c>
    </row>
    <row r="865" ht="14.25" customHeight="1">
      <c r="A865" s="2" t="s">
        <v>85</v>
      </c>
      <c r="B865" s="2" t="s">
        <v>86</v>
      </c>
      <c r="C865" s="2">
        <v>1996.0</v>
      </c>
      <c r="D865" s="9">
        <v>508.35913</v>
      </c>
      <c r="E865" s="10" t="str">
        <f t="array" ref="E865">IFS(D865&lt;=$G$3,'calculated data '!$A$3,D865&lt;=$G$4,'calculated data '!$A$4,D865&lt;=$G$6,'calculated data '!$A$5,D865&gt;=$G$6,'calculated data '!$A$6)</f>
        <v>Low Demand Tier</v>
      </c>
      <c r="F865" s="10">
        <f t="shared" si="1"/>
        <v>-0.6497153353</v>
      </c>
    </row>
    <row r="866" ht="14.25" customHeight="1">
      <c r="A866" s="2" t="s">
        <v>109</v>
      </c>
      <c r="B866" s="2" t="s">
        <v>110</v>
      </c>
      <c r="C866" s="2">
        <v>2021.0</v>
      </c>
      <c r="D866" s="9">
        <v>508.53143</v>
      </c>
      <c r="E866" s="10" t="str">
        <f t="array" ref="E866">IFS(D866&lt;=$G$3,'calculated data '!$A$3,D866&lt;=$G$4,'calculated data '!$A$4,D866&lt;=$G$6,'calculated data '!$A$5,D866&gt;=$G$6,'calculated data '!$A$6)</f>
        <v>Low Demand Tier</v>
      </c>
      <c r="F866" s="10">
        <f t="shared" si="1"/>
        <v>-0.6497107746</v>
      </c>
    </row>
    <row r="867" ht="14.25" customHeight="1">
      <c r="A867" s="2" t="s">
        <v>85</v>
      </c>
      <c r="B867" s="2" t="s">
        <v>86</v>
      </c>
      <c r="C867" s="2">
        <v>1983.0</v>
      </c>
      <c r="D867" s="9">
        <v>509.2005</v>
      </c>
      <c r="E867" s="10" t="str">
        <f t="array" ref="E867">IFS(D867&lt;=$G$3,'calculated data '!$A$3,D867&lt;=$G$4,'calculated data '!$A$4,D867&lt;=$G$6,'calculated data '!$A$5,D867&gt;=$G$6,'calculated data '!$A$6)</f>
        <v>Low Demand Tier</v>
      </c>
      <c r="F867" s="10">
        <f t="shared" si="1"/>
        <v>-0.6496930645</v>
      </c>
    </row>
    <row r="868" ht="14.25" customHeight="1">
      <c r="A868" s="2" t="s">
        <v>97</v>
      </c>
      <c r="B868" s="2" t="s">
        <v>98</v>
      </c>
      <c r="C868" s="2">
        <v>1988.0</v>
      </c>
      <c r="D868" s="9">
        <v>509.502</v>
      </c>
      <c r="E868" s="10" t="str">
        <f t="array" ref="E868">IFS(D868&lt;=$G$3,'calculated data '!$A$3,D868&lt;=$G$4,'calculated data '!$A$4,D868&lt;=$G$6,'calculated data '!$A$5,D868&gt;=$G$6,'calculated data '!$A$6)</f>
        <v>Low Demand Tier</v>
      </c>
      <c r="F868" s="10">
        <f t="shared" si="1"/>
        <v>-0.6496850838</v>
      </c>
    </row>
    <row r="869" ht="14.25" customHeight="1">
      <c r="A869" s="2" t="s">
        <v>89</v>
      </c>
      <c r="B869" s="2" t="s">
        <v>90</v>
      </c>
      <c r="C869" s="2">
        <v>2014.0</v>
      </c>
      <c r="D869" s="9">
        <v>509.82996</v>
      </c>
      <c r="E869" s="10" t="str">
        <f t="array" ref="E869">IFS(D869&lt;=$G$3,'calculated data '!$A$3,D869&lt;=$G$4,'calculated data '!$A$4,D869&lt;=$G$6,'calculated data '!$A$5,D869&gt;=$G$6,'calculated data '!$A$6)</f>
        <v>Low Demand Tier</v>
      </c>
      <c r="F869" s="10">
        <f t="shared" si="1"/>
        <v>-0.6496764028</v>
      </c>
    </row>
    <row r="870" ht="14.25" customHeight="1">
      <c r="A870" s="2" t="s">
        <v>85</v>
      </c>
      <c r="B870" s="2" t="s">
        <v>86</v>
      </c>
      <c r="C870" s="2">
        <v>1989.0</v>
      </c>
      <c r="D870" s="9">
        <v>510.90466</v>
      </c>
      <c r="E870" s="10" t="str">
        <f t="array" ref="E870">IFS(D870&lt;=$G$3,'calculated data '!$A$3,D870&lt;=$G$4,'calculated data '!$A$4,D870&lt;=$G$6,'calculated data '!$A$5,D870&gt;=$G$6,'calculated data '!$A$6)</f>
        <v>Low Demand Tier</v>
      </c>
      <c r="F870" s="10">
        <f t="shared" si="1"/>
        <v>-0.6496479558</v>
      </c>
    </row>
    <row r="871" ht="14.25" customHeight="1">
      <c r="A871" s="2" t="s">
        <v>89</v>
      </c>
      <c r="B871" s="2" t="s">
        <v>90</v>
      </c>
      <c r="C871" s="2">
        <v>2024.0</v>
      </c>
      <c r="D871" s="9">
        <v>511.13245</v>
      </c>
      <c r="E871" s="10" t="str">
        <f t="array" ref="E871">IFS(D871&lt;=$G$3,'calculated data '!$A$3,D871&lt;=$G$4,'calculated data '!$A$4,D871&lt;=$G$6,'calculated data '!$A$5,D871&gt;=$G$6,'calculated data '!$A$6)</f>
        <v>Low Demand Tier</v>
      </c>
      <c r="F871" s="10">
        <f t="shared" si="1"/>
        <v>-0.6496419262</v>
      </c>
    </row>
    <row r="872" ht="14.25" customHeight="1">
      <c r="A872" s="2" t="s">
        <v>101</v>
      </c>
      <c r="B872" s="2" t="s">
        <v>102</v>
      </c>
      <c r="C872" s="2">
        <v>2024.0</v>
      </c>
      <c r="D872" s="9">
        <v>513.5687</v>
      </c>
      <c r="E872" s="10" t="str">
        <f t="array" ref="E872">IFS(D872&lt;=$G$3,'calculated data '!$A$3,D872&lt;=$G$4,'calculated data '!$A$4,D872&lt;=$G$6,'calculated data '!$A$5,D872&gt;=$G$6,'calculated data '!$A$6)</f>
        <v>Low Demand Tier</v>
      </c>
      <c r="F872" s="10">
        <f t="shared" si="1"/>
        <v>-0.6495774393</v>
      </c>
    </row>
    <row r="873" ht="14.25" customHeight="1">
      <c r="A873" s="2" t="s">
        <v>89</v>
      </c>
      <c r="B873" s="2" t="s">
        <v>90</v>
      </c>
      <c r="C873" s="2">
        <v>2012.0</v>
      </c>
      <c r="D873" s="9">
        <v>514.32916</v>
      </c>
      <c r="E873" s="10" t="str">
        <f t="array" ref="E873">IFS(D873&lt;=$G$3,'calculated data '!$A$3,D873&lt;=$G$4,'calculated data '!$A$4,D873&lt;=$G$6,'calculated data '!$A$5,D873&gt;=$G$6,'calculated data '!$A$6)</f>
        <v>Low Demand Tier</v>
      </c>
      <c r="F873" s="10">
        <f t="shared" si="1"/>
        <v>-0.6495573101</v>
      </c>
    </row>
    <row r="874" ht="14.25" customHeight="1">
      <c r="A874" s="2" t="s">
        <v>73</v>
      </c>
      <c r="B874" s="2" t="s">
        <v>74</v>
      </c>
      <c r="C874" s="2">
        <v>2010.0</v>
      </c>
      <c r="D874" s="9">
        <v>514.9903</v>
      </c>
      <c r="E874" s="10" t="str">
        <f t="array" ref="E874">IFS(D874&lt;=$G$3,'calculated data '!$A$3,D874&lt;=$G$4,'calculated data '!$A$4,D874&lt;=$G$6,'calculated data '!$A$5,D874&gt;=$G$6,'calculated data '!$A$6)</f>
        <v>Low Demand Tier</v>
      </c>
      <c r="F874" s="10">
        <f t="shared" si="1"/>
        <v>-0.6495398099</v>
      </c>
    </row>
    <row r="875" ht="14.25" customHeight="1">
      <c r="A875" s="2" t="s">
        <v>85</v>
      </c>
      <c r="B875" s="2" t="s">
        <v>86</v>
      </c>
      <c r="C875" s="2">
        <v>1995.0</v>
      </c>
      <c r="D875" s="9">
        <v>515.7847</v>
      </c>
      <c r="E875" s="10" t="str">
        <f t="array" ref="E875">IFS(D875&lt;=$G$3,'calculated data '!$A$3,D875&lt;=$G$4,'calculated data '!$A$4,D875&lt;=$G$6,'calculated data '!$A$5,D875&gt;=$G$6,'calculated data '!$A$6)</f>
        <v>Low Demand Tier</v>
      </c>
      <c r="F875" s="10">
        <f t="shared" si="1"/>
        <v>-0.6495187823</v>
      </c>
    </row>
    <row r="876" ht="14.25" customHeight="1">
      <c r="A876" s="2" t="s">
        <v>101</v>
      </c>
      <c r="B876" s="2" t="s">
        <v>102</v>
      </c>
      <c r="C876" s="2">
        <v>2000.0</v>
      </c>
      <c r="D876" s="9">
        <v>516.6823</v>
      </c>
      <c r="E876" s="10" t="str">
        <f t="array" ref="E876">IFS(D876&lt;=$G$3,'calculated data '!$A$3,D876&lt;=$G$4,'calculated data '!$A$4,D876&lt;=$G$6,'calculated data '!$A$5,D876&gt;=$G$6,'calculated data '!$A$6)</f>
        <v>Low Demand Tier</v>
      </c>
      <c r="F876" s="10">
        <f t="shared" si="1"/>
        <v>-0.6494950231</v>
      </c>
    </row>
    <row r="877" ht="14.25" customHeight="1">
      <c r="A877" s="2" t="s">
        <v>101</v>
      </c>
      <c r="B877" s="2" t="s">
        <v>102</v>
      </c>
      <c r="C877" s="2">
        <v>2023.0</v>
      </c>
      <c r="D877" s="9">
        <v>518.01715</v>
      </c>
      <c r="E877" s="10" t="str">
        <f t="array" ref="E877">IFS(D877&lt;=$G$3,'calculated data '!$A$3,D877&lt;=$G$4,'calculated data '!$A$4,D877&lt;=$G$6,'calculated data '!$A$5,D877&gt;=$G$6,'calculated data '!$A$6)</f>
        <v>Low Demand Tier</v>
      </c>
      <c r="F877" s="10">
        <f t="shared" si="1"/>
        <v>-0.6494596899</v>
      </c>
    </row>
    <row r="878" ht="14.25" customHeight="1">
      <c r="A878" s="2" t="s">
        <v>101</v>
      </c>
      <c r="B878" s="2" t="s">
        <v>102</v>
      </c>
      <c r="C878" s="2">
        <v>2012.0</v>
      </c>
      <c r="D878" s="9">
        <v>518.1018</v>
      </c>
      <c r="E878" s="10" t="str">
        <f t="array" ref="E878">IFS(D878&lt;=$G$3,'calculated data '!$A$3,D878&lt;=$G$4,'calculated data '!$A$4,D878&lt;=$G$6,'calculated data '!$A$5,D878&gt;=$G$6,'calculated data '!$A$6)</f>
        <v>Low Demand Tier</v>
      </c>
      <c r="F878" s="10">
        <f t="shared" si="1"/>
        <v>-0.6494574493</v>
      </c>
    </row>
    <row r="879" ht="14.25" customHeight="1">
      <c r="A879" s="2" t="s">
        <v>89</v>
      </c>
      <c r="B879" s="2" t="s">
        <v>90</v>
      </c>
      <c r="C879" s="2">
        <v>2015.0</v>
      </c>
      <c r="D879" s="9">
        <v>518.8658</v>
      </c>
      <c r="E879" s="10" t="str">
        <f t="array" ref="E879">IFS(D879&lt;=$G$3,'calculated data '!$A$3,D879&lt;=$G$4,'calculated data '!$A$4,D879&lt;=$G$6,'calculated data '!$A$5,D879&gt;=$G$6,'calculated data '!$A$6)</f>
        <v>Low Demand Tier</v>
      </c>
      <c r="F879" s="10">
        <f t="shared" si="1"/>
        <v>-0.6494372264</v>
      </c>
    </row>
    <row r="880" ht="14.25" customHeight="1">
      <c r="A880" s="2" t="s">
        <v>63</v>
      </c>
      <c r="B880" s="2" t="s">
        <v>64</v>
      </c>
      <c r="C880" s="2">
        <v>2014.0</v>
      </c>
      <c r="D880" s="9">
        <v>521.37726</v>
      </c>
      <c r="E880" s="10" t="str">
        <f t="array" ref="E880">IFS(D880&lt;=$G$3,'calculated data '!$A$3,D880&lt;=$G$4,'calculated data '!$A$4,D880&lt;=$G$6,'calculated data '!$A$5,D880&gt;=$G$6,'calculated data '!$A$6)</f>
        <v>Low Demand Tier</v>
      </c>
      <c r="F880" s="10">
        <f t="shared" si="1"/>
        <v>-0.6493707487</v>
      </c>
    </row>
    <row r="881" ht="14.25" customHeight="1">
      <c r="A881" s="2" t="s">
        <v>59</v>
      </c>
      <c r="B881" s="2" t="s">
        <v>60</v>
      </c>
      <c r="C881" s="2">
        <v>2008.0</v>
      </c>
      <c r="D881" s="9">
        <v>521.3953</v>
      </c>
      <c r="E881" s="10" t="str">
        <f t="array" ref="E881">IFS(D881&lt;=$G$3,'calculated data '!$A$3,D881&lt;=$G$4,'calculated data '!$A$4,D881&lt;=$G$6,'calculated data '!$A$5,D881&gt;=$G$6,'calculated data '!$A$6)</f>
        <v>Low Demand Tier</v>
      </c>
      <c r="F881" s="10">
        <f t="shared" si="1"/>
        <v>-0.6493702712</v>
      </c>
    </row>
    <row r="882" ht="14.25" customHeight="1">
      <c r="A882" s="2" t="s">
        <v>73</v>
      </c>
      <c r="B882" s="2" t="s">
        <v>74</v>
      </c>
      <c r="C882" s="2">
        <v>2012.0</v>
      </c>
      <c r="D882" s="9">
        <v>522.5766</v>
      </c>
      <c r="E882" s="10" t="str">
        <f t="array" ref="E882">IFS(D882&lt;=$G$3,'calculated data '!$A$3,D882&lt;=$G$4,'calculated data '!$A$4,D882&lt;=$G$6,'calculated data '!$A$5,D882&gt;=$G$6,'calculated data '!$A$6)</f>
        <v>Low Demand Tier</v>
      </c>
      <c r="F882" s="10">
        <f t="shared" si="1"/>
        <v>-0.6493390024</v>
      </c>
    </row>
    <row r="883" ht="14.25" customHeight="1">
      <c r="A883" s="2" t="s">
        <v>89</v>
      </c>
      <c r="B883" s="2" t="s">
        <v>90</v>
      </c>
      <c r="C883" s="2">
        <v>2020.0</v>
      </c>
      <c r="D883" s="9">
        <v>522.7427</v>
      </c>
      <c r="E883" s="10" t="str">
        <f t="array" ref="E883">IFS(D883&lt;=$G$3,'calculated data '!$A$3,D883&lt;=$G$4,'calculated data '!$A$4,D883&lt;=$G$6,'calculated data '!$A$5,D883&gt;=$G$6,'calculated data '!$A$6)</f>
        <v>Low Demand Tier</v>
      </c>
      <c r="F883" s="10">
        <f t="shared" si="1"/>
        <v>-0.6493346058</v>
      </c>
    </row>
    <row r="884" ht="14.25" customHeight="1">
      <c r="A884" s="2" t="s">
        <v>101</v>
      </c>
      <c r="B884" s="2" t="s">
        <v>102</v>
      </c>
      <c r="C884" s="2">
        <v>1984.0</v>
      </c>
      <c r="D884" s="9">
        <v>523.19507</v>
      </c>
      <c r="E884" s="10" t="str">
        <f t="array" ref="E884">IFS(D884&lt;=$G$3,'calculated data '!$A$3,D884&lt;=$G$4,'calculated data '!$A$4,D884&lt;=$G$6,'calculated data '!$A$5,D884&gt;=$G$6,'calculated data '!$A$6)</f>
        <v>Low Demand Tier</v>
      </c>
      <c r="F884" s="10">
        <f t="shared" si="1"/>
        <v>-0.6493226317</v>
      </c>
    </row>
    <row r="885" ht="14.25" customHeight="1">
      <c r="A885" s="2" t="s">
        <v>85</v>
      </c>
      <c r="B885" s="2" t="s">
        <v>86</v>
      </c>
      <c r="C885" s="2">
        <v>1982.0</v>
      </c>
      <c r="D885" s="9">
        <v>523.5876</v>
      </c>
      <c r="E885" s="10" t="str">
        <f t="array" ref="E885">IFS(D885&lt;=$G$3,'calculated data '!$A$3,D885&lt;=$G$4,'calculated data '!$A$4,D885&lt;=$G$6,'calculated data '!$A$5,D885&gt;=$G$6,'calculated data '!$A$6)</f>
        <v>Low Demand Tier</v>
      </c>
      <c r="F885" s="10">
        <f t="shared" si="1"/>
        <v>-0.6493122415</v>
      </c>
    </row>
    <row r="886" ht="14.25" customHeight="1">
      <c r="A886" s="2" t="s">
        <v>103</v>
      </c>
      <c r="B886" s="2" t="s">
        <v>104</v>
      </c>
      <c r="C886" s="2">
        <v>1986.0</v>
      </c>
      <c r="D886" s="9">
        <v>523.6252</v>
      </c>
      <c r="E886" s="10" t="str">
        <f t="array" ref="E886">IFS(D886&lt;=$G$3,'calculated data '!$A$3,D886&lt;=$G$4,'calculated data '!$A$4,D886&lt;=$G$6,'calculated data '!$A$5,D886&gt;=$G$6,'calculated data '!$A$6)</f>
        <v>Low Demand Tier</v>
      </c>
      <c r="F886" s="10">
        <f t="shared" si="1"/>
        <v>-0.6493112463</v>
      </c>
    </row>
    <row r="887" ht="14.25" customHeight="1">
      <c r="A887" s="2" t="s">
        <v>85</v>
      </c>
      <c r="B887" s="2" t="s">
        <v>86</v>
      </c>
      <c r="C887" s="2">
        <v>1994.0</v>
      </c>
      <c r="D887" s="9">
        <v>525.18475</v>
      </c>
      <c r="E887" s="10" t="str">
        <f t="array" ref="E887">IFS(D887&lt;=$G$3,'calculated data '!$A$3,D887&lt;=$G$4,'calculated data '!$A$4,D887&lt;=$G$6,'calculated data '!$A$5,D887&gt;=$G$6,'calculated data '!$A$6)</f>
        <v>Low Demand Tier</v>
      </c>
      <c r="F887" s="10">
        <f t="shared" si="1"/>
        <v>-0.6492699654</v>
      </c>
    </row>
    <row r="888" ht="14.25" customHeight="1">
      <c r="A888" s="2" t="s">
        <v>85</v>
      </c>
      <c r="B888" s="2" t="s">
        <v>86</v>
      </c>
      <c r="C888" s="2">
        <v>1988.0</v>
      </c>
      <c r="D888" s="9">
        <v>525.54266</v>
      </c>
      <c r="E888" s="10" t="str">
        <f t="array" ref="E888">IFS(D888&lt;=$G$3,'calculated data '!$A$3,D888&lt;=$G$4,'calculated data '!$A$4,D888&lt;=$G$6,'calculated data '!$A$5,D888&gt;=$G$6,'calculated data '!$A$6)</f>
        <v>Low Demand Tier</v>
      </c>
      <c r="F888" s="10">
        <f t="shared" si="1"/>
        <v>-0.6492604916</v>
      </c>
    </row>
    <row r="889" ht="14.25" customHeight="1">
      <c r="A889" s="2" t="s">
        <v>73</v>
      </c>
      <c r="B889" s="2" t="s">
        <v>74</v>
      </c>
      <c r="C889" s="2">
        <v>2011.0</v>
      </c>
      <c r="D889" s="9">
        <v>526.2999</v>
      </c>
      <c r="E889" s="10" t="str">
        <f t="array" ref="E889">IFS(D889&lt;=$G$3,'calculated data '!$A$3,D889&lt;=$G$4,'calculated data '!$A$4,D889&lt;=$G$6,'calculated data '!$A$5,D889&gt;=$G$6,'calculated data '!$A$6)</f>
        <v>Low Demand Tier</v>
      </c>
      <c r="F889" s="10">
        <f t="shared" si="1"/>
        <v>-0.6492404476</v>
      </c>
    </row>
    <row r="890" ht="14.25" customHeight="1">
      <c r="A890" s="2" t="s">
        <v>101</v>
      </c>
      <c r="B890" s="2" t="s">
        <v>102</v>
      </c>
      <c r="C890" s="2">
        <v>2013.0</v>
      </c>
      <c r="D890" s="9">
        <v>526.93835</v>
      </c>
      <c r="E890" s="10" t="str">
        <f t="array" ref="E890">IFS(D890&lt;=$G$3,'calculated data '!$A$3,D890&lt;=$G$4,'calculated data '!$A$4,D890&lt;=$G$6,'calculated data '!$A$5,D890&gt;=$G$6,'calculated data '!$A$6)</f>
        <v>Low Demand Tier</v>
      </c>
      <c r="F890" s="10">
        <f t="shared" si="1"/>
        <v>-0.649223548</v>
      </c>
    </row>
    <row r="891" ht="14.25" customHeight="1">
      <c r="A891" s="2" t="s">
        <v>101</v>
      </c>
      <c r="B891" s="2" t="s">
        <v>102</v>
      </c>
      <c r="C891" s="2">
        <v>2021.0</v>
      </c>
      <c r="D891" s="9">
        <v>527.3159</v>
      </c>
      <c r="E891" s="10" t="str">
        <f t="array" ref="E891">IFS(D891&lt;=$G$3,'calculated data '!$A$3,D891&lt;=$G$4,'calculated data '!$A$4,D891&lt;=$G$6,'calculated data '!$A$5,D891&gt;=$G$6,'calculated data '!$A$6)</f>
        <v>Low Demand Tier</v>
      </c>
      <c r="F891" s="10">
        <f t="shared" si="1"/>
        <v>-0.6492135544</v>
      </c>
    </row>
    <row r="892" ht="14.25" customHeight="1">
      <c r="A892" s="2" t="s">
        <v>101</v>
      </c>
      <c r="B892" s="2" t="s">
        <v>102</v>
      </c>
      <c r="C892" s="2">
        <v>1988.0</v>
      </c>
      <c r="D892" s="9">
        <v>527.3474</v>
      </c>
      <c r="E892" s="10" t="str">
        <f t="array" ref="E892">IFS(D892&lt;=$G$3,'calculated data '!$A$3,D892&lt;=$G$4,'calculated data '!$A$4,D892&lt;=$G$6,'calculated data '!$A$5,D892&gt;=$G$6,'calculated data '!$A$6)</f>
        <v>Low Demand Tier</v>
      </c>
      <c r="F892" s="10">
        <f t="shared" si="1"/>
        <v>-0.6492127206</v>
      </c>
    </row>
    <row r="893" ht="14.25" customHeight="1">
      <c r="A893" s="2" t="s">
        <v>63</v>
      </c>
      <c r="B893" s="2" t="s">
        <v>64</v>
      </c>
      <c r="C893" s="2">
        <v>2015.0</v>
      </c>
      <c r="D893" s="9">
        <v>533.2451</v>
      </c>
      <c r="E893" s="10" t="str">
        <f t="array" ref="E893">IFS(D893&lt;=$G$3,'calculated data '!$A$3,D893&lt;=$G$4,'calculated data '!$A$4,D893&lt;=$G$6,'calculated data '!$A$5,D893&gt;=$G$6,'calculated data '!$A$6)</f>
        <v>Low Demand Tier</v>
      </c>
      <c r="F893" s="10">
        <f t="shared" si="1"/>
        <v>-0.6490566099</v>
      </c>
    </row>
    <row r="894" ht="14.25" customHeight="1">
      <c r="A894" s="2" t="s">
        <v>89</v>
      </c>
      <c r="B894" s="2" t="s">
        <v>90</v>
      </c>
      <c r="C894" s="2">
        <v>2022.0</v>
      </c>
      <c r="D894" s="9">
        <v>534.41766</v>
      </c>
      <c r="E894" s="10" t="str">
        <f t="array" ref="E894">IFS(D894&lt;=$G$3,'calculated data '!$A$3,D894&lt;=$G$4,'calculated data '!$A$4,D894&lt;=$G$6,'calculated data '!$A$5,D894&gt;=$G$6,'calculated data '!$A$6)</f>
        <v>Low Demand Tier</v>
      </c>
      <c r="F894" s="10">
        <f t="shared" si="1"/>
        <v>-0.6490255725</v>
      </c>
    </row>
    <row r="895" ht="14.25" customHeight="1">
      <c r="A895" s="2" t="s">
        <v>85</v>
      </c>
      <c r="B895" s="2" t="s">
        <v>86</v>
      </c>
      <c r="C895" s="2">
        <v>1993.0</v>
      </c>
      <c r="D895" s="9">
        <v>534.5724</v>
      </c>
      <c r="E895" s="10" t="str">
        <f t="array" ref="E895">IFS(D895&lt;=$G$3,'calculated data '!$A$3,D895&lt;=$G$4,'calculated data '!$A$4,D895&lt;=$G$6,'calculated data '!$A$5,D895&gt;=$G$6,'calculated data '!$A$6)</f>
        <v>Low Demand Tier</v>
      </c>
      <c r="F895" s="10">
        <f t="shared" si="1"/>
        <v>-0.6490214766</v>
      </c>
    </row>
    <row r="896" ht="14.25" customHeight="1">
      <c r="A896" s="2" t="s">
        <v>89</v>
      </c>
      <c r="B896" s="2" t="s">
        <v>90</v>
      </c>
      <c r="C896" s="2">
        <v>2019.0</v>
      </c>
      <c r="D896" s="9">
        <v>535.503</v>
      </c>
      <c r="E896" s="10" t="str">
        <f t="array" ref="E896">IFS(D896&lt;=$G$3,'calculated data '!$A$3,D896&lt;=$G$4,'calculated data '!$A$4,D896&lt;=$G$6,'calculated data '!$A$5,D896&gt;=$G$6,'calculated data '!$A$6)</f>
        <v>Low Demand Tier</v>
      </c>
      <c r="F896" s="10">
        <f t="shared" si="1"/>
        <v>-0.6489968439</v>
      </c>
    </row>
    <row r="897" ht="14.25" customHeight="1">
      <c r="A897" s="2" t="s">
        <v>95</v>
      </c>
      <c r="B897" s="2" t="s">
        <v>96</v>
      </c>
      <c r="C897" s="2">
        <v>1995.0</v>
      </c>
      <c r="D897" s="9">
        <v>535.783</v>
      </c>
      <c r="E897" s="10" t="str">
        <f t="array" ref="E897">IFS(D897&lt;=$G$3,'calculated data '!$A$3,D897&lt;=$G$4,'calculated data '!$A$4,D897&lt;=$G$6,'calculated data '!$A$5,D897&gt;=$G$6,'calculated data '!$A$6)</f>
        <v>Low Demand Tier</v>
      </c>
      <c r="F897" s="10">
        <f t="shared" si="1"/>
        <v>-0.6489894323</v>
      </c>
    </row>
    <row r="898" ht="14.25" customHeight="1">
      <c r="A898" s="2" t="s">
        <v>85</v>
      </c>
      <c r="B898" s="2" t="s">
        <v>86</v>
      </c>
      <c r="C898" s="2">
        <v>1981.0</v>
      </c>
      <c r="D898" s="9">
        <v>538.2933</v>
      </c>
      <c r="E898" s="10" t="str">
        <f t="array" ref="E898">IFS(D898&lt;=$G$3,'calculated data '!$A$3,D898&lt;=$G$4,'calculated data '!$A$4,D898&lt;=$G$6,'calculated data '!$A$5,D898&gt;=$G$6,'calculated data '!$A$6)</f>
        <v>Low Demand Tier</v>
      </c>
      <c r="F898" s="10">
        <f t="shared" si="1"/>
        <v>-0.6489229853</v>
      </c>
    </row>
    <row r="899" ht="14.25" customHeight="1">
      <c r="A899" s="2" t="s">
        <v>85</v>
      </c>
      <c r="B899" s="2" t="s">
        <v>86</v>
      </c>
      <c r="C899" s="2">
        <v>1987.0</v>
      </c>
      <c r="D899" s="9">
        <v>539.1171</v>
      </c>
      <c r="E899" s="10" t="str">
        <f t="array" ref="E899">IFS(D899&lt;=$G$3,'calculated data '!$A$3,D899&lt;=$G$4,'calculated data '!$A$4,D899&lt;=$G$6,'calculated data '!$A$5,D899&gt;=$G$6,'calculated data '!$A$6)</f>
        <v>Low Demand Tier</v>
      </c>
      <c r="F899" s="10">
        <f t="shared" si="1"/>
        <v>-0.6489011795</v>
      </c>
    </row>
    <row r="900" ht="14.25" customHeight="1">
      <c r="A900" s="2" t="s">
        <v>75</v>
      </c>
      <c r="B900" s="2" t="s">
        <v>76</v>
      </c>
      <c r="C900" s="2">
        <v>1990.0</v>
      </c>
      <c r="D900" s="9">
        <v>539.13403</v>
      </c>
      <c r="E900" s="10" t="str">
        <f t="array" ref="E900">IFS(D900&lt;=$G$3,'calculated data '!$A$3,D900&lt;=$G$4,'calculated data '!$A$4,D900&lt;=$G$6,'calculated data '!$A$5,D900&gt;=$G$6,'calculated data '!$A$6)</f>
        <v>Low Demand Tier</v>
      </c>
      <c r="F900" s="10">
        <f t="shared" si="1"/>
        <v>-0.6489007314</v>
      </c>
    </row>
    <row r="901" ht="14.25" customHeight="1">
      <c r="A901" s="2" t="s">
        <v>95</v>
      </c>
      <c r="B901" s="2" t="s">
        <v>96</v>
      </c>
      <c r="C901" s="2">
        <v>1992.0</v>
      </c>
      <c r="D901" s="9">
        <v>539.3901</v>
      </c>
      <c r="E901" s="10" t="str">
        <f t="array" ref="E901">IFS(D901&lt;=$G$3,'calculated data '!$A$3,D901&lt;=$G$4,'calculated data '!$A$4,D901&lt;=$G$6,'calculated data '!$A$5,D901&gt;=$G$6,'calculated data '!$A$6)</f>
        <v>Low Demand Tier</v>
      </c>
      <c r="F901" s="10">
        <f t="shared" si="1"/>
        <v>-0.6488939533</v>
      </c>
    </row>
    <row r="902" ht="14.25" customHeight="1">
      <c r="A902" s="2" t="s">
        <v>101</v>
      </c>
      <c r="B902" s="2" t="s">
        <v>102</v>
      </c>
      <c r="C902" s="2">
        <v>1983.0</v>
      </c>
      <c r="D902" s="9">
        <v>539.3951</v>
      </c>
      <c r="E902" s="10" t="str">
        <f t="array" ref="E902">IFS(D902&lt;=$G$3,'calculated data '!$A$3,D902&lt;=$G$4,'calculated data '!$A$4,D902&lt;=$G$6,'calculated data '!$A$5,D902&gt;=$G$6,'calculated data '!$A$6)</f>
        <v>Low Demand Tier</v>
      </c>
      <c r="F902" s="10">
        <f t="shared" si="1"/>
        <v>-0.6488938209</v>
      </c>
    </row>
    <row r="903" ht="14.25" customHeight="1">
      <c r="A903" s="2" t="s">
        <v>107</v>
      </c>
      <c r="B903" s="2" t="s">
        <v>108</v>
      </c>
      <c r="C903" s="2">
        <v>1984.0</v>
      </c>
      <c r="D903" s="9">
        <v>540.60974</v>
      </c>
      <c r="E903" s="10" t="str">
        <f t="array" ref="E903">IFS(D903&lt;=$G$3,'calculated data '!$A$3,D903&lt;=$G$4,'calculated data '!$A$4,D903&lt;=$G$6,'calculated data '!$A$5,D903&gt;=$G$6,'calculated data '!$A$6)</f>
        <v>Low Demand Tier</v>
      </c>
      <c r="F903" s="10">
        <f t="shared" si="1"/>
        <v>-0.6488616697</v>
      </c>
    </row>
    <row r="904" ht="14.25" customHeight="1">
      <c r="A904" s="2" t="s">
        <v>73</v>
      </c>
      <c r="B904" s="2" t="s">
        <v>74</v>
      </c>
      <c r="C904" s="2">
        <v>2013.0</v>
      </c>
      <c r="D904" s="9">
        <v>540.98206</v>
      </c>
      <c r="E904" s="10" t="str">
        <f t="array" ref="E904">IFS(D904&lt;=$G$3,'calculated data '!$A$3,D904&lt;=$G$4,'calculated data '!$A$4,D904&lt;=$G$6,'calculated data '!$A$5,D904&gt;=$G$6,'calculated data '!$A$6)</f>
        <v>Low Demand Tier</v>
      </c>
      <c r="F904" s="10">
        <f t="shared" si="1"/>
        <v>-0.6488518145</v>
      </c>
    </row>
    <row r="905" ht="14.25" customHeight="1">
      <c r="A905" s="2" t="s">
        <v>101</v>
      </c>
      <c r="B905" s="2" t="s">
        <v>102</v>
      </c>
      <c r="C905" s="2">
        <v>1985.0</v>
      </c>
      <c r="D905" s="9">
        <v>541.078</v>
      </c>
      <c r="E905" s="10" t="str">
        <f t="array" ref="E905">IFS(D905&lt;=$G$3,'calculated data '!$A$3,D905&lt;=$G$4,'calculated data '!$A$4,D905&lt;=$G$6,'calculated data '!$A$5,D905&gt;=$G$6,'calculated data '!$A$6)</f>
        <v>Low Demand Tier</v>
      </c>
      <c r="F905" s="10">
        <f t="shared" si="1"/>
        <v>-0.648849275</v>
      </c>
    </row>
    <row r="906" ht="14.25" customHeight="1">
      <c r="A906" s="2" t="s">
        <v>105</v>
      </c>
      <c r="B906" s="2" t="s">
        <v>106</v>
      </c>
      <c r="C906" s="2">
        <v>2011.0</v>
      </c>
      <c r="D906" s="9">
        <v>541.1786</v>
      </c>
      <c r="E906" s="10" t="str">
        <f t="array" ref="E906">IFS(D906&lt;=$G$3,'calculated data '!$A$3,D906&lt;=$G$4,'calculated data '!$A$4,D906&lt;=$G$6,'calculated data '!$A$5,D906&gt;=$G$6,'calculated data '!$A$6)</f>
        <v>Low Demand Tier</v>
      </c>
      <c r="F906" s="10">
        <f t="shared" si="1"/>
        <v>-0.6488466121</v>
      </c>
    </row>
    <row r="907" ht="14.25" customHeight="1">
      <c r="A907" s="2" t="s">
        <v>75</v>
      </c>
      <c r="B907" s="2" t="s">
        <v>76</v>
      </c>
      <c r="C907" s="2">
        <v>1987.0</v>
      </c>
      <c r="D907" s="9">
        <v>541.19763</v>
      </c>
      <c r="E907" s="10" t="str">
        <f t="array" ref="E907">IFS(D907&lt;=$G$3,'calculated data '!$A$3,D907&lt;=$G$4,'calculated data '!$A$4,D907&lt;=$G$6,'calculated data '!$A$5,D907&gt;=$G$6,'calculated data '!$A$6)</f>
        <v>Low Demand Tier</v>
      </c>
      <c r="F907" s="10">
        <f t="shared" si="1"/>
        <v>-0.6488461084</v>
      </c>
    </row>
    <row r="908" ht="14.25" customHeight="1">
      <c r="A908" s="2" t="s">
        <v>87</v>
      </c>
      <c r="B908" s="2" t="s">
        <v>88</v>
      </c>
      <c r="C908" s="2">
        <v>1997.0</v>
      </c>
      <c r="D908" s="9">
        <v>541.798</v>
      </c>
      <c r="E908" s="10" t="str">
        <f t="array" ref="E908">IFS(D908&lt;=$G$3,'calculated data '!$A$3,D908&lt;=$G$4,'calculated data '!$A$4,D908&lt;=$G$6,'calculated data '!$A$5,D908&gt;=$G$6,'calculated data '!$A$6)</f>
        <v>Low Demand Tier</v>
      </c>
      <c r="F908" s="10">
        <f t="shared" si="1"/>
        <v>-0.6488302168</v>
      </c>
    </row>
    <row r="909" ht="14.25" customHeight="1">
      <c r="A909" s="2" t="s">
        <v>95</v>
      </c>
      <c r="B909" s="2" t="s">
        <v>96</v>
      </c>
      <c r="C909" s="2">
        <v>1981.0</v>
      </c>
      <c r="D909" s="9">
        <v>541.85675</v>
      </c>
      <c r="E909" s="10" t="str">
        <f t="array" ref="E909">IFS(D909&lt;=$G$3,'calculated data '!$A$3,D909&lt;=$G$4,'calculated data '!$A$4,D909&lt;=$G$6,'calculated data '!$A$5,D909&gt;=$G$6,'calculated data '!$A$6)</f>
        <v>Low Demand Tier</v>
      </c>
      <c r="F909" s="10">
        <f t="shared" si="1"/>
        <v>-0.6488286617</v>
      </c>
    </row>
    <row r="910" ht="14.25" customHeight="1">
      <c r="A910" s="2" t="s">
        <v>109</v>
      </c>
      <c r="B910" s="2" t="s">
        <v>110</v>
      </c>
      <c r="C910" s="2">
        <v>2009.0</v>
      </c>
      <c r="D910" s="9">
        <v>542.47174</v>
      </c>
      <c r="E910" s="10" t="str">
        <f t="array" ref="E910">IFS(D910&lt;=$G$3,'calculated data '!$A$3,D910&lt;=$G$4,'calculated data '!$A$4,D910&lt;=$G$6,'calculated data '!$A$5,D910&gt;=$G$6,'calculated data '!$A$6)</f>
        <v>Low Demand Tier</v>
      </c>
      <c r="F910" s="10">
        <f t="shared" si="1"/>
        <v>-0.648812383</v>
      </c>
    </row>
    <row r="911" ht="14.25" customHeight="1">
      <c r="A911" s="2" t="s">
        <v>21</v>
      </c>
      <c r="B911" s="2" t="s">
        <v>22</v>
      </c>
      <c r="C911" s="2">
        <v>1987.0</v>
      </c>
      <c r="D911" s="9">
        <v>542.8084</v>
      </c>
      <c r="E911" s="10" t="str">
        <f t="array" ref="E911">IFS(D911&lt;=$G$3,'calculated data '!$A$3,D911&lt;=$G$4,'calculated data '!$A$4,D911&lt;=$G$6,'calculated data '!$A$5,D911&gt;=$G$6,'calculated data '!$A$6)</f>
        <v>Low Demand Tier</v>
      </c>
      <c r="F911" s="10">
        <f t="shared" si="1"/>
        <v>-0.6488034717</v>
      </c>
    </row>
    <row r="912" ht="14.25" customHeight="1">
      <c r="A912" s="2" t="s">
        <v>101</v>
      </c>
      <c r="B912" s="2" t="s">
        <v>102</v>
      </c>
      <c r="C912" s="2">
        <v>2022.0</v>
      </c>
      <c r="D912" s="9">
        <v>544.34326</v>
      </c>
      <c r="E912" s="10" t="str">
        <f t="array" ref="E912">IFS(D912&lt;=$G$3,'calculated data '!$A$3,D912&lt;=$G$4,'calculated data '!$A$4,D912&lt;=$G$6,'calculated data '!$A$5,D912&gt;=$G$6,'calculated data '!$A$6)</f>
        <v>Low Demand Tier</v>
      </c>
      <c r="F912" s="10">
        <f t="shared" si="1"/>
        <v>-0.6487628444</v>
      </c>
    </row>
    <row r="913" ht="14.25" customHeight="1">
      <c r="A913" s="2" t="s">
        <v>95</v>
      </c>
      <c r="B913" s="2" t="s">
        <v>96</v>
      </c>
      <c r="C913" s="2">
        <v>1984.0</v>
      </c>
      <c r="D913" s="9">
        <v>544.71533</v>
      </c>
      <c r="E913" s="10" t="str">
        <f t="array" ref="E913">IFS(D913&lt;=$G$3,'calculated data '!$A$3,D913&lt;=$G$4,'calculated data '!$A$4,D913&lt;=$G$6,'calculated data '!$A$5,D913&gt;=$G$6,'calculated data '!$A$6)</f>
        <v>Low Demand Tier</v>
      </c>
      <c r="F913" s="10">
        <f t="shared" si="1"/>
        <v>-0.6487529958</v>
      </c>
    </row>
    <row r="914" ht="14.25" customHeight="1">
      <c r="A914" s="2" t="s">
        <v>85</v>
      </c>
      <c r="B914" s="2" t="s">
        <v>86</v>
      </c>
      <c r="C914" s="2">
        <v>1992.0</v>
      </c>
      <c r="D914" s="9">
        <v>545.5146</v>
      </c>
      <c r="E914" s="10" t="str">
        <f t="array" ref="E914">IFS(D914&lt;=$G$3,'calculated data '!$A$3,D914&lt;=$G$4,'calculated data '!$A$4,D914&lt;=$G$6,'calculated data '!$A$5,D914&gt;=$G$6,'calculated data '!$A$6)</f>
        <v>Low Demand Tier</v>
      </c>
      <c r="F914" s="10">
        <f t="shared" si="1"/>
        <v>-0.6487318393</v>
      </c>
    </row>
    <row r="915" ht="14.25" customHeight="1">
      <c r="A915" s="2" t="s">
        <v>65</v>
      </c>
      <c r="B915" s="2" t="s">
        <v>66</v>
      </c>
      <c r="C915" s="2">
        <v>1993.0</v>
      </c>
      <c r="D915" s="9">
        <v>545.7575</v>
      </c>
      <c r="E915" s="10" t="str">
        <f t="array" ref="E915">IFS(D915&lt;=$G$3,'calculated data '!$A$3,D915&lt;=$G$4,'calculated data '!$A$4,D915&lt;=$G$6,'calculated data '!$A$5,D915&gt;=$G$6,'calculated data '!$A$6)</f>
        <v>Low Demand Tier</v>
      </c>
      <c r="F915" s="10">
        <f t="shared" si="1"/>
        <v>-0.6487254098</v>
      </c>
    </row>
    <row r="916" ht="14.25" customHeight="1">
      <c r="A916" s="2" t="s">
        <v>111</v>
      </c>
      <c r="B916" s="2" t="s">
        <v>112</v>
      </c>
      <c r="C916" s="2">
        <v>1986.0</v>
      </c>
      <c r="D916" s="9">
        <v>546.17163</v>
      </c>
      <c r="E916" s="10" t="str">
        <f t="array" ref="E916">IFS(D916&lt;=$G$3,'calculated data '!$A$3,D916&lt;=$G$4,'calculated data '!$A$4,D916&lt;=$G$6,'calculated data '!$A$5,D916&gt;=$G$6,'calculated data '!$A$6)</f>
        <v>Low Demand Tier</v>
      </c>
      <c r="F916" s="10">
        <f t="shared" si="1"/>
        <v>-0.6487144479</v>
      </c>
    </row>
    <row r="917" ht="14.25" customHeight="1">
      <c r="A917" s="2" t="s">
        <v>109</v>
      </c>
      <c r="B917" s="2" t="s">
        <v>110</v>
      </c>
      <c r="C917" s="2">
        <v>2020.0</v>
      </c>
      <c r="D917" s="9">
        <v>548.4269</v>
      </c>
      <c r="E917" s="10" t="str">
        <f t="array" ref="E917">IFS(D917&lt;=$G$3,'calculated data '!$A$3,D917&lt;=$G$4,'calculated data '!$A$4,D917&lt;=$G$6,'calculated data '!$A$5,D917&gt;=$G$6,'calculated data '!$A$6)</f>
        <v>Low Demand Tier</v>
      </c>
      <c r="F917" s="10">
        <f t="shared" si="1"/>
        <v>-0.6486547514</v>
      </c>
    </row>
    <row r="918" ht="14.25" customHeight="1">
      <c r="A918" s="2" t="s">
        <v>67</v>
      </c>
      <c r="B918" s="2" t="s">
        <v>68</v>
      </c>
      <c r="C918" s="2">
        <v>1995.0</v>
      </c>
      <c r="D918" s="9">
        <v>548.45825</v>
      </c>
      <c r="E918" s="10" t="str">
        <f t="array" ref="E918">IFS(D918&lt;=$G$3,'calculated data '!$A$3,D918&lt;=$G$4,'calculated data '!$A$4,D918&lt;=$G$6,'calculated data '!$A$5,D918&gt;=$G$6,'calculated data '!$A$6)</f>
        <v>Low Demand Tier</v>
      </c>
      <c r="F918" s="10">
        <f t="shared" si="1"/>
        <v>-0.6486539216</v>
      </c>
    </row>
    <row r="919" ht="14.25" customHeight="1">
      <c r="A919" s="2" t="s">
        <v>93</v>
      </c>
      <c r="B919" s="2" t="s">
        <v>94</v>
      </c>
      <c r="C919" s="2">
        <v>1991.0</v>
      </c>
      <c r="D919" s="9">
        <v>548.62305</v>
      </c>
      <c r="E919" s="10" t="str">
        <f t="array" ref="E919">IFS(D919&lt;=$G$3,'calculated data '!$A$3,D919&lt;=$G$4,'calculated data '!$A$4,D919&lt;=$G$6,'calculated data '!$A$5,D919&gt;=$G$6,'calculated data '!$A$6)</f>
        <v>Low Demand Tier</v>
      </c>
      <c r="F919" s="10">
        <f t="shared" si="1"/>
        <v>-0.6486495594</v>
      </c>
    </row>
    <row r="920" ht="14.25" customHeight="1">
      <c r="A920" s="2" t="s">
        <v>95</v>
      </c>
      <c r="B920" s="2" t="s">
        <v>96</v>
      </c>
      <c r="C920" s="2">
        <v>1983.0</v>
      </c>
      <c r="D920" s="9">
        <v>548.62335</v>
      </c>
      <c r="E920" s="10" t="str">
        <f t="array" ref="E920">IFS(D920&lt;=$G$3,'calculated data '!$A$3,D920&lt;=$G$4,'calculated data '!$A$4,D920&lt;=$G$6,'calculated data '!$A$5,D920&gt;=$G$6,'calculated data '!$A$6)</f>
        <v>Low Demand Tier</v>
      </c>
      <c r="F920" s="10">
        <f t="shared" si="1"/>
        <v>-0.6486495515</v>
      </c>
    </row>
    <row r="921" ht="14.25" customHeight="1">
      <c r="A921" s="2" t="s">
        <v>103</v>
      </c>
      <c r="B921" s="2" t="s">
        <v>104</v>
      </c>
      <c r="C921" s="2">
        <v>1981.0</v>
      </c>
      <c r="D921" s="9">
        <v>550.07635</v>
      </c>
      <c r="E921" s="10" t="str">
        <f t="array" ref="E921">IFS(D921&lt;=$G$3,'calculated data '!$A$3,D921&lt;=$G$4,'calculated data '!$A$4,D921&lt;=$G$6,'calculated data '!$A$5,D921&gt;=$G$6,'calculated data '!$A$6)</f>
        <v>Low Demand Tier</v>
      </c>
      <c r="F921" s="10">
        <f t="shared" si="1"/>
        <v>-0.6486110909</v>
      </c>
    </row>
    <row r="922" ht="14.25" customHeight="1">
      <c r="A922" s="2" t="s">
        <v>101</v>
      </c>
      <c r="B922" s="2" t="s">
        <v>102</v>
      </c>
      <c r="C922" s="2">
        <v>2019.0</v>
      </c>
      <c r="D922" s="9">
        <v>551.20087</v>
      </c>
      <c r="E922" s="10" t="str">
        <f t="array" ref="E922">IFS(D922&lt;=$G$3,'calculated data '!$A$3,D922&lt;=$G$4,'calculated data '!$A$4,D922&lt;=$G$6,'calculated data '!$A$5,D922&gt;=$G$6,'calculated data '!$A$6)</f>
        <v>Low Demand Tier</v>
      </c>
      <c r="F922" s="10">
        <f t="shared" si="1"/>
        <v>-0.6485813251</v>
      </c>
    </row>
    <row r="923" ht="14.25" customHeight="1">
      <c r="A923" s="2" t="s">
        <v>67</v>
      </c>
      <c r="B923" s="2" t="s">
        <v>68</v>
      </c>
      <c r="C923" s="2">
        <v>2024.0</v>
      </c>
      <c r="D923" s="9">
        <v>551.5344</v>
      </c>
      <c r="E923" s="10" t="str">
        <f t="array" ref="E923">IFS(D923&lt;=$G$3,'calculated data '!$A$3,D923&lt;=$G$4,'calculated data '!$A$4,D923&lt;=$G$6,'calculated data '!$A$5,D923&gt;=$G$6,'calculated data '!$A$6)</f>
        <v>Low Demand Tier</v>
      </c>
      <c r="F923" s="10">
        <f t="shared" si="1"/>
        <v>-0.6485724967</v>
      </c>
    </row>
    <row r="924" ht="14.25" customHeight="1">
      <c r="A924" s="2" t="s">
        <v>77</v>
      </c>
      <c r="B924" s="2" t="s">
        <v>78</v>
      </c>
      <c r="C924" s="2">
        <v>2011.0</v>
      </c>
      <c r="D924" s="9">
        <v>552.5457</v>
      </c>
      <c r="E924" s="10" t="str">
        <f t="array" ref="E924">IFS(D924&lt;=$G$3,'calculated data '!$A$3,D924&lt;=$G$4,'calculated data '!$A$4,D924&lt;=$G$6,'calculated data '!$A$5,D924&gt;=$G$6,'calculated data '!$A$6)</f>
        <v>Low Demand Tier</v>
      </c>
      <c r="F924" s="10">
        <f t="shared" si="1"/>
        <v>-0.6485457278</v>
      </c>
    </row>
    <row r="925" ht="14.25" customHeight="1">
      <c r="A925" s="2" t="s">
        <v>101</v>
      </c>
      <c r="B925" s="2" t="s">
        <v>102</v>
      </c>
      <c r="C925" s="2">
        <v>2017.0</v>
      </c>
      <c r="D925" s="9">
        <v>552.9473</v>
      </c>
      <c r="E925" s="10" t="str">
        <f t="array" ref="E925">IFS(D925&lt;=$G$3,'calculated data '!$A$3,D925&lt;=$G$4,'calculated data '!$A$4,D925&lt;=$G$6,'calculated data '!$A$5,D925&gt;=$G$6,'calculated data '!$A$6)</f>
        <v>Low Demand Tier</v>
      </c>
      <c r="F925" s="10">
        <f t="shared" si="1"/>
        <v>-0.6485350976</v>
      </c>
    </row>
    <row r="926" ht="14.25" customHeight="1">
      <c r="A926" s="2" t="s">
        <v>113</v>
      </c>
      <c r="B926" s="2" t="s">
        <v>114</v>
      </c>
      <c r="C926" s="2">
        <v>1991.0</v>
      </c>
      <c r="D926" s="9">
        <v>553.2586</v>
      </c>
      <c r="E926" s="10" t="str">
        <f t="array" ref="E926">IFS(D926&lt;=$G$3,'calculated data '!$A$3,D926&lt;=$G$4,'calculated data '!$A$4,D926&lt;=$G$6,'calculated data '!$A$5,D926&gt;=$G$6,'calculated data '!$A$6)</f>
        <v>Low Demand Tier</v>
      </c>
      <c r="F926" s="10">
        <f t="shared" si="1"/>
        <v>-0.6485268575</v>
      </c>
    </row>
    <row r="927" ht="14.25" customHeight="1">
      <c r="A927" s="2" t="s">
        <v>115</v>
      </c>
      <c r="B927" s="2" t="s">
        <v>116</v>
      </c>
      <c r="C927" s="2">
        <v>2012.0</v>
      </c>
      <c r="D927" s="9">
        <v>554.3917</v>
      </c>
      <c r="E927" s="10" t="str">
        <f t="array" ref="E927">IFS(D927&lt;=$G$3,'calculated data '!$A$3,D927&lt;=$G$4,'calculated data '!$A$4,D927&lt;=$G$6,'calculated data '!$A$5,D927&gt;=$G$6,'calculated data '!$A$6)</f>
        <v>Low Demand Tier</v>
      </c>
      <c r="F927" s="10">
        <f t="shared" si="1"/>
        <v>-0.6484968647</v>
      </c>
    </row>
    <row r="928" ht="14.25" customHeight="1">
      <c r="A928" s="2" t="s">
        <v>87</v>
      </c>
      <c r="B928" s="2" t="s">
        <v>88</v>
      </c>
      <c r="C928" s="2">
        <v>1994.0</v>
      </c>
      <c r="D928" s="9">
        <v>554.63306</v>
      </c>
      <c r="E928" s="10" t="str">
        <f t="array" ref="E928">IFS(D928&lt;=$G$3,'calculated data '!$A$3,D928&lt;=$G$4,'calculated data '!$A$4,D928&lt;=$G$6,'calculated data '!$A$5,D928&gt;=$G$6,'calculated data '!$A$6)</f>
        <v>Low Demand Tier</v>
      </c>
      <c r="F928" s="10">
        <f t="shared" si="1"/>
        <v>-0.6484904759</v>
      </c>
    </row>
    <row r="929" ht="14.25" customHeight="1">
      <c r="A929" s="2" t="s">
        <v>87</v>
      </c>
      <c r="B929" s="2" t="s">
        <v>88</v>
      </c>
      <c r="C929" s="2">
        <v>1995.0</v>
      </c>
      <c r="D929" s="9">
        <v>555.06165</v>
      </c>
      <c r="E929" s="10" t="str">
        <f t="array" ref="E929">IFS(D929&lt;=$G$3,'calculated data '!$A$3,D929&lt;=$G$4,'calculated data '!$A$4,D929&lt;=$G$6,'calculated data '!$A$5,D929&gt;=$G$6,'calculated data '!$A$6)</f>
        <v>Low Demand Tier</v>
      </c>
      <c r="F929" s="10">
        <f t="shared" si="1"/>
        <v>-0.6484791313</v>
      </c>
    </row>
    <row r="930" ht="14.25" customHeight="1">
      <c r="A930" s="2" t="s">
        <v>85</v>
      </c>
      <c r="B930" s="2" t="s">
        <v>86</v>
      </c>
      <c r="C930" s="2">
        <v>1980.0</v>
      </c>
      <c r="D930" s="9">
        <v>555.1987</v>
      </c>
      <c r="E930" s="10" t="str">
        <f t="array" ref="E930">IFS(D930&lt;=$G$3,'calculated data '!$A$3,D930&lt;=$G$4,'calculated data '!$A$4,D930&lt;=$G$6,'calculated data '!$A$5,D930&gt;=$G$6,'calculated data '!$A$6)</f>
        <v>Low Demand Tier</v>
      </c>
      <c r="F930" s="10">
        <f t="shared" si="1"/>
        <v>-0.6484755036</v>
      </c>
    </row>
    <row r="931" ht="14.25" customHeight="1">
      <c r="A931" s="2" t="s">
        <v>87</v>
      </c>
      <c r="B931" s="2" t="s">
        <v>88</v>
      </c>
      <c r="C931" s="2">
        <v>1996.0</v>
      </c>
      <c r="D931" s="9">
        <v>555.788</v>
      </c>
      <c r="E931" s="10" t="str">
        <f t="array" ref="E931">IFS(D931&lt;=$G$3,'calculated data '!$A$3,D931&lt;=$G$4,'calculated data '!$A$4,D931&lt;=$G$6,'calculated data '!$A$5,D931&gt;=$G$6,'calculated data '!$A$6)</f>
        <v>Low Demand Tier</v>
      </c>
      <c r="F931" s="10">
        <f t="shared" si="1"/>
        <v>-0.648459905</v>
      </c>
    </row>
    <row r="932" ht="14.25" customHeight="1">
      <c r="A932" s="2" t="s">
        <v>85</v>
      </c>
      <c r="B932" s="2" t="s">
        <v>86</v>
      </c>
      <c r="C932" s="2">
        <v>1991.0</v>
      </c>
      <c r="D932" s="9">
        <v>555.83264</v>
      </c>
      <c r="E932" s="10" t="str">
        <f t="array" ref="E932">IFS(D932&lt;=$G$3,'calculated data '!$A$3,D932&lt;=$G$4,'calculated data '!$A$4,D932&lt;=$G$6,'calculated data '!$A$5,D932&gt;=$G$6,'calculated data '!$A$6)</f>
        <v>Low Demand Tier</v>
      </c>
      <c r="F932" s="10">
        <f t="shared" si="1"/>
        <v>-0.6484587233</v>
      </c>
    </row>
    <row r="933" ht="14.25" customHeight="1">
      <c r="A933" s="2" t="s">
        <v>101</v>
      </c>
      <c r="B933" s="2" t="s">
        <v>102</v>
      </c>
      <c r="C933" s="2">
        <v>2014.0</v>
      </c>
      <c r="D933" s="9">
        <v>556.57306</v>
      </c>
      <c r="E933" s="10" t="str">
        <f t="array" ref="E933">IFS(D933&lt;=$G$3,'calculated data '!$A$3,D933&lt;=$G$4,'calculated data '!$A$4,D933&lt;=$G$6,'calculated data '!$A$5,D933&gt;=$G$6,'calculated data '!$A$6)</f>
        <v>Low Demand Tier</v>
      </c>
      <c r="F933" s="10">
        <f t="shared" si="1"/>
        <v>-0.6484391246</v>
      </c>
    </row>
    <row r="934" ht="14.25" customHeight="1">
      <c r="A934" s="2" t="s">
        <v>89</v>
      </c>
      <c r="B934" s="2" t="s">
        <v>90</v>
      </c>
      <c r="C934" s="2">
        <v>2013.0</v>
      </c>
      <c r="D934" s="9">
        <v>557.45984</v>
      </c>
      <c r="E934" s="10" t="str">
        <f t="array" ref="E934">IFS(D934&lt;=$G$3,'calculated data '!$A$3,D934&lt;=$G$4,'calculated data '!$A$4,D934&lt;=$G$6,'calculated data '!$A$5,D934&gt;=$G$6,'calculated data '!$A$6)</f>
        <v>Low Demand Tier</v>
      </c>
      <c r="F934" s="10">
        <f t="shared" si="1"/>
        <v>-0.6484156518</v>
      </c>
    </row>
    <row r="935" ht="14.25" customHeight="1">
      <c r="A935" s="2" t="s">
        <v>113</v>
      </c>
      <c r="B935" s="2" t="s">
        <v>114</v>
      </c>
      <c r="C935" s="2">
        <v>1992.0</v>
      </c>
      <c r="D935" s="9">
        <v>560.7315</v>
      </c>
      <c r="E935" s="10" t="str">
        <f t="array" ref="E935">IFS(D935&lt;=$G$3,'calculated data '!$A$3,D935&lt;=$G$4,'calculated data '!$A$4,D935&lt;=$G$6,'calculated data '!$A$5,D935&gt;=$G$6,'calculated data '!$A$6)</f>
        <v>Low Demand Tier</v>
      </c>
      <c r="F935" s="10">
        <f t="shared" si="1"/>
        <v>-0.6483290517</v>
      </c>
    </row>
    <row r="936" ht="14.25" customHeight="1">
      <c r="A936" s="2" t="s">
        <v>113</v>
      </c>
      <c r="B936" s="2" t="s">
        <v>114</v>
      </c>
      <c r="C936" s="2">
        <v>1980.0</v>
      </c>
      <c r="D936" s="9">
        <v>560.98596</v>
      </c>
      <c r="E936" s="10" t="str">
        <f t="array" ref="E936">IFS(D936&lt;=$G$3,'calculated data '!$A$3,D936&lt;=$G$4,'calculated data '!$A$4,D936&lt;=$G$6,'calculated data '!$A$5,D936&gt;=$G$6,'calculated data '!$A$6)</f>
        <v>Low Demand Tier</v>
      </c>
      <c r="F936" s="10">
        <f t="shared" si="1"/>
        <v>-0.6483223162</v>
      </c>
    </row>
    <row r="937" ht="14.25" customHeight="1">
      <c r="A937" s="2" t="s">
        <v>67</v>
      </c>
      <c r="B937" s="2" t="s">
        <v>68</v>
      </c>
      <c r="C937" s="2">
        <v>2023.0</v>
      </c>
      <c r="D937" s="9">
        <v>563.4707</v>
      </c>
      <c r="E937" s="10" t="str">
        <f t="array" ref="E937">IFS(D937&lt;=$G$3,'calculated data '!$A$3,D937&lt;=$G$4,'calculated data '!$A$4,D937&lt;=$G$6,'calculated data '!$A$5,D937&gt;=$G$6,'calculated data '!$A$6)</f>
        <v>Low Demand Tier</v>
      </c>
      <c r="F937" s="10">
        <f t="shared" si="1"/>
        <v>-0.6482565458</v>
      </c>
    </row>
    <row r="938" ht="14.25" customHeight="1">
      <c r="A938" s="2" t="s">
        <v>97</v>
      </c>
      <c r="B938" s="2" t="s">
        <v>98</v>
      </c>
      <c r="C938" s="2">
        <v>2000.0</v>
      </c>
      <c r="D938" s="9">
        <v>563.9375</v>
      </c>
      <c r="E938" s="10" t="str">
        <f t="array" ref="E938">IFS(D938&lt;=$G$3,'calculated data '!$A$3,D938&lt;=$G$4,'calculated data '!$A$4,D938&lt;=$G$6,'calculated data '!$A$5,D938&gt;=$G$6,'calculated data '!$A$6)</f>
        <v>Low Demand Tier</v>
      </c>
      <c r="F938" s="10">
        <f t="shared" si="1"/>
        <v>-0.6482441897</v>
      </c>
    </row>
    <row r="939" ht="14.25" customHeight="1">
      <c r="A939" s="2" t="s">
        <v>113</v>
      </c>
      <c r="B939" s="2" t="s">
        <v>114</v>
      </c>
      <c r="C939" s="2">
        <v>1981.0</v>
      </c>
      <c r="D939" s="9">
        <v>564.7381</v>
      </c>
      <c r="E939" s="10" t="str">
        <f t="array" ref="E939">IFS(D939&lt;=$G$3,'calculated data '!$A$3,D939&lt;=$G$4,'calculated data '!$A$4,D939&lt;=$G$6,'calculated data '!$A$5,D939&gt;=$G$6,'calculated data '!$A$6)</f>
        <v>Low Demand Tier</v>
      </c>
      <c r="F939" s="10">
        <f t="shared" si="1"/>
        <v>-0.648222998</v>
      </c>
    </row>
    <row r="940" ht="14.25" customHeight="1">
      <c r="A940" s="2" t="s">
        <v>115</v>
      </c>
      <c r="B940" s="2" t="s">
        <v>116</v>
      </c>
      <c r="C940" s="2">
        <v>2013.0</v>
      </c>
      <c r="D940" s="9">
        <v>564.8888</v>
      </c>
      <c r="E940" s="10" t="str">
        <f t="array" ref="E940">IFS(D940&lt;=$G$3,'calculated data '!$A$3,D940&lt;=$G$4,'calculated data '!$A$4,D940&lt;=$G$6,'calculated data '!$A$5,D940&gt;=$G$6,'calculated data '!$A$6)</f>
        <v>Low Demand Tier</v>
      </c>
      <c r="F940" s="10">
        <f t="shared" si="1"/>
        <v>-0.648219009</v>
      </c>
    </row>
    <row r="941" ht="14.25" customHeight="1">
      <c r="A941" s="2" t="s">
        <v>89</v>
      </c>
      <c r="B941" s="2" t="s">
        <v>90</v>
      </c>
      <c r="C941" s="2">
        <v>2023.0</v>
      </c>
      <c r="D941" s="9">
        <v>565.49994</v>
      </c>
      <c r="E941" s="10" t="str">
        <f t="array" ref="E941">IFS(D941&lt;=$G$3,'calculated data '!$A$3,D941&lt;=$G$4,'calculated data '!$A$4,D941&lt;=$G$6,'calculated data '!$A$5,D941&gt;=$G$6,'calculated data '!$A$6)</f>
        <v>Low Demand Tier</v>
      </c>
      <c r="F941" s="10">
        <f t="shared" si="1"/>
        <v>-0.6482028323</v>
      </c>
    </row>
    <row r="942" ht="14.25" customHeight="1">
      <c r="A942" s="2" t="s">
        <v>105</v>
      </c>
      <c r="B942" s="2" t="s">
        <v>106</v>
      </c>
      <c r="C942" s="2">
        <v>2017.0</v>
      </c>
      <c r="D942" s="9">
        <v>565.92645</v>
      </c>
      <c r="E942" s="10" t="str">
        <f t="array" ref="E942">IFS(D942&lt;=$G$3,'calculated data '!$A$3,D942&lt;=$G$4,'calculated data '!$A$4,D942&lt;=$G$6,'calculated data '!$A$5,D942&gt;=$G$6,'calculated data '!$A$6)</f>
        <v>Low Demand Tier</v>
      </c>
      <c r="F942" s="10">
        <f t="shared" si="1"/>
        <v>-0.6481915427</v>
      </c>
    </row>
    <row r="943" ht="14.25" customHeight="1">
      <c r="A943" s="2" t="s">
        <v>65</v>
      </c>
      <c r="B943" s="2" t="s">
        <v>66</v>
      </c>
      <c r="C943" s="2">
        <v>2008.0</v>
      </c>
      <c r="D943" s="9">
        <v>567.9215</v>
      </c>
      <c r="E943" s="10" t="str">
        <f t="array" ref="E943">IFS(D943&lt;=$G$3,'calculated data '!$A$3,D943&lt;=$G$4,'calculated data '!$A$4,D943&lt;=$G$6,'calculated data '!$A$5,D943&gt;=$G$6,'calculated data '!$A$6)</f>
        <v>Low Demand Tier</v>
      </c>
      <c r="F943" s="10">
        <f t="shared" si="1"/>
        <v>-0.6481387342</v>
      </c>
    </row>
    <row r="944" ht="14.25" customHeight="1">
      <c r="A944" s="2" t="s">
        <v>109</v>
      </c>
      <c r="B944" s="2" t="s">
        <v>110</v>
      </c>
      <c r="C944" s="2">
        <v>2023.0</v>
      </c>
      <c r="D944" s="9">
        <v>568.06604</v>
      </c>
      <c r="E944" s="10" t="str">
        <f t="array" ref="E944">IFS(D944&lt;=$G$3,'calculated data '!$A$3,D944&lt;=$G$4,'calculated data '!$A$4,D944&lt;=$G$6,'calculated data '!$A$5,D944&gt;=$G$6,'calculated data '!$A$6)</f>
        <v>Low Demand Tier</v>
      </c>
      <c r="F944" s="10">
        <f t="shared" si="1"/>
        <v>-0.6481349083</v>
      </c>
    </row>
    <row r="945" ht="14.25" customHeight="1">
      <c r="A945" s="2" t="s">
        <v>109</v>
      </c>
      <c r="B945" s="2" t="s">
        <v>110</v>
      </c>
      <c r="C945" s="2">
        <v>2024.0</v>
      </c>
      <c r="D945" s="9">
        <v>569.85297</v>
      </c>
      <c r="E945" s="10" t="str">
        <f t="array" ref="E945">IFS(D945&lt;=$G$3,'calculated data '!$A$3,D945&lt;=$G$4,'calculated data '!$A$4,D945&lt;=$G$6,'calculated data '!$A$5,D945&gt;=$G$6,'calculated data '!$A$6)</f>
        <v>Low Demand Tier</v>
      </c>
      <c r="F945" s="10">
        <f t="shared" si="1"/>
        <v>-0.6480876087</v>
      </c>
    </row>
    <row r="946" ht="14.25" customHeight="1">
      <c r="A946" s="2" t="s">
        <v>113</v>
      </c>
      <c r="B946" s="2" t="s">
        <v>114</v>
      </c>
      <c r="C946" s="2">
        <v>1990.0</v>
      </c>
      <c r="D946" s="9">
        <v>570.20447</v>
      </c>
      <c r="E946" s="10" t="str">
        <f t="array" ref="E946">IFS(D946&lt;=$G$3,'calculated data '!$A$3,D946&lt;=$G$4,'calculated data '!$A$4,D946&lt;=$G$6,'calculated data '!$A$5,D946&gt;=$G$6,'calculated data '!$A$6)</f>
        <v>Low Demand Tier</v>
      </c>
      <c r="F946" s="10">
        <f t="shared" si="1"/>
        <v>-0.6480783046</v>
      </c>
    </row>
    <row r="947" ht="14.25" customHeight="1">
      <c r="A947" s="2" t="s">
        <v>111</v>
      </c>
      <c r="B947" s="2" t="s">
        <v>112</v>
      </c>
      <c r="C947" s="2">
        <v>1987.0</v>
      </c>
      <c r="D947" s="9">
        <v>571.8356</v>
      </c>
      <c r="E947" s="10" t="str">
        <f t="array" ref="E947">IFS(D947&lt;=$G$3,'calculated data '!$A$3,D947&lt;=$G$4,'calculated data '!$A$4,D947&lt;=$G$6,'calculated data '!$A$5,D947&gt;=$G$6,'calculated data '!$A$6)</f>
        <v>Low Demand Tier</v>
      </c>
      <c r="F947" s="10">
        <f t="shared" si="1"/>
        <v>-0.648035129</v>
      </c>
    </row>
    <row r="948" ht="14.25" customHeight="1">
      <c r="A948" s="2" t="s">
        <v>81</v>
      </c>
      <c r="B948" s="2" t="s">
        <v>82</v>
      </c>
      <c r="C948" s="2">
        <v>1990.0</v>
      </c>
      <c r="D948" s="9">
        <v>574.4182</v>
      </c>
      <c r="E948" s="10" t="str">
        <f t="array" ref="E948">IFS(D948&lt;=$G$3,'calculated data '!$A$3,D948&lt;=$G$4,'calculated data '!$A$4,D948&lt;=$G$6,'calculated data '!$A$5,D948&gt;=$G$6,'calculated data '!$A$6)</f>
        <v>Low Demand Tier</v>
      </c>
      <c r="F948" s="10">
        <f t="shared" si="1"/>
        <v>-0.6479667682</v>
      </c>
    </row>
    <row r="949" ht="14.25" customHeight="1">
      <c r="A949" s="2" t="s">
        <v>63</v>
      </c>
      <c r="B949" s="2" t="s">
        <v>64</v>
      </c>
      <c r="C949" s="2">
        <v>2020.0</v>
      </c>
      <c r="D949" s="9">
        <v>578.00854</v>
      </c>
      <c r="E949" s="10" t="str">
        <f t="array" ref="E949">IFS(D949&lt;=$G$3,'calculated data '!$A$3,D949&lt;=$G$4,'calculated data '!$A$4,D949&lt;=$G$6,'calculated data '!$A$5,D949&gt;=$G$6,'calculated data '!$A$6)</f>
        <v>Low Demand Tier</v>
      </c>
      <c r="F949" s="10">
        <f t="shared" si="1"/>
        <v>-0.6478717328</v>
      </c>
    </row>
    <row r="950" ht="14.25" customHeight="1">
      <c r="A950" s="2" t="s">
        <v>101</v>
      </c>
      <c r="B950" s="2" t="s">
        <v>102</v>
      </c>
      <c r="C950" s="2">
        <v>1980.0</v>
      </c>
      <c r="D950" s="9">
        <v>579.2842</v>
      </c>
      <c r="E950" s="10" t="str">
        <f t="array" ref="E950">IFS(D950&lt;=$G$3,'calculated data '!$A$3,D950&lt;=$G$4,'calculated data '!$A$4,D950&lt;=$G$6,'calculated data '!$A$5,D950&gt;=$G$6,'calculated data '!$A$6)</f>
        <v>Low Demand Tier</v>
      </c>
      <c r="F950" s="10">
        <f t="shared" si="1"/>
        <v>-0.6478379664</v>
      </c>
    </row>
    <row r="951" ht="14.25" customHeight="1">
      <c r="A951" s="2" t="s">
        <v>109</v>
      </c>
      <c r="B951" s="2" t="s">
        <v>110</v>
      </c>
      <c r="C951" s="2">
        <v>2022.0</v>
      </c>
      <c r="D951" s="9">
        <v>579.3807</v>
      </c>
      <c r="E951" s="10" t="str">
        <f t="array" ref="E951">IFS(D951&lt;=$G$3,'calculated data '!$A$3,D951&lt;=$G$4,'calculated data '!$A$4,D951&lt;=$G$6,'calculated data '!$A$5,D951&gt;=$G$6,'calculated data '!$A$6)</f>
        <v>Low Demand Tier</v>
      </c>
      <c r="F951" s="10">
        <f t="shared" si="1"/>
        <v>-0.6478354121</v>
      </c>
    </row>
    <row r="952" ht="14.25" customHeight="1">
      <c r="A952" s="2" t="s">
        <v>75</v>
      </c>
      <c r="B952" s="2" t="s">
        <v>76</v>
      </c>
      <c r="C952" s="2">
        <v>1989.0</v>
      </c>
      <c r="D952" s="9">
        <v>579.84985</v>
      </c>
      <c r="E952" s="10" t="str">
        <f t="array" ref="E952">IFS(D952&lt;=$G$3,'calculated data '!$A$3,D952&lt;=$G$4,'calculated data '!$A$4,D952&lt;=$G$6,'calculated data '!$A$5,D952&gt;=$G$6,'calculated data '!$A$6)</f>
        <v>Low Demand Tier</v>
      </c>
      <c r="F952" s="10">
        <f t="shared" si="1"/>
        <v>-0.6478229938</v>
      </c>
    </row>
    <row r="953" ht="14.25" customHeight="1">
      <c r="A953" s="2" t="s">
        <v>115</v>
      </c>
      <c r="B953" s="2" t="s">
        <v>116</v>
      </c>
      <c r="C953" s="2">
        <v>2014.0</v>
      </c>
      <c r="D953" s="9">
        <v>580.8493</v>
      </c>
      <c r="E953" s="10" t="str">
        <f t="array" ref="E953">IFS(D953&lt;=$G$3,'calculated data '!$A$3,D953&lt;=$G$4,'calculated data '!$A$4,D953&lt;=$G$6,'calculated data '!$A$5,D953&gt;=$G$6,'calculated data '!$A$6)</f>
        <v>Low Demand Tier</v>
      </c>
      <c r="F953" s="10">
        <f t="shared" si="1"/>
        <v>-0.6477965386</v>
      </c>
    </row>
    <row r="954" ht="14.25" customHeight="1">
      <c r="A954" s="2" t="s">
        <v>63</v>
      </c>
      <c r="B954" s="2" t="s">
        <v>64</v>
      </c>
      <c r="C954" s="2">
        <v>2017.0</v>
      </c>
      <c r="D954" s="9">
        <v>581.1099</v>
      </c>
      <c r="E954" s="10" t="str">
        <f t="array" ref="E954">IFS(D954&lt;=$G$3,'calculated data '!$A$3,D954&lt;=$G$4,'calculated data '!$A$4,D954&lt;=$G$6,'calculated data '!$A$5,D954&gt;=$G$6,'calculated data '!$A$6)</f>
        <v>Low Demand Tier</v>
      </c>
      <c r="F954" s="10">
        <f t="shared" si="1"/>
        <v>-0.6477896406</v>
      </c>
    </row>
    <row r="955" ht="14.25" customHeight="1">
      <c r="A955" s="2" t="s">
        <v>83</v>
      </c>
      <c r="B955" s="2" t="s">
        <v>84</v>
      </c>
      <c r="C955" s="2">
        <v>1980.0</v>
      </c>
      <c r="D955" s="9">
        <v>582.4142</v>
      </c>
      <c r="E955" s="10" t="str">
        <f t="array" ref="E955">IFS(D955&lt;=$G$3,'calculated data '!$A$3,D955&lt;=$G$4,'calculated data '!$A$4,D955&lt;=$G$6,'calculated data '!$A$5,D955&gt;=$G$6,'calculated data '!$A$6)</f>
        <v>Low Demand Tier</v>
      </c>
      <c r="F955" s="10">
        <f t="shared" si="1"/>
        <v>-0.6477551161</v>
      </c>
    </row>
    <row r="956" ht="14.25" customHeight="1">
      <c r="A956" s="2" t="s">
        <v>75</v>
      </c>
      <c r="B956" s="2" t="s">
        <v>76</v>
      </c>
      <c r="C956" s="2">
        <v>1985.0</v>
      </c>
      <c r="D956" s="9">
        <v>583.26587</v>
      </c>
      <c r="E956" s="10" t="str">
        <f t="array" ref="E956">IFS(D956&lt;=$G$3,'calculated data '!$A$3,D956&lt;=$G$4,'calculated data '!$A$4,D956&lt;=$G$6,'calculated data '!$A$5,D956&gt;=$G$6,'calculated data '!$A$6)</f>
        <v>Low Demand Tier</v>
      </c>
      <c r="F956" s="10">
        <f t="shared" si="1"/>
        <v>-0.6477325726</v>
      </c>
    </row>
    <row r="957" ht="14.25" customHeight="1">
      <c r="A957" s="2" t="s">
        <v>105</v>
      </c>
      <c r="B957" s="2" t="s">
        <v>106</v>
      </c>
      <c r="C957" s="2">
        <v>2016.0</v>
      </c>
      <c r="D957" s="9">
        <v>585.5203</v>
      </c>
      <c r="E957" s="10" t="str">
        <f t="array" ref="E957">IFS(D957&lt;=$G$3,'calculated data '!$A$3,D957&lt;=$G$4,'calculated data '!$A$4,D957&lt;=$G$6,'calculated data '!$A$5,D957&gt;=$G$6,'calculated data '!$A$6)</f>
        <v>Low Demand Tier</v>
      </c>
      <c r="F957" s="10">
        <f t="shared" si="1"/>
        <v>-0.6476728984</v>
      </c>
    </row>
    <row r="958" ht="14.25" customHeight="1">
      <c r="A958" s="2" t="s">
        <v>105</v>
      </c>
      <c r="B958" s="2" t="s">
        <v>106</v>
      </c>
      <c r="C958" s="2">
        <v>2015.0</v>
      </c>
      <c r="D958" s="9">
        <v>585.5656</v>
      </c>
      <c r="E958" s="10" t="str">
        <f t="array" ref="E958">IFS(D958&lt;=$G$3,'calculated data '!$A$3,D958&lt;=$G$4,'calculated data '!$A$4,D958&lt;=$G$6,'calculated data '!$A$5,D958&gt;=$G$6,'calculated data '!$A$6)</f>
        <v>Low Demand Tier</v>
      </c>
      <c r="F958" s="10">
        <f t="shared" si="1"/>
        <v>-0.6476716993</v>
      </c>
    </row>
    <row r="959" ht="14.25" customHeight="1">
      <c r="A959" s="2" t="s">
        <v>113</v>
      </c>
      <c r="B959" s="2" t="s">
        <v>114</v>
      </c>
      <c r="C959" s="2">
        <v>1993.0</v>
      </c>
      <c r="D959" s="9">
        <v>587.599</v>
      </c>
      <c r="E959" s="10" t="str">
        <f t="array" ref="E959">IFS(D959&lt;=$G$3,'calculated data '!$A$3,D959&lt;=$G$4,'calculated data '!$A$4,D959&lt;=$G$6,'calculated data '!$A$5,D959&gt;=$G$6,'calculated data '!$A$6)</f>
        <v>Low Demand Tier</v>
      </c>
      <c r="F959" s="10">
        <f t="shared" si="1"/>
        <v>-0.6476178757</v>
      </c>
    </row>
    <row r="960" ht="14.25" customHeight="1">
      <c r="A960" s="2" t="s">
        <v>85</v>
      </c>
      <c r="B960" s="2" t="s">
        <v>86</v>
      </c>
      <c r="C960" s="2">
        <v>1999.0</v>
      </c>
      <c r="D960" s="9">
        <v>588.35754</v>
      </c>
      <c r="E960" s="10" t="str">
        <f t="array" ref="E960">IFS(D960&lt;=$G$3,'calculated data '!$A$3,D960&lt;=$G$4,'calculated data '!$A$4,D960&lt;=$G$6,'calculated data '!$A$5,D960&gt;=$G$6,'calculated data '!$A$6)</f>
        <v>Low Demand Tier</v>
      </c>
      <c r="F960" s="10">
        <f t="shared" si="1"/>
        <v>-0.6475977973</v>
      </c>
    </row>
    <row r="961" ht="14.25" customHeight="1">
      <c r="A961" s="2" t="s">
        <v>21</v>
      </c>
      <c r="B961" s="2" t="s">
        <v>22</v>
      </c>
      <c r="C961" s="2">
        <v>1988.0</v>
      </c>
      <c r="D961" s="9">
        <v>589.98096</v>
      </c>
      <c r="E961" s="10" t="str">
        <f t="array" ref="E961">IFS(D961&lt;=$G$3,'calculated data '!$A$3,D961&lt;=$G$4,'calculated data '!$A$4,D961&lt;=$G$6,'calculated data '!$A$5,D961&gt;=$G$6,'calculated data '!$A$6)</f>
        <v>Low Demand Tier</v>
      </c>
      <c r="F961" s="10">
        <f t="shared" si="1"/>
        <v>-0.6475548258</v>
      </c>
    </row>
    <row r="962" ht="14.25" customHeight="1">
      <c r="A962" s="2" t="s">
        <v>85</v>
      </c>
      <c r="B962" s="2" t="s">
        <v>86</v>
      </c>
      <c r="C962" s="2">
        <v>1990.0</v>
      </c>
      <c r="D962" s="9">
        <v>590.39575</v>
      </c>
      <c r="E962" s="10" t="str">
        <f t="array" ref="E962">IFS(D962&lt;=$G$3,'calculated data '!$A$3,D962&lt;=$G$4,'calculated data '!$A$4,D962&lt;=$G$6,'calculated data '!$A$5,D962&gt;=$G$6,'calculated data '!$A$6)</f>
        <v>Low Demand Tier</v>
      </c>
      <c r="F962" s="10">
        <f t="shared" si="1"/>
        <v>-0.6475438464</v>
      </c>
    </row>
    <row r="963" ht="14.25" customHeight="1">
      <c r="A963" s="2" t="s">
        <v>93</v>
      </c>
      <c r="B963" s="2" t="s">
        <v>94</v>
      </c>
      <c r="C963" s="2">
        <v>1992.0</v>
      </c>
      <c r="D963" s="9">
        <v>591.0208</v>
      </c>
      <c r="E963" s="10" t="str">
        <f t="array" ref="E963">IFS(D963&lt;=$G$3,'calculated data '!$A$3,D963&lt;=$G$4,'calculated data '!$A$4,D963&lt;=$G$6,'calculated data '!$A$5,D963&gt;=$G$6,'calculated data '!$A$6)</f>
        <v>Low Demand Tier</v>
      </c>
      <c r="F963" s="10">
        <f t="shared" si="1"/>
        <v>-0.6475273015</v>
      </c>
    </row>
    <row r="964" ht="14.25" customHeight="1">
      <c r="A964" s="2" t="s">
        <v>103</v>
      </c>
      <c r="B964" s="2" t="s">
        <v>104</v>
      </c>
      <c r="C964" s="2">
        <v>2004.0</v>
      </c>
      <c r="D964" s="9">
        <v>591.4024</v>
      </c>
      <c r="E964" s="10" t="str">
        <f t="array" ref="E964">IFS(D964&lt;=$G$3,'calculated data '!$A$3,D964&lt;=$G$4,'calculated data '!$A$4,D964&lt;=$G$6,'calculated data '!$A$5,D964&gt;=$G$6,'calculated data '!$A$6)</f>
        <v>Low Demand Tier</v>
      </c>
      <c r="F964" s="10">
        <f t="shared" si="1"/>
        <v>-0.6475172007</v>
      </c>
    </row>
    <row r="965" ht="14.25" customHeight="1">
      <c r="A965" s="2" t="s">
        <v>109</v>
      </c>
      <c r="B965" s="2" t="s">
        <v>110</v>
      </c>
      <c r="C965" s="2">
        <v>1999.0</v>
      </c>
      <c r="D965" s="9">
        <v>594.7571</v>
      </c>
      <c r="E965" s="10" t="str">
        <f t="array" ref="E965">IFS(D965&lt;=$G$3,'calculated data '!$A$3,D965&lt;=$G$4,'calculated data '!$A$4,D965&lt;=$G$6,'calculated data '!$A$5,D965&gt;=$G$6,'calculated data '!$A$6)</f>
        <v>Low Demand Tier</v>
      </c>
      <c r="F965" s="10">
        <f t="shared" si="1"/>
        <v>-0.6474284026</v>
      </c>
    </row>
    <row r="966" ht="14.25" customHeight="1">
      <c r="A966" s="2" t="s">
        <v>107</v>
      </c>
      <c r="B966" s="2" t="s">
        <v>108</v>
      </c>
      <c r="C966" s="2">
        <v>1985.0</v>
      </c>
      <c r="D966" s="9">
        <v>596.9444</v>
      </c>
      <c r="E966" s="10" t="str">
        <f t="array" ref="E966">IFS(D966&lt;=$G$3,'calculated data '!$A$3,D966&lt;=$G$4,'calculated data '!$A$4,D966&lt;=$G$6,'calculated data '!$A$5,D966&gt;=$G$6,'calculated data '!$A$6)</f>
        <v>Low Demand Tier</v>
      </c>
      <c r="F966" s="10">
        <f t="shared" si="1"/>
        <v>-0.6473705053</v>
      </c>
    </row>
    <row r="967" ht="14.25" customHeight="1">
      <c r="A967" s="2" t="s">
        <v>101</v>
      </c>
      <c r="B967" s="2" t="s">
        <v>102</v>
      </c>
      <c r="C967" s="2">
        <v>2015.0</v>
      </c>
      <c r="D967" s="9">
        <v>597.4213</v>
      </c>
      <c r="E967" s="10" t="str">
        <f t="array" ref="E967">IFS(D967&lt;=$G$3,'calculated data '!$A$3,D967&lt;=$G$4,'calculated data '!$A$4,D967&lt;=$G$6,'calculated data '!$A$5,D967&gt;=$G$6,'calculated data '!$A$6)</f>
        <v>Low Demand Tier</v>
      </c>
      <c r="F967" s="10">
        <f t="shared" si="1"/>
        <v>-0.6473578819</v>
      </c>
    </row>
    <row r="968" ht="14.25" customHeight="1">
      <c r="A968" s="2" t="s">
        <v>63</v>
      </c>
      <c r="B968" s="2" t="s">
        <v>64</v>
      </c>
      <c r="C968" s="2">
        <v>2016.0</v>
      </c>
      <c r="D968" s="9">
        <v>597.6683</v>
      </c>
      <c r="E968" s="10" t="str">
        <f t="array" ref="E968">IFS(D968&lt;=$G$3,'calculated data '!$A$3,D968&lt;=$G$4,'calculated data '!$A$4,D968&lt;=$G$6,'calculated data '!$A$5,D968&gt;=$G$6,'calculated data '!$A$6)</f>
        <v>Low Demand Tier</v>
      </c>
      <c r="F968" s="10">
        <f t="shared" si="1"/>
        <v>-0.6473513438</v>
      </c>
    </row>
    <row r="969" ht="14.25" customHeight="1">
      <c r="A969" s="2" t="s">
        <v>113</v>
      </c>
      <c r="B969" s="2" t="s">
        <v>114</v>
      </c>
      <c r="C969" s="2">
        <v>1988.0</v>
      </c>
      <c r="D969" s="9">
        <v>598.1874</v>
      </c>
      <c r="E969" s="10" t="str">
        <f t="array" ref="E969">IFS(D969&lt;=$G$3,'calculated data '!$A$3,D969&lt;=$G$4,'calculated data '!$A$4,D969&lt;=$G$6,'calculated data '!$A$5,D969&gt;=$G$6,'calculated data '!$A$6)</f>
        <v>Low Demand Tier</v>
      </c>
      <c r="F969" s="10">
        <f t="shared" si="1"/>
        <v>-0.6473376034</v>
      </c>
    </row>
    <row r="970" ht="14.25" customHeight="1">
      <c r="A970" s="2" t="s">
        <v>85</v>
      </c>
      <c r="B970" s="2" t="s">
        <v>86</v>
      </c>
      <c r="C970" s="2">
        <v>1998.0</v>
      </c>
      <c r="D970" s="9">
        <v>598.9257</v>
      </c>
      <c r="E970" s="10" t="str">
        <f t="array" ref="E970">IFS(D970&lt;=$G$3,'calculated data '!$A$3,D970&lt;=$G$4,'calculated data '!$A$4,D970&lt;=$G$6,'calculated data '!$A$5,D970&gt;=$G$6,'calculated data '!$A$6)</f>
        <v>Low Demand Tier</v>
      </c>
      <c r="F970" s="10">
        <f t="shared" si="1"/>
        <v>-0.6473180608</v>
      </c>
    </row>
    <row r="971" ht="14.25" customHeight="1">
      <c r="A971" s="2" t="s">
        <v>107</v>
      </c>
      <c r="B971" s="2" t="s">
        <v>108</v>
      </c>
      <c r="C971" s="2">
        <v>2019.0</v>
      </c>
      <c r="D971" s="9">
        <v>600.0962</v>
      </c>
      <c r="E971" s="10" t="str">
        <f t="array" ref="E971">IFS(D971&lt;=$G$3,'calculated data '!$A$3,D971&lt;=$G$4,'calculated data '!$A$4,D971&lt;=$G$6,'calculated data '!$A$5,D971&gt;=$G$6,'calculated data '!$A$6)</f>
        <v>Low Demand Tier</v>
      </c>
      <c r="F971" s="10">
        <f t="shared" si="1"/>
        <v>-0.6472870779</v>
      </c>
    </row>
    <row r="972" ht="14.25" customHeight="1">
      <c r="A972" s="2" t="s">
        <v>61</v>
      </c>
      <c r="B972" s="2" t="s">
        <v>62</v>
      </c>
      <c r="C972" s="2">
        <v>2010.0</v>
      </c>
      <c r="D972" s="9">
        <v>600.64734</v>
      </c>
      <c r="E972" s="10" t="str">
        <f t="array" ref="E972">IFS(D972&lt;=$G$3,'calculated data '!$A$3,D972&lt;=$G$4,'calculated data '!$A$4,D972&lt;=$G$6,'calculated data '!$A$5,D972&gt;=$G$6,'calculated data '!$A$6)</f>
        <v>Low Demand Tier</v>
      </c>
      <c r="F972" s="10">
        <f t="shared" si="1"/>
        <v>-0.6472724894</v>
      </c>
    </row>
    <row r="973" ht="14.25" customHeight="1">
      <c r="A973" s="2" t="s">
        <v>75</v>
      </c>
      <c r="B973" s="2" t="s">
        <v>76</v>
      </c>
      <c r="C973" s="2">
        <v>1986.0</v>
      </c>
      <c r="D973" s="9">
        <v>600.694</v>
      </c>
      <c r="E973" s="10" t="str">
        <f t="array" ref="E973">IFS(D973&lt;=$G$3,'calculated data '!$A$3,D973&lt;=$G$4,'calculated data '!$A$4,D973&lt;=$G$6,'calculated data '!$A$5,D973&gt;=$G$6,'calculated data '!$A$6)</f>
        <v>Low Demand Tier</v>
      </c>
      <c r="F973" s="10">
        <f t="shared" si="1"/>
        <v>-0.6472712543</v>
      </c>
    </row>
    <row r="974" ht="14.25" customHeight="1">
      <c r="A974" s="2" t="s">
        <v>113</v>
      </c>
      <c r="B974" s="2" t="s">
        <v>114</v>
      </c>
      <c r="C974" s="2">
        <v>1989.0</v>
      </c>
      <c r="D974" s="9">
        <v>601.07874</v>
      </c>
      <c r="E974" s="10" t="str">
        <f t="array" ref="E974">IFS(D974&lt;=$G$3,'calculated data '!$A$3,D974&lt;=$G$4,'calculated data '!$A$4,D974&lt;=$G$6,'calculated data '!$A$5,D974&gt;=$G$6,'calculated data '!$A$6)</f>
        <v>Low Demand Tier</v>
      </c>
      <c r="F974" s="10">
        <f t="shared" si="1"/>
        <v>-0.6472610703</v>
      </c>
    </row>
    <row r="975" ht="14.25" customHeight="1">
      <c r="A975" s="2" t="s">
        <v>105</v>
      </c>
      <c r="B975" s="2" t="s">
        <v>106</v>
      </c>
      <c r="C975" s="2">
        <v>2012.0</v>
      </c>
      <c r="D975" s="9">
        <v>601.1914</v>
      </c>
      <c r="E975" s="10" t="str">
        <f t="array" ref="E975">IFS(D975&lt;=$G$3,'calculated data '!$A$3,D975&lt;=$G$4,'calculated data '!$A$4,D975&lt;=$G$6,'calculated data '!$A$5,D975&gt;=$G$6,'calculated data '!$A$6)</f>
        <v>Low Demand Tier</v>
      </c>
      <c r="F975" s="10">
        <f t="shared" si="1"/>
        <v>-0.6472580883</v>
      </c>
    </row>
    <row r="976" ht="14.25" customHeight="1">
      <c r="A976" s="2" t="s">
        <v>61</v>
      </c>
      <c r="B976" s="2" t="s">
        <v>62</v>
      </c>
      <c r="C976" s="2">
        <v>2009.0</v>
      </c>
      <c r="D976" s="9">
        <v>602.17523</v>
      </c>
      <c r="E976" s="10" t="str">
        <f t="array" ref="E976">IFS(D976&lt;=$G$3,'calculated data '!$A$3,D976&lt;=$G$4,'calculated data '!$A$4,D976&lt;=$G$6,'calculated data '!$A$5,D976&gt;=$G$6,'calculated data '!$A$6)</f>
        <v>Low Demand Tier</v>
      </c>
      <c r="F976" s="10">
        <f t="shared" si="1"/>
        <v>-0.6472320465</v>
      </c>
    </row>
    <row r="977" ht="14.25" customHeight="1">
      <c r="A977" s="2" t="s">
        <v>95</v>
      </c>
      <c r="B977" s="2" t="s">
        <v>96</v>
      </c>
      <c r="C977" s="2">
        <v>2024.0</v>
      </c>
      <c r="D977" s="9">
        <v>602.284</v>
      </c>
      <c r="E977" s="10" t="str">
        <f t="array" ref="E977">IFS(D977&lt;=$G$3,'calculated data '!$A$3,D977&lt;=$G$4,'calculated data '!$A$4,D977&lt;=$G$6,'calculated data '!$A$5,D977&gt;=$G$6,'calculated data '!$A$6)</f>
        <v>Low Demand Tier</v>
      </c>
      <c r="F977" s="10">
        <f t="shared" si="1"/>
        <v>-0.6472291674</v>
      </c>
    </row>
    <row r="978" ht="14.25" customHeight="1">
      <c r="A978" s="2" t="s">
        <v>59</v>
      </c>
      <c r="B978" s="2" t="s">
        <v>60</v>
      </c>
      <c r="C978" s="2">
        <v>2009.0</v>
      </c>
      <c r="D978" s="9">
        <v>602.94196</v>
      </c>
      <c r="E978" s="10" t="str">
        <f t="array" ref="E978">IFS(D978&lt;=$G$3,'calculated data '!$A$3,D978&lt;=$G$4,'calculated data '!$A$4,D978&lt;=$G$6,'calculated data '!$A$5,D978&gt;=$G$6,'calculated data '!$A$6)</f>
        <v>Low Demand Tier</v>
      </c>
      <c r="F978" s="10">
        <f t="shared" si="1"/>
        <v>-0.6472117514</v>
      </c>
    </row>
    <row r="979" ht="14.25" customHeight="1">
      <c r="A979" s="2" t="s">
        <v>95</v>
      </c>
      <c r="B979" s="2" t="s">
        <v>96</v>
      </c>
      <c r="C979" s="2">
        <v>1986.0</v>
      </c>
      <c r="D979" s="9">
        <v>604.47156</v>
      </c>
      <c r="E979" s="10" t="str">
        <f t="array" ref="E979">IFS(D979&lt;=$G$3,'calculated data '!$A$3,D979&lt;=$G$4,'calculated data '!$A$4,D979&lt;=$G$6,'calculated data '!$A$5,D979&gt;=$G$6,'calculated data '!$A$6)</f>
        <v>Low Demand Tier</v>
      </c>
      <c r="F979" s="10">
        <f t="shared" si="1"/>
        <v>-0.6471712632</v>
      </c>
    </row>
    <row r="980" ht="14.25" customHeight="1">
      <c r="A980" s="2" t="s">
        <v>81</v>
      </c>
      <c r="B980" s="2" t="s">
        <v>82</v>
      </c>
      <c r="C980" s="2">
        <v>1987.0</v>
      </c>
      <c r="D980" s="9">
        <v>604.5866</v>
      </c>
      <c r="E980" s="10" t="str">
        <f t="array" ref="E980">IFS(D980&lt;=$G$3,'calculated data '!$A$3,D980&lt;=$G$4,'calculated data '!$A$4,D980&lt;=$G$6,'calculated data '!$A$5,D980&gt;=$G$6,'calculated data '!$A$6)</f>
        <v>Low Demand Tier</v>
      </c>
      <c r="F980" s="10">
        <f t="shared" si="1"/>
        <v>-0.6471682182</v>
      </c>
    </row>
    <row r="981" ht="14.25" customHeight="1">
      <c r="A981" s="2" t="s">
        <v>79</v>
      </c>
      <c r="B981" s="2" t="s">
        <v>80</v>
      </c>
      <c r="C981" s="2">
        <v>1995.0</v>
      </c>
      <c r="D981" s="9">
        <v>604.91327</v>
      </c>
      <c r="E981" s="10" t="str">
        <f t="array" ref="E981">IFS(D981&lt;=$G$3,'calculated data '!$A$3,D981&lt;=$G$4,'calculated data '!$A$4,D981&lt;=$G$6,'calculated data '!$A$5,D981&gt;=$G$6,'calculated data '!$A$6)</f>
        <v>Low Demand Tier</v>
      </c>
      <c r="F981" s="10">
        <f t="shared" si="1"/>
        <v>-0.6471595713</v>
      </c>
    </row>
    <row r="982" ht="14.25" customHeight="1">
      <c r="A982" s="2" t="s">
        <v>117</v>
      </c>
      <c r="B982" s="2" t="s">
        <v>118</v>
      </c>
      <c r="C982" s="2">
        <v>2008.0</v>
      </c>
      <c r="D982" s="9">
        <v>604.96924</v>
      </c>
      <c r="E982" s="10" t="str">
        <f t="array" ref="E982">IFS(D982&lt;=$G$3,'calculated data '!$A$3,D982&lt;=$G$4,'calculated data '!$A$4,D982&lt;=$G$6,'calculated data '!$A$5,D982&gt;=$G$6,'calculated data '!$A$6)</f>
        <v>Low Demand Tier</v>
      </c>
      <c r="F982" s="10">
        <f t="shared" si="1"/>
        <v>-0.6471580898</v>
      </c>
    </row>
    <row r="983" ht="14.25" customHeight="1">
      <c r="A983" s="2" t="s">
        <v>81</v>
      </c>
      <c r="B983" s="2" t="s">
        <v>82</v>
      </c>
      <c r="C983" s="2">
        <v>1988.0</v>
      </c>
      <c r="D983" s="9">
        <v>605.84784</v>
      </c>
      <c r="E983" s="10" t="str">
        <f t="array" ref="E983">IFS(D983&lt;=$G$3,'calculated data '!$A$3,D983&lt;=$G$4,'calculated data '!$A$4,D983&lt;=$G$6,'calculated data '!$A$5,D983&gt;=$G$6,'calculated data '!$A$6)</f>
        <v>Low Demand Tier</v>
      </c>
      <c r="F983" s="10">
        <f t="shared" si="1"/>
        <v>-0.6471348335</v>
      </c>
    </row>
    <row r="984" ht="14.25" customHeight="1">
      <c r="A984" s="2" t="s">
        <v>105</v>
      </c>
      <c r="B984" s="2" t="s">
        <v>106</v>
      </c>
      <c r="C984" s="2">
        <v>2018.0</v>
      </c>
      <c r="D984" s="9">
        <v>607.2314</v>
      </c>
      <c r="E984" s="10" t="str">
        <f t="array" ref="E984">IFS(D984&lt;=$G$3,'calculated data '!$A$3,D984&lt;=$G$4,'calculated data '!$A$4,D984&lt;=$G$6,'calculated data '!$A$5,D984&gt;=$G$6,'calculated data '!$A$6)</f>
        <v>Low Demand Tier</v>
      </c>
      <c r="F984" s="10">
        <f t="shared" si="1"/>
        <v>-0.647098211</v>
      </c>
    </row>
    <row r="985" ht="14.25" customHeight="1">
      <c r="A985" s="2" t="s">
        <v>75</v>
      </c>
      <c r="B985" s="2" t="s">
        <v>76</v>
      </c>
      <c r="C985" s="2">
        <v>1988.0</v>
      </c>
      <c r="D985" s="9">
        <v>608.57935</v>
      </c>
      <c r="E985" s="10" t="str">
        <f t="array" ref="E985">IFS(D985&lt;=$G$3,'calculated data '!$A$3,D985&lt;=$G$4,'calculated data '!$A$4,D985&lt;=$G$6,'calculated data '!$A$5,D985&gt;=$G$6,'calculated data '!$A$6)</f>
        <v>Low Demand Tier</v>
      </c>
      <c r="F985" s="10">
        <f t="shared" si="1"/>
        <v>-0.6470625311</v>
      </c>
    </row>
    <row r="986" ht="14.25" customHeight="1">
      <c r="A986" s="2" t="s">
        <v>113</v>
      </c>
      <c r="B986" s="2" t="s">
        <v>114</v>
      </c>
      <c r="C986" s="2">
        <v>1983.0</v>
      </c>
      <c r="D986" s="9">
        <v>609.9288</v>
      </c>
      <c r="E986" s="10" t="str">
        <f t="array" ref="E986">IFS(D986&lt;=$G$3,'calculated data '!$A$3,D986&lt;=$G$4,'calculated data '!$A$4,D986&lt;=$G$6,'calculated data '!$A$5,D986&gt;=$G$6,'calculated data '!$A$6)</f>
        <v>Low Demand Tier</v>
      </c>
      <c r="F986" s="10">
        <f t="shared" si="1"/>
        <v>-0.6470268115</v>
      </c>
    </row>
    <row r="987" ht="14.25" customHeight="1">
      <c r="A987" s="2" t="s">
        <v>75</v>
      </c>
      <c r="B987" s="2" t="s">
        <v>76</v>
      </c>
      <c r="C987" s="2">
        <v>1984.0</v>
      </c>
      <c r="D987" s="9">
        <v>610.594</v>
      </c>
      <c r="E987" s="10" t="str">
        <f t="array" ref="E987">IFS(D987&lt;=$G$3,'calculated data '!$A$3,D987&lt;=$G$4,'calculated data '!$A$4,D987&lt;=$G$6,'calculated data '!$A$5,D987&gt;=$G$6,'calculated data '!$A$6)</f>
        <v>Low Demand Tier</v>
      </c>
      <c r="F987" s="10">
        <f t="shared" si="1"/>
        <v>-0.6470092038</v>
      </c>
    </row>
    <row r="988" ht="14.25" customHeight="1">
      <c r="A988" s="2" t="s">
        <v>65</v>
      </c>
      <c r="B988" s="2" t="s">
        <v>66</v>
      </c>
      <c r="C988" s="2">
        <v>1981.0</v>
      </c>
      <c r="D988" s="9">
        <v>610.639</v>
      </c>
      <c r="E988" s="10" t="str">
        <f t="array" ref="E988">IFS(D988&lt;=$G$3,'calculated data '!$A$3,D988&lt;=$G$4,'calculated data '!$A$4,D988&lt;=$G$6,'calculated data '!$A$5,D988&gt;=$G$6,'calculated data '!$A$6)</f>
        <v>Low Demand Tier</v>
      </c>
      <c r="F988" s="10">
        <f t="shared" si="1"/>
        <v>-0.6470080126</v>
      </c>
    </row>
    <row r="989" ht="14.25" customHeight="1">
      <c r="A989" s="2" t="s">
        <v>113</v>
      </c>
      <c r="B989" s="2" t="s">
        <v>114</v>
      </c>
      <c r="C989" s="2">
        <v>1982.0</v>
      </c>
      <c r="D989" s="9">
        <v>611.1504</v>
      </c>
      <c r="E989" s="10" t="str">
        <f t="array" ref="E989">IFS(D989&lt;=$G$3,'calculated data '!$A$3,D989&lt;=$G$4,'calculated data '!$A$4,D989&lt;=$G$6,'calculated data '!$A$5,D989&gt;=$G$6,'calculated data '!$A$6)</f>
        <v>Low Demand Tier</v>
      </c>
      <c r="F989" s="10">
        <f t="shared" si="1"/>
        <v>-0.646994476</v>
      </c>
    </row>
    <row r="990" ht="14.25" customHeight="1">
      <c r="A990" s="2" t="s">
        <v>115</v>
      </c>
      <c r="B990" s="2" t="s">
        <v>116</v>
      </c>
      <c r="C990" s="2">
        <v>2024.0</v>
      </c>
      <c r="D990" s="9">
        <v>611.2178</v>
      </c>
      <c r="E990" s="10" t="str">
        <f t="array" ref="E990">IFS(D990&lt;=$G$3,'calculated data '!$A$3,D990&lt;=$G$4,'calculated data '!$A$4,D990&lt;=$G$6,'calculated data '!$A$5,D990&gt;=$G$6,'calculated data '!$A$6)</f>
        <v>Low Demand Tier</v>
      </c>
      <c r="F990" s="10">
        <f t="shared" si="1"/>
        <v>-0.646992692</v>
      </c>
    </row>
    <row r="991" ht="14.25" customHeight="1">
      <c r="A991" s="2" t="s">
        <v>21</v>
      </c>
      <c r="B991" s="2" t="s">
        <v>22</v>
      </c>
      <c r="C991" s="2">
        <v>1991.0</v>
      </c>
      <c r="D991" s="9">
        <v>611.7973</v>
      </c>
      <c r="E991" s="10" t="str">
        <f t="array" ref="E991">IFS(D991&lt;=$G$3,'calculated data '!$A$3,D991&lt;=$G$4,'calculated data '!$A$4,D991&lt;=$G$6,'calculated data '!$A$5,D991&gt;=$G$6,'calculated data '!$A$6)</f>
        <v>Low Demand Tier</v>
      </c>
      <c r="F991" s="10">
        <f t="shared" si="1"/>
        <v>-0.6469773527</v>
      </c>
    </row>
    <row r="992" ht="14.25" customHeight="1">
      <c r="A992" s="2" t="s">
        <v>95</v>
      </c>
      <c r="B992" s="2" t="s">
        <v>96</v>
      </c>
      <c r="C992" s="2">
        <v>2023.0</v>
      </c>
      <c r="D992" s="9">
        <v>612.09735</v>
      </c>
      <c r="E992" s="10" t="str">
        <f t="array" ref="E992">IFS(D992&lt;=$G$3,'calculated data '!$A$3,D992&lt;=$G$4,'calculated data '!$A$4,D992&lt;=$G$6,'calculated data '!$A$5,D992&gt;=$G$6,'calculated data '!$A$6)</f>
        <v>Low Demand Tier</v>
      </c>
      <c r="F992" s="10">
        <f t="shared" si="1"/>
        <v>-0.6469694105</v>
      </c>
    </row>
    <row r="993" ht="14.25" customHeight="1">
      <c r="A993" s="2" t="s">
        <v>73</v>
      </c>
      <c r="B993" s="2" t="s">
        <v>74</v>
      </c>
      <c r="C993" s="2">
        <v>2015.0</v>
      </c>
      <c r="D993" s="9">
        <v>612.3559</v>
      </c>
      <c r="E993" s="10" t="str">
        <f t="array" ref="E993">IFS(D993&lt;=$G$3,'calculated data '!$A$3,D993&lt;=$G$4,'calculated data '!$A$4,D993&lt;=$G$6,'calculated data '!$A$5,D993&gt;=$G$6,'calculated data '!$A$6)</f>
        <v>Low Demand Tier</v>
      </c>
      <c r="F993" s="10">
        <f t="shared" si="1"/>
        <v>-0.6469625667</v>
      </c>
    </row>
    <row r="994" ht="14.25" customHeight="1">
      <c r="A994" s="2" t="s">
        <v>109</v>
      </c>
      <c r="B994" s="2" t="s">
        <v>110</v>
      </c>
      <c r="C994" s="2">
        <v>2008.0</v>
      </c>
      <c r="D994" s="9">
        <v>613.2719</v>
      </c>
      <c r="E994" s="10" t="str">
        <f t="array" ref="E994">IFS(D994&lt;=$G$3,'calculated data '!$A$3,D994&lt;=$G$4,'calculated data '!$A$4,D994&lt;=$G$6,'calculated data '!$A$5,D994&gt;=$G$6,'calculated data '!$A$6)</f>
        <v>Low Demand Tier</v>
      </c>
      <c r="F994" s="10">
        <f t="shared" si="1"/>
        <v>-0.6469383204</v>
      </c>
    </row>
    <row r="995" ht="14.25" customHeight="1">
      <c r="A995" s="2" t="s">
        <v>73</v>
      </c>
      <c r="B995" s="2" t="s">
        <v>74</v>
      </c>
      <c r="C995" s="2">
        <v>2020.0</v>
      </c>
      <c r="D995" s="9">
        <v>613.9017</v>
      </c>
      <c r="E995" s="10" t="str">
        <f t="array" ref="E995">IFS(D995&lt;=$G$3,'calculated data '!$A$3,D995&lt;=$G$4,'calculated data '!$A$4,D995&lt;=$G$6,'calculated data '!$A$5,D995&gt;=$G$6,'calculated data '!$A$6)</f>
        <v>Low Demand Tier</v>
      </c>
      <c r="F995" s="10">
        <f t="shared" si="1"/>
        <v>-0.6469216498</v>
      </c>
    </row>
    <row r="996" ht="14.25" customHeight="1">
      <c r="A996" s="2" t="s">
        <v>63</v>
      </c>
      <c r="B996" s="2" t="s">
        <v>64</v>
      </c>
      <c r="C996" s="2">
        <v>2018.0</v>
      </c>
      <c r="D996" s="9">
        <v>614.35406</v>
      </c>
      <c r="E996" s="10" t="str">
        <f t="array" ref="E996">IFS(D996&lt;=$G$3,'calculated data '!$A$3,D996&lt;=$G$4,'calculated data '!$A$4,D996&lt;=$G$6,'calculated data '!$A$5,D996&gt;=$G$6,'calculated data '!$A$6)</f>
        <v>Low Demand Tier</v>
      </c>
      <c r="F996" s="10">
        <f t="shared" si="1"/>
        <v>-0.6469096759</v>
      </c>
    </row>
    <row r="997" ht="14.25" customHeight="1">
      <c r="A997" s="2" t="s">
        <v>95</v>
      </c>
      <c r="B997" s="2" t="s">
        <v>96</v>
      </c>
      <c r="C997" s="2">
        <v>1996.0</v>
      </c>
      <c r="D997" s="9">
        <v>616.14966</v>
      </c>
      <c r="E997" s="10" t="str">
        <f t="array" ref="E997">IFS(D997&lt;=$G$3,'calculated data '!$A$3,D997&lt;=$G$4,'calculated data '!$A$4,D997&lt;=$G$6,'calculated data '!$A$5,D997&gt;=$G$6,'calculated data '!$A$6)</f>
        <v>Low Demand Tier</v>
      </c>
      <c r="F997" s="10">
        <f t="shared" si="1"/>
        <v>-0.6468621468</v>
      </c>
    </row>
    <row r="998" ht="14.25" customHeight="1">
      <c r="A998" s="2" t="s">
        <v>101</v>
      </c>
      <c r="B998" s="2" t="s">
        <v>102</v>
      </c>
      <c r="C998" s="2">
        <v>2016.0</v>
      </c>
      <c r="D998" s="9">
        <v>616.7082</v>
      </c>
      <c r="E998" s="10" t="str">
        <f t="array" ref="E998">IFS(D998&lt;=$G$3,'calculated data '!$A$3,D998&lt;=$G$4,'calculated data '!$A$4,D998&lt;=$G$6,'calculated data '!$A$5,D998&gt;=$G$6,'calculated data '!$A$6)</f>
        <v>Low Demand Tier</v>
      </c>
      <c r="F998" s="10">
        <f t="shared" si="1"/>
        <v>-0.6468473624</v>
      </c>
    </row>
    <row r="999" ht="14.25" customHeight="1">
      <c r="A999" s="2" t="s">
        <v>73</v>
      </c>
      <c r="B999" s="2" t="s">
        <v>74</v>
      </c>
      <c r="C999" s="2">
        <v>2016.0</v>
      </c>
      <c r="D999" s="9">
        <v>617.13995</v>
      </c>
      <c r="E999" s="10" t="str">
        <f t="array" ref="E999">IFS(D999&lt;=$G$3,'calculated data '!$A$3,D999&lt;=$G$4,'calculated data '!$A$4,D999&lt;=$G$6,'calculated data '!$A$5,D999&gt;=$G$6,'calculated data '!$A$6)</f>
        <v>Low Demand Tier</v>
      </c>
      <c r="F999" s="10">
        <f t="shared" si="1"/>
        <v>-0.6468359341</v>
      </c>
    </row>
    <row r="1000" ht="14.25" customHeight="1">
      <c r="A1000" s="2" t="s">
        <v>79</v>
      </c>
      <c r="B1000" s="2" t="s">
        <v>80</v>
      </c>
      <c r="C1000" s="2">
        <v>1996.0</v>
      </c>
      <c r="D1000" s="9">
        <v>617.20166</v>
      </c>
      <c r="E1000" s="10" t="str">
        <f t="array" ref="E1000">IFS(D1000&lt;=$G$3,'calculated data '!$A$3,D1000&lt;=$G$4,'calculated data '!$A$4,D1000&lt;=$G$6,'calculated data '!$A$5,D1000&gt;=$G$6,'calculated data '!$A$6)</f>
        <v>Low Demand Tier</v>
      </c>
      <c r="F1000" s="10">
        <f t="shared" si="1"/>
        <v>-0.6468343007</v>
      </c>
    </row>
    <row r="1001" ht="14.25" customHeight="1">
      <c r="A1001" s="2" t="s">
        <v>73</v>
      </c>
      <c r="B1001" s="2" t="s">
        <v>74</v>
      </c>
      <c r="C1001" s="2">
        <v>2014.0</v>
      </c>
      <c r="D1001" s="9">
        <v>617.8431</v>
      </c>
      <c r="E1001" s="10" t="str">
        <f t="array" ref="E1001">IFS(D1001&lt;=$G$3,'calculated data '!$A$3,D1001&lt;=$G$4,'calculated data '!$A$4,D1001&lt;=$G$6,'calculated data '!$A$5,D1001&gt;=$G$6,'calculated data '!$A$6)</f>
        <v>Low Demand Tier</v>
      </c>
      <c r="F1001" s="10">
        <f t="shared" si="1"/>
        <v>-0.6468173219</v>
      </c>
    </row>
    <row r="1002" ht="14.25" customHeight="1">
      <c r="A1002" s="2" t="s">
        <v>65</v>
      </c>
      <c r="B1002" s="2" t="s">
        <v>66</v>
      </c>
      <c r="C1002" s="2">
        <v>1992.0</v>
      </c>
      <c r="D1002" s="9">
        <v>618.0553</v>
      </c>
      <c r="E1002" s="10" t="str">
        <f t="array" ref="E1002">IFS(D1002&lt;=$G$3,'calculated data '!$A$3,D1002&lt;=$G$4,'calculated data '!$A$4,D1002&lt;=$G$6,'calculated data '!$A$5,D1002&gt;=$G$6,'calculated data '!$A$6)</f>
        <v>Low Demand Tier</v>
      </c>
      <c r="F1002" s="10">
        <f t="shared" si="1"/>
        <v>-0.646811705</v>
      </c>
    </row>
    <row r="1003" ht="14.25" customHeight="1">
      <c r="A1003" s="2" t="s">
        <v>115</v>
      </c>
      <c r="B1003" s="2" t="s">
        <v>116</v>
      </c>
      <c r="C1003" s="2">
        <v>2022.0</v>
      </c>
      <c r="D1003" s="9">
        <v>618.115</v>
      </c>
      <c r="E1003" s="10" t="str">
        <f t="array" ref="E1003">IFS(D1003&lt;=$G$3,'calculated data '!$A$3,D1003&lt;=$G$4,'calculated data '!$A$4,D1003&lt;=$G$6,'calculated data '!$A$5,D1003&gt;=$G$6,'calculated data '!$A$6)</f>
        <v>Low Demand Tier</v>
      </c>
      <c r="F1003" s="10">
        <f t="shared" si="1"/>
        <v>-0.6468101248</v>
      </c>
    </row>
    <row r="1004" ht="14.25" customHeight="1">
      <c r="A1004" s="2" t="s">
        <v>95</v>
      </c>
      <c r="B1004" s="2" t="s">
        <v>96</v>
      </c>
      <c r="C1004" s="2">
        <v>1985.0</v>
      </c>
      <c r="D1004" s="9">
        <v>619.31287</v>
      </c>
      <c r="E1004" s="10" t="str">
        <f t="array" ref="E1004">IFS(D1004&lt;=$G$3,'calculated data '!$A$3,D1004&lt;=$G$4,'calculated data '!$A$4,D1004&lt;=$G$6,'calculated data '!$A$5,D1004&gt;=$G$6,'calculated data '!$A$6)</f>
        <v>Low Demand Tier</v>
      </c>
      <c r="F1004" s="10">
        <f t="shared" si="1"/>
        <v>-0.6467784175</v>
      </c>
    </row>
    <row r="1005" ht="14.25" customHeight="1">
      <c r="A1005" s="2" t="s">
        <v>21</v>
      </c>
      <c r="B1005" s="2" t="s">
        <v>22</v>
      </c>
      <c r="C1005" s="2">
        <v>1989.0</v>
      </c>
      <c r="D1005" s="9">
        <v>619.6789</v>
      </c>
      <c r="E1005" s="10" t="str">
        <f t="array" ref="E1005">IFS(D1005&lt;=$G$3,'calculated data '!$A$3,D1005&lt;=$G$4,'calculated data '!$A$4,D1005&lt;=$G$6,'calculated data '!$A$5,D1005&gt;=$G$6,'calculated data '!$A$6)</f>
        <v>Low Demand Tier</v>
      </c>
      <c r="F1005" s="10">
        <f t="shared" si="1"/>
        <v>-0.6467687287</v>
      </c>
    </row>
    <row r="1006" ht="14.25" customHeight="1">
      <c r="A1006" s="2" t="s">
        <v>115</v>
      </c>
      <c r="B1006" s="2" t="s">
        <v>116</v>
      </c>
      <c r="C1006" s="2">
        <v>2023.0</v>
      </c>
      <c r="D1006" s="9">
        <v>620.0977</v>
      </c>
      <c r="E1006" s="10" t="str">
        <f t="array" ref="E1006">IFS(D1006&lt;=$G$3,'calculated data '!$A$3,D1006&lt;=$G$4,'calculated data '!$A$4,D1006&lt;=$G$6,'calculated data '!$A$5,D1006&gt;=$G$6,'calculated data '!$A$6)</f>
        <v>Low Demand Tier</v>
      </c>
      <c r="F1006" s="10">
        <f t="shared" si="1"/>
        <v>-0.6467576432</v>
      </c>
    </row>
    <row r="1007" ht="14.25" customHeight="1">
      <c r="A1007" s="2" t="s">
        <v>93</v>
      </c>
      <c r="B1007" s="2" t="s">
        <v>94</v>
      </c>
      <c r="C1007" s="2">
        <v>1993.0</v>
      </c>
      <c r="D1007" s="9">
        <v>621.6884</v>
      </c>
      <c r="E1007" s="10" t="str">
        <f t="array" ref="E1007">IFS(D1007&lt;=$G$3,'calculated data '!$A$3,D1007&lt;=$G$4,'calculated data '!$A$4,D1007&lt;=$G$6,'calculated data '!$A$5,D1007&gt;=$G$6,'calculated data '!$A$6)</f>
        <v>Low Demand Tier</v>
      </c>
      <c r="F1007" s="10">
        <f t="shared" si="1"/>
        <v>-0.6467155378</v>
      </c>
    </row>
    <row r="1008" ht="14.25" customHeight="1">
      <c r="A1008" s="2" t="s">
        <v>119</v>
      </c>
      <c r="B1008" s="2" t="s">
        <v>120</v>
      </c>
      <c r="C1008" s="2">
        <v>1985.0</v>
      </c>
      <c r="D1008" s="9">
        <v>623.3919</v>
      </c>
      <c r="E1008" s="10" t="str">
        <f t="array" ref="E1008">IFS(D1008&lt;=$G$3,'calculated data '!$A$3,D1008&lt;=$G$4,'calculated data '!$A$4,D1008&lt;=$G$6,'calculated data '!$A$5,D1008&gt;=$G$6,'calculated data '!$A$6)</f>
        <v>Low Demand Tier</v>
      </c>
      <c r="F1008" s="10">
        <f t="shared" si="1"/>
        <v>-0.6466704466</v>
      </c>
    </row>
    <row r="1009" ht="14.25" customHeight="1">
      <c r="A1009" s="2" t="s">
        <v>97</v>
      </c>
      <c r="B1009" s="2" t="s">
        <v>98</v>
      </c>
      <c r="C1009" s="2">
        <v>1984.0</v>
      </c>
      <c r="D1009" s="9">
        <v>625.47424</v>
      </c>
      <c r="E1009" s="10" t="str">
        <f t="array" ref="E1009">IFS(D1009&lt;=$G$3,'calculated data '!$A$3,D1009&lt;=$G$4,'calculated data '!$A$4,D1009&lt;=$G$6,'calculated data '!$A$5,D1009&gt;=$G$6,'calculated data '!$A$6)</f>
        <v>Low Demand Tier</v>
      </c>
      <c r="F1009" s="10">
        <f t="shared" si="1"/>
        <v>-0.6466153275</v>
      </c>
    </row>
    <row r="1010" ht="14.25" customHeight="1">
      <c r="A1010" s="2" t="s">
        <v>93</v>
      </c>
      <c r="B1010" s="2" t="s">
        <v>94</v>
      </c>
      <c r="C1010" s="2">
        <v>1994.0</v>
      </c>
      <c r="D1010" s="9">
        <v>626.5734</v>
      </c>
      <c r="E1010" s="10" t="str">
        <f t="array" ref="E1010">IFS(D1010&lt;=$G$3,'calculated data '!$A$3,D1010&lt;=$G$4,'calculated data '!$A$4,D1010&lt;=$G$6,'calculated data '!$A$5,D1010&gt;=$G$6,'calculated data '!$A$6)</f>
        <v>Low Demand Tier</v>
      </c>
      <c r="F1010" s="10">
        <f t="shared" si="1"/>
        <v>-0.646586233</v>
      </c>
    </row>
    <row r="1011" ht="14.25" customHeight="1">
      <c r="A1011" s="2" t="s">
        <v>115</v>
      </c>
      <c r="B1011" s="2" t="s">
        <v>116</v>
      </c>
      <c r="C1011" s="2">
        <v>2020.0</v>
      </c>
      <c r="D1011" s="9">
        <v>627.951</v>
      </c>
      <c r="E1011" s="10" t="str">
        <f t="array" ref="E1011">IFS(D1011&lt;=$G$3,'calculated data '!$A$3,D1011&lt;=$G$4,'calculated data '!$A$4,D1011&lt;=$G$6,'calculated data '!$A$5,D1011&gt;=$G$6,'calculated data '!$A$6)</f>
        <v>Low Demand Tier</v>
      </c>
      <c r="F1011" s="10">
        <f t="shared" si="1"/>
        <v>-0.6465497683</v>
      </c>
    </row>
    <row r="1012" ht="14.25" customHeight="1">
      <c r="A1012" s="2" t="s">
        <v>109</v>
      </c>
      <c r="B1012" s="2" t="s">
        <v>110</v>
      </c>
      <c r="C1012" s="2">
        <v>1998.0</v>
      </c>
      <c r="D1012" s="9">
        <v>628.51636</v>
      </c>
      <c r="E1012" s="10" t="str">
        <f t="array" ref="E1012">IFS(D1012&lt;=$G$3,'calculated data '!$A$3,D1012&lt;=$G$4,'calculated data '!$A$4,D1012&lt;=$G$6,'calculated data '!$A$5,D1012&gt;=$G$6,'calculated data '!$A$6)</f>
        <v>Low Demand Tier</v>
      </c>
      <c r="F1012" s="10">
        <f t="shared" si="1"/>
        <v>-0.6465348034</v>
      </c>
    </row>
    <row r="1013" ht="14.25" customHeight="1">
      <c r="A1013" s="2" t="s">
        <v>113</v>
      </c>
      <c r="B1013" s="2" t="s">
        <v>114</v>
      </c>
      <c r="C1013" s="2">
        <v>1987.0</v>
      </c>
      <c r="D1013" s="9">
        <v>628.8088</v>
      </c>
      <c r="E1013" s="10" t="str">
        <f t="array" ref="E1013">IFS(D1013&lt;=$G$3,'calculated data '!$A$3,D1013&lt;=$G$4,'calculated data '!$A$4,D1013&lt;=$G$6,'calculated data '!$A$5,D1013&gt;=$G$6,'calculated data '!$A$6)</f>
        <v>Low Demand Tier</v>
      </c>
      <c r="F1013" s="10">
        <f t="shared" si="1"/>
        <v>-0.6465270626</v>
      </c>
    </row>
    <row r="1014" ht="14.25" customHeight="1">
      <c r="A1014" s="2" t="s">
        <v>81</v>
      </c>
      <c r="B1014" s="2" t="s">
        <v>82</v>
      </c>
      <c r="C1014" s="2">
        <v>1989.0</v>
      </c>
      <c r="D1014" s="9">
        <v>631.0901</v>
      </c>
      <c r="E1014" s="10" t="str">
        <f t="array" ref="E1014">IFS(D1014&lt;=$G$3,'calculated data '!$A$3,D1014&lt;=$G$4,'calculated data '!$A$4,D1014&lt;=$G$6,'calculated data '!$A$5,D1014&gt;=$G$6,'calculated data '!$A$6)</f>
        <v>Low Demand Tier</v>
      </c>
      <c r="F1014" s="10">
        <f t="shared" si="1"/>
        <v>-0.6464666771</v>
      </c>
    </row>
    <row r="1015" ht="14.25" customHeight="1">
      <c r="A1015" s="2" t="s">
        <v>77</v>
      </c>
      <c r="B1015" s="2" t="s">
        <v>78</v>
      </c>
      <c r="C1015" s="2">
        <v>2012.0</v>
      </c>
      <c r="D1015" s="9">
        <v>632.10803</v>
      </c>
      <c r="E1015" s="10" t="str">
        <f t="array" ref="E1015">IFS(D1015&lt;=$G$3,'calculated data '!$A$3,D1015&lt;=$G$4,'calculated data '!$A$4,D1015&lt;=$G$6,'calculated data '!$A$5,D1015&gt;=$G$6,'calculated data '!$A$6)</f>
        <v>Low Demand Tier</v>
      </c>
      <c r="F1015" s="10">
        <f t="shared" si="1"/>
        <v>-0.6464397328</v>
      </c>
    </row>
    <row r="1016" ht="14.25" customHeight="1">
      <c r="A1016" s="2" t="s">
        <v>63</v>
      </c>
      <c r="B1016" s="2" t="s">
        <v>64</v>
      </c>
      <c r="C1016" s="2">
        <v>2021.0</v>
      </c>
      <c r="D1016" s="9">
        <v>636.4998</v>
      </c>
      <c r="E1016" s="10" t="str">
        <f t="array" ref="E1016">IFS(D1016&lt;=$G$3,'calculated data '!$A$3,D1016&lt;=$G$4,'calculated data '!$A$4,D1016&lt;=$G$6,'calculated data '!$A$5,D1016&gt;=$G$6,'calculated data '!$A$6)</f>
        <v>Low Demand Tier</v>
      </c>
      <c r="F1016" s="10">
        <f t="shared" si="1"/>
        <v>-0.6463234837</v>
      </c>
    </row>
    <row r="1017" ht="14.25" customHeight="1">
      <c r="A1017" s="2" t="s">
        <v>73</v>
      </c>
      <c r="B1017" s="2" t="s">
        <v>74</v>
      </c>
      <c r="C1017" s="2">
        <v>2024.0</v>
      </c>
      <c r="D1017" s="9">
        <v>637.01013</v>
      </c>
      <c r="E1017" s="10" t="str">
        <f t="array" ref="E1017">IFS(D1017&lt;=$G$3,'calculated data '!$A$3,D1017&lt;=$G$4,'calculated data '!$A$4,D1017&lt;=$G$6,'calculated data '!$A$5,D1017&gt;=$G$6,'calculated data '!$A$6)</f>
        <v>Low Demand Tier</v>
      </c>
      <c r="F1017" s="10">
        <f t="shared" si="1"/>
        <v>-0.6463099754</v>
      </c>
    </row>
    <row r="1018" ht="14.25" customHeight="1">
      <c r="A1018" s="2" t="s">
        <v>73</v>
      </c>
      <c r="B1018" s="2" t="s">
        <v>74</v>
      </c>
      <c r="C1018" s="2">
        <v>2023.0</v>
      </c>
      <c r="D1018" s="9">
        <v>640.63715</v>
      </c>
      <c r="E1018" s="10" t="str">
        <f t="array" ref="E1018">IFS(D1018&lt;=$G$3,'calculated data '!$A$3,D1018&lt;=$G$4,'calculated data '!$A$4,D1018&lt;=$G$6,'calculated data '!$A$5,D1018&gt;=$G$6,'calculated data '!$A$6)</f>
        <v>Low Demand Tier</v>
      </c>
      <c r="F1018" s="10">
        <f t="shared" si="1"/>
        <v>-0.6462139691</v>
      </c>
    </row>
    <row r="1019" ht="14.25" customHeight="1">
      <c r="A1019" s="2" t="s">
        <v>109</v>
      </c>
      <c r="B1019" s="2" t="s">
        <v>110</v>
      </c>
      <c r="C1019" s="2">
        <v>2002.0</v>
      </c>
      <c r="D1019" s="9">
        <v>642.84454</v>
      </c>
      <c r="E1019" s="10" t="str">
        <f t="array" ref="E1019">IFS(D1019&lt;=$G$3,'calculated data '!$A$3,D1019&lt;=$G$4,'calculated data '!$A$4,D1019&lt;=$G$6,'calculated data '!$A$5,D1019&gt;=$G$6,'calculated data '!$A$6)</f>
        <v>Low Demand Tier</v>
      </c>
      <c r="F1019" s="10">
        <f t="shared" si="1"/>
        <v>-0.64615554</v>
      </c>
    </row>
    <row r="1020" ht="14.25" customHeight="1">
      <c r="A1020" s="2" t="s">
        <v>73</v>
      </c>
      <c r="B1020" s="2" t="s">
        <v>74</v>
      </c>
      <c r="C1020" s="2">
        <v>2017.0</v>
      </c>
      <c r="D1020" s="9">
        <v>645.04865</v>
      </c>
      <c r="E1020" s="10" t="str">
        <f t="array" ref="E1020">IFS(D1020&lt;=$G$3,'calculated data '!$A$3,D1020&lt;=$G$4,'calculated data '!$A$4,D1020&lt;=$G$6,'calculated data '!$A$5,D1020&gt;=$G$6,'calculated data '!$A$6)</f>
        <v>Low Demand Tier</v>
      </c>
      <c r="F1020" s="10">
        <f t="shared" si="1"/>
        <v>-0.6460971978</v>
      </c>
    </row>
    <row r="1021" ht="14.25" customHeight="1">
      <c r="A1021" s="2" t="s">
        <v>109</v>
      </c>
      <c r="B1021" s="2" t="s">
        <v>110</v>
      </c>
      <c r="C1021" s="2">
        <v>2000.0</v>
      </c>
      <c r="D1021" s="9">
        <v>645.7846</v>
      </c>
      <c r="E1021" s="10" t="str">
        <f t="array" ref="E1021">IFS(D1021&lt;=$G$3,'calculated data '!$A$3,D1021&lt;=$G$4,'calculated data '!$A$4,D1021&lt;=$G$6,'calculated data '!$A$5,D1021&gt;=$G$6,'calculated data '!$A$6)</f>
        <v>Low Demand Tier</v>
      </c>
      <c r="F1021" s="10">
        <f t="shared" si="1"/>
        <v>-0.6460777174</v>
      </c>
    </row>
    <row r="1022" ht="14.25" customHeight="1">
      <c r="A1022" s="2" t="s">
        <v>21</v>
      </c>
      <c r="B1022" s="2" t="s">
        <v>22</v>
      </c>
      <c r="C1022" s="2">
        <v>1990.0</v>
      </c>
      <c r="D1022" s="9">
        <v>646.0989</v>
      </c>
      <c r="E1022" s="10" t="str">
        <f t="array" ref="E1022">IFS(D1022&lt;=$G$3,'calculated data '!$A$3,D1022&lt;=$G$4,'calculated data '!$A$4,D1022&lt;=$G$6,'calculated data '!$A$5,D1022&gt;=$G$6,'calculated data '!$A$6)</f>
        <v>Low Demand Tier</v>
      </c>
      <c r="F1022" s="10">
        <f t="shared" si="1"/>
        <v>-0.6460693979</v>
      </c>
    </row>
    <row r="1023" ht="14.25" customHeight="1">
      <c r="A1023" s="2" t="s">
        <v>113</v>
      </c>
      <c r="B1023" s="2" t="s">
        <v>114</v>
      </c>
      <c r="C1023" s="2">
        <v>1986.0</v>
      </c>
      <c r="D1023" s="9">
        <v>646.5706</v>
      </c>
      <c r="E1023" s="10" t="str">
        <f t="array" ref="E1023">IFS(D1023&lt;=$G$3,'calculated data '!$A$3,D1023&lt;=$G$4,'calculated data '!$A$4,D1023&lt;=$G$6,'calculated data '!$A$5,D1023&gt;=$G$6,'calculated data '!$A$6)</f>
        <v>Low Demand Tier</v>
      </c>
      <c r="F1023" s="10">
        <f t="shared" si="1"/>
        <v>-0.6460569121</v>
      </c>
    </row>
    <row r="1024" ht="14.25" customHeight="1">
      <c r="A1024" s="2" t="s">
        <v>105</v>
      </c>
      <c r="B1024" s="2" t="s">
        <v>106</v>
      </c>
      <c r="C1024" s="2">
        <v>2019.0</v>
      </c>
      <c r="D1024" s="9">
        <v>646.6211</v>
      </c>
      <c r="E1024" s="10" t="str">
        <f t="array" ref="E1024">IFS(D1024&lt;=$G$3,'calculated data '!$A$3,D1024&lt;=$G$4,'calculated data '!$A$4,D1024&lt;=$G$6,'calculated data '!$A$5,D1024&gt;=$G$6,'calculated data '!$A$6)</f>
        <v>Low Demand Tier</v>
      </c>
      <c r="F1024" s="10">
        <f t="shared" si="1"/>
        <v>-0.6460555754</v>
      </c>
    </row>
    <row r="1025" ht="14.25" customHeight="1">
      <c r="A1025" s="2" t="s">
        <v>59</v>
      </c>
      <c r="B1025" s="2" t="s">
        <v>60</v>
      </c>
      <c r="C1025" s="2">
        <v>2010.0</v>
      </c>
      <c r="D1025" s="9">
        <v>646.76184</v>
      </c>
      <c r="E1025" s="10" t="str">
        <f t="array" ref="E1025">IFS(D1025&lt;=$G$3,'calculated data '!$A$3,D1025&lt;=$G$4,'calculated data '!$A$4,D1025&lt;=$G$6,'calculated data '!$A$5,D1025&gt;=$G$6,'calculated data '!$A$6)</f>
        <v>Low Demand Tier</v>
      </c>
      <c r="F1025" s="10">
        <f t="shared" si="1"/>
        <v>-0.6460518501</v>
      </c>
    </row>
    <row r="1026" ht="14.25" customHeight="1">
      <c r="A1026" s="2" t="s">
        <v>75</v>
      </c>
      <c r="B1026" s="2" t="s">
        <v>76</v>
      </c>
      <c r="C1026" s="2">
        <v>1983.0</v>
      </c>
      <c r="D1026" s="9">
        <v>647.4458</v>
      </c>
      <c r="E1026" s="10" t="str">
        <f t="array" ref="E1026">IFS(D1026&lt;=$G$3,'calculated data '!$A$3,D1026&lt;=$G$4,'calculated data '!$A$4,D1026&lt;=$G$6,'calculated data '!$A$5,D1026&gt;=$G$6,'calculated data '!$A$6)</f>
        <v>Low Demand Tier</v>
      </c>
      <c r="F1026" s="10">
        <f t="shared" si="1"/>
        <v>-0.6460337458</v>
      </c>
    </row>
    <row r="1027" ht="14.25" customHeight="1">
      <c r="A1027" s="2" t="s">
        <v>113</v>
      </c>
      <c r="B1027" s="2" t="s">
        <v>114</v>
      </c>
      <c r="C1027" s="2">
        <v>1985.0</v>
      </c>
      <c r="D1027" s="9">
        <v>648.15607</v>
      </c>
      <c r="E1027" s="10" t="str">
        <f t="array" ref="E1027">IFS(D1027&lt;=$G$3,'calculated data '!$A$3,D1027&lt;=$G$4,'calculated data '!$A$4,D1027&lt;=$G$6,'calculated data '!$A$5,D1027&gt;=$G$6,'calculated data '!$A$6)</f>
        <v>Low Demand Tier</v>
      </c>
      <c r="F1027" s="10">
        <f t="shared" si="1"/>
        <v>-0.6460149451</v>
      </c>
    </row>
    <row r="1028" ht="14.25" customHeight="1">
      <c r="A1028" s="2" t="s">
        <v>95</v>
      </c>
      <c r="B1028" s="2" t="s">
        <v>96</v>
      </c>
      <c r="C1028" s="2">
        <v>1982.0</v>
      </c>
      <c r="D1028" s="9">
        <v>649.5918</v>
      </c>
      <c r="E1028" s="10" t="str">
        <f t="array" ref="E1028">IFS(D1028&lt;=$G$3,'calculated data '!$A$3,D1028&lt;=$G$4,'calculated data '!$A$4,D1028&lt;=$G$6,'calculated data '!$A$5,D1028&gt;=$G$6,'calculated data '!$A$6)</f>
        <v>Low Demand Tier</v>
      </c>
      <c r="F1028" s="10">
        <f t="shared" si="1"/>
        <v>-0.6459769417</v>
      </c>
    </row>
    <row r="1029" ht="14.25" customHeight="1">
      <c r="A1029" s="2" t="s">
        <v>103</v>
      </c>
      <c r="B1029" s="2" t="s">
        <v>104</v>
      </c>
      <c r="C1029" s="2">
        <v>2009.0</v>
      </c>
      <c r="D1029" s="9">
        <v>649.77454</v>
      </c>
      <c r="E1029" s="10" t="str">
        <f t="array" ref="E1029">IFS(D1029&lt;=$G$3,'calculated data '!$A$3,D1029&lt;=$G$4,'calculated data '!$A$4,D1029&lt;=$G$6,'calculated data '!$A$5,D1029&gt;=$G$6,'calculated data '!$A$6)</f>
        <v>Low Demand Tier</v>
      </c>
      <c r="F1029" s="10">
        <f t="shared" si="1"/>
        <v>-0.6459721047</v>
      </c>
    </row>
    <row r="1030" ht="14.25" customHeight="1">
      <c r="A1030" s="2" t="s">
        <v>63</v>
      </c>
      <c r="B1030" s="2" t="s">
        <v>64</v>
      </c>
      <c r="C1030" s="2">
        <v>2022.0</v>
      </c>
      <c r="D1030" s="9">
        <v>651.31836</v>
      </c>
      <c r="E1030" s="10" t="str">
        <f t="array" ref="E1030">IFS(D1030&lt;=$G$3,'calculated data '!$A$3,D1030&lt;=$G$4,'calculated data '!$A$4,D1030&lt;=$G$6,'calculated data '!$A$5,D1030&gt;=$G$6,'calculated data '!$A$6)</f>
        <v>Low Demand Tier</v>
      </c>
      <c r="F1030" s="10">
        <f t="shared" si="1"/>
        <v>-0.6459312401</v>
      </c>
    </row>
    <row r="1031" ht="14.25" customHeight="1">
      <c r="A1031" s="2" t="s">
        <v>103</v>
      </c>
      <c r="B1031" s="2" t="s">
        <v>104</v>
      </c>
      <c r="C1031" s="2">
        <v>2005.0</v>
      </c>
      <c r="D1031" s="9">
        <v>653.0874</v>
      </c>
      <c r="E1031" s="10" t="str">
        <f t="array" ref="E1031">IFS(D1031&lt;=$G$3,'calculated data '!$A$3,D1031&lt;=$G$4,'calculated data '!$A$4,D1031&lt;=$G$6,'calculated data '!$A$5,D1031&gt;=$G$6,'calculated data '!$A$6)</f>
        <v>Low Demand Tier</v>
      </c>
      <c r="F1031" s="10">
        <f t="shared" si="1"/>
        <v>-0.6458844141</v>
      </c>
    </row>
    <row r="1032" ht="14.25" customHeight="1">
      <c r="A1032" s="2" t="s">
        <v>119</v>
      </c>
      <c r="B1032" s="2" t="s">
        <v>120</v>
      </c>
      <c r="C1032" s="2">
        <v>1999.0</v>
      </c>
      <c r="D1032" s="9">
        <v>653.77246</v>
      </c>
      <c r="E1032" s="10" t="str">
        <f t="array" ref="E1032">IFS(D1032&lt;=$G$3,'calculated data '!$A$3,D1032&lt;=$G$4,'calculated data '!$A$4,D1032&lt;=$G$6,'calculated data '!$A$5,D1032&gt;=$G$6,'calculated data '!$A$6)</f>
        <v>Low Demand Tier</v>
      </c>
      <c r="F1032" s="10">
        <f t="shared" si="1"/>
        <v>-0.6458662807</v>
      </c>
    </row>
    <row r="1033" ht="14.25" customHeight="1">
      <c r="A1033" s="2" t="s">
        <v>113</v>
      </c>
      <c r="B1033" s="2" t="s">
        <v>114</v>
      </c>
      <c r="C1033" s="2">
        <v>1984.0</v>
      </c>
      <c r="D1033" s="9">
        <v>653.86163</v>
      </c>
      <c r="E1033" s="10" t="str">
        <f t="array" ref="E1033">IFS(D1033&lt;=$G$3,'calculated data '!$A$3,D1033&lt;=$G$4,'calculated data '!$A$4,D1033&lt;=$G$6,'calculated data '!$A$5,D1033&gt;=$G$6,'calculated data '!$A$6)</f>
        <v>Low Demand Tier</v>
      </c>
      <c r="F1033" s="10">
        <f t="shared" si="1"/>
        <v>-0.6458639204</v>
      </c>
    </row>
    <row r="1034" ht="14.25" customHeight="1">
      <c r="A1034" s="2" t="s">
        <v>61</v>
      </c>
      <c r="B1034" s="2" t="s">
        <v>62</v>
      </c>
      <c r="C1034" s="2">
        <v>2012.0</v>
      </c>
      <c r="D1034" s="9">
        <v>654.48083</v>
      </c>
      <c r="E1034" s="10" t="str">
        <f t="array" ref="E1034">IFS(D1034&lt;=$G$3,'calculated data '!$A$3,D1034&lt;=$G$4,'calculated data '!$A$4,D1034&lt;=$G$6,'calculated data '!$A$5,D1034&gt;=$G$6,'calculated data '!$A$6)</f>
        <v>Low Demand Tier</v>
      </c>
      <c r="F1034" s="10">
        <f t="shared" si="1"/>
        <v>-0.6458475303</v>
      </c>
    </row>
    <row r="1035" ht="14.25" customHeight="1">
      <c r="A1035" s="2" t="s">
        <v>73</v>
      </c>
      <c r="B1035" s="2" t="s">
        <v>74</v>
      </c>
      <c r="C1035" s="2">
        <v>2021.0</v>
      </c>
      <c r="D1035" s="9">
        <v>656.0937</v>
      </c>
      <c r="E1035" s="10" t="str">
        <f t="array" ref="E1035">IFS(D1035&lt;=$G$3,'calculated data '!$A$3,D1035&lt;=$G$4,'calculated data '!$A$4,D1035&lt;=$G$6,'calculated data '!$A$5,D1035&gt;=$G$6,'calculated data '!$A$6)</f>
        <v>Low Demand Tier</v>
      </c>
      <c r="F1035" s="10">
        <f t="shared" si="1"/>
        <v>-0.6458048381</v>
      </c>
    </row>
    <row r="1036" ht="14.25" customHeight="1">
      <c r="A1036" s="2" t="s">
        <v>119</v>
      </c>
      <c r="B1036" s="2" t="s">
        <v>120</v>
      </c>
      <c r="C1036" s="2">
        <v>1996.0</v>
      </c>
      <c r="D1036" s="9">
        <v>656.7129</v>
      </c>
      <c r="E1036" s="10" t="str">
        <f t="array" ref="E1036">IFS(D1036&lt;=$G$3,'calculated data '!$A$3,D1036&lt;=$G$4,'calculated data '!$A$4,D1036&lt;=$G$6,'calculated data '!$A$5,D1036&gt;=$G$6,'calculated data '!$A$6)</f>
        <v>Low Demand Tier</v>
      </c>
      <c r="F1036" s="10">
        <f t="shared" si="1"/>
        <v>-0.645788448</v>
      </c>
    </row>
    <row r="1037" ht="14.25" customHeight="1">
      <c r="A1037" s="2" t="s">
        <v>21</v>
      </c>
      <c r="B1037" s="2" t="s">
        <v>22</v>
      </c>
      <c r="C1037" s="2">
        <v>1992.0</v>
      </c>
      <c r="D1037" s="9">
        <v>656.7602</v>
      </c>
      <c r="E1037" s="10" t="str">
        <f t="array" ref="E1037">IFS(D1037&lt;=$G$3,'calculated data '!$A$3,D1037&lt;=$G$4,'calculated data '!$A$4,D1037&lt;=$G$6,'calculated data '!$A$5,D1037&gt;=$G$6,'calculated data '!$A$6)</f>
        <v>Low Demand Tier</v>
      </c>
      <c r="F1037" s="10">
        <f t="shared" si="1"/>
        <v>-0.645787196</v>
      </c>
    </row>
    <row r="1038" ht="14.25" customHeight="1">
      <c r="A1038" s="2" t="s">
        <v>97</v>
      </c>
      <c r="B1038" s="2" t="s">
        <v>98</v>
      </c>
      <c r="C1038" s="2">
        <v>1985.0</v>
      </c>
      <c r="D1038" s="9">
        <v>657.02655</v>
      </c>
      <c r="E1038" s="10" t="str">
        <f t="array" ref="E1038">IFS(D1038&lt;=$G$3,'calculated data '!$A$3,D1038&lt;=$G$4,'calculated data '!$A$4,D1038&lt;=$G$6,'calculated data '!$A$5,D1038&gt;=$G$6,'calculated data '!$A$6)</f>
        <v>Low Demand Tier</v>
      </c>
      <c r="F1038" s="10">
        <f t="shared" si="1"/>
        <v>-0.6457801458</v>
      </c>
    </row>
    <row r="1039" ht="14.25" customHeight="1">
      <c r="A1039" s="2" t="s">
        <v>51</v>
      </c>
      <c r="B1039" s="2" t="s">
        <v>52</v>
      </c>
      <c r="C1039" s="2">
        <v>1987.0</v>
      </c>
      <c r="D1039" s="9">
        <v>657.08545</v>
      </c>
      <c r="E1039" s="10" t="str">
        <f t="array" ref="E1039">IFS(D1039&lt;=$G$3,'calculated data '!$A$3,D1039&lt;=$G$4,'calculated data '!$A$4,D1039&lt;=$G$6,'calculated data '!$A$5,D1039&gt;=$G$6,'calculated data '!$A$6)</f>
        <v>Low Demand Tier</v>
      </c>
      <c r="F1039" s="10">
        <f t="shared" si="1"/>
        <v>-0.6457785867</v>
      </c>
    </row>
    <row r="1040" ht="14.25" customHeight="1">
      <c r="A1040" s="2" t="s">
        <v>119</v>
      </c>
      <c r="B1040" s="2" t="s">
        <v>120</v>
      </c>
      <c r="C1040" s="2">
        <v>1998.0</v>
      </c>
      <c r="D1040" s="9">
        <v>658.1927</v>
      </c>
      <c r="E1040" s="10" t="str">
        <f t="array" ref="E1040">IFS(D1040&lt;=$G$3,'calculated data '!$A$3,D1040&lt;=$G$4,'calculated data '!$A$4,D1040&lt;=$G$6,'calculated data '!$A$5,D1040&gt;=$G$6,'calculated data '!$A$6)</f>
        <v>Low Demand Tier</v>
      </c>
      <c r="F1040" s="10">
        <f t="shared" si="1"/>
        <v>-0.6457492781</v>
      </c>
    </row>
    <row r="1041" ht="14.25" customHeight="1">
      <c r="A1041" s="2" t="s">
        <v>75</v>
      </c>
      <c r="B1041" s="2" t="s">
        <v>76</v>
      </c>
      <c r="C1041" s="2">
        <v>1982.0</v>
      </c>
      <c r="D1041" s="9">
        <v>658.4237</v>
      </c>
      <c r="E1041" s="10" t="str">
        <f t="array" ref="E1041">IFS(D1041&lt;=$G$3,'calculated data '!$A$3,D1041&lt;=$G$4,'calculated data '!$A$4,D1041&lt;=$G$6,'calculated data '!$A$5,D1041&gt;=$G$6,'calculated data '!$A$6)</f>
        <v>Low Demand Tier</v>
      </c>
      <c r="F1041" s="10">
        <f t="shared" si="1"/>
        <v>-0.6457431635</v>
      </c>
    </row>
    <row r="1042" ht="14.25" customHeight="1">
      <c r="A1042" s="2" t="s">
        <v>115</v>
      </c>
      <c r="B1042" s="2" t="s">
        <v>116</v>
      </c>
      <c r="C1042" s="2">
        <v>2017.0</v>
      </c>
      <c r="D1042" s="9">
        <v>659.6572</v>
      </c>
      <c r="E1042" s="10" t="str">
        <f t="array" ref="E1042">IFS(D1042&lt;=$G$3,'calculated data '!$A$3,D1042&lt;=$G$4,'calculated data '!$A$4,D1042&lt;=$G$6,'calculated data '!$A$5,D1042&gt;=$G$6,'calculated data '!$A$6)</f>
        <v>Low Demand Tier</v>
      </c>
      <c r="F1042" s="10">
        <f t="shared" si="1"/>
        <v>-0.6457105131</v>
      </c>
    </row>
    <row r="1043" ht="14.25" customHeight="1">
      <c r="A1043" s="2" t="s">
        <v>119</v>
      </c>
      <c r="B1043" s="2" t="s">
        <v>120</v>
      </c>
      <c r="C1043" s="2">
        <v>1997.0</v>
      </c>
      <c r="D1043" s="9">
        <v>660.0959</v>
      </c>
      <c r="E1043" s="10" t="str">
        <f t="array" ref="E1043">IFS(D1043&lt;=$G$3,'calculated data '!$A$3,D1043&lt;=$G$4,'calculated data '!$A$4,D1043&lt;=$G$6,'calculated data '!$A$5,D1043&gt;=$G$6,'calculated data '!$A$6)</f>
        <v>Low Demand Tier</v>
      </c>
      <c r="F1043" s="10">
        <f t="shared" si="1"/>
        <v>-0.6456989008</v>
      </c>
    </row>
    <row r="1044" ht="14.25" customHeight="1">
      <c r="A1044" s="2" t="s">
        <v>75</v>
      </c>
      <c r="B1044" s="2" t="s">
        <v>76</v>
      </c>
      <c r="C1044" s="2">
        <v>1981.0</v>
      </c>
      <c r="D1044" s="9">
        <v>661.0084</v>
      </c>
      <c r="E1044" s="10" t="str">
        <f t="array" ref="E1044">IFS(D1044&lt;=$G$3,'calculated data '!$A$3,D1044&lt;=$G$4,'calculated data '!$A$4,D1044&lt;=$G$6,'calculated data '!$A$5,D1044&gt;=$G$6,'calculated data '!$A$6)</f>
        <v>Low Demand Tier</v>
      </c>
      <c r="F1044" s="10">
        <f t="shared" si="1"/>
        <v>-0.6456747472</v>
      </c>
    </row>
    <row r="1045" ht="14.25" customHeight="1">
      <c r="A1045" s="2" t="s">
        <v>75</v>
      </c>
      <c r="B1045" s="2" t="s">
        <v>76</v>
      </c>
      <c r="C1045" s="2">
        <v>1980.0</v>
      </c>
      <c r="D1045" s="9">
        <v>661.5867</v>
      </c>
      <c r="E1045" s="10" t="str">
        <f t="array" ref="E1045">IFS(D1045&lt;=$G$3,'calculated data '!$A$3,D1045&lt;=$G$4,'calculated data '!$A$4,D1045&lt;=$G$6,'calculated data '!$A$5,D1045&gt;=$G$6,'calculated data '!$A$6)</f>
        <v>Low Demand Tier</v>
      </c>
      <c r="F1045" s="10">
        <f t="shared" si="1"/>
        <v>-0.6456594397</v>
      </c>
    </row>
    <row r="1046" ht="14.25" customHeight="1">
      <c r="A1046" s="2" t="s">
        <v>93</v>
      </c>
      <c r="B1046" s="2" t="s">
        <v>94</v>
      </c>
      <c r="C1046" s="2">
        <v>1995.0</v>
      </c>
      <c r="D1046" s="9">
        <v>662.107</v>
      </c>
      <c r="E1046" s="10" t="str">
        <f t="array" ref="E1046">IFS(D1046&lt;=$G$3,'calculated data '!$A$3,D1046&lt;=$G$4,'calculated data '!$A$4,D1046&lt;=$G$6,'calculated data '!$A$5,D1046&gt;=$G$6,'calculated data '!$A$6)</f>
        <v>Low Demand Tier</v>
      </c>
      <c r="F1046" s="10">
        <f t="shared" si="1"/>
        <v>-0.6456456675</v>
      </c>
    </row>
    <row r="1047" ht="14.25" customHeight="1">
      <c r="A1047" s="2" t="s">
        <v>73</v>
      </c>
      <c r="B1047" s="2" t="s">
        <v>74</v>
      </c>
      <c r="C1047" s="2">
        <v>2022.0</v>
      </c>
      <c r="D1047" s="9">
        <v>663.2023</v>
      </c>
      <c r="E1047" s="10" t="str">
        <f t="array" ref="E1047">IFS(D1047&lt;=$G$3,'calculated data '!$A$3,D1047&lt;=$G$4,'calculated data '!$A$4,D1047&lt;=$G$6,'calculated data '!$A$5,D1047&gt;=$G$6,'calculated data '!$A$6)</f>
        <v>Low Demand Tier</v>
      </c>
      <c r="F1047" s="10">
        <f t="shared" si="1"/>
        <v>-0.6456166752</v>
      </c>
    </row>
    <row r="1048" ht="14.25" customHeight="1">
      <c r="A1048" s="2" t="s">
        <v>105</v>
      </c>
      <c r="B1048" s="2" t="s">
        <v>106</v>
      </c>
      <c r="C1048" s="2">
        <v>2020.0</v>
      </c>
      <c r="D1048" s="9">
        <v>663.2057</v>
      </c>
      <c r="E1048" s="10" t="str">
        <f t="array" ref="E1048">IFS(D1048&lt;=$G$3,'calculated data '!$A$3,D1048&lt;=$G$4,'calculated data '!$A$4,D1048&lt;=$G$6,'calculated data '!$A$5,D1048&gt;=$G$6,'calculated data '!$A$6)</f>
        <v>Low Demand Tier</v>
      </c>
      <c r="F1048" s="10">
        <f t="shared" si="1"/>
        <v>-0.6456165852</v>
      </c>
    </row>
    <row r="1049" ht="14.25" customHeight="1">
      <c r="A1049" s="2" t="s">
        <v>73</v>
      </c>
      <c r="B1049" s="2" t="s">
        <v>74</v>
      </c>
      <c r="C1049" s="2">
        <v>2019.0</v>
      </c>
      <c r="D1049" s="9">
        <v>663.33685</v>
      </c>
      <c r="E1049" s="10" t="str">
        <f t="array" ref="E1049">IFS(D1049&lt;=$G$3,'calculated data '!$A$3,D1049&lt;=$G$4,'calculated data '!$A$4,D1049&lt;=$G$6,'calculated data '!$A$5,D1049&gt;=$G$6,'calculated data '!$A$6)</f>
        <v>Low Demand Tier</v>
      </c>
      <c r="F1049" s="10">
        <f t="shared" si="1"/>
        <v>-0.6456131137</v>
      </c>
    </row>
    <row r="1050" ht="14.25" customHeight="1">
      <c r="A1050" s="2" t="s">
        <v>103</v>
      </c>
      <c r="B1050" s="2" t="s">
        <v>104</v>
      </c>
      <c r="C1050" s="2">
        <v>2007.0</v>
      </c>
      <c r="D1050" s="9">
        <v>663.8476</v>
      </c>
      <c r="E1050" s="10" t="str">
        <f t="array" ref="E1050">IFS(D1050&lt;=$G$3,'calculated data '!$A$3,D1050&lt;=$G$4,'calculated data '!$A$4,D1050&lt;=$G$6,'calculated data '!$A$5,D1050&gt;=$G$6,'calculated data '!$A$6)</f>
        <v>Low Demand Tier</v>
      </c>
      <c r="F1050" s="10">
        <f t="shared" si="1"/>
        <v>-0.6455995943</v>
      </c>
    </row>
    <row r="1051" ht="14.25" customHeight="1">
      <c r="A1051" s="2" t="s">
        <v>77</v>
      </c>
      <c r="B1051" s="2" t="s">
        <v>78</v>
      </c>
      <c r="C1051" s="2">
        <v>2014.0</v>
      </c>
      <c r="D1051" s="9">
        <v>665.5293</v>
      </c>
      <c r="E1051" s="10" t="str">
        <f t="array" ref="E1051">IFS(D1051&lt;=$G$3,'calculated data '!$A$3,D1051&lt;=$G$4,'calculated data '!$A$4,D1051&lt;=$G$6,'calculated data '!$A$5,D1051&gt;=$G$6,'calculated data '!$A$6)</f>
        <v>Low Demand Tier</v>
      </c>
      <c r="F1051" s="10">
        <f t="shared" si="1"/>
        <v>-0.6455550801</v>
      </c>
    </row>
    <row r="1052" ht="14.25" customHeight="1">
      <c r="A1052" s="2" t="s">
        <v>115</v>
      </c>
      <c r="B1052" s="2" t="s">
        <v>116</v>
      </c>
      <c r="C1052" s="2">
        <v>2021.0</v>
      </c>
      <c r="D1052" s="9">
        <v>668.252</v>
      </c>
      <c r="E1052" s="10" t="str">
        <f t="array" ref="E1052">IFS(D1052&lt;=$G$3,'calculated data '!$A$3,D1052&lt;=$G$4,'calculated data '!$A$4,D1052&lt;=$G$6,'calculated data '!$A$5,D1052&gt;=$G$6,'calculated data '!$A$6)</f>
        <v>Low Demand Tier</v>
      </c>
      <c r="F1052" s="10">
        <f t="shared" si="1"/>
        <v>-0.6454830109</v>
      </c>
    </row>
    <row r="1053" ht="14.25" customHeight="1">
      <c r="A1053" s="2" t="s">
        <v>109</v>
      </c>
      <c r="B1053" s="2" t="s">
        <v>110</v>
      </c>
      <c r="C1053" s="2">
        <v>2001.0</v>
      </c>
      <c r="D1053" s="9">
        <v>668.8408</v>
      </c>
      <c r="E1053" s="10" t="str">
        <f t="array" ref="E1053">IFS(D1053&lt;=$G$3,'calculated data '!$A$3,D1053&lt;=$G$4,'calculated data '!$A$4,D1053&lt;=$G$6,'calculated data '!$A$5,D1053&gt;=$G$6,'calculated data '!$A$6)</f>
        <v>Low Demand Tier</v>
      </c>
      <c r="F1053" s="10">
        <f t="shared" si="1"/>
        <v>-0.6454674255</v>
      </c>
    </row>
    <row r="1054" ht="14.25" customHeight="1">
      <c r="A1054" s="2" t="s">
        <v>107</v>
      </c>
      <c r="B1054" s="2" t="s">
        <v>108</v>
      </c>
      <c r="C1054" s="2">
        <v>2023.0</v>
      </c>
      <c r="D1054" s="9">
        <v>670.24255</v>
      </c>
      <c r="E1054" s="10" t="str">
        <f t="array" ref="E1054">IFS(D1054&lt;=$G$3,'calculated data '!$A$3,D1054&lt;=$G$4,'calculated data '!$A$4,D1054&lt;=$G$6,'calculated data '!$A$5,D1054&gt;=$G$6,'calculated data '!$A$6)</f>
        <v>Low Demand Tier</v>
      </c>
      <c r="F1054" s="10">
        <f t="shared" si="1"/>
        <v>-0.6454303215</v>
      </c>
    </row>
    <row r="1055" ht="14.25" customHeight="1">
      <c r="A1055" s="2" t="s">
        <v>103</v>
      </c>
      <c r="B1055" s="2" t="s">
        <v>104</v>
      </c>
      <c r="C1055" s="2">
        <v>2006.0</v>
      </c>
      <c r="D1055" s="9">
        <v>670.7109</v>
      </c>
      <c r="E1055" s="10" t="str">
        <f t="array" ref="E1055">IFS(D1055&lt;=$G$3,'calculated data '!$A$3,D1055&lt;=$G$4,'calculated data '!$A$4,D1055&lt;=$G$6,'calculated data '!$A$5,D1055&gt;=$G$6,'calculated data '!$A$6)</f>
        <v>Low Demand Tier</v>
      </c>
      <c r="F1055" s="10">
        <f t="shared" si="1"/>
        <v>-0.6454179244</v>
      </c>
    </row>
    <row r="1056" ht="14.25" customHeight="1">
      <c r="A1056" s="2" t="s">
        <v>73</v>
      </c>
      <c r="B1056" s="2" t="s">
        <v>74</v>
      </c>
      <c r="C1056" s="2">
        <v>2018.0</v>
      </c>
      <c r="D1056" s="9">
        <v>671.42224</v>
      </c>
      <c r="E1056" s="10" t="str">
        <f t="array" ref="E1056">IFS(D1056&lt;=$G$3,'calculated data '!$A$3,D1056&lt;=$G$4,'calculated data '!$A$4,D1056&lt;=$G$6,'calculated data '!$A$5,D1056&gt;=$G$6,'calculated data '!$A$6)</f>
        <v>Low Demand Tier</v>
      </c>
      <c r="F1056" s="10">
        <f t="shared" si="1"/>
        <v>-0.6453990954</v>
      </c>
    </row>
    <row r="1057" ht="14.25" customHeight="1">
      <c r="A1057" s="2" t="s">
        <v>109</v>
      </c>
      <c r="B1057" s="2" t="s">
        <v>110</v>
      </c>
      <c r="C1057" s="2">
        <v>1997.0</v>
      </c>
      <c r="D1057" s="9">
        <v>672.205</v>
      </c>
      <c r="E1057" s="10" t="str">
        <f t="array" ref="E1057">IFS(D1057&lt;=$G$3,'calculated data '!$A$3,D1057&lt;=$G$4,'calculated data '!$A$4,D1057&lt;=$G$6,'calculated data '!$A$5,D1057&gt;=$G$6,'calculated data '!$A$6)</f>
        <v>Low Demand Tier</v>
      </c>
      <c r="F1057" s="10">
        <f t="shared" si="1"/>
        <v>-0.645378376</v>
      </c>
    </row>
    <row r="1058" ht="14.25" customHeight="1">
      <c r="A1058" s="2" t="s">
        <v>61</v>
      </c>
      <c r="B1058" s="2" t="s">
        <v>62</v>
      </c>
      <c r="C1058" s="2">
        <v>2011.0</v>
      </c>
      <c r="D1058" s="9">
        <v>673.2307</v>
      </c>
      <c r="E1058" s="10" t="str">
        <f t="array" ref="E1058">IFS(D1058&lt;=$G$3,'calculated data '!$A$3,D1058&lt;=$G$4,'calculated data '!$A$4,D1058&lt;=$G$6,'calculated data '!$A$5,D1058&gt;=$G$6,'calculated data '!$A$6)</f>
        <v>Low Demand Tier</v>
      </c>
      <c r="F1058" s="10">
        <f t="shared" si="1"/>
        <v>-0.6453512259</v>
      </c>
    </row>
    <row r="1059" ht="14.25" customHeight="1">
      <c r="A1059" s="2" t="s">
        <v>119</v>
      </c>
      <c r="B1059" s="2" t="s">
        <v>120</v>
      </c>
      <c r="C1059" s="2">
        <v>1995.0</v>
      </c>
      <c r="D1059" s="9">
        <v>673.25616</v>
      </c>
      <c r="E1059" s="10" t="str">
        <f t="array" ref="E1059">IFS(D1059&lt;=$G$3,'calculated data '!$A$3,D1059&lt;=$G$4,'calculated data '!$A$4,D1059&lt;=$G$6,'calculated data '!$A$5,D1059&gt;=$G$6,'calculated data '!$A$6)</f>
        <v>Low Demand Tier</v>
      </c>
      <c r="F1059" s="10">
        <f t="shared" si="1"/>
        <v>-0.645350552</v>
      </c>
    </row>
    <row r="1060" ht="14.25" customHeight="1">
      <c r="A1060" s="2" t="s">
        <v>121</v>
      </c>
      <c r="B1060" s="2" t="s">
        <v>122</v>
      </c>
      <c r="C1060" s="2">
        <v>1997.0</v>
      </c>
      <c r="D1060" s="9">
        <v>674.0142</v>
      </c>
      <c r="E1060" s="10" t="str">
        <f t="array" ref="E1060">IFS(D1060&lt;=$G$3,'calculated data '!$A$3,D1060&lt;=$G$4,'calculated data '!$A$4,D1060&lt;=$G$6,'calculated data '!$A$5,D1060&gt;=$G$6,'calculated data '!$A$6)</f>
        <v>Low Demand Tier</v>
      </c>
      <c r="F1060" s="10">
        <f t="shared" si="1"/>
        <v>-0.6453304869</v>
      </c>
    </row>
    <row r="1061" ht="14.25" customHeight="1">
      <c r="A1061" s="2" t="s">
        <v>103</v>
      </c>
      <c r="B1061" s="2" t="s">
        <v>104</v>
      </c>
      <c r="C1061" s="2">
        <v>2008.0</v>
      </c>
      <c r="D1061" s="9">
        <v>675.0532</v>
      </c>
      <c r="E1061" s="10" t="str">
        <f t="array" ref="E1061">IFS(D1061&lt;=$G$3,'calculated data '!$A$3,D1061&lt;=$G$4,'calculated data '!$A$4,D1061&lt;=$G$6,'calculated data '!$A$5,D1061&gt;=$G$6,'calculated data '!$A$6)</f>
        <v>Low Demand Tier</v>
      </c>
      <c r="F1061" s="10">
        <f t="shared" si="1"/>
        <v>-0.6453029848</v>
      </c>
    </row>
    <row r="1062" ht="14.25" customHeight="1">
      <c r="A1062" s="2" t="s">
        <v>123</v>
      </c>
      <c r="B1062" s="2" t="s">
        <v>124</v>
      </c>
      <c r="C1062" s="2">
        <v>1998.0</v>
      </c>
      <c r="D1062" s="9">
        <v>677.0927</v>
      </c>
      <c r="E1062" s="10" t="str">
        <f t="array" ref="E1062">IFS(D1062&lt;=$G$3,'calculated data '!$A$3,D1062&lt;=$G$4,'calculated data '!$A$4,D1062&lt;=$G$6,'calculated data '!$A$5,D1062&gt;=$G$6,'calculated data '!$A$6)</f>
        <v>Low Demand Tier</v>
      </c>
      <c r="F1062" s="10">
        <f t="shared" si="1"/>
        <v>-0.6452489998</v>
      </c>
    </row>
    <row r="1063" ht="14.25" customHeight="1">
      <c r="A1063" s="2" t="s">
        <v>121</v>
      </c>
      <c r="B1063" s="2" t="s">
        <v>122</v>
      </c>
      <c r="C1063" s="2">
        <v>1999.0</v>
      </c>
      <c r="D1063" s="9">
        <v>680.25336</v>
      </c>
      <c r="E1063" s="10" t="str">
        <f t="array" ref="E1063">IFS(D1063&lt;=$G$3,'calculated data '!$A$3,D1063&lt;=$G$4,'calculated data '!$A$4,D1063&lt;=$G$6,'calculated data '!$A$5,D1063&gt;=$G$6,'calculated data '!$A$6)</f>
        <v>Low Demand Tier</v>
      </c>
      <c r="F1063" s="10">
        <f t="shared" si="1"/>
        <v>-0.6451653379</v>
      </c>
    </row>
    <row r="1064" ht="14.25" customHeight="1">
      <c r="A1064" s="2" t="s">
        <v>59</v>
      </c>
      <c r="B1064" s="2" t="s">
        <v>60</v>
      </c>
      <c r="C1064" s="2">
        <v>2011.0</v>
      </c>
      <c r="D1064" s="9">
        <v>682.32996</v>
      </c>
      <c r="E1064" s="10" t="str">
        <f t="array" ref="E1064">IFS(D1064&lt;=$G$3,'calculated data '!$A$3,D1064&lt;=$G$4,'calculated data '!$A$4,D1064&lt;=$G$6,'calculated data '!$A$5,D1064&gt;=$G$6,'calculated data '!$A$6)</f>
        <v>Low Demand Tier</v>
      </c>
      <c r="F1064" s="10">
        <f t="shared" si="1"/>
        <v>-0.6451103708</v>
      </c>
    </row>
    <row r="1065" ht="14.25" customHeight="1">
      <c r="A1065" s="2" t="s">
        <v>51</v>
      </c>
      <c r="B1065" s="2" t="s">
        <v>52</v>
      </c>
      <c r="C1065" s="2">
        <v>1988.0</v>
      </c>
      <c r="D1065" s="9">
        <v>682.4803</v>
      </c>
      <c r="E1065" s="10" t="str">
        <f t="array" ref="E1065">IFS(D1065&lt;=$G$3,'calculated data '!$A$3,D1065&lt;=$G$4,'calculated data '!$A$4,D1065&lt;=$G$6,'calculated data '!$A$5,D1065&gt;=$G$6,'calculated data '!$A$6)</f>
        <v>Low Demand Tier</v>
      </c>
      <c r="F1065" s="10">
        <f t="shared" si="1"/>
        <v>-0.6451063913</v>
      </c>
    </row>
    <row r="1066" ht="14.25" customHeight="1">
      <c r="A1066" s="2" t="s">
        <v>51</v>
      </c>
      <c r="B1066" s="2" t="s">
        <v>52</v>
      </c>
      <c r="C1066" s="2">
        <v>1989.0</v>
      </c>
      <c r="D1066" s="9">
        <v>683.18915</v>
      </c>
      <c r="E1066" s="10" t="str">
        <f t="array" ref="E1066">IFS(D1066&lt;=$G$3,'calculated data '!$A$3,D1066&lt;=$G$4,'calculated data '!$A$4,D1066&lt;=$G$6,'calculated data '!$A$5,D1066&gt;=$G$6,'calculated data '!$A$6)</f>
        <v>Low Demand Tier</v>
      </c>
      <c r="F1066" s="10">
        <f t="shared" si="1"/>
        <v>-0.6450876282</v>
      </c>
    </row>
    <row r="1067" ht="14.25" customHeight="1">
      <c r="A1067" s="2" t="s">
        <v>109</v>
      </c>
      <c r="B1067" s="2" t="s">
        <v>110</v>
      </c>
      <c r="C1067" s="2">
        <v>1992.0</v>
      </c>
      <c r="D1067" s="9">
        <v>684.63403</v>
      </c>
      <c r="E1067" s="10" t="str">
        <f t="array" ref="E1067">IFS(D1067&lt;=$G$3,'calculated data '!$A$3,D1067&lt;=$G$4,'calculated data '!$A$4,D1067&lt;=$G$6,'calculated data '!$A$5,D1067&gt;=$G$6,'calculated data '!$A$6)</f>
        <v>Low Demand Tier</v>
      </c>
      <c r="F1067" s="10">
        <f t="shared" si="1"/>
        <v>-0.6450493826</v>
      </c>
    </row>
    <row r="1068" ht="14.25" customHeight="1">
      <c r="A1068" s="2" t="s">
        <v>79</v>
      </c>
      <c r="B1068" s="2" t="s">
        <v>80</v>
      </c>
      <c r="C1068" s="2">
        <v>1997.0</v>
      </c>
      <c r="D1068" s="9">
        <v>684.69025</v>
      </c>
      <c r="E1068" s="10" t="str">
        <f t="array" ref="E1068">IFS(D1068&lt;=$G$3,'calculated data '!$A$3,D1068&lt;=$G$4,'calculated data '!$A$4,D1068&lt;=$G$6,'calculated data '!$A$5,D1068&gt;=$G$6,'calculated data '!$A$6)</f>
        <v>Low Demand Tier</v>
      </c>
      <c r="F1068" s="10">
        <f t="shared" si="1"/>
        <v>-0.6450478945</v>
      </c>
    </row>
    <row r="1069" ht="14.25" customHeight="1">
      <c r="A1069" s="2" t="s">
        <v>119</v>
      </c>
      <c r="B1069" s="2" t="s">
        <v>120</v>
      </c>
      <c r="C1069" s="2">
        <v>1984.0</v>
      </c>
      <c r="D1069" s="9">
        <v>684.8596</v>
      </c>
      <c r="E1069" s="10" t="str">
        <f t="array" ref="E1069">IFS(D1069&lt;=$G$3,'calculated data '!$A$3,D1069&lt;=$G$4,'calculated data '!$A$4,D1069&lt;=$G$6,'calculated data '!$A$5,D1069&gt;=$G$6,'calculated data '!$A$6)</f>
        <v>Low Demand Tier</v>
      </c>
      <c r="F1069" s="10">
        <f t="shared" si="1"/>
        <v>-0.6450434119</v>
      </c>
    </row>
    <row r="1070" ht="14.25" customHeight="1">
      <c r="A1070" s="2" t="s">
        <v>63</v>
      </c>
      <c r="B1070" s="2" t="s">
        <v>64</v>
      </c>
      <c r="C1070" s="2">
        <v>2024.0</v>
      </c>
      <c r="D1070" s="9">
        <v>685.70764</v>
      </c>
      <c r="E1070" s="10" t="str">
        <f t="array" ref="E1070">IFS(D1070&lt;=$G$3,'calculated data '!$A$3,D1070&lt;=$G$4,'calculated data '!$A$4,D1070&lt;=$G$6,'calculated data '!$A$5,D1070&gt;=$G$6,'calculated data '!$A$6)</f>
        <v>Low Demand Tier</v>
      </c>
      <c r="F1070" s="10">
        <f t="shared" si="1"/>
        <v>-0.6450209644</v>
      </c>
    </row>
    <row r="1071" ht="14.25" customHeight="1">
      <c r="A1071" s="2" t="s">
        <v>121</v>
      </c>
      <c r="B1071" s="2" t="s">
        <v>122</v>
      </c>
      <c r="C1071" s="2">
        <v>1992.0</v>
      </c>
      <c r="D1071" s="9">
        <v>686.1554</v>
      </c>
      <c r="E1071" s="10" t="str">
        <f t="array" ref="E1071">IFS(D1071&lt;=$G$3,'calculated data '!$A$3,D1071&lt;=$G$4,'calculated data '!$A$4,D1071&lt;=$G$6,'calculated data '!$A$5,D1071&gt;=$G$6,'calculated data '!$A$6)</f>
        <v>Low Demand Tier</v>
      </c>
      <c r="F1071" s="10">
        <f t="shared" si="1"/>
        <v>-0.6450091123</v>
      </c>
    </row>
    <row r="1072" ht="14.25" customHeight="1">
      <c r="A1072" s="2" t="s">
        <v>63</v>
      </c>
      <c r="B1072" s="2" t="s">
        <v>64</v>
      </c>
      <c r="C1072" s="2">
        <v>2023.0</v>
      </c>
      <c r="D1072" s="9">
        <v>686.2303</v>
      </c>
      <c r="E1072" s="10" t="str">
        <f t="array" ref="E1072">IFS(D1072&lt;=$G$3,'calculated data '!$A$3,D1072&lt;=$G$4,'calculated data '!$A$4,D1072&lt;=$G$6,'calculated data '!$A$5,D1072&gt;=$G$6,'calculated data '!$A$6)</f>
        <v>Low Demand Tier</v>
      </c>
      <c r="F1072" s="10">
        <f t="shared" si="1"/>
        <v>-0.6450071298</v>
      </c>
    </row>
    <row r="1073" ht="14.25" customHeight="1">
      <c r="A1073" s="2" t="s">
        <v>97</v>
      </c>
      <c r="B1073" s="2" t="s">
        <v>98</v>
      </c>
      <c r="C1073" s="2">
        <v>2002.0</v>
      </c>
      <c r="D1073" s="9">
        <v>687.18384</v>
      </c>
      <c r="E1073" s="10" t="str">
        <f t="array" ref="E1073">IFS(D1073&lt;=$G$3,'calculated data '!$A$3,D1073&lt;=$G$4,'calculated data '!$A$4,D1073&lt;=$G$6,'calculated data '!$A$5,D1073&gt;=$G$6,'calculated data '!$A$6)</f>
        <v>Low Demand Tier</v>
      </c>
      <c r="F1073" s="10">
        <f t="shared" si="1"/>
        <v>-0.6449818898</v>
      </c>
    </row>
    <row r="1074" ht="14.25" customHeight="1">
      <c r="A1074" s="2" t="s">
        <v>63</v>
      </c>
      <c r="B1074" s="2" t="s">
        <v>64</v>
      </c>
      <c r="C1074" s="2">
        <v>2019.0</v>
      </c>
      <c r="D1074" s="9">
        <v>688.2325</v>
      </c>
      <c r="E1074" s="10" t="str">
        <f t="array" ref="E1074">IFS(D1074&lt;=$G$3,'calculated data '!$A$3,D1074&lt;=$G$4,'calculated data '!$A$4,D1074&lt;=$G$6,'calculated data '!$A$5,D1074&gt;=$G$6,'calculated data '!$A$6)</f>
        <v>Low Demand Tier</v>
      </c>
      <c r="F1074" s="10">
        <f t="shared" si="1"/>
        <v>-0.644954132</v>
      </c>
    </row>
    <row r="1075" ht="14.25" customHeight="1">
      <c r="A1075" s="2" t="s">
        <v>125</v>
      </c>
      <c r="B1075" s="2" t="s">
        <v>126</v>
      </c>
      <c r="C1075" s="2">
        <v>1997.0</v>
      </c>
      <c r="D1075" s="9">
        <v>688.6571</v>
      </c>
      <c r="E1075" s="10" t="str">
        <f t="array" ref="E1075">IFS(D1075&lt;=$G$3,'calculated data '!$A$3,D1075&lt;=$G$4,'calculated data '!$A$4,D1075&lt;=$G$6,'calculated data '!$A$5,D1075&gt;=$G$6,'calculated data '!$A$6)</f>
        <v>Low Demand Tier</v>
      </c>
      <c r="F1075" s="10">
        <f t="shared" si="1"/>
        <v>-0.644942893</v>
      </c>
    </row>
    <row r="1076" ht="14.25" customHeight="1">
      <c r="A1076" s="2" t="s">
        <v>125</v>
      </c>
      <c r="B1076" s="2" t="s">
        <v>126</v>
      </c>
      <c r="C1076" s="2">
        <v>1993.0</v>
      </c>
      <c r="D1076" s="9">
        <v>688.95856</v>
      </c>
      <c r="E1076" s="10" t="str">
        <f t="array" ref="E1076">IFS(D1076&lt;=$G$3,'calculated data '!$A$3,D1076&lt;=$G$4,'calculated data '!$A$4,D1076&lt;=$G$6,'calculated data '!$A$5,D1076&gt;=$G$6,'calculated data '!$A$6)</f>
        <v>Low Demand Tier</v>
      </c>
      <c r="F1076" s="10">
        <f t="shared" si="1"/>
        <v>-0.6449349134</v>
      </c>
    </row>
    <row r="1077" ht="14.25" customHeight="1">
      <c r="A1077" s="2" t="s">
        <v>123</v>
      </c>
      <c r="B1077" s="2" t="s">
        <v>124</v>
      </c>
      <c r="C1077" s="2">
        <v>1996.0</v>
      </c>
      <c r="D1077" s="9">
        <v>689.2215</v>
      </c>
      <c r="E1077" s="10" t="str">
        <f t="array" ref="E1077">IFS(D1077&lt;=$G$3,'calculated data '!$A$3,D1077&lt;=$G$4,'calculated data '!$A$4,D1077&lt;=$G$6,'calculated data '!$A$5,D1077&gt;=$G$6,'calculated data '!$A$6)</f>
        <v>Low Demand Tier</v>
      </c>
      <c r="F1077" s="10">
        <f t="shared" si="1"/>
        <v>-0.6449279534</v>
      </c>
    </row>
    <row r="1078" ht="14.25" customHeight="1">
      <c r="A1078" s="2" t="s">
        <v>105</v>
      </c>
      <c r="B1078" s="2" t="s">
        <v>106</v>
      </c>
      <c r="C1078" s="2">
        <v>2013.0</v>
      </c>
      <c r="D1078" s="9">
        <v>690.48145</v>
      </c>
      <c r="E1078" s="10" t="str">
        <f t="array" ref="E1078">IFS(D1078&lt;=$G$3,'calculated data '!$A$3,D1078&lt;=$G$4,'calculated data '!$A$4,D1078&lt;=$G$6,'calculated data '!$A$5,D1078&gt;=$G$6,'calculated data '!$A$6)</f>
        <v>Low Demand Tier</v>
      </c>
      <c r="F1078" s="10">
        <f t="shared" si="1"/>
        <v>-0.6448946029</v>
      </c>
    </row>
    <row r="1079" ht="14.25" customHeight="1">
      <c r="A1079" s="2" t="s">
        <v>109</v>
      </c>
      <c r="B1079" s="2" t="s">
        <v>110</v>
      </c>
      <c r="C1079" s="2">
        <v>1991.0</v>
      </c>
      <c r="D1079" s="9">
        <v>691.586</v>
      </c>
      <c r="E1079" s="10" t="str">
        <f t="array" ref="E1079">IFS(D1079&lt;=$G$3,'calculated data '!$A$3,D1079&lt;=$G$4,'calculated data '!$A$4,D1079&lt;=$G$6,'calculated data '!$A$5,D1079&gt;=$G$6,'calculated data '!$A$6)</f>
        <v>Low Demand Tier</v>
      </c>
      <c r="F1079" s="10">
        <f t="shared" si="1"/>
        <v>-0.6448653657</v>
      </c>
    </row>
    <row r="1080" ht="14.25" customHeight="1">
      <c r="A1080" s="2" t="s">
        <v>61</v>
      </c>
      <c r="B1080" s="2" t="s">
        <v>62</v>
      </c>
      <c r="C1080" s="2">
        <v>2013.0</v>
      </c>
      <c r="D1080" s="9">
        <v>692.09766</v>
      </c>
      <c r="E1080" s="10" t="str">
        <f t="array" ref="E1080">IFS(D1080&lt;=$G$3,'calculated data '!$A$3,D1080&lt;=$G$4,'calculated data '!$A$4,D1080&lt;=$G$6,'calculated data '!$A$5,D1080&gt;=$G$6,'calculated data '!$A$6)</f>
        <v>Low Demand Tier</v>
      </c>
      <c r="F1080" s="10">
        <f t="shared" si="1"/>
        <v>-0.6448518222</v>
      </c>
    </row>
    <row r="1081" ht="14.25" customHeight="1">
      <c r="A1081" s="2" t="s">
        <v>123</v>
      </c>
      <c r="B1081" s="2" t="s">
        <v>124</v>
      </c>
      <c r="C1081" s="2">
        <v>1997.0</v>
      </c>
      <c r="D1081" s="9">
        <v>692.3646</v>
      </c>
      <c r="E1081" s="10" t="str">
        <f t="array" ref="E1081">IFS(D1081&lt;=$G$3,'calculated data '!$A$3,D1081&lt;=$G$4,'calculated data '!$A$4,D1081&lt;=$G$6,'calculated data '!$A$5,D1081&gt;=$G$6,'calculated data '!$A$6)</f>
        <v>Low Demand Tier</v>
      </c>
      <c r="F1081" s="10">
        <f t="shared" si="1"/>
        <v>-0.6448447564</v>
      </c>
    </row>
    <row r="1082" ht="14.25" customHeight="1">
      <c r="A1082" s="2" t="s">
        <v>107</v>
      </c>
      <c r="B1082" s="2" t="s">
        <v>108</v>
      </c>
      <c r="C1082" s="2">
        <v>2024.0</v>
      </c>
      <c r="D1082" s="9">
        <v>692.5512</v>
      </c>
      <c r="E1082" s="10" t="str">
        <f t="array" ref="E1082">IFS(D1082&lt;=$G$3,'calculated data '!$A$3,D1082&lt;=$G$4,'calculated data '!$A$4,D1082&lt;=$G$6,'calculated data '!$A$5,D1082&gt;=$G$6,'calculated data '!$A$6)</f>
        <v>Low Demand Tier</v>
      </c>
      <c r="F1082" s="10">
        <f t="shared" si="1"/>
        <v>-0.6448398171</v>
      </c>
    </row>
    <row r="1083" ht="14.25" customHeight="1">
      <c r="A1083" s="2" t="s">
        <v>121</v>
      </c>
      <c r="B1083" s="2" t="s">
        <v>122</v>
      </c>
      <c r="C1083" s="2">
        <v>1996.0</v>
      </c>
      <c r="D1083" s="9">
        <v>695.2976</v>
      </c>
      <c r="E1083" s="10" t="str">
        <f t="array" ref="E1083">IFS(D1083&lt;=$G$3,'calculated data '!$A$3,D1083&lt;=$G$4,'calculated data '!$A$4,D1083&lt;=$G$6,'calculated data '!$A$5,D1083&gt;=$G$6,'calculated data '!$A$6)</f>
        <v>Low Demand Tier</v>
      </c>
      <c r="F1083" s="10">
        <f t="shared" si="1"/>
        <v>-0.6447671206</v>
      </c>
    </row>
    <row r="1084" ht="14.25" customHeight="1">
      <c r="A1084" s="2" t="s">
        <v>113</v>
      </c>
      <c r="B1084" s="2" t="s">
        <v>114</v>
      </c>
      <c r="C1084" s="2">
        <v>1994.0</v>
      </c>
      <c r="D1084" s="9">
        <v>696.46216</v>
      </c>
      <c r="E1084" s="10" t="str">
        <f t="array" ref="E1084">IFS(D1084&lt;=$G$3,'calculated data '!$A$3,D1084&lt;=$G$4,'calculated data '!$A$4,D1084&lt;=$G$6,'calculated data '!$A$5,D1084&gt;=$G$6,'calculated data '!$A$6)</f>
        <v>Low Demand Tier</v>
      </c>
      <c r="F1084" s="10">
        <f t="shared" si="1"/>
        <v>-0.644736295</v>
      </c>
    </row>
    <row r="1085" ht="14.25" customHeight="1">
      <c r="A1085" s="2" t="s">
        <v>117</v>
      </c>
      <c r="B1085" s="2" t="s">
        <v>118</v>
      </c>
      <c r="C1085" s="2">
        <v>2010.0</v>
      </c>
      <c r="D1085" s="9">
        <v>697.40344</v>
      </c>
      <c r="E1085" s="10" t="str">
        <f t="array" ref="E1085">IFS(D1085&lt;=$G$3,'calculated data '!$A$3,D1085&lt;=$G$4,'calculated data '!$A$4,D1085&lt;=$G$6,'calculated data '!$A$5,D1085&gt;=$G$6,'calculated data '!$A$6)</f>
        <v>Low Demand Tier</v>
      </c>
      <c r="F1085" s="10">
        <f t="shared" si="1"/>
        <v>-0.6447113795</v>
      </c>
    </row>
    <row r="1086" ht="14.25" customHeight="1">
      <c r="A1086" s="2" t="s">
        <v>107</v>
      </c>
      <c r="B1086" s="2" t="s">
        <v>108</v>
      </c>
      <c r="C1086" s="2">
        <v>2020.0</v>
      </c>
      <c r="D1086" s="9">
        <v>697.8803</v>
      </c>
      <c r="E1086" s="10" t="str">
        <f t="array" ref="E1086">IFS(D1086&lt;=$G$3,'calculated data '!$A$3,D1086&lt;=$G$4,'calculated data '!$A$4,D1086&lt;=$G$6,'calculated data '!$A$5,D1086&gt;=$G$6,'calculated data '!$A$6)</f>
        <v>Low Demand Tier</v>
      </c>
      <c r="F1086" s="10">
        <f t="shared" si="1"/>
        <v>-0.6446987572</v>
      </c>
    </row>
    <row r="1087" ht="14.25" customHeight="1">
      <c r="A1087" s="2" t="s">
        <v>117</v>
      </c>
      <c r="B1087" s="2" t="s">
        <v>118</v>
      </c>
      <c r="C1087" s="2">
        <v>2011.0</v>
      </c>
      <c r="D1087" s="9">
        <v>697.9694</v>
      </c>
      <c r="E1087" s="10" t="str">
        <f t="array" ref="E1087">IFS(D1087&lt;=$G$3,'calculated data '!$A$3,D1087&lt;=$G$4,'calculated data '!$A$4,D1087&lt;=$G$6,'calculated data '!$A$5,D1087&gt;=$G$6,'calculated data '!$A$6)</f>
        <v>Low Demand Tier</v>
      </c>
      <c r="F1087" s="10">
        <f t="shared" si="1"/>
        <v>-0.6446963987</v>
      </c>
    </row>
    <row r="1088" ht="14.25" customHeight="1">
      <c r="A1088" s="2" t="s">
        <v>119</v>
      </c>
      <c r="B1088" s="2" t="s">
        <v>120</v>
      </c>
      <c r="C1088" s="2">
        <v>1983.0</v>
      </c>
      <c r="D1088" s="9">
        <v>698.0217</v>
      </c>
      <c r="E1088" s="10" t="str">
        <f t="array" ref="E1088">IFS(D1088&lt;=$G$3,'calculated data '!$A$3,D1088&lt;=$G$4,'calculated data '!$A$4,D1088&lt;=$G$6,'calculated data '!$A$5,D1088&gt;=$G$6,'calculated data '!$A$6)</f>
        <v>Low Demand Tier</v>
      </c>
      <c r="F1088" s="10">
        <f t="shared" si="1"/>
        <v>-0.6446950143</v>
      </c>
    </row>
    <row r="1089" ht="14.25" customHeight="1">
      <c r="A1089" s="2" t="s">
        <v>109</v>
      </c>
      <c r="B1089" s="2" t="s">
        <v>110</v>
      </c>
      <c r="C1089" s="2">
        <v>2003.0</v>
      </c>
      <c r="D1089" s="9">
        <v>698.4344</v>
      </c>
      <c r="E1089" s="10" t="str">
        <f t="array" ref="E1089">IFS(D1089&lt;=$G$3,'calculated data '!$A$3,D1089&lt;=$G$4,'calculated data '!$A$4,D1089&lt;=$G$6,'calculated data '!$A$5,D1089&gt;=$G$6,'calculated data '!$A$6)</f>
        <v>Low Demand Tier</v>
      </c>
      <c r="F1089" s="10">
        <f t="shared" si="1"/>
        <v>-0.6446840903</v>
      </c>
    </row>
    <row r="1090" ht="14.25" customHeight="1">
      <c r="A1090" s="2" t="s">
        <v>119</v>
      </c>
      <c r="B1090" s="2" t="s">
        <v>120</v>
      </c>
      <c r="C1090" s="2">
        <v>1994.0</v>
      </c>
      <c r="D1090" s="9">
        <v>698.7599</v>
      </c>
      <c r="E1090" s="10" t="str">
        <f t="array" ref="E1090">IFS(D1090&lt;=$G$3,'calculated data '!$A$3,D1090&lt;=$G$4,'calculated data '!$A$4,D1090&lt;=$G$6,'calculated data '!$A$5,D1090&gt;=$G$6,'calculated data '!$A$6)</f>
        <v>Low Demand Tier</v>
      </c>
      <c r="F1090" s="10">
        <f t="shared" si="1"/>
        <v>-0.6446754744</v>
      </c>
    </row>
    <row r="1091" ht="14.25" customHeight="1">
      <c r="A1091" s="2" t="s">
        <v>119</v>
      </c>
      <c r="B1091" s="2" t="s">
        <v>120</v>
      </c>
      <c r="C1091" s="2">
        <v>1991.0</v>
      </c>
      <c r="D1091" s="9">
        <v>699.27484</v>
      </c>
      <c r="E1091" s="10" t="str">
        <f t="array" ref="E1091">IFS(D1091&lt;=$G$3,'calculated data '!$A$3,D1091&lt;=$G$4,'calculated data '!$A$4,D1091&lt;=$G$6,'calculated data '!$A$5,D1091&gt;=$G$6,'calculated data '!$A$6)</f>
        <v>Low Demand Tier</v>
      </c>
      <c r="F1091" s="10">
        <f t="shared" si="1"/>
        <v>-0.644661844</v>
      </c>
    </row>
    <row r="1092" ht="14.25" customHeight="1">
      <c r="A1092" s="2" t="s">
        <v>121</v>
      </c>
      <c r="B1092" s="2" t="s">
        <v>122</v>
      </c>
      <c r="C1092" s="2">
        <v>1998.0</v>
      </c>
      <c r="D1092" s="9">
        <v>699.41394</v>
      </c>
      <c r="E1092" s="10" t="str">
        <f t="array" ref="E1092">IFS(D1092&lt;=$G$3,'calculated data '!$A$3,D1092&lt;=$G$4,'calculated data '!$A$4,D1092&lt;=$G$6,'calculated data '!$A$5,D1092&gt;=$G$6,'calculated data '!$A$6)</f>
        <v>Low Demand Tier</v>
      </c>
      <c r="F1092" s="10">
        <f t="shared" si="1"/>
        <v>-0.6446581621</v>
      </c>
    </row>
    <row r="1093" ht="14.25" customHeight="1">
      <c r="A1093" s="2" t="s">
        <v>119</v>
      </c>
      <c r="B1093" s="2" t="s">
        <v>120</v>
      </c>
      <c r="C1093" s="2">
        <v>1992.0</v>
      </c>
      <c r="D1093" s="9">
        <v>699.78894</v>
      </c>
      <c r="E1093" s="10" t="str">
        <f t="array" ref="E1093">IFS(D1093&lt;=$G$3,'calculated data '!$A$3,D1093&lt;=$G$4,'calculated data '!$A$4,D1093&lt;=$G$6,'calculated data '!$A$5,D1093&gt;=$G$6,'calculated data '!$A$6)</f>
        <v>Low Demand Tier</v>
      </c>
      <c r="F1093" s="10">
        <f t="shared" si="1"/>
        <v>-0.6446482359</v>
      </c>
    </row>
    <row r="1094" ht="14.25" customHeight="1">
      <c r="A1094" s="2" t="s">
        <v>119</v>
      </c>
      <c r="B1094" s="2" t="s">
        <v>120</v>
      </c>
      <c r="C1094" s="2">
        <v>1982.0</v>
      </c>
      <c r="D1094" s="9">
        <v>699.9894</v>
      </c>
      <c r="E1094" s="10" t="str">
        <f t="array" ref="E1094">IFS(D1094&lt;=$G$3,'calculated data '!$A$3,D1094&lt;=$G$4,'calculated data '!$A$4,D1094&lt;=$G$6,'calculated data '!$A$5,D1094&gt;=$G$6,'calculated data '!$A$6)</f>
        <v>Low Demand Tier</v>
      </c>
      <c r="F1094" s="10">
        <f t="shared" si="1"/>
        <v>-0.6446429298</v>
      </c>
    </row>
    <row r="1095" ht="14.25" customHeight="1">
      <c r="A1095" s="2" t="s">
        <v>123</v>
      </c>
      <c r="B1095" s="2" t="s">
        <v>124</v>
      </c>
      <c r="C1095" s="2">
        <v>1995.0</v>
      </c>
      <c r="D1095" s="9">
        <v>700.55237</v>
      </c>
      <c r="E1095" s="10" t="str">
        <f t="array" ref="E1095">IFS(D1095&lt;=$G$3,'calculated data '!$A$3,D1095&lt;=$G$4,'calculated data '!$A$4,D1095&lt;=$G$6,'calculated data '!$A$5,D1095&gt;=$G$6,'calculated data '!$A$6)</f>
        <v>Low Demand Tier</v>
      </c>
      <c r="F1095" s="10">
        <f t="shared" si="1"/>
        <v>-0.6446280281</v>
      </c>
    </row>
    <row r="1096" ht="14.25" customHeight="1">
      <c r="A1096" s="2" t="s">
        <v>119</v>
      </c>
      <c r="B1096" s="2" t="s">
        <v>120</v>
      </c>
      <c r="C1096" s="2">
        <v>1981.0</v>
      </c>
      <c r="D1096" s="9">
        <v>701.95514</v>
      </c>
      <c r="E1096" s="10" t="str">
        <f t="array" ref="E1096">IFS(D1096&lt;=$G$3,'calculated data '!$A$3,D1096&lt;=$G$4,'calculated data '!$A$4,D1096&lt;=$G$6,'calculated data '!$A$5,D1096&gt;=$G$6,'calculated data '!$A$6)</f>
        <v>Low Demand Tier</v>
      </c>
      <c r="F1096" s="10">
        <f t="shared" si="1"/>
        <v>-0.6445908972</v>
      </c>
    </row>
    <row r="1097" ht="14.25" customHeight="1">
      <c r="A1097" s="2" t="s">
        <v>125</v>
      </c>
      <c r="B1097" s="2" t="s">
        <v>126</v>
      </c>
      <c r="C1097" s="2">
        <v>1987.0</v>
      </c>
      <c r="D1097" s="9">
        <v>702.64417</v>
      </c>
      <c r="E1097" s="10" t="str">
        <f t="array" ref="E1097">IFS(D1097&lt;=$G$3,'calculated data '!$A$3,D1097&lt;=$G$4,'calculated data '!$A$4,D1097&lt;=$G$6,'calculated data '!$A$5,D1097&gt;=$G$6,'calculated data '!$A$6)</f>
        <v>Low Demand Tier</v>
      </c>
      <c r="F1097" s="10">
        <f t="shared" si="1"/>
        <v>-0.6445726587</v>
      </c>
    </row>
    <row r="1098" ht="14.25" customHeight="1">
      <c r="A1098" s="2" t="s">
        <v>93</v>
      </c>
      <c r="B1098" s="2" t="s">
        <v>94</v>
      </c>
      <c r="C1098" s="2">
        <v>1996.0</v>
      </c>
      <c r="D1098" s="9">
        <v>703.5679</v>
      </c>
      <c r="E1098" s="10" t="str">
        <f t="array" ref="E1098">IFS(D1098&lt;=$G$3,'calculated data '!$A$3,D1098&lt;=$G$4,'calculated data '!$A$4,D1098&lt;=$G$6,'calculated data '!$A$5,D1098&gt;=$G$6,'calculated data '!$A$6)</f>
        <v>Low Demand Tier</v>
      </c>
      <c r="F1098" s="10">
        <f t="shared" si="1"/>
        <v>-0.6445482078</v>
      </c>
    </row>
    <row r="1099" ht="14.25" customHeight="1">
      <c r="A1099" s="2" t="s">
        <v>125</v>
      </c>
      <c r="B1099" s="2" t="s">
        <v>126</v>
      </c>
      <c r="C1099" s="2">
        <v>1998.0</v>
      </c>
      <c r="D1099" s="9">
        <v>705.6383</v>
      </c>
      <c r="E1099" s="10" t="str">
        <f t="array" ref="E1099">IFS(D1099&lt;=$G$3,'calculated data '!$A$3,D1099&lt;=$G$4,'calculated data '!$A$4,D1099&lt;=$G$6,'calculated data '!$A$5,D1099&gt;=$G$6,'calculated data '!$A$6)</f>
        <v>Low Demand Tier</v>
      </c>
      <c r="F1099" s="10">
        <f t="shared" si="1"/>
        <v>-0.6444934048</v>
      </c>
    </row>
    <row r="1100" ht="14.25" customHeight="1">
      <c r="A1100" s="2" t="s">
        <v>125</v>
      </c>
      <c r="B1100" s="2" t="s">
        <v>126</v>
      </c>
      <c r="C1100" s="2">
        <v>1988.0</v>
      </c>
      <c r="D1100" s="9">
        <v>706.3905</v>
      </c>
      <c r="E1100" s="10" t="str">
        <f t="array" ref="E1100">IFS(D1100&lt;=$G$3,'calculated data '!$A$3,D1100&lt;=$G$4,'calculated data '!$A$4,D1100&lt;=$G$6,'calculated data '!$A$5,D1100&gt;=$G$6,'calculated data '!$A$6)</f>
        <v>Low Demand Tier</v>
      </c>
      <c r="F1100" s="10">
        <f t="shared" si="1"/>
        <v>-0.6444734943</v>
      </c>
    </row>
    <row r="1101" ht="14.25" customHeight="1">
      <c r="A1101" s="2" t="s">
        <v>121</v>
      </c>
      <c r="B1101" s="2" t="s">
        <v>122</v>
      </c>
      <c r="C1101" s="2">
        <v>2020.0</v>
      </c>
      <c r="D1101" s="9">
        <v>707.1156</v>
      </c>
      <c r="E1101" s="10" t="str">
        <f t="array" ref="E1101">IFS(D1101&lt;=$G$3,'calculated data '!$A$3,D1101&lt;=$G$4,'calculated data '!$A$4,D1101&lt;=$G$6,'calculated data '!$A$5,D1101&gt;=$G$6,'calculated data '!$A$6)</f>
        <v>Low Demand Tier</v>
      </c>
      <c r="F1101" s="10">
        <f t="shared" si="1"/>
        <v>-0.6444543011</v>
      </c>
    </row>
    <row r="1102" ht="14.25" customHeight="1">
      <c r="A1102" s="2" t="s">
        <v>123</v>
      </c>
      <c r="B1102" s="2" t="s">
        <v>124</v>
      </c>
      <c r="C1102" s="2">
        <v>1999.0</v>
      </c>
      <c r="D1102" s="9">
        <v>707.75494</v>
      </c>
      <c r="E1102" s="10" t="str">
        <f t="array" ref="E1102">IFS(D1102&lt;=$G$3,'calculated data '!$A$3,D1102&lt;=$G$4,'calculated data '!$A$4,D1102&lt;=$G$6,'calculated data '!$A$5,D1102&gt;=$G$6,'calculated data '!$A$6)</f>
        <v>Low Demand Tier</v>
      </c>
      <c r="F1102" s="10">
        <f t="shared" si="1"/>
        <v>-0.6444373779</v>
      </c>
    </row>
    <row r="1103" ht="14.25" customHeight="1">
      <c r="A1103" s="2" t="s">
        <v>125</v>
      </c>
      <c r="B1103" s="2" t="s">
        <v>126</v>
      </c>
      <c r="C1103" s="2">
        <v>1996.0</v>
      </c>
      <c r="D1103" s="9">
        <v>708.93787</v>
      </c>
      <c r="E1103" s="10" t="str">
        <f t="array" ref="E1103">IFS(D1103&lt;=$G$3,'calculated data '!$A$3,D1103&lt;=$G$4,'calculated data '!$A$4,D1103&lt;=$G$6,'calculated data '!$A$5,D1103&gt;=$G$6,'calculated data '!$A$6)</f>
        <v>Low Demand Tier</v>
      </c>
      <c r="F1103" s="10">
        <f t="shared" si="1"/>
        <v>-0.644406066</v>
      </c>
    </row>
    <row r="1104" ht="14.25" customHeight="1">
      <c r="A1104" s="2" t="s">
        <v>79</v>
      </c>
      <c r="B1104" s="2" t="s">
        <v>80</v>
      </c>
      <c r="C1104" s="2">
        <v>2000.0</v>
      </c>
      <c r="D1104" s="9">
        <v>711.5704</v>
      </c>
      <c r="E1104" s="10" t="str">
        <f t="array" ref="E1104">IFS(D1104&lt;=$G$3,'calculated data '!$A$3,D1104&lt;=$G$4,'calculated data '!$A$4,D1104&lt;=$G$6,'calculated data '!$A$5,D1104&gt;=$G$6,'calculated data '!$A$6)</f>
        <v>Low Demand Tier</v>
      </c>
      <c r="F1104" s="10">
        <f t="shared" si="1"/>
        <v>-0.6443363836</v>
      </c>
    </row>
    <row r="1105" ht="14.25" customHeight="1">
      <c r="A1105" s="2" t="s">
        <v>115</v>
      </c>
      <c r="B1105" s="2" t="s">
        <v>116</v>
      </c>
      <c r="C1105" s="2">
        <v>2019.0</v>
      </c>
      <c r="D1105" s="9">
        <v>711.7973</v>
      </c>
      <c r="E1105" s="10" t="str">
        <f t="array" ref="E1105">IFS(D1105&lt;=$G$3,'calculated data '!$A$3,D1105&lt;=$G$4,'calculated data '!$A$4,D1105&lt;=$G$6,'calculated data '!$A$5,D1105&gt;=$G$6,'calculated data '!$A$6)</f>
        <v>Low Demand Tier</v>
      </c>
      <c r="F1105" s="10">
        <f t="shared" si="1"/>
        <v>-0.6443303776</v>
      </c>
    </row>
    <row r="1106" ht="14.25" customHeight="1">
      <c r="A1106" s="2" t="s">
        <v>119</v>
      </c>
      <c r="B1106" s="2" t="s">
        <v>120</v>
      </c>
      <c r="C1106" s="2">
        <v>1993.0</v>
      </c>
      <c r="D1106" s="9">
        <v>711.86163</v>
      </c>
      <c r="E1106" s="10" t="str">
        <f t="array" ref="E1106">IFS(D1106&lt;=$G$3,'calculated data '!$A$3,D1106&lt;=$G$4,'calculated data '!$A$4,D1106&lt;=$G$6,'calculated data '!$A$5,D1106&gt;=$G$6,'calculated data '!$A$6)</f>
        <v>Low Demand Tier</v>
      </c>
      <c r="F1106" s="10">
        <f t="shared" si="1"/>
        <v>-0.6443286748</v>
      </c>
    </row>
    <row r="1107" ht="14.25" customHeight="1">
      <c r="A1107" s="2" t="s">
        <v>95</v>
      </c>
      <c r="B1107" s="2" t="s">
        <v>96</v>
      </c>
      <c r="C1107" s="2">
        <v>1998.0</v>
      </c>
      <c r="D1107" s="9">
        <v>711.9849</v>
      </c>
      <c r="E1107" s="10" t="str">
        <f t="array" ref="E1107">IFS(D1107&lt;=$G$3,'calculated data '!$A$3,D1107&lt;=$G$4,'calculated data '!$A$4,D1107&lt;=$G$6,'calculated data '!$A$5,D1107&gt;=$G$6,'calculated data '!$A$6)</f>
        <v>Low Demand Tier</v>
      </c>
      <c r="F1107" s="10">
        <f t="shared" si="1"/>
        <v>-0.6443254119</v>
      </c>
    </row>
    <row r="1108" ht="14.25" customHeight="1">
      <c r="A1108" s="2" t="s">
        <v>121</v>
      </c>
      <c r="B1108" s="2" t="s">
        <v>122</v>
      </c>
      <c r="C1108" s="2">
        <v>1993.0</v>
      </c>
      <c r="D1108" s="9">
        <v>712.104</v>
      </c>
      <c r="E1108" s="10" t="str">
        <f t="array" ref="E1108">IFS(D1108&lt;=$G$3,'calculated data '!$A$3,D1108&lt;=$G$4,'calculated data '!$A$4,D1108&lt;=$G$6,'calculated data '!$A$5,D1108&gt;=$G$6,'calculated data '!$A$6)</f>
        <v>Low Demand Tier</v>
      </c>
      <c r="F1108" s="10">
        <f t="shared" si="1"/>
        <v>-0.6443222594</v>
      </c>
    </row>
    <row r="1109" ht="14.25" customHeight="1">
      <c r="A1109" s="2" t="s">
        <v>121</v>
      </c>
      <c r="B1109" s="2" t="s">
        <v>122</v>
      </c>
      <c r="C1109" s="2">
        <v>1991.0</v>
      </c>
      <c r="D1109" s="9">
        <v>712.69305</v>
      </c>
      <c r="E1109" s="10" t="str">
        <f t="array" ref="E1109">IFS(D1109&lt;=$G$3,'calculated data '!$A$3,D1109&lt;=$G$4,'calculated data '!$A$4,D1109&lt;=$G$6,'calculated data '!$A$5,D1109&gt;=$G$6,'calculated data '!$A$6)</f>
        <v>Low Demand Tier</v>
      </c>
      <c r="F1109" s="10">
        <f t="shared" si="1"/>
        <v>-0.6443066674</v>
      </c>
    </row>
    <row r="1110" ht="14.25" customHeight="1">
      <c r="A1110" s="2" t="s">
        <v>21</v>
      </c>
      <c r="B1110" s="2" t="s">
        <v>22</v>
      </c>
      <c r="C1110" s="2">
        <v>1993.0</v>
      </c>
      <c r="D1110" s="9">
        <v>713.14844</v>
      </c>
      <c r="E1110" s="10" t="str">
        <f t="array" ref="E1110">IFS(D1110&lt;=$G$3,'calculated data '!$A$3,D1110&lt;=$G$4,'calculated data '!$A$4,D1110&lt;=$G$6,'calculated data '!$A$5,D1110&gt;=$G$6,'calculated data '!$A$6)</f>
        <v>Low Demand Tier</v>
      </c>
      <c r="F1110" s="10">
        <f t="shared" si="1"/>
        <v>-0.6442946133</v>
      </c>
    </row>
    <row r="1111" ht="14.25" customHeight="1">
      <c r="A1111" s="2" t="s">
        <v>115</v>
      </c>
      <c r="B1111" s="2" t="s">
        <v>116</v>
      </c>
      <c r="C1111" s="2">
        <v>2016.0</v>
      </c>
      <c r="D1111" s="9">
        <v>713.2761</v>
      </c>
      <c r="E1111" s="10" t="str">
        <f t="array" ref="E1111">IFS(D1111&lt;=$G$3,'calculated data '!$A$3,D1111&lt;=$G$4,'calculated data '!$A$4,D1111&lt;=$G$6,'calculated data '!$A$5,D1111&gt;=$G$6,'calculated data '!$A$6)</f>
        <v>Low Demand Tier</v>
      </c>
      <c r="F1111" s="10">
        <f t="shared" si="1"/>
        <v>-0.6442912342</v>
      </c>
    </row>
    <row r="1112" ht="14.25" customHeight="1">
      <c r="A1112" s="2" t="s">
        <v>117</v>
      </c>
      <c r="B1112" s="2" t="s">
        <v>118</v>
      </c>
      <c r="C1112" s="2">
        <v>2009.0</v>
      </c>
      <c r="D1112" s="9">
        <v>713.4375</v>
      </c>
      <c r="E1112" s="10" t="str">
        <f t="array" ref="E1112">IFS(D1112&lt;=$G$3,'calculated data '!$A$3,D1112&lt;=$G$4,'calculated data '!$A$4,D1112&lt;=$G$6,'calculated data '!$A$5,D1112&gt;=$G$6,'calculated data '!$A$6)</f>
        <v>Low Demand Tier</v>
      </c>
      <c r="F1112" s="10">
        <f t="shared" si="1"/>
        <v>-0.644286962</v>
      </c>
    </row>
    <row r="1113" ht="14.25" customHeight="1">
      <c r="A1113" s="2" t="s">
        <v>121</v>
      </c>
      <c r="B1113" s="2" t="s">
        <v>122</v>
      </c>
      <c r="C1113" s="2">
        <v>1995.0</v>
      </c>
      <c r="D1113" s="9">
        <v>713.77203</v>
      </c>
      <c r="E1113" s="10" t="str">
        <f t="array" ref="E1113">IFS(D1113&lt;=$G$3,'calculated data '!$A$3,D1113&lt;=$G$4,'calculated data '!$A$4,D1113&lt;=$G$6,'calculated data '!$A$5,D1113&gt;=$G$6,'calculated data '!$A$6)</f>
        <v>Low Demand Tier</v>
      </c>
      <c r="F1113" s="10">
        <f t="shared" si="1"/>
        <v>-0.644278107</v>
      </c>
    </row>
    <row r="1114" ht="14.25" customHeight="1">
      <c r="A1114" s="2" t="s">
        <v>65</v>
      </c>
      <c r="B1114" s="2" t="s">
        <v>66</v>
      </c>
      <c r="C1114" s="2">
        <v>1982.0</v>
      </c>
      <c r="D1114" s="9">
        <v>717.7664</v>
      </c>
      <c r="E1114" s="10" t="str">
        <f t="array" ref="E1114">IFS(D1114&lt;=$G$3,'calculated data '!$A$3,D1114&lt;=$G$4,'calculated data '!$A$4,D1114&lt;=$G$6,'calculated data '!$A$5,D1114&gt;=$G$6,'calculated data '!$A$6)</f>
        <v>Low Demand Tier</v>
      </c>
      <c r="F1114" s="10">
        <f t="shared" si="1"/>
        <v>-0.6441723771</v>
      </c>
    </row>
    <row r="1115" ht="14.25" customHeight="1">
      <c r="A1115" s="2" t="s">
        <v>109</v>
      </c>
      <c r="B1115" s="2" t="s">
        <v>110</v>
      </c>
      <c r="C1115" s="2">
        <v>2019.0</v>
      </c>
      <c r="D1115" s="9">
        <v>718.29877</v>
      </c>
      <c r="E1115" s="10" t="str">
        <f t="array" ref="E1115">IFS(D1115&lt;=$G$3,'calculated data '!$A$3,D1115&lt;=$G$4,'calculated data '!$A$4,D1115&lt;=$G$6,'calculated data '!$A$5,D1115&gt;=$G$6,'calculated data '!$A$6)</f>
        <v>Low Demand Tier</v>
      </c>
      <c r="F1115" s="10">
        <f t="shared" si="1"/>
        <v>-0.6441582853</v>
      </c>
    </row>
    <row r="1116" ht="14.25" customHeight="1">
      <c r="A1116" s="2" t="s">
        <v>115</v>
      </c>
      <c r="B1116" s="2" t="s">
        <v>116</v>
      </c>
      <c r="C1116" s="2">
        <v>2015.0</v>
      </c>
      <c r="D1116" s="9">
        <v>720.0971</v>
      </c>
      <c r="E1116" s="10" t="str">
        <f t="array" ref="E1116">IFS(D1116&lt;=$G$3,'calculated data '!$A$3,D1116&lt;=$G$4,'calculated data '!$A$4,D1116&lt;=$G$6,'calculated data '!$A$5,D1116&gt;=$G$6,'calculated data '!$A$6)</f>
        <v>Low Demand Tier</v>
      </c>
      <c r="F1116" s="10">
        <f t="shared" si="1"/>
        <v>-0.644110684</v>
      </c>
    </row>
    <row r="1117" ht="14.25" customHeight="1">
      <c r="A1117" s="2" t="s">
        <v>61</v>
      </c>
      <c r="B1117" s="2" t="s">
        <v>62</v>
      </c>
      <c r="C1117" s="2">
        <v>2014.0</v>
      </c>
      <c r="D1117" s="9">
        <v>720.2155</v>
      </c>
      <c r="E1117" s="10" t="str">
        <f t="array" ref="E1117">IFS(D1117&lt;=$G$3,'calculated data '!$A$3,D1117&lt;=$G$4,'calculated data '!$A$4,D1117&lt;=$G$6,'calculated data '!$A$5,D1117&gt;=$G$6,'calculated data '!$A$6)</f>
        <v>Low Demand Tier</v>
      </c>
      <c r="F1117" s="10">
        <f t="shared" si="1"/>
        <v>-0.64410755</v>
      </c>
    </row>
    <row r="1118" ht="14.25" customHeight="1">
      <c r="A1118" s="2" t="s">
        <v>121</v>
      </c>
      <c r="B1118" s="2" t="s">
        <v>122</v>
      </c>
      <c r="C1118" s="2">
        <v>1986.0</v>
      </c>
      <c r="D1118" s="9">
        <v>720.22046</v>
      </c>
      <c r="E1118" s="10" t="str">
        <f t="array" ref="E1118">IFS(D1118&lt;=$G$3,'calculated data '!$A$3,D1118&lt;=$G$4,'calculated data '!$A$4,D1118&lt;=$G$6,'calculated data '!$A$5,D1118&gt;=$G$6,'calculated data '!$A$6)</f>
        <v>Low Demand Tier</v>
      </c>
      <c r="F1118" s="10">
        <f t="shared" si="1"/>
        <v>-0.6441074187</v>
      </c>
    </row>
    <row r="1119" ht="14.25" customHeight="1">
      <c r="A1119" s="2" t="s">
        <v>109</v>
      </c>
      <c r="B1119" s="2" t="s">
        <v>110</v>
      </c>
      <c r="C1119" s="2">
        <v>2007.0</v>
      </c>
      <c r="D1119" s="9">
        <v>720.87555</v>
      </c>
      <c r="E1119" s="10" t="str">
        <f t="array" ref="E1119">IFS(D1119&lt;=$G$3,'calculated data '!$A$3,D1119&lt;=$G$4,'calculated data '!$A$4,D1119&lt;=$G$6,'calculated data '!$A$5,D1119&gt;=$G$6,'calculated data '!$A$6)</f>
        <v>Low Demand Tier</v>
      </c>
      <c r="F1119" s="10">
        <f t="shared" si="1"/>
        <v>-0.6440900786</v>
      </c>
    </row>
    <row r="1120" ht="14.25" customHeight="1">
      <c r="A1120" s="2" t="s">
        <v>109</v>
      </c>
      <c r="B1120" s="2" t="s">
        <v>110</v>
      </c>
      <c r="C1120" s="2">
        <v>1995.0</v>
      </c>
      <c r="D1120" s="9">
        <v>721.8602</v>
      </c>
      <c r="E1120" s="10" t="str">
        <f t="array" ref="E1120">IFS(D1120&lt;=$G$3,'calculated data '!$A$3,D1120&lt;=$G$4,'calculated data '!$A$4,D1120&lt;=$G$6,'calculated data '!$A$5,D1120&gt;=$G$6,'calculated data '!$A$6)</f>
        <v>Low Demand Tier</v>
      </c>
      <c r="F1120" s="10">
        <f t="shared" si="1"/>
        <v>-0.6440640152</v>
      </c>
    </row>
    <row r="1121" ht="14.25" customHeight="1">
      <c r="A1121" s="2" t="s">
        <v>119</v>
      </c>
      <c r="B1121" s="2" t="s">
        <v>120</v>
      </c>
      <c r="C1121" s="2">
        <v>1989.0</v>
      </c>
      <c r="D1121" s="9">
        <v>723.32715</v>
      </c>
      <c r="E1121" s="10" t="str">
        <f t="array" ref="E1121">IFS(D1121&lt;=$G$3,'calculated data '!$A$3,D1121&lt;=$G$4,'calculated data '!$A$4,D1121&lt;=$G$6,'calculated data '!$A$5,D1121&gt;=$G$6,'calculated data '!$A$6)</f>
        <v>Low Demand Tier</v>
      </c>
      <c r="F1121" s="10">
        <f t="shared" si="1"/>
        <v>-0.6440251854</v>
      </c>
    </row>
    <row r="1122" ht="14.25" customHeight="1">
      <c r="A1122" s="2" t="s">
        <v>127</v>
      </c>
      <c r="B1122" s="2" t="s">
        <v>128</v>
      </c>
      <c r="C1122" s="2">
        <v>1988.0</v>
      </c>
      <c r="D1122" s="9">
        <v>724.43304</v>
      </c>
      <c r="E1122" s="10" t="str">
        <f t="array" ref="E1122">IFS(D1122&lt;=$G$3,'calculated data '!$A$3,D1122&lt;=$G$4,'calculated data '!$A$4,D1122&lt;=$G$6,'calculated data '!$A$5,D1122&gt;=$G$6,'calculated data '!$A$6)</f>
        <v>Low Demand Tier</v>
      </c>
      <c r="F1122" s="10">
        <f t="shared" si="1"/>
        <v>-0.6439959128</v>
      </c>
    </row>
    <row r="1123" ht="14.25" customHeight="1">
      <c r="A1123" s="2" t="s">
        <v>109</v>
      </c>
      <c r="B1123" s="2" t="s">
        <v>110</v>
      </c>
      <c r="C1123" s="2">
        <v>1993.0</v>
      </c>
      <c r="D1123" s="9">
        <v>726.56024</v>
      </c>
      <c r="E1123" s="10" t="str">
        <f t="array" ref="E1123">IFS(D1123&lt;=$G$3,'calculated data '!$A$3,D1123&lt;=$G$4,'calculated data '!$A$4,D1123&lt;=$G$6,'calculated data '!$A$5,D1123&gt;=$G$6,'calculated data '!$A$6)</f>
        <v>Low Demand Tier</v>
      </c>
      <c r="F1123" s="10">
        <f t="shared" si="1"/>
        <v>-0.6439396063</v>
      </c>
    </row>
    <row r="1124" ht="14.25" customHeight="1">
      <c r="A1124" s="2" t="s">
        <v>109</v>
      </c>
      <c r="B1124" s="2" t="s">
        <v>110</v>
      </c>
      <c r="C1124" s="2">
        <v>1994.0</v>
      </c>
      <c r="D1124" s="9">
        <v>728.3196</v>
      </c>
      <c r="E1124" s="10" t="str">
        <f t="array" ref="E1124">IFS(D1124&lt;=$G$3,'calculated data '!$A$3,D1124&lt;=$G$4,'calculated data '!$A$4,D1124&lt;=$G$6,'calculated data '!$A$5,D1124&gt;=$G$6,'calculated data '!$A$6)</f>
        <v>Low Demand Tier</v>
      </c>
      <c r="F1124" s="10">
        <f t="shared" si="1"/>
        <v>-0.6438930365</v>
      </c>
    </row>
    <row r="1125" ht="14.25" customHeight="1">
      <c r="A1125" s="2" t="s">
        <v>109</v>
      </c>
      <c r="B1125" s="2" t="s">
        <v>110</v>
      </c>
      <c r="C1125" s="2">
        <v>1996.0</v>
      </c>
      <c r="D1125" s="9">
        <v>728.59454</v>
      </c>
      <c r="E1125" s="10" t="str">
        <f t="array" ref="E1125">IFS(D1125&lt;=$G$3,'calculated data '!$A$3,D1125&lt;=$G$4,'calculated data '!$A$4,D1125&lt;=$G$6,'calculated data '!$A$5,D1125&gt;=$G$6,'calculated data '!$A$6)</f>
        <v>Low Demand Tier</v>
      </c>
      <c r="F1125" s="10">
        <f t="shared" si="1"/>
        <v>-0.6438857589</v>
      </c>
    </row>
    <row r="1126" ht="14.25" customHeight="1">
      <c r="A1126" s="2" t="s">
        <v>129</v>
      </c>
      <c r="B1126" s="2" t="s">
        <v>130</v>
      </c>
      <c r="C1126" s="2">
        <v>1967.0</v>
      </c>
      <c r="D1126" s="9">
        <v>729.22845</v>
      </c>
      <c r="E1126" s="10" t="str">
        <f t="array" ref="E1126">IFS(D1126&lt;=$G$3,'calculated data '!$A$3,D1126&lt;=$G$4,'calculated data '!$A$4,D1126&lt;=$G$6,'calculated data '!$A$5,D1126&gt;=$G$6,'calculated data '!$A$6)</f>
        <v>Low Demand Tier</v>
      </c>
      <c r="F1126" s="10">
        <f t="shared" si="1"/>
        <v>-0.6438689794</v>
      </c>
    </row>
    <row r="1127" ht="14.25" customHeight="1">
      <c r="A1127" s="2" t="s">
        <v>119</v>
      </c>
      <c r="B1127" s="2" t="s">
        <v>120</v>
      </c>
      <c r="C1127" s="2">
        <v>1980.0</v>
      </c>
      <c r="D1127" s="9">
        <v>729.674</v>
      </c>
      <c r="E1127" s="10" t="str">
        <f t="array" ref="E1127">IFS(D1127&lt;=$G$3,'calculated data '!$A$3,D1127&lt;=$G$4,'calculated data '!$A$4,D1127&lt;=$G$6,'calculated data '!$A$5,D1127&gt;=$G$6,'calculated data '!$A$6)</f>
        <v>Low Demand Tier</v>
      </c>
      <c r="F1127" s="10">
        <f t="shared" si="1"/>
        <v>-0.6438571858</v>
      </c>
    </row>
    <row r="1128" ht="14.25" customHeight="1">
      <c r="A1128" s="2" t="s">
        <v>113</v>
      </c>
      <c r="B1128" s="2" t="s">
        <v>114</v>
      </c>
      <c r="C1128" s="2">
        <v>1996.0</v>
      </c>
      <c r="D1128" s="9">
        <v>730.6277</v>
      </c>
      <c r="E1128" s="10" t="str">
        <f t="array" ref="E1128">IFS(D1128&lt;=$G$3,'calculated data '!$A$3,D1128&lt;=$G$4,'calculated data '!$A$4,D1128&lt;=$G$6,'calculated data '!$A$5,D1128&gt;=$G$6,'calculated data '!$A$6)</f>
        <v>Low Demand Tier</v>
      </c>
      <c r="F1128" s="10">
        <f t="shared" si="1"/>
        <v>-0.6438319416</v>
      </c>
    </row>
    <row r="1129" ht="14.25" customHeight="1">
      <c r="A1129" s="2" t="s">
        <v>59</v>
      </c>
      <c r="B1129" s="2" t="s">
        <v>60</v>
      </c>
      <c r="C1129" s="2">
        <v>2012.0</v>
      </c>
      <c r="D1129" s="9">
        <v>731.91705</v>
      </c>
      <c r="E1129" s="10" t="str">
        <f t="array" ref="E1129">IFS(D1129&lt;=$G$3,'calculated data '!$A$3,D1129&lt;=$G$4,'calculated data '!$A$4,D1129&lt;=$G$6,'calculated data '!$A$5,D1129&gt;=$G$6,'calculated data '!$A$6)</f>
        <v>Low Demand Tier</v>
      </c>
      <c r="F1129" s="10">
        <f t="shared" si="1"/>
        <v>-0.6437978129</v>
      </c>
    </row>
    <row r="1130" ht="14.25" customHeight="1">
      <c r="A1130" s="2" t="s">
        <v>79</v>
      </c>
      <c r="B1130" s="2" t="s">
        <v>80</v>
      </c>
      <c r="C1130" s="2">
        <v>2002.0</v>
      </c>
      <c r="D1130" s="9">
        <v>732.30475</v>
      </c>
      <c r="E1130" s="10" t="str">
        <f t="array" ref="E1130">IFS(D1130&lt;=$G$3,'calculated data '!$A$3,D1130&lt;=$G$4,'calculated data '!$A$4,D1130&lt;=$G$6,'calculated data '!$A$5,D1130&gt;=$G$6,'calculated data '!$A$6)</f>
        <v>Low Demand Tier</v>
      </c>
      <c r="F1130" s="10">
        <f t="shared" si="1"/>
        <v>-0.6437875505</v>
      </c>
    </row>
    <row r="1131" ht="14.25" customHeight="1">
      <c r="A1131" s="2" t="s">
        <v>117</v>
      </c>
      <c r="B1131" s="2" t="s">
        <v>118</v>
      </c>
      <c r="C1131" s="2">
        <v>2012.0</v>
      </c>
      <c r="D1131" s="9">
        <v>732.57043</v>
      </c>
      <c r="E1131" s="10" t="str">
        <f t="array" ref="E1131">IFS(D1131&lt;=$G$3,'calculated data '!$A$3,D1131&lt;=$G$4,'calculated data '!$A$4,D1131&lt;=$G$6,'calculated data '!$A$5,D1131&gt;=$G$6,'calculated data '!$A$6)</f>
        <v>Low Demand Tier</v>
      </c>
      <c r="F1131" s="10">
        <f t="shared" si="1"/>
        <v>-0.6437805181</v>
      </c>
    </row>
    <row r="1132" ht="14.25" customHeight="1">
      <c r="A1132" s="2" t="s">
        <v>113</v>
      </c>
      <c r="B1132" s="2" t="s">
        <v>114</v>
      </c>
      <c r="C1132" s="2">
        <v>1995.0</v>
      </c>
      <c r="D1132" s="9">
        <v>733.3411</v>
      </c>
      <c r="E1132" s="10" t="str">
        <f t="array" ref="E1132">IFS(D1132&lt;=$G$3,'calculated data '!$A$3,D1132&lt;=$G$4,'calculated data '!$A$4,D1132&lt;=$G$6,'calculated data '!$A$5,D1132&gt;=$G$6,'calculated data '!$A$6)</f>
        <v>Low Demand Tier</v>
      </c>
      <c r="F1132" s="10">
        <f t="shared" si="1"/>
        <v>-0.6437601186</v>
      </c>
    </row>
    <row r="1133" ht="14.25" customHeight="1">
      <c r="A1133" s="2" t="s">
        <v>107</v>
      </c>
      <c r="B1133" s="2" t="s">
        <v>108</v>
      </c>
      <c r="C1133" s="2">
        <v>2017.0</v>
      </c>
      <c r="D1133" s="9">
        <v>733.80505</v>
      </c>
      <c r="E1133" s="10" t="str">
        <f t="array" ref="E1133">IFS(D1133&lt;=$G$3,'calculated data '!$A$3,D1133&lt;=$G$4,'calculated data '!$A$4,D1133&lt;=$G$6,'calculated data '!$A$5,D1133&gt;=$G$6,'calculated data '!$A$6)</f>
        <v>Low Demand Tier</v>
      </c>
      <c r="F1133" s="10">
        <f t="shared" si="1"/>
        <v>-0.643747838</v>
      </c>
    </row>
    <row r="1134" ht="14.25" customHeight="1">
      <c r="A1134" s="2" t="s">
        <v>107</v>
      </c>
      <c r="B1134" s="2" t="s">
        <v>108</v>
      </c>
      <c r="C1134" s="2">
        <v>2022.0</v>
      </c>
      <c r="D1134" s="9">
        <v>733.94556</v>
      </c>
      <c r="E1134" s="10" t="str">
        <f t="array" ref="E1134">IFS(D1134&lt;=$G$3,'calculated data '!$A$3,D1134&lt;=$G$4,'calculated data '!$A$4,D1134&lt;=$G$6,'calculated data '!$A$5,D1134&gt;=$G$6,'calculated data '!$A$6)</f>
        <v>Low Demand Tier</v>
      </c>
      <c r="F1134" s="10">
        <f t="shared" si="1"/>
        <v>-0.6437441187</v>
      </c>
    </row>
    <row r="1135" ht="14.25" customHeight="1">
      <c r="A1135" s="2" t="s">
        <v>77</v>
      </c>
      <c r="B1135" s="2" t="s">
        <v>78</v>
      </c>
      <c r="C1135" s="2">
        <v>2013.0</v>
      </c>
      <c r="D1135" s="9">
        <v>735.4042</v>
      </c>
      <c r="E1135" s="10" t="str">
        <f t="array" ref="E1135">IFS(D1135&lt;=$G$3,'calculated data '!$A$3,D1135&lt;=$G$4,'calculated data '!$A$4,D1135&lt;=$G$6,'calculated data '!$A$5,D1135&gt;=$G$6,'calculated data '!$A$6)</f>
        <v>Low Demand Tier</v>
      </c>
      <c r="F1135" s="10">
        <f t="shared" si="1"/>
        <v>-0.6437055089</v>
      </c>
    </row>
    <row r="1136" ht="14.25" customHeight="1">
      <c r="A1136" s="2" t="s">
        <v>107</v>
      </c>
      <c r="B1136" s="2" t="s">
        <v>108</v>
      </c>
      <c r="C1136" s="2">
        <v>2021.0</v>
      </c>
      <c r="D1136" s="9">
        <v>738.1942</v>
      </c>
      <c r="E1136" s="10" t="str">
        <f t="array" ref="E1136">IFS(D1136&lt;=$G$3,'calculated data '!$A$3,D1136&lt;=$G$4,'calculated data '!$A$4,D1136&lt;=$G$6,'calculated data '!$A$5,D1136&gt;=$G$6,'calculated data '!$A$6)</f>
        <v>Low Demand Tier</v>
      </c>
      <c r="F1136" s="10">
        <f t="shared" si="1"/>
        <v>-0.6436316583</v>
      </c>
    </row>
    <row r="1137" ht="14.25" customHeight="1">
      <c r="A1137" s="2" t="s">
        <v>117</v>
      </c>
      <c r="B1137" s="2" t="s">
        <v>118</v>
      </c>
      <c r="C1137" s="2">
        <v>2013.0</v>
      </c>
      <c r="D1137" s="9">
        <v>738.2863</v>
      </c>
      <c r="E1137" s="10" t="str">
        <f t="array" ref="E1137">IFS(D1137&lt;=$G$3,'calculated data '!$A$3,D1137&lt;=$G$4,'calculated data '!$A$4,D1137&lt;=$G$6,'calculated data '!$A$5,D1137&gt;=$G$6,'calculated data '!$A$6)</f>
        <v>Low Demand Tier</v>
      </c>
      <c r="F1137" s="10">
        <f t="shared" si="1"/>
        <v>-0.6436292204</v>
      </c>
    </row>
    <row r="1138" ht="14.25" customHeight="1">
      <c r="A1138" s="2" t="s">
        <v>123</v>
      </c>
      <c r="B1138" s="2" t="s">
        <v>124</v>
      </c>
      <c r="C1138" s="2">
        <v>1984.0</v>
      </c>
      <c r="D1138" s="9">
        <v>738.4291</v>
      </c>
      <c r="E1138" s="10" t="str">
        <f t="array" ref="E1138">IFS(D1138&lt;=$G$3,'calculated data '!$A$3,D1138&lt;=$G$4,'calculated data '!$A$4,D1138&lt;=$G$6,'calculated data '!$A$5,D1138&gt;=$G$6,'calculated data '!$A$6)</f>
        <v>Low Demand Tier</v>
      </c>
      <c r="F1138" s="10">
        <f t="shared" si="1"/>
        <v>-0.6436254405</v>
      </c>
    </row>
    <row r="1139" ht="14.25" customHeight="1">
      <c r="A1139" s="2" t="s">
        <v>97</v>
      </c>
      <c r="B1139" s="2" t="s">
        <v>98</v>
      </c>
      <c r="C1139" s="2">
        <v>2001.0</v>
      </c>
      <c r="D1139" s="9">
        <v>738.62933</v>
      </c>
      <c r="E1139" s="10" t="str">
        <f t="array" ref="E1139">IFS(D1139&lt;=$G$3,'calculated data '!$A$3,D1139&lt;=$G$4,'calculated data '!$A$4,D1139&lt;=$G$6,'calculated data '!$A$5,D1139&gt;=$G$6,'calculated data '!$A$6)</f>
        <v>Low Demand Tier</v>
      </c>
      <c r="F1139" s="10">
        <f t="shared" si="1"/>
        <v>-0.6436201405</v>
      </c>
    </row>
    <row r="1140" ht="14.25" customHeight="1">
      <c r="A1140" s="2" t="s">
        <v>105</v>
      </c>
      <c r="B1140" s="2" t="s">
        <v>106</v>
      </c>
      <c r="C1140" s="2">
        <v>2014.0</v>
      </c>
      <c r="D1140" s="9">
        <v>738.86584</v>
      </c>
      <c r="E1140" s="10" t="str">
        <f t="array" ref="E1140">IFS(D1140&lt;=$G$3,'calculated data '!$A$3,D1140&lt;=$G$4,'calculated data '!$A$4,D1140&lt;=$G$6,'calculated data '!$A$5,D1140&gt;=$G$6,'calculated data '!$A$6)</f>
        <v>Low Demand Tier</v>
      </c>
      <c r="F1140" s="10">
        <f t="shared" si="1"/>
        <v>-0.6436138801</v>
      </c>
    </row>
    <row r="1141" ht="14.25" customHeight="1">
      <c r="A1141" s="2" t="s">
        <v>93</v>
      </c>
      <c r="B1141" s="2" t="s">
        <v>94</v>
      </c>
      <c r="C1141" s="2">
        <v>1997.0</v>
      </c>
      <c r="D1141" s="9">
        <v>739.0094</v>
      </c>
      <c r="E1141" s="10" t="str">
        <f t="array" ref="E1141">IFS(D1141&lt;=$G$3,'calculated data '!$A$3,D1141&lt;=$G$4,'calculated data '!$A$4,D1141&lt;=$G$6,'calculated data '!$A$5,D1141&gt;=$G$6,'calculated data '!$A$6)</f>
        <v>Low Demand Tier</v>
      </c>
      <c r="F1141" s="10">
        <f t="shared" si="1"/>
        <v>-0.6436100801</v>
      </c>
    </row>
    <row r="1142" ht="14.25" customHeight="1">
      <c r="A1142" s="2" t="s">
        <v>21</v>
      </c>
      <c r="B1142" s="2" t="s">
        <v>22</v>
      </c>
      <c r="C1142" s="2">
        <v>1994.0</v>
      </c>
      <c r="D1142" s="9">
        <v>739.8217</v>
      </c>
      <c r="E1142" s="10" t="str">
        <f t="array" ref="E1142">IFS(D1142&lt;=$G$3,'calculated data '!$A$3,D1142&lt;=$G$4,'calculated data '!$A$4,D1142&lt;=$G$6,'calculated data '!$A$5,D1142&gt;=$G$6,'calculated data '!$A$6)</f>
        <v>Low Demand Tier</v>
      </c>
      <c r="F1142" s="10">
        <f t="shared" si="1"/>
        <v>-0.6435885788</v>
      </c>
    </row>
    <row r="1143" ht="14.25" customHeight="1">
      <c r="A1143" s="2" t="s">
        <v>103</v>
      </c>
      <c r="B1143" s="2" t="s">
        <v>104</v>
      </c>
      <c r="C1143" s="2">
        <v>2010.0</v>
      </c>
      <c r="D1143" s="9">
        <v>742.12964</v>
      </c>
      <c r="E1143" s="10" t="str">
        <f t="array" ref="E1143">IFS(D1143&lt;=$G$3,'calculated data '!$A$3,D1143&lt;=$G$4,'calculated data '!$A$4,D1143&lt;=$G$6,'calculated data '!$A$5,D1143&gt;=$G$6,'calculated data '!$A$6)</f>
        <v>Low Demand Tier</v>
      </c>
      <c r="F1143" s="10">
        <f t="shared" si="1"/>
        <v>-0.6435274882</v>
      </c>
    </row>
    <row r="1144" ht="14.25" customHeight="1">
      <c r="A1144" s="2" t="s">
        <v>105</v>
      </c>
      <c r="B1144" s="2" t="s">
        <v>106</v>
      </c>
      <c r="C1144" s="2">
        <v>1994.0</v>
      </c>
      <c r="D1144" s="9">
        <v>743.7371</v>
      </c>
      <c r="E1144" s="10" t="str">
        <f t="array" ref="E1144">IFS(D1144&lt;=$G$3,'calculated data '!$A$3,D1144&lt;=$G$4,'calculated data '!$A$4,D1144&lt;=$G$6,'calculated data '!$A$5,D1144&gt;=$G$6,'calculated data '!$A$6)</f>
        <v>Low Demand Tier</v>
      </c>
      <c r="F1144" s="10">
        <f t="shared" si="1"/>
        <v>-0.6434849391</v>
      </c>
    </row>
    <row r="1145" ht="14.25" customHeight="1">
      <c r="A1145" s="2" t="s">
        <v>125</v>
      </c>
      <c r="B1145" s="2" t="s">
        <v>126</v>
      </c>
      <c r="C1145" s="2">
        <v>1995.0</v>
      </c>
      <c r="D1145" s="9">
        <v>744.51886</v>
      </c>
      <c r="E1145" s="10" t="str">
        <f t="array" ref="E1145">IFS(D1145&lt;=$G$3,'calculated data '!$A$3,D1145&lt;=$G$4,'calculated data '!$A$4,D1145&lt;=$G$6,'calculated data '!$A$5,D1145&gt;=$G$6,'calculated data '!$A$6)</f>
        <v>Low Demand Tier</v>
      </c>
      <c r="F1145" s="10">
        <f t="shared" si="1"/>
        <v>-0.6434642461</v>
      </c>
    </row>
    <row r="1146" ht="14.25" customHeight="1">
      <c r="A1146" s="2" t="s">
        <v>79</v>
      </c>
      <c r="B1146" s="2" t="s">
        <v>80</v>
      </c>
      <c r="C1146" s="2">
        <v>2001.0</v>
      </c>
      <c r="D1146" s="9">
        <v>744.97473</v>
      </c>
      <c r="E1146" s="10" t="str">
        <f t="array" ref="E1146">IFS(D1146&lt;=$G$3,'calculated data '!$A$3,D1146&lt;=$G$4,'calculated data '!$A$4,D1146&lt;=$G$6,'calculated data '!$A$5,D1146&gt;=$G$6,'calculated data '!$A$6)</f>
        <v>Low Demand Tier</v>
      </c>
      <c r="F1146" s="10">
        <f t="shared" si="1"/>
        <v>-0.6434521793</v>
      </c>
    </row>
    <row r="1147" ht="14.25" customHeight="1">
      <c r="A1147" s="2" t="s">
        <v>121</v>
      </c>
      <c r="B1147" s="2" t="s">
        <v>122</v>
      </c>
      <c r="C1147" s="2">
        <v>1990.0</v>
      </c>
      <c r="D1147" s="9">
        <v>746.804</v>
      </c>
      <c r="E1147" s="10" t="str">
        <f t="array" ref="E1147">IFS(D1147&lt;=$G$3,'calculated data '!$A$3,D1147&lt;=$G$4,'calculated data '!$A$4,D1147&lt;=$G$6,'calculated data '!$A$5,D1147&gt;=$G$6,'calculated data '!$A$6)</f>
        <v>Low Demand Tier</v>
      </c>
      <c r="F1147" s="10">
        <f t="shared" si="1"/>
        <v>-0.643403759</v>
      </c>
    </row>
    <row r="1148" ht="14.25" customHeight="1">
      <c r="A1148" s="2" t="s">
        <v>119</v>
      </c>
      <c r="B1148" s="2" t="s">
        <v>120</v>
      </c>
      <c r="C1148" s="2">
        <v>1986.0</v>
      </c>
      <c r="D1148" s="9">
        <v>747.0278</v>
      </c>
      <c r="E1148" s="10" t="str">
        <f t="array" ref="E1148">IFS(D1148&lt;=$G$3,'calculated data '!$A$3,D1148&lt;=$G$4,'calculated data '!$A$4,D1148&lt;=$G$6,'calculated data '!$A$5,D1148&gt;=$G$6,'calculated data '!$A$6)</f>
        <v>Low Demand Tier</v>
      </c>
      <c r="F1148" s="10">
        <f t="shared" si="1"/>
        <v>-0.6433978351</v>
      </c>
    </row>
    <row r="1149" ht="14.25" customHeight="1">
      <c r="A1149" s="2" t="s">
        <v>109</v>
      </c>
      <c r="B1149" s="2" t="s">
        <v>110</v>
      </c>
      <c r="C1149" s="2">
        <v>2004.0</v>
      </c>
      <c r="D1149" s="9">
        <v>748.6736</v>
      </c>
      <c r="E1149" s="10" t="str">
        <f t="array" ref="E1149">IFS(D1149&lt;=$G$3,'calculated data '!$A$3,D1149&lt;=$G$4,'calculated data '!$A$4,D1149&lt;=$G$6,'calculated data '!$A$5,D1149&gt;=$G$6,'calculated data '!$A$6)</f>
        <v>Low Demand Tier</v>
      </c>
      <c r="F1149" s="10">
        <f t="shared" si="1"/>
        <v>-0.6433542712</v>
      </c>
    </row>
    <row r="1150" ht="14.25" customHeight="1">
      <c r="A1150" s="2" t="s">
        <v>129</v>
      </c>
      <c r="B1150" s="2" t="s">
        <v>130</v>
      </c>
      <c r="C1150" s="2">
        <v>1968.0</v>
      </c>
      <c r="D1150" s="9">
        <v>749.0361</v>
      </c>
      <c r="E1150" s="10" t="str">
        <f t="array" ref="E1150">IFS(D1150&lt;=$G$3,'calculated data '!$A$3,D1150&lt;=$G$4,'calculated data '!$A$4,D1150&lt;=$G$6,'calculated data '!$A$5,D1150&gt;=$G$6,'calculated data '!$A$6)</f>
        <v>Low Demand Tier</v>
      </c>
      <c r="F1150" s="10">
        <f t="shared" si="1"/>
        <v>-0.6433446759</v>
      </c>
    </row>
    <row r="1151" ht="14.25" customHeight="1">
      <c r="A1151" s="2" t="s">
        <v>125</v>
      </c>
      <c r="B1151" s="2" t="s">
        <v>126</v>
      </c>
      <c r="C1151" s="2">
        <v>1990.0</v>
      </c>
      <c r="D1151" s="9">
        <v>749.0557</v>
      </c>
      <c r="E1151" s="10" t="str">
        <f t="array" ref="E1151">IFS(D1151&lt;=$G$3,'calculated data '!$A$3,D1151&lt;=$G$4,'calculated data '!$A$4,D1151&lt;=$G$6,'calculated data '!$A$5,D1151&gt;=$G$6,'calculated data '!$A$6)</f>
        <v>Low Demand Tier</v>
      </c>
      <c r="F1151" s="10">
        <f t="shared" si="1"/>
        <v>-0.6433441571</v>
      </c>
    </row>
    <row r="1152" ht="14.25" customHeight="1">
      <c r="A1152" s="2" t="s">
        <v>127</v>
      </c>
      <c r="B1152" s="2" t="s">
        <v>128</v>
      </c>
      <c r="C1152" s="2">
        <v>1987.0</v>
      </c>
      <c r="D1152" s="9">
        <v>751.82947</v>
      </c>
      <c r="E1152" s="10" t="str">
        <f t="array" ref="E1152">IFS(D1152&lt;=$G$3,'calculated data '!$A$3,D1152&lt;=$G$4,'calculated data '!$A$4,D1152&lt;=$G$6,'calculated data '!$A$5,D1152&gt;=$G$6,'calculated data '!$A$6)</f>
        <v>Low Demand Tier</v>
      </c>
      <c r="F1152" s="10">
        <f t="shared" si="1"/>
        <v>-0.6432707361</v>
      </c>
    </row>
    <row r="1153" ht="14.25" customHeight="1">
      <c r="A1153" s="2" t="s">
        <v>127</v>
      </c>
      <c r="B1153" s="2" t="s">
        <v>128</v>
      </c>
      <c r="C1153" s="2">
        <v>1986.0</v>
      </c>
      <c r="D1153" s="9">
        <v>755.4876</v>
      </c>
      <c r="E1153" s="10" t="str">
        <f t="array" ref="E1153">IFS(D1153&lt;=$G$3,'calculated data '!$A$3,D1153&lt;=$G$4,'calculated data '!$A$4,D1153&lt;=$G$6,'calculated data '!$A$5,D1153&gt;=$G$6,'calculated data '!$A$6)</f>
        <v>Low Demand Tier</v>
      </c>
      <c r="F1153" s="10">
        <f t="shared" si="1"/>
        <v>-0.6431739063</v>
      </c>
    </row>
    <row r="1154" ht="14.25" customHeight="1">
      <c r="A1154" s="2" t="s">
        <v>117</v>
      </c>
      <c r="B1154" s="2" t="s">
        <v>118</v>
      </c>
      <c r="C1154" s="2">
        <v>2015.0</v>
      </c>
      <c r="D1154" s="9">
        <v>757.37885</v>
      </c>
      <c r="E1154" s="10" t="str">
        <f t="array" ref="E1154">IFS(D1154&lt;=$G$3,'calculated data '!$A$3,D1154&lt;=$G$4,'calculated data '!$A$4,D1154&lt;=$G$6,'calculated data '!$A$5,D1154&gt;=$G$6,'calculated data '!$A$6)</f>
        <v>Low Demand Tier</v>
      </c>
      <c r="F1154" s="10">
        <f t="shared" si="1"/>
        <v>-0.6431238454</v>
      </c>
    </row>
    <row r="1155" ht="14.25" customHeight="1">
      <c r="A1155" s="2" t="s">
        <v>123</v>
      </c>
      <c r="B1155" s="2" t="s">
        <v>124</v>
      </c>
      <c r="C1155" s="2">
        <v>1990.0</v>
      </c>
      <c r="D1155" s="9">
        <v>757.73035</v>
      </c>
      <c r="E1155" s="10" t="str">
        <f t="array" ref="E1155">IFS(D1155&lt;=$G$3,'calculated data '!$A$3,D1155&lt;=$G$4,'calculated data '!$A$4,D1155&lt;=$G$6,'calculated data '!$A$5,D1155&gt;=$G$6,'calculated data '!$A$6)</f>
        <v>Low Demand Tier</v>
      </c>
      <c r="F1155" s="10">
        <f t="shared" si="1"/>
        <v>-0.6431145412</v>
      </c>
    </row>
    <row r="1156" ht="14.25" customHeight="1">
      <c r="A1156" s="2" t="s">
        <v>59</v>
      </c>
      <c r="B1156" s="2" t="s">
        <v>60</v>
      </c>
      <c r="C1156" s="2">
        <v>2015.0</v>
      </c>
      <c r="D1156" s="9">
        <v>757.9389</v>
      </c>
      <c r="E1156" s="10" t="str">
        <f t="array" ref="E1156">IFS(D1156&lt;=$G$3,'calculated data '!$A$3,D1156&lt;=$G$4,'calculated data '!$A$4,D1156&lt;=$G$6,'calculated data '!$A$5,D1156&gt;=$G$6,'calculated data '!$A$6)</f>
        <v>Low Demand Tier</v>
      </c>
      <c r="F1156" s="10">
        <f t="shared" si="1"/>
        <v>-0.643109021</v>
      </c>
    </row>
    <row r="1157" ht="14.25" customHeight="1">
      <c r="A1157" s="2" t="s">
        <v>85</v>
      </c>
      <c r="B1157" s="2" t="s">
        <v>86</v>
      </c>
      <c r="C1157" s="2">
        <v>2008.0</v>
      </c>
      <c r="D1157" s="9">
        <v>758.0576</v>
      </c>
      <c r="E1157" s="10" t="str">
        <f t="array" ref="E1157">IFS(D1157&lt;=$G$3,'calculated data '!$A$3,D1157&lt;=$G$4,'calculated data '!$A$4,D1157&lt;=$G$6,'calculated data '!$A$5,D1157&gt;=$G$6,'calculated data '!$A$6)</f>
        <v>Low Demand Tier</v>
      </c>
      <c r="F1157" s="10">
        <f t="shared" si="1"/>
        <v>-0.643105879</v>
      </c>
    </row>
    <row r="1158" ht="14.25" customHeight="1">
      <c r="A1158" s="2" t="s">
        <v>125</v>
      </c>
      <c r="B1158" s="2" t="s">
        <v>126</v>
      </c>
      <c r="C1158" s="2">
        <v>1994.0</v>
      </c>
      <c r="D1158" s="9">
        <v>758.08417</v>
      </c>
      <c r="E1158" s="10" t="str">
        <f t="array" ref="E1158">IFS(D1158&lt;=$G$3,'calculated data '!$A$3,D1158&lt;=$G$4,'calculated data '!$A$4,D1158&lt;=$G$6,'calculated data '!$A$5,D1158&gt;=$G$6,'calculated data '!$A$6)</f>
        <v>Low Demand Tier</v>
      </c>
      <c r="F1158" s="10">
        <f t="shared" si="1"/>
        <v>-0.6431051757</v>
      </c>
    </row>
    <row r="1159" ht="14.25" customHeight="1">
      <c r="A1159" s="2" t="s">
        <v>85</v>
      </c>
      <c r="B1159" s="2" t="s">
        <v>86</v>
      </c>
      <c r="C1159" s="2">
        <v>2007.0</v>
      </c>
      <c r="D1159" s="9">
        <v>758.1753</v>
      </c>
      <c r="E1159" s="10" t="str">
        <f t="array" ref="E1159">IFS(D1159&lt;=$G$3,'calculated data '!$A$3,D1159&lt;=$G$4,'calculated data '!$A$4,D1159&lt;=$G$6,'calculated data '!$A$5,D1159&gt;=$G$6,'calculated data '!$A$6)</f>
        <v>Low Demand Tier</v>
      </c>
      <c r="F1159" s="10">
        <f t="shared" si="1"/>
        <v>-0.6431027635</v>
      </c>
    </row>
    <row r="1160" ht="14.25" customHeight="1">
      <c r="A1160" s="2" t="s">
        <v>125</v>
      </c>
      <c r="B1160" s="2" t="s">
        <v>126</v>
      </c>
      <c r="C1160" s="2">
        <v>1986.0</v>
      </c>
      <c r="D1160" s="9">
        <v>759.3145</v>
      </c>
      <c r="E1160" s="10" t="str">
        <f t="array" ref="E1160">IFS(D1160&lt;=$G$3,'calculated data '!$A$3,D1160&lt;=$G$4,'calculated data '!$A$4,D1160&lt;=$G$6,'calculated data '!$A$5,D1160&gt;=$G$6,'calculated data '!$A$6)</f>
        <v>Low Demand Tier</v>
      </c>
      <c r="F1160" s="10">
        <f t="shared" si="1"/>
        <v>-0.6430726092</v>
      </c>
    </row>
    <row r="1161" ht="14.25" customHeight="1">
      <c r="A1161" s="2" t="s">
        <v>131</v>
      </c>
      <c r="B1161" s="2" t="s">
        <v>132</v>
      </c>
      <c r="C1161" s="2">
        <v>2003.0</v>
      </c>
      <c r="D1161" s="9">
        <v>762.5035</v>
      </c>
      <c r="E1161" s="10" t="str">
        <f t="array" ref="E1161">IFS(D1161&lt;=$G$3,'calculated data '!$A$3,D1161&lt;=$G$4,'calculated data '!$A$4,D1161&lt;=$G$6,'calculated data '!$A$5,D1161&gt;=$G$6,'calculated data '!$A$6)</f>
        <v>Low Demand Tier</v>
      </c>
      <c r="F1161" s="10">
        <f t="shared" si="1"/>
        <v>-0.6429881972</v>
      </c>
    </row>
    <row r="1162" ht="14.25" customHeight="1">
      <c r="A1162" s="2" t="s">
        <v>95</v>
      </c>
      <c r="B1162" s="2" t="s">
        <v>96</v>
      </c>
      <c r="C1162" s="2">
        <v>1980.0</v>
      </c>
      <c r="D1162" s="9">
        <v>762.9396</v>
      </c>
      <c r="E1162" s="10" t="str">
        <f t="array" ref="E1162">IFS(D1162&lt;=$G$3,'calculated data '!$A$3,D1162&lt;=$G$4,'calculated data '!$A$4,D1162&lt;=$G$6,'calculated data '!$A$5,D1162&gt;=$G$6,'calculated data '!$A$6)</f>
        <v>Low Demand Tier</v>
      </c>
      <c r="F1162" s="10">
        <f t="shared" si="1"/>
        <v>-0.6429766537</v>
      </c>
    </row>
    <row r="1163" ht="14.25" customHeight="1">
      <c r="A1163" s="2" t="s">
        <v>103</v>
      </c>
      <c r="B1163" s="2" t="s">
        <v>104</v>
      </c>
      <c r="C1163" s="2">
        <v>2011.0</v>
      </c>
      <c r="D1163" s="9">
        <v>763.38446</v>
      </c>
      <c r="E1163" s="10" t="str">
        <f t="array" ref="E1163">IFS(D1163&lt;=$G$3,'calculated data '!$A$3,D1163&lt;=$G$4,'calculated data '!$A$4,D1163&lt;=$G$6,'calculated data '!$A$5,D1163&gt;=$G$6,'calculated data '!$A$6)</f>
        <v>Low Demand Tier</v>
      </c>
      <c r="F1163" s="10">
        <f t="shared" si="1"/>
        <v>-0.6429648784</v>
      </c>
    </row>
    <row r="1164" ht="14.25" customHeight="1">
      <c r="A1164" s="2" t="s">
        <v>129</v>
      </c>
      <c r="B1164" s="2" t="s">
        <v>130</v>
      </c>
      <c r="C1164" s="2">
        <v>1966.0</v>
      </c>
      <c r="D1164" s="9">
        <v>763.5574</v>
      </c>
      <c r="E1164" s="10" t="str">
        <f t="array" ref="E1164">IFS(D1164&lt;=$G$3,'calculated data '!$A$3,D1164&lt;=$G$4,'calculated data '!$A$4,D1164&lt;=$G$6,'calculated data '!$A$5,D1164&gt;=$G$6,'calculated data '!$A$6)</f>
        <v>Low Demand Tier</v>
      </c>
      <c r="F1164" s="10">
        <f t="shared" si="1"/>
        <v>-0.6429603007</v>
      </c>
    </row>
    <row r="1165" ht="14.25" customHeight="1">
      <c r="A1165" s="2" t="s">
        <v>77</v>
      </c>
      <c r="B1165" s="2" t="s">
        <v>78</v>
      </c>
      <c r="C1165" s="2">
        <v>2016.0</v>
      </c>
      <c r="D1165" s="9">
        <v>764.289</v>
      </c>
      <c r="E1165" s="10" t="str">
        <f t="array" ref="E1165">IFS(D1165&lt;=$G$3,'calculated data '!$A$3,D1165&lt;=$G$4,'calculated data '!$A$4,D1165&lt;=$G$6,'calculated data '!$A$5,D1165&gt;=$G$6,'calculated data '!$A$6)</f>
        <v>Low Demand Tier</v>
      </c>
      <c r="F1165" s="10">
        <f t="shared" si="1"/>
        <v>-0.6429409354</v>
      </c>
    </row>
    <row r="1166" ht="14.25" customHeight="1">
      <c r="A1166" s="2" t="s">
        <v>117</v>
      </c>
      <c r="B1166" s="2" t="s">
        <v>118</v>
      </c>
      <c r="C1166" s="2">
        <v>2014.0</v>
      </c>
      <c r="D1166" s="9">
        <v>765.9197</v>
      </c>
      <c r="E1166" s="10" t="str">
        <f t="array" ref="E1166">IFS(D1166&lt;=$G$3,'calculated data '!$A$3,D1166&lt;=$G$4,'calculated data '!$A$4,D1166&lt;=$G$6,'calculated data '!$A$5,D1166&gt;=$G$6,'calculated data '!$A$6)</f>
        <v>Low Demand Tier</v>
      </c>
      <c r="F1166" s="10">
        <f t="shared" si="1"/>
        <v>-0.6428977712</v>
      </c>
    </row>
    <row r="1167" ht="14.25" customHeight="1">
      <c r="A1167" s="2" t="s">
        <v>95</v>
      </c>
      <c r="B1167" s="2" t="s">
        <v>96</v>
      </c>
      <c r="C1167" s="2">
        <v>1997.0</v>
      </c>
      <c r="D1167" s="9">
        <v>766.09204</v>
      </c>
      <c r="E1167" s="10" t="str">
        <f t="array" ref="E1167">IFS(D1167&lt;=$G$3,'calculated data '!$A$3,D1167&lt;=$G$4,'calculated data '!$A$4,D1167&lt;=$G$6,'calculated data '!$A$5,D1167&gt;=$G$6,'calculated data '!$A$6)</f>
        <v>Low Demand Tier</v>
      </c>
      <c r="F1167" s="10">
        <f t="shared" si="1"/>
        <v>-0.6428932094</v>
      </c>
    </row>
    <row r="1168" ht="14.25" customHeight="1">
      <c r="A1168" s="2" t="s">
        <v>117</v>
      </c>
      <c r="B1168" s="2" t="s">
        <v>118</v>
      </c>
      <c r="C1168" s="2">
        <v>2016.0</v>
      </c>
      <c r="D1168" s="9">
        <v>766.2677</v>
      </c>
      <c r="E1168" s="10" t="str">
        <f t="array" ref="E1168">IFS(D1168&lt;=$G$3,'calculated data '!$A$3,D1168&lt;=$G$4,'calculated data '!$A$4,D1168&lt;=$G$6,'calculated data '!$A$5,D1168&gt;=$G$6,'calculated data '!$A$6)</f>
        <v>Low Demand Tier</v>
      </c>
      <c r="F1168" s="10">
        <f t="shared" si="1"/>
        <v>-0.6428885597</v>
      </c>
    </row>
    <row r="1169" ht="14.25" customHeight="1">
      <c r="A1169" s="2" t="s">
        <v>105</v>
      </c>
      <c r="B1169" s="2" t="s">
        <v>106</v>
      </c>
      <c r="C1169" s="2">
        <v>2022.0</v>
      </c>
      <c r="D1169" s="9">
        <v>766.9488</v>
      </c>
      <c r="E1169" s="10" t="str">
        <f t="array" ref="E1169">IFS(D1169&lt;=$G$3,'calculated data '!$A$3,D1169&lt;=$G$4,'calculated data '!$A$4,D1169&lt;=$G$6,'calculated data '!$A$5,D1169&gt;=$G$6,'calculated data '!$A$6)</f>
        <v>Low Demand Tier</v>
      </c>
      <c r="F1169" s="10">
        <f t="shared" si="1"/>
        <v>-0.6428705312</v>
      </c>
    </row>
    <row r="1170" ht="14.25" customHeight="1">
      <c r="A1170" s="2" t="s">
        <v>117</v>
      </c>
      <c r="B1170" s="2" t="s">
        <v>118</v>
      </c>
      <c r="C1170" s="2">
        <v>2020.0</v>
      </c>
      <c r="D1170" s="9">
        <v>767.27045</v>
      </c>
      <c r="E1170" s="10" t="str">
        <f t="array" ref="E1170">IFS(D1170&lt;=$G$3,'calculated data '!$A$3,D1170&lt;=$G$4,'calculated data '!$A$4,D1170&lt;=$G$6,'calculated data '!$A$5,D1170&gt;=$G$6,'calculated data '!$A$6)</f>
        <v>Low Demand Tier</v>
      </c>
      <c r="F1170" s="10">
        <f t="shared" si="1"/>
        <v>-0.6428620172</v>
      </c>
    </row>
    <row r="1171" ht="14.25" customHeight="1">
      <c r="A1171" s="2" t="s">
        <v>119</v>
      </c>
      <c r="B1171" s="2" t="s">
        <v>120</v>
      </c>
      <c r="C1171" s="2">
        <v>1988.0</v>
      </c>
      <c r="D1171" s="9">
        <v>770.6182</v>
      </c>
      <c r="E1171" s="10" t="str">
        <f t="array" ref="E1171">IFS(D1171&lt;=$G$3,'calculated data '!$A$3,D1171&lt;=$G$4,'calculated data '!$A$4,D1171&lt;=$G$6,'calculated data '!$A$5,D1171&gt;=$G$6,'calculated data '!$A$6)</f>
        <v>Low Demand Tier</v>
      </c>
      <c r="F1171" s="10">
        <f t="shared" si="1"/>
        <v>-0.6427734031</v>
      </c>
    </row>
    <row r="1172" ht="14.25" customHeight="1">
      <c r="A1172" s="2" t="s">
        <v>79</v>
      </c>
      <c r="B1172" s="2" t="s">
        <v>80</v>
      </c>
      <c r="C1172" s="2">
        <v>1998.0</v>
      </c>
      <c r="D1172" s="9">
        <v>770.7224</v>
      </c>
      <c r="E1172" s="10" t="str">
        <f t="array" ref="E1172">IFS(D1172&lt;=$G$3,'calculated data '!$A$3,D1172&lt;=$G$4,'calculated data '!$A$4,D1172&lt;=$G$6,'calculated data '!$A$5,D1172&gt;=$G$6,'calculated data '!$A$6)</f>
        <v>Low Demand Tier</v>
      </c>
      <c r="F1172" s="10">
        <f t="shared" si="1"/>
        <v>-0.6427706449</v>
      </c>
    </row>
    <row r="1173" ht="14.25" customHeight="1">
      <c r="A1173" s="2" t="s">
        <v>95</v>
      </c>
      <c r="B1173" s="2" t="s">
        <v>96</v>
      </c>
      <c r="C1173" s="2">
        <v>1999.0</v>
      </c>
      <c r="D1173" s="9">
        <v>771.8081</v>
      </c>
      <c r="E1173" s="10" t="str">
        <f t="array" ref="E1173">IFS(D1173&lt;=$G$3,'calculated data '!$A$3,D1173&lt;=$G$4,'calculated data '!$A$4,D1173&lt;=$G$6,'calculated data '!$A$5,D1173&gt;=$G$6,'calculated data '!$A$6)</f>
        <v>Low Demand Tier</v>
      </c>
      <c r="F1173" s="10">
        <f t="shared" si="1"/>
        <v>-0.6427419067</v>
      </c>
    </row>
    <row r="1174" ht="14.25" customHeight="1">
      <c r="A1174" s="2" t="s">
        <v>93</v>
      </c>
      <c r="B1174" s="2" t="s">
        <v>94</v>
      </c>
      <c r="C1174" s="2">
        <v>1998.0</v>
      </c>
      <c r="D1174" s="9">
        <v>772.5175</v>
      </c>
      <c r="E1174" s="10" t="str">
        <f t="array" ref="E1174">IFS(D1174&lt;=$G$3,'calculated data '!$A$3,D1174&lt;=$G$4,'calculated data '!$A$4,D1174&lt;=$G$6,'calculated data '!$A$5,D1174&gt;=$G$6,'calculated data '!$A$6)</f>
        <v>Low Demand Tier</v>
      </c>
      <c r="F1174" s="10">
        <f t="shared" si="1"/>
        <v>-0.6427231291</v>
      </c>
    </row>
    <row r="1175" ht="14.25" customHeight="1">
      <c r="A1175" s="2" t="s">
        <v>113</v>
      </c>
      <c r="B1175" s="2" t="s">
        <v>114</v>
      </c>
      <c r="C1175" s="2">
        <v>1997.0</v>
      </c>
      <c r="D1175" s="9">
        <v>773.1892</v>
      </c>
      <c r="E1175" s="10" t="str">
        <f t="array" ref="E1175">IFS(D1175&lt;=$G$3,'calculated data '!$A$3,D1175&lt;=$G$4,'calculated data '!$A$4,D1175&lt;=$G$6,'calculated data '!$A$5,D1175&gt;=$G$6,'calculated data '!$A$6)</f>
        <v>Low Demand Tier</v>
      </c>
      <c r="F1175" s="10">
        <f t="shared" si="1"/>
        <v>-0.6427053493</v>
      </c>
    </row>
    <row r="1176" ht="14.25" customHeight="1">
      <c r="A1176" s="2" t="s">
        <v>123</v>
      </c>
      <c r="B1176" s="2" t="s">
        <v>124</v>
      </c>
      <c r="C1176" s="2">
        <v>1994.0</v>
      </c>
      <c r="D1176" s="9">
        <v>773.51013</v>
      </c>
      <c r="E1176" s="10" t="str">
        <f t="array" ref="E1176">IFS(D1176&lt;=$G$3,'calculated data '!$A$3,D1176&lt;=$G$4,'calculated data '!$A$4,D1176&lt;=$G$6,'calculated data '!$A$5,D1176&gt;=$G$6,'calculated data '!$A$6)</f>
        <v>Low Demand Tier</v>
      </c>
      <c r="F1176" s="10">
        <f t="shared" si="1"/>
        <v>-0.6426968544</v>
      </c>
    </row>
    <row r="1177" ht="14.25" customHeight="1">
      <c r="A1177" s="2" t="s">
        <v>95</v>
      </c>
      <c r="B1177" s="2" t="s">
        <v>96</v>
      </c>
      <c r="C1177" s="2">
        <v>2000.0</v>
      </c>
      <c r="D1177" s="9">
        <v>774.7331</v>
      </c>
      <c r="E1177" s="10" t="str">
        <f t="array" ref="E1177">IFS(D1177&lt;=$G$3,'calculated data '!$A$3,D1177&lt;=$G$4,'calculated data '!$A$4,D1177&lt;=$G$6,'calculated data '!$A$5,D1177&gt;=$G$6,'calculated data '!$A$6)</f>
        <v>Low Demand Tier</v>
      </c>
      <c r="F1177" s="10">
        <f t="shared" si="1"/>
        <v>-0.6426644827</v>
      </c>
    </row>
    <row r="1178" ht="14.25" customHeight="1">
      <c r="A1178" s="2" t="s">
        <v>121</v>
      </c>
      <c r="B1178" s="2" t="s">
        <v>122</v>
      </c>
      <c r="C1178" s="2">
        <v>1989.0</v>
      </c>
      <c r="D1178" s="9">
        <v>775.12305</v>
      </c>
      <c r="E1178" s="10" t="str">
        <f t="array" ref="E1178">IFS(D1178&lt;=$G$3,'calculated data '!$A$3,D1178&lt;=$G$4,'calculated data '!$A$4,D1178&lt;=$G$6,'calculated data '!$A$5,D1178&gt;=$G$6,'calculated data '!$A$6)</f>
        <v>Low Demand Tier</v>
      </c>
      <c r="F1178" s="10">
        <f t="shared" si="1"/>
        <v>-0.6426541608</v>
      </c>
    </row>
    <row r="1179" ht="14.25" customHeight="1">
      <c r="A1179" s="2" t="s">
        <v>133</v>
      </c>
      <c r="B1179" s="2" t="s">
        <v>134</v>
      </c>
      <c r="C1179" s="2">
        <v>1965.0</v>
      </c>
      <c r="D1179" s="9">
        <v>775.37976</v>
      </c>
      <c r="E1179" s="10" t="str">
        <f t="array" ref="E1179">IFS(D1179&lt;=$G$3,'calculated data '!$A$3,D1179&lt;=$G$4,'calculated data '!$A$4,D1179&lt;=$G$6,'calculated data '!$A$5,D1179&gt;=$G$6,'calculated data '!$A$6)</f>
        <v>Low Demand Tier</v>
      </c>
      <c r="F1179" s="10">
        <f t="shared" si="1"/>
        <v>-0.6426473658</v>
      </c>
    </row>
    <row r="1180" ht="14.25" customHeight="1">
      <c r="A1180" s="2" t="s">
        <v>115</v>
      </c>
      <c r="B1180" s="2" t="s">
        <v>116</v>
      </c>
      <c r="C1180" s="2">
        <v>2018.0</v>
      </c>
      <c r="D1180" s="9">
        <v>776.8172</v>
      </c>
      <c r="E1180" s="10" t="str">
        <f t="array" ref="E1180">IFS(D1180&lt;=$G$3,'calculated data '!$A$3,D1180&lt;=$G$4,'calculated data '!$A$4,D1180&lt;=$G$6,'calculated data '!$A$5,D1180&gt;=$G$6,'calculated data '!$A$6)</f>
        <v>Low Demand Tier</v>
      </c>
      <c r="F1180" s="10">
        <f t="shared" si="1"/>
        <v>-0.6426093171</v>
      </c>
    </row>
    <row r="1181" ht="14.25" customHeight="1">
      <c r="A1181" s="2" t="s">
        <v>111</v>
      </c>
      <c r="B1181" s="2" t="s">
        <v>112</v>
      </c>
      <c r="C1181" s="2">
        <v>1988.0</v>
      </c>
      <c r="D1181" s="9">
        <v>778.7562</v>
      </c>
      <c r="E1181" s="10" t="str">
        <f t="array" ref="E1181">IFS(D1181&lt;=$G$3,'calculated data '!$A$3,D1181&lt;=$G$4,'calculated data '!$A$4,D1181&lt;=$G$6,'calculated data '!$A$5,D1181&gt;=$G$6,'calculated data '!$A$6)</f>
        <v>Low Demand Tier</v>
      </c>
      <c r="F1181" s="10">
        <f t="shared" si="1"/>
        <v>-0.6425579922</v>
      </c>
    </row>
    <row r="1182" ht="14.25" customHeight="1">
      <c r="A1182" s="2" t="s">
        <v>119</v>
      </c>
      <c r="B1182" s="2" t="s">
        <v>120</v>
      </c>
      <c r="C1182" s="2">
        <v>1987.0</v>
      </c>
      <c r="D1182" s="9">
        <v>780.0137</v>
      </c>
      <c r="E1182" s="10" t="str">
        <f t="array" ref="E1182">IFS(D1182&lt;=$G$3,'calculated data '!$A$3,D1182&lt;=$G$4,'calculated data '!$A$4,D1182&lt;=$G$6,'calculated data '!$A$5,D1182&gt;=$G$6,'calculated data '!$A$6)</f>
        <v>Low Demand Tier</v>
      </c>
      <c r="F1182" s="10">
        <f t="shared" si="1"/>
        <v>-0.6425247065</v>
      </c>
    </row>
    <row r="1183" ht="14.25" customHeight="1">
      <c r="A1183" s="2" t="s">
        <v>79</v>
      </c>
      <c r="B1183" s="2" t="s">
        <v>80</v>
      </c>
      <c r="C1183" s="2">
        <v>1999.0</v>
      </c>
      <c r="D1183" s="9">
        <v>781.19635</v>
      </c>
      <c r="E1183" s="10" t="str">
        <f t="array" ref="E1183">IFS(D1183&lt;=$G$3,'calculated data '!$A$3,D1183&lt;=$G$4,'calculated data '!$A$4,D1183&lt;=$G$6,'calculated data '!$A$5,D1183&gt;=$G$6,'calculated data '!$A$6)</f>
        <v>Low Demand Tier</v>
      </c>
      <c r="F1183" s="10">
        <f t="shared" si="1"/>
        <v>-0.6424934021</v>
      </c>
    </row>
    <row r="1184" ht="14.25" customHeight="1">
      <c r="A1184" s="2" t="s">
        <v>79</v>
      </c>
      <c r="B1184" s="2" t="s">
        <v>80</v>
      </c>
      <c r="C1184" s="2">
        <v>2003.0</v>
      </c>
      <c r="D1184" s="9">
        <v>782.7031</v>
      </c>
      <c r="E1184" s="10" t="str">
        <f t="array" ref="E1184">IFS(D1184&lt;=$G$3,'calculated data '!$A$3,D1184&lt;=$G$4,'calculated data '!$A$4,D1184&lt;=$G$6,'calculated data '!$A$5,D1184&gt;=$G$6,'calculated data '!$A$6)</f>
        <v>Low Demand Tier</v>
      </c>
      <c r="F1184" s="10">
        <f t="shared" si="1"/>
        <v>-0.6424535188</v>
      </c>
    </row>
    <row r="1185" ht="14.25" customHeight="1">
      <c r="A1185" s="2" t="s">
        <v>59</v>
      </c>
      <c r="B1185" s="2" t="s">
        <v>60</v>
      </c>
      <c r="C1185" s="2">
        <v>2013.0</v>
      </c>
      <c r="D1185" s="9">
        <v>785.8249</v>
      </c>
      <c r="E1185" s="10" t="str">
        <f t="array" ref="E1185">IFS(D1185&lt;=$G$3,'calculated data '!$A$3,D1185&lt;=$G$4,'calculated data '!$A$4,D1185&lt;=$G$6,'calculated data '!$A$5,D1185&gt;=$G$6,'calculated data '!$A$6)</f>
        <v>Low Demand Tier</v>
      </c>
      <c r="F1185" s="10">
        <f t="shared" si="1"/>
        <v>-0.6423708855</v>
      </c>
    </row>
    <row r="1186" ht="14.25" customHeight="1">
      <c r="A1186" s="2" t="s">
        <v>105</v>
      </c>
      <c r="B1186" s="2" t="s">
        <v>106</v>
      </c>
      <c r="C1186" s="2">
        <v>1992.0</v>
      </c>
      <c r="D1186" s="9">
        <v>786.048</v>
      </c>
      <c r="E1186" s="10" t="str">
        <f t="array" ref="E1186">IFS(D1186&lt;=$G$3,'calculated data '!$A$3,D1186&lt;=$G$4,'calculated data '!$A$4,D1186&lt;=$G$6,'calculated data '!$A$5,D1186&gt;=$G$6,'calculated data '!$A$6)</f>
        <v>Low Demand Tier</v>
      </c>
      <c r="F1186" s="10">
        <f t="shared" si="1"/>
        <v>-0.6423649801</v>
      </c>
    </row>
    <row r="1187" ht="14.25" customHeight="1">
      <c r="A1187" s="2" t="s">
        <v>105</v>
      </c>
      <c r="B1187" s="2" t="s">
        <v>106</v>
      </c>
      <c r="C1187" s="2">
        <v>1993.0</v>
      </c>
      <c r="D1187" s="9">
        <v>786.5064</v>
      </c>
      <c r="E1187" s="10" t="str">
        <f t="array" ref="E1187">IFS(D1187&lt;=$G$3,'calculated data '!$A$3,D1187&lt;=$G$4,'calculated data '!$A$4,D1187&lt;=$G$6,'calculated data '!$A$5,D1187&gt;=$G$6,'calculated data '!$A$6)</f>
        <v>Low Demand Tier</v>
      </c>
      <c r="F1187" s="10">
        <f t="shared" si="1"/>
        <v>-0.6423528464</v>
      </c>
    </row>
    <row r="1188" ht="14.25" customHeight="1">
      <c r="A1188" s="2" t="s">
        <v>121</v>
      </c>
      <c r="B1188" s="2" t="s">
        <v>122</v>
      </c>
      <c r="C1188" s="2">
        <v>2021.0</v>
      </c>
      <c r="D1188" s="9">
        <v>792.08984</v>
      </c>
      <c r="E1188" s="10" t="str">
        <f t="array" ref="E1188">IFS(D1188&lt;=$G$3,'calculated data '!$A$3,D1188&lt;=$G$4,'calculated data '!$A$4,D1188&lt;=$G$6,'calculated data '!$A$5,D1188&gt;=$G$6,'calculated data '!$A$6)</f>
        <v>Low Demand Tier</v>
      </c>
      <c r="F1188" s="10">
        <f t="shared" si="1"/>
        <v>-0.6422050541</v>
      </c>
    </row>
    <row r="1189" ht="14.25" customHeight="1">
      <c r="A1189" s="2" t="s">
        <v>131</v>
      </c>
      <c r="B1189" s="2" t="s">
        <v>132</v>
      </c>
      <c r="C1189" s="2">
        <v>2006.0</v>
      </c>
      <c r="D1189" s="9">
        <v>793.59314</v>
      </c>
      <c r="E1189" s="10" t="str">
        <f t="array" ref="E1189">IFS(D1189&lt;=$G$3,'calculated data '!$A$3,D1189&lt;=$G$4,'calculated data '!$A$4,D1189&lt;=$G$6,'calculated data '!$A$5,D1189&gt;=$G$6,'calculated data '!$A$6)</f>
        <v>Low Demand Tier</v>
      </c>
      <c r="F1189" s="10">
        <f t="shared" si="1"/>
        <v>-0.6421652621</v>
      </c>
    </row>
    <row r="1190" ht="14.25" customHeight="1">
      <c r="A1190" s="2" t="s">
        <v>117</v>
      </c>
      <c r="B1190" s="2" t="s">
        <v>118</v>
      </c>
      <c r="C1190" s="2">
        <v>2021.0</v>
      </c>
      <c r="D1190" s="9">
        <v>794.3664</v>
      </c>
      <c r="E1190" s="10" t="str">
        <f t="array" ref="E1190">IFS(D1190&lt;=$G$3,'calculated data '!$A$3,D1190&lt;=$G$4,'calculated data '!$A$4,D1190&lt;=$G$6,'calculated data '!$A$5,D1190&gt;=$G$6,'calculated data '!$A$6)</f>
        <v>Low Demand Tier</v>
      </c>
      <c r="F1190" s="10">
        <f t="shared" si="1"/>
        <v>-0.6421447941</v>
      </c>
    </row>
    <row r="1191" ht="14.25" customHeight="1">
      <c r="A1191" s="2" t="s">
        <v>121</v>
      </c>
      <c r="B1191" s="2" t="s">
        <v>122</v>
      </c>
      <c r="C1191" s="2">
        <v>1994.0</v>
      </c>
      <c r="D1191" s="9">
        <v>794.7655</v>
      </c>
      <c r="E1191" s="10" t="str">
        <f t="array" ref="E1191">IFS(D1191&lt;=$G$3,'calculated data '!$A$3,D1191&lt;=$G$4,'calculated data '!$A$4,D1191&lt;=$G$6,'calculated data '!$A$5,D1191&gt;=$G$6,'calculated data '!$A$6)</f>
        <v>Low Demand Tier</v>
      </c>
      <c r="F1191" s="10">
        <f t="shared" si="1"/>
        <v>-0.6421342301</v>
      </c>
    </row>
    <row r="1192" ht="14.25" customHeight="1">
      <c r="A1192" s="2" t="s">
        <v>121</v>
      </c>
      <c r="B1192" s="2" t="s">
        <v>122</v>
      </c>
      <c r="C1192" s="2">
        <v>2022.0</v>
      </c>
      <c r="D1192" s="9">
        <v>796.3427</v>
      </c>
      <c r="E1192" s="10" t="str">
        <f t="array" ref="E1192">IFS(D1192&lt;=$G$3,'calculated data '!$A$3,D1192&lt;=$G$4,'calculated data '!$A$4,D1192&lt;=$G$6,'calculated data '!$A$5,D1192&gt;=$G$6,'calculated data '!$A$6)</f>
        <v>Low Demand Tier</v>
      </c>
      <c r="F1192" s="10">
        <f t="shared" si="1"/>
        <v>-0.642092482</v>
      </c>
    </row>
    <row r="1193" ht="14.25" customHeight="1">
      <c r="A1193" s="2" t="s">
        <v>105</v>
      </c>
      <c r="B1193" s="2" t="s">
        <v>106</v>
      </c>
      <c r="C1193" s="2">
        <v>2023.0</v>
      </c>
      <c r="D1193" s="9">
        <v>797.8383</v>
      </c>
      <c r="E1193" s="10" t="str">
        <f t="array" ref="E1193">IFS(D1193&lt;=$G$3,'calculated data '!$A$3,D1193&lt;=$G$4,'calculated data '!$A$4,D1193&lt;=$G$6,'calculated data '!$A$5,D1193&gt;=$G$6,'calculated data '!$A$6)</f>
        <v>Low Demand Tier</v>
      </c>
      <c r="F1193" s="10">
        <f t="shared" si="1"/>
        <v>-0.6420528938</v>
      </c>
    </row>
    <row r="1194" ht="14.25" customHeight="1">
      <c r="A1194" s="2" t="s">
        <v>79</v>
      </c>
      <c r="B1194" s="2" t="s">
        <v>80</v>
      </c>
      <c r="C1194" s="2">
        <v>2004.0</v>
      </c>
      <c r="D1194" s="9">
        <v>797.8928</v>
      </c>
      <c r="E1194" s="10" t="str">
        <f t="array" ref="E1194">IFS(D1194&lt;=$G$3,'calculated data '!$A$3,D1194&lt;=$G$4,'calculated data '!$A$4,D1194&lt;=$G$6,'calculated data '!$A$5,D1194&gt;=$G$6,'calculated data '!$A$6)</f>
        <v>Low Demand Tier</v>
      </c>
      <c r="F1194" s="10">
        <f t="shared" si="1"/>
        <v>-0.6420514512</v>
      </c>
    </row>
    <row r="1195" ht="14.25" customHeight="1">
      <c r="A1195" s="2" t="s">
        <v>117</v>
      </c>
      <c r="B1195" s="2" t="s">
        <v>118</v>
      </c>
      <c r="C1195" s="2">
        <v>2019.0</v>
      </c>
      <c r="D1195" s="9">
        <v>798.17096</v>
      </c>
      <c r="E1195" s="10" t="str">
        <f t="array" ref="E1195">IFS(D1195&lt;=$G$3,'calculated data '!$A$3,D1195&lt;=$G$4,'calculated data '!$A$4,D1195&lt;=$G$6,'calculated data '!$A$5,D1195&gt;=$G$6,'calculated data '!$A$6)</f>
        <v>Low Demand Tier</v>
      </c>
      <c r="F1195" s="10">
        <f t="shared" si="1"/>
        <v>-0.6420440884</v>
      </c>
    </row>
    <row r="1196" ht="14.25" customHeight="1">
      <c r="A1196" s="2" t="s">
        <v>131</v>
      </c>
      <c r="B1196" s="2" t="s">
        <v>132</v>
      </c>
      <c r="C1196" s="2">
        <v>2007.0</v>
      </c>
      <c r="D1196" s="9">
        <v>798.30585</v>
      </c>
      <c r="E1196" s="10" t="str">
        <f t="array" ref="E1196">IFS(D1196&lt;=$G$3,'calculated data '!$A$3,D1196&lt;=$G$4,'calculated data '!$A$4,D1196&lt;=$G$6,'calculated data '!$A$5,D1196&gt;=$G$6,'calculated data '!$A$6)</f>
        <v>Low Demand Tier</v>
      </c>
      <c r="F1196" s="10">
        <f t="shared" si="1"/>
        <v>-0.6420405179</v>
      </c>
    </row>
    <row r="1197" ht="14.25" customHeight="1">
      <c r="A1197" s="2" t="s">
        <v>125</v>
      </c>
      <c r="B1197" s="2" t="s">
        <v>126</v>
      </c>
      <c r="C1197" s="2">
        <v>1989.0</v>
      </c>
      <c r="D1197" s="9">
        <v>798.4615</v>
      </c>
      <c r="E1197" s="10" t="str">
        <f t="array" ref="E1197">IFS(D1197&lt;=$G$3,'calculated data '!$A$3,D1197&lt;=$G$4,'calculated data '!$A$4,D1197&lt;=$G$6,'calculated data '!$A$5,D1197&gt;=$G$6,'calculated data '!$A$6)</f>
        <v>Low Demand Tier</v>
      </c>
      <c r="F1197" s="10">
        <f t="shared" si="1"/>
        <v>-0.6420363979</v>
      </c>
    </row>
    <row r="1198" ht="14.25" customHeight="1">
      <c r="A1198" s="2" t="s">
        <v>129</v>
      </c>
      <c r="B1198" s="2" t="s">
        <v>130</v>
      </c>
      <c r="C1198" s="2">
        <v>1965.0</v>
      </c>
      <c r="D1198" s="9">
        <v>798.53986</v>
      </c>
      <c r="E1198" s="10" t="str">
        <f t="array" ref="E1198">IFS(D1198&lt;=$G$3,'calculated data '!$A$3,D1198&lt;=$G$4,'calculated data '!$A$4,D1198&lt;=$G$6,'calculated data '!$A$5,D1198&gt;=$G$6,'calculated data '!$A$6)</f>
        <v>Low Demand Tier</v>
      </c>
      <c r="F1198" s="10">
        <f t="shared" si="1"/>
        <v>-0.6420343237</v>
      </c>
    </row>
    <row r="1199" ht="14.25" customHeight="1">
      <c r="A1199" s="2" t="s">
        <v>105</v>
      </c>
      <c r="B1199" s="2" t="s">
        <v>106</v>
      </c>
      <c r="C1199" s="2">
        <v>2021.0</v>
      </c>
      <c r="D1199" s="9">
        <v>799.51337</v>
      </c>
      <c r="E1199" s="10" t="str">
        <f t="array" ref="E1199">IFS(D1199&lt;=$G$3,'calculated data '!$A$3,D1199&lt;=$G$4,'calculated data '!$A$4,D1199&lt;=$G$6,'calculated data '!$A$5,D1199&gt;=$G$6,'calculated data '!$A$6)</f>
        <v>Low Demand Tier</v>
      </c>
      <c r="F1199" s="10">
        <f t="shared" si="1"/>
        <v>-0.6420085551</v>
      </c>
    </row>
    <row r="1200" ht="14.25" customHeight="1">
      <c r="A1200" s="2" t="s">
        <v>131</v>
      </c>
      <c r="B1200" s="2" t="s">
        <v>132</v>
      </c>
      <c r="C1200" s="2">
        <v>2005.0</v>
      </c>
      <c r="D1200" s="9">
        <v>801.06744</v>
      </c>
      <c r="E1200" s="10" t="str">
        <f t="array" ref="E1200">IFS(D1200&lt;=$G$3,'calculated data '!$A$3,D1200&lt;=$G$4,'calculated data '!$A$4,D1200&lt;=$G$6,'calculated data '!$A$5,D1200&gt;=$G$6,'calculated data '!$A$6)</f>
        <v>Low Demand Tier</v>
      </c>
      <c r="F1200" s="10">
        <f t="shared" si="1"/>
        <v>-0.6419674193</v>
      </c>
    </row>
    <row r="1201" ht="14.25" customHeight="1">
      <c r="A1201" s="2" t="s">
        <v>107</v>
      </c>
      <c r="B1201" s="2" t="s">
        <v>108</v>
      </c>
      <c r="C1201" s="2">
        <v>2002.0</v>
      </c>
      <c r="D1201" s="9">
        <v>804.3506</v>
      </c>
      <c r="E1201" s="10" t="str">
        <f t="array" ref="E1201">IFS(D1201&lt;=$G$3,'calculated data '!$A$3,D1201&lt;=$G$4,'calculated data '!$A$4,D1201&lt;=$G$6,'calculated data '!$A$5,D1201&gt;=$G$6,'calculated data '!$A$6)</f>
        <v>Low Demand Tier</v>
      </c>
      <c r="F1201" s="10">
        <f t="shared" si="1"/>
        <v>-0.6418805148</v>
      </c>
    </row>
    <row r="1202" ht="14.25" customHeight="1">
      <c r="A1202" s="2" t="s">
        <v>121</v>
      </c>
      <c r="B1202" s="2" t="s">
        <v>122</v>
      </c>
      <c r="C1202" s="2">
        <v>2019.0</v>
      </c>
      <c r="D1202" s="9">
        <v>804.54846</v>
      </c>
      <c r="E1202" s="10" t="str">
        <f t="array" ref="E1202">IFS(D1202&lt;=$G$3,'calculated data '!$A$3,D1202&lt;=$G$4,'calculated data '!$A$4,D1202&lt;=$G$6,'calculated data '!$A$5,D1202&gt;=$G$6,'calculated data '!$A$6)</f>
        <v>Low Demand Tier</v>
      </c>
      <c r="F1202" s="10">
        <f t="shared" si="1"/>
        <v>-0.6418752775</v>
      </c>
    </row>
    <row r="1203" ht="14.25" customHeight="1">
      <c r="A1203" s="2" t="s">
        <v>107</v>
      </c>
      <c r="B1203" s="2" t="s">
        <v>108</v>
      </c>
      <c r="C1203" s="2">
        <v>2001.0</v>
      </c>
      <c r="D1203" s="9">
        <v>804.84686</v>
      </c>
      <c r="E1203" s="10" t="str">
        <f t="array" ref="E1203">IFS(D1203&lt;=$G$3,'calculated data '!$A$3,D1203&lt;=$G$4,'calculated data '!$A$4,D1203&lt;=$G$6,'calculated data '!$A$5,D1203&gt;=$G$6,'calculated data '!$A$6)</f>
        <v>Low Demand Tier</v>
      </c>
      <c r="F1203" s="10">
        <f t="shared" si="1"/>
        <v>-0.641867379</v>
      </c>
    </row>
    <row r="1204" ht="14.25" customHeight="1">
      <c r="A1204" s="2" t="s">
        <v>121</v>
      </c>
      <c r="B1204" s="2" t="s">
        <v>122</v>
      </c>
      <c r="C1204" s="2">
        <v>2018.0</v>
      </c>
      <c r="D1204" s="9">
        <v>805.15027</v>
      </c>
      <c r="E1204" s="10" t="str">
        <f t="array" ref="E1204">IFS(D1204&lt;=$G$3,'calculated data '!$A$3,D1204&lt;=$G$4,'calculated data '!$A$4,D1204&lt;=$G$6,'calculated data '!$A$5,D1204&gt;=$G$6,'calculated data '!$A$6)</f>
        <v>Low Demand Tier</v>
      </c>
      <c r="F1204" s="10">
        <f t="shared" si="1"/>
        <v>-0.6418593478</v>
      </c>
    </row>
    <row r="1205" ht="14.25" customHeight="1">
      <c r="A1205" s="2" t="s">
        <v>105</v>
      </c>
      <c r="B1205" s="2" t="s">
        <v>106</v>
      </c>
      <c r="C1205" s="2">
        <v>2024.0</v>
      </c>
      <c r="D1205" s="9">
        <v>806.0337</v>
      </c>
      <c r="E1205" s="10" t="str">
        <f t="array" ref="E1205">IFS(D1205&lt;=$G$3,'calculated data '!$A$3,D1205&lt;=$G$4,'calculated data '!$A$4,D1205&lt;=$G$6,'calculated data '!$A$5,D1205&gt;=$G$6,'calculated data '!$A$6)</f>
        <v>Low Demand Tier</v>
      </c>
      <c r="F1205" s="10">
        <f t="shared" si="1"/>
        <v>-0.6418359636</v>
      </c>
    </row>
    <row r="1206" ht="14.25" customHeight="1">
      <c r="A1206" s="2" t="s">
        <v>133</v>
      </c>
      <c r="B1206" s="2" t="s">
        <v>134</v>
      </c>
      <c r="C1206" s="2">
        <v>1976.0</v>
      </c>
      <c r="D1206" s="9">
        <v>806.8912</v>
      </c>
      <c r="E1206" s="10" t="str">
        <f t="array" ref="E1206">IFS(D1206&lt;=$G$3,'calculated data '!$A$3,D1206&lt;=$G$4,'calculated data '!$A$4,D1206&lt;=$G$6,'calculated data '!$A$5,D1206&gt;=$G$6,'calculated data '!$A$6)</f>
        <v>Low Demand Tier</v>
      </c>
      <c r="F1206" s="10">
        <f t="shared" si="1"/>
        <v>-0.6418132658</v>
      </c>
    </row>
    <row r="1207" ht="14.25" customHeight="1">
      <c r="A1207" s="2" t="s">
        <v>107</v>
      </c>
      <c r="B1207" s="2" t="s">
        <v>108</v>
      </c>
      <c r="C1207" s="2">
        <v>2000.0</v>
      </c>
      <c r="D1207" s="9">
        <v>807.3022</v>
      </c>
      <c r="E1207" s="10" t="str">
        <f t="array" ref="E1207">IFS(D1207&lt;=$G$3,'calculated data '!$A$3,D1207&lt;=$G$4,'calculated data '!$A$4,D1207&lt;=$G$6,'calculated data '!$A$5,D1207&gt;=$G$6,'calculated data '!$A$6)</f>
        <v>Low Demand Tier</v>
      </c>
      <c r="F1207" s="10">
        <f t="shared" si="1"/>
        <v>-0.6418023867</v>
      </c>
    </row>
    <row r="1208" ht="14.25" customHeight="1">
      <c r="A1208" s="2" t="s">
        <v>127</v>
      </c>
      <c r="B1208" s="2" t="s">
        <v>128</v>
      </c>
      <c r="C1208" s="2">
        <v>1981.0</v>
      </c>
      <c r="D1208" s="9">
        <v>807.95105</v>
      </c>
      <c r="E1208" s="10" t="str">
        <f t="array" ref="E1208">IFS(D1208&lt;=$G$3,'calculated data '!$A$3,D1208&lt;=$G$4,'calculated data '!$A$4,D1208&lt;=$G$6,'calculated data '!$A$5,D1208&gt;=$G$6,'calculated data '!$A$6)</f>
        <v>Low Demand Tier</v>
      </c>
      <c r="F1208" s="10">
        <f t="shared" si="1"/>
        <v>-0.6417852118</v>
      </c>
    </row>
    <row r="1209" ht="14.25" customHeight="1">
      <c r="A1209" s="2" t="s">
        <v>65</v>
      </c>
      <c r="B1209" s="2" t="s">
        <v>66</v>
      </c>
      <c r="C1209" s="2">
        <v>2016.0</v>
      </c>
      <c r="D1209" s="9">
        <v>809.07355</v>
      </c>
      <c r="E1209" s="10" t="str">
        <f t="array" ref="E1209">IFS(D1209&lt;=$G$3,'calculated data '!$A$3,D1209&lt;=$G$4,'calculated data '!$A$4,D1209&lt;=$G$6,'calculated data '!$A$5,D1209&gt;=$G$6,'calculated data '!$A$6)</f>
        <v>Low Demand Tier</v>
      </c>
      <c r="F1209" s="10">
        <f t="shared" si="1"/>
        <v>-0.6417554995</v>
      </c>
    </row>
    <row r="1210" ht="14.25" customHeight="1">
      <c r="A1210" s="2" t="s">
        <v>121</v>
      </c>
      <c r="B1210" s="2" t="s">
        <v>122</v>
      </c>
      <c r="C1210" s="2">
        <v>1988.0</v>
      </c>
      <c r="D1210" s="9">
        <v>810.2234</v>
      </c>
      <c r="E1210" s="10" t="str">
        <f t="array" ref="E1210">IFS(D1210&lt;=$G$3,'calculated data '!$A$3,D1210&lt;=$G$4,'calculated data '!$A$4,D1210&lt;=$G$6,'calculated data '!$A$5,D1210&gt;=$G$6,'calculated data '!$A$6)</f>
        <v>Low Demand Tier</v>
      </c>
      <c r="F1210" s="10">
        <f t="shared" si="1"/>
        <v>-0.6417250633</v>
      </c>
    </row>
    <row r="1211" ht="14.25" customHeight="1">
      <c r="A1211" s="2" t="s">
        <v>85</v>
      </c>
      <c r="B1211" s="2" t="s">
        <v>86</v>
      </c>
      <c r="C1211" s="2">
        <v>2000.0</v>
      </c>
      <c r="D1211" s="9">
        <v>810.3122</v>
      </c>
      <c r="E1211" s="10" t="str">
        <f t="array" ref="E1211">IFS(D1211&lt;=$G$3,'calculated data '!$A$3,D1211&lt;=$G$4,'calculated data '!$A$4,D1211&lt;=$G$6,'calculated data '!$A$5,D1211&gt;=$G$6,'calculated data '!$A$6)</f>
        <v>Low Demand Tier</v>
      </c>
      <c r="F1211" s="10">
        <f t="shared" si="1"/>
        <v>-0.6417227128</v>
      </c>
    </row>
    <row r="1212" ht="14.25" customHeight="1">
      <c r="A1212" s="2" t="s">
        <v>109</v>
      </c>
      <c r="B1212" s="2" t="s">
        <v>110</v>
      </c>
      <c r="C1212" s="2">
        <v>2006.0</v>
      </c>
      <c r="D1212" s="9">
        <v>811.78455</v>
      </c>
      <c r="E1212" s="10" t="str">
        <f t="array" ref="E1212">IFS(D1212&lt;=$G$3,'calculated data '!$A$3,D1212&lt;=$G$4,'calculated data '!$A$4,D1212&lt;=$G$6,'calculated data '!$A$5,D1212&gt;=$G$6,'calculated data '!$A$6)</f>
        <v>Low Demand Tier</v>
      </c>
      <c r="F1212" s="10">
        <f t="shared" si="1"/>
        <v>-0.64168374</v>
      </c>
    </row>
    <row r="1213" ht="14.25" customHeight="1">
      <c r="A1213" s="2" t="s">
        <v>65</v>
      </c>
      <c r="B1213" s="2" t="s">
        <v>66</v>
      </c>
      <c r="C1213" s="2">
        <v>2014.0</v>
      </c>
      <c r="D1213" s="9">
        <v>812.08185</v>
      </c>
      <c r="E1213" s="10" t="str">
        <f t="array" ref="E1213">IFS(D1213&lt;=$G$3,'calculated data '!$A$3,D1213&lt;=$G$4,'calculated data '!$A$4,D1213&lt;=$G$6,'calculated data '!$A$5,D1213&gt;=$G$6,'calculated data '!$A$6)</f>
        <v>Low Demand Tier</v>
      </c>
      <c r="F1213" s="10">
        <f t="shared" si="1"/>
        <v>-0.6416758706</v>
      </c>
    </row>
    <row r="1214" ht="14.25" customHeight="1">
      <c r="A1214" s="2" t="s">
        <v>81</v>
      </c>
      <c r="B1214" s="2" t="s">
        <v>82</v>
      </c>
      <c r="C1214" s="2">
        <v>1980.0</v>
      </c>
      <c r="D1214" s="9">
        <v>812.866</v>
      </c>
      <c r="E1214" s="10" t="str">
        <f t="array" ref="E1214">IFS(D1214&lt;=$G$3,'calculated data '!$A$3,D1214&lt;=$G$4,'calculated data '!$A$4,D1214&lt;=$G$6,'calculated data '!$A$5,D1214&gt;=$G$6,'calculated data '!$A$6)</f>
        <v>Low Demand Tier</v>
      </c>
      <c r="F1214" s="10">
        <f t="shared" si="1"/>
        <v>-0.6416551143</v>
      </c>
    </row>
    <row r="1215" ht="14.25" customHeight="1">
      <c r="A1215" s="2" t="s">
        <v>85</v>
      </c>
      <c r="B1215" s="2" t="s">
        <v>86</v>
      </c>
      <c r="C1215" s="2">
        <v>2002.0</v>
      </c>
      <c r="D1215" s="9">
        <v>813.1622</v>
      </c>
      <c r="E1215" s="10" t="str">
        <f t="array" ref="E1215">IFS(D1215&lt;=$G$3,'calculated data '!$A$3,D1215&lt;=$G$4,'calculated data '!$A$4,D1215&lt;=$G$6,'calculated data '!$A$5,D1215&gt;=$G$6,'calculated data '!$A$6)</f>
        <v>Low Demand Tier</v>
      </c>
      <c r="F1215" s="10">
        <f t="shared" si="1"/>
        <v>-0.641647274</v>
      </c>
    </row>
    <row r="1216" ht="14.25" customHeight="1">
      <c r="A1216" s="2" t="s">
        <v>131</v>
      </c>
      <c r="B1216" s="2" t="s">
        <v>132</v>
      </c>
      <c r="C1216" s="2">
        <v>2004.0</v>
      </c>
      <c r="D1216" s="9">
        <v>814.81036</v>
      </c>
      <c r="E1216" s="10" t="str">
        <f t="array" ref="E1216">IFS(D1216&lt;=$G$3,'calculated data '!$A$3,D1216&lt;=$G$4,'calculated data '!$A$4,D1216&lt;=$G$6,'calculated data '!$A$5,D1216&gt;=$G$6,'calculated data '!$A$6)</f>
        <v>Low Demand Tier</v>
      </c>
      <c r="F1216" s="10">
        <f t="shared" si="1"/>
        <v>-0.6416036476</v>
      </c>
    </row>
    <row r="1217" ht="14.25" customHeight="1">
      <c r="A1217" s="2" t="s">
        <v>57</v>
      </c>
      <c r="B1217" s="2" t="s">
        <v>58</v>
      </c>
      <c r="C1217" s="2">
        <v>1860.0</v>
      </c>
      <c r="D1217" s="9">
        <v>817.39417</v>
      </c>
      <c r="E1217" s="10" t="str">
        <f t="array" ref="E1217">IFS(D1217&lt;=$G$3,'calculated data '!$A$3,D1217&lt;=$G$4,'calculated data '!$A$4,D1217&lt;=$G$6,'calculated data '!$A$5,D1217&gt;=$G$6,'calculated data '!$A$6)</f>
        <v>Low Demand Tier</v>
      </c>
      <c r="F1217" s="10">
        <f t="shared" si="1"/>
        <v>-0.6415352548</v>
      </c>
    </row>
    <row r="1218" ht="14.25" customHeight="1">
      <c r="A1218" s="2" t="s">
        <v>125</v>
      </c>
      <c r="B1218" s="2" t="s">
        <v>126</v>
      </c>
      <c r="C1218" s="2">
        <v>2001.0</v>
      </c>
      <c r="D1218" s="9">
        <v>818.32495</v>
      </c>
      <c r="E1218" s="10" t="str">
        <f t="array" ref="E1218">IFS(D1218&lt;=$G$3,'calculated data '!$A$3,D1218&lt;=$G$4,'calculated data '!$A$4,D1218&lt;=$G$6,'calculated data '!$A$5,D1218&gt;=$G$6,'calculated data '!$A$6)</f>
        <v>Low Demand Tier</v>
      </c>
      <c r="F1218" s="10">
        <f t="shared" si="1"/>
        <v>-0.6415106173</v>
      </c>
    </row>
    <row r="1219" ht="14.25" customHeight="1">
      <c r="A1219" s="2" t="s">
        <v>123</v>
      </c>
      <c r="B1219" s="2" t="s">
        <v>124</v>
      </c>
      <c r="C1219" s="2">
        <v>1983.0</v>
      </c>
      <c r="D1219" s="9">
        <v>819.0006</v>
      </c>
      <c r="E1219" s="10" t="str">
        <f t="array" ref="E1219">IFS(D1219&lt;=$G$3,'calculated data '!$A$3,D1219&lt;=$G$4,'calculated data '!$A$4,D1219&lt;=$G$6,'calculated data '!$A$5,D1219&gt;=$G$6,'calculated data '!$A$6)</f>
        <v>Low Demand Tier</v>
      </c>
      <c r="F1219" s="10">
        <f t="shared" si="1"/>
        <v>-0.641492733</v>
      </c>
    </row>
    <row r="1220" ht="14.25" customHeight="1">
      <c r="A1220" s="2" t="s">
        <v>117</v>
      </c>
      <c r="B1220" s="2" t="s">
        <v>118</v>
      </c>
      <c r="C1220" s="2">
        <v>2018.0</v>
      </c>
      <c r="D1220" s="9">
        <v>819.6267</v>
      </c>
      <c r="E1220" s="10" t="str">
        <f t="array" ref="E1220">IFS(D1220&lt;=$G$3,'calculated data '!$A$3,D1220&lt;=$G$4,'calculated data '!$A$4,D1220&lt;=$G$6,'calculated data '!$A$5,D1220&gt;=$G$6,'calculated data '!$A$6)</f>
        <v>Low Demand Tier</v>
      </c>
      <c r="F1220" s="10">
        <f t="shared" si="1"/>
        <v>-0.6414761603</v>
      </c>
    </row>
    <row r="1221" ht="14.25" customHeight="1">
      <c r="A1221" s="2" t="s">
        <v>135</v>
      </c>
      <c r="B1221" s="2" t="s">
        <v>136</v>
      </c>
      <c r="C1221" s="2">
        <v>1985.0</v>
      </c>
      <c r="D1221" s="9">
        <v>819.7207</v>
      </c>
      <c r="E1221" s="10" t="str">
        <f t="array" ref="E1221">IFS(D1221&lt;=$G$3,'calculated data '!$A$3,D1221&lt;=$G$4,'calculated data '!$A$4,D1221&lt;=$G$6,'calculated data '!$A$5,D1221&gt;=$G$6,'calculated data '!$A$6)</f>
        <v>Low Demand Tier</v>
      </c>
      <c r="F1221" s="10">
        <f t="shared" si="1"/>
        <v>-0.6414736721</v>
      </c>
    </row>
    <row r="1222" ht="14.25" customHeight="1">
      <c r="A1222" s="2" t="s">
        <v>121</v>
      </c>
      <c r="B1222" s="2" t="s">
        <v>122</v>
      </c>
      <c r="C1222" s="2">
        <v>1983.0</v>
      </c>
      <c r="D1222" s="9">
        <v>821.83014</v>
      </c>
      <c r="E1222" s="10" t="str">
        <f t="array" ref="E1222">IFS(D1222&lt;=$G$3,'calculated data '!$A$3,D1222&lt;=$G$4,'calculated data '!$A$4,D1222&lt;=$G$6,'calculated data '!$A$5,D1222&gt;=$G$6,'calculated data '!$A$6)</f>
        <v>Low Demand Tier</v>
      </c>
      <c r="F1222" s="10">
        <f t="shared" si="1"/>
        <v>-0.6414178358</v>
      </c>
    </row>
    <row r="1223" ht="14.25" customHeight="1">
      <c r="A1223" s="2" t="s">
        <v>109</v>
      </c>
      <c r="B1223" s="2" t="s">
        <v>110</v>
      </c>
      <c r="C1223" s="2">
        <v>2013.0</v>
      </c>
      <c r="D1223" s="9">
        <v>822.9725</v>
      </c>
      <c r="E1223" s="10" t="str">
        <f t="array" ref="E1223">IFS(D1223&lt;=$G$3,'calculated data '!$A$3,D1223&lt;=$G$4,'calculated data '!$A$4,D1223&lt;=$G$6,'calculated data '!$A$5,D1223&gt;=$G$6,'calculated data '!$A$6)</f>
        <v>Low Demand Tier</v>
      </c>
      <c r="F1223" s="10">
        <f t="shared" si="1"/>
        <v>-0.6413875978</v>
      </c>
    </row>
    <row r="1224" ht="14.25" customHeight="1">
      <c r="A1224" s="2" t="s">
        <v>95</v>
      </c>
      <c r="B1224" s="2" t="s">
        <v>96</v>
      </c>
      <c r="C1224" s="2">
        <v>2003.0</v>
      </c>
      <c r="D1224" s="9">
        <v>823.0751</v>
      </c>
      <c r="E1224" s="10" t="str">
        <f t="array" ref="E1224">IFS(D1224&lt;=$G$3,'calculated data '!$A$3,D1224&lt;=$G$4,'calculated data '!$A$4,D1224&lt;=$G$6,'calculated data '!$A$5,D1224&gt;=$G$6,'calculated data '!$A$6)</f>
        <v>Low Demand Tier</v>
      </c>
      <c r="F1224" s="10">
        <f t="shared" si="1"/>
        <v>-0.641384882</v>
      </c>
    </row>
    <row r="1225" ht="14.25" customHeight="1">
      <c r="A1225" s="2" t="s">
        <v>77</v>
      </c>
      <c r="B1225" s="2" t="s">
        <v>78</v>
      </c>
      <c r="C1225" s="2">
        <v>2015.0</v>
      </c>
      <c r="D1225" s="9">
        <v>823.6098</v>
      </c>
      <c r="E1225" s="10" t="str">
        <f t="array" ref="E1225">IFS(D1225&lt;=$G$3,'calculated data '!$A$3,D1225&lt;=$G$4,'calculated data '!$A$4,D1225&lt;=$G$6,'calculated data '!$A$5,D1225&gt;=$G$6,'calculated data '!$A$6)</f>
        <v>Low Demand Tier</v>
      </c>
      <c r="F1225" s="10">
        <f t="shared" si="1"/>
        <v>-0.6413707286</v>
      </c>
    </row>
    <row r="1226" ht="14.25" customHeight="1">
      <c r="A1226" s="2" t="s">
        <v>123</v>
      </c>
      <c r="B1226" s="2" t="s">
        <v>124</v>
      </c>
      <c r="C1226" s="2">
        <v>1985.0</v>
      </c>
      <c r="D1226" s="9">
        <v>824.9427</v>
      </c>
      <c r="E1226" s="10" t="str">
        <f t="array" ref="E1226">IFS(D1226&lt;=$G$3,'calculated data '!$A$3,D1226&lt;=$G$4,'calculated data '!$A$4,D1226&lt;=$G$6,'calculated data '!$A$5,D1226&gt;=$G$6,'calculated data '!$A$6)</f>
        <v>Low Demand Tier</v>
      </c>
      <c r="F1226" s="10">
        <f t="shared" si="1"/>
        <v>-0.6413354471</v>
      </c>
    </row>
    <row r="1227" ht="14.25" customHeight="1">
      <c r="A1227" s="2" t="s">
        <v>125</v>
      </c>
      <c r="B1227" s="2" t="s">
        <v>126</v>
      </c>
      <c r="C1227" s="2">
        <v>2006.0</v>
      </c>
      <c r="D1227" s="9">
        <v>825.43085</v>
      </c>
      <c r="E1227" s="10" t="str">
        <f t="array" ref="E1227">IFS(D1227&lt;=$G$3,'calculated data '!$A$3,D1227&lt;=$G$4,'calculated data '!$A$4,D1227&lt;=$G$6,'calculated data '!$A$5,D1227&gt;=$G$6,'calculated data '!$A$6)</f>
        <v>Low Demand Tier</v>
      </c>
      <c r="F1227" s="10">
        <f t="shared" si="1"/>
        <v>-0.6413225259</v>
      </c>
    </row>
    <row r="1228" ht="14.25" customHeight="1">
      <c r="A1228" s="2" t="s">
        <v>129</v>
      </c>
      <c r="B1228" s="2" t="s">
        <v>130</v>
      </c>
      <c r="C1228" s="2">
        <v>1969.0</v>
      </c>
      <c r="D1228" s="9">
        <v>826.9703</v>
      </c>
      <c r="E1228" s="10" t="str">
        <f t="array" ref="E1228">IFS(D1228&lt;=$G$3,'calculated data '!$A$3,D1228&lt;=$G$4,'calculated data '!$A$4,D1228&lt;=$G$6,'calculated data '!$A$5,D1228&gt;=$G$6,'calculated data '!$A$6)</f>
        <v>Low Demand Tier</v>
      </c>
      <c r="F1228" s="10">
        <f t="shared" si="1"/>
        <v>-0.641281777</v>
      </c>
    </row>
    <row r="1229" ht="14.25" customHeight="1">
      <c r="A1229" s="2" t="s">
        <v>119</v>
      </c>
      <c r="B1229" s="2" t="s">
        <v>120</v>
      </c>
      <c r="C1229" s="2">
        <v>2000.0</v>
      </c>
      <c r="D1229" s="9">
        <v>827.21655</v>
      </c>
      <c r="E1229" s="10" t="str">
        <f t="array" ref="E1229">IFS(D1229&lt;=$G$3,'calculated data '!$A$3,D1229&lt;=$G$4,'calculated data '!$A$4,D1229&lt;=$G$6,'calculated data '!$A$5,D1229&gt;=$G$6,'calculated data '!$A$6)</f>
        <v>Low Demand Tier</v>
      </c>
      <c r="F1229" s="10">
        <f t="shared" si="1"/>
        <v>-0.6412752588</v>
      </c>
    </row>
    <row r="1230" ht="14.25" customHeight="1">
      <c r="A1230" s="2" t="s">
        <v>121</v>
      </c>
      <c r="B1230" s="2" t="s">
        <v>122</v>
      </c>
      <c r="C1230" s="2">
        <v>2023.0</v>
      </c>
      <c r="D1230" s="9">
        <v>827.3441</v>
      </c>
      <c r="E1230" s="10" t="str">
        <f t="array" ref="E1230">IFS(D1230&lt;=$G$3,'calculated data '!$A$3,D1230&lt;=$G$4,'calculated data '!$A$4,D1230&lt;=$G$6,'calculated data '!$A$5,D1230&gt;=$G$6,'calculated data '!$A$6)</f>
        <v>Low Demand Tier</v>
      </c>
      <c r="F1230" s="10">
        <f t="shared" si="1"/>
        <v>-0.6412718826</v>
      </c>
    </row>
    <row r="1231" ht="14.25" customHeight="1">
      <c r="A1231" s="2" t="s">
        <v>81</v>
      </c>
      <c r="B1231" s="2" t="s">
        <v>82</v>
      </c>
      <c r="C1231" s="2">
        <v>1985.0</v>
      </c>
      <c r="D1231" s="9">
        <v>828.1528</v>
      </c>
      <c r="E1231" s="10" t="str">
        <f t="array" ref="E1231">IFS(D1231&lt;=$G$3,'calculated data '!$A$3,D1231&lt;=$G$4,'calculated data '!$A$4,D1231&lt;=$G$6,'calculated data '!$A$5,D1231&gt;=$G$6,'calculated data '!$A$6)</f>
        <v>Low Demand Tier</v>
      </c>
      <c r="F1231" s="10">
        <f t="shared" si="1"/>
        <v>-0.6412504765</v>
      </c>
    </row>
    <row r="1232" ht="14.25" customHeight="1">
      <c r="A1232" s="2" t="s">
        <v>135</v>
      </c>
      <c r="B1232" s="2" t="s">
        <v>136</v>
      </c>
      <c r="C1232" s="2">
        <v>1983.0</v>
      </c>
      <c r="D1232" s="9">
        <v>828.66675</v>
      </c>
      <c r="E1232" s="10" t="str">
        <f t="array" ref="E1232">IFS(D1232&lt;=$G$3,'calculated data '!$A$3,D1232&lt;=$G$4,'calculated data '!$A$4,D1232&lt;=$G$6,'calculated data '!$A$5,D1232&gt;=$G$6,'calculated data '!$A$6)</f>
        <v>Low Demand Tier</v>
      </c>
      <c r="F1232" s="10">
        <f t="shared" si="1"/>
        <v>-0.6412368724</v>
      </c>
    </row>
    <row r="1233" ht="14.25" customHeight="1">
      <c r="A1233" s="2" t="s">
        <v>85</v>
      </c>
      <c r="B1233" s="2" t="s">
        <v>86</v>
      </c>
      <c r="C1233" s="2">
        <v>2001.0</v>
      </c>
      <c r="D1233" s="9">
        <v>828.72974</v>
      </c>
      <c r="E1233" s="10" t="str">
        <f t="array" ref="E1233">IFS(D1233&lt;=$G$3,'calculated data '!$A$3,D1233&lt;=$G$4,'calculated data '!$A$4,D1233&lt;=$G$6,'calculated data '!$A$5,D1233&gt;=$G$6,'calculated data '!$A$6)</f>
        <v>Low Demand Tier</v>
      </c>
      <c r="F1233" s="10">
        <f t="shared" si="1"/>
        <v>-0.6412352051</v>
      </c>
    </row>
    <row r="1234" ht="14.25" customHeight="1">
      <c r="A1234" s="2" t="s">
        <v>121</v>
      </c>
      <c r="B1234" s="2" t="s">
        <v>122</v>
      </c>
      <c r="C1234" s="2">
        <v>1985.0</v>
      </c>
      <c r="D1234" s="9">
        <v>829.369</v>
      </c>
      <c r="E1234" s="10" t="str">
        <f t="array" ref="E1234">IFS(D1234&lt;=$G$3,'calculated data '!$A$3,D1234&lt;=$G$4,'calculated data '!$A$4,D1234&lt;=$G$6,'calculated data '!$A$5,D1234&gt;=$G$6,'calculated data '!$A$6)</f>
        <v>Low Demand Tier</v>
      </c>
      <c r="F1234" s="10">
        <f t="shared" si="1"/>
        <v>-0.641218284</v>
      </c>
    </row>
    <row r="1235" ht="14.25" customHeight="1">
      <c r="A1235" s="2" t="s">
        <v>109</v>
      </c>
      <c r="B1235" s="2" t="s">
        <v>110</v>
      </c>
      <c r="C1235" s="2">
        <v>2010.0</v>
      </c>
      <c r="D1235" s="9">
        <v>829.7134</v>
      </c>
      <c r="E1235" s="10" t="str">
        <f t="array" ref="E1235">IFS(D1235&lt;=$G$3,'calculated data '!$A$3,D1235&lt;=$G$4,'calculated data '!$A$4,D1235&lt;=$G$6,'calculated data '!$A$5,D1235&gt;=$G$6,'calculated data '!$A$6)</f>
        <v>Low Demand Tier</v>
      </c>
      <c r="F1235" s="10">
        <f t="shared" si="1"/>
        <v>-0.6412091678</v>
      </c>
    </row>
    <row r="1236" ht="14.25" customHeight="1">
      <c r="A1236" s="2" t="s">
        <v>123</v>
      </c>
      <c r="B1236" s="2" t="s">
        <v>124</v>
      </c>
      <c r="C1236" s="2">
        <v>1980.0</v>
      </c>
      <c r="D1236" s="9">
        <v>831.6448</v>
      </c>
      <c r="E1236" s="10" t="str">
        <f t="array" ref="E1236">IFS(D1236&lt;=$G$3,'calculated data '!$A$3,D1236&lt;=$G$4,'calculated data '!$A$4,D1236&lt;=$G$6,'calculated data '!$A$5,D1236&gt;=$G$6,'calculated data '!$A$6)</f>
        <v>Low Demand Tier</v>
      </c>
      <c r="F1236" s="10">
        <f t="shared" si="1"/>
        <v>-0.6411580442</v>
      </c>
    </row>
    <row r="1237" ht="14.25" customHeight="1">
      <c r="A1237" s="2" t="s">
        <v>95</v>
      </c>
      <c r="B1237" s="2" t="s">
        <v>96</v>
      </c>
      <c r="C1237" s="2">
        <v>2001.0</v>
      </c>
      <c r="D1237" s="9">
        <v>832.12445</v>
      </c>
      <c r="E1237" s="10" t="str">
        <f t="array" ref="E1237">IFS(D1237&lt;=$G$3,'calculated data '!$A$3,D1237&lt;=$G$4,'calculated data '!$A$4,D1237&lt;=$G$6,'calculated data '!$A$5,D1237&gt;=$G$6,'calculated data '!$A$6)</f>
        <v>Low Demand Tier</v>
      </c>
      <c r="F1237" s="10">
        <f t="shared" si="1"/>
        <v>-0.6411453479</v>
      </c>
    </row>
    <row r="1238" ht="14.25" customHeight="1">
      <c r="A1238" s="2" t="s">
        <v>121</v>
      </c>
      <c r="B1238" s="2" t="s">
        <v>122</v>
      </c>
      <c r="C1238" s="2">
        <v>2024.0</v>
      </c>
      <c r="D1238" s="9">
        <v>833.6302</v>
      </c>
      <c r="E1238" s="10" t="str">
        <f t="array" ref="E1238">IFS(D1238&lt;=$G$3,'calculated data '!$A$3,D1238&lt;=$G$4,'calculated data '!$A$4,D1238&lt;=$G$6,'calculated data '!$A$5,D1238&gt;=$G$6,'calculated data '!$A$6)</f>
        <v>Low Demand Tier</v>
      </c>
      <c r="F1238" s="10">
        <f t="shared" si="1"/>
        <v>-0.6411054911</v>
      </c>
    </row>
    <row r="1239" ht="14.25" customHeight="1">
      <c r="A1239" s="2" t="s">
        <v>129</v>
      </c>
      <c r="B1239" s="2" t="s">
        <v>130</v>
      </c>
      <c r="C1239" s="2">
        <v>1971.0</v>
      </c>
      <c r="D1239" s="9">
        <v>834.81055</v>
      </c>
      <c r="E1239" s="10" t="str">
        <f t="array" ref="E1239">IFS(D1239&lt;=$G$3,'calculated data '!$A$3,D1239&lt;=$G$4,'calculated data '!$A$4,D1239&lt;=$G$6,'calculated data '!$A$5,D1239&gt;=$G$6,'calculated data '!$A$6)</f>
        <v>Low Demand Tier</v>
      </c>
      <c r="F1239" s="10">
        <f t="shared" si="1"/>
        <v>-0.6410742476</v>
      </c>
    </row>
    <row r="1240" ht="14.25" customHeight="1">
      <c r="A1240" s="2" t="s">
        <v>117</v>
      </c>
      <c r="B1240" s="2" t="s">
        <v>118</v>
      </c>
      <c r="C1240" s="2">
        <v>2017.0</v>
      </c>
      <c r="D1240" s="9">
        <v>834.887</v>
      </c>
      <c r="E1240" s="10" t="str">
        <f t="array" ref="E1240">IFS(D1240&lt;=$G$3,'calculated data '!$A$3,D1240&lt;=$G$4,'calculated data '!$A$4,D1240&lt;=$G$6,'calculated data '!$A$5,D1240&gt;=$G$6,'calculated data '!$A$6)</f>
        <v>Low Demand Tier</v>
      </c>
      <c r="F1240" s="10">
        <f t="shared" si="1"/>
        <v>-0.6410722239</v>
      </c>
    </row>
    <row r="1241" ht="14.25" customHeight="1">
      <c r="A1241" s="2" t="s">
        <v>105</v>
      </c>
      <c r="B1241" s="2" t="s">
        <v>106</v>
      </c>
      <c r="C1241" s="2">
        <v>1996.0</v>
      </c>
      <c r="D1241" s="9">
        <v>837.542</v>
      </c>
      <c r="E1241" s="10" t="str">
        <f t="array" ref="E1241">IFS(D1241&lt;=$G$3,'calculated data '!$A$3,D1241&lt;=$G$4,'calculated data '!$A$4,D1241&lt;=$G$6,'calculated data '!$A$5,D1241&gt;=$G$6,'calculated data '!$A$6)</f>
        <v>Low Demand Tier</v>
      </c>
      <c r="F1241" s="10">
        <f t="shared" si="1"/>
        <v>-0.6410019468</v>
      </c>
    </row>
    <row r="1242" ht="14.25" customHeight="1">
      <c r="A1242" s="2" t="s">
        <v>109</v>
      </c>
      <c r="B1242" s="2" t="s">
        <v>110</v>
      </c>
      <c r="C1242" s="2">
        <v>2005.0</v>
      </c>
      <c r="D1242" s="9">
        <v>838.0918</v>
      </c>
      <c r="E1242" s="10" t="str">
        <f t="array" ref="E1242">IFS(D1242&lt;=$G$3,'calculated data '!$A$3,D1242&lt;=$G$4,'calculated data '!$A$4,D1242&lt;=$G$6,'calculated data '!$A$5,D1242&gt;=$G$6,'calculated data '!$A$6)</f>
        <v>Low Demand Tier</v>
      </c>
      <c r="F1242" s="10">
        <f t="shared" si="1"/>
        <v>-0.6409873937</v>
      </c>
    </row>
    <row r="1243" ht="14.25" customHeight="1">
      <c r="A1243" s="2" t="s">
        <v>61</v>
      </c>
      <c r="B1243" s="2" t="s">
        <v>62</v>
      </c>
      <c r="C1243" s="2">
        <v>2015.0</v>
      </c>
      <c r="D1243" s="9">
        <v>838.4048</v>
      </c>
      <c r="E1243" s="10" t="str">
        <f t="array" ref="E1243">IFS(D1243&lt;=$G$3,'calculated data '!$A$3,D1243&lt;=$G$4,'calculated data '!$A$4,D1243&lt;=$G$6,'calculated data '!$A$5,D1243&gt;=$G$6,'calculated data '!$A$6)</f>
        <v>Low Demand Tier</v>
      </c>
      <c r="F1243" s="10">
        <f t="shared" si="1"/>
        <v>-0.6409791086</v>
      </c>
    </row>
    <row r="1244" ht="14.25" customHeight="1">
      <c r="A1244" s="2" t="s">
        <v>127</v>
      </c>
      <c r="B1244" s="2" t="s">
        <v>128</v>
      </c>
      <c r="C1244" s="2">
        <v>1984.0</v>
      </c>
      <c r="D1244" s="9">
        <v>840.2416</v>
      </c>
      <c r="E1244" s="10" t="str">
        <f t="array" ref="E1244">IFS(D1244&lt;=$G$3,'calculated data '!$A$3,D1244&lt;=$G$4,'calculated data '!$A$4,D1244&lt;=$G$6,'calculated data '!$A$5,D1244&gt;=$G$6,'calculated data '!$A$6)</f>
        <v>Low Demand Tier</v>
      </c>
      <c r="F1244" s="10">
        <f t="shared" si="1"/>
        <v>-0.640930489</v>
      </c>
    </row>
    <row r="1245" ht="14.25" customHeight="1">
      <c r="A1245" s="2" t="s">
        <v>133</v>
      </c>
      <c r="B1245" s="2" t="s">
        <v>134</v>
      </c>
      <c r="C1245" s="2">
        <v>1977.0</v>
      </c>
      <c r="D1245" s="9">
        <v>840.5878</v>
      </c>
      <c r="E1245" s="10" t="str">
        <f t="array" ref="E1245">IFS(D1245&lt;=$G$3,'calculated data '!$A$3,D1245&lt;=$G$4,'calculated data '!$A$4,D1245&lt;=$G$6,'calculated data '!$A$5,D1245&gt;=$G$6,'calculated data '!$A$6)</f>
        <v>Low Demand Tier</v>
      </c>
      <c r="F1245" s="10">
        <f t="shared" si="1"/>
        <v>-0.6409213252</v>
      </c>
    </row>
    <row r="1246" ht="14.25" customHeight="1">
      <c r="A1246" s="2" t="s">
        <v>121</v>
      </c>
      <c r="B1246" s="2" t="s">
        <v>122</v>
      </c>
      <c r="C1246" s="2">
        <v>1987.0</v>
      </c>
      <c r="D1246" s="9">
        <v>841.942</v>
      </c>
      <c r="E1246" s="10" t="str">
        <f t="array" ref="E1246">IFS(D1246&lt;=$G$3,'calculated data '!$A$3,D1246&lt;=$G$4,'calculated data '!$A$4,D1246&lt;=$G$6,'calculated data '!$A$5,D1246&gt;=$G$6,'calculated data '!$A$6)</f>
        <v>Low Demand Tier</v>
      </c>
      <c r="F1246" s="10">
        <f t="shared" si="1"/>
        <v>-0.6408854798</v>
      </c>
    </row>
    <row r="1247" ht="14.25" customHeight="1">
      <c r="A1247" s="2" t="s">
        <v>135</v>
      </c>
      <c r="B1247" s="2" t="s">
        <v>136</v>
      </c>
      <c r="C1247" s="2">
        <v>1984.0</v>
      </c>
      <c r="D1247" s="9">
        <v>842.0171</v>
      </c>
      <c r="E1247" s="10" t="str">
        <f t="array" ref="E1247">IFS(D1247&lt;=$G$3,'calculated data '!$A$3,D1247&lt;=$G$4,'calculated data '!$A$4,D1247&lt;=$G$6,'calculated data '!$A$5,D1247&gt;=$G$6,'calculated data '!$A$6)</f>
        <v>Low Demand Tier</v>
      </c>
      <c r="F1247" s="10">
        <f t="shared" si="1"/>
        <v>-0.640883492</v>
      </c>
    </row>
    <row r="1248" ht="14.25" customHeight="1">
      <c r="A1248" s="2" t="s">
        <v>133</v>
      </c>
      <c r="B1248" s="2" t="s">
        <v>134</v>
      </c>
      <c r="C1248" s="2">
        <v>1978.0</v>
      </c>
      <c r="D1248" s="9">
        <v>842.5862</v>
      </c>
      <c r="E1248" s="10" t="str">
        <f t="array" ref="E1248">IFS(D1248&lt;=$G$3,'calculated data '!$A$3,D1248&lt;=$G$4,'calculated data '!$A$4,D1248&lt;=$G$6,'calculated data '!$A$5,D1248&gt;=$G$6,'calculated data '!$A$6)</f>
        <v>Low Demand Tier</v>
      </c>
      <c r="F1248" s="10">
        <f t="shared" si="1"/>
        <v>-0.640868428</v>
      </c>
    </row>
    <row r="1249" ht="14.25" customHeight="1">
      <c r="A1249" s="2" t="s">
        <v>65</v>
      </c>
      <c r="B1249" s="2" t="s">
        <v>66</v>
      </c>
      <c r="C1249" s="2">
        <v>1985.0</v>
      </c>
      <c r="D1249" s="9">
        <v>842.73096</v>
      </c>
      <c r="E1249" s="10" t="str">
        <f t="array" ref="E1249">IFS(D1249&lt;=$G$3,'calculated data '!$A$3,D1249&lt;=$G$4,'calculated data '!$A$4,D1249&lt;=$G$6,'calculated data '!$A$5,D1249&gt;=$G$6,'calculated data '!$A$6)</f>
        <v>Low Demand Tier</v>
      </c>
      <c r="F1249" s="10">
        <f t="shared" si="1"/>
        <v>-0.6408645963</v>
      </c>
    </row>
    <row r="1250" ht="14.25" customHeight="1">
      <c r="A1250" s="2" t="s">
        <v>123</v>
      </c>
      <c r="B1250" s="2" t="s">
        <v>124</v>
      </c>
      <c r="C1250" s="2">
        <v>1981.0</v>
      </c>
      <c r="D1250" s="9">
        <v>844.3963</v>
      </c>
      <c r="E1250" s="10" t="str">
        <f t="array" ref="E1250">IFS(D1250&lt;=$G$3,'calculated data '!$A$3,D1250&lt;=$G$4,'calculated data '!$A$4,D1250&lt;=$G$6,'calculated data '!$A$5,D1250&gt;=$G$6,'calculated data '!$A$6)</f>
        <v>Low Demand Tier</v>
      </c>
      <c r="F1250" s="10">
        <f t="shared" si="1"/>
        <v>-0.6408205151</v>
      </c>
    </row>
    <row r="1251" ht="14.25" customHeight="1">
      <c r="A1251" s="2" t="s">
        <v>117</v>
      </c>
      <c r="B1251" s="2" t="s">
        <v>118</v>
      </c>
      <c r="C1251" s="2">
        <v>2022.0</v>
      </c>
      <c r="D1251" s="9">
        <v>845.4189</v>
      </c>
      <c r="E1251" s="10" t="str">
        <f t="array" ref="E1251">IFS(D1251&lt;=$G$3,'calculated data '!$A$3,D1251&lt;=$G$4,'calculated data '!$A$4,D1251&lt;=$G$6,'calculated data '!$A$5,D1251&gt;=$G$6,'calculated data '!$A$6)</f>
        <v>Low Demand Tier</v>
      </c>
      <c r="F1251" s="10">
        <f t="shared" si="1"/>
        <v>-0.6407934472</v>
      </c>
    </row>
    <row r="1252" ht="14.25" customHeight="1">
      <c r="A1252" s="2" t="s">
        <v>123</v>
      </c>
      <c r="B1252" s="2" t="s">
        <v>124</v>
      </c>
      <c r="C1252" s="2">
        <v>1987.0</v>
      </c>
      <c r="D1252" s="9">
        <v>847.1703</v>
      </c>
      <c r="E1252" s="10" t="str">
        <f t="array" ref="E1252">IFS(D1252&lt;=$G$3,'calculated data '!$A$3,D1252&lt;=$G$4,'calculated data '!$A$4,D1252&lt;=$G$6,'calculated data '!$A$5,D1252&gt;=$G$6,'calculated data '!$A$6)</f>
        <v>Low Demand Tier</v>
      </c>
      <c r="F1252" s="10">
        <f t="shared" si="1"/>
        <v>-0.640747088</v>
      </c>
    </row>
    <row r="1253" ht="14.25" customHeight="1">
      <c r="A1253" s="2" t="s">
        <v>81</v>
      </c>
      <c r="B1253" s="2" t="s">
        <v>82</v>
      </c>
      <c r="C1253" s="2">
        <v>1986.0</v>
      </c>
      <c r="D1253" s="9">
        <v>848.06335</v>
      </c>
      <c r="E1253" s="10" t="str">
        <f t="array" ref="E1253">IFS(D1253&lt;=$G$3,'calculated data '!$A$3,D1253&lt;=$G$4,'calculated data '!$A$4,D1253&lt;=$G$6,'calculated data '!$A$5,D1253&gt;=$G$6,'calculated data '!$A$6)</f>
        <v>Low Demand Tier</v>
      </c>
      <c r="F1253" s="10">
        <f t="shared" si="1"/>
        <v>-0.6407234492</v>
      </c>
    </row>
    <row r="1254" ht="14.25" customHeight="1">
      <c r="A1254" s="2" t="s">
        <v>59</v>
      </c>
      <c r="B1254" s="2" t="s">
        <v>60</v>
      </c>
      <c r="C1254" s="2">
        <v>2014.0</v>
      </c>
      <c r="D1254" s="9">
        <v>848.1533</v>
      </c>
      <c r="E1254" s="10" t="str">
        <f t="array" ref="E1254">IFS(D1254&lt;=$G$3,'calculated data '!$A$3,D1254&lt;=$G$4,'calculated data '!$A$4,D1254&lt;=$G$6,'calculated data '!$A$5,D1254&gt;=$G$6,'calculated data '!$A$6)</f>
        <v>Low Demand Tier</v>
      </c>
      <c r="F1254" s="10">
        <f t="shared" si="1"/>
        <v>-0.6407210683</v>
      </c>
    </row>
    <row r="1255" ht="14.25" customHeight="1">
      <c r="A1255" s="2" t="s">
        <v>127</v>
      </c>
      <c r="B1255" s="2" t="s">
        <v>128</v>
      </c>
      <c r="C1255" s="2">
        <v>1980.0</v>
      </c>
      <c r="D1255" s="9">
        <v>851.15186</v>
      </c>
      <c r="E1255" s="10" t="str">
        <f t="array" ref="E1255">IFS(D1255&lt;=$G$3,'calculated data '!$A$3,D1255&lt;=$G$4,'calculated data '!$A$4,D1255&lt;=$G$6,'calculated data '!$A$5,D1255&gt;=$G$6,'calculated data '!$A$6)</f>
        <v>Low Demand Tier</v>
      </c>
      <c r="F1255" s="10">
        <f t="shared" si="1"/>
        <v>-0.6406416971</v>
      </c>
    </row>
    <row r="1256" ht="14.25" customHeight="1">
      <c r="A1256" s="2" t="s">
        <v>125</v>
      </c>
      <c r="B1256" s="2" t="s">
        <v>126</v>
      </c>
      <c r="C1256" s="2">
        <v>1982.0</v>
      </c>
      <c r="D1256" s="9">
        <v>851.21027</v>
      </c>
      <c r="E1256" s="10" t="str">
        <f t="array" ref="E1256">IFS(D1256&lt;=$G$3,'calculated data '!$A$3,D1256&lt;=$G$4,'calculated data '!$A$4,D1256&lt;=$G$6,'calculated data '!$A$5,D1256&gt;=$G$6,'calculated data '!$A$6)</f>
        <v>Low Demand Tier</v>
      </c>
      <c r="F1256" s="10">
        <f t="shared" si="1"/>
        <v>-0.640640151</v>
      </c>
    </row>
    <row r="1257" ht="14.25" customHeight="1">
      <c r="A1257" s="2" t="s">
        <v>127</v>
      </c>
      <c r="B1257" s="2" t="s">
        <v>128</v>
      </c>
      <c r="C1257" s="2">
        <v>1996.0</v>
      </c>
      <c r="D1257" s="9">
        <v>852.4865</v>
      </c>
      <c r="E1257" s="10" t="str">
        <f t="array" ref="E1257">IFS(D1257&lt;=$G$3,'calculated data '!$A$3,D1257&lt;=$G$4,'calculated data '!$A$4,D1257&lt;=$G$6,'calculated data '!$A$5,D1257&gt;=$G$6,'calculated data '!$A$6)</f>
        <v>Low Demand Tier</v>
      </c>
      <c r="F1257" s="10">
        <f t="shared" si="1"/>
        <v>-0.6406063696</v>
      </c>
    </row>
    <row r="1258" ht="14.25" customHeight="1">
      <c r="A1258" s="2" t="s">
        <v>121</v>
      </c>
      <c r="B1258" s="2" t="s">
        <v>122</v>
      </c>
      <c r="C1258" s="2">
        <v>1982.0</v>
      </c>
      <c r="D1258" s="9">
        <v>852.7057</v>
      </c>
      <c r="E1258" s="10" t="str">
        <f t="array" ref="E1258">IFS(D1258&lt;=$G$3,'calculated data '!$A$3,D1258&lt;=$G$4,'calculated data '!$A$4,D1258&lt;=$G$6,'calculated data '!$A$5,D1258&gt;=$G$6,'calculated data '!$A$6)</f>
        <v>Low Demand Tier</v>
      </c>
      <c r="F1258" s="10">
        <f t="shared" si="1"/>
        <v>-0.6406005674</v>
      </c>
    </row>
    <row r="1259" ht="14.25" customHeight="1">
      <c r="A1259" s="2" t="s">
        <v>129</v>
      </c>
      <c r="B1259" s="2" t="s">
        <v>130</v>
      </c>
      <c r="C1259" s="2">
        <v>1970.0</v>
      </c>
      <c r="D1259" s="9">
        <v>853.9481</v>
      </c>
      <c r="E1259" s="10" t="str">
        <f t="array" ref="E1259">IFS(D1259&lt;=$G$3,'calculated data '!$A$3,D1259&lt;=$G$4,'calculated data '!$A$4,D1259&lt;=$G$6,'calculated data '!$A$5,D1259&gt;=$G$6,'calculated data '!$A$6)</f>
        <v>Low Demand Tier</v>
      </c>
      <c r="F1259" s="10">
        <f t="shared" si="1"/>
        <v>-0.6405676814</v>
      </c>
    </row>
    <row r="1260" ht="14.25" customHeight="1">
      <c r="A1260" s="2" t="s">
        <v>131</v>
      </c>
      <c r="B1260" s="2" t="s">
        <v>132</v>
      </c>
      <c r="C1260" s="2">
        <v>2008.0</v>
      </c>
      <c r="D1260" s="9">
        <v>853.9648</v>
      </c>
      <c r="E1260" s="10" t="str">
        <f t="array" ref="E1260">IFS(D1260&lt;=$G$3,'calculated data '!$A$3,D1260&lt;=$G$4,'calculated data '!$A$4,D1260&lt;=$G$6,'calculated data '!$A$5,D1260&gt;=$G$6,'calculated data '!$A$6)</f>
        <v>Low Demand Tier</v>
      </c>
      <c r="F1260" s="10">
        <f t="shared" si="1"/>
        <v>-0.6405672393</v>
      </c>
    </row>
    <row r="1261" ht="14.25" customHeight="1">
      <c r="A1261" s="2" t="s">
        <v>105</v>
      </c>
      <c r="B1261" s="2" t="s">
        <v>106</v>
      </c>
      <c r="C1261" s="2">
        <v>1995.0</v>
      </c>
      <c r="D1261" s="9">
        <v>854.10614</v>
      </c>
      <c r="E1261" s="10" t="str">
        <f t="array" ref="E1261">IFS(D1261&lt;=$G$3,'calculated data '!$A$3,D1261&lt;=$G$4,'calculated data '!$A$4,D1261&lt;=$G$6,'calculated data '!$A$5,D1261&gt;=$G$6,'calculated data '!$A$6)</f>
        <v>Low Demand Tier</v>
      </c>
      <c r="F1261" s="10">
        <f t="shared" si="1"/>
        <v>-0.6405634981</v>
      </c>
    </row>
    <row r="1262" ht="14.25" customHeight="1">
      <c r="A1262" s="2" t="s">
        <v>95</v>
      </c>
      <c r="B1262" s="2" t="s">
        <v>96</v>
      </c>
      <c r="C1262" s="2">
        <v>1989.0</v>
      </c>
      <c r="D1262" s="9">
        <v>855.7686</v>
      </c>
      <c r="E1262" s="10" t="str">
        <f t="array" ref="E1262">IFS(D1262&lt;=$G$3,'calculated data '!$A$3,D1262&lt;=$G$4,'calculated data '!$A$4,D1262&lt;=$G$6,'calculated data '!$A$5,D1262&gt;=$G$6,'calculated data '!$A$6)</f>
        <v>Low Demand Tier</v>
      </c>
      <c r="F1262" s="10">
        <f t="shared" si="1"/>
        <v>-0.6405194932</v>
      </c>
    </row>
    <row r="1263" ht="14.25" customHeight="1">
      <c r="A1263" s="2" t="s">
        <v>105</v>
      </c>
      <c r="B1263" s="2" t="s">
        <v>106</v>
      </c>
      <c r="C1263" s="2">
        <v>1999.0</v>
      </c>
      <c r="D1263" s="9">
        <v>856.27435</v>
      </c>
      <c r="E1263" s="10" t="str">
        <f t="array" ref="E1263">IFS(D1263&lt;=$G$3,'calculated data '!$A$3,D1263&lt;=$G$4,'calculated data '!$A$4,D1263&lt;=$G$6,'calculated data '!$A$5,D1263&gt;=$G$6,'calculated data '!$A$6)</f>
        <v>Low Demand Tier</v>
      </c>
      <c r="F1263" s="10">
        <f t="shared" si="1"/>
        <v>-0.6405061061</v>
      </c>
    </row>
    <row r="1264" ht="14.25" customHeight="1">
      <c r="A1264" s="2" t="s">
        <v>123</v>
      </c>
      <c r="B1264" s="2" t="s">
        <v>124</v>
      </c>
      <c r="C1264" s="2">
        <v>1989.0</v>
      </c>
      <c r="D1264" s="9">
        <v>857.4726</v>
      </c>
      <c r="E1264" s="10" t="str">
        <f t="array" ref="E1264">IFS(D1264&lt;=$G$3,'calculated data '!$A$3,D1264&lt;=$G$4,'calculated data '!$A$4,D1264&lt;=$G$6,'calculated data '!$A$5,D1264&gt;=$G$6,'calculated data '!$A$6)</f>
        <v>Low Demand Tier</v>
      </c>
      <c r="F1264" s="10">
        <f t="shared" si="1"/>
        <v>-0.6404743887</v>
      </c>
    </row>
    <row r="1265" ht="14.25" customHeight="1">
      <c r="A1265" s="2" t="s">
        <v>107</v>
      </c>
      <c r="B1265" s="2" t="s">
        <v>108</v>
      </c>
      <c r="C1265" s="2">
        <v>1987.0</v>
      </c>
      <c r="D1265" s="9">
        <v>858.2478</v>
      </c>
      <c r="E1265" s="10" t="str">
        <f t="array" ref="E1265">IFS(D1265&lt;=$G$3,'calculated data '!$A$3,D1265&lt;=$G$4,'calculated data '!$A$4,D1265&lt;=$G$6,'calculated data '!$A$5,D1265&gt;=$G$6,'calculated data '!$A$6)</f>
        <v>Low Demand Tier</v>
      </c>
      <c r="F1265" s="10">
        <f t="shared" si="1"/>
        <v>-0.6404538694</v>
      </c>
    </row>
    <row r="1266" ht="14.25" customHeight="1">
      <c r="A1266" s="2" t="s">
        <v>105</v>
      </c>
      <c r="B1266" s="2" t="s">
        <v>106</v>
      </c>
      <c r="C1266" s="2">
        <v>1998.0</v>
      </c>
      <c r="D1266" s="9">
        <v>860.71216</v>
      </c>
      <c r="E1266" s="10" t="str">
        <f t="array" ref="E1266">IFS(D1266&lt;=$G$3,'calculated data '!$A$3,D1266&lt;=$G$4,'calculated data '!$A$4,D1266&lt;=$G$6,'calculated data '!$A$5,D1266&gt;=$G$6,'calculated data '!$A$6)</f>
        <v>Low Demand Tier</v>
      </c>
      <c r="F1266" s="10">
        <f t="shared" si="1"/>
        <v>-0.6403886384</v>
      </c>
    </row>
    <row r="1267" ht="14.25" customHeight="1">
      <c r="A1267" s="2" t="s">
        <v>117</v>
      </c>
      <c r="B1267" s="2" t="s">
        <v>118</v>
      </c>
      <c r="C1267" s="2">
        <v>2006.0</v>
      </c>
      <c r="D1267" s="9">
        <v>861.28796</v>
      </c>
      <c r="E1267" s="10" t="str">
        <f t="array" ref="E1267">IFS(D1267&lt;=$G$3,'calculated data '!$A$3,D1267&lt;=$G$4,'calculated data '!$A$4,D1267&lt;=$G$6,'calculated data '!$A$5,D1267&gt;=$G$6,'calculated data '!$A$6)</f>
        <v>Low Demand Tier</v>
      </c>
      <c r="F1267" s="10">
        <f t="shared" si="1"/>
        <v>-0.6403733971</v>
      </c>
    </row>
    <row r="1268" ht="14.25" customHeight="1">
      <c r="A1268" s="2" t="s">
        <v>77</v>
      </c>
      <c r="B1268" s="2" t="s">
        <v>78</v>
      </c>
      <c r="C1268" s="2">
        <v>2017.0</v>
      </c>
      <c r="D1268" s="9">
        <v>862.7114</v>
      </c>
      <c r="E1268" s="10" t="str">
        <f t="array" ref="E1268">IFS(D1268&lt;=$G$3,'calculated data '!$A$3,D1268&lt;=$G$4,'calculated data '!$A$4,D1268&lt;=$G$6,'calculated data '!$A$5,D1268&gt;=$G$6,'calculated data '!$A$6)</f>
        <v>Low Demand Tier</v>
      </c>
      <c r="F1268" s="10">
        <f t="shared" si="1"/>
        <v>-0.640335719</v>
      </c>
    </row>
    <row r="1269" ht="14.25" customHeight="1">
      <c r="A1269" s="2" t="s">
        <v>125</v>
      </c>
      <c r="B1269" s="2" t="s">
        <v>126</v>
      </c>
      <c r="C1269" s="2">
        <v>1992.0</v>
      </c>
      <c r="D1269" s="9">
        <v>864.1203</v>
      </c>
      <c r="E1269" s="10" t="str">
        <f t="array" ref="E1269">IFS(D1269&lt;=$G$3,'calculated data '!$A$3,D1269&lt;=$G$4,'calculated data '!$A$4,D1269&lt;=$G$6,'calculated data '!$A$5,D1269&gt;=$G$6,'calculated data '!$A$6)</f>
        <v>Low Demand Tier</v>
      </c>
      <c r="F1269" s="10">
        <f t="shared" si="1"/>
        <v>-0.6402984258</v>
      </c>
    </row>
    <row r="1270" ht="14.25" customHeight="1">
      <c r="A1270" s="2" t="s">
        <v>125</v>
      </c>
      <c r="B1270" s="2" t="s">
        <v>126</v>
      </c>
      <c r="C1270" s="2">
        <v>2015.0</v>
      </c>
      <c r="D1270" s="9">
        <v>864.3005</v>
      </c>
      <c r="E1270" s="10" t="str">
        <f t="array" ref="E1270">IFS(D1270&lt;=$G$3,'calculated data '!$A$3,D1270&lt;=$G$4,'calculated data '!$A$4,D1270&lt;=$G$6,'calculated data '!$A$5,D1270&gt;=$G$6,'calculated data '!$A$6)</f>
        <v>Low Demand Tier</v>
      </c>
      <c r="F1270" s="10">
        <f t="shared" si="1"/>
        <v>-0.6402936559</v>
      </c>
    </row>
    <row r="1271" ht="14.25" customHeight="1">
      <c r="A1271" s="2" t="s">
        <v>121</v>
      </c>
      <c r="B1271" s="2" t="s">
        <v>122</v>
      </c>
      <c r="C1271" s="2">
        <v>1984.0</v>
      </c>
      <c r="D1271" s="9">
        <v>865.1282</v>
      </c>
      <c r="E1271" s="10" t="str">
        <f t="array" ref="E1271">IFS(D1271&lt;=$G$3,'calculated data '!$A$3,D1271&lt;=$G$4,'calculated data '!$A$4,D1271&lt;=$G$6,'calculated data '!$A$5,D1271&gt;=$G$6,'calculated data '!$A$6)</f>
        <v>Low Demand Tier</v>
      </c>
      <c r="F1271" s="10">
        <f t="shared" si="1"/>
        <v>-0.6402717469</v>
      </c>
    </row>
    <row r="1272" ht="14.25" customHeight="1">
      <c r="A1272" s="2" t="s">
        <v>129</v>
      </c>
      <c r="B1272" s="2" t="s">
        <v>130</v>
      </c>
      <c r="C1272" s="2">
        <v>1972.0</v>
      </c>
      <c r="D1272" s="9">
        <v>865.7341</v>
      </c>
      <c r="E1272" s="10" t="str">
        <f t="array" ref="E1272">IFS(D1272&lt;=$G$3,'calculated data '!$A$3,D1272&lt;=$G$4,'calculated data '!$A$4,D1272&lt;=$G$6,'calculated data '!$A$5,D1272&gt;=$G$6,'calculated data '!$A$6)</f>
        <v>Low Demand Tier</v>
      </c>
      <c r="F1272" s="10">
        <f t="shared" si="1"/>
        <v>-0.6402557089</v>
      </c>
    </row>
    <row r="1273" ht="14.25" customHeight="1">
      <c r="A1273" s="2" t="s">
        <v>137</v>
      </c>
      <c r="B1273" s="2" t="s">
        <v>138</v>
      </c>
      <c r="C1273" s="2">
        <v>1999.0</v>
      </c>
      <c r="D1273" s="9">
        <v>866.2936</v>
      </c>
      <c r="E1273" s="10" t="str">
        <f t="array" ref="E1273">IFS(D1273&lt;=$G$3,'calculated data '!$A$3,D1273&lt;=$G$4,'calculated data '!$A$4,D1273&lt;=$G$6,'calculated data '!$A$5,D1273&gt;=$G$6,'calculated data '!$A$6)</f>
        <v>Low Demand Tier</v>
      </c>
      <c r="F1273" s="10">
        <f t="shared" si="1"/>
        <v>-0.6402408991</v>
      </c>
    </row>
    <row r="1274" ht="14.25" customHeight="1">
      <c r="A1274" s="2" t="s">
        <v>103</v>
      </c>
      <c r="B1274" s="2" t="s">
        <v>104</v>
      </c>
      <c r="C1274" s="2">
        <v>2017.0</v>
      </c>
      <c r="D1274" s="9">
        <v>866.5156</v>
      </c>
      <c r="E1274" s="10" t="str">
        <f t="array" ref="E1274">IFS(D1274&lt;=$G$3,'calculated data '!$A$3,D1274&lt;=$G$4,'calculated data '!$A$4,D1274&lt;=$G$6,'calculated data '!$A$5,D1274&gt;=$G$6,'calculated data '!$A$6)</f>
        <v>Low Demand Tier</v>
      </c>
      <c r="F1274" s="10">
        <f t="shared" si="1"/>
        <v>-0.6402350228</v>
      </c>
    </row>
    <row r="1275" ht="14.25" customHeight="1">
      <c r="A1275" s="2" t="s">
        <v>21</v>
      </c>
      <c r="B1275" s="2" t="s">
        <v>22</v>
      </c>
      <c r="C1275" s="2">
        <v>1995.0</v>
      </c>
      <c r="D1275" s="9">
        <v>867.7023</v>
      </c>
      <c r="E1275" s="10" t="str">
        <f t="array" ref="E1275">IFS(D1275&lt;=$G$3,'calculated data '!$A$3,D1275&lt;=$G$4,'calculated data '!$A$4,D1275&lt;=$G$6,'calculated data '!$A$5,D1275&gt;=$G$6,'calculated data '!$A$6)</f>
        <v>Low Demand Tier</v>
      </c>
      <c r="F1275" s="10">
        <f t="shared" si="1"/>
        <v>-0.6402036111</v>
      </c>
    </row>
    <row r="1276" ht="14.25" customHeight="1">
      <c r="A1276" s="2" t="s">
        <v>119</v>
      </c>
      <c r="B1276" s="2" t="s">
        <v>120</v>
      </c>
      <c r="C1276" s="2">
        <v>2001.0</v>
      </c>
      <c r="D1276" s="9">
        <v>868.49243</v>
      </c>
      <c r="E1276" s="10" t="str">
        <f t="array" ref="E1276">IFS(D1276&lt;=$G$3,'calculated data '!$A$3,D1276&lt;=$G$4,'calculated data '!$A$4,D1276&lt;=$G$6,'calculated data '!$A$5,D1276&gt;=$G$6,'calculated data '!$A$6)</f>
        <v>Low Demand Tier</v>
      </c>
      <c r="F1276" s="10">
        <f t="shared" si="1"/>
        <v>-0.6401826966</v>
      </c>
    </row>
    <row r="1277" ht="14.25" customHeight="1">
      <c r="A1277" s="2" t="s">
        <v>105</v>
      </c>
      <c r="B1277" s="2" t="s">
        <v>106</v>
      </c>
      <c r="C1277" s="2">
        <v>1997.0</v>
      </c>
      <c r="D1277" s="9">
        <v>869.22125</v>
      </c>
      <c r="E1277" s="10" t="str">
        <f t="array" ref="E1277">IFS(D1277&lt;=$G$3,'calculated data '!$A$3,D1277&lt;=$G$4,'calculated data '!$A$4,D1277&lt;=$G$6,'calculated data '!$A$5,D1277&gt;=$G$6,'calculated data '!$A$6)</f>
        <v>Low Demand Tier</v>
      </c>
      <c r="F1277" s="10">
        <f t="shared" si="1"/>
        <v>-0.6401634049</v>
      </c>
    </row>
    <row r="1278" ht="14.25" customHeight="1">
      <c r="A1278" s="2" t="s">
        <v>121</v>
      </c>
      <c r="B1278" s="2" t="s">
        <v>122</v>
      </c>
      <c r="C1278" s="2">
        <v>2000.0</v>
      </c>
      <c r="D1278" s="9">
        <v>869.7758</v>
      </c>
      <c r="E1278" s="10" t="str">
        <f t="array" ref="E1278">IFS(D1278&lt;=$G$3,'calculated data '!$A$3,D1278&lt;=$G$4,'calculated data '!$A$4,D1278&lt;=$G$6,'calculated data '!$A$5,D1278&gt;=$G$6,'calculated data '!$A$6)</f>
        <v>Low Demand Tier</v>
      </c>
      <c r="F1278" s="10">
        <f t="shared" si="1"/>
        <v>-0.6401487261</v>
      </c>
    </row>
    <row r="1279" ht="14.25" customHeight="1">
      <c r="A1279" s="2" t="s">
        <v>121</v>
      </c>
      <c r="B1279" s="2" t="s">
        <v>122</v>
      </c>
      <c r="C1279" s="2">
        <v>2003.0</v>
      </c>
      <c r="D1279" s="9">
        <v>870.17145</v>
      </c>
      <c r="E1279" s="10" t="str">
        <f t="array" ref="E1279">IFS(D1279&lt;=$G$3,'calculated data '!$A$3,D1279&lt;=$G$4,'calculated data '!$A$4,D1279&lt;=$G$6,'calculated data '!$A$5,D1279&gt;=$G$6,'calculated data '!$A$6)</f>
        <v>Low Demand Tier</v>
      </c>
      <c r="F1279" s="10">
        <f t="shared" si="1"/>
        <v>-0.6401382533</v>
      </c>
    </row>
    <row r="1280" ht="14.25" customHeight="1">
      <c r="A1280" s="2" t="s">
        <v>117</v>
      </c>
      <c r="B1280" s="2" t="s">
        <v>118</v>
      </c>
      <c r="C1280" s="2">
        <v>2023.0</v>
      </c>
      <c r="D1280" s="9">
        <v>870.7759</v>
      </c>
      <c r="E1280" s="10" t="str">
        <f t="array" ref="E1280">IFS(D1280&lt;=$G$3,'calculated data '!$A$3,D1280&lt;=$G$4,'calculated data '!$A$4,D1280&lt;=$G$6,'calculated data '!$A$5,D1280&gt;=$G$6,'calculated data '!$A$6)</f>
        <v>Low Demand Tier</v>
      </c>
      <c r="F1280" s="10">
        <f t="shared" si="1"/>
        <v>-0.6401222537</v>
      </c>
    </row>
    <row r="1281" ht="14.25" customHeight="1">
      <c r="A1281" s="2" t="s">
        <v>117</v>
      </c>
      <c r="B1281" s="2" t="s">
        <v>118</v>
      </c>
      <c r="C1281" s="2">
        <v>2007.0</v>
      </c>
      <c r="D1281" s="9">
        <v>871.6836</v>
      </c>
      <c r="E1281" s="10" t="str">
        <f t="array" ref="E1281">IFS(D1281&lt;=$G$3,'calculated data '!$A$3,D1281&lt;=$G$4,'calculated data '!$A$4,D1281&lt;=$G$6,'calculated data '!$A$5,D1281&gt;=$G$6,'calculated data '!$A$6)</f>
        <v>Low Demand Tier</v>
      </c>
      <c r="F1281" s="10">
        <f t="shared" si="1"/>
        <v>-0.6400982271</v>
      </c>
    </row>
    <row r="1282" ht="14.25" customHeight="1">
      <c r="A1282" s="2" t="s">
        <v>125</v>
      </c>
      <c r="B1282" s="2" t="s">
        <v>126</v>
      </c>
      <c r="C1282" s="2">
        <v>2002.0</v>
      </c>
      <c r="D1282" s="9">
        <v>873.4262</v>
      </c>
      <c r="E1282" s="10" t="str">
        <f t="array" ref="E1282">IFS(D1282&lt;=$G$3,'calculated data '!$A$3,D1282&lt;=$G$4,'calculated data '!$A$4,D1282&lt;=$G$6,'calculated data '!$A$5,D1282&gt;=$G$6,'calculated data '!$A$6)</f>
        <v>Low Demand Tier</v>
      </c>
      <c r="F1282" s="10">
        <f t="shared" si="1"/>
        <v>-0.6400521009</v>
      </c>
    </row>
    <row r="1283" ht="14.25" customHeight="1">
      <c r="A1283" s="2" t="s">
        <v>123</v>
      </c>
      <c r="B1283" s="2" t="s">
        <v>124</v>
      </c>
      <c r="C1283" s="2">
        <v>1993.0</v>
      </c>
      <c r="D1283" s="9">
        <v>874.0792</v>
      </c>
      <c r="E1283" s="10" t="str">
        <f t="array" ref="E1283">IFS(D1283&lt;=$G$3,'calculated data '!$A$3,D1283&lt;=$G$4,'calculated data '!$A$4,D1283&lt;=$G$6,'calculated data '!$A$5,D1283&gt;=$G$6,'calculated data '!$A$6)</f>
        <v>Low Demand Tier</v>
      </c>
      <c r="F1283" s="10">
        <f t="shared" si="1"/>
        <v>-0.6400348162</v>
      </c>
    </row>
    <row r="1284" ht="14.25" customHeight="1">
      <c r="A1284" s="2" t="s">
        <v>81</v>
      </c>
      <c r="B1284" s="2" t="s">
        <v>82</v>
      </c>
      <c r="C1284" s="2">
        <v>1984.0</v>
      </c>
      <c r="D1284" s="9">
        <v>874.14264</v>
      </c>
      <c r="E1284" s="10" t="str">
        <f t="array" ref="E1284">IFS(D1284&lt;=$G$3,'calculated data '!$A$3,D1284&lt;=$G$4,'calculated data '!$A$4,D1284&lt;=$G$6,'calculated data '!$A$5,D1284&gt;=$G$6,'calculated data '!$A$6)</f>
        <v>Low Demand Tier</v>
      </c>
      <c r="F1284" s="10">
        <f t="shared" si="1"/>
        <v>-0.6400331369</v>
      </c>
    </row>
    <row r="1285" ht="14.25" customHeight="1">
      <c r="A1285" s="2" t="s">
        <v>81</v>
      </c>
      <c r="B1285" s="2" t="s">
        <v>82</v>
      </c>
      <c r="C1285" s="2">
        <v>1983.0</v>
      </c>
      <c r="D1285" s="9">
        <v>874.61475</v>
      </c>
      <c r="E1285" s="10" t="str">
        <f t="array" ref="E1285">IFS(D1285&lt;=$G$3,'calculated data '!$A$3,D1285&lt;=$G$4,'calculated data '!$A$4,D1285&lt;=$G$6,'calculated data '!$A$5,D1285&gt;=$G$6,'calculated data '!$A$6)</f>
        <v>Low Demand Tier</v>
      </c>
      <c r="F1285" s="10">
        <f t="shared" si="1"/>
        <v>-0.6400206403</v>
      </c>
    </row>
    <row r="1286" ht="14.25" customHeight="1">
      <c r="A1286" s="2" t="s">
        <v>65</v>
      </c>
      <c r="B1286" s="2" t="s">
        <v>66</v>
      </c>
      <c r="C1286" s="2">
        <v>1986.0</v>
      </c>
      <c r="D1286" s="9">
        <v>875.0003</v>
      </c>
      <c r="E1286" s="10" t="str">
        <f t="array" ref="E1286">IFS(D1286&lt;=$G$3,'calculated data '!$A$3,D1286&lt;=$G$4,'calculated data '!$A$4,D1286&lt;=$G$6,'calculated data '!$A$5,D1286&gt;=$G$6,'calculated data '!$A$6)</f>
        <v>Low Demand Tier</v>
      </c>
      <c r="F1286" s="10">
        <f t="shared" si="1"/>
        <v>-0.6400104349</v>
      </c>
    </row>
    <row r="1287" ht="14.25" customHeight="1">
      <c r="A1287" s="2" t="s">
        <v>121</v>
      </c>
      <c r="B1287" s="2" t="s">
        <v>122</v>
      </c>
      <c r="C1287" s="2">
        <v>2005.0</v>
      </c>
      <c r="D1287" s="9">
        <v>876.98395</v>
      </c>
      <c r="E1287" s="10" t="str">
        <f t="array" ref="E1287">IFS(D1287&lt;=$G$3,'calculated data '!$A$3,D1287&lt;=$G$4,'calculated data '!$A$4,D1287&lt;=$G$6,'calculated data '!$A$5,D1287&gt;=$G$6,'calculated data '!$A$6)</f>
        <v>Low Demand Tier</v>
      </c>
      <c r="F1287" s="10">
        <f t="shared" si="1"/>
        <v>-0.6399579282</v>
      </c>
    </row>
    <row r="1288" ht="14.25" customHeight="1">
      <c r="A1288" s="2" t="s">
        <v>97</v>
      </c>
      <c r="B1288" s="2" t="s">
        <v>98</v>
      </c>
      <c r="C1288" s="2">
        <v>1981.0</v>
      </c>
      <c r="D1288" s="9">
        <v>877.78314</v>
      </c>
      <c r="E1288" s="10" t="str">
        <f t="array" ref="E1288">IFS(D1288&lt;=$G$3,'calculated data '!$A$3,D1288&lt;=$G$4,'calculated data '!$A$4,D1288&lt;=$G$6,'calculated data '!$A$5,D1288&gt;=$G$6,'calculated data '!$A$6)</f>
        <v>Low Demand Tier</v>
      </c>
      <c r="F1288" s="10">
        <f t="shared" si="1"/>
        <v>-0.6399367738</v>
      </c>
    </row>
    <row r="1289" ht="14.25" customHeight="1">
      <c r="A1289" s="2" t="s">
        <v>123</v>
      </c>
      <c r="B1289" s="2" t="s">
        <v>124</v>
      </c>
      <c r="C1289" s="2">
        <v>1982.0</v>
      </c>
      <c r="D1289" s="9">
        <v>880.6048</v>
      </c>
      <c r="E1289" s="10" t="str">
        <f t="array" ref="E1289">IFS(D1289&lt;=$G$3,'calculated data '!$A$3,D1289&lt;=$G$4,'calculated data '!$A$4,D1289&lt;=$G$6,'calculated data '!$A$5,D1289&gt;=$G$6,'calculated data '!$A$6)</f>
        <v>Low Demand Tier</v>
      </c>
      <c r="F1289" s="10">
        <f t="shared" si="1"/>
        <v>-0.6398620852</v>
      </c>
    </row>
    <row r="1290" ht="14.25" customHeight="1">
      <c r="A1290" s="2" t="s">
        <v>137</v>
      </c>
      <c r="B1290" s="2" t="s">
        <v>138</v>
      </c>
      <c r="C1290" s="2">
        <v>1998.0</v>
      </c>
      <c r="D1290" s="9">
        <v>881.08484</v>
      </c>
      <c r="E1290" s="10" t="str">
        <f t="array" ref="E1290">IFS(D1290&lt;=$G$3,'calculated data '!$A$3,D1290&lt;=$G$4,'calculated data '!$A$4,D1290&lt;=$G$6,'calculated data '!$A$5,D1290&gt;=$G$6,'calculated data '!$A$6)</f>
        <v>Low Demand Tier</v>
      </c>
      <c r="F1290" s="10">
        <f t="shared" si="1"/>
        <v>-0.6398493786</v>
      </c>
    </row>
    <row r="1291" ht="14.25" customHeight="1">
      <c r="A1291" s="2" t="s">
        <v>105</v>
      </c>
      <c r="B1291" s="2" t="s">
        <v>106</v>
      </c>
      <c r="C1291" s="2">
        <v>1984.0</v>
      </c>
      <c r="D1291" s="9">
        <v>882.0108</v>
      </c>
      <c r="E1291" s="10" t="str">
        <f t="array" ref="E1291">IFS(D1291&lt;=$G$3,'calculated data '!$A$3,D1291&lt;=$G$4,'calculated data '!$A$4,D1291&lt;=$G$6,'calculated data '!$A$5,D1291&gt;=$G$6,'calculated data '!$A$6)</f>
        <v>Low Demand Tier</v>
      </c>
      <c r="F1291" s="10">
        <f t="shared" si="1"/>
        <v>-0.6398248687</v>
      </c>
    </row>
    <row r="1292" ht="14.25" customHeight="1">
      <c r="A1292" s="2" t="s">
        <v>71</v>
      </c>
      <c r="B1292" s="2" t="s">
        <v>72</v>
      </c>
      <c r="C1292" s="2">
        <v>1967.0</v>
      </c>
      <c r="D1292" s="9">
        <v>882.06006</v>
      </c>
      <c r="E1292" s="10" t="str">
        <f t="array" ref="E1292">IFS(D1292&lt;=$G$3,'calculated data '!$A$3,D1292&lt;=$G$4,'calculated data '!$A$4,D1292&lt;=$G$6,'calculated data '!$A$5,D1292&gt;=$G$6,'calculated data '!$A$6)</f>
        <v>Low Demand Tier</v>
      </c>
      <c r="F1292" s="10">
        <f t="shared" si="1"/>
        <v>-0.6398235648</v>
      </c>
    </row>
    <row r="1293" ht="14.25" customHeight="1">
      <c r="A1293" s="2" t="s">
        <v>133</v>
      </c>
      <c r="B1293" s="2" t="s">
        <v>134</v>
      </c>
      <c r="C1293" s="2">
        <v>1979.0</v>
      </c>
      <c r="D1293" s="9">
        <v>882.86273</v>
      </c>
      <c r="E1293" s="10" t="str">
        <f t="array" ref="E1293">IFS(D1293&lt;=$G$3,'calculated data '!$A$3,D1293&lt;=$G$4,'calculated data '!$A$4,D1293&lt;=$G$6,'calculated data '!$A$5,D1293&gt;=$G$6,'calculated data '!$A$6)</f>
        <v>Low Demand Tier</v>
      </c>
      <c r="F1293" s="10">
        <f t="shared" si="1"/>
        <v>-0.6398023183</v>
      </c>
    </row>
    <row r="1294" ht="14.25" customHeight="1">
      <c r="A1294" s="2" t="s">
        <v>125</v>
      </c>
      <c r="B1294" s="2" t="s">
        <v>126</v>
      </c>
      <c r="C1294" s="2">
        <v>1983.0</v>
      </c>
      <c r="D1294" s="9">
        <v>882.9529</v>
      </c>
      <c r="E1294" s="10" t="str">
        <f t="array" ref="E1294">IFS(D1294&lt;=$G$3,'calculated data '!$A$3,D1294&lt;=$G$4,'calculated data '!$A$4,D1294&lt;=$G$6,'calculated data '!$A$5,D1294&gt;=$G$6,'calculated data '!$A$6)</f>
        <v>Low Demand Tier</v>
      </c>
      <c r="F1294" s="10">
        <f t="shared" si="1"/>
        <v>-0.6397999315</v>
      </c>
    </row>
    <row r="1295" ht="14.25" customHeight="1">
      <c r="A1295" s="2" t="s">
        <v>127</v>
      </c>
      <c r="B1295" s="2" t="s">
        <v>128</v>
      </c>
      <c r="C1295" s="2">
        <v>1995.0</v>
      </c>
      <c r="D1295" s="9">
        <v>883.2372</v>
      </c>
      <c r="E1295" s="10" t="str">
        <f t="array" ref="E1295">IFS(D1295&lt;=$G$3,'calculated data '!$A$3,D1295&lt;=$G$4,'calculated data '!$A$4,D1295&lt;=$G$6,'calculated data '!$A$5,D1295&gt;=$G$6,'calculated data '!$A$6)</f>
        <v>Low Demand Tier</v>
      </c>
      <c r="F1295" s="10">
        <f t="shared" si="1"/>
        <v>-0.6397924062</v>
      </c>
    </row>
    <row r="1296" ht="14.25" customHeight="1">
      <c r="A1296" s="2" t="s">
        <v>121</v>
      </c>
      <c r="B1296" s="2" t="s">
        <v>122</v>
      </c>
      <c r="C1296" s="2">
        <v>1981.0</v>
      </c>
      <c r="D1296" s="9">
        <v>883.42413</v>
      </c>
      <c r="E1296" s="10" t="str">
        <f t="array" ref="E1296">IFS(D1296&lt;=$G$3,'calculated data '!$A$3,D1296&lt;=$G$4,'calculated data '!$A$4,D1296&lt;=$G$6,'calculated data '!$A$5,D1296&gt;=$G$6,'calculated data '!$A$6)</f>
        <v>Low Demand Tier</v>
      </c>
      <c r="F1296" s="10">
        <f t="shared" si="1"/>
        <v>-0.6397874582</v>
      </c>
    </row>
    <row r="1297" ht="14.25" customHeight="1">
      <c r="A1297" s="2" t="s">
        <v>119</v>
      </c>
      <c r="B1297" s="2" t="s">
        <v>120</v>
      </c>
      <c r="C1297" s="2">
        <v>2003.0</v>
      </c>
      <c r="D1297" s="9">
        <v>884.89343</v>
      </c>
      <c r="E1297" s="10" t="str">
        <f t="array" ref="E1297">IFS(D1297&lt;=$G$3,'calculated data '!$A$3,D1297&lt;=$G$4,'calculated data '!$A$4,D1297&lt;=$G$6,'calculated data '!$A$5,D1297&gt;=$G$6,'calculated data '!$A$6)</f>
        <v>Low Demand Tier</v>
      </c>
      <c r="F1297" s="10">
        <f t="shared" si="1"/>
        <v>-0.6397485662</v>
      </c>
    </row>
    <row r="1298" ht="14.25" customHeight="1">
      <c r="A1298" s="2" t="s">
        <v>113</v>
      </c>
      <c r="B1298" s="2" t="s">
        <v>114</v>
      </c>
      <c r="C1298" s="2">
        <v>1999.0</v>
      </c>
      <c r="D1298" s="9">
        <v>885.16113</v>
      </c>
      <c r="E1298" s="10" t="str">
        <f t="array" ref="E1298">IFS(D1298&lt;=$G$3,'calculated data '!$A$3,D1298&lt;=$G$4,'calculated data '!$A$4,D1298&lt;=$G$6,'calculated data '!$A$5,D1298&gt;=$G$6,'calculated data '!$A$6)</f>
        <v>Low Demand Tier</v>
      </c>
      <c r="F1298" s="10">
        <f t="shared" si="1"/>
        <v>-0.6397414802</v>
      </c>
    </row>
    <row r="1299" ht="14.25" customHeight="1">
      <c r="A1299" s="2" t="s">
        <v>97</v>
      </c>
      <c r="B1299" s="2" t="s">
        <v>98</v>
      </c>
      <c r="C1299" s="2">
        <v>2003.0</v>
      </c>
      <c r="D1299" s="9">
        <v>886.25354</v>
      </c>
      <c r="E1299" s="10" t="str">
        <f t="array" ref="E1299">IFS(D1299&lt;=$G$3,'calculated data '!$A$3,D1299&lt;=$G$4,'calculated data '!$A$4,D1299&lt;=$G$6,'calculated data '!$A$5,D1299&gt;=$G$6,'calculated data '!$A$6)</f>
        <v>Low Demand Tier</v>
      </c>
      <c r="F1299" s="10">
        <f t="shared" si="1"/>
        <v>-0.6397125644</v>
      </c>
    </row>
    <row r="1300" ht="14.25" customHeight="1">
      <c r="A1300" s="2" t="s">
        <v>21</v>
      </c>
      <c r="B1300" s="2" t="s">
        <v>22</v>
      </c>
      <c r="C1300" s="2">
        <v>1996.0</v>
      </c>
      <c r="D1300" s="9">
        <v>887.02795</v>
      </c>
      <c r="E1300" s="10" t="str">
        <f t="array" ref="E1300">IFS(D1300&lt;=$G$3,'calculated data '!$A$3,D1300&lt;=$G$4,'calculated data '!$A$4,D1300&lt;=$G$6,'calculated data '!$A$5,D1300&gt;=$G$6,'calculated data '!$A$6)</f>
        <v>Low Demand Tier</v>
      </c>
      <c r="F1300" s="10">
        <f t="shared" si="1"/>
        <v>-0.639692066</v>
      </c>
    </row>
    <row r="1301" ht="14.25" customHeight="1">
      <c r="A1301" s="2" t="s">
        <v>113</v>
      </c>
      <c r="B1301" s="2" t="s">
        <v>114</v>
      </c>
      <c r="C1301" s="2">
        <v>1998.0</v>
      </c>
      <c r="D1301" s="9">
        <v>887.1157</v>
      </c>
      <c r="E1301" s="10" t="str">
        <f t="array" ref="E1301">IFS(D1301&lt;=$G$3,'calculated data '!$A$3,D1301&lt;=$G$4,'calculated data '!$A$4,D1301&lt;=$G$6,'calculated data '!$A$5,D1301&gt;=$G$6,'calculated data '!$A$6)</f>
        <v>Low Demand Tier</v>
      </c>
      <c r="F1301" s="10">
        <f t="shared" si="1"/>
        <v>-0.6396897433</v>
      </c>
    </row>
    <row r="1302" ht="14.25" customHeight="1">
      <c r="A1302" s="2" t="s">
        <v>65</v>
      </c>
      <c r="B1302" s="2" t="s">
        <v>66</v>
      </c>
      <c r="C1302" s="2">
        <v>1984.0</v>
      </c>
      <c r="D1302" s="9">
        <v>887.371</v>
      </c>
      <c r="E1302" s="10" t="str">
        <f t="array" ref="E1302">IFS(D1302&lt;=$G$3,'calculated data '!$A$3,D1302&lt;=$G$4,'calculated data '!$A$4,D1302&lt;=$G$6,'calculated data '!$A$5,D1302&gt;=$G$6,'calculated data '!$A$6)</f>
        <v>Low Demand Tier</v>
      </c>
      <c r="F1302" s="10">
        <f t="shared" si="1"/>
        <v>-0.6396829855</v>
      </c>
    </row>
    <row r="1303" ht="14.25" customHeight="1">
      <c r="A1303" s="2" t="s">
        <v>117</v>
      </c>
      <c r="B1303" s="2" t="s">
        <v>118</v>
      </c>
      <c r="C1303" s="2">
        <v>2024.0</v>
      </c>
      <c r="D1303" s="9">
        <v>887.37164</v>
      </c>
      <c r="E1303" s="10" t="str">
        <f t="array" ref="E1303">IFS(D1303&lt;=$G$3,'calculated data '!$A$3,D1303&lt;=$G$4,'calculated data '!$A$4,D1303&lt;=$G$6,'calculated data '!$A$5,D1303&gt;=$G$6,'calculated data '!$A$6)</f>
        <v>Low Demand Tier</v>
      </c>
      <c r="F1303" s="10">
        <f t="shared" si="1"/>
        <v>-0.6396829686</v>
      </c>
    </row>
    <row r="1304" ht="14.25" customHeight="1">
      <c r="A1304" s="2" t="s">
        <v>107</v>
      </c>
      <c r="B1304" s="2" t="s">
        <v>108</v>
      </c>
      <c r="C1304" s="2">
        <v>2013.0</v>
      </c>
      <c r="D1304" s="9">
        <v>887.90247</v>
      </c>
      <c r="E1304" s="10" t="str">
        <f t="array" ref="E1304">IFS(D1304&lt;=$G$3,'calculated data '!$A$3,D1304&lt;=$G$4,'calculated data '!$A$4,D1304&lt;=$G$6,'calculated data '!$A$5,D1304&gt;=$G$6,'calculated data '!$A$6)</f>
        <v>Low Demand Tier</v>
      </c>
      <c r="F1304" s="10">
        <f t="shared" si="1"/>
        <v>-0.6396689177</v>
      </c>
    </row>
    <row r="1305" ht="14.25" customHeight="1">
      <c r="A1305" s="2" t="s">
        <v>109</v>
      </c>
      <c r="B1305" s="2" t="s">
        <v>110</v>
      </c>
      <c r="C1305" s="2">
        <v>2011.0</v>
      </c>
      <c r="D1305" s="9">
        <v>888.3236</v>
      </c>
      <c r="E1305" s="10" t="str">
        <f t="array" ref="E1305">IFS(D1305&lt;=$G$3,'calculated data '!$A$3,D1305&lt;=$G$4,'calculated data '!$A$4,D1305&lt;=$G$6,'calculated data '!$A$5,D1305&gt;=$G$6,'calculated data '!$A$6)</f>
        <v>Low Demand Tier</v>
      </c>
      <c r="F1305" s="10">
        <f t="shared" si="1"/>
        <v>-0.6396577704</v>
      </c>
    </row>
    <row r="1306" ht="14.25" customHeight="1">
      <c r="A1306" s="2" t="s">
        <v>125</v>
      </c>
      <c r="B1306" s="2" t="s">
        <v>126</v>
      </c>
      <c r="C1306" s="2">
        <v>1981.0</v>
      </c>
      <c r="D1306" s="9">
        <v>888.37256</v>
      </c>
      <c r="E1306" s="10" t="str">
        <f t="array" ref="E1306">IFS(D1306&lt;=$G$3,'calculated data '!$A$3,D1306&lt;=$G$4,'calculated data '!$A$4,D1306&lt;=$G$6,'calculated data '!$A$5,D1306&gt;=$G$6,'calculated data '!$A$6)</f>
        <v>Low Demand Tier</v>
      </c>
      <c r="F1306" s="10">
        <f t="shared" si="1"/>
        <v>-0.6396564745</v>
      </c>
    </row>
    <row r="1307" ht="14.25" customHeight="1">
      <c r="A1307" s="2" t="s">
        <v>113</v>
      </c>
      <c r="B1307" s="2" t="s">
        <v>114</v>
      </c>
      <c r="C1307" s="2">
        <v>2001.0</v>
      </c>
      <c r="D1307" s="9">
        <v>889.02985</v>
      </c>
      <c r="E1307" s="10" t="str">
        <f t="array" ref="E1307">IFS(D1307&lt;=$G$3,'calculated data '!$A$3,D1307&lt;=$G$4,'calculated data '!$A$4,D1307&lt;=$G$6,'calculated data '!$A$5,D1307&gt;=$G$6,'calculated data '!$A$6)</f>
        <v>Low Demand Tier</v>
      </c>
      <c r="F1307" s="10">
        <f t="shared" si="1"/>
        <v>-0.6396390762</v>
      </c>
    </row>
    <row r="1308" ht="14.25" customHeight="1">
      <c r="A1308" s="2" t="s">
        <v>119</v>
      </c>
      <c r="B1308" s="2" t="s">
        <v>120</v>
      </c>
      <c r="C1308" s="2">
        <v>2002.0</v>
      </c>
      <c r="D1308" s="9">
        <v>889.33453</v>
      </c>
      <c r="E1308" s="10" t="str">
        <f t="array" ref="E1308">IFS(D1308&lt;=$G$3,'calculated data '!$A$3,D1308&lt;=$G$4,'calculated data '!$A$4,D1308&lt;=$G$6,'calculated data '!$A$5,D1308&gt;=$G$6,'calculated data '!$A$6)</f>
        <v>Low Demand Tier</v>
      </c>
      <c r="F1308" s="10">
        <f t="shared" si="1"/>
        <v>-0.6396310114</v>
      </c>
    </row>
    <row r="1309" ht="14.25" customHeight="1">
      <c r="A1309" s="2" t="s">
        <v>79</v>
      </c>
      <c r="B1309" s="2" t="s">
        <v>80</v>
      </c>
      <c r="C1309" s="2">
        <v>2005.0</v>
      </c>
      <c r="D1309" s="9">
        <v>890.31775</v>
      </c>
      <c r="E1309" s="10" t="str">
        <f t="array" ref="E1309">IFS(D1309&lt;=$G$3,'calculated data '!$A$3,D1309&lt;=$G$4,'calculated data '!$A$4,D1309&lt;=$G$6,'calculated data '!$A$5,D1309&gt;=$G$6,'calculated data '!$A$6)</f>
        <v>Low Demand Tier</v>
      </c>
      <c r="F1309" s="10">
        <f t="shared" si="1"/>
        <v>-0.6396049858</v>
      </c>
    </row>
    <row r="1310" ht="14.25" customHeight="1">
      <c r="A1310" s="2" t="s">
        <v>127</v>
      </c>
      <c r="B1310" s="2" t="s">
        <v>128</v>
      </c>
      <c r="C1310" s="2">
        <v>1983.0</v>
      </c>
      <c r="D1310" s="9">
        <v>890.3618</v>
      </c>
      <c r="E1310" s="10" t="str">
        <f t="array" ref="E1310">IFS(D1310&lt;=$G$3,'calculated data '!$A$3,D1310&lt;=$G$4,'calculated data '!$A$4,D1310&lt;=$G$6,'calculated data '!$A$5,D1310&gt;=$G$6,'calculated data '!$A$6)</f>
        <v>Low Demand Tier</v>
      </c>
      <c r="F1310" s="10">
        <f t="shared" si="1"/>
        <v>-0.6396038198</v>
      </c>
    </row>
    <row r="1311" ht="14.25" customHeight="1">
      <c r="A1311" s="2" t="s">
        <v>107</v>
      </c>
      <c r="B1311" s="2" t="s">
        <v>108</v>
      </c>
      <c r="C1311" s="2">
        <v>2012.0</v>
      </c>
      <c r="D1311" s="9">
        <v>890.79926</v>
      </c>
      <c r="E1311" s="10" t="str">
        <f t="array" ref="E1311">IFS(D1311&lt;=$G$3,'calculated data '!$A$3,D1311&lt;=$G$4,'calculated data '!$A$4,D1311&lt;=$G$6,'calculated data '!$A$5,D1311&gt;=$G$6,'calculated data '!$A$6)</f>
        <v>Low Demand Tier</v>
      </c>
      <c r="F1311" s="10">
        <f t="shared" si="1"/>
        <v>-0.6395922403</v>
      </c>
    </row>
    <row r="1312" ht="14.25" customHeight="1">
      <c r="A1312" s="2" t="s">
        <v>139</v>
      </c>
      <c r="B1312" s="2" t="s">
        <v>140</v>
      </c>
      <c r="C1312" s="2">
        <v>1965.0</v>
      </c>
      <c r="D1312" s="9">
        <v>892.14496</v>
      </c>
      <c r="E1312" s="10" t="str">
        <f t="array" ref="E1312">IFS(D1312&lt;=$G$3,'calculated data '!$A$3,D1312&lt;=$G$4,'calculated data '!$A$4,D1312&lt;=$G$6,'calculated data '!$A$5,D1312&gt;=$G$6,'calculated data '!$A$6)</f>
        <v>Low Demand Tier</v>
      </c>
      <c r="F1312" s="10">
        <f t="shared" si="1"/>
        <v>-0.63955662</v>
      </c>
    </row>
    <row r="1313" ht="14.25" customHeight="1">
      <c r="A1313" s="2" t="s">
        <v>95</v>
      </c>
      <c r="B1313" s="2" t="s">
        <v>96</v>
      </c>
      <c r="C1313" s="2">
        <v>2010.0</v>
      </c>
      <c r="D1313" s="9">
        <v>892.68665</v>
      </c>
      <c r="E1313" s="10" t="str">
        <f t="array" ref="E1313">IFS(D1313&lt;=$G$3,'calculated data '!$A$3,D1313&lt;=$G$4,'calculated data '!$A$4,D1313&lt;=$G$6,'calculated data '!$A$5,D1313&gt;=$G$6,'calculated data '!$A$6)</f>
        <v>Low Demand Tier</v>
      </c>
      <c r="F1313" s="10">
        <f t="shared" si="1"/>
        <v>-0.6395422816</v>
      </c>
    </row>
    <row r="1314" ht="14.25" customHeight="1">
      <c r="A1314" s="2" t="s">
        <v>119</v>
      </c>
      <c r="B1314" s="2" t="s">
        <v>120</v>
      </c>
      <c r="C1314" s="2">
        <v>2013.0</v>
      </c>
      <c r="D1314" s="9">
        <v>892.73785</v>
      </c>
      <c r="E1314" s="10" t="str">
        <f t="array" ref="E1314">IFS(D1314&lt;=$G$3,'calculated data '!$A$3,D1314&lt;=$G$4,'calculated data '!$A$4,D1314&lt;=$G$6,'calculated data '!$A$5,D1314&gt;=$G$6,'calculated data '!$A$6)</f>
        <v>Low Demand Tier</v>
      </c>
      <c r="F1314" s="10">
        <f t="shared" si="1"/>
        <v>-0.6395409263</v>
      </c>
    </row>
    <row r="1315" ht="14.25" customHeight="1">
      <c r="A1315" s="2" t="s">
        <v>121</v>
      </c>
      <c r="B1315" s="2" t="s">
        <v>122</v>
      </c>
      <c r="C1315" s="2">
        <v>2004.0</v>
      </c>
      <c r="D1315" s="9">
        <v>893.532</v>
      </c>
      <c r="E1315" s="10" t="str">
        <f t="array" ref="E1315">IFS(D1315&lt;=$G$3,'calculated data '!$A$3,D1315&lt;=$G$4,'calculated data '!$A$4,D1315&lt;=$G$6,'calculated data '!$A$5,D1315&gt;=$G$6,'calculated data '!$A$6)</f>
        <v>Low Demand Tier</v>
      </c>
      <c r="F1315" s="10">
        <f t="shared" si="1"/>
        <v>-0.6395199054</v>
      </c>
    </row>
    <row r="1316" ht="14.25" customHeight="1">
      <c r="A1316" s="2" t="s">
        <v>121</v>
      </c>
      <c r="B1316" s="2" t="s">
        <v>122</v>
      </c>
      <c r="C1316" s="2">
        <v>2002.0</v>
      </c>
      <c r="D1316" s="9">
        <v>893.92395</v>
      </c>
      <c r="E1316" s="10" t="str">
        <f t="array" ref="E1316">IFS(D1316&lt;=$G$3,'calculated data '!$A$3,D1316&lt;=$G$4,'calculated data '!$A$4,D1316&lt;=$G$6,'calculated data '!$A$5,D1316&gt;=$G$6,'calculated data '!$A$6)</f>
        <v>Low Demand Tier</v>
      </c>
      <c r="F1316" s="10">
        <f t="shared" si="1"/>
        <v>-0.6395095306</v>
      </c>
    </row>
    <row r="1317" ht="14.25" customHeight="1">
      <c r="A1317" s="2" t="s">
        <v>111</v>
      </c>
      <c r="B1317" s="2" t="s">
        <v>112</v>
      </c>
      <c r="C1317" s="2">
        <v>1991.0</v>
      </c>
      <c r="D1317" s="9">
        <v>894.03235</v>
      </c>
      <c r="E1317" s="10" t="str">
        <f t="array" ref="E1317">IFS(D1317&lt;=$G$3,'calculated data '!$A$3,D1317&lt;=$G$4,'calculated data '!$A$4,D1317&lt;=$G$6,'calculated data '!$A$5,D1317&gt;=$G$6,'calculated data '!$A$6)</f>
        <v>Low Demand Tier</v>
      </c>
      <c r="F1317" s="10">
        <f t="shared" si="1"/>
        <v>-0.6395066613</v>
      </c>
    </row>
    <row r="1318" ht="14.25" customHeight="1">
      <c r="A1318" s="2" t="s">
        <v>139</v>
      </c>
      <c r="B1318" s="2" t="s">
        <v>140</v>
      </c>
      <c r="C1318" s="2">
        <v>1967.0</v>
      </c>
      <c r="D1318" s="9">
        <v>894.1276</v>
      </c>
      <c r="E1318" s="10" t="str">
        <f t="array" ref="E1318">IFS(D1318&lt;=$G$3,'calculated data '!$A$3,D1318&lt;=$G$4,'calculated data '!$A$4,D1318&lt;=$G$6,'calculated data '!$A$5,D1318&gt;=$G$6,'calculated data '!$A$6)</f>
        <v>Low Demand Tier</v>
      </c>
      <c r="F1318" s="10">
        <f t="shared" si="1"/>
        <v>-0.63950414</v>
      </c>
    </row>
    <row r="1319" ht="14.25" customHeight="1">
      <c r="A1319" s="2" t="s">
        <v>139</v>
      </c>
      <c r="B1319" s="2" t="s">
        <v>140</v>
      </c>
      <c r="C1319" s="2">
        <v>1966.0</v>
      </c>
      <c r="D1319" s="9">
        <v>894.1694</v>
      </c>
      <c r="E1319" s="10" t="str">
        <f t="array" ref="E1319">IFS(D1319&lt;=$G$3,'calculated data '!$A$3,D1319&lt;=$G$4,'calculated data '!$A$4,D1319&lt;=$G$6,'calculated data '!$A$5,D1319&gt;=$G$6,'calculated data '!$A$6)</f>
        <v>Low Demand Tier</v>
      </c>
      <c r="F1319" s="10">
        <f t="shared" si="1"/>
        <v>-0.6395030336</v>
      </c>
    </row>
    <row r="1320" ht="14.25" customHeight="1">
      <c r="A1320" s="2" t="s">
        <v>137</v>
      </c>
      <c r="B1320" s="2" t="s">
        <v>138</v>
      </c>
      <c r="C1320" s="2">
        <v>1997.0</v>
      </c>
      <c r="D1320" s="9">
        <v>896.9035</v>
      </c>
      <c r="E1320" s="10" t="str">
        <f t="array" ref="E1320">IFS(D1320&lt;=$G$3,'calculated data '!$A$3,D1320&lt;=$G$4,'calculated data '!$A$4,D1320&lt;=$G$6,'calculated data '!$A$5,D1320&gt;=$G$6,'calculated data '!$A$6)</f>
        <v>Low Demand Tier</v>
      </c>
      <c r="F1320" s="10">
        <f t="shared" si="1"/>
        <v>-0.6394306626</v>
      </c>
    </row>
    <row r="1321" ht="14.25" customHeight="1">
      <c r="A1321" s="2" t="s">
        <v>107</v>
      </c>
      <c r="B1321" s="2" t="s">
        <v>108</v>
      </c>
      <c r="C1321" s="2">
        <v>2011.0</v>
      </c>
      <c r="D1321" s="9">
        <v>897.1478</v>
      </c>
      <c r="E1321" s="10" t="str">
        <f t="array" ref="E1321">IFS(D1321&lt;=$G$3,'calculated data '!$A$3,D1321&lt;=$G$4,'calculated data '!$A$4,D1321&lt;=$G$6,'calculated data '!$A$5,D1321&gt;=$G$6,'calculated data '!$A$6)</f>
        <v>Low Demand Tier</v>
      </c>
      <c r="F1321" s="10">
        <f t="shared" si="1"/>
        <v>-0.6394241961</v>
      </c>
    </row>
    <row r="1322" ht="14.25" customHeight="1">
      <c r="A1322" s="2" t="s">
        <v>107</v>
      </c>
      <c r="B1322" s="2" t="s">
        <v>108</v>
      </c>
      <c r="C1322" s="2">
        <v>2008.0</v>
      </c>
      <c r="D1322" s="9">
        <v>898.6965</v>
      </c>
      <c r="E1322" s="10" t="str">
        <f t="array" ref="E1322">IFS(D1322&lt;=$G$3,'calculated data '!$A$3,D1322&lt;=$G$4,'calculated data '!$A$4,D1322&lt;=$G$6,'calculated data '!$A$5,D1322&gt;=$G$6,'calculated data '!$A$6)</f>
        <v>Low Demand Tier</v>
      </c>
      <c r="F1322" s="10">
        <f t="shared" si="1"/>
        <v>-0.6393832024</v>
      </c>
    </row>
    <row r="1323" ht="14.25" customHeight="1">
      <c r="A1323" s="2" t="s">
        <v>105</v>
      </c>
      <c r="B1323" s="2" t="s">
        <v>106</v>
      </c>
      <c r="C1323" s="2">
        <v>1983.0</v>
      </c>
      <c r="D1323" s="9">
        <v>899.084</v>
      </c>
      <c r="E1323" s="10" t="str">
        <f t="array" ref="E1323">IFS(D1323&lt;=$G$3,'calculated data '!$A$3,D1323&lt;=$G$4,'calculated data '!$A$4,D1323&lt;=$G$6,'calculated data '!$A$5,D1323&gt;=$G$6,'calculated data '!$A$6)</f>
        <v>Low Demand Tier</v>
      </c>
      <c r="F1323" s="10">
        <f t="shared" si="1"/>
        <v>-0.6393729453</v>
      </c>
    </row>
    <row r="1324" ht="14.25" customHeight="1">
      <c r="A1324" s="2" t="s">
        <v>139</v>
      </c>
      <c r="B1324" s="2" t="s">
        <v>140</v>
      </c>
      <c r="C1324" s="2">
        <v>1968.0</v>
      </c>
      <c r="D1324" s="9">
        <v>899.3973</v>
      </c>
      <c r="E1324" s="10" t="str">
        <f t="array" ref="E1324">IFS(D1324&lt;=$G$3,'calculated data '!$A$3,D1324&lt;=$G$4,'calculated data '!$A$4,D1324&lt;=$G$6,'calculated data '!$A$5,D1324&gt;=$G$6,'calculated data '!$A$6)</f>
        <v>Low Demand Tier</v>
      </c>
      <c r="F1324" s="10">
        <f t="shared" si="1"/>
        <v>-0.6393646524</v>
      </c>
    </row>
    <row r="1325" ht="14.25" customHeight="1">
      <c r="A1325" s="2" t="s">
        <v>97</v>
      </c>
      <c r="B1325" s="2" t="s">
        <v>98</v>
      </c>
      <c r="C1325" s="2">
        <v>2004.0</v>
      </c>
      <c r="D1325" s="9">
        <v>899.9577</v>
      </c>
      <c r="E1325" s="10" t="str">
        <f t="array" ref="E1325">IFS(D1325&lt;=$G$3,'calculated data '!$A$3,D1325&lt;=$G$4,'calculated data '!$A$4,D1325&lt;=$G$6,'calculated data '!$A$5,D1325&gt;=$G$6,'calculated data '!$A$6)</f>
        <v>Low Demand Tier</v>
      </c>
      <c r="F1325" s="10">
        <f t="shared" si="1"/>
        <v>-0.6393498187</v>
      </c>
    </row>
    <row r="1326" ht="14.25" customHeight="1">
      <c r="A1326" s="2" t="s">
        <v>97</v>
      </c>
      <c r="B1326" s="2" t="s">
        <v>98</v>
      </c>
      <c r="C1326" s="2">
        <v>1982.0</v>
      </c>
      <c r="D1326" s="9">
        <v>900.9368</v>
      </c>
      <c r="E1326" s="10" t="str">
        <f t="array" ref="E1326">IFS(D1326&lt;=$G$3,'calculated data '!$A$3,D1326&lt;=$G$4,'calculated data '!$A$4,D1326&lt;=$G$6,'calculated data '!$A$5,D1326&gt;=$G$6,'calculated data '!$A$6)</f>
        <v>Low Demand Tier</v>
      </c>
      <c r="F1326" s="10">
        <f t="shared" si="1"/>
        <v>-0.6393239022</v>
      </c>
    </row>
    <row r="1327" ht="14.25" customHeight="1">
      <c r="A1327" s="2" t="s">
        <v>123</v>
      </c>
      <c r="B1327" s="2" t="s">
        <v>124</v>
      </c>
      <c r="C1327" s="2">
        <v>1986.0</v>
      </c>
      <c r="D1327" s="9">
        <v>901.11633</v>
      </c>
      <c r="E1327" s="10" t="str">
        <f t="array" ref="E1327">IFS(D1327&lt;=$G$3,'calculated data '!$A$3,D1327&lt;=$G$4,'calculated data '!$A$4,D1327&lt;=$G$6,'calculated data '!$A$5,D1327&gt;=$G$6,'calculated data '!$A$6)</f>
        <v>Low Demand Tier</v>
      </c>
      <c r="F1327" s="10">
        <f t="shared" si="1"/>
        <v>-0.6393191501</v>
      </c>
    </row>
    <row r="1328" ht="14.25" customHeight="1">
      <c r="A1328" s="2" t="s">
        <v>139</v>
      </c>
      <c r="B1328" s="2" t="s">
        <v>140</v>
      </c>
      <c r="C1328" s="2">
        <v>1969.0</v>
      </c>
      <c r="D1328" s="9">
        <v>903.3321</v>
      </c>
      <c r="E1328" s="10" t="str">
        <f t="array" ref="E1328">IFS(D1328&lt;=$G$3,'calculated data '!$A$3,D1328&lt;=$G$4,'calculated data '!$A$4,D1328&lt;=$G$6,'calculated data '!$A$5,D1328&gt;=$G$6,'calculated data '!$A$6)</f>
        <v>Low Demand Tier</v>
      </c>
      <c r="F1328" s="10">
        <f t="shared" si="1"/>
        <v>-0.6392604992</v>
      </c>
    </row>
    <row r="1329" ht="14.25" customHeight="1">
      <c r="A1329" s="2" t="s">
        <v>65</v>
      </c>
      <c r="B1329" s="2" t="s">
        <v>66</v>
      </c>
      <c r="C1329" s="2">
        <v>1983.0</v>
      </c>
      <c r="D1329" s="9">
        <v>905.12665</v>
      </c>
      <c r="E1329" s="10" t="str">
        <f t="array" ref="E1329">IFS(D1329&lt;=$G$3,'calculated data '!$A$3,D1329&lt;=$G$4,'calculated data '!$A$4,D1329&lt;=$G$6,'calculated data '!$A$5,D1329&gt;=$G$6,'calculated data '!$A$6)</f>
        <v>Low Demand Tier</v>
      </c>
      <c r="F1329" s="10">
        <f t="shared" si="1"/>
        <v>-0.6392129979</v>
      </c>
    </row>
    <row r="1330" ht="14.25" customHeight="1">
      <c r="A1330" s="2" t="s">
        <v>123</v>
      </c>
      <c r="B1330" s="2" t="s">
        <v>124</v>
      </c>
      <c r="C1330" s="2">
        <v>1988.0</v>
      </c>
      <c r="D1330" s="9">
        <v>906.04083</v>
      </c>
      <c r="E1330" s="10" t="str">
        <f t="array" ref="E1330">IFS(D1330&lt;=$G$3,'calculated data '!$A$3,D1330&lt;=$G$4,'calculated data '!$A$4,D1330&lt;=$G$6,'calculated data '!$A$5,D1330&gt;=$G$6,'calculated data '!$A$6)</f>
        <v>Low Demand Tier</v>
      </c>
      <c r="F1330" s="10">
        <f t="shared" si="1"/>
        <v>-0.6391887998</v>
      </c>
    </row>
    <row r="1331" ht="14.25" customHeight="1">
      <c r="A1331" s="2" t="s">
        <v>95</v>
      </c>
      <c r="B1331" s="2" t="s">
        <v>96</v>
      </c>
      <c r="C1331" s="2">
        <v>1987.0</v>
      </c>
      <c r="D1331" s="9">
        <v>907.4078</v>
      </c>
      <c r="E1331" s="10" t="str">
        <f t="array" ref="E1331">IFS(D1331&lt;=$G$3,'calculated data '!$A$3,D1331&lt;=$G$4,'calculated data '!$A$4,D1331&lt;=$G$6,'calculated data '!$A$5,D1331&gt;=$G$6,'calculated data '!$A$6)</f>
        <v>Low Demand Tier</v>
      </c>
      <c r="F1331" s="10">
        <f t="shared" si="1"/>
        <v>-0.6391526164</v>
      </c>
    </row>
    <row r="1332" ht="14.25" customHeight="1">
      <c r="A1332" s="2" t="s">
        <v>107</v>
      </c>
      <c r="B1332" s="2" t="s">
        <v>108</v>
      </c>
      <c r="C1332" s="2">
        <v>2009.0</v>
      </c>
      <c r="D1332" s="9">
        <v>907.719</v>
      </c>
      <c r="E1332" s="10" t="str">
        <f t="array" ref="E1332">IFS(D1332&lt;=$G$3,'calculated data '!$A$3,D1332&lt;=$G$4,'calculated data '!$A$4,D1332&lt;=$G$6,'calculated data '!$A$5,D1332&gt;=$G$6,'calculated data '!$A$6)</f>
        <v>Low Demand Tier</v>
      </c>
      <c r="F1332" s="10">
        <f t="shared" si="1"/>
        <v>-0.639144379</v>
      </c>
    </row>
    <row r="1333" ht="14.25" customHeight="1">
      <c r="A1333" s="2" t="s">
        <v>107</v>
      </c>
      <c r="B1333" s="2" t="s">
        <v>108</v>
      </c>
      <c r="C1333" s="2">
        <v>2010.0</v>
      </c>
      <c r="D1333" s="9">
        <v>907.7422</v>
      </c>
      <c r="E1333" s="10" t="str">
        <f t="array" ref="E1333">IFS(D1333&lt;=$G$3,'calculated data '!$A$3,D1333&lt;=$G$4,'calculated data '!$A$4,D1333&lt;=$G$6,'calculated data '!$A$5,D1333&gt;=$G$6,'calculated data '!$A$6)</f>
        <v>Low Demand Tier</v>
      </c>
      <c r="F1333" s="10">
        <f t="shared" si="1"/>
        <v>-0.6391437649</v>
      </c>
    </row>
    <row r="1334" ht="14.25" customHeight="1">
      <c r="A1334" s="2" t="s">
        <v>107</v>
      </c>
      <c r="B1334" s="2" t="s">
        <v>108</v>
      </c>
      <c r="C1334" s="2">
        <v>2014.0</v>
      </c>
      <c r="D1334" s="9">
        <v>908.4122</v>
      </c>
      <c r="E1334" s="10" t="str">
        <f t="array" ref="E1334">IFS(D1334&lt;=$G$3,'calculated data '!$A$3,D1334&lt;=$G$4,'calculated data '!$A$4,D1334&lt;=$G$6,'calculated data '!$A$5,D1334&gt;=$G$6,'calculated data '!$A$6)</f>
        <v>Low Demand Tier</v>
      </c>
      <c r="F1334" s="10">
        <f t="shared" si="1"/>
        <v>-0.6391260302</v>
      </c>
    </row>
    <row r="1335" ht="14.25" customHeight="1">
      <c r="A1335" s="2" t="s">
        <v>95</v>
      </c>
      <c r="B1335" s="2" t="s">
        <v>96</v>
      </c>
      <c r="C1335" s="2">
        <v>2002.0</v>
      </c>
      <c r="D1335" s="9">
        <v>908.486</v>
      </c>
      <c r="E1335" s="10" t="str">
        <f t="array" ref="E1335">IFS(D1335&lt;=$G$3,'calculated data '!$A$3,D1335&lt;=$G$4,'calculated data '!$A$4,D1335&lt;=$G$6,'calculated data '!$A$5,D1335&gt;=$G$6,'calculated data '!$A$6)</f>
        <v>Low Demand Tier</v>
      </c>
      <c r="F1335" s="10">
        <f t="shared" si="1"/>
        <v>-0.6391240767</v>
      </c>
    </row>
    <row r="1336" ht="14.25" customHeight="1">
      <c r="A1336" s="2" t="s">
        <v>85</v>
      </c>
      <c r="B1336" s="2" t="s">
        <v>86</v>
      </c>
      <c r="C1336" s="2">
        <v>2009.0</v>
      </c>
      <c r="D1336" s="9">
        <v>909.78015</v>
      </c>
      <c r="E1336" s="10" t="str">
        <f t="array" ref="E1336">IFS(D1336&lt;=$G$3,'calculated data '!$A$3,D1336&lt;=$G$4,'calculated data '!$A$4,D1336&lt;=$G$6,'calculated data '!$A$5,D1336&gt;=$G$6,'calculated data '!$A$6)</f>
        <v>Low Demand Tier</v>
      </c>
      <c r="F1336" s="10">
        <f t="shared" si="1"/>
        <v>-0.6390898209</v>
      </c>
    </row>
    <row r="1337" ht="14.25" customHeight="1">
      <c r="A1337" s="2" t="s">
        <v>119</v>
      </c>
      <c r="B1337" s="2" t="s">
        <v>120</v>
      </c>
      <c r="C1337" s="2">
        <v>2014.0</v>
      </c>
      <c r="D1337" s="9">
        <v>911.53503</v>
      </c>
      <c r="E1337" s="10" t="str">
        <f t="array" ref="E1337">IFS(D1337&lt;=$G$3,'calculated data '!$A$3,D1337&lt;=$G$4,'calculated data '!$A$4,D1337&lt;=$G$6,'calculated data '!$A$5,D1337&gt;=$G$6,'calculated data '!$A$6)</f>
        <v>Low Demand Tier</v>
      </c>
      <c r="F1337" s="10">
        <f t="shared" si="1"/>
        <v>-0.6390433697</v>
      </c>
    </row>
    <row r="1338" ht="14.25" customHeight="1">
      <c r="A1338" s="2" t="s">
        <v>119</v>
      </c>
      <c r="B1338" s="2" t="s">
        <v>120</v>
      </c>
      <c r="C1338" s="2">
        <v>2004.0</v>
      </c>
      <c r="D1338" s="9">
        <v>912.3422</v>
      </c>
      <c r="E1338" s="10" t="str">
        <f t="array" ref="E1338">IFS(D1338&lt;=$G$3,'calculated data '!$A$3,D1338&lt;=$G$4,'calculated data '!$A$4,D1338&lt;=$G$6,'calculated data '!$A$5,D1338&gt;=$G$6,'calculated data '!$A$6)</f>
        <v>Low Demand Tier</v>
      </c>
      <c r="F1338" s="10">
        <f t="shared" si="1"/>
        <v>-0.6390220041</v>
      </c>
    </row>
    <row r="1339" ht="14.25" customHeight="1">
      <c r="A1339" s="2" t="s">
        <v>107</v>
      </c>
      <c r="B1339" s="2" t="s">
        <v>108</v>
      </c>
      <c r="C1339" s="2">
        <v>2006.0</v>
      </c>
      <c r="D1339" s="9">
        <v>913.12976</v>
      </c>
      <c r="E1339" s="10" t="str">
        <f t="array" ref="E1339">IFS(D1339&lt;=$G$3,'calculated data '!$A$3,D1339&lt;=$G$4,'calculated data '!$A$4,D1339&lt;=$G$6,'calculated data '!$A$5,D1339&gt;=$G$6,'calculated data '!$A$6)</f>
        <v>Low Demand Tier</v>
      </c>
      <c r="F1339" s="10">
        <f t="shared" si="1"/>
        <v>-0.6390011576</v>
      </c>
    </row>
    <row r="1340" ht="14.25" customHeight="1">
      <c r="A1340" s="2" t="s">
        <v>107</v>
      </c>
      <c r="B1340" s="2" t="s">
        <v>108</v>
      </c>
      <c r="C1340" s="2">
        <v>2003.0</v>
      </c>
      <c r="D1340" s="9">
        <v>914.2278</v>
      </c>
      <c r="E1340" s="10" t="str">
        <f t="array" ref="E1340">IFS(D1340&lt;=$G$3,'calculated data '!$A$3,D1340&lt;=$G$4,'calculated data '!$A$4,D1340&lt;=$G$6,'calculated data '!$A$5,D1340&gt;=$G$6,'calculated data '!$A$6)</f>
        <v>Low Demand Tier</v>
      </c>
      <c r="F1340" s="10">
        <f t="shared" si="1"/>
        <v>-0.6389720927</v>
      </c>
    </row>
    <row r="1341" ht="14.25" customHeight="1">
      <c r="A1341" s="2" t="s">
        <v>107</v>
      </c>
      <c r="B1341" s="2" t="s">
        <v>108</v>
      </c>
      <c r="C1341" s="2">
        <v>2005.0</v>
      </c>
      <c r="D1341" s="9">
        <v>914.5711</v>
      </c>
      <c r="E1341" s="10" t="str">
        <f t="array" ref="E1341">IFS(D1341&lt;=$G$3,'calculated data '!$A$3,D1341&lt;=$G$4,'calculated data '!$A$4,D1341&lt;=$G$6,'calculated data '!$A$5,D1341&gt;=$G$6,'calculated data '!$A$6)</f>
        <v>Low Demand Tier</v>
      </c>
      <c r="F1341" s="10">
        <f t="shared" si="1"/>
        <v>-0.6389630057</v>
      </c>
    </row>
    <row r="1342" ht="14.25" customHeight="1">
      <c r="A1342" s="2" t="s">
        <v>65</v>
      </c>
      <c r="B1342" s="2" t="s">
        <v>66</v>
      </c>
      <c r="C1342" s="2">
        <v>2015.0</v>
      </c>
      <c r="D1342" s="9">
        <v>914.92474</v>
      </c>
      <c r="E1342" s="10" t="str">
        <f t="array" ref="E1342">IFS(D1342&lt;=$G$3,'calculated data '!$A$3,D1342&lt;=$G$4,'calculated data '!$A$4,D1342&lt;=$G$6,'calculated data '!$A$5,D1342&gt;=$G$6,'calculated data '!$A$6)</f>
        <v>Low Demand Tier</v>
      </c>
      <c r="F1342" s="10">
        <f t="shared" si="1"/>
        <v>-0.6389536449</v>
      </c>
    </row>
    <row r="1343" ht="14.25" customHeight="1">
      <c r="A1343" s="2" t="s">
        <v>107</v>
      </c>
      <c r="B1343" s="2" t="s">
        <v>108</v>
      </c>
      <c r="C1343" s="2">
        <v>2015.0</v>
      </c>
      <c r="D1343" s="9">
        <v>915.1728</v>
      </c>
      <c r="E1343" s="10" t="str">
        <f t="array" ref="E1343">IFS(D1343&lt;=$G$3,'calculated data '!$A$3,D1343&lt;=$G$4,'calculated data '!$A$4,D1343&lt;=$G$6,'calculated data '!$A$5,D1343&gt;=$G$6,'calculated data '!$A$6)</f>
        <v>Low Demand Tier</v>
      </c>
      <c r="F1343" s="10">
        <f t="shared" si="1"/>
        <v>-0.6389470788</v>
      </c>
    </row>
    <row r="1344" ht="14.25" customHeight="1">
      <c r="A1344" s="2" t="s">
        <v>137</v>
      </c>
      <c r="B1344" s="2" t="s">
        <v>138</v>
      </c>
      <c r="C1344" s="2">
        <v>1996.0</v>
      </c>
      <c r="D1344" s="9">
        <v>915.5054</v>
      </c>
      <c r="E1344" s="10" t="str">
        <f t="array" ref="E1344">IFS(D1344&lt;=$G$3,'calculated data '!$A$3,D1344&lt;=$G$4,'calculated data '!$A$4,D1344&lt;=$G$6,'calculated data '!$A$5,D1344&gt;=$G$6,'calculated data '!$A$6)</f>
        <v>Low Demand Tier</v>
      </c>
      <c r="F1344" s="10">
        <f t="shared" si="1"/>
        <v>-0.638938275</v>
      </c>
    </row>
    <row r="1345" ht="14.25" customHeight="1">
      <c r="A1345" s="2" t="s">
        <v>21</v>
      </c>
      <c r="B1345" s="2" t="s">
        <v>22</v>
      </c>
      <c r="C1345" s="2">
        <v>1997.0</v>
      </c>
      <c r="D1345" s="9">
        <v>915.76654</v>
      </c>
      <c r="E1345" s="10" t="str">
        <f t="array" ref="E1345">IFS(D1345&lt;=$G$3,'calculated data '!$A$3,D1345&lt;=$G$4,'calculated data '!$A$4,D1345&lt;=$G$6,'calculated data '!$A$5,D1345&gt;=$G$6,'calculated data '!$A$6)</f>
        <v>Low Demand Tier</v>
      </c>
      <c r="F1345" s="10">
        <f t="shared" si="1"/>
        <v>-0.6389313627</v>
      </c>
    </row>
    <row r="1346" ht="14.25" customHeight="1">
      <c r="A1346" s="2" t="s">
        <v>111</v>
      </c>
      <c r="B1346" s="2" t="s">
        <v>112</v>
      </c>
      <c r="C1346" s="2">
        <v>1990.0</v>
      </c>
      <c r="D1346" s="9">
        <v>915.85944</v>
      </c>
      <c r="E1346" s="10" t="str">
        <f t="array" ref="E1346">IFS(D1346&lt;=$G$3,'calculated data '!$A$3,D1346&lt;=$G$4,'calculated data '!$A$4,D1346&lt;=$G$6,'calculated data '!$A$5,D1346&gt;=$G$6,'calculated data '!$A$6)</f>
        <v>Low Demand Tier</v>
      </c>
      <c r="F1346" s="10">
        <f t="shared" si="1"/>
        <v>-0.6389289036</v>
      </c>
    </row>
    <row r="1347" ht="14.25" customHeight="1">
      <c r="A1347" s="2" t="s">
        <v>121</v>
      </c>
      <c r="B1347" s="2" t="s">
        <v>122</v>
      </c>
      <c r="C1347" s="2">
        <v>1980.0</v>
      </c>
      <c r="D1347" s="9">
        <v>917.1267</v>
      </c>
      <c r="E1347" s="10" t="str">
        <f t="array" ref="E1347">IFS(D1347&lt;=$G$3,'calculated data '!$A$3,D1347&lt;=$G$4,'calculated data '!$A$4,D1347&lt;=$G$6,'calculated data '!$A$5,D1347&gt;=$G$6,'calculated data '!$A$6)</f>
        <v>Low Demand Tier</v>
      </c>
      <c r="F1347" s="10">
        <f t="shared" si="1"/>
        <v>-0.6388953596</v>
      </c>
    </row>
    <row r="1348" ht="14.25" customHeight="1">
      <c r="A1348" s="2" t="s">
        <v>127</v>
      </c>
      <c r="B1348" s="2" t="s">
        <v>128</v>
      </c>
      <c r="C1348" s="2">
        <v>1994.0</v>
      </c>
      <c r="D1348" s="9">
        <v>917.21045</v>
      </c>
      <c r="E1348" s="10" t="str">
        <f t="array" ref="E1348">IFS(D1348&lt;=$G$3,'calculated data '!$A$3,D1348&lt;=$G$4,'calculated data '!$A$4,D1348&lt;=$G$6,'calculated data '!$A$5,D1348&gt;=$G$6,'calculated data '!$A$6)</f>
        <v>Low Demand Tier</v>
      </c>
      <c r="F1348" s="10">
        <f t="shared" si="1"/>
        <v>-0.6388931427</v>
      </c>
    </row>
    <row r="1349" ht="14.25" customHeight="1">
      <c r="A1349" s="2" t="s">
        <v>103</v>
      </c>
      <c r="B1349" s="2" t="s">
        <v>104</v>
      </c>
      <c r="C1349" s="2">
        <v>2012.0</v>
      </c>
      <c r="D1349" s="9">
        <v>917.588</v>
      </c>
      <c r="E1349" s="10" t="str">
        <f t="array" ref="E1349">IFS(D1349&lt;=$G$3,'calculated data '!$A$3,D1349&lt;=$G$4,'calculated data '!$A$4,D1349&lt;=$G$6,'calculated data '!$A$5,D1349&gt;=$G$6,'calculated data '!$A$6)</f>
        <v>Low Demand Tier</v>
      </c>
      <c r="F1349" s="10">
        <f t="shared" si="1"/>
        <v>-0.6388831491</v>
      </c>
    </row>
    <row r="1350" ht="14.25" customHeight="1">
      <c r="A1350" s="2" t="s">
        <v>119</v>
      </c>
      <c r="B1350" s="2" t="s">
        <v>120</v>
      </c>
      <c r="C1350" s="2">
        <v>2005.0</v>
      </c>
      <c r="D1350" s="9">
        <v>917.8448</v>
      </c>
      <c r="E1350" s="10" t="str">
        <f t="array" ref="E1350">IFS(D1350&lt;=$G$3,'calculated data '!$A$3,D1350&lt;=$G$4,'calculated data '!$A$4,D1350&lt;=$G$6,'calculated data '!$A$5,D1350&gt;=$G$6,'calculated data '!$A$6)</f>
        <v>Low Demand Tier</v>
      </c>
      <c r="F1350" s="10">
        <f t="shared" si="1"/>
        <v>-0.6388763516</v>
      </c>
    </row>
    <row r="1351" ht="14.25" customHeight="1">
      <c r="A1351" s="2" t="s">
        <v>103</v>
      </c>
      <c r="B1351" s="2" t="s">
        <v>104</v>
      </c>
      <c r="C1351" s="2">
        <v>2014.0</v>
      </c>
      <c r="D1351" s="9">
        <v>919.42584</v>
      </c>
      <c r="E1351" s="10" t="str">
        <f t="array" ref="E1351">IFS(D1351&lt;=$G$3,'calculated data '!$A$3,D1351&lt;=$G$4,'calculated data '!$A$4,D1351&lt;=$G$6,'calculated data '!$A$5,D1351&gt;=$G$6,'calculated data '!$A$6)</f>
        <v>Low Demand Tier</v>
      </c>
      <c r="F1351" s="10">
        <f t="shared" si="1"/>
        <v>-0.6388345019</v>
      </c>
    </row>
    <row r="1352" ht="14.25" customHeight="1">
      <c r="A1352" s="2" t="s">
        <v>65</v>
      </c>
      <c r="B1352" s="2" t="s">
        <v>66</v>
      </c>
      <c r="C1352" s="2">
        <v>2009.0</v>
      </c>
      <c r="D1352" s="9">
        <v>919.612</v>
      </c>
      <c r="E1352" s="10" t="str">
        <f t="array" ref="E1352">IFS(D1352&lt;=$G$3,'calculated data '!$A$3,D1352&lt;=$G$4,'calculated data '!$A$4,D1352&lt;=$G$6,'calculated data '!$A$5,D1352&gt;=$G$6,'calculated data '!$A$6)</f>
        <v>Low Demand Tier</v>
      </c>
      <c r="F1352" s="10">
        <f t="shared" si="1"/>
        <v>-0.6388295743</v>
      </c>
    </row>
    <row r="1353" ht="14.25" customHeight="1">
      <c r="A1353" s="2" t="s">
        <v>127</v>
      </c>
      <c r="B1353" s="2" t="s">
        <v>128</v>
      </c>
      <c r="C1353" s="2">
        <v>1997.0</v>
      </c>
      <c r="D1353" s="9">
        <v>920.5946</v>
      </c>
      <c r="E1353" s="10" t="str">
        <f t="array" ref="E1353">IFS(D1353&lt;=$G$3,'calculated data '!$A$3,D1353&lt;=$G$4,'calculated data '!$A$4,D1353&lt;=$G$6,'calculated data '!$A$5,D1353&gt;=$G$6,'calculated data '!$A$6)</f>
        <v>Low Demand Tier</v>
      </c>
      <c r="F1353" s="10">
        <f t="shared" si="1"/>
        <v>-0.6388035651</v>
      </c>
    </row>
    <row r="1354" ht="14.25" customHeight="1">
      <c r="A1354" s="2" t="s">
        <v>121</v>
      </c>
      <c r="B1354" s="2" t="s">
        <v>122</v>
      </c>
      <c r="C1354" s="2">
        <v>2001.0</v>
      </c>
      <c r="D1354" s="9">
        <v>922.14636</v>
      </c>
      <c r="E1354" s="10" t="str">
        <f t="array" ref="E1354">IFS(D1354&lt;=$G$3,'calculated data '!$A$3,D1354&lt;=$G$4,'calculated data '!$A$4,D1354&lt;=$G$6,'calculated data '!$A$5,D1354&gt;=$G$6,'calculated data '!$A$6)</f>
        <v>Low Demand Tier</v>
      </c>
      <c r="F1354" s="10">
        <f t="shared" si="1"/>
        <v>-0.6387624904</v>
      </c>
    </row>
    <row r="1355" ht="14.25" customHeight="1">
      <c r="A1355" s="2" t="s">
        <v>81</v>
      </c>
      <c r="B1355" s="2" t="s">
        <v>82</v>
      </c>
      <c r="C1355" s="2">
        <v>1982.0</v>
      </c>
      <c r="D1355" s="9">
        <v>923.2544</v>
      </c>
      <c r="E1355" s="10" t="str">
        <f t="array" ref="E1355">IFS(D1355&lt;=$G$3,'calculated data '!$A$3,D1355&lt;=$G$4,'calculated data '!$A$4,D1355&lt;=$G$6,'calculated data '!$A$5,D1355&gt;=$G$6,'calculated data '!$A$6)</f>
        <v>Low Demand Tier</v>
      </c>
      <c r="F1355" s="10">
        <f t="shared" si="1"/>
        <v>-0.6387331609</v>
      </c>
    </row>
    <row r="1356" ht="14.25" customHeight="1">
      <c r="A1356" s="2" t="s">
        <v>119</v>
      </c>
      <c r="B1356" s="2" t="s">
        <v>120</v>
      </c>
      <c r="C1356" s="2">
        <v>2006.0</v>
      </c>
      <c r="D1356" s="9">
        <v>923.55316</v>
      </c>
      <c r="E1356" s="10" t="str">
        <f t="array" ref="E1356">IFS(D1356&lt;=$G$3,'calculated data '!$A$3,D1356&lt;=$G$4,'calculated data '!$A$4,D1356&lt;=$G$6,'calculated data '!$A$5,D1356&gt;=$G$6,'calculated data '!$A$6)</f>
        <v>Low Demand Tier</v>
      </c>
      <c r="F1356" s="10">
        <f t="shared" si="1"/>
        <v>-0.6387252528</v>
      </c>
    </row>
    <row r="1357" ht="14.25" customHeight="1">
      <c r="A1357" s="2" t="s">
        <v>107</v>
      </c>
      <c r="B1357" s="2" t="s">
        <v>108</v>
      </c>
      <c r="C1357" s="2">
        <v>2004.0</v>
      </c>
      <c r="D1357" s="9">
        <v>924.36456</v>
      </c>
      <c r="E1357" s="10" t="str">
        <f t="array" ref="E1357">IFS(D1357&lt;=$G$3,'calculated data '!$A$3,D1357&lt;=$G$4,'calculated data '!$A$4,D1357&lt;=$G$6,'calculated data '!$A$5,D1357&gt;=$G$6,'calculated data '!$A$6)</f>
        <v>Low Demand Tier</v>
      </c>
      <c r="F1357" s="10">
        <f t="shared" si="1"/>
        <v>-0.6387037752</v>
      </c>
    </row>
    <row r="1358" ht="14.25" customHeight="1">
      <c r="A1358" s="2" t="s">
        <v>97</v>
      </c>
      <c r="B1358" s="2" t="s">
        <v>98</v>
      </c>
      <c r="C1358" s="2">
        <v>2005.0</v>
      </c>
      <c r="D1358" s="9">
        <v>924.56476</v>
      </c>
      <c r="E1358" s="10" t="str">
        <f t="array" ref="E1358">IFS(D1358&lt;=$G$3,'calculated data '!$A$3,D1358&lt;=$G$4,'calculated data '!$A$4,D1358&lt;=$G$6,'calculated data '!$A$5,D1358&gt;=$G$6,'calculated data '!$A$6)</f>
        <v>Low Demand Tier</v>
      </c>
      <c r="F1358" s="10">
        <f t="shared" si="1"/>
        <v>-0.638698476</v>
      </c>
    </row>
    <row r="1359" ht="14.25" customHeight="1">
      <c r="A1359" s="2" t="s">
        <v>65</v>
      </c>
      <c r="B1359" s="2" t="s">
        <v>66</v>
      </c>
      <c r="C1359" s="2">
        <v>2024.0</v>
      </c>
      <c r="D1359" s="9">
        <v>925.08527</v>
      </c>
      <c r="E1359" s="10" t="str">
        <f t="array" ref="E1359">IFS(D1359&lt;=$G$3,'calculated data '!$A$3,D1359&lt;=$G$4,'calculated data '!$A$4,D1359&lt;=$G$6,'calculated data '!$A$5,D1359&gt;=$G$6,'calculated data '!$A$6)</f>
        <v>Low Demand Tier</v>
      </c>
      <c r="F1359" s="10">
        <f t="shared" si="1"/>
        <v>-0.6386846982</v>
      </c>
    </row>
    <row r="1360" ht="14.25" customHeight="1">
      <c r="A1360" s="2" t="s">
        <v>121</v>
      </c>
      <c r="B1360" s="2" t="s">
        <v>122</v>
      </c>
      <c r="C1360" s="2">
        <v>2006.0</v>
      </c>
      <c r="D1360" s="9">
        <v>926.24524</v>
      </c>
      <c r="E1360" s="10" t="str">
        <f t="array" ref="E1360">IFS(D1360&lt;=$G$3,'calculated data '!$A$3,D1360&lt;=$G$4,'calculated data '!$A$4,D1360&lt;=$G$6,'calculated data '!$A$5,D1360&gt;=$G$6,'calculated data '!$A$6)</f>
        <v>Low Demand Tier</v>
      </c>
      <c r="F1360" s="10">
        <f t="shared" si="1"/>
        <v>-0.6386539941</v>
      </c>
    </row>
    <row r="1361" ht="14.25" customHeight="1">
      <c r="A1361" s="2" t="s">
        <v>83</v>
      </c>
      <c r="B1361" s="2" t="s">
        <v>84</v>
      </c>
      <c r="C1361" s="2">
        <v>2000.0</v>
      </c>
      <c r="D1361" s="9">
        <v>927.38556</v>
      </c>
      <c r="E1361" s="10" t="str">
        <f t="array" ref="E1361">IFS(D1361&lt;=$G$3,'calculated data '!$A$3,D1361&lt;=$G$4,'calculated data '!$A$4,D1361&lt;=$G$6,'calculated data '!$A$5,D1361&gt;=$G$6,'calculated data '!$A$6)</f>
        <v>Low Demand Tier</v>
      </c>
      <c r="F1361" s="10">
        <f t="shared" si="1"/>
        <v>-0.6386238101</v>
      </c>
    </row>
    <row r="1362" ht="14.25" customHeight="1">
      <c r="A1362" s="2" t="s">
        <v>137</v>
      </c>
      <c r="B1362" s="2" t="s">
        <v>138</v>
      </c>
      <c r="C1362" s="2">
        <v>1995.0</v>
      </c>
      <c r="D1362" s="9">
        <v>929.02606</v>
      </c>
      <c r="E1362" s="10" t="str">
        <f t="array" ref="E1362">IFS(D1362&lt;=$G$3,'calculated data '!$A$3,D1362&lt;=$G$4,'calculated data '!$A$4,D1362&lt;=$G$6,'calculated data '!$A$5,D1362&gt;=$G$6,'calculated data '!$A$6)</f>
        <v>Low Demand Tier</v>
      </c>
      <c r="F1362" s="10">
        <f t="shared" si="1"/>
        <v>-0.6385803865</v>
      </c>
    </row>
    <row r="1363" ht="14.25" customHeight="1">
      <c r="A1363" s="2" t="s">
        <v>107</v>
      </c>
      <c r="B1363" s="2" t="s">
        <v>108</v>
      </c>
      <c r="C1363" s="2">
        <v>2016.0</v>
      </c>
      <c r="D1363" s="9">
        <v>929.2111</v>
      </c>
      <c r="E1363" s="10" t="str">
        <f t="array" ref="E1363">IFS(D1363&lt;=$G$3,'calculated data '!$A$3,D1363&lt;=$G$4,'calculated data '!$A$4,D1363&lt;=$G$6,'calculated data '!$A$5,D1363&gt;=$G$6,'calculated data '!$A$6)</f>
        <v>Low Demand Tier</v>
      </c>
      <c r="F1363" s="10">
        <f t="shared" si="1"/>
        <v>-0.6385754885</v>
      </c>
    </row>
    <row r="1364" ht="14.25" customHeight="1">
      <c r="A1364" s="2" t="s">
        <v>137</v>
      </c>
      <c r="B1364" s="2" t="s">
        <v>138</v>
      </c>
      <c r="C1364" s="2">
        <v>1985.0</v>
      </c>
      <c r="D1364" s="9">
        <v>931.62714</v>
      </c>
      <c r="E1364" s="10" t="str">
        <f t="array" ref="E1364">IFS(D1364&lt;=$G$3,'calculated data '!$A$3,D1364&lt;=$G$4,'calculated data '!$A$4,D1364&lt;=$G$6,'calculated data '!$A$5,D1364&gt;=$G$6,'calculated data '!$A$6)</f>
        <v>Low Demand Tier</v>
      </c>
      <c r="F1364" s="10">
        <f t="shared" si="1"/>
        <v>-0.6385115365</v>
      </c>
    </row>
    <row r="1365" ht="14.25" customHeight="1">
      <c r="A1365" s="2" t="s">
        <v>125</v>
      </c>
      <c r="B1365" s="2" t="s">
        <v>126</v>
      </c>
      <c r="C1365" s="2">
        <v>1985.0</v>
      </c>
      <c r="D1365" s="9">
        <v>931.6434</v>
      </c>
      <c r="E1365" s="10" t="str">
        <f t="array" ref="E1365">IFS(D1365&lt;=$G$3,'calculated data '!$A$3,D1365&lt;=$G$4,'calculated data '!$A$4,D1365&lt;=$G$6,'calculated data '!$A$5,D1365&gt;=$G$6,'calculated data '!$A$6)</f>
        <v>Low Demand Tier</v>
      </c>
      <c r="F1365" s="10">
        <f t="shared" si="1"/>
        <v>-0.6385111061</v>
      </c>
    </row>
    <row r="1366" ht="14.25" customHeight="1">
      <c r="A1366" s="2" t="s">
        <v>131</v>
      </c>
      <c r="B1366" s="2" t="s">
        <v>132</v>
      </c>
      <c r="C1366" s="2">
        <v>2009.0</v>
      </c>
      <c r="D1366" s="9">
        <v>931.79987</v>
      </c>
      <c r="E1366" s="10" t="str">
        <f t="array" ref="E1366">IFS(D1366&lt;=$G$3,'calculated data '!$A$3,D1366&lt;=$G$4,'calculated data '!$A$4,D1366&lt;=$G$6,'calculated data '!$A$5,D1366&gt;=$G$6,'calculated data '!$A$6)</f>
        <v>Low Demand Tier</v>
      </c>
      <c r="F1366" s="10">
        <f t="shared" si="1"/>
        <v>-0.6385069644</v>
      </c>
    </row>
    <row r="1367" ht="14.25" customHeight="1">
      <c r="A1367" s="2" t="s">
        <v>121</v>
      </c>
      <c r="B1367" s="2" t="s">
        <v>122</v>
      </c>
      <c r="C1367" s="2">
        <v>2007.0</v>
      </c>
      <c r="D1367" s="9">
        <v>932.29395</v>
      </c>
      <c r="E1367" s="10" t="str">
        <f t="array" ref="E1367">IFS(D1367&lt;=$G$3,'calculated data '!$A$3,D1367&lt;=$G$4,'calculated data '!$A$4,D1367&lt;=$G$6,'calculated data '!$A$5,D1367&gt;=$G$6,'calculated data '!$A$6)</f>
        <v>Low Demand Tier</v>
      </c>
      <c r="F1367" s="10">
        <f t="shared" si="1"/>
        <v>-0.6384938862</v>
      </c>
    </row>
    <row r="1368" ht="14.25" customHeight="1">
      <c r="A1368" s="2" t="s">
        <v>141</v>
      </c>
      <c r="B1368" s="2" t="s">
        <v>142</v>
      </c>
      <c r="C1368" s="2">
        <v>1965.0</v>
      </c>
      <c r="D1368" s="9">
        <v>932.94763</v>
      </c>
      <c r="E1368" s="10" t="str">
        <f t="array" ref="E1368">IFS(D1368&lt;=$G$3,'calculated data '!$A$3,D1368&lt;=$G$4,'calculated data '!$A$4,D1368&lt;=$G$6,'calculated data '!$A$5,D1368&gt;=$G$6,'calculated data '!$A$6)</f>
        <v>Low Demand Tier</v>
      </c>
      <c r="F1368" s="10">
        <f t="shared" si="1"/>
        <v>-0.6384765835</v>
      </c>
    </row>
    <row r="1369" ht="14.25" customHeight="1">
      <c r="A1369" s="2" t="s">
        <v>85</v>
      </c>
      <c r="B1369" s="2" t="s">
        <v>86</v>
      </c>
      <c r="C1369" s="2">
        <v>2011.0</v>
      </c>
      <c r="D1369" s="9">
        <v>933.80145</v>
      </c>
      <c r="E1369" s="10" t="str">
        <f t="array" ref="E1369">IFS(D1369&lt;=$G$3,'calculated data '!$A$3,D1369&lt;=$G$4,'calculated data '!$A$4,D1369&lt;=$G$6,'calculated data '!$A$5,D1369&gt;=$G$6,'calculated data '!$A$6)</f>
        <v>Low Demand Tier</v>
      </c>
      <c r="F1369" s="10">
        <f t="shared" si="1"/>
        <v>-0.6384539831</v>
      </c>
    </row>
    <row r="1370" ht="14.25" customHeight="1">
      <c r="A1370" s="2" t="s">
        <v>103</v>
      </c>
      <c r="B1370" s="2" t="s">
        <v>104</v>
      </c>
      <c r="C1370" s="2">
        <v>2013.0</v>
      </c>
      <c r="D1370" s="9">
        <v>934.0022</v>
      </c>
      <c r="E1370" s="10" t="str">
        <f t="array" ref="E1370">IFS(D1370&lt;=$G$3,'calculated data '!$A$3,D1370&lt;=$G$4,'calculated data '!$A$4,D1370&lt;=$G$6,'calculated data '!$A$5,D1370&gt;=$G$6,'calculated data '!$A$6)</f>
        <v>Low Demand Tier</v>
      </c>
      <c r="F1370" s="10">
        <f t="shared" si="1"/>
        <v>-0.6384486693</v>
      </c>
    </row>
    <row r="1371" ht="14.25" customHeight="1">
      <c r="A1371" s="2" t="s">
        <v>111</v>
      </c>
      <c r="B1371" s="2" t="s">
        <v>112</v>
      </c>
      <c r="C1371" s="2">
        <v>1989.0</v>
      </c>
      <c r="D1371" s="9">
        <v>934.8255</v>
      </c>
      <c r="E1371" s="10" t="str">
        <f t="array" ref="E1371">IFS(D1371&lt;=$G$3,'calculated data '!$A$3,D1371&lt;=$G$4,'calculated data '!$A$4,D1371&lt;=$G$6,'calculated data '!$A$5,D1371&gt;=$G$6,'calculated data '!$A$6)</f>
        <v>Low Demand Tier</v>
      </c>
      <c r="F1371" s="10">
        <f t="shared" si="1"/>
        <v>-0.6384268767</v>
      </c>
    </row>
    <row r="1372" ht="14.25" customHeight="1">
      <c r="A1372" s="2" t="s">
        <v>77</v>
      </c>
      <c r="B1372" s="2" t="s">
        <v>78</v>
      </c>
      <c r="C1372" s="2">
        <v>2020.0</v>
      </c>
      <c r="D1372" s="9">
        <v>936.2156</v>
      </c>
      <c r="E1372" s="10" t="str">
        <f t="array" ref="E1372">IFS(D1372&lt;=$G$3,'calculated data '!$A$3,D1372&lt;=$G$4,'calculated data '!$A$4,D1372&lt;=$G$6,'calculated data '!$A$5,D1372&gt;=$G$6,'calculated data '!$A$6)</f>
        <v>Low Demand Tier</v>
      </c>
      <c r="F1372" s="10">
        <f t="shared" si="1"/>
        <v>-0.6383900811</v>
      </c>
    </row>
    <row r="1373" ht="14.25" customHeight="1">
      <c r="A1373" s="2" t="s">
        <v>81</v>
      </c>
      <c r="B1373" s="2" t="s">
        <v>82</v>
      </c>
      <c r="C1373" s="2">
        <v>1981.0</v>
      </c>
      <c r="D1373" s="9">
        <v>936.6738</v>
      </c>
      <c r="E1373" s="10" t="str">
        <f t="array" ref="E1373">IFS(D1373&lt;=$G$3,'calculated data '!$A$3,D1373&lt;=$G$4,'calculated data '!$A$4,D1373&lt;=$G$6,'calculated data '!$A$5,D1373&gt;=$G$6,'calculated data '!$A$6)</f>
        <v>Low Demand Tier</v>
      </c>
      <c r="F1373" s="10">
        <f t="shared" si="1"/>
        <v>-0.6383779527</v>
      </c>
    </row>
    <row r="1374" ht="14.25" customHeight="1">
      <c r="A1374" s="2" t="s">
        <v>105</v>
      </c>
      <c r="B1374" s="2" t="s">
        <v>106</v>
      </c>
      <c r="C1374" s="2">
        <v>1981.0</v>
      </c>
      <c r="D1374" s="9">
        <v>937.5091</v>
      </c>
      <c r="E1374" s="10" t="str">
        <f t="array" ref="E1374">IFS(D1374&lt;=$G$3,'calculated data '!$A$3,D1374&lt;=$G$4,'calculated data '!$A$4,D1374&lt;=$G$6,'calculated data '!$A$5,D1374&gt;=$G$6,'calculated data '!$A$6)</f>
        <v>Low Demand Tier</v>
      </c>
      <c r="F1374" s="10">
        <f t="shared" si="1"/>
        <v>-0.6383558425</v>
      </c>
    </row>
    <row r="1375" ht="14.25" customHeight="1">
      <c r="A1375" s="2" t="s">
        <v>119</v>
      </c>
      <c r="B1375" s="2" t="s">
        <v>120</v>
      </c>
      <c r="C1375" s="2">
        <v>2008.0</v>
      </c>
      <c r="D1375" s="9">
        <v>938.4709</v>
      </c>
      <c r="E1375" s="10" t="str">
        <f t="array" ref="E1375">IFS(D1375&lt;=$G$3,'calculated data '!$A$3,D1375&lt;=$G$4,'calculated data '!$A$4,D1375&lt;=$G$6,'calculated data '!$A$5,D1375&gt;=$G$6,'calculated data '!$A$6)</f>
        <v>Low Demand Tier</v>
      </c>
      <c r="F1375" s="10">
        <f t="shared" si="1"/>
        <v>-0.6383303839</v>
      </c>
    </row>
    <row r="1376" ht="14.25" customHeight="1">
      <c r="A1376" s="2" t="s">
        <v>119</v>
      </c>
      <c r="B1376" s="2" t="s">
        <v>120</v>
      </c>
      <c r="C1376" s="2">
        <v>1990.0</v>
      </c>
      <c r="D1376" s="9">
        <v>938.483</v>
      </c>
      <c r="E1376" s="10" t="str">
        <f t="array" ref="E1376">IFS(D1376&lt;=$G$3,'calculated data '!$A$3,D1376&lt;=$G$4,'calculated data '!$A$4,D1376&lt;=$G$6,'calculated data '!$A$5,D1376&gt;=$G$6,'calculated data '!$A$6)</f>
        <v>Low Demand Tier</v>
      </c>
      <c r="F1376" s="10">
        <f t="shared" si="1"/>
        <v>-0.6383300636</v>
      </c>
    </row>
    <row r="1377" ht="14.25" customHeight="1">
      <c r="A1377" s="2" t="s">
        <v>103</v>
      </c>
      <c r="B1377" s="2" t="s">
        <v>104</v>
      </c>
      <c r="C1377" s="2">
        <v>2015.0</v>
      </c>
      <c r="D1377" s="9">
        <v>938.6186</v>
      </c>
      <c r="E1377" s="10" t="str">
        <f t="array" ref="E1377">IFS(D1377&lt;=$G$3,'calculated data '!$A$3,D1377&lt;=$G$4,'calculated data '!$A$4,D1377&lt;=$G$6,'calculated data '!$A$5,D1377&gt;=$G$6,'calculated data '!$A$6)</f>
        <v>Low Demand Tier</v>
      </c>
      <c r="F1377" s="10">
        <f t="shared" si="1"/>
        <v>-0.6383264743</v>
      </c>
    </row>
    <row r="1378" ht="14.25" customHeight="1">
      <c r="A1378" s="2" t="s">
        <v>103</v>
      </c>
      <c r="B1378" s="2" t="s">
        <v>104</v>
      </c>
      <c r="C1378" s="2">
        <v>2020.0</v>
      </c>
      <c r="D1378" s="9">
        <v>939.81476</v>
      </c>
      <c r="E1378" s="10" t="str">
        <f t="array" ref="E1378">IFS(D1378&lt;=$G$3,'calculated data '!$A$3,D1378&lt;=$G$4,'calculated data '!$A$4,D1378&lt;=$G$6,'calculated data '!$A$5,D1378&gt;=$G$6,'calculated data '!$A$6)</f>
        <v>Low Demand Tier</v>
      </c>
      <c r="F1378" s="10">
        <f t="shared" si="1"/>
        <v>-0.6382948123</v>
      </c>
    </row>
    <row r="1379" ht="14.25" customHeight="1">
      <c r="A1379" s="2" t="s">
        <v>95</v>
      </c>
      <c r="B1379" s="2" t="s">
        <v>96</v>
      </c>
      <c r="C1379" s="2">
        <v>2011.0</v>
      </c>
      <c r="D1379" s="9">
        <v>940.049</v>
      </c>
      <c r="E1379" s="10" t="str">
        <f t="array" ref="E1379">IFS(D1379&lt;=$G$3,'calculated data '!$A$3,D1379&lt;=$G$4,'calculated data '!$A$4,D1379&lt;=$G$6,'calculated data '!$A$5,D1379&gt;=$G$6,'calculated data '!$A$6)</f>
        <v>Low Demand Tier</v>
      </c>
      <c r="F1379" s="10">
        <f t="shared" si="1"/>
        <v>-0.638288612</v>
      </c>
    </row>
    <row r="1380" ht="14.25" customHeight="1">
      <c r="A1380" s="2" t="s">
        <v>95</v>
      </c>
      <c r="B1380" s="2" t="s">
        <v>96</v>
      </c>
      <c r="C1380" s="2">
        <v>2004.0</v>
      </c>
      <c r="D1380" s="9">
        <v>940.09143</v>
      </c>
      <c r="E1380" s="10" t="str">
        <f t="array" ref="E1380">IFS(D1380&lt;=$G$3,'calculated data '!$A$3,D1380&lt;=$G$4,'calculated data '!$A$4,D1380&lt;=$G$6,'calculated data '!$A$5,D1380&gt;=$G$6,'calculated data '!$A$6)</f>
        <v>Low Demand Tier</v>
      </c>
      <c r="F1380" s="10">
        <f t="shared" si="1"/>
        <v>-0.6382874889</v>
      </c>
    </row>
    <row r="1381" ht="14.25" customHeight="1">
      <c r="A1381" s="2" t="s">
        <v>125</v>
      </c>
      <c r="B1381" s="2" t="s">
        <v>126</v>
      </c>
      <c r="C1381" s="2">
        <v>2000.0</v>
      </c>
      <c r="D1381" s="9">
        <v>940.30396</v>
      </c>
      <c r="E1381" s="10" t="str">
        <f t="array" ref="E1381">IFS(D1381&lt;=$G$3,'calculated data '!$A$3,D1381&lt;=$G$4,'calculated data '!$A$4,D1381&lt;=$G$6,'calculated data '!$A$5,D1381&gt;=$G$6,'calculated data '!$A$6)</f>
        <v>Low Demand Tier</v>
      </c>
      <c r="F1381" s="10">
        <f t="shared" si="1"/>
        <v>-0.6382818633</v>
      </c>
    </row>
    <row r="1382" ht="14.25" customHeight="1">
      <c r="A1382" s="2" t="s">
        <v>121</v>
      </c>
      <c r="B1382" s="2" t="s">
        <v>122</v>
      </c>
      <c r="C1382" s="2">
        <v>2008.0</v>
      </c>
      <c r="D1382" s="9">
        <v>940.8304</v>
      </c>
      <c r="E1382" s="10" t="str">
        <f t="array" ref="E1382">IFS(D1382&lt;=$G$3,'calculated data '!$A$3,D1382&lt;=$G$4,'calculated data '!$A$4,D1382&lt;=$G$6,'calculated data '!$A$5,D1382&gt;=$G$6,'calculated data '!$A$6)</f>
        <v>Low Demand Tier</v>
      </c>
      <c r="F1382" s="10">
        <f t="shared" si="1"/>
        <v>-0.6382679285</v>
      </c>
    </row>
    <row r="1383" ht="14.25" customHeight="1">
      <c r="A1383" s="2" t="s">
        <v>137</v>
      </c>
      <c r="B1383" s="2" t="s">
        <v>138</v>
      </c>
      <c r="C1383" s="2">
        <v>1986.0</v>
      </c>
      <c r="D1383" s="9">
        <v>941.7385</v>
      </c>
      <c r="E1383" s="10" t="str">
        <f t="array" ref="E1383">IFS(D1383&lt;=$G$3,'calculated data '!$A$3,D1383&lt;=$G$4,'calculated data '!$A$4,D1383&lt;=$G$6,'calculated data '!$A$5,D1383&gt;=$G$6,'calculated data '!$A$6)</f>
        <v>Low Demand Tier</v>
      </c>
      <c r="F1383" s="10">
        <f t="shared" si="1"/>
        <v>-0.6382438913</v>
      </c>
    </row>
    <row r="1384" ht="14.25" customHeight="1">
      <c r="A1384" s="2" t="s">
        <v>137</v>
      </c>
      <c r="B1384" s="2" t="s">
        <v>138</v>
      </c>
      <c r="C1384" s="2">
        <v>1994.0</v>
      </c>
      <c r="D1384" s="9">
        <v>943.1647</v>
      </c>
      <c r="E1384" s="10" t="str">
        <f t="array" ref="E1384">IFS(D1384&lt;=$G$3,'calculated data '!$A$3,D1384&lt;=$G$4,'calculated data '!$A$4,D1384&lt;=$G$6,'calculated data '!$A$5,D1384&gt;=$G$6,'calculated data '!$A$6)</f>
        <v>Low Demand Tier</v>
      </c>
      <c r="F1384" s="10">
        <f t="shared" si="1"/>
        <v>-0.6382061402</v>
      </c>
    </row>
    <row r="1385" ht="14.25" customHeight="1">
      <c r="A1385" s="2" t="s">
        <v>77</v>
      </c>
      <c r="B1385" s="2" t="s">
        <v>78</v>
      </c>
      <c r="C1385" s="2">
        <v>2018.0</v>
      </c>
      <c r="D1385" s="9">
        <v>943.59674</v>
      </c>
      <c r="E1385" s="10" t="str">
        <f t="array" ref="E1385">IFS(D1385&lt;=$G$3,'calculated data '!$A$3,D1385&lt;=$G$4,'calculated data '!$A$4,D1385&lt;=$G$6,'calculated data '!$A$5,D1385&gt;=$G$6,'calculated data '!$A$6)</f>
        <v>Low Demand Tier</v>
      </c>
      <c r="F1385" s="10">
        <f t="shared" si="1"/>
        <v>-0.6381947042</v>
      </c>
    </row>
    <row r="1386" ht="14.25" customHeight="1">
      <c r="A1386" s="2" t="s">
        <v>87</v>
      </c>
      <c r="B1386" s="2" t="s">
        <v>88</v>
      </c>
      <c r="C1386" s="2">
        <v>2000.0</v>
      </c>
      <c r="D1386" s="9">
        <v>946.31213</v>
      </c>
      <c r="E1386" s="10" t="str">
        <f t="array" ref="E1386">IFS(D1386&lt;=$G$3,'calculated data '!$A$3,D1386&lt;=$G$4,'calculated data '!$A$4,D1386&lt;=$G$6,'calculated data '!$A$5,D1386&gt;=$G$6,'calculated data '!$A$6)</f>
        <v>Low Demand Tier</v>
      </c>
      <c r="F1386" s="10">
        <f t="shared" si="1"/>
        <v>-0.6381228285</v>
      </c>
    </row>
    <row r="1387" ht="14.25" customHeight="1">
      <c r="A1387" s="2" t="s">
        <v>107</v>
      </c>
      <c r="B1387" s="2" t="s">
        <v>108</v>
      </c>
      <c r="C1387" s="2">
        <v>2007.0</v>
      </c>
      <c r="D1387" s="9">
        <v>946.34094</v>
      </c>
      <c r="E1387" s="10" t="str">
        <f t="array" ref="E1387">IFS(D1387&lt;=$G$3,'calculated data '!$A$3,D1387&lt;=$G$4,'calculated data '!$A$4,D1387&lt;=$G$6,'calculated data '!$A$5,D1387&gt;=$G$6,'calculated data '!$A$6)</f>
        <v>Low Demand Tier</v>
      </c>
      <c r="F1387" s="10">
        <f t="shared" si="1"/>
        <v>-0.6381220659</v>
      </c>
    </row>
    <row r="1388" ht="14.25" customHeight="1">
      <c r="A1388" s="2" t="s">
        <v>105</v>
      </c>
      <c r="B1388" s="2" t="s">
        <v>106</v>
      </c>
      <c r="C1388" s="2">
        <v>1985.0</v>
      </c>
      <c r="D1388" s="9">
        <v>946.3714</v>
      </c>
      <c r="E1388" s="10" t="str">
        <f t="array" ref="E1388">IFS(D1388&lt;=$G$3,'calculated data '!$A$3,D1388&lt;=$G$4,'calculated data '!$A$4,D1388&lt;=$G$6,'calculated data '!$A$5,D1388&gt;=$G$6,'calculated data '!$A$6)</f>
        <v>Low Demand Tier</v>
      </c>
      <c r="F1388" s="10">
        <f t="shared" si="1"/>
        <v>-0.6381212596</v>
      </c>
    </row>
    <row r="1389" ht="14.25" customHeight="1">
      <c r="A1389" s="2" t="s">
        <v>131</v>
      </c>
      <c r="B1389" s="2" t="s">
        <v>132</v>
      </c>
      <c r="C1389" s="2">
        <v>2010.0</v>
      </c>
      <c r="D1389" s="9">
        <v>946.71533</v>
      </c>
      <c r="E1389" s="10" t="str">
        <f t="array" ref="E1389">IFS(D1389&lt;=$G$3,'calculated data '!$A$3,D1389&lt;=$G$4,'calculated data '!$A$4,D1389&lt;=$G$6,'calculated data '!$A$5,D1389&gt;=$G$6,'calculated data '!$A$6)</f>
        <v>Low Demand Tier</v>
      </c>
      <c r="F1389" s="10">
        <f t="shared" si="1"/>
        <v>-0.6381121559</v>
      </c>
    </row>
    <row r="1390" ht="14.25" customHeight="1">
      <c r="A1390" s="2" t="s">
        <v>123</v>
      </c>
      <c r="B1390" s="2" t="s">
        <v>124</v>
      </c>
      <c r="C1390" s="2">
        <v>1992.0</v>
      </c>
      <c r="D1390" s="9">
        <v>947.3818</v>
      </c>
      <c r="E1390" s="10" t="str">
        <f t="array" ref="E1390">IFS(D1390&lt;=$G$3,'calculated data '!$A$3,D1390&lt;=$G$4,'calculated data '!$A$4,D1390&lt;=$G$6,'calculated data '!$A$5,D1390&gt;=$G$6,'calculated data '!$A$6)</f>
        <v>Low Demand Tier</v>
      </c>
      <c r="F1390" s="10">
        <f t="shared" si="1"/>
        <v>-0.6380945146</v>
      </c>
    </row>
    <row r="1391" ht="14.25" customHeight="1">
      <c r="A1391" s="2" t="s">
        <v>95</v>
      </c>
      <c r="B1391" s="2" t="s">
        <v>96</v>
      </c>
      <c r="C1391" s="2">
        <v>1988.0</v>
      </c>
      <c r="D1391" s="9">
        <v>947.80817</v>
      </c>
      <c r="E1391" s="10" t="str">
        <f t="array" ref="E1391">IFS(D1391&lt;=$G$3,'calculated data '!$A$3,D1391&lt;=$G$4,'calculated data '!$A$4,D1391&lt;=$G$6,'calculated data '!$A$5,D1391&gt;=$G$6,'calculated data '!$A$6)</f>
        <v>Low Demand Tier</v>
      </c>
      <c r="F1391" s="10">
        <f t="shared" si="1"/>
        <v>-0.6380832287</v>
      </c>
    </row>
    <row r="1392" ht="14.25" customHeight="1">
      <c r="A1392" s="2" t="s">
        <v>129</v>
      </c>
      <c r="B1392" s="2" t="s">
        <v>130</v>
      </c>
      <c r="C1392" s="2">
        <v>1973.0</v>
      </c>
      <c r="D1392" s="9">
        <v>948.446</v>
      </c>
      <c r="E1392" s="10" t="str">
        <f t="array" ref="E1392">IFS(D1392&lt;=$G$3,'calculated data '!$A$3,D1392&lt;=$G$4,'calculated data '!$A$4,D1392&lt;=$G$6,'calculated data '!$A$5,D1392&gt;=$G$6,'calculated data '!$A$6)</f>
        <v>Low Demand Tier</v>
      </c>
      <c r="F1392" s="10">
        <f t="shared" si="1"/>
        <v>-0.6380663455</v>
      </c>
    </row>
    <row r="1393" ht="14.25" customHeight="1">
      <c r="A1393" s="2" t="s">
        <v>21</v>
      </c>
      <c r="B1393" s="2" t="s">
        <v>22</v>
      </c>
      <c r="C1393" s="2">
        <v>1999.0</v>
      </c>
      <c r="D1393" s="9">
        <v>948.8838</v>
      </c>
      <c r="E1393" s="10" t="str">
        <f t="array" ref="E1393">IFS(D1393&lt;=$G$3,'calculated data '!$A$3,D1393&lt;=$G$4,'calculated data '!$A$4,D1393&lt;=$G$6,'calculated data '!$A$5,D1393&gt;=$G$6,'calculated data '!$A$6)</f>
        <v>Low Demand Tier</v>
      </c>
      <c r="F1393" s="10">
        <f t="shared" si="1"/>
        <v>-0.638054757</v>
      </c>
    </row>
    <row r="1394" ht="14.25" customHeight="1">
      <c r="A1394" s="2" t="s">
        <v>119</v>
      </c>
      <c r="B1394" s="2" t="s">
        <v>120</v>
      </c>
      <c r="C1394" s="2">
        <v>2007.0</v>
      </c>
      <c r="D1394" s="9">
        <v>948.9217</v>
      </c>
      <c r="E1394" s="10" t="str">
        <f t="array" ref="E1394">IFS(D1394&lt;=$G$3,'calculated data '!$A$3,D1394&lt;=$G$4,'calculated data '!$A$4,D1394&lt;=$G$6,'calculated data '!$A$5,D1394&gt;=$G$6,'calculated data '!$A$6)</f>
        <v>Low Demand Tier</v>
      </c>
      <c r="F1394" s="10">
        <f t="shared" si="1"/>
        <v>-0.6380537538</v>
      </c>
    </row>
    <row r="1395" ht="14.25" customHeight="1">
      <c r="A1395" s="2" t="s">
        <v>127</v>
      </c>
      <c r="B1395" s="2" t="s">
        <v>128</v>
      </c>
      <c r="C1395" s="2">
        <v>1982.0</v>
      </c>
      <c r="D1395" s="9">
        <v>948.94904</v>
      </c>
      <c r="E1395" s="10" t="str">
        <f t="array" ref="E1395">IFS(D1395&lt;=$G$3,'calculated data '!$A$3,D1395&lt;=$G$4,'calculated data '!$A$4,D1395&lt;=$G$6,'calculated data '!$A$5,D1395&gt;=$G$6,'calculated data '!$A$6)</f>
        <v>Low Demand Tier</v>
      </c>
      <c r="F1395" s="10">
        <f t="shared" si="1"/>
        <v>-0.6380530301</v>
      </c>
    </row>
    <row r="1396" ht="14.25" customHeight="1">
      <c r="A1396" s="2" t="s">
        <v>79</v>
      </c>
      <c r="B1396" s="2" t="s">
        <v>80</v>
      </c>
      <c r="C1396" s="2">
        <v>2006.0</v>
      </c>
      <c r="D1396" s="9">
        <v>949.56067</v>
      </c>
      <c r="E1396" s="10" t="str">
        <f t="array" ref="E1396">IFS(D1396&lt;=$G$3,'calculated data '!$A$3,D1396&lt;=$G$4,'calculated data '!$A$4,D1396&lt;=$G$6,'calculated data '!$A$5,D1396&gt;=$G$6,'calculated data '!$A$6)</f>
        <v>Low Demand Tier</v>
      </c>
      <c r="F1396" s="10">
        <f t="shared" si="1"/>
        <v>-0.6380368405</v>
      </c>
    </row>
    <row r="1397" ht="14.25" customHeight="1">
      <c r="A1397" s="2" t="s">
        <v>93</v>
      </c>
      <c r="B1397" s="2" t="s">
        <v>94</v>
      </c>
      <c r="C1397" s="2">
        <v>2000.0</v>
      </c>
      <c r="D1397" s="9">
        <v>950.59406</v>
      </c>
      <c r="E1397" s="10" t="str">
        <f t="array" ref="E1397">IFS(D1397&lt;=$G$3,'calculated data '!$A$3,D1397&lt;=$G$4,'calculated data '!$A$4,D1397&lt;=$G$6,'calculated data '!$A$5,D1397&gt;=$G$6,'calculated data '!$A$6)</f>
        <v>Low Demand Tier</v>
      </c>
      <c r="F1397" s="10">
        <f t="shared" si="1"/>
        <v>-0.6380094869</v>
      </c>
    </row>
    <row r="1398" ht="14.25" customHeight="1">
      <c r="A1398" s="2" t="s">
        <v>127</v>
      </c>
      <c r="B1398" s="2" t="s">
        <v>128</v>
      </c>
      <c r="C1398" s="2">
        <v>1985.0</v>
      </c>
      <c r="D1398" s="9">
        <v>950.6639</v>
      </c>
      <c r="E1398" s="10" t="str">
        <f t="array" ref="E1398">IFS(D1398&lt;=$G$3,'calculated data '!$A$3,D1398&lt;=$G$4,'calculated data '!$A$4,D1398&lt;=$G$6,'calculated data '!$A$5,D1398&gt;=$G$6,'calculated data '!$A$6)</f>
        <v>Low Demand Tier</v>
      </c>
      <c r="F1398" s="10">
        <f t="shared" si="1"/>
        <v>-0.6380076382</v>
      </c>
    </row>
    <row r="1399" ht="14.25" customHeight="1">
      <c r="A1399" s="2" t="s">
        <v>109</v>
      </c>
      <c r="B1399" s="2" t="s">
        <v>110</v>
      </c>
      <c r="C1399" s="2">
        <v>2012.0</v>
      </c>
      <c r="D1399" s="9">
        <v>951.0447</v>
      </c>
      <c r="E1399" s="10" t="str">
        <f t="array" ref="E1399">IFS(D1399&lt;=$G$3,'calculated data '!$A$3,D1399&lt;=$G$4,'calculated data '!$A$4,D1399&lt;=$G$6,'calculated data '!$A$5,D1399&gt;=$G$6,'calculated data '!$A$6)</f>
        <v>Low Demand Tier</v>
      </c>
      <c r="F1399" s="10">
        <f t="shared" si="1"/>
        <v>-0.6379975586</v>
      </c>
    </row>
    <row r="1400" ht="14.25" customHeight="1">
      <c r="A1400" s="2" t="s">
        <v>143</v>
      </c>
      <c r="B1400" s="2" t="s">
        <v>144</v>
      </c>
      <c r="C1400" s="2">
        <v>1997.0</v>
      </c>
      <c r="D1400" s="9">
        <v>951.8042</v>
      </c>
      <c r="E1400" s="10" t="str">
        <f t="array" ref="E1400">IFS(D1400&lt;=$G$3,'calculated data '!$A$3,D1400&lt;=$G$4,'calculated data '!$A$4,D1400&lt;=$G$6,'calculated data '!$A$5,D1400&gt;=$G$6,'calculated data '!$A$6)</f>
        <v>Low Demand Tier</v>
      </c>
      <c r="F1400" s="10">
        <f t="shared" si="1"/>
        <v>-0.6379774548</v>
      </c>
    </row>
    <row r="1401" ht="14.25" customHeight="1">
      <c r="A1401" s="2" t="s">
        <v>127</v>
      </c>
      <c r="B1401" s="2" t="s">
        <v>128</v>
      </c>
      <c r="C1401" s="2">
        <v>1993.0</v>
      </c>
      <c r="D1401" s="9">
        <v>952.02435</v>
      </c>
      <c r="E1401" s="10" t="str">
        <f t="array" ref="E1401">IFS(D1401&lt;=$G$3,'calculated data '!$A$3,D1401&lt;=$G$4,'calculated data '!$A$4,D1401&lt;=$G$6,'calculated data '!$A$5,D1401&gt;=$G$6,'calculated data '!$A$6)</f>
        <v>Low Demand Tier</v>
      </c>
      <c r="F1401" s="10">
        <f t="shared" si="1"/>
        <v>-0.6379716275</v>
      </c>
    </row>
    <row r="1402" ht="14.25" customHeight="1">
      <c r="A1402" s="2" t="s">
        <v>137</v>
      </c>
      <c r="B1402" s="2" t="s">
        <v>138</v>
      </c>
      <c r="C1402" s="2">
        <v>1984.0</v>
      </c>
      <c r="D1402" s="9">
        <v>952.2918</v>
      </c>
      <c r="E1402" s="10" t="str">
        <f t="array" ref="E1402">IFS(D1402&lt;=$G$3,'calculated data '!$A$3,D1402&lt;=$G$4,'calculated data '!$A$4,D1402&lt;=$G$6,'calculated data '!$A$5,D1402&gt;=$G$6,'calculated data '!$A$6)</f>
        <v>Low Demand Tier</v>
      </c>
      <c r="F1402" s="10">
        <f t="shared" si="1"/>
        <v>-0.6379645481</v>
      </c>
    </row>
    <row r="1403" ht="14.25" customHeight="1">
      <c r="A1403" s="2" t="s">
        <v>77</v>
      </c>
      <c r="B1403" s="2" t="s">
        <v>78</v>
      </c>
      <c r="C1403" s="2">
        <v>2019.0</v>
      </c>
      <c r="D1403" s="9">
        <v>953.4791</v>
      </c>
      <c r="E1403" s="10" t="str">
        <f t="array" ref="E1403">IFS(D1403&lt;=$G$3,'calculated data '!$A$3,D1403&lt;=$G$4,'calculated data '!$A$4,D1403&lt;=$G$6,'calculated data '!$A$5,D1403&gt;=$G$6,'calculated data '!$A$6)</f>
        <v>Low Demand Tier</v>
      </c>
      <c r="F1403" s="10">
        <f t="shared" si="1"/>
        <v>-0.6379331206</v>
      </c>
    </row>
    <row r="1404" ht="14.25" customHeight="1">
      <c r="A1404" s="2" t="s">
        <v>133</v>
      </c>
      <c r="B1404" s="2" t="s">
        <v>134</v>
      </c>
      <c r="C1404" s="2">
        <v>1981.0</v>
      </c>
      <c r="D1404" s="9">
        <v>955.0991</v>
      </c>
      <c r="E1404" s="10" t="str">
        <f t="array" ref="E1404">IFS(D1404&lt;=$G$3,'calculated data '!$A$3,D1404&lt;=$G$4,'calculated data '!$A$4,D1404&lt;=$G$6,'calculated data '!$A$5,D1404&gt;=$G$6,'calculated data '!$A$6)</f>
        <v>Low Demand Tier</v>
      </c>
      <c r="F1404" s="10">
        <f t="shared" si="1"/>
        <v>-0.6378902396</v>
      </c>
    </row>
    <row r="1405" ht="14.25" customHeight="1">
      <c r="A1405" s="2" t="s">
        <v>21</v>
      </c>
      <c r="B1405" s="2" t="s">
        <v>22</v>
      </c>
      <c r="C1405" s="2">
        <v>1998.0</v>
      </c>
      <c r="D1405" s="9">
        <v>955.5944</v>
      </c>
      <c r="E1405" s="10" t="str">
        <f t="array" ref="E1405">IFS(D1405&lt;=$G$3,'calculated data '!$A$3,D1405&lt;=$G$4,'calculated data '!$A$4,D1405&lt;=$G$6,'calculated data '!$A$5,D1405&gt;=$G$6,'calculated data '!$A$6)</f>
        <v>Low Demand Tier</v>
      </c>
      <c r="F1405" s="10">
        <f t="shared" si="1"/>
        <v>-0.6378771291</v>
      </c>
    </row>
    <row r="1406" ht="14.25" customHeight="1">
      <c r="A1406" s="2" t="s">
        <v>137</v>
      </c>
      <c r="B1406" s="2" t="s">
        <v>138</v>
      </c>
      <c r="C1406" s="2">
        <v>1993.0</v>
      </c>
      <c r="D1406" s="9">
        <v>957.2787</v>
      </c>
      <c r="E1406" s="10" t="str">
        <f t="array" ref="E1406">IFS(D1406&lt;=$G$3,'calculated data '!$A$3,D1406&lt;=$G$4,'calculated data '!$A$4,D1406&lt;=$G$6,'calculated data '!$A$5,D1406&gt;=$G$6,'calculated data '!$A$6)</f>
        <v>Low Demand Tier</v>
      </c>
      <c r="F1406" s="10">
        <f t="shared" si="1"/>
        <v>-0.6378325461</v>
      </c>
    </row>
    <row r="1407" ht="14.25" customHeight="1">
      <c r="A1407" s="2" t="s">
        <v>85</v>
      </c>
      <c r="B1407" s="2" t="s">
        <v>86</v>
      </c>
      <c r="C1407" s="2">
        <v>2012.0</v>
      </c>
      <c r="D1407" s="9">
        <v>957.63525</v>
      </c>
      <c r="E1407" s="10" t="str">
        <f t="array" ref="E1407">IFS(D1407&lt;=$G$3,'calculated data '!$A$3,D1407&lt;=$G$4,'calculated data '!$A$4,D1407&lt;=$G$6,'calculated data '!$A$5,D1407&gt;=$G$6,'calculated data '!$A$6)</f>
        <v>Low Demand Tier</v>
      </c>
      <c r="F1407" s="10">
        <f t="shared" si="1"/>
        <v>-0.6378231083</v>
      </c>
    </row>
    <row r="1408" ht="14.25" customHeight="1">
      <c r="A1408" s="2" t="s">
        <v>105</v>
      </c>
      <c r="B1408" s="2" t="s">
        <v>106</v>
      </c>
      <c r="C1408" s="2">
        <v>1980.0</v>
      </c>
      <c r="D1408" s="9">
        <v>959.28284</v>
      </c>
      <c r="E1408" s="10" t="str">
        <f t="array" ref="E1408">IFS(D1408&lt;=$G$3,'calculated data '!$A$3,D1408&lt;=$G$4,'calculated data '!$A$4,D1408&lt;=$G$6,'calculated data '!$A$5,D1408&gt;=$G$6,'calculated data '!$A$6)</f>
        <v>Low Demand Tier</v>
      </c>
      <c r="F1408" s="10">
        <f t="shared" si="1"/>
        <v>-0.637779497</v>
      </c>
    </row>
    <row r="1409" ht="14.25" customHeight="1">
      <c r="A1409" s="2" t="s">
        <v>131</v>
      </c>
      <c r="B1409" s="2" t="s">
        <v>132</v>
      </c>
      <c r="C1409" s="2">
        <v>2011.0</v>
      </c>
      <c r="D1409" s="9">
        <v>959.7205</v>
      </c>
      <c r="E1409" s="10" t="str">
        <f t="array" ref="E1409">IFS(D1409&lt;=$G$3,'calculated data '!$A$3,D1409&lt;=$G$4,'calculated data '!$A$4,D1409&lt;=$G$6,'calculated data '!$A$5,D1409&gt;=$G$6,'calculated data '!$A$6)</f>
        <v>Low Demand Tier</v>
      </c>
      <c r="F1409" s="10">
        <f t="shared" si="1"/>
        <v>-0.6377679123</v>
      </c>
    </row>
    <row r="1410" ht="14.25" customHeight="1">
      <c r="A1410" s="2" t="s">
        <v>87</v>
      </c>
      <c r="B1410" s="2" t="s">
        <v>88</v>
      </c>
      <c r="C1410" s="2">
        <v>2001.0</v>
      </c>
      <c r="D1410" s="9">
        <v>961.3757</v>
      </c>
      <c r="E1410" s="10" t="str">
        <f t="array" ref="E1410">IFS(D1410&lt;=$G$3,'calculated data '!$A$3,D1410&lt;=$G$4,'calculated data '!$A$4,D1410&lt;=$G$6,'calculated data '!$A$5,D1410&gt;=$G$6,'calculated data '!$A$6)</f>
        <v>Low Demand Tier</v>
      </c>
      <c r="F1410" s="10">
        <f t="shared" si="1"/>
        <v>-0.6377240996</v>
      </c>
    </row>
    <row r="1411" ht="14.25" customHeight="1">
      <c r="A1411" s="2" t="s">
        <v>95</v>
      </c>
      <c r="B1411" s="2" t="s">
        <v>96</v>
      </c>
      <c r="C1411" s="2">
        <v>2005.0</v>
      </c>
      <c r="D1411" s="9">
        <v>965.6786</v>
      </c>
      <c r="E1411" s="10" t="str">
        <f t="array" ref="E1411">IFS(D1411&lt;=$G$3,'calculated data '!$A$3,D1411&lt;=$G$4,'calculated data '!$A$4,D1411&lt;=$G$6,'calculated data '!$A$5,D1411&gt;=$G$6,'calculated data '!$A$6)</f>
        <v>Low Demand Tier</v>
      </c>
      <c r="F1411" s="10">
        <f t="shared" si="1"/>
        <v>-0.6376102029</v>
      </c>
    </row>
    <row r="1412" ht="14.25" customHeight="1">
      <c r="A1412" s="2" t="s">
        <v>107</v>
      </c>
      <c r="B1412" s="2" t="s">
        <v>108</v>
      </c>
      <c r="C1412" s="2">
        <v>1989.0</v>
      </c>
      <c r="D1412" s="9">
        <v>965.9471</v>
      </c>
      <c r="E1412" s="10" t="str">
        <f t="array" ref="E1412">IFS(D1412&lt;=$G$3,'calculated data '!$A$3,D1412&lt;=$G$4,'calculated data '!$A$4,D1412&lt;=$G$6,'calculated data '!$A$5,D1412&gt;=$G$6,'calculated data '!$A$6)</f>
        <v>Low Demand Tier</v>
      </c>
      <c r="F1412" s="10">
        <f t="shared" si="1"/>
        <v>-0.6376030957</v>
      </c>
    </row>
    <row r="1413" ht="14.25" customHeight="1">
      <c r="A1413" s="2" t="s">
        <v>119</v>
      </c>
      <c r="B1413" s="2" t="s">
        <v>120</v>
      </c>
      <c r="C1413" s="2">
        <v>2009.0</v>
      </c>
      <c r="D1413" s="9">
        <v>968.74414</v>
      </c>
      <c r="E1413" s="10" t="str">
        <f t="array" ref="E1413">IFS(D1413&lt;=$G$3,'calculated data '!$A$3,D1413&lt;=$G$4,'calculated data '!$A$4,D1413&lt;=$G$6,'calculated data '!$A$5,D1413&gt;=$G$6,'calculated data '!$A$6)</f>
        <v>Low Demand Tier</v>
      </c>
      <c r="F1413" s="10">
        <f t="shared" si="1"/>
        <v>-0.6375290588</v>
      </c>
    </row>
    <row r="1414" ht="14.25" customHeight="1">
      <c r="A1414" s="2" t="s">
        <v>125</v>
      </c>
      <c r="B1414" s="2" t="s">
        <v>126</v>
      </c>
      <c r="C1414" s="2">
        <v>2007.0</v>
      </c>
      <c r="D1414" s="9">
        <v>970.2562</v>
      </c>
      <c r="E1414" s="10" t="str">
        <f t="array" ref="E1414">IFS(D1414&lt;=$G$3,'calculated data '!$A$3,D1414&lt;=$G$4,'calculated data '!$A$4,D1414&lt;=$G$6,'calculated data '!$A$5,D1414&gt;=$G$6,'calculated data '!$A$6)</f>
        <v>Low Demand Tier</v>
      </c>
      <c r="F1414" s="10">
        <f t="shared" si="1"/>
        <v>-0.6374890349</v>
      </c>
    </row>
    <row r="1415" ht="14.25" customHeight="1">
      <c r="A1415" s="2" t="s">
        <v>95</v>
      </c>
      <c r="B1415" s="2" t="s">
        <v>96</v>
      </c>
      <c r="C1415" s="2">
        <v>2009.0</v>
      </c>
      <c r="D1415" s="9">
        <v>970.68097</v>
      </c>
      <c r="E1415" s="10" t="str">
        <f t="array" ref="E1415">IFS(D1415&lt;=$G$3,'calculated data '!$A$3,D1415&lt;=$G$4,'calculated data '!$A$4,D1415&lt;=$G$6,'calculated data '!$A$5,D1415&gt;=$G$6,'calculated data '!$A$6)</f>
        <v>Low Demand Tier</v>
      </c>
      <c r="F1415" s="10">
        <f t="shared" si="1"/>
        <v>-0.6374777914</v>
      </c>
    </row>
    <row r="1416" ht="14.25" customHeight="1">
      <c r="A1416" s="2" t="s">
        <v>107</v>
      </c>
      <c r="B1416" s="2" t="s">
        <v>108</v>
      </c>
      <c r="C1416" s="2">
        <v>1988.0</v>
      </c>
      <c r="D1416" s="9">
        <v>970.93774</v>
      </c>
      <c r="E1416" s="10" t="str">
        <f t="array" ref="E1416">IFS(D1416&lt;=$G$3,'calculated data '!$A$3,D1416&lt;=$G$4,'calculated data '!$A$4,D1416&lt;=$G$6,'calculated data '!$A$5,D1416&gt;=$G$6,'calculated data '!$A$6)</f>
        <v>Low Demand Tier</v>
      </c>
      <c r="F1416" s="10">
        <f t="shared" si="1"/>
        <v>-0.6374709947</v>
      </c>
    </row>
    <row r="1417" ht="14.25" customHeight="1">
      <c r="A1417" s="2" t="s">
        <v>121</v>
      </c>
      <c r="B1417" s="2" t="s">
        <v>122</v>
      </c>
      <c r="C1417" s="2">
        <v>2013.0</v>
      </c>
      <c r="D1417" s="9">
        <v>971.19305</v>
      </c>
      <c r="E1417" s="10" t="str">
        <f t="array" ref="E1417">IFS(D1417&lt;=$G$3,'calculated data '!$A$3,D1417&lt;=$G$4,'calculated data '!$A$4,D1417&lt;=$G$6,'calculated data '!$A$5,D1417&gt;=$G$6,'calculated data '!$A$6)</f>
        <v>Low Demand Tier</v>
      </c>
      <c r="F1417" s="10">
        <f t="shared" si="1"/>
        <v>-0.6374642367</v>
      </c>
    </row>
    <row r="1418" ht="14.25" customHeight="1">
      <c r="A1418" s="2" t="s">
        <v>65</v>
      </c>
      <c r="B1418" s="2" t="s">
        <v>66</v>
      </c>
      <c r="C1418" s="2">
        <v>2023.0</v>
      </c>
      <c r="D1418" s="9">
        <v>971.6966</v>
      </c>
      <c r="E1418" s="10" t="str">
        <f t="array" ref="E1418">IFS(D1418&lt;=$G$3,'calculated data '!$A$3,D1418&lt;=$G$4,'calculated data '!$A$4,D1418&lt;=$G$6,'calculated data '!$A$5,D1418&gt;=$G$6,'calculated data '!$A$6)</f>
        <v>Low Demand Tier</v>
      </c>
      <c r="F1418" s="10">
        <f t="shared" si="1"/>
        <v>-0.6374509079</v>
      </c>
    </row>
    <row r="1419" ht="14.25" customHeight="1">
      <c r="A1419" s="2" t="s">
        <v>95</v>
      </c>
      <c r="B1419" s="2" t="s">
        <v>96</v>
      </c>
      <c r="C1419" s="2">
        <v>2006.0</v>
      </c>
      <c r="D1419" s="9">
        <v>972.5549</v>
      </c>
      <c r="E1419" s="10" t="str">
        <f t="array" ref="E1419">IFS(D1419&lt;=$G$3,'calculated data '!$A$3,D1419&lt;=$G$4,'calculated data '!$A$4,D1419&lt;=$G$6,'calculated data '!$A$5,D1419&gt;=$G$6,'calculated data '!$A$6)</f>
        <v>Low Demand Tier</v>
      </c>
      <c r="F1419" s="10">
        <f t="shared" si="1"/>
        <v>-0.6374281889</v>
      </c>
    </row>
    <row r="1420" ht="14.25" customHeight="1">
      <c r="A1420" s="2" t="s">
        <v>83</v>
      </c>
      <c r="B1420" s="2" t="s">
        <v>84</v>
      </c>
      <c r="C1420" s="2">
        <v>2001.0</v>
      </c>
      <c r="D1420" s="9">
        <v>972.8856</v>
      </c>
      <c r="E1420" s="10" t="str">
        <f t="array" ref="E1420">IFS(D1420&lt;=$G$3,'calculated data '!$A$3,D1420&lt;=$G$4,'calculated data '!$A$4,D1420&lt;=$G$6,'calculated data '!$A$5,D1420&gt;=$G$6,'calculated data '!$A$6)</f>
        <v>Low Demand Tier</v>
      </c>
      <c r="F1420" s="10">
        <f t="shared" si="1"/>
        <v>-0.6374194354</v>
      </c>
    </row>
    <row r="1421" ht="14.25" customHeight="1">
      <c r="A1421" s="2" t="s">
        <v>51</v>
      </c>
      <c r="B1421" s="2" t="s">
        <v>52</v>
      </c>
      <c r="C1421" s="2">
        <v>1990.0</v>
      </c>
      <c r="D1421" s="9">
        <v>973.5356</v>
      </c>
      <c r="E1421" s="10" t="str">
        <f t="array" ref="E1421">IFS(D1421&lt;=$G$3,'calculated data '!$A$3,D1421&lt;=$G$4,'calculated data '!$A$4,D1421&lt;=$G$6,'calculated data '!$A$5,D1421&gt;=$G$6,'calculated data '!$A$6)</f>
        <v>Low Demand Tier</v>
      </c>
      <c r="F1421" s="10">
        <f t="shared" si="1"/>
        <v>-0.63740223</v>
      </c>
    </row>
    <row r="1422" ht="14.25" customHeight="1">
      <c r="A1422" s="2" t="s">
        <v>125</v>
      </c>
      <c r="B1422" s="2" t="s">
        <v>126</v>
      </c>
      <c r="C1422" s="2">
        <v>2005.0</v>
      </c>
      <c r="D1422" s="9">
        <v>974.1872</v>
      </c>
      <c r="E1422" s="10" t="str">
        <f t="array" ref="E1422">IFS(D1422&lt;=$G$3,'calculated data '!$A$3,D1422&lt;=$G$4,'calculated data '!$A$4,D1422&lt;=$G$6,'calculated data '!$A$5,D1422&gt;=$G$6,'calculated data '!$A$6)</f>
        <v>Low Demand Tier</v>
      </c>
      <c r="F1422" s="10">
        <f t="shared" si="1"/>
        <v>-0.6373849823</v>
      </c>
    </row>
    <row r="1423" ht="14.25" customHeight="1">
      <c r="A1423" s="2" t="s">
        <v>137</v>
      </c>
      <c r="B1423" s="2" t="s">
        <v>138</v>
      </c>
      <c r="C1423" s="2">
        <v>1992.0</v>
      </c>
      <c r="D1423" s="9">
        <v>974.2402</v>
      </c>
      <c r="E1423" s="10" t="str">
        <f t="array" ref="E1423">IFS(D1423&lt;=$G$3,'calculated data '!$A$3,D1423&lt;=$G$4,'calculated data '!$A$4,D1423&lt;=$G$6,'calculated data '!$A$5,D1423&gt;=$G$6,'calculated data '!$A$6)</f>
        <v>Low Demand Tier</v>
      </c>
      <c r="F1423" s="10">
        <f t="shared" si="1"/>
        <v>-0.6373835794</v>
      </c>
    </row>
    <row r="1424" ht="14.25" customHeight="1">
      <c r="A1424" s="2" t="s">
        <v>105</v>
      </c>
      <c r="B1424" s="2" t="s">
        <v>106</v>
      </c>
      <c r="C1424" s="2">
        <v>1986.0</v>
      </c>
      <c r="D1424" s="9">
        <v>975.04114</v>
      </c>
      <c r="E1424" s="10" t="str">
        <f t="array" ref="E1424">IFS(D1424&lt;=$G$3,'calculated data '!$A$3,D1424&lt;=$G$4,'calculated data '!$A$4,D1424&lt;=$G$6,'calculated data '!$A$5,D1424&gt;=$G$6,'calculated data '!$A$6)</f>
        <v>Low Demand Tier</v>
      </c>
      <c r="F1424" s="10">
        <f t="shared" si="1"/>
        <v>-0.6373623788</v>
      </c>
    </row>
    <row r="1425" ht="14.25" customHeight="1">
      <c r="A1425" s="2" t="s">
        <v>133</v>
      </c>
      <c r="B1425" s="2" t="s">
        <v>134</v>
      </c>
      <c r="C1425" s="2">
        <v>1980.0</v>
      </c>
      <c r="D1425" s="9">
        <v>976.14264</v>
      </c>
      <c r="E1425" s="10" t="str">
        <f t="array" ref="E1425">IFS(D1425&lt;=$G$3,'calculated data '!$A$3,D1425&lt;=$G$4,'calculated data '!$A$4,D1425&lt;=$G$6,'calculated data '!$A$5,D1425&gt;=$G$6,'calculated data '!$A$6)</f>
        <v>Low Demand Tier</v>
      </c>
      <c r="F1425" s="10">
        <f t="shared" si="1"/>
        <v>-0.6373332223</v>
      </c>
    </row>
    <row r="1426" ht="14.25" customHeight="1">
      <c r="A1426" s="2" t="s">
        <v>125</v>
      </c>
      <c r="B1426" s="2" t="s">
        <v>126</v>
      </c>
      <c r="C1426" s="2">
        <v>1980.0</v>
      </c>
      <c r="D1426" s="9">
        <v>976.19214</v>
      </c>
      <c r="E1426" s="10" t="str">
        <f t="array" ref="E1426">IFS(D1426&lt;=$G$3,'calculated data '!$A$3,D1426&lt;=$G$4,'calculated data '!$A$4,D1426&lt;=$G$6,'calculated data '!$A$5,D1426&gt;=$G$6,'calculated data '!$A$6)</f>
        <v>Low Demand Tier</v>
      </c>
      <c r="F1426" s="10">
        <f t="shared" si="1"/>
        <v>-0.6373319121</v>
      </c>
    </row>
    <row r="1427" ht="14.25" customHeight="1">
      <c r="A1427" s="2" t="s">
        <v>87</v>
      </c>
      <c r="B1427" s="2" t="s">
        <v>88</v>
      </c>
      <c r="C1427" s="2">
        <v>2002.0</v>
      </c>
      <c r="D1427" s="9">
        <v>977.27966</v>
      </c>
      <c r="E1427" s="10" t="str">
        <f t="array" ref="E1427">IFS(D1427&lt;=$G$3,'calculated data '!$A$3,D1427&lt;=$G$4,'calculated data '!$A$4,D1427&lt;=$G$6,'calculated data '!$A$5,D1427&gt;=$G$6,'calculated data '!$A$6)</f>
        <v>Low Demand Tier</v>
      </c>
      <c r="F1427" s="10">
        <f t="shared" si="1"/>
        <v>-0.6373031257</v>
      </c>
    </row>
    <row r="1428" ht="14.25" customHeight="1">
      <c r="A1428" s="2" t="s">
        <v>97</v>
      </c>
      <c r="B1428" s="2" t="s">
        <v>98</v>
      </c>
      <c r="C1428" s="2">
        <v>2006.0</v>
      </c>
      <c r="D1428" s="9">
        <v>977.4089</v>
      </c>
      <c r="E1428" s="10" t="str">
        <f t="array" ref="E1428">IFS(D1428&lt;=$G$3,'calculated data '!$A$3,D1428&lt;=$G$4,'calculated data '!$A$4,D1428&lt;=$G$6,'calculated data '!$A$5,D1428&gt;=$G$6,'calculated data '!$A$6)</f>
        <v>Low Demand Tier</v>
      </c>
      <c r="F1428" s="10">
        <f t="shared" si="1"/>
        <v>-0.6372997047</v>
      </c>
    </row>
    <row r="1429" ht="14.25" customHeight="1">
      <c r="A1429" s="2" t="s">
        <v>113</v>
      </c>
      <c r="B1429" s="2" t="s">
        <v>114</v>
      </c>
      <c r="C1429" s="2">
        <v>2000.0</v>
      </c>
      <c r="D1429" s="9">
        <v>978.6195</v>
      </c>
      <c r="E1429" s="10" t="str">
        <f t="array" ref="E1429">IFS(D1429&lt;=$G$3,'calculated data '!$A$3,D1429&lt;=$G$4,'calculated data '!$A$4,D1429&lt;=$G$6,'calculated data '!$A$5,D1429&gt;=$G$6,'calculated data '!$A$6)</f>
        <v>Low Demand Tier</v>
      </c>
      <c r="F1429" s="10">
        <f t="shared" si="1"/>
        <v>-0.6372676605</v>
      </c>
    </row>
    <row r="1430" ht="14.25" customHeight="1">
      <c r="A1430" s="2" t="s">
        <v>135</v>
      </c>
      <c r="B1430" s="2" t="s">
        <v>136</v>
      </c>
      <c r="C1430" s="2">
        <v>1986.0</v>
      </c>
      <c r="D1430" s="9">
        <v>979.2688</v>
      </c>
      <c r="E1430" s="10" t="str">
        <f t="array" ref="E1430">IFS(D1430&lt;=$G$3,'calculated data '!$A$3,D1430&lt;=$G$4,'calculated data '!$A$4,D1430&lt;=$G$6,'calculated data '!$A$5,D1430&gt;=$G$6,'calculated data '!$A$6)</f>
        <v>Low Demand Tier</v>
      </c>
      <c r="F1430" s="10">
        <f t="shared" si="1"/>
        <v>-0.6372504737</v>
      </c>
    </row>
    <row r="1431" ht="14.25" customHeight="1">
      <c r="A1431" s="2" t="s">
        <v>85</v>
      </c>
      <c r="B1431" s="2" t="s">
        <v>86</v>
      </c>
      <c r="C1431" s="2">
        <v>2014.0</v>
      </c>
      <c r="D1431" s="9">
        <v>980.85114</v>
      </c>
      <c r="E1431" s="10" t="str">
        <f t="array" ref="E1431">IFS(D1431&lt;=$G$3,'calculated data '!$A$3,D1431&lt;=$G$4,'calculated data '!$A$4,D1431&lt;=$G$6,'calculated data '!$A$5,D1431&gt;=$G$6,'calculated data '!$A$6)</f>
        <v>Low Demand Tier</v>
      </c>
      <c r="F1431" s="10">
        <f t="shared" si="1"/>
        <v>-0.6372085895</v>
      </c>
    </row>
    <row r="1432" ht="14.25" customHeight="1">
      <c r="A1432" s="2" t="s">
        <v>121</v>
      </c>
      <c r="B1432" s="2" t="s">
        <v>122</v>
      </c>
      <c r="C1432" s="2">
        <v>2009.0</v>
      </c>
      <c r="D1432" s="9">
        <v>980.9676</v>
      </c>
      <c r="E1432" s="10" t="str">
        <f t="array" ref="E1432">IFS(D1432&lt;=$G$3,'calculated data '!$A$3,D1432&lt;=$G$4,'calculated data '!$A$4,D1432&lt;=$G$6,'calculated data '!$A$5,D1432&gt;=$G$6,'calculated data '!$A$6)</f>
        <v>Low Demand Tier</v>
      </c>
      <c r="F1432" s="10">
        <f t="shared" si="1"/>
        <v>-0.6372055068</v>
      </c>
    </row>
    <row r="1433" ht="14.25" customHeight="1">
      <c r="A1433" s="2" t="s">
        <v>103</v>
      </c>
      <c r="B1433" s="2" t="s">
        <v>104</v>
      </c>
      <c r="C1433" s="2">
        <v>2018.0</v>
      </c>
      <c r="D1433" s="9">
        <v>981.38293</v>
      </c>
      <c r="E1433" s="10" t="str">
        <f t="array" ref="E1433">IFS(D1433&lt;=$G$3,'calculated data '!$A$3,D1433&lt;=$G$4,'calculated data '!$A$4,D1433&lt;=$G$6,'calculated data '!$A$5,D1433&gt;=$G$6,'calculated data '!$A$6)</f>
        <v>Low Demand Tier</v>
      </c>
      <c r="F1433" s="10">
        <f t="shared" si="1"/>
        <v>-0.6371945132</v>
      </c>
    </row>
    <row r="1434" ht="14.25" customHeight="1">
      <c r="A1434" s="2" t="s">
        <v>145</v>
      </c>
      <c r="B1434" s="2" t="s">
        <v>146</v>
      </c>
      <c r="C1434" s="2">
        <v>1999.0</v>
      </c>
      <c r="D1434" s="9">
        <v>985.4204</v>
      </c>
      <c r="E1434" s="10" t="str">
        <f t="array" ref="E1434">IFS(D1434&lt;=$G$3,'calculated data '!$A$3,D1434&lt;=$G$4,'calculated data '!$A$4,D1434&lt;=$G$6,'calculated data '!$A$5,D1434&gt;=$G$6,'calculated data '!$A$6)</f>
        <v>Low Demand Tier</v>
      </c>
      <c r="F1434" s="10">
        <f t="shared" si="1"/>
        <v>-0.6370876423</v>
      </c>
    </row>
    <row r="1435" ht="14.25" customHeight="1">
      <c r="A1435" s="2" t="s">
        <v>125</v>
      </c>
      <c r="B1435" s="2" t="s">
        <v>126</v>
      </c>
      <c r="C1435" s="2">
        <v>1999.0</v>
      </c>
      <c r="D1435" s="9">
        <v>988.7254</v>
      </c>
      <c r="E1435" s="10" t="str">
        <f t="array" ref="E1435">IFS(D1435&lt;=$G$3,'calculated data '!$A$3,D1435&lt;=$G$4,'calculated data '!$A$4,D1435&lt;=$G$6,'calculated data '!$A$5,D1435&gt;=$G$6,'calculated data '!$A$6)</f>
        <v>Low Demand Tier</v>
      </c>
      <c r="F1435" s="10">
        <f t="shared" si="1"/>
        <v>-0.6370001598</v>
      </c>
    </row>
    <row r="1436" ht="14.25" customHeight="1">
      <c r="A1436" s="2" t="s">
        <v>133</v>
      </c>
      <c r="B1436" s="2" t="s">
        <v>134</v>
      </c>
      <c r="C1436" s="2">
        <v>1991.0</v>
      </c>
      <c r="D1436" s="9">
        <v>988.93896</v>
      </c>
      <c r="E1436" s="10" t="str">
        <f t="array" ref="E1436">IFS(D1436&lt;=$G$3,'calculated data '!$A$3,D1436&lt;=$G$4,'calculated data '!$A$4,D1436&lt;=$G$6,'calculated data '!$A$5,D1436&gt;=$G$6,'calculated data '!$A$6)</f>
        <v>Low Demand Tier</v>
      </c>
      <c r="F1436" s="10">
        <f t="shared" si="1"/>
        <v>-0.6369945069</v>
      </c>
    </row>
    <row r="1437" ht="14.25" customHeight="1">
      <c r="A1437" s="2" t="s">
        <v>51</v>
      </c>
      <c r="B1437" s="2" t="s">
        <v>52</v>
      </c>
      <c r="C1437" s="2">
        <v>1991.0</v>
      </c>
      <c r="D1437" s="9">
        <v>989.38916</v>
      </c>
      <c r="E1437" s="10" t="str">
        <f t="array" ref="E1437">IFS(D1437&lt;=$G$3,'calculated data '!$A$3,D1437&lt;=$G$4,'calculated data '!$A$4,D1437&lt;=$G$6,'calculated data '!$A$5,D1437&gt;=$G$6,'calculated data '!$A$6)</f>
        <v>Low Demand Tier</v>
      </c>
      <c r="F1437" s="10">
        <f t="shared" si="1"/>
        <v>-0.6369825902</v>
      </c>
    </row>
    <row r="1438" ht="14.25" customHeight="1">
      <c r="A1438" s="2" t="s">
        <v>129</v>
      </c>
      <c r="B1438" s="2" t="s">
        <v>130</v>
      </c>
      <c r="C1438" s="2">
        <v>1974.0</v>
      </c>
      <c r="D1438" s="9">
        <v>989.7032</v>
      </c>
      <c r="E1438" s="10" t="str">
        <f t="array" ref="E1438">IFS(D1438&lt;=$G$3,'calculated data '!$A$3,D1438&lt;=$G$4,'calculated data '!$A$4,D1438&lt;=$G$6,'calculated data '!$A$5,D1438&gt;=$G$6,'calculated data '!$A$6)</f>
        <v>Low Demand Tier</v>
      </c>
      <c r="F1438" s="10">
        <f t="shared" si="1"/>
        <v>-0.6369742777</v>
      </c>
    </row>
    <row r="1439" ht="14.25" customHeight="1">
      <c r="A1439" s="2" t="s">
        <v>127</v>
      </c>
      <c r="B1439" s="2" t="s">
        <v>128</v>
      </c>
      <c r="C1439" s="2">
        <v>1992.0</v>
      </c>
      <c r="D1439" s="9">
        <v>990.5484</v>
      </c>
      <c r="E1439" s="10" t="str">
        <f t="array" ref="E1439">IFS(D1439&lt;=$G$3,'calculated data '!$A$3,D1439&lt;=$G$4,'calculated data '!$A$4,D1439&lt;=$G$6,'calculated data '!$A$5,D1439&gt;=$G$6,'calculated data '!$A$6)</f>
        <v>Low Demand Tier</v>
      </c>
      <c r="F1439" s="10">
        <f t="shared" si="1"/>
        <v>-0.6369519055</v>
      </c>
    </row>
    <row r="1440" ht="14.25" customHeight="1">
      <c r="A1440" s="2" t="s">
        <v>105</v>
      </c>
      <c r="B1440" s="2" t="s">
        <v>106</v>
      </c>
      <c r="C1440" s="2">
        <v>1982.0</v>
      </c>
      <c r="D1440" s="9">
        <v>991.93866</v>
      </c>
      <c r="E1440" s="10" t="str">
        <f t="array" ref="E1440">IFS(D1440&lt;=$G$3,'calculated data '!$A$3,D1440&lt;=$G$4,'calculated data '!$A$4,D1440&lt;=$G$6,'calculated data '!$A$5,D1440&gt;=$G$6,'calculated data '!$A$6)</f>
        <v>Low Demand Tier</v>
      </c>
      <c r="F1440" s="10">
        <f t="shared" si="1"/>
        <v>-0.6369151056</v>
      </c>
    </row>
    <row r="1441" ht="14.25" customHeight="1">
      <c r="A1441" s="2" t="s">
        <v>133</v>
      </c>
      <c r="B1441" s="2" t="s">
        <v>134</v>
      </c>
      <c r="C1441" s="2">
        <v>1985.0</v>
      </c>
      <c r="D1441" s="9">
        <v>994.91394</v>
      </c>
      <c r="E1441" s="10" t="str">
        <f t="array" ref="E1441">IFS(D1441&lt;=$G$3,'calculated data '!$A$3,D1441&lt;=$G$4,'calculated data '!$A$4,D1441&lt;=$G$6,'calculated data '!$A$5,D1441&gt;=$G$6,'calculated data '!$A$6)</f>
        <v>Low Demand Tier</v>
      </c>
      <c r="F1441" s="10">
        <f t="shared" si="1"/>
        <v>-0.6368363507</v>
      </c>
    </row>
    <row r="1442" ht="14.25" customHeight="1">
      <c r="A1442" s="2" t="s">
        <v>103</v>
      </c>
      <c r="B1442" s="2" t="s">
        <v>104</v>
      </c>
      <c r="C1442" s="2">
        <v>2016.0</v>
      </c>
      <c r="D1442" s="9">
        <v>995.27344</v>
      </c>
      <c r="E1442" s="10" t="str">
        <f t="array" ref="E1442">IFS(D1442&lt;=$G$3,'calculated data '!$A$3,D1442&lt;=$G$4,'calculated data '!$A$4,D1442&lt;=$G$6,'calculated data '!$A$5,D1442&gt;=$G$6,'calculated data '!$A$6)</f>
        <v>Low Demand Tier</v>
      </c>
      <c r="F1442" s="10">
        <f t="shared" si="1"/>
        <v>-0.6368268348</v>
      </c>
    </row>
    <row r="1443" ht="14.25" customHeight="1">
      <c r="A1443" s="2" t="s">
        <v>109</v>
      </c>
      <c r="B1443" s="2" t="s">
        <v>110</v>
      </c>
      <c r="C1443" s="2">
        <v>2017.0</v>
      </c>
      <c r="D1443" s="9">
        <v>995.341</v>
      </c>
      <c r="E1443" s="10" t="str">
        <f t="array" ref="E1443">IFS(D1443&lt;=$G$3,'calculated data '!$A$3,D1443&lt;=$G$4,'calculated data '!$A$4,D1443&lt;=$G$6,'calculated data '!$A$5,D1443&gt;=$G$6,'calculated data '!$A$6)</f>
        <v>Low Demand Tier</v>
      </c>
      <c r="F1443" s="10">
        <f t="shared" si="1"/>
        <v>-0.6368250465</v>
      </c>
    </row>
    <row r="1444" ht="14.25" customHeight="1">
      <c r="A1444" s="2" t="s">
        <v>87</v>
      </c>
      <c r="B1444" s="2" t="s">
        <v>88</v>
      </c>
      <c r="C1444" s="2">
        <v>2003.0</v>
      </c>
      <c r="D1444" s="9">
        <v>995.6603</v>
      </c>
      <c r="E1444" s="10" t="str">
        <f t="array" ref="E1444">IFS(D1444&lt;=$G$3,'calculated data '!$A$3,D1444&lt;=$G$4,'calculated data '!$A$4,D1444&lt;=$G$6,'calculated data '!$A$5,D1444&gt;=$G$6,'calculated data '!$A$6)</f>
        <v>Low Demand Tier</v>
      </c>
      <c r="F1444" s="10">
        <f t="shared" si="1"/>
        <v>-0.6368165947</v>
      </c>
    </row>
    <row r="1445" ht="14.25" customHeight="1">
      <c r="A1445" s="2" t="s">
        <v>133</v>
      </c>
      <c r="B1445" s="2" t="s">
        <v>134</v>
      </c>
      <c r="C1445" s="2">
        <v>1982.0</v>
      </c>
      <c r="D1445" s="9">
        <v>998.3118</v>
      </c>
      <c r="E1445" s="10" t="str">
        <f t="array" ref="E1445">IFS(D1445&lt;=$G$3,'calculated data '!$A$3,D1445&lt;=$G$4,'calculated data '!$A$4,D1445&lt;=$G$6,'calculated data '!$A$5,D1445&gt;=$G$6,'calculated data '!$A$6)</f>
        <v>Low Demand Tier</v>
      </c>
      <c r="F1445" s="10">
        <f t="shared" si="1"/>
        <v>-0.6367464102</v>
      </c>
    </row>
    <row r="1446" ht="14.25" customHeight="1">
      <c r="A1446" s="2" t="s">
        <v>137</v>
      </c>
      <c r="B1446" s="2" t="s">
        <v>138</v>
      </c>
      <c r="C1446" s="2">
        <v>1991.0</v>
      </c>
      <c r="D1446" s="9">
        <v>998.9183</v>
      </c>
      <c r="E1446" s="10" t="str">
        <f t="array" ref="E1446">IFS(D1446&lt;=$G$3,'calculated data '!$A$3,D1446&lt;=$G$4,'calculated data '!$A$4,D1446&lt;=$G$6,'calculated data '!$A$5,D1446&gt;=$G$6,'calculated data '!$A$6)</f>
        <v>Low Demand Tier</v>
      </c>
      <c r="F1446" s="10">
        <f t="shared" si="1"/>
        <v>-0.6367303563</v>
      </c>
    </row>
    <row r="1447" ht="14.25" customHeight="1">
      <c r="A1447" s="2" t="s">
        <v>133</v>
      </c>
      <c r="B1447" s="2" t="s">
        <v>134</v>
      </c>
      <c r="C1447" s="2">
        <v>1989.0</v>
      </c>
      <c r="D1447" s="9">
        <v>1000.4478</v>
      </c>
      <c r="E1447" s="10" t="str">
        <f t="array" ref="E1447">IFS(D1447&lt;=$G$3,'calculated data '!$A$3,D1447&lt;=$G$4,'calculated data '!$A$4,D1447&lt;=$G$6,'calculated data '!$A$5,D1447&gt;=$G$6,'calculated data '!$A$6)</f>
        <v>Low Demand Tier</v>
      </c>
      <c r="F1447" s="10">
        <f t="shared" si="1"/>
        <v>-0.6366898708</v>
      </c>
    </row>
    <row r="1448" ht="14.25" customHeight="1">
      <c r="A1448" s="2" t="s">
        <v>21</v>
      </c>
      <c r="B1448" s="2" t="s">
        <v>22</v>
      </c>
      <c r="C1448" s="2">
        <v>2000.0</v>
      </c>
      <c r="D1448" s="9">
        <v>1001.768</v>
      </c>
      <c r="E1448" s="10" t="str">
        <f t="array" ref="E1448">IFS(D1448&lt;=$G$3,'calculated data '!$A$3,D1448&lt;=$G$4,'calculated data '!$A$4,D1448&lt;=$G$6,'calculated data '!$A$5,D1448&gt;=$G$6,'calculated data '!$A$6)</f>
        <v>Low Demand Tier</v>
      </c>
      <c r="F1448" s="10">
        <f t="shared" si="1"/>
        <v>-0.6366549254</v>
      </c>
    </row>
    <row r="1449" ht="14.25" customHeight="1">
      <c r="A1449" s="2" t="s">
        <v>125</v>
      </c>
      <c r="B1449" s="2" t="s">
        <v>126</v>
      </c>
      <c r="C1449" s="2">
        <v>1984.0</v>
      </c>
      <c r="D1449" s="9">
        <v>1002.6955</v>
      </c>
      <c r="E1449" s="10" t="str">
        <f t="array" ref="E1449">IFS(D1449&lt;=$G$3,'calculated data '!$A$3,D1449&lt;=$G$4,'calculated data '!$A$4,D1449&lt;=$G$6,'calculated data '!$A$5,D1449&gt;=$G$6,'calculated data '!$A$6)</f>
        <v>Low Demand Tier</v>
      </c>
      <c r="F1449" s="10">
        <f t="shared" si="1"/>
        <v>-0.6366303747</v>
      </c>
    </row>
    <row r="1450" ht="14.25" customHeight="1">
      <c r="A1450" s="2" t="s">
        <v>95</v>
      </c>
      <c r="B1450" s="2" t="s">
        <v>96</v>
      </c>
      <c r="C1450" s="2">
        <v>2012.0</v>
      </c>
      <c r="D1450" s="9">
        <v>1002.77094</v>
      </c>
      <c r="E1450" s="10" t="str">
        <f t="array" ref="E1450">IFS(D1450&lt;=$G$3,'calculated data '!$A$3,D1450&lt;=$G$4,'calculated data '!$A$4,D1450&lt;=$G$6,'calculated data '!$A$5,D1450&gt;=$G$6,'calculated data '!$A$6)</f>
        <v>Low Demand Tier</v>
      </c>
      <c r="F1450" s="10">
        <f t="shared" si="1"/>
        <v>-0.6366283779</v>
      </c>
    </row>
    <row r="1451" ht="14.25" customHeight="1">
      <c r="A1451" s="2" t="s">
        <v>83</v>
      </c>
      <c r="B1451" s="2" t="s">
        <v>84</v>
      </c>
      <c r="C1451" s="2">
        <v>2002.0</v>
      </c>
      <c r="D1451" s="9">
        <v>1003.4978</v>
      </c>
      <c r="E1451" s="10" t="str">
        <f t="array" ref="E1451">IFS(D1451&lt;=$G$3,'calculated data '!$A$3,D1451&lt;=$G$4,'calculated data '!$A$4,D1451&lt;=$G$6,'calculated data '!$A$5,D1451&gt;=$G$6,'calculated data '!$A$6)</f>
        <v>Low Demand Tier</v>
      </c>
      <c r="F1451" s="10">
        <f t="shared" si="1"/>
        <v>-0.6366091381</v>
      </c>
    </row>
    <row r="1452" ht="14.25" customHeight="1">
      <c r="A1452" s="2" t="s">
        <v>121</v>
      </c>
      <c r="B1452" s="2" t="s">
        <v>122</v>
      </c>
      <c r="C1452" s="2">
        <v>2012.0</v>
      </c>
      <c r="D1452" s="9">
        <v>1004.84424</v>
      </c>
      <c r="E1452" s="10" t="str">
        <f t="array" ref="E1452">IFS(D1452&lt;=$G$3,'calculated data '!$A$3,D1452&lt;=$G$4,'calculated data '!$A$4,D1452&lt;=$G$6,'calculated data '!$A$5,D1452&gt;=$G$6,'calculated data '!$A$6)</f>
        <v>Low Demand Tier</v>
      </c>
      <c r="F1452" s="10">
        <f t="shared" si="1"/>
        <v>-0.6365734981</v>
      </c>
    </row>
    <row r="1453" ht="14.25" customHeight="1">
      <c r="A1453" s="2" t="s">
        <v>133</v>
      </c>
      <c r="B1453" s="2" t="s">
        <v>134</v>
      </c>
      <c r="C1453" s="2">
        <v>1984.0</v>
      </c>
      <c r="D1453" s="9">
        <v>1005.2407</v>
      </c>
      <c r="E1453" s="10" t="str">
        <f t="array" ref="E1453">IFS(D1453&lt;=$G$3,'calculated data '!$A$3,D1453&lt;=$G$4,'calculated data '!$A$4,D1453&lt;=$G$6,'calculated data '!$A$5,D1453&gt;=$G$6,'calculated data '!$A$6)</f>
        <v>Low Demand Tier</v>
      </c>
      <c r="F1453" s="10">
        <f t="shared" si="1"/>
        <v>-0.6365630039</v>
      </c>
    </row>
    <row r="1454" ht="14.25" customHeight="1">
      <c r="A1454" s="2" t="s">
        <v>65</v>
      </c>
      <c r="B1454" s="2" t="s">
        <v>66</v>
      </c>
      <c r="C1454" s="2">
        <v>2013.0</v>
      </c>
      <c r="D1454" s="9">
        <v>1007.7965</v>
      </c>
      <c r="E1454" s="10" t="str">
        <f t="array" ref="E1454">IFS(D1454&lt;=$G$3,'calculated data '!$A$3,D1454&lt;=$G$4,'calculated data '!$A$4,D1454&lt;=$G$6,'calculated data '!$A$5,D1454&gt;=$G$6,'calculated data '!$A$6)</f>
        <v>Low Demand Tier</v>
      </c>
      <c r="F1454" s="10">
        <f t="shared" si="1"/>
        <v>-0.6364953525</v>
      </c>
    </row>
    <row r="1455" ht="14.25" customHeight="1">
      <c r="A1455" s="2" t="s">
        <v>137</v>
      </c>
      <c r="B1455" s="2" t="s">
        <v>138</v>
      </c>
      <c r="C1455" s="2">
        <v>1990.0</v>
      </c>
      <c r="D1455" s="9">
        <v>1008.1779</v>
      </c>
      <c r="E1455" s="10" t="str">
        <f t="array" ref="E1455">IFS(D1455&lt;=$G$3,'calculated data '!$A$3,D1455&lt;=$G$4,'calculated data '!$A$4,D1455&lt;=$G$6,'calculated data '!$A$5,D1455&gt;=$G$6,'calculated data '!$A$6)</f>
        <v>Low Demand Tier</v>
      </c>
      <c r="F1455" s="10">
        <f t="shared" si="1"/>
        <v>-0.636485257</v>
      </c>
    </row>
    <row r="1456" ht="14.25" customHeight="1">
      <c r="A1456" s="2" t="s">
        <v>77</v>
      </c>
      <c r="B1456" s="2" t="s">
        <v>78</v>
      </c>
      <c r="C1456" s="2">
        <v>2022.0</v>
      </c>
      <c r="D1456" s="9">
        <v>1011.84033</v>
      </c>
      <c r="E1456" s="10" t="str">
        <f t="array" ref="E1456">IFS(D1456&lt;=$G$3,'calculated data '!$A$3,D1456&lt;=$G$4,'calculated data '!$A$4,D1456&lt;=$G$6,'calculated data '!$A$5,D1456&gt;=$G$6,'calculated data '!$A$6)</f>
        <v>Low Demand Tier</v>
      </c>
      <c r="F1456" s="10">
        <f t="shared" si="1"/>
        <v>-0.6363883134</v>
      </c>
    </row>
    <row r="1457" ht="14.25" customHeight="1">
      <c r="A1457" s="2" t="s">
        <v>61</v>
      </c>
      <c r="B1457" s="2" t="s">
        <v>62</v>
      </c>
      <c r="C1457" s="2">
        <v>2016.0</v>
      </c>
      <c r="D1457" s="9">
        <v>1012.1127</v>
      </c>
      <c r="E1457" s="10" t="str">
        <f t="array" ref="E1457">IFS(D1457&lt;=$G$3,'calculated data '!$A$3,D1457&lt;=$G$4,'calculated data '!$A$4,D1457&lt;=$G$6,'calculated data '!$A$5,D1457&gt;=$G$6,'calculated data '!$A$6)</f>
        <v>Low Demand Tier</v>
      </c>
      <c r="F1457" s="10">
        <f t="shared" si="1"/>
        <v>-0.6363811038</v>
      </c>
    </row>
    <row r="1458" ht="14.25" customHeight="1">
      <c r="A1458" s="2" t="s">
        <v>121</v>
      </c>
      <c r="B1458" s="2" t="s">
        <v>122</v>
      </c>
      <c r="C1458" s="2">
        <v>2017.0</v>
      </c>
      <c r="D1458" s="9">
        <v>1012.60077</v>
      </c>
      <c r="E1458" s="10" t="str">
        <f t="array" ref="E1458">IFS(D1458&lt;=$G$3,'calculated data '!$A$3,D1458&lt;=$G$4,'calculated data '!$A$4,D1458&lt;=$G$6,'calculated data '!$A$5,D1458&gt;=$G$6,'calculated data '!$A$6)</f>
        <v>Low Demand Tier</v>
      </c>
      <c r="F1458" s="10">
        <f t="shared" si="1"/>
        <v>-0.6363681847</v>
      </c>
    </row>
    <row r="1459" ht="14.25" customHeight="1">
      <c r="A1459" s="2" t="s">
        <v>97</v>
      </c>
      <c r="B1459" s="2" t="s">
        <v>98</v>
      </c>
      <c r="C1459" s="2">
        <v>2008.0</v>
      </c>
      <c r="D1459" s="9">
        <v>1012.97614</v>
      </c>
      <c r="E1459" s="10" t="str">
        <f t="array" ref="E1459">IFS(D1459&lt;=$G$3,'calculated data '!$A$3,D1459&lt;=$G$4,'calculated data '!$A$4,D1459&lt;=$G$6,'calculated data '!$A$5,D1459&gt;=$G$6,'calculated data '!$A$6)</f>
        <v>Low Demand Tier</v>
      </c>
      <c r="F1459" s="10">
        <f t="shared" si="1"/>
        <v>-0.6363582488</v>
      </c>
    </row>
    <row r="1460" ht="14.25" customHeight="1">
      <c r="A1460" s="2" t="s">
        <v>111</v>
      </c>
      <c r="B1460" s="2" t="s">
        <v>112</v>
      </c>
      <c r="C1460" s="2">
        <v>1993.0</v>
      </c>
      <c r="D1460" s="9">
        <v>1015.3767</v>
      </c>
      <c r="E1460" s="10" t="str">
        <f t="array" ref="E1460">IFS(D1460&lt;=$G$3,'calculated data '!$A$3,D1460&lt;=$G$4,'calculated data '!$A$4,D1460&lt;=$G$6,'calculated data '!$A$5,D1460&gt;=$G$6,'calculated data '!$A$6)</f>
        <v>Low Demand Tier</v>
      </c>
      <c r="F1460" s="10">
        <f t="shared" si="1"/>
        <v>-0.6362947065</v>
      </c>
    </row>
    <row r="1461" ht="14.25" customHeight="1">
      <c r="A1461" s="2" t="s">
        <v>113</v>
      </c>
      <c r="B1461" s="2" t="s">
        <v>114</v>
      </c>
      <c r="C1461" s="2">
        <v>2002.0</v>
      </c>
      <c r="D1461" s="9">
        <v>1016.454</v>
      </c>
      <c r="E1461" s="10" t="str">
        <f t="array" ref="E1461">IFS(D1461&lt;=$G$3,'calculated data '!$A$3,D1461&lt;=$G$4,'calculated data '!$A$4,D1461&lt;=$G$6,'calculated data '!$A$5,D1461&gt;=$G$6,'calculated data '!$A$6)</f>
        <v>Low Demand Tier</v>
      </c>
      <c r="F1461" s="10">
        <f t="shared" si="1"/>
        <v>-0.6362661907</v>
      </c>
    </row>
    <row r="1462" ht="14.25" customHeight="1">
      <c r="A1462" s="2" t="s">
        <v>103</v>
      </c>
      <c r="B1462" s="2" t="s">
        <v>104</v>
      </c>
      <c r="C1462" s="2">
        <v>2019.0</v>
      </c>
      <c r="D1462" s="9">
        <v>1016.6044</v>
      </c>
      <c r="E1462" s="10" t="str">
        <f t="array" ref="E1462">IFS(D1462&lt;=$G$3,'calculated data '!$A$3,D1462&lt;=$G$4,'calculated data '!$A$4,D1462&lt;=$G$6,'calculated data '!$A$5,D1462&gt;=$G$6,'calculated data '!$A$6)</f>
        <v>Low Demand Tier</v>
      </c>
      <c r="F1462" s="10">
        <f t="shared" si="1"/>
        <v>-0.6362622096</v>
      </c>
    </row>
    <row r="1463" ht="14.25" customHeight="1">
      <c r="A1463" s="2" t="s">
        <v>133</v>
      </c>
      <c r="B1463" s="2" t="s">
        <v>134</v>
      </c>
      <c r="C1463" s="2">
        <v>1990.0</v>
      </c>
      <c r="D1463" s="9">
        <v>1017.043</v>
      </c>
      <c r="E1463" s="10" t="str">
        <f t="array" ref="E1463">IFS(D1463&lt;=$G$3,'calculated data '!$A$3,D1463&lt;=$G$4,'calculated data '!$A$4,D1463&lt;=$G$6,'calculated data '!$A$5,D1463&gt;=$G$6,'calculated data '!$A$6)</f>
        <v>Low Demand Tier</v>
      </c>
      <c r="F1463" s="10">
        <f t="shared" si="1"/>
        <v>-0.6362506</v>
      </c>
    </row>
    <row r="1464" ht="14.25" customHeight="1">
      <c r="A1464" s="2" t="s">
        <v>85</v>
      </c>
      <c r="B1464" s="2" t="s">
        <v>86</v>
      </c>
      <c r="C1464" s="2">
        <v>2003.0</v>
      </c>
      <c r="D1464" s="9">
        <v>1018.93115</v>
      </c>
      <c r="E1464" s="10" t="str">
        <f t="array" ref="E1464">IFS(D1464&lt;=$G$3,'calculated data '!$A$3,D1464&lt;=$G$4,'calculated data '!$A$4,D1464&lt;=$G$6,'calculated data '!$A$5,D1464&gt;=$G$6,'calculated data '!$A$6)</f>
        <v>Low Demand Tier</v>
      </c>
      <c r="F1464" s="10">
        <f t="shared" si="1"/>
        <v>-0.6362006211</v>
      </c>
    </row>
    <row r="1465" ht="14.25" customHeight="1">
      <c r="A1465" s="2" t="s">
        <v>105</v>
      </c>
      <c r="B1465" s="2" t="s">
        <v>106</v>
      </c>
      <c r="C1465" s="2">
        <v>1990.0</v>
      </c>
      <c r="D1465" s="9">
        <v>1019.1099</v>
      </c>
      <c r="E1465" s="10" t="str">
        <f t="array" ref="E1465">IFS(D1465&lt;=$G$3,'calculated data '!$A$3,D1465&lt;=$G$4,'calculated data '!$A$4,D1465&lt;=$G$6,'calculated data '!$A$5,D1465&gt;=$G$6,'calculated data '!$A$6)</f>
        <v>Low Demand Tier</v>
      </c>
      <c r="F1465" s="10">
        <f t="shared" si="1"/>
        <v>-0.6361958897</v>
      </c>
    </row>
    <row r="1466" ht="14.25" customHeight="1">
      <c r="A1466" s="2" t="s">
        <v>121</v>
      </c>
      <c r="B1466" s="2" t="s">
        <v>122</v>
      </c>
      <c r="C1466" s="2">
        <v>2016.0</v>
      </c>
      <c r="D1466" s="9">
        <v>1020.9191</v>
      </c>
      <c r="E1466" s="10" t="str">
        <f t="array" ref="E1466">IFS(D1466&lt;=$G$3,'calculated data '!$A$3,D1466&lt;=$G$4,'calculated data '!$A$4,D1466&lt;=$G$6,'calculated data '!$A$5,D1466&gt;=$G$6,'calculated data '!$A$6)</f>
        <v>Low Demand Tier</v>
      </c>
      <c r="F1466" s="10">
        <f t="shared" si="1"/>
        <v>-0.6361480006</v>
      </c>
    </row>
    <row r="1467" ht="14.25" customHeight="1">
      <c r="A1467" s="2" t="s">
        <v>65</v>
      </c>
      <c r="B1467" s="2" t="s">
        <v>66</v>
      </c>
      <c r="C1467" s="2">
        <v>1991.0</v>
      </c>
      <c r="D1467" s="9">
        <v>1021.0752</v>
      </c>
      <c r="E1467" s="10" t="str">
        <f t="array" ref="E1467">IFS(D1467&lt;=$G$3,'calculated data '!$A$3,D1467&lt;=$G$4,'calculated data '!$A$4,D1467&lt;=$G$6,'calculated data '!$A$5,D1467&gt;=$G$6,'calculated data '!$A$6)</f>
        <v>Low Demand Tier</v>
      </c>
      <c r="F1467" s="10">
        <f t="shared" si="1"/>
        <v>-0.6361438687</v>
      </c>
    </row>
    <row r="1468" ht="14.25" customHeight="1">
      <c r="A1468" s="2" t="s">
        <v>65</v>
      </c>
      <c r="B1468" s="2" t="s">
        <v>66</v>
      </c>
      <c r="C1468" s="2">
        <v>2017.0</v>
      </c>
      <c r="D1468" s="9">
        <v>1023.2138</v>
      </c>
      <c r="E1468" s="10" t="str">
        <f t="array" ref="E1468">IFS(D1468&lt;=$G$3,'calculated data '!$A$3,D1468&lt;=$G$4,'calculated data '!$A$4,D1468&lt;=$G$6,'calculated data '!$A$5,D1468&gt;=$G$6,'calculated data '!$A$6)</f>
        <v>Low Demand Tier</v>
      </c>
      <c r="F1468" s="10">
        <f t="shared" si="1"/>
        <v>-0.6360872604</v>
      </c>
    </row>
    <row r="1469" ht="14.25" customHeight="1">
      <c r="A1469" s="2" t="s">
        <v>125</v>
      </c>
      <c r="B1469" s="2" t="s">
        <v>126</v>
      </c>
      <c r="C1469" s="2">
        <v>2004.0</v>
      </c>
      <c r="D1469" s="9">
        <v>1023.54834</v>
      </c>
      <c r="E1469" s="10" t="str">
        <f t="array" ref="E1469">IFS(D1469&lt;=$G$3,'calculated data '!$A$3,D1469&lt;=$G$4,'calculated data '!$A$4,D1469&lt;=$G$6,'calculated data '!$A$5,D1469&gt;=$G$6,'calculated data '!$A$6)</f>
        <v>Low Demand Tier</v>
      </c>
      <c r="F1469" s="10">
        <f t="shared" si="1"/>
        <v>-0.6360784053</v>
      </c>
    </row>
    <row r="1470" ht="14.25" customHeight="1">
      <c r="A1470" s="2" t="s">
        <v>119</v>
      </c>
      <c r="B1470" s="2" t="s">
        <v>120</v>
      </c>
      <c r="C1470" s="2">
        <v>2015.0</v>
      </c>
      <c r="D1470" s="9">
        <v>1024.4916</v>
      </c>
      <c r="E1470" s="10" t="str">
        <f t="array" ref="E1470">IFS(D1470&lt;=$G$3,'calculated data '!$A$3,D1470&lt;=$G$4,'calculated data '!$A$4,D1470&lt;=$G$6,'calculated data '!$A$5,D1470&gt;=$G$6,'calculated data '!$A$6)</f>
        <v>Low Demand Tier</v>
      </c>
      <c r="F1470" s="10">
        <f t="shared" si="1"/>
        <v>-0.6360534374</v>
      </c>
    </row>
    <row r="1471" ht="14.25" customHeight="1">
      <c r="A1471" s="2" t="s">
        <v>127</v>
      </c>
      <c r="B1471" s="2" t="s">
        <v>128</v>
      </c>
      <c r="C1471" s="2">
        <v>1991.0</v>
      </c>
      <c r="D1471" s="9">
        <v>1025.1544</v>
      </c>
      <c r="E1471" s="10" t="str">
        <f t="array" ref="E1471">IFS(D1471&lt;=$G$3,'calculated data '!$A$3,D1471&lt;=$G$4,'calculated data '!$A$4,D1471&lt;=$G$6,'calculated data '!$A$5,D1471&gt;=$G$6,'calculated data '!$A$6)</f>
        <v>Low Demand Tier</v>
      </c>
      <c r="F1471" s="10">
        <f t="shared" si="1"/>
        <v>-0.6360358933</v>
      </c>
    </row>
    <row r="1472" ht="14.25" customHeight="1">
      <c r="A1472" s="2" t="s">
        <v>85</v>
      </c>
      <c r="B1472" s="2" t="s">
        <v>86</v>
      </c>
      <c r="C1472" s="2">
        <v>2005.0</v>
      </c>
      <c r="D1472" s="9">
        <v>1030.7202</v>
      </c>
      <c r="E1472" s="10" t="str">
        <f t="array" ref="E1472">IFS(D1472&lt;=$G$3,'calculated data '!$A$3,D1472&lt;=$G$4,'calculated data '!$A$4,D1472&lt;=$G$6,'calculated data '!$A$5,D1472&gt;=$G$6,'calculated data '!$A$6)</f>
        <v>Low Demand Tier</v>
      </c>
      <c r="F1472" s="10">
        <f t="shared" si="1"/>
        <v>-0.6358885679</v>
      </c>
    </row>
    <row r="1473" ht="14.25" customHeight="1">
      <c r="A1473" s="2" t="s">
        <v>97</v>
      </c>
      <c r="B1473" s="2" t="s">
        <v>98</v>
      </c>
      <c r="C1473" s="2">
        <v>2010.0</v>
      </c>
      <c r="D1473" s="9">
        <v>1031.4454</v>
      </c>
      <c r="E1473" s="10" t="str">
        <f t="array" ref="E1473">IFS(D1473&lt;=$G$3,'calculated data '!$A$3,D1473&lt;=$G$4,'calculated data '!$A$4,D1473&lt;=$G$6,'calculated data '!$A$5,D1473&gt;=$G$6,'calculated data '!$A$6)</f>
        <v>Low Demand Tier</v>
      </c>
      <c r="F1473" s="10">
        <f t="shared" si="1"/>
        <v>-0.635869372</v>
      </c>
    </row>
    <row r="1474" ht="14.25" customHeight="1">
      <c r="A1474" s="2" t="s">
        <v>137</v>
      </c>
      <c r="B1474" s="2" t="s">
        <v>138</v>
      </c>
      <c r="C1474" s="2">
        <v>1989.0</v>
      </c>
      <c r="D1474" s="9">
        <v>1031.7136</v>
      </c>
      <c r="E1474" s="10" t="str">
        <f t="array" ref="E1474">IFS(D1474&lt;=$G$3,'calculated data '!$A$3,D1474&lt;=$G$4,'calculated data '!$A$4,D1474&lt;=$G$6,'calculated data '!$A$5,D1474&gt;=$G$6,'calculated data '!$A$6)</f>
        <v>Low Demand Tier</v>
      </c>
      <c r="F1474" s="10">
        <f t="shared" si="1"/>
        <v>-0.6358622729</v>
      </c>
    </row>
    <row r="1475" ht="14.25" customHeight="1">
      <c r="A1475" s="2" t="s">
        <v>133</v>
      </c>
      <c r="B1475" s="2" t="s">
        <v>134</v>
      </c>
      <c r="C1475" s="2">
        <v>1983.0</v>
      </c>
      <c r="D1475" s="9">
        <v>1033.2032</v>
      </c>
      <c r="E1475" s="10" t="str">
        <f t="array" ref="E1475">IFS(D1475&lt;=$G$3,'calculated data '!$A$3,D1475&lt;=$G$4,'calculated data '!$A$4,D1475&lt;=$G$6,'calculated data '!$A$5,D1475&gt;=$G$6,'calculated data '!$A$6)</f>
        <v>Low Demand Tier</v>
      </c>
      <c r="F1475" s="10">
        <f t="shared" si="1"/>
        <v>-0.6358228435</v>
      </c>
    </row>
    <row r="1476" ht="14.25" customHeight="1">
      <c r="A1476" s="2" t="s">
        <v>123</v>
      </c>
      <c r="B1476" s="2" t="s">
        <v>124</v>
      </c>
      <c r="C1476" s="2">
        <v>2000.0</v>
      </c>
      <c r="D1476" s="9">
        <v>1034.2551</v>
      </c>
      <c r="E1476" s="10" t="str">
        <f t="array" ref="E1476">IFS(D1476&lt;=$G$3,'calculated data '!$A$3,D1476&lt;=$G$4,'calculated data '!$A$4,D1476&lt;=$G$6,'calculated data '!$A$5,D1476&gt;=$G$6,'calculated data '!$A$6)</f>
        <v>Low Demand Tier</v>
      </c>
      <c r="F1476" s="10">
        <f t="shared" si="1"/>
        <v>-0.635795</v>
      </c>
    </row>
    <row r="1477" ht="14.25" customHeight="1">
      <c r="A1477" s="2" t="s">
        <v>111</v>
      </c>
      <c r="B1477" s="2" t="s">
        <v>112</v>
      </c>
      <c r="C1477" s="2">
        <v>1992.0</v>
      </c>
      <c r="D1477" s="9">
        <v>1034.8485</v>
      </c>
      <c r="E1477" s="10" t="str">
        <f t="array" ref="E1477">IFS(D1477&lt;=$G$3,'calculated data '!$A$3,D1477&lt;=$G$4,'calculated data '!$A$4,D1477&lt;=$G$6,'calculated data '!$A$5,D1477&gt;=$G$6,'calculated data '!$A$6)</f>
        <v>Low Demand Tier</v>
      </c>
      <c r="F1477" s="10">
        <f t="shared" si="1"/>
        <v>-0.6357792928</v>
      </c>
    </row>
    <row r="1478" ht="14.25" customHeight="1">
      <c r="A1478" s="2" t="s">
        <v>85</v>
      </c>
      <c r="B1478" s="2" t="s">
        <v>86</v>
      </c>
      <c r="C1478" s="2">
        <v>2015.0</v>
      </c>
      <c r="D1478" s="9">
        <v>1036.6567</v>
      </c>
      <c r="E1478" s="10" t="str">
        <f t="array" ref="E1478">IFS(D1478&lt;=$G$3,'calculated data '!$A$3,D1478&lt;=$G$4,'calculated data '!$A$4,D1478&lt;=$G$6,'calculated data '!$A$5,D1478&gt;=$G$6,'calculated data '!$A$6)</f>
        <v>Low Demand Tier</v>
      </c>
      <c r="F1478" s="10">
        <f t="shared" si="1"/>
        <v>-0.6357314302</v>
      </c>
    </row>
    <row r="1479" ht="14.25" customHeight="1">
      <c r="A1479" s="2" t="s">
        <v>71</v>
      </c>
      <c r="B1479" s="2" t="s">
        <v>72</v>
      </c>
      <c r="C1479" s="2">
        <v>1968.0</v>
      </c>
      <c r="D1479" s="9">
        <v>1036.7483</v>
      </c>
      <c r="E1479" s="10" t="str">
        <f t="array" ref="E1479">IFS(D1479&lt;=$G$3,'calculated data '!$A$3,D1479&lt;=$G$4,'calculated data '!$A$4,D1479&lt;=$G$6,'calculated data '!$A$5,D1479&gt;=$G$6,'calculated data '!$A$6)</f>
        <v>Low Demand Tier</v>
      </c>
      <c r="F1479" s="10">
        <f t="shared" si="1"/>
        <v>-0.6357290056</v>
      </c>
    </row>
    <row r="1480" ht="14.25" customHeight="1">
      <c r="A1480" s="2" t="s">
        <v>145</v>
      </c>
      <c r="B1480" s="2" t="s">
        <v>146</v>
      </c>
      <c r="C1480" s="2">
        <v>2000.0</v>
      </c>
      <c r="D1480" s="9">
        <v>1037.0265</v>
      </c>
      <c r="E1480" s="10" t="str">
        <f t="array" ref="E1480">IFS(D1480&lt;=$G$3,'calculated data '!$A$3,D1480&lt;=$G$4,'calculated data '!$A$4,D1480&lt;=$G$6,'calculated data '!$A$5,D1480&gt;=$G$6,'calculated data '!$A$6)</f>
        <v>Low Demand Tier</v>
      </c>
      <c r="F1480" s="10">
        <f t="shared" si="1"/>
        <v>-0.6357216417</v>
      </c>
    </row>
    <row r="1481" ht="14.25" customHeight="1">
      <c r="A1481" s="2" t="s">
        <v>97</v>
      </c>
      <c r="B1481" s="2" t="s">
        <v>98</v>
      </c>
      <c r="C1481" s="2">
        <v>2009.0</v>
      </c>
      <c r="D1481" s="9">
        <v>1037.6294</v>
      </c>
      <c r="E1481" s="10" t="str">
        <f t="array" ref="E1481">IFS(D1481&lt;=$G$3,'calculated data '!$A$3,D1481&lt;=$G$4,'calculated data '!$A$4,D1481&lt;=$G$6,'calculated data '!$A$5,D1481&gt;=$G$6,'calculated data '!$A$6)</f>
        <v>Low Demand Tier</v>
      </c>
      <c r="F1481" s="10">
        <f t="shared" si="1"/>
        <v>-0.6357056831</v>
      </c>
    </row>
    <row r="1482" ht="14.25" customHeight="1">
      <c r="A1482" s="2" t="s">
        <v>119</v>
      </c>
      <c r="B1482" s="2" t="s">
        <v>120</v>
      </c>
      <c r="C1482" s="2">
        <v>2012.0</v>
      </c>
      <c r="D1482" s="9">
        <v>1037.6428</v>
      </c>
      <c r="E1482" s="10" t="str">
        <f t="array" ref="E1482">IFS(D1482&lt;=$G$3,'calculated data '!$A$3,D1482&lt;=$G$4,'calculated data '!$A$4,D1482&lt;=$G$6,'calculated data '!$A$5,D1482&gt;=$G$6,'calculated data '!$A$6)</f>
        <v>Low Demand Tier</v>
      </c>
      <c r="F1482" s="10">
        <f t="shared" si="1"/>
        <v>-0.6357053284</v>
      </c>
    </row>
    <row r="1483" ht="14.25" customHeight="1">
      <c r="A1483" s="2" t="s">
        <v>51</v>
      </c>
      <c r="B1483" s="2" t="s">
        <v>52</v>
      </c>
      <c r="C1483" s="2">
        <v>1992.0</v>
      </c>
      <c r="D1483" s="9">
        <v>1038.8605</v>
      </c>
      <c r="E1483" s="10" t="str">
        <f t="array" ref="E1483">IFS(D1483&lt;=$G$3,'calculated data '!$A$3,D1483&lt;=$G$4,'calculated data '!$A$4,D1483&lt;=$G$6,'calculated data '!$A$5,D1483&gt;=$G$6,'calculated data '!$A$6)</f>
        <v>Low Demand Tier</v>
      </c>
      <c r="F1483" s="10">
        <f t="shared" si="1"/>
        <v>-0.6356730962</v>
      </c>
    </row>
    <row r="1484" ht="14.25" customHeight="1">
      <c r="A1484" s="2" t="s">
        <v>121</v>
      </c>
      <c r="B1484" s="2" t="s">
        <v>122</v>
      </c>
      <c r="C1484" s="2">
        <v>2010.0</v>
      </c>
      <c r="D1484" s="9">
        <v>1039.4052</v>
      </c>
      <c r="E1484" s="10" t="str">
        <f t="array" ref="E1484">IFS(D1484&lt;=$G$3,'calculated data '!$A$3,D1484&lt;=$G$4,'calculated data '!$A$4,D1484&lt;=$G$6,'calculated data '!$A$5,D1484&gt;=$G$6,'calculated data '!$A$6)</f>
        <v>Low Demand Tier</v>
      </c>
      <c r="F1484" s="10">
        <f t="shared" si="1"/>
        <v>-0.6356586781</v>
      </c>
    </row>
    <row r="1485" ht="14.25" customHeight="1">
      <c r="A1485" s="2" t="s">
        <v>121</v>
      </c>
      <c r="B1485" s="2" t="s">
        <v>122</v>
      </c>
      <c r="C1485" s="2">
        <v>2015.0</v>
      </c>
      <c r="D1485" s="9">
        <v>1039.6771</v>
      </c>
      <c r="E1485" s="10" t="str">
        <f t="array" ref="E1485">IFS(D1485&lt;=$G$3,'calculated data '!$A$3,D1485&lt;=$G$4,'calculated data '!$A$4,D1485&lt;=$G$6,'calculated data '!$A$5,D1485&gt;=$G$6,'calculated data '!$A$6)</f>
        <v>Low Demand Tier</v>
      </c>
      <c r="F1485" s="10">
        <f t="shared" si="1"/>
        <v>-0.635651481</v>
      </c>
    </row>
    <row r="1486" ht="14.25" customHeight="1">
      <c r="A1486" s="2" t="s">
        <v>105</v>
      </c>
      <c r="B1486" s="2" t="s">
        <v>106</v>
      </c>
      <c r="C1486" s="2">
        <v>1987.0</v>
      </c>
      <c r="D1486" s="9">
        <v>1040.1412</v>
      </c>
      <c r="E1486" s="10" t="str">
        <f t="array" ref="E1486">IFS(D1486&lt;=$G$3,'calculated data '!$A$3,D1486&lt;=$G$4,'calculated data '!$A$4,D1486&lt;=$G$6,'calculated data '!$A$5,D1486&gt;=$G$6,'calculated data '!$A$6)</f>
        <v>Low Demand Tier</v>
      </c>
      <c r="F1486" s="10">
        <f t="shared" si="1"/>
        <v>-0.6356391964</v>
      </c>
    </row>
    <row r="1487" ht="14.25" customHeight="1">
      <c r="A1487" s="2" t="s">
        <v>87</v>
      </c>
      <c r="B1487" s="2" t="s">
        <v>88</v>
      </c>
      <c r="C1487" s="2">
        <v>2004.0</v>
      </c>
      <c r="D1487" s="9">
        <v>1040.304</v>
      </c>
      <c r="E1487" s="10" t="str">
        <f t="array" ref="E1487">IFS(D1487&lt;=$G$3,'calculated data '!$A$3,D1487&lt;=$G$4,'calculated data '!$A$4,D1487&lt;=$G$6,'calculated data '!$A$5,D1487&gt;=$G$6,'calculated data '!$A$6)</f>
        <v>Low Demand Tier</v>
      </c>
      <c r="F1487" s="10">
        <f t="shared" si="1"/>
        <v>-0.6356348871</v>
      </c>
    </row>
    <row r="1488" ht="14.25" customHeight="1">
      <c r="A1488" s="2" t="s">
        <v>77</v>
      </c>
      <c r="B1488" s="2" t="s">
        <v>78</v>
      </c>
      <c r="C1488" s="2">
        <v>2021.0</v>
      </c>
      <c r="D1488" s="9">
        <v>1043.4496</v>
      </c>
      <c r="E1488" s="10" t="str">
        <f t="array" ref="E1488">IFS(D1488&lt;=$G$3,'calculated data '!$A$3,D1488&lt;=$G$4,'calculated data '!$A$4,D1488&lt;=$G$6,'calculated data '!$A$5,D1488&gt;=$G$6,'calculated data '!$A$6)</f>
        <v>Low Demand Tier</v>
      </c>
      <c r="F1488" s="10">
        <f t="shared" si="1"/>
        <v>-0.6355516239</v>
      </c>
    </row>
    <row r="1489" ht="14.25" customHeight="1">
      <c r="A1489" s="2" t="s">
        <v>109</v>
      </c>
      <c r="B1489" s="2" t="s">
        <v>110</v>
      </c>
      <c r="C1489" s="2">
        <v>2015.0</v>
      </c>
      <c r="D1489" s="9">
        <v>1043.5267</v>
      </c>
      <c r="E1489" s="10" t="str">
        <f t="array" ref="E1489">IFS(D1489&lt;=$G$3,'calculated data '!$A$3,D1489&lt;=$G$4,'calculated data '!$A$4,D1489&lt;=$G$6,'calculated data '!$A$5,D1489&gt;=$G$6,'calculated data '!$A$6)</f>
        <v>Low Demand Tier</v>
      </c>
      <c r="F1489" s="10">
        <f t="shared" si="1"/>
        <v>-0.635549583</v>
      </c>
    </row>
    <row r="1490" ht="14.25" customHeight="1">
      <c r="A1490" s="2" t="s">
        <v>121</v>
      </c>
      <c r="B1490" s="2" t="s">
        <v>122</v>
      </c>
      <c r="C1490" s="2">
        <v>2014.0</v>
      </c>
      <c r="D1490" s="9">
        <v>1043.8901</v>
      </c>
      <c r="E1490" s="10" t="str">
        <f t="array" ref="E1490">IFS(D1490&lt;=$G$3,'calculated data '!$A$3,D1490&lt;=$G$4,'calculated data '!$A$4,D1490&lt;=$G$6,'calculated data '!$A$5,D1490&gt;=$G$6,'calculated data '!$A$6)</f>
        <v>Low Demand Tier</v>
      </c>
      <c r="F1490" s="10">
        <f t="shared" si="1"/>
        <v>-0.6355399639</v>
      </c>
    </row>
    <row r="1491" ht="14.25" customHeight="1">
      <c r="A1491" s="2" t="s">
        <v>95</v>
      </c>
      <c r="B1491" s="2" t="s">
        <v>96</v>
      </c>
      <c r="C1491" s="2">
        <v>2008.0</v>
      </c>
      <c r="D1491" s="9">
        <v>1044.7327</v>
      </c>
      <c r="E1491" s="10" t="str">
        <f t="array" ref="E1491">IFS(D1491&lt;=$G$3,'calculated data '!$A$3,D1491&lt;=$G$4,'calculated data '!$A$4,D1491&lt;=$G$6,'calculated data '!$A$5,D1491&gt;=$G$6,'calculated data '!$A$6)</f>
        <v>Low Demand Tier</v>
      </c>
      <c r="F1491" s="10">
        <f t="shared" si="1"/>
        <v>-0.6355176605</v>
      </c>
    </row>
    <row r="1492" ht="14.25" customHeight="1">
      <c r="A1492" s="2" t="s">
        <v>105</v>
      </c>
      <c r="B1492" s="2" t="s">
        <v>106</v>
      </c>
      <c r="C1492" s="2">
        <v>1989.0</v>
      </c>
      <c r="D1492" s="9">
        <v>1044.7872</v>
      </c>
      <c r="E1492" s="10" t="str">
        <f t="array" ref="E1492">IFS(D1492&lt;=$G$3,'calculated data '!$A$3,D1492&lt;=$G$4,'calculated data '!$A$4,D1492&lt;=$G$6,'calculated data '!$A$5,D1492&gt;=$G$6,'calculated data '!$A$6)</f>
        <v>Low Demand Tier</v>
      </c>
      <c r="F1492" s="10">
        <f t="shared" si="1"/>
        <v>-0.6355162179</v>
      </c>
    </row>
    <row r="1493" ht="14.25" customHeight="1">
      <c r="A1493" s="2" t="s">
        <v>133</v>
      </c>
      <c r="B1493" s="2" t="s">
        <v>134</v>
      </c>
      <c r="C1493" s="2">
        <v>1992.0</v>
      </c>
      <c r="D1493" s="9">
        <v>1049.6239</v>
      </c>
      <c r="E1493" s="10" t="str">
        <f t="array" ref="E1493">IFS(D1493&lt;=$G$3,'calculated data '!$A$3,D1493&lt;=$G$4,'calculated data '!$A$4,D1493&lt;=$G$6,'calculated data '!$A$5,D1493&gt;=$G$6,'calculated data '!$A$6)</f>
        <v>Low Demand Tier</v>
      </c>
      <c r="F1493" s="10">
        <f t="shared" si="1"/>
        <v>-0.6353881917</v>
      </c>
    </row>
    <row r="1494" ht="14.25" customHeight="1">
      <c r="A1494" s="2" t="s">
        <v>147</v>
      </c>
      <c r="B1494" s="2" t="s">
        <v>148</v>
      </c>
      <c r="C1494" s="2">
        <v>2005.0</v>
      </c>
      <c r="D1494" s="9">
        <v>1051.8536</v>
      </c>
      <c r="E1494" s="10" t="str">
        <f t="array" ref="E1494">IFS(D1494&lt;=$G$3,'calculated data '!$A$3,D1494&lt;=$G$4,'calculated data '!$A$4,D1494&lt;=$G$6,'calculated data '!$A$5,D1494&gt;=$G$6,'calculated data '!$A$6)</f>
        <v>Low Demand Tier</v>
      </c>
      <c r="F1494" s="10">
        <f t="shared" si="1"/>
        <v>-0.6353291721</v>
      </c>
    </row>
    <row r="1495" ht="14.25" customHeight="1">
      <c r="A1495" s="2" t="s">
        <v>93</v>
      </c>
      <c r="B1495" s="2" t="s">
        <v>94</v>
      </c>
      <c r="C1495" s="2">
        <v>2001.0</v>
      </c>
      <c r="D1495" s="9">
        <v>1053.6533</v>
      </c>
      <c r="E1495" s="10" t="str">
        <f t="array" ref="E1495">IFS(D1495&lt;=$G$3,'calculated data '!$A$3,D1495&lt;=$G$4,'calculated data '!$A$4,D1495&lt;=$G$6,'calculated data '!$A$5,D1495&gt;=$G$6,'calculated data '!$A$6)</f>
        <v>Low Demand Tier</v>
      </c>
      <c r="F1495" s="10">
        <f t="shared" si="1"/>
        <v>-0.6352815345</v>
      </c>
    </row>
    <row r="1496" ht="14.25" customHeight="1">
      <c r="A1496" s="2" t="s">
        <v>95</v>
      </c>
      <c r="B1496" s="2" t="s">
        <v>96</v>
      </c>
      <c r="C1496" s="2">
        <v>2013.0</v>
      </c>
      <c r="D1496" s="9">
        <v>1055.1068</v>
      </c>
      <c r="E1496" s="10" t="str">
        <f t="array" ref="E1496">IFS(D1496&lt;=$G$3,'calculated data '!$A$3,D1496&lt;=$G$4,'calculated data '!$A$4,D1496&lt;=$G$6,'calculated data '!$A$5,D1496&gt;=$G$6,'calculated data '!$A$6)</f>
        <v>Low Demand Tier</v>
      </c>
      <c r="F1496" s="10">
        <f t="shared" si="1"/>
        <v>-0.6352430607</v>
      </c>
    </row>
    <row r="1497" ht="14.25" customHeight="1">
      <c r="A1497" s="2" t="s">
        <v>103</v>
      </c>
      <c r="B1497" s="2" t="s">
        <v>104</v>
      </c>
      <c r="C1497" s="2">
        <v>2021.0</v>
      </c>
      <c r="D1497" s="9">
        <v>1055.4796</v>
      </c>
      <c r="E1497" s="10" t="str">
        <f t="array" ref="E1497">IFS(D1497&lt;=$G$3,'calculated data '!$A$3,D1497&lt;=$G$4,'calculated data '!$A$4,D1497&lt;=$G$6,'calculated data '!$A$5,D1497&gt;=$G$6,'calculated data '!$A$6)</f>
        <v>Low Demand Tier</v>
      </c>
      <c r="F1497" s="10">
        <f t="shared" si="1"/>
        <v>-0.6352331928</v>
      </c>
    </row>
    <row r="1498" ht="14.25" customHeight="1">
      <c r="A1498" s="2" t="s">
        <v>125</v>
      </c>
      <c r="B1498" s="2" t="s">
        <v>126</v>
      </c>
      <c r="C1498" s="2">
        <v>2003.0</v>
      </c>
      <c r="D1498" s="9">
        <v>1056.5308</v>
      </c>
      <c r="E1498" s="10" t="str">
        <f t="array" ref="E1498">IFS(D1498&lt;=$G$3,'calculated data '!$A$3,D1498&lt;=$G$4,'calculated data '!$A$4,D1498&lt;=$G$6,'calculated data '!$A$5,D1498&gt;=$G$6,'calculated data '!$A$6)</f>
        <v>Low Demand Tier</v>
      </c>
      <c r="F1498" s="10">
        <f t="shared" si="1"/>
        <v>-0.6352053678</v>
      </c>
    </row>
    <row r="1499" ht="14.25" customHeight="1">
      <c r="A1499" s="2" t="s">
        <v>123</v>
      </c>
      <c r="B1499" s="2" t="s">
        <v>124</v>
      </c>
      <c r="C1499" s="2">
        <v>1991.0</v>
      </c>
      <c r="D1499" s="9">
        <v>1058.3716</v>
      </c>
      <c r="E1499" s="10" t="str">
        <f t="array" ref="E1499">IFS(D1499&lt;=$G$3,'calculated data '!$A$3,D1499&lt;=$G$4,'calculated data '!$A$4,D1499&lt;=$G$6,'calculated data '!$A$5,D1499&gt;=$G$6,'calculated data '!$A$6)</f>
        <v>Low Demand Tier</v>
      </c>
      <c r="F1499" s="10">
        <f t="shared" si="1"/>
        <v>-0.6351566422</v>
      </c>
    </row>
    <row r="1500" ht="14.25" customHeight="1">
      <c r="A1500" s="2" t="s">
        <v>137</v>
      </c>
      <c r="B1500" s="2" t="s">
        <v>138</v>
      </c>
      <c r="C1500" s="2">
        <v>1988.0</v>
      </c>
      <c r="D1500" s="9">
        <v>1058.9211</v>
      </c>
      <c r="E1500" s="10" t="str">
        <f t="array" ref="E1500">IFS(D1500&lt;=$G$3,'calculated data '!$A$3,D1500&lt;=$G$4,'calculated data '!$A$4,D1500&lt;=$G$6,'calculated data '!$A$5,D1500&gt;=$G$6,'calculated data '!$A$6)</f>
        <v>Low Demand Tier</v>
      </c>
      <c r="F1500" s="10">
        <f t="shared" si="1"/>
        <v>-0.6351420971</v>
      </c>
    </row>
    <row r="1501" ht="14.25" customHeight="1">
      <c r="A1501" s="2" t="s">
        <v>95</v>
      </c>
      <c r="B1501" s="2" t="s">
        <v>96</v>
      </c>
      <c r="C1501" s="2">
        <v>2007.0</v>
      </c>
      <c r="D1501" s="9">
        <v>1059.4049</v>
      </c>
      <c r="E1501" s="10" t="str">
        <f t="array" ref="E1501">IFS(D1501&lt;=$G$3,'calculated data '!$A$3,D1501&lt;=$G$4,'calculated data '!$A$4,D1501&lt;=$G$6,'calculated data '!$A$5,D1501&gt;=$G$6,'calculated data '!$A$6)</f>
        <v>Low Demand Tier</v>
      </c>
      <c r="F1501" s="10">
        <f t="shared" si="1"/>
        <v>-0.635129291</v>
      </c>
    </row>
    <row r="1502" ht="14.25" customHeight="1">
      <c r="A1502" s="2" t="s">
        <v>121</v>
      </c>
      <c r="B1502" s="2" t="s">
        <v>122</v>
      </c>
      <c r="C1502" s="2">
        <v>2011.0</v>
      </c>
      <c r="D1502" s="9">
        <v>1061.075</v>
      </c>
      <c r="E1502" s="10" t="str">
        <f t="array" ref="E1502">IFS(D1502&lt;=$G$3,'calculated data '!$A$3,D1502&lt;=$G$4,'calculated data '!$A$4,D1502&lt;=$G$6,'calculated data '!$A$5,D1502&gt;=$G$6,'calculated data '!$A$6)</f>
        <v>Low Demand Tier</v>
      </c>
      <c r="F1502" s="10">
        <f t="shared" si="1"/>
        <v>-0.6350850839</v>
      </c>
    </row>
    <row r="1503" ht="14.25" customHeight="1">
      <c r="A1503" s="2" t="s">
        <v>109</v>
      </c>
      <c r="B1503" s="2" t="s">
        <v>110</v>
      </c>
      <c r="C1503" s="2">
        <v>2014.0</v>
      </c>
      <c r="D1503" s="9">
        <v>1061.386</v>
      </c>
      <c r="E1503" s="10" t="str">
        <f t="array" ref="E1503">IFS(D1503&lt;=$G$3,'calculated data '!$A$3,D1503&lt;=$G$4,'calculated data '!$A$4,D1503&lt;=$G$6,'calculated data '!$A$5,D1503&gt;=$G$6,'calculated data '!$A$6)</f>
        <v>Low Demand Tier</v>
      </c>
      <c r="F1503" s="10">
        <f t="shared" si="1"/>
        <v>-0.6350768518</v>
      </c>
    </row>
    <row r="1504" ht="14.25" customHeight="1">
      <c r="A1504" s="2" t="s">
        <v>145</v>
      </c>
      <c r="B1504" s="2" t="s">
        <v>146</v>
      </c>
      <c r="C1504" s="2">
        <v>2002.0</v>
      </c>
      <c r="D1504" s="9">
        <v>1061.7034</v>
      </c>
      <c r="E1504" s="10" t="str">
        <f t="array" ref="E1504">IFS(D1504&lt;=$G$3,'calculated data '!$A$3,D1504&lt;=$G$4,'calculated data '!$A$4,D1504&lt;=$G$6,'calculated data '!$A$5,D1504&gt;=$G$6,'calculated data '!$A$6)</f>
        <v>Low Demand Tier</v>
      </c>
      <c r="F1504" s="10">
        <f t="shared" si="1"/>
        <v>-0.6350684503</v>
      </c>
    </row>
    <row r="1505" ht="14.25" customHeight="1">
      <c r="A1505" s="2" t="s">
        <v>133</v>
      </c>
      <c r="B1505" s="2" t="s">
        <v>134</v>
      </c>
      <c r="C1505" s="2">
        <v>1986.0</v>
      </c>
      <c r="D1505" s="9">
        <v>1061.8353</v>
      </c>
      <c r="E1505" s="10" t="str">
        <f t="array" ref="E1505">IFS(D1505&lt;=$G$3,'calculated data '!$A$3,D1505&lt;=$G$4,'calculated data '!$A$4,D1505&lt;=$G$6,'calculated data '!$A$5,D1505&gt;=$G$6,'calculated data '!$A$6)</f>
        <v>Low Demand Tier</v>
      </c>
      <c r="F1505" s="10">
        <f t="shared" si="1"/>
        <v>-0.635064959</v>
      </c>
    </row>
    <row r="1506" ht="14.25" customHeight="1">
      <c r="A1506" s="2" t="s">
        <v>85</v>
      </c>
      <c r="B1506" s="2" t="s">
        <v>86</v>
      </c>
      <c r="C1506" s="2">
        <v>2010.0</v>
      </c>
      <c r="D1506" s="9">
        <v>1061.946</v>
      </c>
      <c r="E1506" s="10" t="str">
        <f t="array" ref="E1506">IFS(D1506&lt;=$G$3,'calculated data '!$A$3,D1506&lt;=$G$4,'calculated data '!$A$4,D1506&lt;=$G$6,'calculated data '!$A$5,D1506&gt;=$G$6,'calculated data '!$A$6)</f>
        <v>Low Demand Tier</v>
      </c>
      <c r="F1506" s="10">
        <f t="shared" si="1"/>
        <v>-0.6350620288</v>
      </c>
    </row>
    <row r="1507" ht="14.25" customHeight="1">
      <c r="A1507" s="2" t="s">
        <v>77</v>
      </c>
      <c r="B1507" s="2" t="s">
        <v>78</v>
      </c>
      <c r="C1507" s="2">
        <v>2024.0</v>
      </c>
      <c r="D1507" s="9">
        <v>1062.505</v>
      </c>
      <c r="E1507" s="10" t="str">
        <f t="array" ref="E1507">IFS(D1507&lt;=$G$3,'calculated data '!$A$3,D1507&lt;=$G$4,'calculated data '!$A$4,D1507&lt;=$G$6,'calculated data '!$A$5,D1507&gt;=$G$6,'calculated data '!$A$6)</f>
        <v>Low Demand Tier</v>
      </c>
      <c r="F1507" s="10">
        <f t="shared" si="1"/>
        <v>-0.6350472322</v>
      </c>
    </row>
    <row r="1508" ht="14.25" customHeight="1">
      <c r="A1508" s="2" t="s">
        <v>127</v>
      </c>
      <c r="B1508" s="2" t="s">
        <v>128</v>
      </c>
      <c r="C1508" s="2">
        <v>1990.0</v>
      </c>
      <c r="D1508" s="9">
        <v>1063.9114</v>
      </c>
      <c r="E1508" s="10" t="str">
        <f t="array" ref="E1508">IFS(D1508&lt;=$G$3,'calculated data '!$A$3,D1508&lt;=$G$4,'calculated data '!$A$4,D1508&lt;=$G$6,'calculated data '!$A$5,D1508&gt;=$G$6,'calculated data '!$A$6)</f>
        <v>Low Demand Tier</v>
      </c>
      <c r="F1508" s="10">
        <f t="shared" si="1"/>
        <v>-0.6350100051</v>
      </c>
    </row>
    <row r="1509" ht="14.25" customHeight="1">
      <c r="A1509" s="2" t="s">
        <v>77</v>
      </c>
      <c r="B1509" s="2" t="s">
        <v>78</v>
      </c>
      <c r="C1509" s="2">
        <v>2023.0</v>
      </c>
      <c r="D1509" s="9">
        <v>1066.4028</v>
      </c>
      <c r="E1509" s="10" t="str">
        <f t="array" ref="E1509">IFS(D1509&lt;=$G$3,'calculated data '!$A$3,D1509&lt;=$G$4,'calculated data '!$A$4,D1509&lt;=$G$6,'calculated data '!$A$5,D1509&gt;=$G$6,'calculated data '!$A$6)</f>
        <v>Low Demand Tier</v>
      </c>
      <c r="F1509" s="10">
        <f t="shared" si="1"/>
        <v>-0.6349440584</v>
      </c>
    </row>
    <row r="1510" ht="14.25" customHeight="1">
      <c r="A1510" s="2" t="s">
        <v>105</v>
      </c>
      <c r="B1510" s="2" t="s">
        <v>106</v>
      </c>
      <c r="C1510" s="2">
        <v>1991.0</v>
      </c>
      <c r="D1510" s="9">
        <v>1067.0106</v>
      </c>
      <c r="E1510" s="10" t="str">
        <f t="array" ref="E1510">IFS(D1510&lt;=$G$3,'calculated data '!$A$3,D1510&lt;=$G$4,'calculated data '!$A$4,D1510&lt;=$G$6,'calculated data '!$A$5,D1510&gt;=$G$6,'calculated data '!$A$6)</f>
        <v>Low Demand Tier</v>
      </c>
      <c r="F1510" s="10">
        <f t="shared" si="1"/>
        <v>-0.6349279701</v>
      </c>
    </row>
    <row r="1511" ht="14.25" customHeight="1">
      <c r="A1511" s="2" t="s">
        <v>85</v>
      </c>
      <c r="B1511" s="2" t="s">
        <v>86</v>
      </c>
      <c r="C1511" s="2">
        <v>2018.0</v>
      </c>
      <c r="D1511" s="9">
        <v>1068.2644</v>
      </c>
      <c r="E1511" s="10" t="str">
        <f t="array" ref="E1511">IFS(D1511&lt;=$G$3,'calculated data '!$A$3,D1511&lt;=$G$4,'calculated data '!$A$4,D1511&lt;=$G$6,'calculated data '!$A$5,D1511&gt;=$G$6,'calculated data '!$A$6)</f>
        <v>Low Demand Tier</v>
      </c>
      <c r="F1511" s="10">
        <f t="shared" si="1"/>
        <v>-0.6348947823</v>
      </c>
    </row>
    <row r="1512" ht="14.25" customHeight="1">
      <c r="A1512" s="2" t="s">
        <v>95</v>
      </c>
      <c r="B1512" s="2" t="s">
        <v>96</v>
      </c>
      <c r="C1512" s="2">
        <v>2022.0</v>
      </c>
      <c r="D1512" s="9">
        <v>1068.5922</v>
      </c>
      <c r="E1512" s="10" t="str">
        <f t="array" ref="E1512">IFS(D1512&lt;=$G$3,'calculated data '!$A$3,D1512&lt;=$G$4,'calculated data '!$A$4,D1512&lt;=$G$6,'calculated data '!$A$5,D1512&gt;=$G$6,'calculated data '!$A$6)</f>
        <v>Low Demand Tier</v>
      </c>
      <c r="F1512" s="10">
        <f t="shared" si="1"/>
        <v>-0.6348861055</v>
      </c>
    </row>
    <row r="1513" ht="14.25" customHeight="1">
      <c r="A1513" s="2" t="s">
        <v>141</v>
      </c>
      <c r="B1513" s="2" t="s">
        <v>142</v>
      </c>
      <c r="C1513" s="2">
        <v>1966.0</v>
      </c>
      <c r="D1513" s="9">
        <v>1075.5886</v>
      </c>
      <c r="E1513" s="10" t="str">
        <f t="array" ref="E1513">IFS(D1513&lt;=$G$3,'calculated data '!$A$3,D1513&lt;=$G$4,'calculated data '!$A$4,D1513&lt;=$G$6,'calculated data '!$A$5,D1513&gt;=$G$6,'calculated data '!$A$6)</f>
        <v>Low Demand Tier</v>
      </c>
      <c r="F1513" s="10">
        <f t="shared" si="1"/>
        <v>-0.6347009125</v>
      </c>
    </row>
    <row r="1514" ht="14.25" customHeight="1">
      <c r="A1514" s="2" t="s">
        <v>83</v>
      </c>
      <c r="B1514" s="2" t="s">
        <v>84</v>
      </c>
      <c r="C1514" s="2">
        <v>2003.0</v>
      </c>
      <c r="D1514" s="9">
        <v>1075.6674</v>
      </c>
      <c r="E1514" s="10" t="str">
        <f t="array" ref="E1514">IFS(D1514&lt;=$G$3,'calculated data '!$A$3,D1514&lt;=$G$4,'calculated data '!$A$4,D1514&lt;=$G$6,'calculated data '!$A$5,D1514&gt;=$G$6,'calculated data '!$A$6)</f>
        <v>Low Demand Tier</v>
      </c>
      <c r="F1514" s="10">
        <f t="shared" si="1"/>
        <v>-0.6346988267</v>
      </c>
    </row>
    <row r="1515" ht="14.25" customHeight="1">
      <c r="A1515" s="2" t="s">
        <v>119</v>
      </c>
      <c r="B1515" s="2" t="s">
        <v>120</v>
      </c>
      <c r="C1515" s="2">
        <v>2017.0</v>
      </c>
      <c r="D1515" s="9">
        <v>1077.2102</v>
      </c>
      <c r="E1515" s="10" t="str">
        <f t="array" ref="E1515">IFS(D1515&lt;=$G$3,'calculated data '!$A$3,D1515&lt;=$G$4,'calculated data '!$A$4,D1515&lt;=$G$6,'calculated data '!$A$5,D1515&gt;=$G$6,'calculated data '!$A$6)</f>
        <v>Low Demand Tier</v>
      </c>
      <c r="F1515" s="10">
        <f t="shared" si="1"/>
        <v>-0.6346579892</v>
      </c>
    </row>
    <row r="1516" ht="14.25" customHeight="1">
      <c r="A1516" s="2" t="s">
        <v>135</v>
      </c>
      <c r="B1516" s="2" t="s">
        <v>136</v>
      </c>
      <c r="C1516" s="2">
        <v>1987.0</v>
      </c>
      <c r="D1516" s="9">
        <v>1079.3102</v>
      </c>
      <c r="E1516" s="10" t="str">
        <f t="array" ref="E1516">IFS(D1516&lt;=$G$3,'calculated data '!$A$3,D1516&lt;=$G$4,'calculated data '!$A$4,D1516&lt;=$G$6,'calculated data '!$A$5,D1516&gt;=$G$6,'calculated data '!$A$6)</f>
        <v>Low Demand Tier</v>
      </c>
      <c r="F1516" s="10">
        <f t="shared" si="1"/>
        <v>-0.6346024027</v>
      </c>
    </row>
    <row r="1517" ht="14.25" customHeight="1">
      <c r="A1517" s="2" t="s">
        <v>109</v>
      </c>
      <c r="B1517" s="2" t="s">
        <v>110</v>
      </c>
      <c r="C1517" s="2">
        <v>1990.0</v>
      </c>
      <c r="D1517" s="9">
        <v>1080.2678</v>
      </c>
      <c r="E1517" s="10" t="str">
        <f t="array" ref="E1517">IFS(D1517&lt;=$G$3,'calculated data '!$A$3,D1517&lt;=$G$4,'calculated data '!$A$4,D1517&lt;=$G$6,'calculated data '!$A$5,D1517&gt;=$G$6,'calculated data '!$A$6)</f>
        <v>Low Demand Tier</v>
      </c>
      <c r="F1517" s="10">
        <f t="shared" si="1"/>
        <v>-0.6345770553</v>
      </c>
    </row>
    <row r="1518" ht="14.25" customHeight="1">
      <c r="A1518" s="2" t="s">
        <v>61</v>
      </c>
      <c r="B1518" s="2" t="s">
        <v>62</v>
      </c>
      <c r="C1518" s="2">
        <v>2017.0</v>
      </c>
      <c r="D1518" s="9">
        <v>1082.1774</v>
      </c>
      <c r="E1518" s="10" t="str">
        <f t="array" ref="E1518">IFS(D1518&lt;=$G$3,'calculated data '!$A$3,D1518&lt;=$G$4,'calculated data '!$A$4,D1518&lt;=$G$6,'calculated data '!$A$5,D1518&gt;=$G$6,'calculated data '!$A$6)</f>
        <v>Low Demand Tier</v>
      </c>
      <c r="F1518" s="10">
        <f t="shared" si="1"/>
        <v>-0.6345265086</v>
      </c>
    </row>
    <row r="1519" ht="14.25" customHeight="1">
      <c r="A1519" s="2" t="s">
        <v>137</v>
      </c>
      <c r="B1519" s="2" t="s">
        <v>138</v>
      </c>
      <c r="C1519" s="2">
        <v>1987.0</v>
      </c>
      <c r="D1519" s="9">
        <v>1082.2277</v>
      </c>
      <c r="E1519" s="10" t="str">
        <f t="array" ref="E1519">IFS(D1519&lt;=$G$3,'calculated data '!$A$3,D1519&lt;=$G$4,'calculated data '!$A$4,D1519&lt;=$G$6,'calculated data '!$A$5,D1519&gt;=$G$6,'calculated data '!$A$6)</f>
        <v>Low Demand Tier</v>
      </c>
      <c r="F1519" s="10">
        <f t="shared" si="1"/>
        <v>-0.6345251772</v>
      </c>
    </row>
    <row r="1520" ht="14.25" customHeight="1">
      <c r="A1520" s="2" t="s">
        <v>123</v>
      </c>
      <c r="B1520" s="2" t="s">
        <v>124</v>
      </c>
      <c r="C1520" s="2">
        <v>2001.0</v>
      </c>
      <c r="D1520" s="9">
        <v>1082.4165</v>
      </c>
      <c r="E1520" s="10" t="str">
        <f t="array" ref="E1520">IFS(D1520&lt;=$G$3,'calculated data '!$A$3,D1520&lt;=$G$4,'calculated data '!$A$4,D1520&lt;=$G$6,'calculated data '!$A$5,D1520&gt;=$G$6,'calculated data '!$A$6)</f>
        <v>Low Demand Tier</v>
      </c>
      <c r="F1520" s="10">
        <f t="shared" si="1"/>
        <v>-0.6345201797</v>
      </c>
    </row>
    <row r="1521" ht="14.25" customHeight="1">
      <c r="A1521" s="2" t="s">
        <v>117</v>
      </c>
      <c r="B1521" s="2" t="s">
        <v>118</v>
      </c>
      <c r="C1521" s="2">
        <v>2002.0</v>
      </c>
      <c r="D1521" s="9">
        <v>1084.1193</v>
      </c>
      <c r="E1521" s="10" t="str">
        <f t="array" ref="E1521">IFS(D1521&lt;=$G$3,'calculated data '!$A$3,D1521&lt;=$G$4,'calculated data '!$A$4,D1521&lt;=$G$6,'calculated data '!$A$5,D1521&gt;=$G$6,'calculated data '!$A$6)</f>
        <v>Low Demand Tier</v>
      </c>
      <c r="F1521" s="10">
        <f t="shared" si="1"/>
        <v>-0.634475107</v>
      </c>
    </row>
    <row r="1522" ht="14.25" customHeight="1">
      <c r="A1522" s="2" t="s">
        <v>149</v>
      </c>
      <c r="B1522" s="2" t="s">
        <v>150</v>
      </c>
      <c r="C1522" s="2">
        <v>1984.0</v>
      </c>
      <c r="D1522" s="9">
        <v>1084.8387</v>
      </c>
      <c r="E1522" s="10" t="str">
        <f t="array" ref="E1522">IFS(D1522&lt;=$G$3,'calculated data '!$A$3,D1522&lt;=$G$4,'calculated data '!$A$4,D1522&lt;=$G$6,'calculated data '!$A$5,D1522&gt;=$G$6,'calculated data '!$A$6)</f>
        <v>Low Demand Tier</v>
      </c>
      <c r="F1522" s="10">
        <f t="shared" si="1"/>
        <v>-0.6344560647</v>
      </c>
    </row>
    <row r="1523" ht="14.25" customHeight="1">
      <c r="A1523" s="2" t="s">
        <v>135</v>
      </c>
      <c r="B1523" s="2" t="s">
        <v>136</v>
      </c>
      <c r="C1523" s="2">
        <v>1998.0</v>
      </c>
      <c r="D1523" s="9">
        <v>1084.987</v>
      </c>
      <c r="E1523" s="10" t="str">
        <f t="array" ref="E1523">IFS(D1523&lt;=$G$3,'calculated data '!$A$3,D1523&lt;=$G$4,'calculated data '!$A$4,D1523&lt;=$G$6,'calculated data '!$A$5,D1523&gt;=$G$6,'calculated data '!$A$6)</f>
        <v>Low Demand Tier</v>
      </c>
      <c r="F1523" s="10">
        <f t="shared" si="1"/>
        <v>-0.6344521392</v>
      </c>
    </row>
    <row r="1524" ht="14.25" customHeight="1">
      <c r="A1524" s="2" t="s">
        <v>135</v>
      </c>
      <c r="B1524" s="2" t="s">
        <v>136</v>
      </c>
      <c r="C1524" s="2">
        <v>1981.0</v>
      </c>
      <c r="D1524" s="9">
        <v>1086.2814</v>
      </c>
      <c r="E1524" s="10" t="str">
        <f t="array" ref="E1524">IFS(D1524&lt;=$G$3,'calculated data '!$A$3,D1524&lt;=$G$4,'calculated data '!$A$4,D1524&lt;=$G$6,'calculated data '!$A$5,D1524&gt;=$G$6,'calculated data '!$A$6)</f>
        <v>Low Demand Tier</v>
      </c>
      <c r="F1524" s="10">
        <f t="shared" si="1"/>
        <v>-0.6344178768</v>
      </c>
    </row>
    <row r="1525" ht="14.25" customHeight="1">
      <c r="A1525" s="2" t="s">
        <v>97</v>
      </c>
      <c r="B1525" s="2" t="s">
        <v>98</v>
      </c>
      <c r="C1525" s="2">
        <v>1983.0</v>
      </c>
      <c r="D1525" s="9">
        <v>1087.89</v>
      </c>
      <c r="E1525" s="10" t="str">
        <f t="array" ref="E1525">IFS(D1525&lt;=$G$3,'calculated data '!$A$3,D1525&lt;=$G$4,'calculated data '!$A$4,D1525&lt;=$G$6,'calculated data '!$A$5,D1525&gt;=$G$6,'calculated data '!$A$6)</f>
        <v>Low Demand Tier</v>
      </c>
      <c r="F1525" s="10">
        <f t="shared" si="1"/>
        <v>-0.6343752975</v>
      </c>
    </row>
    <row r="1526" ht="14.25" customHeight="1">
      <c r="A1526" s="2" t="s">
        <v>107</v>
      </c>
      <c r="B1526" s="2" t="s">
        <v>108</v>
      </c>
      <c r="C1526" s="2">
        <v>1999.0</v>
      </c>
      <c r="D1526" s="9">
        <v>1088.0367</v>
      </c>
      <c r="E1526" s="10" t="str">
        <f t="array" ref="E1526">IFS(D1526&lt;=$G$3,'calculated data '!$A$3,D1526&lt;=$G$4,'calculated data '!$A$4,D1526&lt;=$G$6,'calculated data '!$A$5,D1526&gt;=$G$6,'calculated data '!$A$6)</f>
        <v>Low Demand Tier</v>
      </c>
      <c r="F1526" s="10">
        <f t="shared" si="1"/>
        <v>-0.6343714144</v>
      </c>
    </row>
    <row r="1527" ht="14.25" customHeight="1">
      <c r="A1527" s="2" t="s">
        <v>147</v>
      </c>
      <c r="B1527" s="2" t="s">
        <v>148</v>
      </c>
      <c r="C1527" s="2">
        <v>2002.0</v>
      </c>
      <c r="D1527" s="9">
        <v>1088.1627</v>
      </c>
      <c r="E1527" s="10" t="str">
        <f t="array" ref="E1527">IFS(D1527&lt;=$G$3,'calculated data '!$A$3,D1527&lt;=$G$4,'calculated data '!$A$4,D1527&lt;=$G$6,'calculated data '!$A$5,D1527&gt;=$G$6,'calculated data '!$A$6)</f>
        <v>Low Demand Tier</v>
      </c>
      <c r="F1527" s="10">
        <f t="shared" si="1"/>
        <v>-0.6343680792</v>
      </c>
    </row>
    <row r="1528" ht="14.25" customHeight="1">
      <c r="A1528" s="2" t="s">
        <v>61</v>
      </c>
      <c r="B1528" s="2" t="s">
        <v>62</v>
      </c>
      <c r="C1528" s="2">
        <v>2018.0</v>
      </c>
      <c r="D1528" s="9">
        <v>1088.2587</v>
      </c>
      <c r="E1528" s="10" t="str">
        <f t="array" ref="E1528">IFS(D1528&lt;=$G$3,'calculated data '!$A$3,D1528&lt;=$G$4,'calculated data '!$A$4,D1528&lt;=$G$6,'calculated data '!$A$5,D1528&gt;=$G$6,'calculated data '!$A$6)</f>
        <v>Low Demand Tier</v>
      </c>
      <c r="F1528" s="10">
        <f t="shared" si="1"/>
        <v>-0.6343655381</v>
      </c>
    </row>
    <row r="1529" ht="14.25" customHeight="1">
      <c r="A1529" s="2" t="s">
        <v>147</v>
      </c>
      <c r="B1529" s="2" t="s">
        <v>148</v>
      </c>
      <c r="C1529" s="2">
        <v>2001.0</v>
      </c>
      <c r="D1529" s="9">
        <v>1092.5511</v>
      </c>
      <c r="E1529" s="10" t="str">
        <f t="array" ref="E1529">IFS(D1529&lt;=$G$3,'calculated data '!$A$3,D1529&lt;=$G$4,'calculated data '!$A$4,D1529&lt;=$G$6,'calculated data '!$A$5,D1529&gt;=$G$6,'calculated data '!$A$6)</f>
        <v>Low Demand Tier</v>
      </c>
      <c r="F1529" s="10">
        <f t="shared" si="1"/>
        <v>-0.6342519194</v>
      </c>
    </row>
    <row r="1530" ht="14.25" customHeight="1">
      <c r="A1530" s="2" t="s">
        <v>97</v>
      </c>
      <c r="B1530" s="2" t="s">
        <v>98</v>
      </c>
      <c r="C1530" s="2">
        <v>2007.0</v>
      </c>
      <c r="D1530" s="9">
        <v>1094.6104</v>
      </c>
      <c r="E1530" s="10" t="str">
        <f t="array" ref="E1530">IFS(D1530&lt;=$G$3,'calculated data '!$A$3,D1530&lt;=$G$4,'calculated data '!$A$4,D1530&lt;=$G$6,'calculated data '!$A$5,D1530&gt;=$G$6,'calculated data '!$A$6)</f>
        <v>Low Demand Tier</v>
      </c>
      <c r="F1530" s="10">
        <f t="shared" si="1"/>
        <v>-0.6341974102</v>
      </c>
    </row>
    <row r="1531" ht="14.25" customHeight="1">
      <c r="A1531" s="2" t="s">
        <v>85</v>
      </c>
      <c r="B1531" s="2" t="s">
        <v>86</v>
      </c>
      <c r="C1531" s="2">
        <v>2004.0</v>
      </c>
      <c r="D1531" s="9">
        <v>1095.8235</v>
      </c>
      <c r="E1531" s="10" t="str">
        <f t="array" ref="E1531">IFS(D1531&lt;=$G$3,'calculated data '!$A$3,D1531&lt;=$G$4,'calculated data '!$A$4,D1531&lt;=$G$6,'calculated data '!$A$5,D1531&gt;=$G$6,'calculated data '!$A$6)</f>
        <v>Low Demand Tier</v>
      </c>
      <c r="F1531" s="10">
        <f t="shared" si="1"/>
        <v>-0.6341652998</v>
      </c>
    </row>
    <row r="1532" ht="14.25" customHeight="1">
      <c r="A1532" s="2" t="s">
        <v>83</v>
      </c>
      <c r="B1532" s="2" t="s">
        <v>84</v>
      </c>
      <c r="C1532" s="2">
        <v>2004.0</v>
      </c>
      <c r="D1532" s="9">
        <v>1096.164</v>
      </c>
      <c r="E1532" s="10" t="str">
        <f t="array" ref="E1532">IFS(D1532&lt;=$G$3,'calculated data '!$A$3,D1532&lt;=$G$4,'calculated data '!$A$4,D1532&lt;=$G$6,'calculated data '!$A$5,D1532&gt;=$G$6,'calculated data '!$A$6)</f>
        <v>Low Demand Tier</v>
      </c>
      <c r="F1532" s="10">
        <f t="shared" si="1"/>
        <v>-0.6341562868</v>
      </c>
    </row>
    <row r="1533" ht="14.25" customHeight="1">
      <c r="A1533" s="2" t="s">
        <v>149</v>
      </c>
      <c r="B1533" s="2" t="s">
        <v>150</v>
      </c>
      <c r="C1533" s="2">
        <v>1983.0</v>
      </c>
      <c r="D1533" s="9">
        <v>1096.2949</v>
      </c>
      <c r="E1533" s="10" t="str">
        <f t="array" ref="E1533">IFS(D1533&lt;=$G$3,'calculated data '!$A$3,D1533&lt;=$G$4,'calculated data '!$A$4,D1533&lt;=$G$6,'calculated data '!$A$5,D1533&gt;=$G$6,'calculated data '!$A$6)</f>
        <v>Low Demand Tier</v>
      </c>
      <c r="F1533" s="10">
        <f t="shared" si="1"/>
        <v>-0.6341528219</v>
      </c>
    </row>
    <row r="1534" ht="14.25" customHeight="1">
      <c r="A1534" s="2" t="s">
        <v>79</v>
      </c>
      <c r="B1534" s="2" t="s">
        <v>80</v>
      </c>
      <c r="C1534" s="2">
        <v>2007.0</v>
      </c>
      <c r="D1534" s="9">
        <v>1099.2015</v>
      </c>
      <c r="E1534" s="10" t="str">
        <f t="array" ref="E1534">IFS(D1534&lt;=$G$3,'calculated data '!$A$3,D1534&lt;=$G$4,'calculated data '!$A$4,D1534&lt;=$G$6,'calculated data '!$A$5,D1534&gt;=$G$6,'calculated data '!$A$6)</f>
        <v>Low Demand Tier</v>
      </c>
      <c r="F1534" s="10">
        <f t="shared" si="1"/>
        <v>-0.634075885</v>
      </c>
    </row>
    <row r="1535" ht="14.25" customHeight="1">
      <c r="A1535" s="2" t="s">
        <v>119</v>
      </c>
      <c r="B1535" s="2" t="s">
        <v>120</v>
      </c>
      <c r="C1535" s="2">
        <v>2010.0</v>
      </c>
      <c r="D1535" s="9">
        <v>1101.5193</v>
      </c>
      <c r="E1535" s="10" t="str">
        <f t="array" ref="E1535">IFS(D1535&lt;=$G$3,'calculated data '!$A$3,D1535&lt;=$G$4,'calculated data '!$A$4,D1535&lt;=$G$6,'calculated data '!$A$5,D1535&gt;=$G$6,'calculated data '!$A$6)</f>
        <v>Low Demand Tier</v>
      </c>
      <c r="F1535" s="10">
        <f t="shared" si="1"/>
        <v>-0.6340145334</v>
      </c>
    </row>
    <row r="1536" ht="14.25" customHeight="1">
      <c r="A1536" s="2" t="s">
        <v>105</v>
      </c>
      <c r="B1536" s="2" t="s">
        <v>106</v>
      </c>
      <c r="C1536" s="2">
        <v>1988.0</v>
      </c>
      <c r="D1536" s="9">
        <v>1101.5476</v>
      </c>
      <c r="E1536" s="10" t="str">
        <f t="array" ref="E1536">IFS(D1536&lt;=$G$3,'calculated data '!$A$3,D1536&lt;=$G$4,'calculated data '!$A$4,D1536&lt;=$G$6,'calculated data '!$A$5,D1536&gt;=$G$6,'calculated data '!$A$6)</f>
        <v>Low Demand Tier</v>
      </c>
      <c r="F1536" s="10">
        <f t="shared" si="1"/>
        <v>-0.6340137843</v>
      </c>
    </row>
    <row r="1537" ht="14.25" customHeight="1">
      <c r="A1537" s="2" t="s">
        <v>127</v>
      </c>
      <c r="B1537" s="2" t="s">
        <v>128</v>
      </c>
      <c r="C1537" s="2">
        <v>1989.0</v>
      </c>
      <c r="D1537" s="9">
        <v>1104.5934</v>
      </c>
      <c r="E1537" s="10" t="str">
        <f t="array" ref="E1537">IFS(D1537&lt;=$G$3,'calculated data '!$A$3,D1537&lt;=$G$4,'calculated data '!$A$4,D1537&lt;=$G$6,'calculated data '!$A$5,D1537&gt;=$G$6,'calculated data '!$A$6)</f>
        <v>Low Demand Tier</v>
      </c>
      <c r="F1537" s="10">
        <f t="shared" si="1"/>
        <v>-0.6339331627</v>
      </c>
    </row>
    <row r="1538" ht="14.25" customHeight="1">
      <c r="A1538" s="2" t="s">
        <v>107</v>
      </c>
      <c r="B1538" s="2" t="s">
        <v>108</v>
      </c>
      <c r="C1538" s="2">
        <v>1996.0</v>
      </c>
      <c r="D1538" s="9">
        <v>1105.3142</v>
      </c>
      <c r="E1538" s="10" t="str">
        <f t="array" ref="E1538">IFS(D1538&lt;=$G$3,'calculated data '!$A$3,D1538&lt;=$G$4,'calculated data '!$A$4,D1538&lt;=$G$6,'calculated data '!$A$5,D1538&gt;=$G$6,'calculated data '!$A$6)</f>
        <v>Low Demand Tier</v>
      </c>
      <c r="F1538" s="10">
        <f t="shared" si="1"/>
        <v>-0.6339140833</v>
      </c>
    </row>
    <row r="1539" ht="14.25" customHeight="1">
      <c r="A1539" s="2" t="s">
        <v>119</v>
      </c>
      <c r="B1539" s="2" t="s">
        <v>120</v>
      </c>
      <c r="C1539" s="2">
        <v>2011.0</v>
      </c>
      <c r="D1539" s="9">
        <v>1108.6844</v>
      </c>
      <c r="E1539" s="10" t="str">
        <f t="array" ref="E1539">IFS(D1539&lt;=$G$3,'calculated data '!$A$3,D1539&lt;=$G$4,'calculated data '!$A$4,D1539&lt;=$G$6,'calculated data '!$A$5,D1539&gt;=$G$6,'calculated data '!$A$6)</f>
        <v>Low Demand Tier</v>
      </c>
      <c r="F1539" s="10">
        <f t="shared" si="1"/>
        <v>-0.633824875</v>
      </c>
    </row>
    <row r="1540" ht="14.25" customHeight="1">
      <c r="A1540" s="2" t="s">
        <v>149</v>
      </c>
      <c r="B1540" s="2" t="s">
        <v>150</v>
      </c>
      <c r="C1540" s="2">
        <v>1982.0</v>
      </c>
      <c r="D1540" s="9">
        <v>1108.7728</v>
      </c>
      <c r="E1540" s="10" t="str">
        <f t="array" ref="E1540">IFS(D1540&lt;=$G$3,'calculated data '!$A$3,D1540&lt;=$G$4,'calculated data '!$A$4,D1540&lt;=$G$6,'calculated data '!$A$5,D1540&gt;=$G$6,'calculated data '!$A$6)</f>
        <v>Low Demand Tier</v>
      </c>
      <c r="F1540" s="10">
        <f t="shared" si="1"/>
        <v>-0.633822535</v>
      </c>
    </row>
    <row r="1541" ht="14.25" customHeight="1">
      <c r="A1541" s="2" t="s">
        <v>107</v>
      </c>
      <c r="B1541" s="2" t="s">
        <v>108</v>
      </c>
      <c r="C1541" s="2">
        <v>1998.0</v>
      </c>
      <c r="D1541" s="9">
        <v>1108.8657</v>
      </c>
      <c r="E1541" s="10" t="str">
        <f t="array" ref="E1541">IFS(D1541&lt;=$G$3,'calculated data '!$A$3,D1541&lt;=$G$4,'calculated data '!$A$4,D1541&lt;=$G$6,'calculated data '!$A$5,D1541&gt;=$G$6,'calculated data '!$A$6)</f>
        <v>Low Demand Tier</v>
      </c>
      <c r="F1541" s="10">
        <f t="shared" si="1"/>
        <v>-0.633820076</v>
      </c>
    </row>
    <row r="1542" ht="14.25" customHeight="1">
      <c r="A1542" s="2" t="s">
        <v>151</v>
      </c>
      <c r="B1542" s="2" t="s">
        <v>152</v>
      </c>
      <c r="C1542" s="2">
        <v>1965.0</v>
      </c>
      <c r="D1542" s="9">
        <v>1109.956</v>
      </c>
      <c r="E1542" s="10" t="str">
        <f t="array" ref="E1542">IFS(D1542&lt;=$G$3,'calculated data '!$A$3,D1542&lt;=$G$4,'calculated data '!$A$4,D1542&lt;=$G$6,'calculated data '!$A$5,D1542&gt;=$G$6,'calculated data '!$A$6)</f>
        <v>Low Demand Tier</v>
      </c>
      <c r="F1542" s="10">
        <f t="shared" si="1"/>
        <v>-0.633791216</v>
      </c>
    </row>
    <row r="1543" ht="14.25" customHeight="1">
      <c r="A1543" s="2" t="s">
        <v>131</v>
      </c>
      <c r="B1543" s="2" t="s">
        <v>132</v>
      </c>
      <c r="C1543" s="2">
        <v>2012.0</v>
      </c>
      <c r="D1543" s="9">
        <v>1111.0767</v>
      </c>
      <c r="E1543" s="10" t="str">
        <f t="array" ref="E1543">IFS(D1543&lt;=$G$3,'calculated data '!$A$3,D1543&lt;=$G$4,'calculated data '!$A$4,D1543&lt;=$G$6,'calculated data '!$A$5,D1543&gt;=$G$6,'calculated data '!$A$6)</f>
        <v>Low Demand Tier</v>
      </c>
      <c r="F1543" s="10">
        <f t="shared" si="1"/>
        <v>-0.6337615514</v>
      </c>
    </row>
    <row r="1544" ht="14.25" customHeight="1">
      <c r="A1544" s="2" t="s">
        <v>65</v>
      </c>
      <c r="B1544" s="2" t="s">
        <v>66</v>
      </c>
      <c r="C1544" s="2">
        <v>2022.0</v>
      </c>
      <c r="D1544" s="9">
        <v>1111.5725</v>
      </c>
      <c r="E1544" s="10" t="str">
        <f t="array" ref="E1544">IFS(D1544&lt;=$G$3,'calculated data '!$A$3,D1544&lt;=$G$4,'calculated data '!$A$4,D1544&lt;=$G$6,'calculated data '!$A$5,D1544&gt;=$G$6,'calculated data '!$A$6)</f>
        <v>Low Demand Tier</v>
      </c>
      <c r="F1544" s="10">
        <f t="shared" si="1"/>
        <v>-0.6337484277</v>
      </c>
    </row>
    <row r="1545" ht="14.25" customHeight="1">
      <c r="A1545" s="2" t="s">
        <v>153</v>
      </c>
      <c r="B1545" s="2" t="s">
        <v>154</v>
      </c>
      <c r="C1545" s="2">
        <v>2003.0</v>
      </c>
      <c r="D1545" s="9">
        <v>1111.7842</v>
      </c>
      <c r="E1545" s="10" t="str">
        <f t="array" ref="E1545">IFS(D1545&lt;=$G$3,'calculated data '!$A$3,D1545&lt;=$G$4,'calculated data '!$A$4,D1545&lt;=$G$6,'calculated data '!$A$5,D1545&gt;=$G$6,'calculated data '!$A$6)</f>
        <v>Low Demand Tier</v>
      </c>
      <c r="F1545" s="10">
        <f t="shared" si="1"/>
        <v>-0.633742824</v>
      </c>
    </row>
    <row r="1546" ht="14.25" customHeight="1">
      <c r="A1546" s="2" t="s">
        <v>21</v>
      </c>
      <c r="B1546" s="2" t="s">
        <v>22</v>
      </c>
      <c r="C1546" s="2">
        <v>2002.0</v>
      </c>
      <c r="D1546" s="9">
        <v>1114.1726</v>
      </c>
      <c r="E1546" s="10" t="str">
        <f t="array" ref="E1546">IFS(D1546&lt;=$G$3,'calculated data '!$A$3,D1546&lt;=$G$4,'calculated data '!$A$4,D1546&lt;=$G$6,'calculated data '!$A$5,D1546&gt;=$G$6,'calculated data '!$A$6)</f>
        <v>Low Demand Tier</v>
      </c>
      <c r="F1546" s="10">
        <f t="shared" si="1"/>
        <v>-0.6336796037</v>
      </c>
    </row>
    <row r="1547" ht="14.25" customHeight="1">
      <c r="A1547" s="2" t="s">
        <v>125</v>
      </c>
      <c r="B1547" s="2" t="s">
        <v>126</v>
      </c>
      <c r="C1547" s="2">
        <v>2017.0</v>
      </c>
      <c r="D1547" s="9">
        <v>1114.258</v>
      </c>
      <c r="E1547" s="10" t="str">
        <f t="array" ref="E1547">IFS(D1547&lt;=$G$3,'calculated data '!$A$3,D1547&lt;=$G$4,'calculated data '!$A$4,D1547&lt;=$G$6,'calculated data '!$A$5,D1547&gt;=$G$6,'calculated data '!$A$6)</f>
        <v>Low Demand Tier</v>
      </c>
      <c r="F1547" s="10">
        <f t="shared" si="1"/>
        <v>-0.6336773432</v>
      </c>
    </row>
    <row r="1548" ht="14.25" customHeight="1">
      <c r="A1548" s="2" t="s">
        <v>119</v>
      </c>
      <c r="B1548" s="2" t="s">
        <v>120</v>
      </c>
      <c r="C1548" s="2">
        <v>2016.0</v>
      </c>
      <c r="D1548" s="9">
        <v>1114.532</v>
      </c>
      <c r="E1548" s="10" t="str">
        <f t="array" ref="E1548">IFS(D1548&lt;=$G$3,'calculated data '!$A$3,D1548&lt;=$G$4,'calculated data '!$A$4,D1548&lt;=$G$6,'calculated data '!$A$5,D1548&gt;=$G$6,'calculated data '!$A$6)</f>
        <v>Low Demand Tier</v>
      </c>
      <c r="F1548" s="10">
        <f t="shared" si="1"/>
        <v>-0.6336700904</v>
      </c>
    </row>
    <row r="1549" ht="14.25" customHeight="1">
      <c r="A1549" s="2" t="s">
        <v>135</v>
      </c>
      <c r="B1549" s="2" t="s">
        <v>136</v>
      </c>
      <c r="C1549" s="2">
        <v>1982.0</v>
      </c>
      <c r="D1549" s="9">
        <v>1115.3868</v>
      </c>
      <c r="E1549" s="10" t="str">
        <f t="array" ref="E1549">IFS(D1549&lt;=$G$3,'calculated data '!$A$3,D1549&lt;=$G$4,'calculated data '!$A$4,D1549&lt;=$G$6,'calculated data '!$A$5,D1549&gt;=$G$6,'calculated data '!$A$6)</f>
        <v>Low Demand Tier</v>
      </c>
      <c r="F1549" s="10">
        <f t="shared" si="1"/>
        <v>-0.6336474641</v>
      </c>
    </row>
    <row r="1550" ht="14.25" customHeight="1">
      <c r="A1550" s="2" t="s">
        <v>151</v>
      </c>
      <c r="B1550" s="2" t="s">
        <v>152</v>
      </c>
      <c r="C1550" s="2">
        <v>1967.0</v>
      </c>
      <c r="D1550" s="9">
        <v>1115.6361</v>
      </c>
      <c r="E1550" s="10" t="str">
        <f t="array" ref="E1550">IFS(D1550&lt;=$G$3,'calculated data '!$A$3,D1550&lt;=$G$4,'calculated data '!$A$4,D1550&lt;=$G$6,'calculated data '!$A$5,D1550&gt;=$G$6,'calculated data '!$A$6)</f>
        <v>Low Demand Tier</v>
      </c>
      <c r="F1550" s="10">
        <f t="shared" si="1"/>
        <v>-0.6336408652</v>
      </c>
    </row>
    <row r="1551" ht="14.25" customHeight="1">
      <c r="A1551" s="2" t="s">
        <v>147</v>
      </c>
      <c r="B1551" s="2" t="s">
        <v>148</v>
      </c>
      <c r="C1551" s="2">
        <v>2004.0</v>
      </c>
      <c r="D1551" s="9">
        <v>1117.7775</v>
      </c>
      <c r="E1551" s="10" t="str">
        <f t="array" ref="E1551">IFS(D1551&lt;=$G$3,'calculated data '!$A$3,D1551&lt;=$G$4,'calculated data '!$A$4,D1551&lt;=$G$6,'calculated data '!$A$5,D1551&gt;=$G$6,'calculated data '!$A$6)</f>
        <v>Low Demand Tier</v>
      </c>
      <c r="F1551" s="10">
        <f t="shared" si="1"/>
        <v>-0.6335841829</v>
      </c>
    </row>
    <row r="1552" ht="14.25" customHeight="1">
      <c r="A1552" s="2" t="s">
        <v>151</v>
      </c>
      <c r="B1552" s="2" t="s">
        <v>152</v>
      </c>
      <c r="C1552" s="2">
        <v>1966.0</v>
      </c>
      <c r="D1552" s="9">
        <v>1118.584</v>
      </c>
      <c r="E1552" s="10" t="str">
        <f t="array" ref="E1552">IFS(D1552&lt;=$G$3,'calculated data '!$A$3,D1552&lt;=$G$4,'calculated data '!$A$4,D1552&lt;=$G$6,'calculated data '!$A$5,D1552&gt;=$G$6,'calculated data '!$A$6)</f>
        <v>Low Demand Tier</v>
      </c>
      <c r="F1552" s="10">
        <f t="shared" si="1"/>
        <v>-0.633562835</v>
      </c>
    </row>
    <row r="1553" ht="14.25" customHeight="1">
      <c r="A1553" s="2" t="s">
        <v>111</v>
      </c>
      <c r="B1553" s="2" t="s">
        <v>112</v>
      </c>
      <c r="C1553" s="2">
        <v>1995.0</v>
      </c>
      <c r="D1553" s="9">
        <v>1119.8226</v>
      </c>
      <c r="E1553" s="10" t="str">
        <f t="array" ref="E1553">IFS(D1553&lt;=$G$3,'calculated data '!$A$3,D1553&lt;=$G$4,'calculated data '!$A$4,D1553&lt;=$G$6,'calculated data '!$A$5,D1553&gt;=$G$6,'calculated data '!$A$6)</f>
        <v>Low Demand Tier</v>
      </c>
      <c r="F1553" s="10">
        <f t="shared" si="1"/>
        <v>-0.6335300496</v>
      </c>
    </row>
    <row r="1554" ht="14.25" customHeight="1">
      <c r="A1554" s="2" t="s">
        <v>147</v>
      </c>
      <c r="B1554" s="2" t="s">
        <v>148</v>
      </c>
      <c r="C1554" s="2">
        <v>1999.0</v>
      </c>
      <c r="D1554" s="9">
        <v>1122.1132</v>
      </c>
      <c r="E1554" s="10" t="str">
        <f t="array" ref="E1554">IFS(D1554&lt;=$G$3,'calculated data '!$A$3,D1554&lt;=$G$4,'calculated data '!$A$4,D1554&lt;=$G$6,'calculated data '!$A$5,D1554&gt;=$G$6,'calculated data '!$A$6)</f>
        <v>Low Demand Tier</v>
      </c>
      <c r="F1554" s="10">
        <f t="shared" si="1"/>
        <v>-0.633469418</v>
      </c>
    </row>
    <row r="1555" ht="14.25" customHeight="1">
      <c r="A1555" s="2" t="s">
        <v>149</v>
      </c>
      <c r="B1555" s="2" t="s">
        <v>150</v>
      </c>
      <c r="C1555" s="2">
        <v>1981.0</v>
      </c>
      <c r="D1555" s="9">
        <v>1122.4886</v>
      </c>
      <c r="E1555" s="10" t="str">
        <f t="array" ref="E1555">IFS(D1555&lt;=$G$3,'calculated data '!$A$3,D1555&lt;=$G$4,'calculated data '!$A$4,D1555&lt;=$G$6,'calculated data '!$A$5,D1555&gt;=$G$6,'calculated data '!$A$6)</f>
        <v>Low Demand Tier</v>
      </c>
      <c r="F1555" s="10">
        <f t="shared" si="1"/>
        <v>-0.6334594812</v>
      </c>
    </row>
    <row r="1556" ht="14.25" customHeight="1">
      <c r="A1556" s="2" t="s">
        <v>147</v>
      </c>
      <c r="B1556" s="2" t="s">
        <v>148</v>
      </c>
      <c r="C1556" s="2">
        <v>2003.0</v>
      </c>
      <c r="D1556" s="9">
        <v>1122.7915</v>
      </c>
      <c r="E1556" s="10" t="str">
        <f t="array" ref="E1556">IFS(D1556&lt;=$G$3,'calculated data '!$A$3,D1556&lt;=$G$4,'calculated data '!$A$4,D1556&lt;=$G$6,'calculated data '!$A$5,D1556&gt;=$G$6,'calculated data '!$A$6)</f>
        <v>Low Demand Tier</v>
      </c>
      <c r="F1556" s="10">
        <f t="shared" si="1"/>
        <v>-0.6334514635</v>
      </c>
    </row>
    <row r="1557" ht="14.25" customHeight="1">
      <c r="A1557" s="2" t="s">
        <v>85</v>
      </c>
      <c r="B1557" s="2" t="s">
        <v>86</v>
      </c>
      <c r="C1557" s="2">
        <v>2013.0</v>
      </c>
      <c r="D1557" s="9">
        <v>1122.8231</v>
      </c>
      <c r="E1557" s="10" t="str">
        <f t="array" ref="E1557">IFS(D1557&lt;=$G$3,'calculated data '!$A$3,D1557&lt;=$G$4,'calculated data '!$A$4,D1557&lt;=$G$6,'calculated data '!$A$5,D1557&gt;=$G$6,'calculated data '!$A$6)</f>
        <v>Low Demand Tier</v>
      </c>
      <c r="F1557" s="10">
        <f t="shared" si="1"/>
        <v>-0.6334506271</v>
      </c>
    </row>
    <row r="1558" ht="14.25" customHeight="1">
      <c r="A1558" s="2" t="s">
        <v>155</v>
      </c>
      <c r="B1558" s="2" t="s">
        <v>156</v>
      </c>
      <c r="C1558" s="2">
        <v>2024.0</v>
      </c>
      <c r="D1558" s="9">
        <v>1122.8696</v>
      </c>
      <c r="E1558" s="10" t="str">
        <f t="array" ref="E1558">IFS(D1558&lt;=$G$3,'calculated data '!$A$3,D1558&lt;=$G$4,'calculated data '!$A$4,D1558&lt;=$G$6,'calculated data '!$A$5,D1558&gt;=$G$6,'calculated data '!$A$6)</f>
        <v>Low Demand Tier</v>
      </c>
      <c r="F1558" s="10">
        <f t="shared" si="1"/>
        <v>-0.6334493962</v>
      </c>
    </row>
    <row r="1559" ht="14.25" customHeight="1">
      <c r="A1559" s="2" t="s">
        <v>21</v>
      </c>
      <c r="B1559" s="2" t="s">
        <v>22</v>
      </c>
      <c r="C1559" s="2">
        <v>2001.0</v>
      </c>
      <c r="D1559" s="9">
        <v>1123.939</v>
      </c>
      <c r="E1559" s="10" t="str">
        <f t="array" ref="E1559">IFS(D1559&lt;=$G$3,'calculated data '!$A$3,D1559&lt;=$G$4,'calculated data '!$A$4,D1559&lt;=$G$6,'calculated data '!$A$5,D1559&gt;=$G$6,'calculated data '!$A$6)</f>
        <v>Low Demand Tier</v>
      </c>
      <c r="F1559" s="10">
        <f t="shared" si="1"/>
        <v>-0.6334210895</v>
      </c>
    </row>
    <row r="1560" ht="14.25" customHeight="1">
      <c r="A1560" s="2" t="s">
        <v>155</v>
      </c>
      <c r="B1560" s="2" t="s">
        <v>156</v>
      </c>
      <c r="C1560" s="2">
        <v>2016.0</v>
      </c>
      <c r="D1560" s="9">
        <v>1125.7749</v>
      </c>
      <c r="E1560" s="10" t="str">
        <f t="array" ref="E1560">IFS(D1560&lt;=$G$3,'calculated data '!$A$3,D1560&lt;=$G$4,'calculated data '!$A$4,D1560&lt;=$G$6,'calculated data '!$A$5,D1560&gt;=$G$6,'calculated data '!$A$6)</f>
        <v>Low Demand Tier</v>
      </c>
      <c r="F1560" s="10">
        <f t="shared" si="1"/>
        <v>-0.6333724937</v>
      </c>
    </row>
    <row r="1561" ht="14.25" customHeight="1">
      <c r="A1561" s="2" t="s">
        <v>155</v>
      </c>
      <c r="B1561" s="2" t="s">
        <v>156</v>
      </c>
      <c r="C1561" s="2">
        <v>2015.0</v>
      </c>
      <c r="D1561" s="9">
        <v>1126.1853</v>
      </c>
      <c r="E1561" s="10" t="str">
        <f t="array" ref="E1561">IFS(D1561&lt;=$G$3,'calculated data '!$A$3,D1561&lt;=$G$4,'calculated data '!$A$4,D1561&lt;=$G$6,'calculated data '!$A$5,D1561&gt;=$G$6,'calculated data '!$A$6)</f>
        <v>Low Demand Tier</v>
      </c>
      <c r="F1561" s="10">
        <f t="shared" si="1"/>
        <v>-0.6333616305</v>
      </c>
    </row>
    <row r="1562" ht="14.25" customHeight="1">
      <c r="A1562" s="2" t="s">
        <v>155</v>
      </c>
      <c r="B1562" s="2" t="s">
        <v>156</v>
      </c>
      <c r="C1562" s="2">
        <v>2023.0</v>
      </c>
      <c r="D1562" s="9">
        <v>1127.9622</v>
      </c>
      <c r="E1562" s="10" t="str">
        <f t="array" ref="E1562">IFS(D1562&lt;=$G$3,'calculated data '!$A$3,D1562&lt;=$G$4,'calculated data '!$A$4,D1562&lt;=$G$6,'calculated data '!$A$5,D1562&gt;=$G$6,'calculated data '!$A$6)</f>
        <v>Low Demand Tier</v>
      </c>
      <c r="F1562" s="10">
        <f t="shared" si="1"/>
        <v>-0.6333145964</v>
      </c>
    </row>
    <row r="1563" ht="14.25" customHeight="1">
      <c r="A1563" s="2" t="s">
        <v>125</v>
      </c>
      <c r="B1563" s="2" t="s">
        <v>126</v>
      </c>
      <c r="C1563" s="2">
        <v>2008.0</v>
      </c>
      <c r="D1563" s="9">
        <v>1128.0261</v>
      </c>
      <c r="E1563" s="10" t="str">
        <f t="array" ref="E1563">IFS(D1563&lt;=$G$3,'calculated data '!$A$3,D1563&lt;=$G$4,'calculated data '!$A$4,D1563&lt;=$G$6,'calculated data '!$A$5,D1563&gt;=$G$6,'calculated data '!$A$6)</f>
        <v>Low Demand Tier</v>
      </c>
      <c r="F1563" s="10">
        <f t="shared" si="1"/>
        <v>-0.633312905</v>
      </c>
    </row>
    <row r="1564" ht="14.25" customHeight="1">
      <c r="A1564" s="2" t="s">
        <v>107</v>
      </c>
      <c r="B1564" s="2" t="s">
        <v>108</v>
      </c>
      <c r="C1564" s="2">
        <v>1997.0</v>
      </c>
      <c r="D1564" s="9">
        <v>1129.7273</v>
      </c>
      <c r="E1564" s="10" t="str">
        <f t="array" ref="E1564">IFS(D1564&lt;=$G$3,'calculated data '!$A$3,D1564&lt;=$G$4,'calculated data '!$A$4,D1564&lt;=$G$6,'calculated data '!$A$5,D1564&gt;=$G$6,'calculated data '!$A$6)</f>
        <v>Low Demand Tier</v>
      </c>
      <c r="F1564" s="10">
        <f t="shared" si="1"/>
        <v>-0.6332678746</v>
      </c>
    </row>
    <row r="1565" ht="14.25" customHeight="1">
      <c r="A1565" s="2" t="s">
        <v>87</v>
      </c>
      <c r="B1565" s="2" t="s">
        <v>88</v>
      </c>
      <c r="C1565" s="2">
        <v>2005.0</v>
      </c>
      <c r="D1565" s="9">
        <v>1129.9818</v>
      </c>
      <c r="E1565" s="10" t="str">
        <f t="array" ref="E1565">IFS(D1565&lt;=$G$3,'calculated data '!$A$3,D1565&lt;=$G$4,'calculated data '!$A$4,D1565&lt;=$G$6,'calculated data '!$A$5,D1565&gt;=$G$6,'calculated data '!$A$6)</f>
        <v>Low Demand Tier</v>
      </c>
      <c r="F1565" s="10">
        <f t="shared" si="1"/>
        <v>-0.6332611381</v>
      </c>
    </row>
    <row r="1566" ht="14.25" customHeight="1">
      <c r="A1566" s="2" t="s">
        <v>95</v>
      </c>
      <c r="B1566" s="2" t="s">
        <v>96</v>
      </c>
      <c r="C1566" s="2">
        <v>2014.0</v>
      </c>
      <c r="D1566" s="9">
        <v>1131.3077</v>
      </c>
      <c r="E1566" s="10" t="str">
        <f t="array" ref="E1566">IFS(D1566&lt;=$G$3,'calculated data '!$A$3,D1566&lt;=$G$4,'calculated data '!$A$4,D1566&lt;=$G$6,'calculated data '!$A$5,D1566&gt;=$G$6,'calculated data '!$A$6)</f>
        <v>Low Demand Tier</v>
      </c>
      <c r="F1566" s="10">
        <f t="shared" si="1"/>
        <v>-0.6332260418</v>
      </c>
    </row>
    <row r="1567" ht="14.25" customHeight="1">
      <c r="A1567" s="2" t="s">
        <v>149</v>
      </c>
      <c r="B1567" s="2" t="s">
        <v>150</v>
      </c>
      <c r="C1567" s="2">
        <v>1980.0</v>
      </c>
      <c r="D1567" s="9">
        <v>1137.1019</v>
      </c>
      <c r="E1567" s="10" t="str">
        <f t="array" ref="E1567">IFS(D1567&lt;=$G$3,'calculated data '!$A$3,D1567&lt;=$G$4,'calculated data '!$A$4,D1567&lt;=$G$6,'calculated data '!$A$5,D1567&gt;=$G$6,'calculated data '!$A$6)</f>
        <v>Low Demand Tier</v>
      </c>
      <c r="F1567" s="10">
        <f t="shared" si="1"/>
        <v>-0.6330726708</v>
      </c>
    </row>
    <row r="1568" ht="14.25" customHeight="1">
      <c r="A1568" s="2" t="s">
        <v>79</v>
      </c>
      <c r="B1568" s="2" t="s">
        <v>80</v>
      </c>
      <c r="C1568" s="2">
        <v>2008.0</v>
      </c>
      <c r="D1568" s="9">
        <v>1137.1718</v>
      </c>
      <c r="E1568" s="10" t="str">
        <f t="array" ref="E1568">IFS(D1568&lt;=$G$3,'calculated data '!$A$3,D1568&lt;=$G$4,'calculated data '!$A$4,D1568&lt;=$G$6,'calculated data '!$A$5,D1568&gt;=$G$6,'calculated data '!$A$6)</f>
        <v>Low Demand Tier</v>
      </c>
      <c r="F1568" s="10">
        <f t="shared" si="1"/>
        <v>-0.6330708206</v>
      </c>
    </row>
    <row r="1569" ht="14.25" customHeight="1">
      <c r="A1569" s="2" t="s">
        <v>51</v>
      </c>
      <c r="B1569" s="2" t="s">
        <v>52</v>
      </c>
      <c r="C1569" s="2">
        <v>1993.0</v>
      </c>
      <c r="D1569" s="9">
        <v>1137.2329</v>
      </c>
      <c r="E1569" s="10" t="str">
        <f t="array" ref="E1569">IFS(D1569&lt;=$G$3,'calculated data '!$A$3,D1569&lt;=$G$4,'calculated data '!$A$4,D1569&lt;=$G$6,'calculated data '!$A$5,D1569&gt;=$G$6,'calculated data '!$A$6)</f>
        <v>Low Demand Tier</v>
      </c>
      <c r="F1569" s="10">
        <f t="shared" si="1"/>
        <v>-0.6330692033</v>
      </c>
    </row>
    <row r="1570" ht="14.25" customHeight="1">
      <c r="A1570" s="2" t="s">
        <v>107</v>
      </c>
      <c r="B1570" s="2" t="s">
        <v>108</v>
      </c>
      <c r="C1570" s="2">
        <v>1991.0</v>
      </c>
      <c r="D1570" s="9">
        <v>1137.3623</v>
      </c>
      <c r="E1570" s="10" t="str">
        <f t="array" ref="E1570">IFS(D1570&lt;=$G$3,'calculated data '!$A$3,D1570&lt;=$G$4,'calculated data '!$A$4,D1570&lt;=$G$6,'calculated data '!$A$5,D1570&gt;=$G$6,'calculated data '!$A$6)</f>
        <v>Low Demand Tier</v>
      </c>
      <c r="F1570" s="10">
        <f t="shared" si="1"/>
        <v>-0.6330657781</v>
      </c>
    </row>
    <row r="1571" ht="14.25" customHeight="1">
      <c r="A1571" s="2" t="s">
        <v>135</v>
      </c>
      <c r="B1571" s="2" t="s">
        <v>136</v>
      </c>
      <c r="C1571" s="2">
        <v>1991.0</v>
      </c>
      <c r="D1571" s="9">
        <v>1139.6304</v>
      </c>
      <c r="E1571" s="10" t="str">
        <f t="array" ref="E1571">IFS(D1571&lt;=$G$3,'calculated data '!$A$3,D1571&lt;=$G$4,'calculated data '!$A$4,D1571&lt;=$G$6,'calculated data '!$A$5,D1571&gt;=$G$6,'calculated data '!$A$6)</f>
        <v>Low Demand Tier</v>
      </c>
      <c r="F1571" s="10">
        <f t="shared" si="1"/>
        <v>-0.633005742</v>
      </c>
    </row>
    <row r="1572" ht="14.25" customHeight="1">
      <c r="A1572" s="2" t="s">
        <v>147</v>
      </c>
      <c r="B1572" s="2" t="s">
        <v>148</v>
      </c>
      <c r="C1572" s="2">
        <v>2000.0</v>
      </c>
      <c r="D1572" s="9">
        <v>1139.7949</v>
      </c>
      <c r="E1572" s="10" t="str">
        <f t="array" ref="E1572">IFS(D1572&lt;=$G$3,'calculated data '!$A$3,D1572&lt;=$G$4,'calculated data '!$A$4,D1572&lt;=$G$6,'calculated data '!$A$5,D1572&gt;=$G$6,'calculated data '!$A$6)</f>
        <v>Low Demand Tier</v>
      </c>
      <c r="F1572" s="10">
        <f t="shared" si="1"/>
        <v>-0.6330013878</v>
      </c>
    </row>
    <row r="1573" ht="14.25" customHeight="1">
      <c r="A1573" s="2" t="s">
        <v>65</v>
      </c>
      <c r="B1573" s="2" t="s">
        <v>66</v>
      </c>
      <c r="C1573" s="2">
        <v>2010.0</v>
      </c>
      <c r="D1573" s="9">
        <v>1139.9874</v>
      </c>
      <c r="E1573" s="10" t="str">
        <f t="array" ref="E1573">IFS(D1573&lt;=$G$3,'calculated data '!$A$3,D1573&lt;=$G$4,'calculated data '!$A$4,D1573&lt;=$G$6,'calculated data '!$A$5,D1573&gt;=$G$6,'calculated data '!$A$6)</f>
        <v>Low Demand Tier</v>
      </c>
      <c r="F1573" s="10">
        <f t="shared" si="1"/>
        <v>-0.6329962923</v>
      </c>
    </row>
    <row r="1574" ht="14.25" customHeight="1">
      <c r="A1574" s="2" t="s">
        <v>133</v>
      </c>
      <c r="B1574" s="2" t="s">
        <v>134</v>
      </c>
      <c r="C1574" s="2">
        <v>1988.0</v>
      </c>
      <c r="D1574" s="9">
        <v>1141.1118</v>
      </c>
      <c r="E1574" s="10" t="str">
        <f t="array" ref="E1574">IFS(D1574&lt;=$G$3,'calculated data '!$A$3,D1574&lt;=$G$4,'calculated data '!$A$4,D1574&lt;=$G$6,'calculated data '!$A$5,D1574&gt;=$G$6,'calculated data '!$A$6)</f>
        <v>Low Demand Tier</v>
      </c>
      <c r="F1574" s="10">
        <f t="shared" si="1"/>
        <v>-0.6329665298</v>
      </c>
    </row>
    <row r="1575" ht="14.25" customHeight="1">
      <c r="A1575" s="2" t="s">
        <v>113</v>
      </c>
      <c r="B1575" s="2" t="s">
        <v>114</v>
      </c>
      <c r="C1575" s="2">
        <v>2003.0</v>
      </c>
      <c r="D1575" s="9">
        <v>1146.0956</v>
      </c>
      <c r="E1575" s="10" t="str">
        <f t="array" ref="E1575">IFS(D1575&lt;=$G$3,'calculated data '!$A$3,D1575&lt;=$G$4,'calculated data '!$A$4,D1575&lt;=$G$6,'calculated data '!$A$5,D1575&gt;=$G$6,'calculated data '!$A$6)</f>
        <v>Low Demand Tier</v>
      </c>
      <c r="F1575" s="10">
        <f t="shared" si="1"/>
        <v>-0.6328346098</v>
      </c>
    </row>
    <row r="1576" ht="14.25" customHeight="1">
      <c r="A1576" s="2" t="s">
        <v>61</v>
      </c>
      <c r="B1576" s="2" t="s">
        <v>62</v>
      </c>
      <c r="C1576" s="2">
        <v>2019.0</v>
      </c>
      <c r="D1576" s="9">
        <v>1148.2313</v>
      </c>
      <c r="E1576" s="10" t="str">
        <f t="array" ref="E1576">IFS(D1576&lt;=$G$3,'calculated data '!$A$3,D1576&lt;=$G$4,'calculated data '!$A$4,D1576&lt;=$G$6,'calculated data '!$A$5,D1576&gt;=$G$6,'calculated data '!$A$6)</f>
        <v>Low Demand Tier</v>
      </c>
      <c r="F1576" s="10">
        <f t="shared" si="1"/>
        <v>-0.6327780784</v>
      </c>
    </row>
    <row r="1577" ht="14.25" customHeight="1">
      <c r="A1577" s="2" t="s">
        <v>153</v>
      </c>
      <c r="B1577" s="2" t="s">
        <v>154</v>
      </c>
      <c r="C1577" s="2">
        <v>1997.0</v>
      </c>
      <c r="D1577" s="9">
        <v>1152.6382</v>
      </c>
      <c r="E1577" s="10" t="str">
        <f t="array" ref="E1577">IFS(D1577&lt;=$G$3,'calculated data '!$A$3,D1577&lt;=$G$4,'calculated data '!$A$4,D1577&lt;=$G$6,'calculated data '!$A$5,D1577&gt;=$G$6,'calculated data '!$A$6)</f>
        <v>Low Demand Tier</v>
      </c>
      <c r="F1577" s="10">
        <f t="shared" si="1"/>
        <v>-0.6326614288</v>
      </c>
    </row>
    <row r="1578" ht="14.25" customHeight="1">
      <c r="A1578" s="2" t="s">
        <v>135</v>
      </c>
      <c r="B1578" s="2" t="s">
        <v>136</v>
      </c>
      <c r="C1578" s="2">
        <v>1990.0</v>
      </c>
      <c r="D1578" s="9">
        <v>1153.1389</v>
      </c>
      <c r="E1578" s="10" t="str">
        <f t="array" ref="E1578">IFS(D1578&lt;=$G$3,'calculated data '!$A$3,D1578&lt;=$G$4,'calculated data '!$A$4,D1578&lt;=$G$6,'calculated data '!$A$5,D1578&gt;=$G$6,'calculated data '!$A$6)</f>
        <v>Low Demand Tier</v>
      </c>
      <c r="F1578" s="10">
        <f t="shared" si="1"/>
        <v>-0.6326481754</v>
      </c>
    </row>
    <row r="1579" ht="14.25" customHeight="1">
      <c r="A1579" s="2" t="s">
        <v>85</v>
      </c>
      <c r="B1579" s="2" t="s">
        <v>86</v>
      </c>
      <c r="C1579" s="2">
        <v>2019.0</v>
      </c>
      <c r="D1579" s="9">
        <v>1154.261</v>
      </c>
      <c r="E1579" s="10" t="str">
        <f t="array" ref="E1579">IFS(D1579&lt;=$G$3,'calculated data '!$A$3,D1579&lt;=$G$4,'calculated data '!$A$4,D1579&lt;=$G$6,'calculated data '!$A$5,D1579&gt;=$G$6,'calculated data '!$A$6)</f>
        <v>Low Demand Tier</v>
      </c>
      <c r="F1579" s="10">
        <f t="shared" si="1"/>
        <v>-0.6326184737</v>
      </c>
    </row>
    <row r="1580" ht="14.25" customHeight="1">
      <c r="A1580" s="2" t="s">
        <v>103</v>
      </c>
      <c r="B1580" s="2" t="s">
        <v>104</v>
      </c>
      <c r="C1580" s="2">
        <v>2024.0</v>
      </c>
      <c r="D1580" s="9">
        <v>1154.9879</v>
      </c>
      <c r="E1580" s="10" t="str">
        <f t="array" ref="E1580">IFS(D1580&lt;=$G$3,'calculated data '!$A$3,D1580&lt;=$G$4,'calculated data '!$A$4,D1580&lt;=$G$6,'calculated data '!$A$5,D1580&gt;=$G$6,'calculated data '!$A$6)</f>
        <v>Low Demand Tier</v>
      </c>
      <c r="F1580" s="10">
        <f t="shared" si="1"/>
        <v>-0.6325992328</v>
      </c>
    </row>
    <row r="1581" ht="14.25" customHeight="1">
      <c r="A1581" s="2" t="s">
        <v>117</v>
      </c>
      <c r="B1581" s="2" t="s">
        <v>118</v>
      </c>
      <c r="C1581" s="2">
        <v>2000.0</v>
      </c>
      <c r="D1581" s="9">
        <v>1155.8561</v>
      </c>
      <c r="E1581" s="10" t="str">
        <f t="array" ref="E1581">IFS(D1581&lt;=$G$3,'calculated data '!$A$3,D1581&lt;=$G$4,'calculated data '!$A$4,D1581&lt;=$G$6,'calculated data '!$A$5,D1581&gt;=$G$6,'calculated data '!$A$6)</f>
        <v>Low Demand Tier</v>
      </c>
      <c r="F1581" s="10">
        <f t="shared" si="1"/>
        <v>-0.6325762518</v>
      </c>
    </row>
    <row r="1582" ht="14.25" customHeight="1">
      <c r="A1582" s="2" t="s">
        <v>153</v>
      </c>
      <c r="B1582" s="2" t="s">
        <v>154</v>
      </c>
      <c r="C1582" s="2">
        <v>1991.0</v>
      </c>
      <c r="D1582" s="9">
        <v>1159.7443</v>
      </c>
      <c r="E1582" s="10" t="str">
        <f t="array" ref="E1582">IFS(D1582&lt;=$G$3,'calculated data '!$A$3,D1582&lt;=$G$4,'calculated data '!$A$4,D1582&lt;=$G$6,'calculated data '!$A$5,D1582&gt;=$G$6,'calculated data '!$A$6)</f>
        <v>Low Demand Tier</v>
      </c>
      <c r="F1582" s="10">
        <f t="shared" si="1"/>
        <v>-0.6324733321</v>
      </c>
    </row>
    <row r="1583" ht="14.25" customHeight="1">
      <c r="A1583" s="2" t="s">
        <v>21</v>
      </c>
      <c r="B1583" s="2" t="s">
        <v>22</v>
      </c>
      <c r="C1583" s="2">
        <v>2003.0</v>
      </c>
      <c r="D1583" s="9">
        <v>1161.0491</v>
      </c>
      <c r="E1583" s="10" t="str">
        <f t="array" ref="E1583">IFS(D1583&lt;=$G$3,'calculated data '!$A$3,D1583&lt;=$G$4,'calculated data '!$A$4,D1583&lt;=$G$6,'calculated data '!$A$5,D1583&gt;=$G$6,'calculated data '!$A$6)</f>
        <v>Low Demand Tier</v>
      </c>
      <c r="F1583" s="10">
        <f t="shared" si="1"/>
        <v>-0.6324387944</v>
      </c>
    </row>
    <row r="1584" ht="14.25" customHeight="1">
      <c r="A1584" s="2" t="s">
        <v>157</v>
      </c>
      <c r="B1584" s="2" t="s">
        <v>158</v>
      </c>
      <c r="C1584" s="2">
        <v>1989.0</v>
      </c>
      <c r="D1584" s="9">
        <v>1161.2847</v>
      </c>
      <c r="E1584" s="10" t="str">
        <f t="array" ref="E1584">IFS(D1584&lt;=$G$3,'calculated data '!$A$3,D1584&lt;=$G$4,'calculated data '!$A$4,D1584&lt;=$G$6,'calculated data '!$A$5,D1584&gt;=$G$6,'calculated data '!$A$6)</f>
        <v>Low Demand Tier</v>
      </c>
      <c r="F1584" s="10">
        <f t="shared" si="1"/>
        <v>-0.6324325581</v>
      </c>
    </row>
    <row r="1585" ht="14.25" customHeight="1">
      <c r="A1585" s="2" t="s">
        <v>107</v>
      </c>
      <c r="B1585" s="2" t="s">
        <v>108</v>
      </c>
      <c r="C1585" s="2">
        <v>1990.0</v>
      </c>
      <c r="D1585" s="9">
        <v>1161.8481</v>
      </c>
      <c r="E1585" s="10" t="str">
        <f t="array" ref="E1585">IFS(D1585&lt;=$G$3,'calculated data '!$A$3,D1585&lt;=$G$4,'calculated data '!$A$4,D1585&lt;=$G$6,'calculated data '!$A$5,D1585&gt;=$G$6,'calculated data '!$A$6)</f>
        <v>Low Demand Tier</v>
      </c>
      <c r="F1585" s="10">
        <f t="shared" si="1"/>
        <v>-0.6324176451</v>
      </c>
    </row>
    <row r="1586" ht="14.25" customHeight="1">
      <c r="A1586" s="2" t="s">
        <v>159</v>
      </c>
      <c r="B1586" s="2" t="s">
        <v>160</v>
      </c>
      <c r="C1586" s="2">
        <v>1965.0</v>
      </c>
      <c r="D1586" s="9">
        <v>1162.2427</v>
      </c>
      <c r="E1586" s="10" t="str">
        <f t="array" ref="E1586">IFS(D1586&lt;=$G$3,'calculated data '!$A$3,D1586&lt;=$G$4,'calculated data '!$A$4,D1586&lt;=$G$6,'calculated data '!$A$5,D1586&gt;=$G$6,'calculated data '!$A$6)</f>
        <v>Low Demand Tier</v>
      </c>
      <c r="F1586" s="10">
        <f t="shared" si="1"/>
        <v>-0.6324072001</v>
      </c>
    </row>
    <row r="1587" ht="14.25" customHeight="1">
      <c r="A1587" s="2" t="s">
        <v>59</v>
      </c>
      <c r="B1587" s="2" t="s">
        <v>60</v>
      </c>
      <c r="C1587" s="2">
        <v>2016.0</v>
      </c>
      <c r="D1587" s="9">
        <v>1162.2872</v>
      </c>
      <c r="E1587" s="10" t="str">
        <f t="array" ref="E1587">IFS(D1587&lt;=$G$3,'calculated data '!$A$3,D1587&lt;=$G$4,'calculated data '!$A$4,D1587&lt;=$G$6,'calculated data '!$A$5,D1587&gt;=$G$6,'calculated data '!$A$6)</f>
        <v>Low Demand Tier</v>
      </c>
      <c r="F1587" s="10">
        <f t="shared" si="1"/>
        <v>-0.6324060222</v>
      </c>
    </row>
    <row r="1588" ht="14.25" customHeight="1">
      <c r="A1588" s="2" t="s">
        <v>161</v>
      </c>
      <c r="B1588" s="2" t="s">
        <v>162</v>
      </c>
      <c r="C1588" s="2">
        <v>1999.0</v>
      </c>
      <c r="D1588" s="9">
        <v>1162.6942</v>
      </c>
      <c r="E1588" s="10" t="str">
        <f t="array" ref="E1588">IFS(D1588&lt;=$G$3,'calculated data '!$A$3,D1588&lt;=$G$4,'calculated data '!$A$4,D1588&lt;=$G$6,'calculated data '!$A$5,D1588&gt;=$G$6,'calculated data '!$A$6)</f>
        <v>Low Demand Tier</v>
      </c>
      <c r="F1588" s="10">
        <f t="shared" si="1"/>
        <v>-0.632395249</v>
      </c>
    </row>
    <row r="1589" ht="14.25" customHeight="1">
      <c r="A1589" s="2" t="s">
        <v>103</v>
      </c>
      <c r="B1589" s="2" t="s">
        <v>104</v>
      </c>
      <c r="C1589" s="2">
        <v>2022.0</v>
      </c>
      <c r="D1589" s="9">
        <v>1165.2318</v>
      </c>
      <c r="E1589" s="10" t="str">
        <f t="array" ref="E1589">IFS(D1589&lt;=$G$3,'calculated data '!$A$3,D1589&lt;=$G$4,'calculated data '!$A$4,D1589&lt;=$G$6,'calculated data '!$A$5,D1589&gt;=$G$6,'calculated data '!$A$6)</f>
        <v>Low Demand Tier</v>
      </c>
      <c r="F1589" s="10">
        <f t="shared" si="1"/>
        <v>-0.6323280794</v>
      </c>
    </row>
    <row r="1590" ht="14.25" customHeight="1">
      <c r="A1590" s="2" t="s">
        <v>151</v>
      </c>
      <c r="B1590" s="2" t="s">
        <v>152</v>
      </c>
      <c r="C1590" s="2">
        <v>1968.0</v>
      </c>
      <c r="D1590" s="9">
        <v>1165.7496</v>
      </c>
      <c r="E1590" s="10" t="str">
        <f t="array" ref="E1590">IFS(D1590&lt;=$G$3,'calculated data '!$A$3,D1590&lt;=$G$4,'calculated data '!$A$4,D1590&lt;=$G$6,'calculated data '!$A$5,D1590&gt;=$G$6,'calculated data '!$A$6)</f>
        <v>Low Demand Tier</v>
      </c>
      <c r="F1590" s="10">
        <f t="shared" si="1"/>
        <v>-0.6323143733</v>
      </c>
    </row>
    <row r="1591" ht="14.25" customHeight="1">
      <c r="A1591" s="2" t="s">
        <v>157</v>
      </c>
      <c r="B1591" s="2" t="s">
        <v>158</v>
      </c>
      <c r="C1591" s="2">
        <v>1985.0</v>
      </c>
      <c r="D1591" s="9">
        <v>1166.5763</v>
      </c>
      <c r="E1591" s="10" t="str">
        <f t="array" ref="E1591">IFS(D1591&lt;=$G$3,'calculated data '!$A$3,D1591&lt;=$G$4,'calculated data '!$A$4,D1591&lt;=$G$6,'calculated data '!$A$5,D1591&gt;=$G$6,'calculated data '!$A$6)</f>
        <v>Low Demand Tier</v>
      </c>
      <c r="F1591" s="10">
        <f t="shared" si="1"/>
        <v>-0.6322924908</v>
      </c>
    </row>
    <row r="1592" ht="14.25" customHeight="1">
      <c r="A1592" s="2" t="s">
        <v>151</v>
      </c>
      <c r="B1592" s="2" t="s">
        <v>152</v>
      </c>
      <c r="C1592" s="2">
        <v>1970.0</v>
      </c>
      <c r="D1592" s="9">
        <v>1168.1866</v>
      </c>
      <c r="E1592" s="10" t="str">
        <f t="array" ref="E1592">IFS(D1592&lt;=$G$3,'calculated data '!$A$3,D1592&lt;=$G$4,'calculated data '!$A$4,D1592&lt;=$G$6,'calculated data '!$A$5,D1592&gt;=$G$6,'calculated data '!$A$6)</f>
        <v>Low Demand Tier</v>
      </c>
      <c r="F1592" s="10">
        <f t="shared" si="1"/>
        <v>-0.6322498665</v>
      </c>
    </row>
    <row r="1593" ht="14.25" customHeight="1">
      <c r="A1593" s="2" t="s">
        <v>103</v>
      </c>
      <c r="B1593" s="2" t="s">
        <v>104</v>
      </c>
      <c r="C1593" s="2">
        <v>2023.0</v>
      </c>
      <c r="D1593" s="9">
        <v>1169.3898</v>
      </c>
      <c r="E1593" s="10" t="str">
        <f t="array" ref="E1593">IFS(D1593&lt;=$G$3,'calculated data '!$A$3,D1593&lt;=$G$4,'calculated data '!$A$4,D1593&lt;=$G$6,'calculated data '!$A$5,D1593&gt;=$G$6,'calculated data '!$A$6)</f>
        <v>Low Demand Tier</v>
      </c>
      <c r="F1593" s="10">
        <f t="shared" si="1"/>
        <v>-0.6322180181</v>
      </c>
    </row>
    <row r="1594" ht="14.25" customHeight="1">
      <c r="A1594" s="2" t="s">
        <v>163</v>
      </c>
      <c r="B1594" s="2" t="s">
        <v>164</v>
      </c>
      <c r="C1594" s="2">
        <v>1986.0</v>
      </c>
      <c r="D1594" s="9">
        <v>1169.8849</v>
      </c>
      <c r="E1594" s="10" t="str">
        <f t="array" ref="E1594">IFS(D1594&lt;=$G$3,'calculated data '!$A$3,D1594&lt;=$G$4,'calculated data '!$A$4,D1594&lt;=$G$6,'calculated data '!$A$5,D1594&gt;=$G$6,'calculated data '!$A$6)</f>
        <v>Low Demand Tier</v>
      </c>
      <c r="F1594" s="10">
        <f t="shared" si="1"/>
        <v>-0.632204913</v>
      </c>
    </row>
    <row r="1595" ht="14.25" customHeight="1">
      <c r="A1595" s="2" t="s">
        <v>111</v>
      </c>
      <c r="B1595" s="2" t="s">
        <v>112</v>
      </c>
      <c r="C1595" s="2">
        <v>1994.0</v>
      </c>
      <c r="D1595" s="9">
        <v>1170.5533</v>
      </c>
      <c r="E1595" s="10" t="str">
        <f t="array" ref="E1595">IFS(D1595&lt;=$G$3,'calculated data '!$A$3,D1595&lt;=$G$4,'calculated data '!$A$4,D1595&lt;=$G$6,'calculated data '!$A$5,D1595&gt;=$G$6,'calculated data '!$A$6)</f>
        <v>Low Demand Tier</v>
      </c>
      <c r="F1595" s="10">
        <f t="shared" si="1"/>
        <v>-0.6321872206</v>
      </c>
    </row>
    <row r="1596" ht="14.25" customHeight="1">
      <c r="A1596" s="2" t="s">
        <v>107</v>
      </c>
      <c r="B1596" s="2" t="s">
        <v>108</v>
      </c>
      <c r="C1596" s="2">
        <v>1992.0</v>
      </c>
      <c r="D1596" s="9">
        <v>1173.178</v>
      </c>
      <c r="E1596" s="10" t="str">
        <f t="array" ref="E1596">IFS(D1596&lt;=$G$3,'calculated data '!$A$3,D1596&lt;=$G$4,'calculated data '!$A$4,D1596&lt;=$G$6,'calculated data '!$A$5,D1596&gt;=$G$6,'calculated data '!$A$6)</f>
        <v>Low Demand Tier</v>
      </c>
      <c r="F1596" s="10">
        <f t="shared" si="1"/>
        <v>-0.6321177454</v>
      </c>
    </row>
    <row r="1597" ht="14.25" customHeight="1">
      <c r="A1597" s="2" t="s">
        <v>87</v>
      </c>
      <c r="B1597" s="2" t="s">
        <v>88</v>
      </c>
      <c r="C1597" s="2">
        <v>2006.0</v>
      </c>
      <c r="D1597" s="9">
        <v>1175.1132</v>
      </c>
      <c r="E1597" s="10" t="str">
        <f t="array" ref="E1597">IFS(D1597&lt;=$G$3,'calculated data '!$A$3,D1597&lt;=$G$4,'calculated data '!$A$4,D1597&lt;=$G$6,'calculated data '!$A$5,D1597&gt;=$G$6,'calculated data '!$A$6)</f>
        <v>Low Demand Tier</v>
      </c>
      <c r="F1597" s="10">
        <f t="shared" si="1"/>
        <v>-0.6320665212</v>
      </c>
    </row>
    <row r="1598" ht="14.25" customHeight="1">
      <c r="A1598" s="2" t="s">
        <v>109</v>
      </c>
      <c r="B1598" s="2" t="s">
        <v>110</v>
      </c>
      <c r="C1598" s="2">
        <v>2016.0</v>
      </c>
      <c r="D1598" s="9">
        <v>1175.4808</v>
      </c>
      <c r="E1598" s="10" t="str">
        <f t="array" ref="E1598">IFS(D1598&lt;=$G$3,'calculated data '!$A$3,D1598&lt;=$G$4,'calculated data '!$A$4,D1598&lt;=$G$6,'calculated data '!$A$5,D1598&gt;=$G$6,'calculated data '!$A$6)</f>
        <v>Low Demand Tier</v>
      </c>
      <c r="F1598" s="10">
        <f t="shared" si="1"/>
        <v>-0.6320567909</v>
      </c>
    </row>
    <row r="1599" ht="14.25" customHeight="1">
      <c r="A1599" s="2" t="s">
        <v>107</v>
      </c>
      <c r="B1599" s="2" t="s">
        <v>108</v>
      </c>
      <c r="C1599" s="2">
        <v>1995.0</v>
      </c>
      <c r="D1599" s="9">
        <v>1175.7253</v>
      </c>
      <c r="E1599" s="10" t="str">
        <f t="array" ref="E1599">IFS(D1599&lt;=$G$3,'calculated data '!$A$3,D1599&lt;=$G$4,'calculated data '!$A$4,D1599&lt;=$G$6,'calculated data '!$A$5,D1599&gt;=$G$6,'calculated data '!$A$6)</f>
        <v>Low Demand Tier</v>
      </c>
      <c r="F1599" s="10">
        <f t="shared" si="1"/>
        <v>-0.632050319</v>
      </c>
    </row>
    <row r="1600" ht="14.25" customHeight="1">
      <c r="A1600" s="2" t="s">
        <v>127</v>
      </c>
      <c r="B1600" s="2" t="s">
        <v>128</v>
      </c>
      <c r="C1600" s="2">
        <v>1999.0</v>
      </c>
      <c r="D1600" s="9">
        <v>1175.9834</v>
      </c>
      <c r="E1600" s="10" t="str">
        <f t="array" ref="E1600">IFS(D1600&lt;=$G$3,'calculated data '!$A$3,D1600&lt;=$G$4,'calculated data '!$A$4,D1600&lt;=$G$6,'calculated data '!$A$5,D1600&gt;=$G$6,'calculated data '!$A$6)</f>
        <v>Low Demand Tier</v>
      </c>
      <c r="F1600" s="10">
        <f t="shared" si="1"/>
        <v>-0.6320434872</v>
      </c>
    </row>
    <row r="1601" ht="14.25" customHeight="1">
      <c r="A1601" s="2" t="s">
        <v>155</v>
      </c>
      <c r="B1601" s="2" t="s">
        <v>156</v>
      </c>
      <c r="C1601" s="2">
        <v>2022.0</v>
      </c>
      <c r="D1601" s="9">
        <v>1176.1962</v>
      </c>
      <c r="E1601" s="10" t="str">
        <f t="array" ref="E1601">IFS(D1601&lt;=$G$3,'calculated data '!$A$3,D1601&lt;=$G$4,'calculated data '!$A$4,D1601&lt;=$G$6,'calculated data '!$A$5,D1601&gt;=$G$6,'calculated data '!$A$6)</f>
        <v>Low Demand Tier</v>
      </c>
      <c r="F1601" s="10">
        <f t="shared" si="1"/>
        <v>-0.6320378544</v>
      </c>
    </row>
    <row r="1602" ht="14.25" customHeight="1">
      <c r="A1602" s="2" t="s">
        <v>151</v>
      </c>
      <c r="B1602" s="2" t="s">
        <v>152</v>
      </c>
      <c r="C1602" s="2">
        <v>1971.0</v>
      </c>
      <c r="D1602" s="9">
        <v>1177.2048</v>
      </c>
      <c r="E1602" s="10" t="str">
        <f t="array" ref="E1602">IFS(D1602&lt;=$G$3,'calculated data '!$A$3,D1602&lt;=$G$4,'calculated data '!$A$4,D1602&lt;=$G$6,'calculated data '!$A$5,D1602&gt;=$G$6,'calculated data '!$A$6)</f>
        <v>Low Demand Tier</v>
      </c>
      <c r="F1602" s="10">
        <f t="shared" si="1"/>
        <v>-0.632011157</v>
      </c>
    </row>
    <row r="1603" ht="14.25" customHeight="1">
      <c r="A1603" s="2" t="s">
        <v>133</v>
      </c>
      <c r="B1603" s="2" t="s">
        <v>134</v>
      </c>
      <c r="C1603" s="2">
        <v>1987.0</v>
      </c>
      <c r="D1603" s="9">
        <v>1177.8901</v>
      </c>
      <c r="E1603" s="10" t="str">
        <f t="array" ref="E1603">IFS(D1603&lt;=$G$3,'calculated data '!$A$3,D1603&lt;=$G$4,'calculated data '!$A$4,D1603&lt;=$G$6,'calculated data '!$A$5,D1603&gt;=$G$6,'calculated data '!$A$6)</f>
        <v>Low Demand Tier</v>
      </c>
      <c r="F1603" s="10">
        <f t="shared" si="1"/>
        <v>-0.6319930173</v>
      </c>
    </row>
    <row r="1604" ht="14.25" customHeight="1">
      <c r="A1604" s="2" t="s">
        <v>93</v>
      </c>
      <c r="B1604" s="2" t="s">
        <v>94</v>
      </c>
      <c r="C1604" s="2">
        <v>2002.0</v>
      </c>
      <c r="D1604" s="9">
        <v>1178.3005</v>
      </c>
      <c r="E1604" s="10" t="str">
        <f t="array" ref="E1604">IFS(D1604&lt;=$G$3,'calculated data '!$A$3,D1604&lt;=$G$4,'calculated data '!$A$4,D1604&lt;=$G$6,'calculated data '!$A$5,D1604&gt;=$G$6,'calculated data '!$A$6)</f>
        <v>Low Demand Tier</v>
      </c>
      <c r="F1604" s="10">
        <f t="shared" si="1"/>
        <v>-0.6319821541</v>
      </c>
    </row>
    <row r="1605" ht="14.25" customHeight="1">
      <c r="A1605" s="2" t="s">
        <v>85</v>
      </c>
      <c r="B1605" s="2" t="s">
        <v>86</v>
      </c>
      <c r="C1605" s="2">
        <v>2006.0</v>
      </c>
      <c r="D1605" s="9">
        <v>1178.4312</v>
      </c>
      <c r="E1605" s="10" t="str">
        <f t="array" ref="E1605">IFS(D1605&lt;=$G$3,'calculated data '!$A$3,D1605&lt;=$G$4,'calculated data '!$A$4,D1605&lt;=$G$6,'calculated data '!$A$5,D1605&gt;=$G$6,'calculated data '!$A$6)</f>
        <v>Low Demand Tier</v>
      </c>
      <c r="F1605" s="10">
        <f t="shared" si="1"/>
        <v>-0.6319786945</v>
      </c>
    </row>
    <row r="1606" ht="14.25" customHeight="1">
      <c r="A1606" s="2" t="s">
        <v>141</v>
      </c>
      <c r="B1606" s="2" t="s">
        <v>142</v>
      </c>
      <c r="C1606" s="2">
        <v>1967.0</v>
      </c>
      <c r="D1606" s="9">
        <v>1180.5034</v>
      </c>
      <c r="E1606" s="10" t="str">
        <f t="array" ref="E1606">IFS(D1606&lt;=$G$3,'calculated data '!$A$3,D1606&lt;=$G$4,'calculated data '!$A$4,D1606&lt;=$G$6,'calculated data '!$A$5,D1606&gt;=$G$6,'calculated data '!$A$6)</f>
        <v>Low Demand Tier</v>
      </c>
      <c r="F1606" s="10">
        <f t="shared" si="1"/>
        <v>-0.6319238439</v>
      </c>
    </row>
    <row r="1607" ht="14.25" customHeight="1">
      <c r="A1607" s="2" t="s">
        <v>111</v>
      </c>
      <c r="B1607" s="2" t="s">
        <v>112</v>
      </c>
      <c r="C1607" s="2">
        <v>1999.0</v>
      </c>
      <c r="D1607" s="9">
        <v>1181.0717</v>
      </c>
      <c r="E1607" s="10" t="str">
        <f t="array" ref="E1607">IFS(D1607&lt;=$G$3,'calculated data '!$A$3,D1607&lt;=$G$4,'calculated data '!$A$4,D1607&lt;=$G$6,'calculated data '!$A$5,D1607&gt;=$G$6,'calculated data '!$A$6)</f>
        <v>Low Demand Tier</v>
      </c>
      <c r="F1607" s="10">
        <f t="shared" si="1"/>
        <v>-0.6319088012</v>
      </c>
    </row>
    <row r="1608" ht="14.25" customHeight="1">
      <c r="A1608" s="2" t="s">
        <v>145</v>
      </c>
      <c r="B1608" s="2" t="s">
        <v>146</v>
      </c>
      <c r="C1608" s="2">
        <v>1998.0</v>
      </c>
      <c r="D1608" s="9">
        <v>1183.603</v>
      </c>
      <c r="E1608" s="10" t="str">
        <f t="array" ref="E1608">IFS(D1608&lt;=$G$3,'calculated data '!$A$3,D1608&lt;=$G$4,'calculated data '!$A$4,D1608&lt;=$G$6,'calculated data '!$A$5,D1608&gt;=$G$6,'calculated data '!$A$6)</f>
        <v>Low Demand Tier</v>
      </c>
      <c r="F1608" s="10">
        <f t="shared" si="1"/>
        <v>-0.6318417983</v>
      </c>
    </row>
    <row r="1609" ht="14.25" customHeight="1">
      <c r="A1609" s="2" t="s">
        <v>133</v>
      </c>
      <c r="B1609" s="2" t="s">
        <v>134</v>
      </c>
      <c r="C1609" s="2">
        <v>1993.0</v>
      </c>
      <c r="D1609" s="9">
        <v>1183.9237</v>
      </c>
      <c r="E1609" s="10" t="str">
        <f t="array" ref="E1609">IFS(D1609&lt;=$G$3,'calculated data '!$A$3,D1609&lt;=$G$4,'calculated data '!$A$4,D1609&lt;=$G$6,'calculated data '!$A$5,D1609&gt;=$G$6,'calculated data '!$A$6)</f>
        <v>Low Demand Tier</v>
      </c>
      <c r="F1609" s="10">
        <f t="shared" si="1"/>
        <v>-0.6318333094</v>
      </c>
    </row>
    <row r="1610" ht="14.25" customHeight="1">
      <c r="A1610" s="2" t="s">
        <v>61</v>
      </c>
      <c r="B1610" s="2" t="s">
        <v>62</v>
      </c>
      <c r="C1610" s="2">
        <v>2023.0</v>
      </c>
      <c r="D1610" s="9">
        <v>1184.5524</v>
      </c>
      <c r="E1610" s="10" t="str">
        <f t="array" ref="E1610">IFS(D1610&lt;=$G$3,'calculated data '!$A$3,D1610&lt;=$G$4,'calculated data '!$A$4,D1610&lt;=$G$6,'calculated data '!$A$5,D1610&gt;=$G$6,'calculated data '!$A$6)</f>
        <v>Low Demand Tier</v>
      </c>
      <c r="F1610" s="10">
        <f t="shared" si="1"/>
        <v>-0.6318166679</v>
      </c>
    </row>
    <row r="1611" ht="14.25" customHeight="1">
      <c r="A1611" s="2" t="s">
        <v>125</v>
      </c>
      <c r="B1611" s="2" t="s">
        <v>126</v>
      </c>
      <c r="C1611" s="2">
        <v>1991.0</v>
      </c>
      <c r="D1611" s="9">
        <v>1185.3376</v>
      </c>
      <c r="E1611" s="10" t="str">
        <f t="array" ref="E1611">IFS(D1611&lt;=$G$3,'calculated data '!$A$3,D1611&lt;=$G$4,'calculated data '!$A$4,D1611&lt;=$G$6,'calculated data '!$A$5,D1611&gt;=$G$6,'calculated data '!$A$6)</f>
        <v>Low Demand Tier</v>
      </c>
      <c r="F1611" s="10">
        <f t="shared" si="1"/>
        <v>-0.6317958838</v>
      </c>
    </row>
    <row r="1612" ht="14.25" customHeight="1">
      <c r="A1612" s="2" t="s">
        <v>61</v>
      </c>
      <c r="B1612" s="2" t="s">
        <v>62</v>
      </c>
      <c r="C1612" s="2">
        <v>2024.0</v>
      </c>
      <c r="D1612" s="9">
        <v>1186.0334</v>
      </c>
      <c r="E1612" s="10" t="str">
        <f t="array" ref="E1612">IFS(D1612&lt;=$G$3,'calculated data '!$A$3,D1612&lt;=$G$4,'calculated data '!$A$4,D1612&lt;=$G$6,'calculated data '!$A$5,D1612&gt;=$G$6,'calculated data '!$A$6)</f>
        <v>Low Demand Tier</v>
      </c>
      <c r="F1612" s="10">
        <f t="shared" si="1"/>
        <v>-0.6317774662</v>
      </c>
    </row>
    <row r="1613" ht="14.25" customHeight="1">
      <c r="A1613" s="2" t="s">
        <v>129</v>
      </c>
      <c r="B1613" s="2" t="s">
        <v>130</v>
      </c>
      <c r="C1613" s="2">
        <v>1975.0</v>
      </c>
      <c r="D1613" s="9">
        <v>1186.1531</v>
      </c>
      <c r="E1613" s="10" t="str">
        <f t="array" ref="E1613">IFS(D1613&lt;=$G$3,'calculated data '!$A$3,D1613&lt;=$G$4,'calculated data '!$A$4,D1613&lt;=$G$6,'calculated data '!$A$5,D1613&gt;=$G$6,'calculated data '!$A$6)</f>
        <v>Low Demand Tier</v>
      </c>
      <c r="F1613" s="10">
        <f t="shared" si="1"/>
        <v>-0.6317742978</v>
      </c>
    </row>
    <row r="1614" ht="14.25" customHeight="1">
      <c r="A1614" s="2" t="s">
        <v>161</v>
      </c>
      <c r="B1614" s="2" t="s">
        <v>162</v>
      </c>
      <c r="C1614" s="2">
        <v>1998.0</v>
      </c>
      <c r="D1614" s="9">
        <v>1186.985</v>
      </c>
      <c r="E1614" s="10" t="str">
        <f t="array" ref="E1614">IFS(D1614&lt;=$G$3,'calculated data '!$A$3,D1614&lt;=$G$4,'calculated data '!$A$4,D1614&lt;=$G$6,'calculated data '!$A$5,D1614&gt;=$G$6,'calculated data '!$A$6)</f>
        <v>Low Demand Tier</v>
      </c>
      <c r="F1614" s="10">
        <f t="shared" si="1"/>
        <v>-0.6317522776</v>
      </c>
    </row>
    <row r="1615" ht="14.25" customHeight="1">
      <c r="A1615" s="2" t="s">
        <v>165</v>
      </c>
      <c r="B1615" s="2" t="s">
        <v>166</v>
      </c>
      <c r="C1615" s="2">
        <v>1965.0</v>
      </c>
      <c r="D1615" s="9">
        <v>1187.2971</v>
      </c>
      <c r="E1615" s="10" t="str">
        <f t="array" ref="E1615">IFS(D1615&lt;=$G$3,'calculated data '!$A$3,D1615&lt;=$G$4,'calculated data '!$A$4,D1615&lt;=$G$6,'calculated data '!$A$5,D1615&gt;=$G$6,'calculated data '!$A$6)</f>
        <v>Low Demand Tier</v>
      </c>
      <c r="F1615" s="10">
        <f t="shared" si="1"/>
        <v>-0.6317440164</v>
      </c>
    </row>
    <row r="1616" ht="14.25" customHeight="1">
      <c r="A1616" s="2" t="s">
        <v>153</v>
      </c>
      <c r="B1616" s="2" t="s">
        <v>154</v>
      </c>
      <c r="C1616" s="2">
        <v>2004.0</v>
      </c>
      <c r="D1616" s="9">
        <v>1188.4789</v>
      </c>
      <c r="E1616" s="10" t="str">
        <f t="array" ref="E1616">IFS(D1616&lt;=$G$3,'calculated data '!$A$3,D1616&lt;=$G$4,'calculated data '!$A$4,D1616&lt;=$G$6,'calculated data '!$A$5,D1616&gt;=$G$6,'calculated data '!$A$6)</f>
        <v>Low Demand Tier</v>
      </c>
      <c r="F1616" s="10">
        <f t="shared" si="1"/>
        <v>-0.6317127344</v>
      </c>
    </row>
    <row r="1617" ht="14.25" customHeight="1">
      <c r="A1617" s="2" t="s">
        <v>65</v>
      </c>
      <c r="B1617" s="2" t="s">
        <v>66</v>
      </c>
      <c r="C1617" s="2">
        <v>2021.0</v>
      </c>
      <c r="D1617" s="9">
        <v>1189.2205</v>
      </c>
      <c r="E1617" s="10" t="str">
        <f t="array" ref="E1617">IFS(D1617&lt;=$G$3,'calculated data '!$A$3,D1617&lt;=$G$4,'calculated data '!$A$4,D1617&lt;=$G$6,'calculated data '!$A$5,D1617&gt;=$G$6,'calculated data '!$A$6)</f>
        <v>Low Demand Tier</v>
      </c>
      <c r="F1617" s="10">
        <f t="shared" si="1"/>
        <v>-0.6316931044</v>
      </c>
    </row>
    <row r="1618" ht="14.25" customHeight="1">
      <c r="A1618" s="2" t="s">
        <v>155</v>
      </c>
      <c r="B1618" s="2" t="s">
        <v>156</v>
      </c>
      <c r="C1618" s="2">
        <v>2021.0</v>
      </c>
      <c r="D1618" s="9">
        <v>1189.3348</v>
      </c>
      <c r="E1618" s="10" t="str">
        <f t="array" ref="E1618">IFS(D1618&lt;=$G$3,'calculated data '!$A$3,D1618&lt;=$G$4,'calculated data '!$A$4,D1618&lt;=$G$6,'calculated data '!$A$5,D1618&gt;=$G$6,'calculated data '!$A$6)</f>
        <v>Low Demand Tier</v>
      </c>
      <c r="F1618" s="10">
        <f t="shared" si="1"/>
        <v>-0.631690079</v>
      </c>
    </row>
    <row r="1619" ht="14.25" customHeight="1">
      <c r="A1619" s="2" t="s">
        <v>147</v>
      </c>
      <c r="B1619" s="2" t="s">
        <v>148</v>
      </c>
      <c r="C1619" s="2">
        <v>2023.0</v>
      </c>
      <c r="D1619" s="9">
        <v>1189.4617</v>
      </c>
      <c r="E1619" s="10" t="str">
        <f t="array" ref="E1619">IFS(D1619&lt;=$G$3,'calculated data '!$A$3,D1619&lt;=$G$4,'calculated data '!$A$4,D1619&lt;=$G$6,'calculated data '!$A$5,D1619&gt;=$G$6,'calculated data '!$A$6)</f>
        <v>Low Demand Tier</v>
      </c>
      <c r="F1619" s="10">
        <f t="shared" si="1"/>
        <v>-0.6316867199</v>
      </c>
    </row>
    <row r="1620" ht="14.25" customHeight="1">
      <c r="A1620" s="2" t="s">
        <v>113</v>
      </c>
      <c r="B1620" s="2" t="s">
        <v>114</v>
      </c>
      <c r="C1620" s="2">
        <v>2009.0</v>
      </c>
      <c r="D1620" s="9">
        <v>1190.1335</v>
      </c>
      <c r="E1620" s="10" t="str">
        <f t="array" ref="E1620">IFS(D1620&lt;=$G$3,'calculated data '!$A$3,D1620&lt;=$G$4,'calculated data '!$A$4,D1620&lt;=$G$6,'calculated data '!$A$5,D1620&gt;=$G$6,'calculated data '!$A$6)</f>
        <v>Low Demand Tier</v>
      </c>
      <c r="F1620" s="10">
        <f t="shared" si="1"/>
        <v>-0.6316689376</v>
      </c>
    </row>
    <row r="1621" ht="14.25" customHeight="1">
      <c r="A1621" s="2" t="s">
        <v>85</v>
      </c>
      <c r="B1621" s="2" t="s">
        <v>86</v>
      </c>
      <c r="C1621" s="2">
        <v>2016.0</v>
      </c>
      <c r="D1621" s="9">
        <v>1191.6593</v>
      </c>
      <c r="E1621" s="10" t="str">
        <f t="array" ref="E1621">IFS(D1621&lt;=$G$3,'calculated data '!$A$3,D1621&lt;=$G$4,'calculated data '!$A$4,D1621&lt;=$G$6,'calculated data '!$A$5,D1621&gt;=$G$6,'calculated data '!$A$6)</f>
        <v>Low Demand Tier</v>
      </c>
      <c r="F1621" s="10">
        <f t="shared" si="1"/>
        <v>-0.63162855</v>
      </c>
    </row>
    <row r="1622" ht="14.25" customHeight="1">
      <c r="A1622" s="2" t="s">
        <v>157</v>
      </c>
      <c r="B1622" s="2" t="s">
        <v>158</v>
      </c>
      <c r="C1622" s="2">
        <v>1988.0</v>
      </c>
      <c r="D1622" s="9">
        <v>1194.2369</v>
      </c>
      <c r="E1622" s="10" t="str">
        <f t="array" ref="E1622">IFS(D1622&lt;=$G$3,'calculated data '!$A$3,D1622&lt;=$G$4,'calculated data '!$A$4,D1622&lt;=$G$6,'calculated data '!$A$5,D1622&gt;=$G$6,'calculated data '!$A$6)</f>
        <v>Low Demand Tier</v>
      </c>
      <c r="F1622" s="10">
        <f t="shared" si="1"/>
        <v>-0.6315603216</v>
      </c>
    </row>
    <row r="1623" ht="14.25" customHeight="1">
      <c r="A1623" s="2" t="s">
        <v>157</v>
      </c>
      <c r="B1623" s="2" t="s">
        <v>158</v>
      </c>
      <c r="C1623" s="2">
        <v>1984.0</v>
      </c>
      <c r="D1623" s="9">
        <v>1194.3997</v>
      </c>
      <c r="E1623" s="10" t="str">
        <f t="array" ref="E1623">IFS(D1623&lt;=$G$3,'calculated data '!$A$3,D1623&lt;=$G$4,'calculated data '!$A$4,D1623&lt;=$G$6,'calculated data '!$A$5,D1623&gt;=$G$6,'calculated data '!$A$6)</f>
        <v>Low Demand Tier</v>
      </c>
      <c r="F1623" s="10">
        <f t="shared" si="1"/>
        <v>-0.6315560123</v>
      </c>
    </row>
    <row r="1624" ht="14.25" customHeight="1">
      <c r="A1624" s="2" t="s">
        <v>157</v>
      </c>
      <c r="B1624" s="2" t="s">
        <v>158</v>
      </c>
      <c r="C1624" s="2">
        <v>1983.0</v>
      </c>
      <c r="D1624" s="9">
        <v>1195.1558</v>
      </c>
      <c r="E1624" s="10" t="str">
        <f t="array" ref="E1624">IFS(D1624&lt;=$G$3,'calculated data '!$A$3,D1624&lt;=$G$4,'calculated data '!$A$4,D1624&lt;=$G$6,'calculated data '!$A$5,D1624&gt;=$G$6,'calculated data '!$A$6)</f>
        <v>Low Demand Tier</v>
      </c>
      <c r="F1624" s="10">
        <f t="shared" si="1"/>
        <v>-0.6315359985</v>
      </c>
    </row>
    <row r="1625" ht="14.25" customHeight="1">
      <c r="A1625" s="2" t="s">
        <v>113</v>
      </c>
      <c r="B1625" s="2" t="s">
        <v>114</v>
      </c>
      <c r="C1625" s="2">
        <v>2004.0</v>
      </c>
      <c r="D1625" s="9">
        <v>1195.2069</v>
      </c>
      <c r="E1625" s="10" t="str">
        <f t="array" ref="E1625">IFS(D1625&lt;=$G$3,'calculated data '!$A$3,D1625&lt;=$G$4,'calculated data '!$A$4,D1625&lt;=$G$6,'calculated data '!$A$5,D1625&gt;=$G$6,'calculated data '!$A$6)</f>
        <v>Low Demand Tier</v>
      </c>
      <c r="F1625" s="10">
        <f t="shared" si="1"/>
        <v>-0.6315346459</v>
      </c>
    </row>
    <row r="1626" ht="14.25" customHeight="1">
      <c r="A1626" s="2" t="s">
        <v>165</v>
      </c>
      <c r="B1626" s="2" t="s">
        <v>166</v>
      </c>
      <c r="C1626" s="2">
        <v>1966.0</v>
      </c>
      <c r="D1626" s="9">
        <v>1196.7158</v>
      </c>
      <c r="E1626" s="10" t="str">
        <f t="array" ref="E1626">IFS(D1626&lt;=$G$3,'calculated data '!$A$3,D1626&lt;=$G$4,'calculated data '!$A$4,D1626&lt;=$G$6,'calculated data '!$A$5,D1626&gt;=$G$6,'calculated data '!$A$6)</f>
        <v>Low Demand Tier</v>
      </c>
      <c r="F1626" s="10">
        <f t="shared" si="1"/>
        <v>-0.6314947057</v>
      </c>
    </row>
    <row r="1627" ht="14.25" customHeight="1">
      <c r="A1627" s="2" t="s">
        <v>151</v>
      </c>
      <c r="B1627" s="2" t="s">
        <v>152</v>
      </c>
      <c r="C1627" s="2">
        <v>1969.0</v>
      </c>
      <c r="D1627" s="9">
        <v>1199.1128</v>
      </c>
      <c r="E1627" s="10" t="str">
        <f t="array" ref="E1627">IFS(D1627&lt;=$G$3,'calculated data '!$A$3,D1627&lt;=$G$4,'calculated data '!$A$4,D1627&lt;=$G$6,'calculated data '!$A$5,D1627&gt;=$G$6,'calculated data '!$A$6)</f>
        <v>Low Demand Tier</v>
      </c>
      <c r="F1627" s="10">
        <f t="shared" si="1"/>
        <v>-0.6314312577</v>
      </c>
    </row>
    <row r="1628" ht="14.25" customHeight="1">
      <c r="A1628" s="2" t="s">
        <v>111</v>
      </c>
      <c r="B1628" s="2" t="s">
        <v>112</v>
      </c>
      <c r="C1628" s="2">
        <v>1998.0</v>
      </c>
      <c r="D1628" s="9">
        <v>1199.1548</v>
      </c>
      <c r="E1628" s="10" t="str">
        <f t="array" ref="E1628">IFS(D1628&lt;=$G$3,'calculated data '!$A$3,D1628&lt;=$G$4,'calculated data '!$A$4,D1628&lt;=$G$6,'calculated data '!$A$5,D1628&gt;=$G$6,'calculated data '!$A$6)</f>
        <v>Low Demand Tier</v>
      </c>
      <c r="F1628" s="10">
        <f t="shared" si="1"/>
        <v>-0.631430146</v>
      </c>
    </row>
    <row r="1629" ht="14.25" customHeight="1">
      <c r="A1629" s="2" t="s">
        <v>135</v>
      </c>
      <c r="B1629" s="2" t="s">
        <v>136</v>
      </c>
      <c r="C1629" s="2">
        <v>1988.0</v>
      </c>
      <c r="D1629" s="9">
        <v>1200.1138</v>
      </c>
      <c r="E1629" s="10" t="str">
        <f t="array" ref="E1629">IFS(D1629&lt;=$G$3,'calculated data '!$A$3,D1629&lt;=$G$4,'calculated data '!$A$4,D1629&lt;=$G$6,'calculated data '!$A$5,D1629&gt;=$G$6,'calculated data '!$A$6)</f>
        <v>Low Demand Tier</v>
      </c>
      <c r="F1629" s="10">
        <f t="shared" si="1"/>
        <v>-0.6314047615</v>
      </c>
    </row>
    <row r="1630" ht="14.25" customHeight="1">
      <c r="A1630" s="2" t="s">
        <v>65</v>
      </c>
      <c r="B1630" s="2" t="s">
        <v>66</v>
      </c>
      <c r="C1630" s="2">
        <v>2020.0</v>
      </c>
      <c r="D1630" s="9">
        <v>1200.7416</v>
      </c>
      <c r="E1630" s="10" t="str">
        <f t="array" ref="E1630">IFS(D1630&lt;=$G$3,'calculated data '!$A$3,D1630&lt;=$G$4,'calculated data '!$A$4,D1630&lt;=$G$6,'calculated data '!$A$5,D1630&gt;=$G$6,'calculated data '!$A$6)</f>
        <v>Low Demand Tier</v>
      </c>
      <c r="F1630" s="10">
        <f t="shared" si="1"/>
        <v>-0.6313881438</v>
      </c>
    </row>
    <row r="1631" ht="14.25" customHeight="1">
      <c r="A1631" s="2" t="s">
        <v>153</v>
      </c>
      <c r="B1631" s="2" t="s">
        <v>154</v>
      </c>
      <c r="C1631" s="2">
        <v>1987.0</v>
      </c>
      <c r="D1631" s="9">
        <v>1200.9419</v>
      </c>
      <c r="E1631" s="10" t="str">
        <f t="array" ref="E1631">IFS(D1631&lt;=$G$3,'calculated data '!$A$3,D1631&lt;=$G$4,'calculated data '!$A$4,D1631&lt;=$G$6,'calculated data '!$A$5,D1631&gt;=$G$6,'calculated data '!$A$6)</f>
        <v>Low Demand Tier</v>
      </c>
      <c r="F1631" s="10">
        <f t="shared" si="1"/>
        <v>-0.6313828419</v>
      </c>
    </row>
    <row r="1632" ht="14.25" customHeight="1">
      <c r="A1632" s="2" t="s">
        <v>153</v>
      </c>
      <c r="B1632" s="2" t="s">
        <v>154</v>
      </c>
      <c r="C1632" s="2">
        <v>1999.0</v>
      </c>
      <c r="D1632" s="9">
        <v>1201.2123</v>
      </c>
      <c r="E1632" s="10" t="str">
        <f t="array" ref="E1632">IFS(D1632&lt;=$G$3,'calculated data '!$A$3,D1632&lt;=$G$4,'calculated data '!$A$4,D1632&lt;=$G$6,'calculated data '!$A$5,D1632&gt;=$G$6,'calculated data '!$A$6)</f>
        <v>Low Demand Tier</v>
      </c>
      <c r="F1632" s="10">
        <f t="shared" si="1"/>
        <v>-0.6313756845</v>
      </c>
    </row>
    <row r="1633" ht="14.25" customHeight="1">
      <c r="A1633" s="2" t="s">
        <v>165</v>
      </c>
      <c r="B1633" s="2" t="s">
        <v>166</v>
      </c>
      <c r="C1633" s="2">
        <v>1967.0</v>
      </c>
      <c r="D1633" s="9">
        <v>1201.3176</v>
      </c>
      <c r="E1633" s="10" t="str">
        <f t="array" ref="E1633">IFS(D1633&lt;=$G$3,'calculated data '!$A$3,D1633&lt;=$G$4,'calculated data '!$A$4,D1633&lt;=$G$6,'calculated data '!$A$5,D1633&gt;=$G$6,'calculated data '!$A$6)</f>
        <v>Low Demand Tier</v>
      </c>
      <c r="F1633" s="10">
        <f t="shared" si="1"/>
        <v>-0.6313728972</v>
      </c>
    </row>
    <row r="1634" ht="14.25" customHeight="1">
      <c r="A1634" s="2" t="s">
        <v>125</v>
      </c>
      <c r="B1634" s="2" t="s">
        <v>126</v>
      </c>
      <c r="C1634" s="2">
        <v>2016.0</v>
      </c>
      <c r="D1634" s="9">
        <v>1201.594</v>
      </c>
      <c r="E1634" s="10" t="str">
        <f t="array" ref="E1634">IFS(D1634&lt;=$G$3,'calculated data '!$A$3,D1634&lt;=$G$4,'calculated data '!$A$4,D1634&lt;=$G$6,'calculated data '!$A$5,D1634&gt;=$G$6,'calculated data '!$A$6)</f>
        <v>Low Demand Tier</v>
      </c>
      <c r="F1634" s="10">
        <f t="shared" si="1"/>
        <v>-0.631365581</v>
      </c>
    </row>
    <row r="1635" ht="14.25" customHeight="1">
      <c r="A1635" s="2" t="s">
        <v>147</v>
      </c>
      <c r="B1635" s="2" t="s">
        <v>148</v>
      </c>
      <c r="C1635" s="2">
        <v>2024.0</v>
      </c>
      <c r="D1635" s="9">
        <v>1202.7491</v>
      </c>
      <c r="E1635" s="10" t="str">
        <f t="array" ref="E1635">IFS(D1635&lt;=$G$3,'calculated data '!$A$3,D1635&lt;=$G$4,'calculated data '!$A$4,D1635&lt;=$G$6,'calculated data '!$A$5,D1635&gt;=$G$6,'calculated data '!$A$6)</f>
        <v>Low Demand Tier</v>
      </c>
      <c r="F1635" s="10">
        <f t="shared" si="1"/>
        <v>-0.6313350058</v>
      </c>
    </row>
    <row r="1636" ht="14.25" customHeight="1">
      <c r="A1636" s="2" t="s">
        <v>155</v>
      </c>
      <c r="B1636" s="2" t="s">
        <v>156</v>
      </c>
      <c r="C1636" s="2">
        <v>2020.0</v>
      </c>
      <c r="D1636" s="9">
        <v>1202.8209</v>
      </c>
      <c r="E1636" s="10" t="str">
        <f t="array" ref="E1636">IFS(D1636&lt;=$G$3,'calculated data '!$A$3,D1636&lt;=$G$4,'calculated data '!$A$4,D1636&lt;=$G$6,'calculated data '!$A$5,D1636&gt;=$G$6,'calculated data '!$A$6)</f>
        <v>Low Demand Tier</v>
      </c>
      <c r="F1636" s="10">
        <f t="shared" si="1"/>
        <v>-0.6313331052</v>
      </c>
    </row>
    <row r="1637" ht="14.25" customHeight="1">
      <c r="A1637" s="2" t="s">
        <v>95</v>
      </c>
      <c r="B1637" s="2" t="s">
        <v>96</v>
      </c>
      <c r="C1637" s="2">
        <v>2019.0</v>
      </c>
      <c r="D1637" s="9">
        <v>1203.6598</v>
      </c>
      <c r="E1637" s="10" t="str">
        <f t="array" ref="E1637">IFS(D1637&lt;=$G$3,'calculated data '!$A$3,D1637&lt;=$G$4,'calculated data '!$A$4,D1637&lt;=$G$6,'calculated data '!$A$5,D1637&gt;=$G$6,'calculated data '!$A$6)</f>
        <v>Low Demand Tier</v>
      </c>
      <c r="F1637" s="10">
        <f t="shared" si="1"/>
        <v>-0.6313108998</v>
      </c>
    </row>
    <row r="1638" ht="14.25" customHeight="1">
      <c r="A1638" s="2" t="s">
        <v>107</v>
      </c>
      <c r="B1638" s="2" t="s">
        <v>108</v>
      </c>
      <c r="C1638" s="2">
        <v>1994.0</v>
      </c>
      <c r="D1638" s="9">
        <v>1205.7775</v>
      </c>
      <c r="E1638" s="10" t="str">
        <f t="array" ref="E1638">IFS(D1638&lt;=$G$3,'calculated data '!$A$3,D1638&lt;=$G$4,'calculated data '!$A$4,D1638&lt;=$G$6,'calculated data '!$A$5,D1638&gt;=$G$6,'calculated data '!$A$6)</f>
        <v>Low Demand Tier</v>
      </c>
      <c r="F1638" s="10">
        <f t="shared" si="1"/>
        <v>-0.6312548448</v>
      </c>
    </row>
    <row r="1639" ht="14.25" customHeight="1">
      <c r="A1639" s="2" t="s">
        <v>135</v>
      </c>
      <c r="B1639" s="2" t="s">
        <v>136</v>
      </c>
      <c r="C1639" s="2">
        <v>1997.0</v>
      </c>
      <c r="D1639" s="9">
        <v>1208.4281</v>
      </c>
      <c r="E1639" s="10" t="str">
        <f t="array" ref="E1639">IFS(D1639&lt;=$G$3,'calculated data '!$A$3,D1639&lt;=$G$4,'calculated data '!$A$4,D1639&lt;=$G$6,'calculated data '!$A$5,D1639&gt;=$G$6,'calculated data '!$A$6)</f>
        <v>Low Demand Tier</v>
      </c>
      <c r="F1639" s="10">
        <f t="shared" si="1"/>
        <v>-0.6311846841</v>
      </c>
    </row>
    <row r="1640" ht="14.25" customHeight="1">
      <c r="A1640" s="2" t="s">
        <v>135</v>
      </c>
      <c r="B1640" s="2" t="s">
        <v>136</v>
      </c>
      <c r="C1640" s="2">
        <v>1993.0</v>
      </c>
      <c r="D1640" s="9">
        <v>1209.0032</v>
      </c>
      <c r="E1640" s="10" t="str">
        <f t="array" ref="E1640">IFS(D1640&lt;=$G$3,'calculated data '!$A$3,D1640&lt;=$G$4,'calculated data '!$A$4,D1640&lt;=$G$6,'calculated data '!$A$5,D1640&gt;=$G$6,'calculated data '!$A$6)</f>
        <v>Low Demand Tier</v>
      </c>
      <c r="F1640" s="10">
        <f t="shared" si="1"/>
        <v>-0.6311694613</v>
      </c>
    </row>
    <row r="1641" ht="14.25" customHeight="1">
      <c r="A1641" s="2" t="s">
        <v>151</v>
      </c>
      <c r="B1641" s="2" t="s">
        <v>152</v>
      </c>
      <c r="C1641" s="2">
        <v>1972.0</v>
      </c>
      <c r="D1641" s="9">
        <v>1210.5432</v>
      </c>
      <c r="E1641" s="10" t="str">
        <f t="array" ref="E1641">IFS(D1641&lt;=$G$3,'calculated data '!$A$3,D1641&lt;=$G$4,'calculated data '!$A$4,D1641&lt;=$G$6,'calculated data '!$A$5,D1641&gt;=$G$6,'calculated data '!$A$6)</f>
        <v>Low Demand Tier</v>
      </c>
      <c r="F1641" s="10">
        <f t="shared" si="1"/>
        <v>-0.6311286979</v>
      </c>
    </row>
    <row r="1642" ht="14.25" customHeight="1">
      <c r="A1642" s="2" t="s">
        <v>167</v>
      </c>
      <c r="B1642" s="2" t="s">
        <v>168</v>
      </c>
      <c r="C1642" s="2">
        <v>2009.0</v>
      </c>
      <c r="D1642" s="9">
        <v>1211.6249</v>
      </c>
      <c r="E1642" s="10" t="str">
        <f t="array" ref="E1642">IFS(D1642&lt;=$G$3,'calculated data '!$A$3,D1642&lt;=$G$4,'calculated data '!$A$4,D1642&lt;=$G$6,'calculated data '!$A$5,D1642&gt;=$G$6,'calculated data '!$A$6)</f>
        <v>Low Demand Tier</v>
      </c>
      <c r="F1642" s="10">
        <f t="shared" si="1"/>
        <v>-0.6311000656</v>
      </c>
    </row>
    <row r="1643" ht="14.25" customHeight="1">
      <c r="A1643" s="2" t="s">
        <v>161</v>
      </c>
      <c r="B1643" s="2" t="s">
        <v>162</v>
      </c>
      <c r="C1643" s="2">
        <v>1997.0</v>
      </c>
      <c r="D1643" s="9">
        <v>1212.0244</v>
      </c>
      <c r="E1643" s="10" t="str">
        <f t="array" ref="E1643">IFS(D1643&lt;=$G$3,'calculated data '!$A$3,D1643&lt;=$G$4,'calculated data '!$A$4,D1643&lt;=$G$6,'calculated data '!$A$5,D1643&gt;=$G$6,'calculated data '!$A$6)</f>
        <v>Low Demand Tier</v>
      </c>
      <c r="F1643" s="10">
        <f t="shared" si="1"/>
        <v>-0.6310894909</v>
      </c>
    </row>
    <row r="1644" ht="14.25" customHeight="1">
      <c r="A1644" s="2" t="s">
        <v>169</v>
      </c>
      <c r="B1644" s="2" t="s">
        <v>170</v>
      </c>
      <c r="C1644" s="2">
        <v>1986.0</v>
      </c>
      <c r="D1644" s="9">
        <v>1215.4076</v>
      </c>
      <c r="E1644" s="10" t="str">
        <f t="array" ref="E1644">IFS(D1644&lt;=$G$3,'calculated data '!$A$3,D1644&lt;=$G$4,'calculated data '!$A$4,D1644&lt;=$G$6,'calculated data '!$A$5,D1644&gt;=$G$6,'calculated data '!$A$6)</f>
        <v>Low Demand Tier</v>
      </c>
      <c r="F1644" s="10">
        <f t="shared" si="1"/>
        <v>-0.6309999384</v>
      </c>
    </row>
    <row r="1645" ht="14.25" customHeight="1">
      <c r="A1645" s="2" t="s">
        <v>111</v>
      </c>
      <c r="B1645" s="2" t="s">
        <v>112</v>
      </c>
      <c r="C1645" s="2">
        <v>1997.0</v>
      </c>
      <c r="D1645" s="9">
        <v>1216.2002</v>
      </c>
      <c r="E1645" s="10" t="str">
        <f t="array" ref="E1645">IFS(D1645&lt;=$G$3,'calculated data '!$A$3,D1645&lt;=$G$4,'calculated data '!$A$4,D1645&lt;=$G$6,'calculated data '!$A$5,D1645&gt;=$G$6,'calculated data '!$A$6)</f>
        <v>Low Demand Tier</v>
      </c>
      <c r="F1645" s="10">
        <f t="shared" si="1"/>
        <v>-0.6309789585</v>
      </c>
    </row>
    <row r="1646" ht="14.25" customHeight="1">
      <c r="A1646" s="2" t="s">
        <v>147</v>
      </c>
      <c r="B1646" s="2" t="s">
        <v>148</v>
      </c>
      <c r="C1646" s="2">
        <v>1998.0</v>
      </c>
      <c r="D1646" s="9">
        <v>1217.5823</v>
      </c>
      <c r="E1646" s="10" t="str">
        <f t="array" ref="E1646">IFS(D1646&lt;=$G$3,'calculated data '!$A$3,D1646&lt;=$G$4,'calculated data '!$A$4,D1646&lt;=$G$6,'calculated data '!$A$5,D1646&gt;=$G$6,'calculated data '!$A$6)</f>
        <v>Low Demand Tier</v>
      </c>
      <c r="F1646" s="10">
        <f t="shared" si="1"/>
        <v>-0.6309423747</v>
      </c>
    </row>
    <row r="1647" ht="14.25" customHeight="1">
      <c r="A1647" s="2" t="s">
        <v>135</v>
      </c>
      <c r="B1647" s="2" t="s">
        <v>136</v>
      </c>
      <c r="C1647" s="2">
        <v>1980.0</v>
      </c>
      <c r="D1647" s="9">
        <v>1218.0492</v>
      </c>
      <c r="E1647" s="10" t="str">
        <f t="array" ref="E1647">IFS(D1647&lt;=$G$3,'calculated data '!$A$3,D1647&lt;=$G$4,'calculated data '!$A$4,D1647&lt;=$G$6,'calculated data '!$A$5,D1647&gt;=$G$6,'calculated data '!$A$6)</f>
        <v>Low Demand Tier</v>
      </c>
      <c r="F1647" s="10">
        <f t="shared" si="1"/>
        <v>-0.6309300159</v>
      </c>
    </row>
    <row r="1648" ht="14.25" customHeight="1">
      <c r="A1648" s="2" t="s">
        <v>21</v>
      </c>
      <c r="B1648" s="2" t="s">
        <v>22</v>
      </c>
      <c r="C1648" s="2">
        <v>2004.0</v>
      </c>
      <c r="D1648" s="9">
        <v>1218.1499</v>
      </c>
      <c r="E1648" s="10" t="str">
        <f t="array" ref="E1648">IFS(D1648&lt;=$G$3,'calculated data '!$A$3,D1648&lt;=$G$4,'calculated data '!$A$4,D1648&lt;=$G$6,'calculated data '!$A$5,D1648&gt;=$G$6,'calculated data '!$A$6)</f>
        <v>Low Demand Tier</v>
      </c>
      <c r="F1648" s="10">
        <f t="shared" si="1"/>
        <v>-0.6309273504</v>
      </c>
    </row>
    <row r="1649" ht="14.25" customHeight="1">
      <c r="A1649" s="2" t="s">
        <v>153</v>
      </c>
      <c r="B1649" s="2" t="s">
        <v>154</v>
      </c>
      <c r="C1649" s="2">
        <v>1994.0</v>
      </c>
      <c r="D1649" s="9">
        <v>1220.5806</v>
      </c>
      <c r="E1649" s="10" t="str">
        <f t="array" ref="E1649">IFS(D1649&lt;=$G$3,'calculated data '!$A$3,D1649&lt;=$G$4,'calculated data '!$A$4,D1649&lt;=$G$6,'calculated data '!$A$5,D1649&gt;=$G$6,'calculated data '!$A$6)</f>
        <v>Low Demand Tier</v>
      </c>
      <c r="F1649" s="10">
        <f t="shared" si="1"/>
        <v>-0.6308630104</v>
      </c>
    </row>
    <row r="1650" ht="14.25" customHeight="1">
      <c r="A1650" s="2" t="s">
        <v>93</v>
      </c>
      <c r="B1650" s="2" t="s">
        <v>94</v>
      </c>
      <c r="C1650" s="2">
        <v>2005.0</v>
      </c>
      <c r="D1650" s="9">
        <v>1220.7057</v>
      </c>
      <c r="E1650" s="10" t="str">
        <f t="array" ref="E1650">IFS(D1650&lt;=$G$3,'calculated data '!$A$3,D1650&lt;=$G$4,'calculated data '!$A$4,D1650&lt;=$G$6,'calculated data '!$A$5,D1650&gt;=$G$6,'calculated data '!$A$6)</f>
        <v>Low Demand Tier</v>
      </c>
      <c r="F1650" s="10">
        <f t="shared" si="1"/>
        <v>-0.630859699</v>
      </c>
    </row>
    <row r="1651" ht="14.25" customHeight="1">
      <c r="A1651" s="2" t="s">
        <v>61</v>
      </c>
      <c r="B1651" s="2" t="s">
        <v>62</v>
      </c>
      <c r="C1651" s="2">
        <v>2020.0</v>
      </c>
      <c r="D1651" s="9">
        <v>1222.0535</v>
      </c>
      <c r="E1651" s="10" t="str">
        <f t="array" ref="E1651">IFS(D1651&lt;=$G$3,'calculated data '!$A$3,D1651&lt;=$G$4,'calculated data '!$A$4,D1651&lt;=$G$6,'calculated data '!$A$5,D1651&gt;=$G$6,'calculated data '!$A$6)</f>
        <v>Low Demand Tier</v>
      </c>
      <c r="F1651" s="10">
        <f t="shared" si="1"/>
        <v>-0.6308240231</v>
      </c>
    </row>
    <row r="1652" ht="14.25" customHeight="1">
      <c r="A1652" s="2" t="s">
        <v>157</v>
      </c>
      <c r="B1652" s="2" t="s">
        <v>158</v>
      </c>
      <c r="C1652" s="2">
        <v>1987.0</v>
      </c>
      <c r="D1652" s="9">
        <v>1223.0111</v>
      </c>
      <c r="E1652" s="10" t="str">
        <f t="array" ref="E1652">IFS(D1652&lt;=$G$3,'calculated data '!$A$3,D1652&lt;=$G$4,'calculated data '!$A$4,D1652&lt;=$G$6,'calculated data '!$A$5,D1652&gt;=$G$6,'calculated data '!$A$6)</f>
        <v>Low Demand Tier</v>
      </c>
      <c r="F1652" s="10">
        <f t="shared" si="1"/>
        <v>-0.6307986757</v>
      </c>
    </row>
    <row r="1653" ht="14.25" customHeight="1">
      <c r="A1653" s="2" t="s">
        <v>127</v>
      </c>
      <c r="B1653" s="2" t="s">
        <v>128</v>
      </c>
      <c r="C1653" s="2">
        <v>1998.0</v>
      </c>
      <c r="D1653" s="9">
        <v>1223.1705</v>
      </c>
      <c r="E1653" s="10" t="str">
        <f t="array" ref="E1653">IFS(D1653&lt;=$G$3,'calculated data '!$A$3,D1653&lt;=$G$4,'calculated data '!$A$4,D1653&lt;=$G$6,'calculated data '!$A$5,D1653&gt;=$G$6,'calculated data '!$A$6)</f>
        <v>Low Demand Tier</v>
      </c>
      <c r="F1653" s="10">
        <f t="shared" si="1"/>
        <v>-0.6307944564</v>
      </c>
    </row>
    <row r="1654" ht="14.25" customHeight="1">
      <c r="A1654" s="2" t="s">
        <v>147</v>
      </c>
      <c r="B1654" s="2" t="s">
        <v>148</v>
      </c>
      <c r="C1654" s="2">
        <v>1993.0</v>
      </c>
      <c r="D1654" s="9">
        <v>1223.6862</v>
      </c>
      <c r="E1654" s="10" t="str">
        <f t="array" ref="E1654">IFS(D1654&lt;=$G$3,'calculated data '!$A$3,D1654&lt;=$G$4,'calculated data '!$A$4,D1654&lt;=$G$6,'calculated data '!$A$5,D1654&gt;=$G$6,'calculated data '!$A$6)</f>
        <v>Low Demand Tier</v>
      </c>
      <c r="F1654" s="10">
        <f t="shared" si="1"/>
        <v>-0.630780806</v>
      </c>
    </row>
    <row r="1655" ht="14.25" customHeight="1">
      <c r="A1655" s="2" t="s">
        <v>129</v>
      </c>
      <c r="B1655" s="2" t="s">
        <v>130</v>
      </c>
      <c r="C1655" s="2">
        <v>1976.0</v>
      </c>
      <c r="D1655" s="9">
        <v>1227.2465</v>
      </c>
      <c r="E1655" s="10" t="str">
        <f t="array" ref="E1655">IFS(D1655&lt;=$G$3,'calculated data '!$A$3,D1655&lt;=$G$4,'calculated data '!$A$4,D1655&lt;=$G$6,'calculated data '!$A$5,D1655&gt;=$G$6,'calculated data '!$A$6)</f>
        <v>Low Demand Tier</v>
      </c>
      <c r="F1655" s="10">
        <f t="shared" si="1"/>
        <v>-0.6306865657</v>
      </c>
    </row>
    <row r="1656" ht="14.25" customHeight="1">
      <c r="A1656" s="2" t="s">
        <v>147</v>
      </c>
      <c r="B1656" s="2" t="s">
        <v>148</v>
      </c>
      <c r="C1656" s="2">
        <v>1996.0</v>
      </c>
      <c r="D1656" s="9">
        <v>1227.809</v>
      </c>
      <c r="E1656" s="10" t="str">
        <f t="array" ref="E1656">IFS(D1656&lt;=$G$3,'calculated data '!$A$3,D1656&lt;=$G$4,'calculated data '!$A$4,D1656&lt;=$G$6,'calculated data '!$A$5,D1656&gt;=$G$6,'calculated data '!$A$6)</f>
        <v>Low Demand Tier</v>
      </c>
      <c r="F1656" s="10">
        <f t="shared" si="1"/>
        <v>-0.6306716765</v>
      </c>
    </row>
    <row r="1657" ht="14.25" customHeight="1">
      <c r="A1657" s="2" t="s">
        <v>113</v>
      </c>
      <c r="B1657" s="2" t="s">
        <v>114</v>
      </c>
      <c r="C1657" s="2">
        <v>2010.0</v>
      </c>
      <c r="D1657" s="9">
        <v>1228.7148</v>
      </c>
      <c r="E1657" s="10" t="str">
        <f t="array" ref="E1657">IFS(D1657&lt;=$G$3,'calculated data '!$A$3,D1657&lt;=$G$4,'calculated data '!$A$4,D1657&lt;=$G$6,'calculated data '!$A$5,D1657&gt;=$G$6,'calculated data '!$A$6)</f>
        <v>Low Demand Tier</v>
      </c>
      <c r="F1657" s="10">
        <f t="shared" si="1"/>
        <v>-0.6306477002</v>
      </c>
    </row>
    <row r="1658" ht="14.25" customHeight="1">
      <c r="A1658" s="2" t="s">
        <v>135</v>
      </c>
      <c r="B1658" s="2" t="s">
        <v>136</v>
      </c>
      <c r="C1658" s="2">
        <v>1992.0</v>
      </c>
      <c r="D1658" s="9">
        <v>1229.3127</v>
      </c>
      <c r="E1658" s="10" t="str">
        <f t="array" ref="E1658">IFS(D1658&lt;=$G$3,'calculated data '!$A$3,D1658&lt;=$G$4,'calculated data '!$A$4,D1658&lt;=$G$6,'calculated data '!$A$5,D1658&gt;=$G$6,'calculated data '!$A$6)</f>
        <v>Low Demand Tier</v>
      </c>
      <c r="F1658" s="10">
        <f t="shared" si="1"/>
        <v>-0.6306318739</v>
      </c>
    </row>
    <row r="1659" ht="14.25" customHeight="1">
      <c r="A1659" s="2" t="s">
        <v>147</v>
      </c>
      <c r="B1659" s="2" t="s">
        <v>148</v>
      </c>
      <c r="C1659" s="2">
        <v>2008.0</v>
      </c>
      <c r="D1659" s="9">
        <v>1229.3333</v>
      </c>
      <c r="E1659" s="10" t="str">
        <f t="array" ref="E1659">IFS(D1659&lt;=$G$3,'calculated data '!$A$3,D1659&lt;=$G$4,'calculated data '!$A$4,D1659&lt;=$G$6,'calculated data '!$A$5,D1659&gt;=$G$6,'calculated data '!$A$6)</f>
        <v>Low Demand Tier</v>
      </c>
      <c r="F1659" s="10">
        <f t="shared" si="1"/>
        <v>-0.6306313286</v>
      </c>
    </row>
    <row r="1660" ht="14.25" customHeight="1">
      <c r="A1660" s="2" t="s">
        <v>57</v>
      </c>
      <c r="B1660" s="2" t="s">
        <v>58</v>
      </c>
      <c r="C1660" s="2">
        <v>1870.0</v>
      </c>
      <c r="D1660" s="9">
        <v>1229.6962</v>
      </c>
      <c r="E1660" s="10" t="str">
        <f t="array" ref="E1660">IFS(D1660&lt;=$G$3,'calculated data '!$A$3,D1660&lt;=$G$4,'calculated data '!$A$4,D1660&lt;=$G$6,'calculated data '!$A$5,D1660&gt;=$G$6,'calculated data '!$A$6)</f>
        <v>Low Demand Tier</v>
      </c>
      <c r="F1660" s="10">
        <f t="shared" si="1"/>
        <v>-0.6306217227</v>
      </c>
    </row>
    <row r="1661" ht="14.25" customHeight="1">
      <c r="A1661" s="2" t="s">
        <v>153</v>
      </c>
      <c r="B1661" s="2" t="s">
        <v>154</v>
      </c>
      <c r="C1661" s="2">
        <v>1993.0</v>
      </c>
      <c r="D1661" s="9">
        <v>1230.1285</v>
      </c>
      <c r="E1661" s="10" t="str">
        <f t="array" ref="E1661">IFS(D1661&lt;=$G$3,'calculated data '!$A$3,D1661&lt;=$G$4,'calculated data '!$A$4,D1661&lt;=$G$6,'calculated data '!$A$5,D1661&gt;=$G$6,'calculated data '!$A$6)</f>
        <v>Low Demand Tier</v>
      </c>
      <c r="F1661" s="10">
        <f t="shared" si="1"/>
        <v>-0.6306102799</v>
      </c>
    </row>
    <row r="1662" ht="14.25" customHeight="1">
      <c r="A1662" s="2" t="s">
        <v>117</v>
      </c>
      <c r="B1662" s="2" t="s">
        <v>118</v>
      </c>
      <c r="C1662" s="2">
        <v>2001.0</v>
      </c>
      <c r="D1662" s="9">
        <v>1230.6577</v>
      </c>
      <c r="E1662" s="10" t="str">
        <f t="array" ref="E1662">IFS(D1662&lt;=$G$3,'calculated data '!$A$3,D1662&lt;=$G$4,'calculated data '!$A$4,D1662&lt;=$G$6,'calculated data '!$A$5,D1662&gt;=$G$6,'calculated data '!$A$6)</f>
        <v>Low Demand Tier</v>
      </c>
      <c r="F1662" s="10">
        <f t="shared" si="1"/>
        <v>-0.6305962721</v>
      </c>
    </row>
    <row r="1663" ht="14.25" customHeight="1">
      <c r="A1663" s="2" t="s">
        <v>135</v>
      </c>
      <c r="B1663" s="2" t="s">
        <v>136</v>
      </c>
      <c r="C1663" s="2">
        <v>1999.0</v>
      </c>
      <c r="D1663" s="9">
        <v>1231.3171</v>
      </c>
      <c r="E1663" s="10" t="str">
        <f t="array" ref="E1663">IFS(D1663&lt;=$G$3,'calculated data '!$A$3,D1663&lt;=$G$4,'calculated data '!$A$4,D1663&lt;=$G$6,'calculated data '!$A$5,D1663&gt;=$G$6,'calculated data '!$A$6)</f>
        <v>Low Demand Tier</v>
      </c>
      <c r="F1663" s="10">
        <f t="shared" si="1"/>
        <v>-0.6305788179</v>
      </c>
    </row>
    <row r="1664" ht="14.25" customHeight="1">
      <c r="A1664" s="2" t="s">
        <v>125</v>
      </c>
      <c r="B1664" s="2" t="s">
        <v>126</v>
      </c>
      <c r="C1664" s="2">
        <v>2019.0</v>
      </c>
      <c r="D1664" s="9">
        <v>1233.354</v>
      </c>
      <c r="E1664" s="10" t="str">
        <f t="array" ref="E1664">IFS(D1664&lt;=$G$3,'calculated data '!$A$3,D1664&lt;=$G$4,'calculated data '!$A$4,D1664&lt;=$G$6,'calculated data '!$A$5,D1664&gt;=$G$6,'calculated data '!$A$6)</f>
        <v>Low Demand Tier</v>
      </c>
      <c r="F1664" s="10">
        <f t="shared" si="1"/>
        <v>-0.6305249017</v>
      </c>
    </row>
    <row r="1665" ht="14.25" customHeight="1">
      <c r="A1665" s="2" t="s">
        <v>151</v>
      </c>
      <c r="B1665" s="2" t="s">
        <v>152</v>
      </c>
      <c r="C1665" s="2">
        <v>1973.0</v>
      </c>
      <c r="D1665" s="9">
        <v>1235.8807</v>
      </c>
      <c r="E1665" s="10" t="str">
        <f t="array" ref="E1665">IFS(D1665&lt;=$G$3,'calculated data '!$A$3,D1665&lt;=$G$4,'calculated data '!$A$4,D1665&lt;=$G$6,'calculated data '!$A$5,D1665&gt;=$G$6,'calculated data '!$A$6)</f>
        <v>Low Demand Tier</v>
      </c>
      <c r="F1665" s="10">
        <f t="shared" si="1"/>
        <v>-0.6304580206</v>
      </c>
    </row>
    <row r="1666" ht="14.25" customHeight="1">
      <c r="A1666" s="2" t="s">
        <v>157</v>
      </c>
      <c r="B1666" s="2" t="s">
        <v>158</v>
      </c>
      <c r="C1666" s="2">
        <v>1982.0</v>
      </c>
      <c r="D1666" s="9">
        <v>1236.4493</v>
      </c>
      <c r="E1666" s="10" t="str">
        <f t="array" ref="E1666">IFS(D1666&lt;=$G$3,'calculated data '!$A$3,D1666&lt;=$G$4,'calculated data '!$A$4,D1666&lt;=$G$6,'calculated data '!$A$5,D1666&gt;=$G$6,'calculated data '!$A$6)</f>
        <v>Low Demand Tier</v>
      </c>
      <c r="F1666" s="10">
        <f t="shared" si="1"/>
        <v>-0.6304429699</v>
      </c>
    </row>
    <row r="1667" ht="14.25" customHeight="1">
      <c r="A1667" s="2" t="s">
        <v>171</v>
      </c>
      <c r="B1667" s="2" t="s">
        <v>172</v>
      </c>
      <c r="C1667" s="2">
        <v>1991.0</v>
      </c>
      <c r="D1667" s="9">
        <v>1236.7384</v>
      </c>
      <c r="E1667" s="10" t="str">
        <f t="array" ref="E1667">IFS(D1667&lt;=$G$3,'calculated data '!$A$3,D1667&lt;=$G$4,'calculated data '!$A$4,D1667&lt;=$G$6,'calculated data '!$A$5,D1667&gt;=$G$6,'calculated data '!$A$6)</f>
        <v>Low Demand Tier</v>
      </c>
      <c r="F1667" s="10">
        <f t="shared" si="1"/>
        <v>-0.6304353175</v>
      </c>
    </row>
    <row r="1668" ht="14.25" customHeight="1">
      <c r="A1668" s="2" t="s">
        <v>153</v>
      </c>
      <c r="B1668" s="2" t="s">
        <v>154</v>
      </c>
      <c r="C1668" s="2">
        <v>1992.0</v>
      </c>
      <c r="D1668" s="9">
        <v>1237.1827</v>
      </c>
      <c r="E1668" s="10" t="str">
        <f t="array" ref="E1668">IFS(D1668&lt;=$G$3,'calculated data '!$A$3,D1668&lt;=$G$4,'calculated data '!$A$4,D1668&lt;=$G$6,'calculated data '!$A$5,D1668&gt;=$G$6,'calculated data '!$A$6)</f>
        <v>Low Demand Tier</v>
      </c>
      <c r="F1668" s="10">
        <f t="shared" si="1"/>
        <v>-0.630423557</v>
      </c>
    </row>
    <row r="1669" ht="14.25" customHeight="1">
      <c r="A1669" s="2" t="s">
        <v>139</v>
      </c>
      <c r="B1669" s="2" t="s">
        <v>140</v>
      </c>
      <c r="C1669" s="2">
        <v>1976.0</v>
      </c>
      <c r="D1669" s="9">
        <v>1237.7565</v>
      </c>
      <c r="E1669" s="10" t="str">
        <f t="array" ref="E1669">IFS(D1669&lt;=$G$3,'calculated data '!$A$3,D1669&lt;=$G$4,'calculated data '!$A$4,D1669&lt;=$G$6,'calculated data '!$A$5,D1669&gt;=$G$6,'calculated data '!$A$6)</f>
        <v>Low Demand Tier</v>
      </c>
      <c r="F1669" s="10">
        <f t="shared" si="1"/>
        <v>-0.6304083686</v>
      </c>
    </row>
    <row r="1670" ht="14.25" customHeight="1">
      <c r="A1670" s="2" t="s">
        <v>111</v>
      </c>
      <c r="B1670" s="2" t="s">
        <v>112</v>
      </c>
      <c r="C1670" s="2">
        <v>1996.0</v>
      </c>
      <c r="D1670" s="9">
        <v>1239.7487</v>
      </c>
      <c r="E1670" s="10" t="str">
        <f t="array" ref="E1670">IFS(D1670&lt;=$G$3,'calculated data '!$A$3,D1670&lt;=$G$4,'calculated data '!$A$4,D1670&lt;=$G$6,'calculated data '!$A$5,D1670&gt;=$G$6,'calculated data '!$A$6)</f>
        <v>Low Demand Tier</v>
      </c>
      <c r="F1670" s="10">
        <f t="shared" si="1"/>
        <v>-0.6303556356</v>
      </c>
    </row>
    <row r="1671" ht="14.25" customHeight="1">
      <c r="A1671" s="2" t="s">
        <v>113</v>
      </c>
      <c r="B1671" s="2" t="s">
        <v>114</v>
      </c>
      <c r="C1671" s="2">
        <v>2011.0</v>
      </c>
      <c r="D1671" s="9">
        <v>1239.8591</v>
      </c>
      <c r="E1671" s="10" t="str">
        <f t="array" ref="E1671">IFS(D1671&lt;=$G$3,'calculated data '!$A$3,D1671&lt;=$G$4,'calculated data '!$A$4,D1671&lt;=$G$6,'calculated data '!$A$5,D1671&gt;=$G$6,'calculated data '!$A$6)</f>
        <v>Low Demand Tier</v>
      </c>
      <c r="F1671" s="10">
        <f t="shared" si="1"/>
        <v>-0.6303527133</v>
      </c>
    </row>
    <row r="1672" ht="14.25" customHeight="1">
      <c r="A1672" s="2" t="s">
        <v>145</v>
      </c>
      <c r="B1672" s="2" t="s">
        <v>146</v>
      </c>
      <c r="C1672" s="2">
        <v>1997.0</v>
      </c>
      <c r="D1672" s="9">
        <v>1241.3744</v>
      </c>
      <c r="E1672" s="10" t="str">
        <f t="array" ref="E1672">IFS(D1672&lt;=$G$3,'calculated data '!$A$3,D1672&lt;=$G$4,'calculated data '!$A$4,D1672&lt;=$G$6,'calculated data '!$A$5,D1672&gt;=$G$6,'calculated data '!$A$6)</f>
        <v>Low Demand Tier</v>
      </c>
      <c r="F1672" s="10">
        <f t="shared" si="1"/>
        <v>-0.6303126037</v>
      </c>
    </row>
    <row r="1673" ht="14.25" customHeight="1">
      <c r="A1673" s="2" t="s">
        <v>161</v>
      </c>
      <c r="B1673" s="2" t="s">
        <v>162</v>
      </c>
      <c r="C1673" s="2">
        <v>1996.0</v>
      </c>
      <c r="D1673" s="9">
        <v>1241.3789</v>
      </c>
      <c r="E1673" s="10" t="str">
        <f t="array" ref="E1673">IFS(D1673&lt;=$G$3,'calculated data '!$A$3,D1673&lt;=$G$4,'calculated data '!$A$4,D1673&lt;=$G$6,'calculated data '!$A$5,D1673&gt;=$G$6,'calculated data '!$A$6)</f>
        <v>Low Demand Tier</v>
      </c>
      <c r="F1673" s="10">
        <f t="shared" si="1"/>
        <v>-0.6303124846</v>
      </c>
    </row>
    <row r="1674" ht="14.25" customHeight="1">
      <c r="A1674" s="2" t="s">
        <v>83</v>
      </c>
      <c r="B1674" s="2" t="s">
        <v>84</v>
      </c>
      <c r="C1674" s="2">
        <v>2005.0</v>
      </c>
      <c r="D1674" s="9">
        <v>1243.3053</v>
      </c>
      <c r="E1674" s="10" t="str">
        <f t="array" ref="E1674">IFS(D1674&lt;=$G$3,'calculated data '!$A$3,D1674&lt;=$G$4,'calculated data '!$A$4,D1674&lt;=$G$6,'calculated data '!$A$5,D1674&gt;=$G$6,'calculated data '!$A$6)</f>
        <v>Low Demand Tier</v>
      </c>
      <c r="F1674" s="10">
        <f t="shared" si="1"/>
        <v>-0.6302614933</v>
      </c>
    </row>
    <row r="1675" ht="14.25" customHeight="1">
      <c r="A1675" s="2" t="s">
        <v>107</v>
      </c>
      <c r="B1675" s="2" t="s">
        <v>108</v>
      </c>
      <c r="C1675" s="2">
        <v>1993.0</v>
      </c>
      <c r="D1675" s="9">
        <v>1243.6812</v>
      </c>
      <c r="E1675" s="10" t="str">
        <f t="array" ref="E1675">IFS(D1675&lt;=$G$3,'calculated data '!$A$3,D1675&lt;=$G$4,'calculated data '!$A$4,D1675&lt;=$G$6,'calculated data '!$A$5,D1675&gt;=$G$6,'calculated data '!$A$6)</f>
        <v>Low Demand Tier</v>
      </c>
      <c r="F1675" s="10">
        <f t="shared" si="1"/>
        <v>-0.6302515433</v>
      </c>
    </row>
    <row r="1676" ht="14.25" customHeight="1">
      <c r="A1676" s="2" t="s">
        <v>65</v>
      </c>
      <c r="B1676" s="2" t="s">
        <v>66</v>
      </c>
      <c r="C1676" s="2">
        <v>2019.0</v>
      </c>
      <c r="D1676" s="9">
        <v>1244.489</v>
      </c>
      <c r="E1676" s="10" t="str">
        <f t="array" ref="E1676">IFS(D1676&lt;=$G$3,'calculated data '!$A$3,D1676&lt;=$G$4,'calculated data '!$A$4,D1676&lt;=$G$6,'calculated data '!$A$5,D1676&gt;=$G$6,'calculated data '!$A$6)</f>
        <v>Low Demand Tier</v>
      </c>
      <c r="F1676" s="10">
        <f t="shared" si="1"/>
        <v>-0.630230161</v>
      </c>
    </row>
    <row r="1677" ht="14.25" customHeight="1">
      <c r="A1677" s="2" t="s">
        <v>157</v>
      </c>
      <c r="B1677" s="2" t="s">
        <v>158</v>
      </c>
      <c r="C1677" s="2">
        <v>1986.0</v>
      </c>
      <c r="D1677" s="9">
        <v>1244.5017</v>
      </c>
      <c r="E1677" s="10" t="str">
        <f t="array" ref="E1677">IFS(D1677&lt;=$G$3,'calculated data '!$A$3,D1677&lt;=$G$4,'calculated data '!$A$4,D1677&lt;=$G$6,'calculated data '!$A$5,D1677&gt;=$G$6,'calculated data '!$A$6)</f>
        <v>Low Demand Tier</v>
      </c>
      <c r="F1677" s="10">
        <f t="shared" si="1"/>
        <v>-0.6302298249</v>
      </c>
    </row>
    <row r="1678" ht="14.25" customHeight="1">
      <c r="A1678" s="2" t="s">
        <v>117</v>
      </c>
      <c r="B1678" s="2" t="s">
        <v>118</v>
      </c>
      <c r="C1678" s="2">
        <v>2003.0</v>
      </c>
      <c r="D1678" s="9">
        <v>1246.9777</v>
      </c>
      <c r="E1678" s="10" t="str">
        <f t="array" ref="E1678">IFS(D1678&lt;=$G$3,'calculated data '!$A$3,D1678&lt;=$G$4,'calculated data '!$A$4,D1678&lt;=$G$6,'calculated data '!$A$5,D1678&gt;=$G$6,'calculated data '!$A$6)</f>
        <v>Low Demand Tier</v>
      </c>
      <c r="F1678" s="10">
        <f t="shared" si="1"/>
        <v>-0.6301642857</v>
      </c>
    </row>
    <row r="1679" ht="14.25" customHeight="1">
      <c r="A1679" s="2" t="s">
        <v>153</v>
      </c>
      <c r="B1679" s="2" t="s">
        <v>154</v>
      </c>
      <c r="C1679" s="2">
        <v>2002.0</v>
      </c>
      <c r="D1679" s="9">
        <v>1247.1029</v>
      </c>
      <c r="E1679" s="10" t="str">
        <f t="array" ref="E1679">IFS(D1679&lt;=$G$3,'calculated data '!$A$3,D1679&lt;=$G$4,'calculated data '!$A$4,D1679&lt;=$G$6,'calculated data '!$A$5,D1679&gt;=$G$6,'calculated data '!$A$6)</f>
        <v>Low Demand Tier</v>
      </c>
      <c r="F1679" s="10">
        <f t="shared" si="1"/>
        <v>-0.6301609717</v>
      </c>
    </row>
    <row r="1680" ht="14.25" customHeight="1">
      <c r="A1680" s="2" t="s">
        <v>157</v>
      </c>
      <c r="B1680" s="2" t="s">
        <v>158</v>
      </c>
      <c r="C1680" s="2">
        <v>1981.0</v>
      </c>
      <c r="D1680" s="9">
        <v>1249.8452</v>
      </c>
      <c r="E1680" s="10" t="str">
        <f t="array" ref="E1680">IFS(D1680&lt;=$G$3,'calculated data '!$A$3,D1680&lt;=$G$4,'calculated data '!$A$4,D1680&lt;=$G$6,'calculated data '!$A$5,D1680&gt;=$G$6,'calculated data '!$A$6)</f>
        <v>Low Demand Tier</v>
      </c>
      <c r="F1680" s="10">
        <f t="shared" si="1"/>
        <v>-0.6300883837</v>
      </c>
    </row>
    <row r="1681" ht="14.25" customHeight="1">
      <c r="A1681" s="2" t="s">
        <v>165</v>
      </c>
      <c r="B1681" s="2" t="s">
        <v>166</v>
      </c>
      <c r="C1681" s="2">
        <v>1968.0</v>
      </c>
      <c r="D1681" s="9">
        <v>1250.0054</v>
      </c>
      <c r="E1681" s="10" t="str">
        <f t="array" ref="E1681">IFS(D1681&lt;=$G$3,'calculated data '!$A$3,D1681&lt;=$G$4,'calculated data '!$A$4,D1681&lt;=$G$6,'calculated data '!$A$5,D1681&gt;=$G$6,'calculated data '!$A$6)</f>
        <v>Low Demand Tier</v>
      </c>
      <c r="F1681" s="10">
        <f t="shared" si="1"/>
        <v>-0.6300841433</v>
      </c>
    </row>
    <row r="1682" ht="14.25" customHeight="1">
      <c r="A1682" s="2" t="s">
        <v>145</v>
      </c>
      <c r="B1682" s="2" t="s">
        <v>146</v>
      </c>
      <c r="C1682" s="2">
        <v>2001.0</v>
      </c>
      <c r="D1682" s="9">
        <v>1252.2299</v>
      </c>
      <c r="E1682" s="10" t="str">
        <f t="array" ref="E1682">IFS(D1682&lt;=$G$3,'calculated data '!$A$3,D1682&lt;=$G$4,'calculated data '!$A$4,D1682&lt;=$G$6,'calculated data '!$A$5,D1682&gt;=$G$6,'calculated data '!$A$6)</f>
        <v>Low Demand Tier</v>
      </c>
      <c r="F1682" s="10">
        <f t="shared" si="1"/>
        <v>-0.6300252613</v>
      </c>
    </row>
    <row r="1683" ht="14.25" customHeight="1">
      <c r="A1683" s="2" t="s">
        <v>173</v>
      </c>
      <c r="B1683" s="2" t="s">
        <v>174</v>
      </c>
      <c r="C1683" s="2">
        <v>1992.0</v>
      </c>
      <c r="D1683" s="9">
        <v>1252.47</v>
      </c>
      <c r="E1683" s="10" t="str">
        <f t="array" ref="E1683">IFS(D1683&lt;=$G$3,'calculated data '!$A$3,D1683&lt;=$G$4,'calculated data '!$A$4,D1683&lt;=$G$6,'calculated data '!$A$5,D1683&gt;=$G$6,'calculated data '!$A$6)</f>
        <v>Low Demand Tier</v>
      </c>
      <c r="F1683" s="10">
        <f t="shared" si="1"/>
        <v>-0.6300189059</v>
      </c>
    </row>
    <row r="1684" ht="14.25" customHeight="1">
      <c r="A1684" s="2" t="s">
        <v>147</v>
      </c>
      <c r="B1684" s="2" t="s">
        <v>148</v>
      </c>
      <c r="C1684" s="2">
        <v>1997.0</v>
      </c>
      <c r="D1684" s="9">
        <v>1252.5565</v>
      </c>
      <c r="E1684" s="10" t="str">
        <f t="array" ref="E1684">IFS(D1684&lt;=$G$3,'calculated data '!$A$3,D1684&lt;=$G$4,'calculated data '!$A$4,D1684&lt;=$G$6,'calculated data '!$A$5,D1684&gt;=$G$6,'calculated data '!$A$6)</f>
        <v>Low Demand Tier</v>
      </c>
      <c r="F1684" s="10">
        <f t="shared" si="1"/>
        <v>-0.6300166163</v>
      </c>
    </row>
    <row r="1685" ht="14.25" customHeight="1">
      <c r="A1685" s="2" t="s">
        <v>155</v>
      </c>
      <c r="B1685" s="2" t="s">
        <v>156</v>
      </c>
      <c r="C1685" s="2">
        <v>2014.0</v>
      </c>
      <c r="D1685" s="9">
        <v>1253.5905</v>
      </c>
      <c r="E1685" s="10" t="str">
        <f t="array" ref="E1685">IFS(D1685&lt;=$G$3,'calculated data '!$A$3,D1685&lt;=$G$4,'calculated data '!$A$4,D1685&lt;=$G$6,'calculated data '!$A$5,D1685&gt;=$G$6,'calculated data '!$A$6)</f>
        <v>Low Demand Tier</v>
      </c>
      <c r="F1685" s="10">
        <f t="shared" si="1"/>
        <v>-0.6299892466</v>
      </c>
    </row>
    <row r="1686" ht="14.25" customHeight="1">
      <c r="A1686" s="2" t="s">
        <v>153</v>
      </c>
      <c r="B1686" s="2" t="s">
        <v>154</v>
      </c>
      <c r="C1686" s="2">
        <v>1998.0</v>
      </c>
      <c r="D1686" s="9">
        <v>1256.0857</v>
      </c>
      <c r="E1686" s="10" t="str">
        <f t="array" ref="E1686">IFS(D1686&lt;=$G$3,'calculated data '!$A$3,D1686&lt;=$G$4,'calculated data '!$A$4,D1686&lt;=$G$6,'calculated data '!$A$5,D1686&gt;=$G$6,'calculated data '!$A$6)</f>
        <v>Low Demand Tier</v>
      </c>
      <c r="F1686" s="10">
        <f t="shared" si="1"/>
        <v>-0.6299231993</v>
      </c>
    </row>
    <row r="1687" ht="14.25" customHeight="1">
      <c r="A1687" s="2" t="s">
        <v>145</v>
      </c>
      <c r="B1687" s="2" t="s">
        <v>146</v>
      </c>
      <c r="C1687" s="2">
        <v>2003.0</v>
      </c>
      <c r="D1687" s="9">
        <v>1256.683</v>
      </c>
      <c r="E1687" s="10" t="str">
        <f t="array" ref="E1687">IFS(D1687&lt;=$G$3,'calculated data '!$A$3,D1687&lt;=$G$4,'calculated data '!$A$4,D1687&lt;=$G$6,'calculated data '!$A$5,D1687&gt;=$G$6,'calculated data '!$A$6)</f>
        <v>Low Demand Tier</v>
      </c>
      <c r="F1687" s="10">
        <f t="shared" si="1"/>
        <v>-0.6299073889</v>
      </c>
    </row>
    <row r="1688" ht="14.25" customHeight="1">
      <c r="A1688" s="2" t="s">
        <v>119</v>
      </c>
      <c r="B1688" s="2" t="s">
        <v>120</v>
      </c>
      <c r="C1688" s="2">
        <v>2018.0</v>
      </c>
      <c r="D1688" s="9">
        <v>1257.4487</v>
      </c>
      <c r="E1688" s="10" t="str">
        <f t="array" ref="E1688">IFS(D1688&lt;=$G$3,'calculated data '!$A$3,D1688&lt;=$G$4,'calculated data '!$A$4,D1688&lt;=$G$6,'calculated data '!$A$5,D1688&gt;=$G$6,'calculated data '!$A$6)</f>
        <v>Low Demand Tier</v>
      </c>
      <c r="F1688" s="10">
        <f t="shared" si="1"/>
        <v>-0.629887121</v>
      </c>
    </row>
    <row r="1689" ht="14.25" customHeight="1">
      <c r="A1689" s="2" t="s">
        <v>153</v>
      </c>
      <c r="B1689" s="2" t="s">
        <v>154</v>
      </c>
      <c r="C1689" s="2">
        <v>2005.0</v>
      </c>
      <c r="D1689" s="9">
        <v>1259.569</v>
      </c>
      <c r="E1689" s="10" t="str">
        <f t="array" ref="E1689">IFS(D1689&lt;=$G$3,'calculated data '!$A$3,D1689&lt;=$G$4,'calculated data '!$A$4,D1689&lt;=$G$6,'calculated data '!$A$5,D1689&gt;=$G$6,'calculated data '!$A$6)</f>
        <v>Low Demand Tier</v>
      </c>
      <c r="F1689" s="10">
        <f t="shared" si="1"/>
        <v>-0.6298309972</v>
      </c>
    </row>
    <row r="1690" ht="14.25" customHeight="1">
      <c r="A1690" s="2" t="s">
        <v>125</v>
      </c>
      <c r="B1690" s="2" t="s">
        <v>126</v>
      </c>
      <c r="C1690" s="2">
        <v>2014.0</v>
      </c>
      <c r="D1690" s="9">
        <v>1259.8407</v>
      </c>
      <c r="E1690" s="10" t="str">
        <f t="array" ref="E1690">IFS(D1690&lt;=$G$3,'calculated data '!$A$3,D1690&lt;=$G$4,'calculated data '!$A$4,D1690&lt;=$G$6,'calculated data '!$A$5,D1690&gt;=$G$6,'calculated data '!$A$6)</f>
        <v>Low Demand Tier</v>
      </c>
      <c r="F1690" s="10">
        <f t="shared" si="1"/>
        <v>-0.6298238053</v>
      </c>
    </row>
    <row r="1691" ht="14.25" customHeight="1">
      <c r="A1691" s="2" t="s">
        <v>135</v>
      </c>
      <c r="B1691" s="2" t="s">
        <v>136</v>
      </c>
      <c r="C1691" s="2">
        <v>1994.0</v>
      </c>
      <c r="D1691" s="9">
        <v>1260.0406</v>
      </c>
      <c r="E1691" s="10" t="str">
        <f t="array" ref="E1691">IFS(D1691&lt;=$G$3,'calculated data '!$A$3,D1691&lt;=$G$4,'calculated data '!$A$4,D1691&lt;=$G$6,'calculated data '!$A$5,D1691&gt;=$G$6,'calculated data '!$A$6)</f>
        <v>Low Demand Tier</v>
      </c>
      <c r="F1691" s="10">
        <f t="shared" si="1"/>
        <v>-0.629818514</v>
      </c>
    </row>
    <row r="1692" ht="14.25" customHeight="1">
      <c r="A1692" s="2" t="s">
        <v>153</v>
      </c>
      <c r="B1692" s="2" t="s">
        <v>154</v>
      </c>
      <c r="C1692" s="2">
        <v>2001.0</v>
      </c>
      <c r="D1692" s="9">
        <v>1260.5343</v>
      </c>
      <c r="E1692" s="10" t="str">
        <f t="array" ref="E1692">IFS(D1692&lt;=$G$3,'calculated data '!$A$3,D1692&lt;=$G$4,'calculated data '!$A$4,D1692&lt;=$G$6,'calculated data '!$A$5,D1692&gt;=$G$6,'calculated data '!$A$6)</f>
        <v>Low Demand Tier</v>
      </c>
      <c r="F1692" s="10">
        <f t="shared" si="1"/>
        <v>-0.6298054459</v>
      </c>
    </row>
    <row r="1693" ht="14.25" customHeight="1">
      <c r="A1693" s="2" t="s">
        <v>153</v>
      </c>
      <c r="B1693" s="2" t="s">
        <v>154</v>
      </c>
      <c r="C1693" s="2">
        <v>1995.0</v>
      </c>
      <c r="D1693" s="9">
        <v>1261.19</v>
      </c>
      <c r="E1693" s="10" t="str">
        <f t="array" ref="E1693">IFS(D1693&lt;=$G$3,'calculated data '!$A$3,D1693&lt;=$G$4,'calculated data '!$A$4,D1693&lt;=$G$6,'calculated data '!$A$5,D1693&gt;=$G$6,'calculated data '!$A$6)</f>
        <v>Low Demand Tier</v>
      </c>
      <c r="F1693" s="10">
        <f t="shared" si="1"/>
        <v>-0.6297880897</v>
      </c>
    </row>
    <row r="1694" ht="14.25" customHeight="1">
      <c r="A1694" s="2" t="s">
        <v>147</v>
      </c>
      <c r="B1694" s="2" t="s">
        <v>148</v>
      </c>
      <c r="C1694" s="2">
        <v>2013.0</v>
      </c>
      <c r="D1694" s="9">
        <v>1261.9603</v>
      </c>
      <c r="E1694" s="10" t="str">
        <f t="array" ref="E1694">IFS(D1694&lt;=$G$3,'calculated data '!$A$3,D1694&lt;=$G$4,'calculated data '!$A$4,D1694&lt;=$G$6,'calculated data '!$A$5,D1694&gt;=$G$6,'calculated data '!$A$6)</f>
        <v>Low Demand Tier</v>
      </c>
      <c r="F1694" s="10">
        <f t="shared" si="1"/>
        <v>-0.6297677001</v>
      </c>
    </row>
    <row r="1695" ht="14.25" customHeight="1">
      <c r="A1695" s="2" t="s">
        <v>163</v>
      </c>
      <c r="B1695" s="2" t="s">
        <v>164</v>
      </c>
      <c r="C1695" s="2">
        <v>1980.0</v>
      </c>
      <c r="D1695" s="9">
        <v>1262.1758</v>
      </c>
      <c r="E1695" s="10" t="str">
        <f t="array" ref="E1695">IFS(D1695&lt;=$G$3,'calculated data '!$A$3,D1695&lt;=$G$4,'calculated data '!$A$4,D1695&lt;=$G$6,'calculated data '!$A$5,D1695&gt;=$G$6,'calculated data '!$A$6)</f>
        <v>Low Demand Tier</v>
      </c>
      <c r="F1695" s="10">
        <f t="shared" si="1"/>
        <v>-0.6297619958</v>
      </c>
    </row>
    <row r="1696" ht="14.25" customHeight="1">
      <c r="A1696" s="2" t="s">
        <v>135</v>
      </c>
      <c r="B1696" s="2" t="s">
        <v>136</v>
      </c>
      <c r="C1696" s="2">
        <v>1995.0</v>
      </c>
      <c r="D1696" s="9">
        <v>1263.1909</v>
      </c>
      <c r="E1696" s="10" t="str">
        <f t="array" ref="E1696">IFS(D1696&lt;=$G$3,'calculated data '!$A$3,D1696&lt;=$G$4,'calculated data '!$A$4,D1696&lt;=$G$6,'calculated data '!$A$5,D1696&gt;=$G$6,'calculated data '!$A$6)</f>
        <v>Low Demand Tier</v>
      </c>
      <c r="F1696" s="10">
        <f t="shared" si="1"/>
        <v>-0.6297351264</v>
      </c>
    </row>
    <row r="1697" ht="14.25" customHeight="1">
      <c r="A1697" s="2" t="s">
        <v>139</v>
      </c>
      <c r="B1697" s="2" t="s">
        <v>140</v>
      </c>
      <c r="C1697" s="2">
        <v>1974.0</v>
      </c>
      <c r="D1697" s="9">
        <v>1263.3705</v>
      </c>
      <c r="E1697" s="10" t="str">
        <f t="array" ref="E1697">IFS(D1697&lt;=$G$3,'calculated data '!$A$3,D1697&lt;=$G$4,'calculated data '!$A$4,D1697&lt;=$G$6,'calculated data '!$A$5,D1697&gt;=$G$6,'calculated data '!$A$6)</f>
        <v>Low Demand Tier</v>
      </c>
      <c r="F1697" s="10">
        <f t="shared" si="1"/>
        <v>-0.6297303724</v>
      </c>
    </row>
    <row r="1698" ht="14.25" customHeight="1">
      <c r="A1698" s="2" t="s">
        <v>95</v>
      </c>
      <c r="B1698" s="2" t="s">
        <v>96</v>
      </c>
      <c r="C1698" s="2">
        <v>2020.0</v>
      </c>
      <c r="D1698" s="9">
        <v>1264.5736</v>
      </c>
      <c r="E1698" s="10" t="str">
        <f t="array" ref="E1698">IFS(D1698&lt;=$G$3,'calculated data '!$A$3,D1698&lt;=$G$4,'calculated data '!$A$4,D1698&lt;=$G$6,'calculated data '!$A$5,D1698&gt;=$G$6,'calculated data '!$A$6)</f>
        <v>Low Demand Tier</v>
      </c>
      <c r="F1698" s="10">
        <f t="shared" si="1"/>
        <v>-0.6296985267</v>
      </c>
    </row>
    <row r="1699" ht="14.25" customHeight="1">
      <c r="A1699" s="2" t="s">
        <v>65</v>
      </c>
      <c r="B1699" s="2" t="s">
        <v>66</v>
      </c>
      <c r="C1699" s="2">
        <v>2018.0</v>
      </c>
      <c r="D1699" s="9">
        <v>1265.342</v>
      </c>
      <c r="E1699" s="10" t="str">
        <f t="array" ref="E1699">IFS(D1699&lt;=$G$3,'calculated data '!$A$3,D1699&lt;=$G$4,'calculated data '!$A$4,D1699&lt;=$G$6,'calculated data '!$A$5,D1699&gt;=$G$6,'calculated data '!$A$6)</f>
        <v>Low Demand Tier</v>
      </c>
      <c r="F1699" s="10">
        <f t="shared" si="1"/>
        <v>-0.6296781873</v>
      </c>
    </row>
    <row r="1700" ht="14.25" customHeight="1">
      <c r="A1700" s="2" t="s">
        <v>161</v>
      </c>
      <c r="B1700" s="2" t="s">
        <v>162</v>
      </c>
      <c r="C1700" s="2">
        <v>1995.0</v>
      </c>
      <c r="D1700" s="9">
        <v>1266.283</v>
      </c>
      <c r="E1700" s="10" t="str">
        <f t="array" ref="E1700">IFS(D1700&lt;=$G$3,'calculated data '!$A$3,D1700&lt;=$G$4,'calculated data '!$A$4,D1700&lt;=$G$6,'calculated data '!$A$5,D1700&gt;=$G$6,'calculated data '!$A$6)</f>
        <v>Low Demand Tier</v>
      </c>
      <c r="F1700" s="10">
        <f t="shared" si="1"/>
        <v>-0.6296532793</v>
      </c>
    </row>
    <row r="1701" ht="14.25" customHeight="1">
      <c r="A1701" s="2" t="s">
        <v>123</v>
      </c>
      <c r="B1701" s="2" t="s">
        <v>124</v>
      </c>
      <c r="C1701" s="2">
        <v>2002.0</v>
      </c>
      <c r="D1701" s="9">
        <v>1266.9915</v>
      </c>
      <c r="E1701" s="10" t="str">
        <f t="array" ref="E1701">IFS(D1701&lt;=$G$3,'calculated data '!$A$3,D1701&lt;=$G$4,'calculated data '!$A$4,D1701&lt;=$G$6,'calculated data '!$A$5,D1701&gt;=$G$6,'calculated data '!$A$6)</f>
        <v>Low Demand Tier</v>
      </c>
      <c r="F1701" s="10">
        <f t="shared" si="1"/>
        <v>-0.6296345254</v>
      </c>
    </row>
    <row r="1702" ht="14.25" customHeight="1">
      <c r="A1702" s="2" t="s">
        <v>61</v>
      </c>
      <c r="B1702" s="2" t="s">
        <v>62</v>
      </c>
      <c r="C1702" s="2">
        <v>2022.0</v>
      </c>
      <c r="D1702" s="9">
        <v>1269.189</v>
      </c>
      <c r="E1702" s="10" t="str">
        <f t="array" ref="E1702">IFS(D1702&lt;=$G$3,'calculated data '!$A$3,D1702&lt;=$G$4,'calculated data '!$A$4,D1702&lt;=$G$6,'calculated data '!$A$5,D1702&gt;=$G$6,'calculated data '!$A$6)</f>
        <v>Low Demand Tier</v>
      </c>
      <c r="F1702" s="10">
        <f t="shared" si="1"/>
        <v>-0.6295763582</v>
      </c>
    </row>
    <row r="1703" ht="14.25" customHeight="1">
      <c r="A1703" s="2" t="s">
        <v>87</v>
      </c>
      <c r="B1703" s="2" t="s">
        <v>88</v>
      </c>
      <c r="C1703" s="2">
        <v>2008.0</v>
      </c>
      <c r="D1703" s="9">
        <v>1270.8457</v>
      </c>
      <c r="E1703" s="10" t="str">
        <f t="array" ref="E1703">IFS(D1703&lt;=$G$3,'calculated data '!$A$3,D1703&lt;=$G$4,'calculated data '!$A$4,D1703&lt;=$G$6,'calculated data '!$A$5,D1703&gt;=$G$6,'calculated data '!$A$6)</f>
        <v>Low Demand Tier</v>
      </c>
      <c r="F1703" s="10">
        <f t="shared" si="1"/>
        <v>-0.6295325057</v>
      </c>
    </row>
    <row r="1704" ht="14.25" customHeight="1">
      <c r="A1704" s="2" t="s">
        <v>95</v>
      </c>
      <c r="B1704" s="2" t="s">
        <v>96</v>
      </c>
      <c r="C1704" s="2">
        <v>2017.0</v>
      </c>
      <c r="D1704" s="9">
        <v>1271.8553</v>
      </c>
      <c r="E1704" s="10" t="str">
        <f t="array" ref="E1704">IFS(D1704&lt;=$G$3,'calculated data '!$A$3,D1704&lt;=$G$4,'calculated data '!$A$4,D1704&lt;=$G$6,'calculated data '!$A$5,D1704&gt;=$G$6,'calculated data '!$A$6)</f>
        <v>Low Demand Tier</v>
      </c>
      <c r="F1704" s="10">
        <f t="shared" si="1"/>
        <v>-0.6295057819</v>
      </c>
    </row>
    <row r="1705" ht="14.25" customHeight="1">
      <c r="A1705" s="2" t="s">
        <v>117</v>
      </c>
      <c r="B1705" s="2" t="s">
        <v>118</v>
      </c>
      <c r="C1705" s="2">
        <v>2005.0</v>
      </c>
      <c r="D1705" s="9">
        <v>1273.5094</v>
      </c>
      <c r="E1705" s="10" t="str">
        <f t="array" ref="E1705">IFS(D1705&lt;=$G$3,'calculated data '!$A$3,D1705&lt;=$G$4,'calculated data '!$A$4,D1705&lt;=$G$6,'calculated data '!$A$5,D1705&gt;=$G$6,'calculated data '!$A$6)</f>
        <v>Low Demand Tier</v>
      </c>
      <c r="F1705" s="10">
        <f t="shared" si="1"/>
        <v>-0.6294619983</v>
      </c>
    </row>
    <row r="1706" ht="14.25" customHeight="1">
      <c r="A1706" s="2" t="s">
        <v>125</v>
      </c>
      <c r="B1706" s="2" t="s">
        <v>126</v>
      </c>
      <c r="C1706" s="2">
        <v>2020.0</v>
      </c>
      <c r="D1706" s="9">
        <v>1275.3624</v>
      </c>
      <c r="E1706" s="10" t="str">
        <f t="array" ref="E1706">IFS(D1706&lt;=$G$3,'calculated data '!$A$3,D1706&lt;=$G$4,'calculated data '!$A$4,D1706&lt;=$G$6,'calculated data '!$A$5,D1706&gt;=$G$6,'calculated data '!$A$6)</f>
        <v>Low Demand Tier</v>
      </c>
      <c r="F1706" s="10">
        <f t="shared" si="1"/>
        <v>-0.6294129498</v>
      </c>
    </row>
    <row r="1707" ht="14.25" customHeight="1">
      <c r="A1707" s="2" t="s">
        <v>95</v>
      </c>
      <c r="B1707" s="2" t="s">
        <v>96</v>
      </c>
      <c r="C1707" s="2">
        <v>2015.0</v>
      </c>
      <c r="D1707" s="9">
        <v>1275.7141</v>
      </c>
      <c r="E1707" s="10" t="str">
        <f t="array" ref="E1707">IFS(D1707&lt;=$G$3,'calculated data '!$A$3,D1707&lt;=$G$4,'calculated data '!$A$4,D1707&lt;=$G$6,'calculated data '!$A$5,D1707&gt;=$G$6,'calculated data '!$A$6)</f>
        <v>Low Demand Tier</v>
      </c>
      <c r="F1707" s="10">
        <f t="shared" si="1"/>
        <v>-0.6294036404</v>
      </c>
    </row>
    <row r="1708" ht="14.25" customHeight="1">
      <c r="A1708" s="2" t="s">
        <v>65</v>
      </c>
      <c r="B1708" s="2" t="s">
        <v>66</v>
      </c>
      <c r="C1708" s="2">
        <v>2012.0</v>
      </c>
      <c r="D1708" s="9">
        <v>1276.8679</v>
      </c>
      <c r="E1708" s="10" t="str">
        <f t="array" ref="E1708">IFS(D1708&lt;=$G$3,'calculated data '!$A$3,D1708&lt;=$G$4,'calculated data '!$A$4,D1708&lt;=$G$6,'calculated data '!$A$5,D1708&gt;=$G$6,'calculated data '!$A$6)</f>
        <v>Low Demand Tier</v>
      </c>
      <c r="F1708" s="10">
        <f t="shared" si="1"/>
        <v>-0.6293730996</v>
      </c>
    </row>
    <row r="1709" ht="14.25" customHeight="1">
      <c r="A1709" s="2" t="s">
        <v>147</v>
      </c>
      <c r="B1709" s="2" t="s">
        <v>148</v>
      </c>
      <c r="C1709" s="2">
        <v>2007.0</v>
      </c>
      <c r="D1709" s="9">
        <v>1277.7561</v>
      </c>
      <c r="E1709" s="10" t="str">
        <f t="array" ref="E1709">IFS(D1709&lt;=$G$3,'calculated data '!$A$3,D1709&lt;=$G$4,'calculated data '!$A$4,D1709&lt;=$G$6,'calculated data '!$A$5,D1709&gt;=$G$6,'calculated data '!$A$6)</f>
        <v>Low Demand Tier</v>
      </c>
      <c r="F1709" s="10">
        <f t="shared" si="1"/>
        <v>-0.6293495892</v>
      </c>
    </row>
    <row r="1710" ht="14.25" customHeight="1">
      <c r="A1710" s="2" t="s">
        <v>157</v>
      </c>
      <c r="B1710" s="2" t="s">
        <v>158</v>
      </c>
      <c r="C1710" s="2">
        <v>1980.0</v>
      </c>
      <c r="D1710" s="9">
        <v>1279.3448</v>
      </c>
      <c r="E1710" s="10" t="str">
        <f t="array" ref="E1710">IFS(D1710&lt;=$G$3,'calculated data '!$A$3,D1710&lt;=$G$4,'calculated data '!$A$4,D1710&lt;=$G$6,'calculated data '!$A$5,D1710&gt;=$G$6,'calculated data '!$A$6)</f>
        <v>Low Demand Tier</v>
      </c>
      <c r="F1710" s="10">
        <f t="shared" si="1"/>
        <v>-0.6293075367</v>
      </c>
    </row>
    <row r="1711" ht="14.25" customHeight="1">
      <c r="A1711" s="2" t="s">
        <v>153</v>
      </c>
      <c r="B1711" s="2" t="s">
        <v>154</v>
      </c>
      <c r="C1711" s="2">
        <v>1996.0</v>
      </c>
      <c r="D1711" s="9">
        <v>1279.3549</v>
      </c>
      <c r="E1711" s="10" t="str">
        <f t="array" ref="E1711">IFS(D1711&lt;=$G$3,'calculated data '!$A$3,D1711&lt;=$G$4,'calculated data '!$A$4,D1711&lt;=$G$6,'calculated data '!$A$5,D1711&gt;=$G$6,'calculated data '!$A$6)</f>
        <v>Low Demand Tier</v>
      </c>
      <c r="F1711" s="10">
        <f t="shared" si="1"/>
        <v>-0.6293072693</v>
      </c>
    </row>
    <row r="1712" ht="14.25" customHeight="1">
      <c r="A1712" s="2" t="s">
        <v>135</v>
      </c>
      <c r="B1712" s="2" t="s">
        <v>136</v>
      </c>
      <c r="C1712" s="2">
        <v>1996.0</v>
      </c>
      <c r="D1712" s="9">
        <v>1280.387</v>
      </c>
      <c r="E1712" s="10" t="str">
        <f t="array" ref="E1712">IFS(D1712&lt;=$G$3,'calculated data '!$A$3,D1712&lt;=$G$4,'calculated data '!$A$4,D1712&lt;=$G$6,'calculated data '!$A$5,D1712&gt;=$G$6,'calculated data '!$A$6)</f>
        <v>Low Demand Tier</v>
      </c>
      <c r="F1712" s="10">
        <f t="shared" si="1"/>
        <v>-0.6292799499</v>
      </c>
    </row>
    <row r="1713" ht="14.25" customHeight="1">
      <c r="A1713" s="2" t="s">
        <v>59</v>
      </c>
      <c r="B1713" s="2" t="s">
        <v>60</v>
      </c>
      <c r="C1713" s="2">
        <v>2019.0</v>
      </c>
      <c r="D1713" s="9">
        <v>1280.682</v>
      </c>
      <c r="E1713" s="10" t="str">
        <f t="array" ref="E1713">IFS(D1713&lt;=$G$3,'calculated data '!$A$3,D1713&lt;=$G$4,'calculated data '!$A$4,D1713&lt;=$G$6,'calculated data '!$A$5,D1713&gt;=$G$6,'calculated data '!$A$6)</f>
        <v>Low Demand Tier</v>
      </c>
      <c r="F1713" s="10">
        <f t="shared" si="1"/>
        <v>-0.6292721413</v>
      </c>
    </row>
    <row r="1714" ht="14.25" customHeight="1">
      <c r="A1714" s="2" t="s">
        <v>123</v>
      </c>
      <c r="B1714" s="2" t="s">
        <v>124</v>
      </c>
      <c r="C1714" s="2">
        <v>2024.0</v>
      </c>
      <c r="D1714" s="9">
        <v>1281.5796</v>
      </c>
      <c r="E1714" s="10" t="str">
        <f t="array" ref="E1714">IFS(D1714&lt;=$G$3,'calculated data '!$A$3,D1714&lt;=$G$4,'calculated data '!$A$4,D1714&lt;=$G$6,'calculated data '!$A$5,D1714&gt;=$G$6,'calculated data '!$A$6)</f>
        <v>Low Demand Tier</v>
      </c>
      <c r="F1714" s="10">
        <f t="shared" si="1"/>
        <v>-0.6292483821</v>
      </c>
    </row>
    <row r="1715" ht="14.25" customHeight="1">
      <c r="A1715" s="2" t="s">
        <v>151</v>
      </c>
      <c r="B1715" s="2" t="s">
        <v>152</v>
      </c>
      <c r="C1715" s="2">
        <v>1974.0</v>
      </c>
      <c r="D1715" s="9">
        <v>1283.902</v>
      </c>
      <c r="E1715" s="10" t="str">
        <f t="array" ref="E1715">IFS(D1715&lt;=$G$3,'calculated data '!$A$3,D1715&lt;=$G$4,'calculated data '!$A$4,D1715&lt;=$G$6,'calculated data '!$A$5,D1715&gt;=$G$6,'calculated data '!$A$6)</f>
        <v>Low Demand Tier</v>
      </c>
      <c r="F1715" s="10">
        <f t="shared" si="1"/>
        <v>-0.6291869087</v>
      </c>
    </row>
    <row r="1716" ht="14.25" customHeight="1">
      <c r="A1716" s="2" t="s">
        <v>175</v>
      </c>
      <c r="B1716" s="2" t="s">
        <v>176</v>
      </c>
      <c r="C1716" s="2">
        <v>1972.0</v>
      </c>
      <c r="D1716" s="9">
        <v>1285.1421</v>
      </c>
      <c r="E1716" s="10" t="str">
        <f t="array" ref="E1716">IFS(D1716&lt;=$G$3,'calculated data '!$A$3,D1716&lt;=$G$4,'calculated data '!$A$4,D1716&lt;=$G$6,'calculated data '!$A$5,D1716&gt;=$G$6,'calculated data '!$A$6)</f>
        <v>Low Demand Tier</v>
      </c>
      <c r="F1716" s="10">
        <f t="shared" si="1"/>
        <v>-0.6291540836</v>
      </c>
    </row>
    <row r="1717" ht="14.25" customHeight="1">
      <c r="A1717" s="2" t="s">
        <v>97</v>
      </c>
      <c r="B1717" s="2" t="s">
        <v>98</v>
      </c>
      <c r="C1717" s="2">
        <v>2011.0</v>
      </c>
      <c r="D1717" s="9">
        <v>1287.5807</v>
      </c>
      <c r="E1717" s="10" t="str">
        <f t="array" ref="E1717">IFS(D1717&lt;=$G$3,'calculated data '!$A$3,D1717&lt;=$G$4,'calculated data '!$A$4,D1717&lt;=$G$6,'calculated data '!$A$5,D1717&gt;=$G$6,'calculated data '!$A$6)</f>
        <v>Low Demand Tier</v>
      </c>
      <c r="F1717" s="10">
        <f t="shared" si="1"/>
        <v>-0.6290895345</v>
      </c>
    </row>
    <row r="1718" ht="14.25" customHeight="1">
      <c r="A1718" s="2" t="s">
        <v>147</v>
      </c>
      <c r="B1718" s="2" t="s">
        <v>148</v>
      </c>
      <c r="C1718" s="2">
        <v>1995.0</v>
      </c>
      <c r="D1718" s="9">
        <v>1287.8914</v>
      </c>
      <c r="E1718" s="10" t="str">
        <f t="array" ref="E1718">IFS(D1718&lt;=$G$3,'calculated data '!$A$3,D1718&lt;=$G$4,'calculated data '!$A$4,D1718&lt;=$G$6,'calculated data '!$A$5,D1718&gt;=$G$6,'calculated data '!$A$6)</f>
        <v>Low Demand Tier</v>
      </c>
      <c r="F1718" s="10">
        <f t="shared" si="1"/>
        <v>-0.6290813103</v>
      </c>
    </row>
    <row r="1719" ht="14.25" customHeight="1">
      <c r="A1719" s="2" t="s">
        <v>153</v>
      </c>
      <c r="B1719" s="2" t="s">
        <v>154</v>
      </c>
      <c r="C1719" s="2">
        <v>2008.0</v>
      </c>
      <c r="D1719" s="9">
        <v>1288.5437</v>
      </c>
      <c r="E1719" s="10" t="str">
        <f t="array" ref="E1719">IFS(D1719&lt;=$G$3,'calculated data '!$A$3,D1719&lt;=$G$4,'calculated data '!$A$4,D1719&lt;=$G$6,'calculated data '!$A$5,D1719&gt;=$G$6,'calculated data '!$A$6)</f>
        <v>Low Demand Tier</v>
      </c>
      <c r="F1719" s="10">
        <f t="shared" si="1"/>
        <v>-0.6290640441</v>
      </c>
    </row>
    <row r="1720" ht="14.25" customHeight="1">
      <c r="A1720" s="2" t="s">
        <v>139</v>
      </c>
      <c r="B1720" s="2" t="s">
        <v>140</v>
      </c>
      <c r="C1720" s="2">
        <v>1975.0</v>
      </c>
      <c r="D1720" s="9">
        <v>1289.2903</v>
      </c>
      <c r="E1720" s="10" t="str">
        <f t="array" ref="E1720">IFS(D1720&lt;=$G$3,'calculated data '!$A$3,D1720&lt;=$G$4,'calculated data '!$A$4,D1720&lt;=$G$6,'calculated data '!$A$5,D1720&gt;=$G$6,'calculated data '!$A$6)</f>
        <v>Low Demand Tier</v>
      </c>
      <c r="F1720" s="10">
        <f t="shared" si="1"/>
        <v>-0.6290442818</v>
      </c>
    </row>
    <row r="1721" ht="14.25" customHeight="1">
      <c r="A1721" s="2" t="s">
        <v>133</v>
      </c>
      <c r="B1721" s="2" t="s">
        <v>134</v>
      </c>
      <c r="C1721" s="2">
        <v>1994.0</v>
      </c>
      <c r="D1721" s="9">
        <v>1289.3608</v>
      </c>
      <c r="E1721" s="10" t="str">
        <f t="array" ref="E1721">IFS(D1721&lt;=$G$3,'calculated data '!$A$3,D1721&lt;=$G$4,'calculated data '!$A$4,D1721&lt;=$G$6,'calculated data '!$A$5,D1721&gt;=$G$6,'calculated data '!$A$6)</f>
        <v>Low Demand Tier</v>
      </c>
      <c r="F1721" s="10">
        <f t="shared" si="1"/>
        <v>-0.6290424156</v>
      </c>
    </row>
    <row r="1722" ht="14.25" customHeight="1">
      <c r="A1722" s="2" t="s">
        <v>155</v>
      </c>
      <c r="B1722" s="2" t="s">
        <v>156</v>
      </c>
      <c r="C1722" s="2">
        <v>2013.0</v>
      </c>
      <c r="D1722" s="9">
        <v>1290.1213</v>
      </c>
      <c r="E1722" s="10" t="str">
        <f t="array" ref="E1722">IFS(D1722&lt;=$G$3,'calculated data '!$A$3,D1722&lt;=$G$4,'calculated data '!$A$4,D1722&lt;=$G$6,'calculated data '!$A$5,D1722&gt;=$G$6,'calculated data '!$A$6)</f>
        <v>Low Demand Tier</v>
      </c>
      <c r="F1722" s="10">
        <f t="shared" si="1"/>
        <v>-0.6290222854</v>
      </c>
    </row>
    <row r="1723" ht="14.25" customHeight="1">
      <c r="A1723" s="2" t="s">
        <v>165</v>
      </c>
      <c r="B1723" s="2" t="s">
        <v>166</v>
      </c>
      <c r="C1723" s="2">
        <v>1970.0</v>
      </c>
      <c r="D1723" s="9">
        <v>1290.4843</v>
      </c>
      <c r="E1723" s="10" t="str">
        <f t="array" ref="E1723">IFS(D1723&lt;=$G$3,'calculated data '!$A$3,D1723&lt;=$G$4,'calculated data '!$A$4,D1723&lt;=$G$6,'calculated data '!$A$5,D1723&gt;=$G$6,'calculated data '!$A$6)</f>
        <v>Low Demand Tier</v>
      </c>
      <c r="F1723" s="10">
        <f t="shared" si="1"/>
        <v>-0.6290126769</v>
      </c>
    </row>
    <row r="1724" ht="14.25" customHeight="1">
      <c r="A1724" s="2" t="s">
        <v>147</v>
      </c>
      <c r="B1724" s="2" t="s">
        <v>148</v>
      </c>
      <c r="C1724" s="2">
        <v>1994.0</v>
      </c>
      <c r="D1724" s="9">
        <v>1292.4113</v>
      </c>
      <c r="E1724" s="10" t="str">
        <f t="array" ref="E1724">IFS(D1724&lt;=$G$3,'calculated data '!$A$3,D1724&lt;=$G$4,'calculated data '!$A$4,D1724&lt;=$G$6,'calculated data '!$A$5,D1724&gt;=$G$6,'calculated data '!$A$6)</f>
        <v>Low Demand Tier</v>
      </c>
      <c r="F1724" s="10">
        <f t="shared" si="1"/>
        <v>-0.6289616697</v>
      </c>
    </row>
    <row r="1725" ht="14.25" customHeight="1">
      <c r="A1725" s="2" t="s">
        <v>135</v>
      </c>
      <c r="B1725" s="2" t="s">
        <v>136</v>
      </c>
      <c r="C1725" s="2">
        <v>2003.0</v>
      </c>
      <c r="D1725" s="9">
        <v>1292.5305</v>
      </c>
      <c r="E1725" s="10" t="str">
        <f t="array" ref="E1725">IFS(D1725&lt;=$G$3,'calculated data '!$A$3,D1725&lt;=$G$4,'calculated data '!$A$4,D1725&lt;=$G$6,'calculated data '!$A$5,D1725&gt;=$G$6,'calculated data '!$A$6)</f>
        <v>Low Demand Tier</v>
      </c>
      <c r="F1725" s="10">
        <f t="shared" si="1"/>
        <v>-0.6289585145</v>
      </c>
    </row>
    <row r="1726" ht="14.25" customHeight="1">
      <c r="A1726" s="2" t="s">
        <v>161</v>
      </c>
      <c r="B1726" s="2" t="s">
        <v>162</v>
      </c>
      <c r="C1726" s="2">
        <v>1994.0</v>
      </c>
      <c r="D1726" s="9">
        <v>1295.9537</v>
      </c>
      <c r="E1726" s="10" t="str">
        <f t="array" ref="E1726">IFS(D1726&lt;=$G$3,'calculated data '!$A$3,D1726&lt;=$G$4,'calculated data '!$A$4,D1726&lt;=$G$6,'calculated data '!$A$5,D1726&gt;=$G$6,'calculated data '!$A$6)</f>
        <v>Low Demand Tier</v>
      </c>
      <c r="F1726" s="10">
        <f t="shared" si="1"/>
        <v>-0.6288679032</v>
      </c>
    </row>
    <row r="1727" ht="14.25" customHeight="1">
      <c r="A1727" s="2" t="s">
        <v>123</v>
      </c>
      <c r="B1727" s="2" t="s">
        <v>124</v>
      </c>
      <c r="C1727" s="2">
        <v>2003.0</v>
      </c>
      <c r="D1727" s="9">
        <v>1296.3258</v>
      </c>
      <c r="E1727" s="10" t="str">
        <f t="array" ref="E1727">IFS(D1727&lt;=$G$3,'calculated data '!$A$3,D1727&lt;=$G$4,'calculated data '!$A$4,D1727&lt;=$G$6,'calculated data '!$A$5,D1727&gt;=$G$6,'calculated data '!$A$6)</f>
        <v>Low Demand Tier</v>
      </c>
      <c r="F1727" s="10">
        <f t="shared" si="1"/>
        <v>-0.6288580538</v>
      </c>
    </row>
    <row r="1728" ht="14.25" customHeight="1">
      <c r="A1728" s="2" t="s">
        <v>147</v>
      </c>
      <c r="B1728" s="2" t="s">
        <v>148</v>
      </c>
      <c r="C1728" s="2">
        <v>1980.0</v>
      </c>
      <c r="D1728" s="9">
        <v>1296.7958</v>
      </c>
      <c r="E1728" s="10" t="str">
        <f t="array" ref="E1728">IFS(D1728&lt;=$G$3,'calculated data '!$A$3,D1728&lt;=$G$4,'calculated data '!$A$4,D1728&lt;=$G$6,'calculated data '!$A$5,D1728&gt;=$G$6,'calculated data '!$A$6)</f>
        <v>Low Demand Tier</v>
      </c>
      <c r="F1728" s="10">
        <f t="shared" si="1"/>
        <v>-0.628845613</v>
      </c>
    </row>
    <row r="1729" ht="14.25" customHeight="1">
      <c r="A1729" s="2" t="s">
        <v>177</v>
      </c>
      <c r="B1729" s="2" t="s">
        <v>178</v>
      </c>
      <c r="C1729" s="2">
        <v>2016.0</v>
      </c>
      <c r="D1729" s="9">
        <v>1297.8339</v>
      </c>
      <c r="E1729" s="10" t="str">
        <f t="array" ref="E1729">IFS(D1729&lt;=$G$3,'calculated data '!$A$3,D1729&lt;=$G$4,'calculated data '!$A$4,D1729&lt;=$G$6,'calculated data '!$A$5,D1729&gt;=$G$6,'calculated data '!$A$6)</f>
        <v>Low Demand Tier</v>
      </c>
      <c r="F1729" s="10">
        <f t="shared" si="1"/>
        <v>-0.6288181348</v>
      </c>
    </row>
    <row r="1730" ht="14.25" customHeight="1">
      <c r="A1730" s="2" t="s">
        <v>135</v>
      </c>
      <c r="B1730" s="2" t="s">
        <v>136</v>
      </c>
      <c r="C1730" s="2">
        <v>1989.0</v>
      </c>
      <c r="D1730" s="9">
        <v>1298.1891</v>
      </c>
      <c r="E1730" s="10" t="str">
        <f t="array" ref="E1730">IFS(D1730&lt;=$G$3,'calculated data '!$A$3,D1730&lt;=$G$4,'calculated data '!$A$4,D1730&lt;=$G$6,'calculated data '!$A$5,D1730&gt;=$G$6,'calculated data '!$A$6)</f>
        <v>Low Demand Tier</v>
      </c>
      <c r="F1730" s="10">
        <f t="shared" si="1"/>
        <v>-0.6288087327</v>
      </c>
    </row>
    <row r="1731" ht="14.25" customHeight="1">
      <c r="A1731" s="2" t="s">
        <v>99</v>
      </c>
      <c r="B1731" s="2" t="s">
        <v>100</v>
      </c>
      <c r="C1731" s="2">
        <v>1985.0</v>
      </c>
      <c r="D1731" s="9">
        <v>1298.2433</v>
      </c>
      <c r="E1731" s="10" t="str">
        <f t="array" ref="E1731">IFS(D1731&lt;=$G$3,'calculated data '!$A$3,D1731&lt;=$G$4,'calculated data '!$A$4,D1731&lt;=$G$6,'calculated data '!$A$5,D1731&gt;=$G$6,'calculated data '!$A$6)</f>
        <v>Low Demand Tier</v>
      </c>
      <c r="F1731" s="10">
        <f t="shared" si="1"/>
        <v>-0.6288072981</v>
      </c>
    </row>
    <row r="1732" ht="14.25" customHeight="1">
      <c r="A1732" s="2" t="s">
        <v>145</v>
      </c>
      <c r="B1732" s="2" t="s">
        <v>146</v>
      </c>
      <c r="C1732" s="2">
        <v>1996.0</v>
      </c>
      <c r="D1732" s="9">
        <v>1298.5</v>
      </c>
      <c r="E1732" s="10" t="str">
        <f t="array" ref="E1732">IFS(D1732&lt;=$G$3,'calculated data '!$A$3,D1732&lt;=$G$4,'calculated data '!$A$4,D1732&lt;=$G$6,'calculated data '!$A$5,D1732&gt;=$G$6,'calculated data '!$A$6)</f>
        <v>Low Demand Tier</v>
      </c>
      <c r="F1732" s="10">
        <f t="shared" si="1"/>
        <v>-0.6288005033</v>
      </c>
    </row>
    <row r="1733" ht="14.25" customHeight="1">
      <c r="A1733" s="2" t="s">
        <v>147</v>
      </c>
      <c r="B1733" s="2" t="s">
        <v>148</v>
      </c>
      <c r="C1733" s="2">
        <v>1981.0</v>
      </c>
      <c r="D1733" s="9">
        <v>1298.9615</v>
      </c>
      <c r="E1733" s="10" t="str">
        <f t="array" ref="E1733">IFS(D1733&lt;=$G$3,'calculated data '!$A$3,D1733&lt;=$G$4,'calculated data '!$A$4,D1733&lt;=$G$6,'calculated data '!$A$5,D1733&gt;=$G$6,'calculated data '!$A$6)</f>
        <v>Low Demand Tier</v>
      </c>
      <c r="F1733" s="10">
        <f t="shared" si="1"/>
        <v>-0.6287882875</v>
      </c>
    </row>
    <row r="1734" ht="14.25" customHeight="1">
      <c r="A1734" s="2" t="s">
        <v>155</v>
      </c>
      <c r="B1734" s="2" t="s">
        <v>156</v>
      </c>
      <c r="C1734" s="2">
        <v>2018.0</v>
      </c>
      <c r="D1734" s="9">
        <v>1300.2728</v>
      </c>
      <c r="E1734" s="10" t="str">
        <f t="array" ref="E1734">IFS(D1734&lt;=$G$3,'calculated data '!$A$3,D1734&lt;=$G$4,'calculated data '!$A$4,D1734&lt;=$G$6,'calculated data '!$A$5,D1734&gt;=$G$6,'calculated data '!$A$6)</f>
        <v>Low Demand Tier</v>
      </c>
      <c r="F1734" s="10">
        <f t="shared" si="1"/>
        <v>-0.6287535777</v>
      </c>
    </row>
    <row r="1735" ht="14.25" customHeight="1">
      <c r="A1735" s="2" t="s">
        <v>139</v>
      </c>
      <c r="B1735" s="2" t="s">
        <v>140</v>
      </c>
      <c r="C1735" s="2">
        <v>1977.0</v>
      </c>
      <c r="D1735" s="9">
        <v>1302.8768</v>
      </c>
      <c r="E1735" s="10" t="str">
        <f t="array" ref="E1735">IFS(D1735&lt;=$G$3,'calculated data '!$A$3,D1735&lt;=$G$4,'calculated data '!$A$4,D1735&lt;=$G$6,'calculated data '!$A$5,D1735&gt;=$G$6,'calculated data '!$A$6)</f>
        <v>Low Demand Tier</v>
      </c>
      <c r="F1735" s="10">
        <f t="shared" si="1"/>
        <v>-0.6286846505</v>
      </c>
    </row>
    <row r="1736" ht="14.25" customHeight="1">
      <c r="A1736" s="2" t="s">
        <v>117</v>
      </c>
      <c r="B1736" s="2" t="s">
        <v>118</v>
      </c>
      <c r="C1736" s="2">
        <v>2004.0</v>
      </c>
      <c r="D1736" s="9">
        <v>1303.5225</v>
      </c>
      <c r="E1736" s="10" t="str">
        <f t="array" ref="E1736">IFS(D1736&lt;=$G$3,'calculated data '!$A$3,D1736&lt;=$G$4,'calculated data '!$A$4,D1736&lt;=$G$6,'calculated data '!$A$5,D1736&gt;=$G$6,'calculated data '!$A$6)</f>
        <v>Low Demand Tier</v>
      </c>
      <c r="F1736" s="10">
        <f t="shared" si="1"/>
        <v>-0.628667559</v>
      </c>
    </row>
    <row r="1737" ht="14.25" customHeight="1">
      <c r="A1737" s="2" t="s">
        <v>21</v>
      </c>
      <c r="B1737" s="2" t="s">
        <v>22</v>
      </c>
      <c r="C1737" s="2">
        <v>2005.0</v>
      </c>
      <c r="D1737" s="9">
        <v>1304.8973</v>
      </c>
      <c r="E1737" s="10" t="str">
        <f t="array" ref="E1737">IFS(D1737&lt;=$G$3,'calculated data '!$A$3,D1737&lt;=$G$4,'calculated data '!$A$4,D1737&lt;=$G$6,'calculated data '!$A$5,D1737&gt;=$G$6,'calculated data '!$A$6)</f>
        <v>Low Demand Tier</v>
      </c>
      <c r="F1737" s="10">
        <f t="shared" si="1"/>
        <v>-0.6286311684</v>
      </c>
    </row>
    <row r="1738" ht="14.25" customHeight="1">
      <c r="A1738" s="2" t="s">
        <v>153</v>
      </c>
      <c r="B1738" s="2" t="s">
        <v>154</v>
      </c>
      <c r="C1738" s="2">
        <v>1988.0</v>
      </c>
      <c r="D1738" s="9">
        <v>1305.8276</v>
      </c>
      <c r="E1738" s="10" t="str">
        <f t="array" ref="E1738">IFS(D1738&lt;=$G$3,'calculated data '!$A$3,D1738&lt;=$G$4,'calculated data '!$A$4,D1738&lt;=$G$6,'calculated data '!$A$5,D1738&gt;=$G$6,'calculated data '!$A$6)</f>
        <v>Low Demand Tier</v>
      </c>
      <c r="F1738" s="10">
        <f t="shared" si="1"/>
        <v>-0.6286065436</v>
      </c>
    </row>
    <row r="1739" ht="14.25" customHeight="1">
      <c r="A1739" s="2" t="s">
        <v>165</v>
      </c>
      <c r="B1739" s="2" t="s">
        <v>166</v>
      </c>
      <c r="C1739" s="2">
        <v>1971.0</v>
      </c>
      <c r="D1739" s="9">
        <v>1306.6584</v>
      </c>
      <c r="E1739" s="10" t="str">
        <f t="array" ref="E1739">IFS(D1739&lt;=$G$3,'calculated data '!$A$3,D1739&lt;=$G$4,'calculated data '!$A$4,D1739&lt;=$G$6,'calculated data '!$A$5,D1739&gt;=$G$6,'calculated data '!$A$6)</f>
        <v>Low Demand Tier</v>
      </c>
      <c r="F1739" s="10">
        <f t="shared" si="1"/>
        <v>-0.6285845525</v>
      </c>
    </row>
    <row r="1740" ht="14.25" customHeight="1">
      <c r="A1740" s="2" t="s">
        <v>95</v>
      </c>
      <c r="B1740" s="2" t="s">
        <v>96</v>
      </c>
      <c r="C1740" s="2">
        <v>2016.0</v>
      </c>
      <c r="D1740" s="9">
        <v>1308.6068</v>
      </c>
      <c r="E1740" s="10" t="str">
        <f t="array" ref="E1740">IFS(D1740&lt;=$G$3,'calculated data '!$A$3,D1740&lt;=$G$4,'calculated data '!$A$4,D1740&lt;=$G$6,'calculated data '!$A$5,D1740&gt;=$G$6,'calculated data '!$A$6)</f>
        <v>Low Demand Tier</v>
      </c>
      <c r="F1740" s="10">
        <f t="shared" si="1"/>
        <v>-0.6285329788</v>
      </c>
    </row>
    <row r="1741" ht="14.25" customHeight="1">
      <c r="A1741" s="2" t="s">
        <v>153</v>
      </c>
      <c r="B1741" s="2" t="s">
        <v>154</v>
      </c>
      <c r="C1741" s="2">
        <v>2007.0</v>
      </c>
      <c r="D1741" s="9">
        <v>1309.0212</v>
      </c>
      <c r="E1741" s="10" t="str">
        <f t="array" ref="E1741">IFS(D1741&lt;=$G$3,'calculated data '!$A$3,D1741&lt;=$G$4,'calculated data '!$A$4,D1741&lt;=$G$6,'calculated data '!$A$5,D1741&gt;=$G$6,'calculated data '!$A$6)</f>
        <v>Low Demand Tier</v>
      </c>
      <c r="F1741" s="10">
        <f t="shared" si="1"/>
        <v>-0.6285220098</v>
      </c>
    </row>
    <row r="1742" ht="14.25" customHeight="1">
      <c r="A1742" s="2" t="s">
        <v>145</v>
      </c>
      <c r="B1742" s="2" t="s">
        <v>146</v>
      </c>
      <c r="C1742" s="2">
        <v>2004.0</v>
      </c>
      <c r="D1742" s="9">
        <v>1309.1797</v>
      </c>
      <c r="E1742" s="10" t="str">
        <f t="array" ref="E1742">IFS(D1742&lt;=$G$3,'calculated data '!$A$3,D1742&lt;=$G$4,'calculated data '!$A$4,D1742&lt;=$G$6,'calculated data '!$A$5,D1742&gt;=$G$6,'calculated data '!$A$6)</f>
        <v>Low Demand Tier</v>
      </c>
      <c r="F1742" s="10">
        <f t="shared" si="1"/>
        <v>-0.6285178143</v>
      </c>
    </row>
    <row r="1743" ht="14.25" customHeight="1">
      <c r="A1743" s="2" t="s">
        <v>147</v>
      </c>
      <c r="B1743" s="2" t="s">
        <v>148</v>
      </c>
      <c r="C1743" s="2">
        <v>2022.0</v>
      </c>
      <c r="D1743" s="9">
        <v>1309.3636</v>
      </c>
      <c r="E1743" s="10" t="str">
        <f t="array" ref="E1743">IFS(D1743&lt;=$G$3,'calculated data '!$A$3,D1743&lt;=$G$4,'calculated data '!$A$4,D1743&lt;=$G$6,'calculated data '!$A$5,D1743&gt;=$G$6,'calculated data '!$A$6)</f>
        <v>Low Demand Tier</v>
      </c>
      <c r="F1743" s="10">
        <f t="shared" si="1"/>
        <v>-0.6285129465</v>
      </c>
    </row>
    <row r="1744" ht="14.25" customHeight="1">
      <c r="A1744" s="2" t="s">
        <v>139</v>
      </c>
      <c r="B1744" s="2" t="s">
        <v>140</v>
      </c>
      <c r="C1744" s="2">
        <v>1989.0</v>
      </c>
      <c r="D1744" s="9">
        <v>1311.7208</v>
      </c>
      <c r="E1744" s="10" t="str">
        <f t="array" ref="E1744">IFS(D1744&lt;=$G$3,'calculated data '!$A$3,D1744&lt;=$G$4,'calculated data '!$A$4,D1744&lt;=$G$6,'calculated data '!$A$5,D1744&gt;=$G$6,'calculated data '!$A$6)</f>
        <v>Low Demand Tier</v>
      </c>
      <c r="F1744" s="10">
        <f t="shared" si="1"/>
        <v>-0.628450552</v>
      </c>
    </row>
    <row r="1745" ht="14.25" customHeight="1">
      <c r="A1745" s="2" t="s">
        <v>173</v>
      </c>
      <c r="B1745" s="2" t="s">
        <v>174</v>
      </c>
      <c r="C1745" s="2">
        <v>1991.0</v>
      </c>
      <c r="D1745" s="9">
        <v>1312.0425</v>
      </c>
      <c r="E1745" s="10" t="str">
        <f t="array" ref="E1745">IFS(D1745&lt;=$G$3,'calculated data '!$A$3,D1745&lt;=$G$4,'calculated data '!$A$4,D1745&lt;=$G$6,'calculated data '!$A$5,D1745&gt;=$G$6,'calculated data '!$A$6)</f>
        <v>Low Demand Tier</v>
      </c>
      <c r="F1745" s="10">
        <f t="shared" si="1"/>
        <v>-0.6284420367</v>
      </c>
    </row>
    <row r="1746" ht="14.25" customHeight="1">
      <c r="A1746" s="2" t="s">
        <v>93</v>
      </c>
      <c r="B1746" s="2" t="s">
        <v>94</v>
      </c>
      <c r="C1746" s="2">
        <v>2003.0</v>
      </c>
      <c r="D1746" s="9">
        <v>1312.0875</v>
      </c>
      <c r="E1746" s="10" t="str">
        <f t="array" ref="E1746">IFS(D1746&lt;=$G$3,'calculated data '!$A$3,D1746&lt;=$G$4,'calculated data '!$A$4,D1746&lt;=$G$6,'calculated data '!$A$5,D1746&gt;=$G$6,'calculated data '!$A$6)</f>
        <v>Low Demand Tier</v>
      </c>
      <c r="F1746" s="10">
        <f t="shared" si="1"/>
        <v>-0.6284408456</v>
      </c>
    </row>
    <row r="1747" ht="14.25" customHeight="1">
      <c r="A1747" s="2" t="s">
        <v>147</v>
      </c>
      <c r="B1747" s="2" t="s">
        <v>148</v>
      </c>
      <c r="C1747" s="2">
        <v>2006.0</v>
      </c>
      <c r="D1747" s="9">
        <v>1312.8297</v>
      </c>
      <c r="E1747" s="10" t="str">
        <f t="array" ref="E1747">IFS(D1747&lt;=$G$3,'calculated data '!$A$3,D1747&lt;=$G$4,'calculated data '!$A$4,D1747&lt;=$G$6,'calculated data '!$A$5,D1747&gt;=$G$6,'calculated data '!$A$6)</f>
        <v>Low Demand Tier</v>
      </c>
      <c r="F1747" s="10">
        <f t="shared" si="1"/>
        <v>-0.6284211997</v>
      </c>
    </row>
    <row r="1748" ht="14.25" customHeight="1">
      <c r="A1748" s="2" t="s">
        <v>145</v>
      </c>
      <c r="B1748" s="2" t="s">
        <v>146</v>
      </c>
      <c r="C1748" s="2">
        <v>1995.0</v>
      </c>
      <c r="D1748" s="9">
        <v>1312.9967</v>
      </c>
      <c r="E1748" s="10" t="str">
        <f t="array" ref="E1748">IFS(D1748&lt;=$G$3,'calculated data '!$A$3,D1748&lt;=$G$4,'calculated data '!$A$4,D1748&lt;=$G$6,'calculated data '!$A$5,D1748&gt;=$G$6,'calculated data '!$A$6)</f>
        <v>Low Demand Tier</v>
      </c>
      <c r="F1748" s="10">
        <f t="shared" si="1"/>
        <v>-0.6284167793</v>
      </c>
    </row>
    <row r="1749" ht="14.25" customHeight="1">
      <c r="A1749" s="2" t="s">
        <v>95</v>
      </c>
      <c r="B1749" s="2" t="s">
        <v>96</v>
      </c>
      <c r="C1749" s="2">
        <v>2018.0</v>
      </c>
      <c r="D1749" s="9">
        <v>1315.8416</v>
      </c>
      <c r="E1749" s="10" t="str">
        <f t="array" ref="E1749">IFS(D1749&lt;=$G$3,'calculated data '!$A$3,D1749&lt;=$G$4,'calculated data '!$A$4,D1749&lt;=$G$6,'calculated data '!$A$5,D1749&gt;=$G$6,'calculated data '!$A$6)</f>
        <v>Low Demand Tier</v>
      </c>
      <c r="F1749" s="10">
        <f t="shared" si="1"/>
        <v>-0.6283414755</v>
      </c>
    </row>
    <row r="1750" ht="14.25" customHeight="1">
      <c r="A1750" s="2" t="s">
        <v>179</v>
      </c>
      <c r="B1750" s="2" t="s">
        <v>180</v>
      </c>
      <c r="C1750" s="2">
        <v>2007.0</v>
      </c>
      <c r="D1750" s="9">
        <v>1315.9636</v>
      </c>
      <c r="E1750" s="10" t="str">
        <f t="array" ref="E1750">IFS(D1750&lt;=$G$3,'calculated data '!$A$3,D1750&lt;=$G$4,'calculated data '!$A$4,D1750&lt;=$G$6,'calculated data '!$A$5,D1750&gt;=$G$6,'calculated data '!$A$6)</f>
        <v>Low Demand Tier</v>
      </c>
      <c r="F1750" s="10">
        <f t="shared" si="1"/>
        <v>-0.6283382462</v>
      </c>
    </row>
    <row r="1751" ht="14.25" customHeight="1">
      <c r="A1751" s="2" t="s">
        <v>155</v>
      </c>
      <c r="B1751" s="2" t="s">
        <v>156</v>
      </c>
      <c r="C1751" s="2">
        <v>2017.0</v>
      </c>
      <c r="D1751" s="9">
        <v>1318.5596</v>
      </c>
      <c r="E1751" s="10" t="str">
        <f t="array" ref="E1751">IFS(D1751&lt;=$G$3,'calculated data '!$A$3,D1751&lt;=$G$4,'calculated data '!$A$4,D1751&lt;=$G$6,'calculated data '!$A$5,D1751&gt;=$G$6,'calculated data '!$A$6)</f>
        <v>Low Demand Tier</v>
      </c>
      <c r="F1751" s="10">
        <f t="shared" si="1"/>
        <v>-0.6282695307</v>
      </c>
    </row>
    <row r="1752" ht="14.25" customHeight="1">
      <c r="A1752" s="2" t="s">
        <v>95</v>
      </c>
      <c r="B1752" s="2" t="s">
        <v>96</v>
      </c>
      <c r="C1752" s="2">
        <v>2021.0</v>
      </c>
      <c r="D1752" s="9">
        <v>1322.3253</v>
      </c>
      <c r="E1752" s="10" t="str">
        <f t="array" ref="E1752">IFS(D1752&lt;=$G$3,'calculated data '!$A$3,D1752&lt;=$G$4,'calculated data '!$A$4,D1752&lt;=$G$6,'calculated data '!$A$5,D1752&gt;=$G$6,'calculated data '!$A$6)</f>
        <v>Low Demand Tier</v>
      </c>
      <c r="F1752" s="10">
        <f t="shared" si="1"/>
        <v>-0.6281698535</v>
      </c>
    </row>
    <row r="1753" ht="14.25" customHeight="1">
      <c r="A1753" s="2" t="s">
        <v>155</v>
      </c>
      <c r="B1753" s="2" t="s">
        <v>156</v>
      </c>
      <c r="C1753" s="2">
        <v>2019.0</v>
      </c>
      <c r="D1753" s="9">
        <v>1323.448</v>
      </c>
      <c r="E1753" s="10" t="str">
        <f t="array" ref="E1753">IFS(D1753&lt;=$G$3,'calculated data '!$A$3,D1753&lt;=$G$4,'calculated data '!$A$4,D1753&lt;=$G$6,'calculated data '!$A$5,D1753&gt;=$G$6,'calculated data '!$A$6)</f>
        <v>Low Demand Tier</v>
      </c>
      <c r="F1753" s="10">
        <f t="shared" si="1"/>
        <v>-0.628140136</v>
      </c>
    </row>
    <row r="1754" ht="14.25" customHeight="1">
      <c r="A1754" s="2" t="s">
        <v>125</v>
      </c>
      <c r="B1754" s="2" t="s">
        <v>126</v>
      </c>
      <c r="C1754" s="2">
        <v>2018.0</v>
      </c>
      <c r="D1754" s="9">
        <v>1325.8478</v>
      </c>
      <c r="E1754" s="10" t="str">
        <f t="array" ref="E1754">IFS(D1754&lt;=$G$3,'calculated data '!$A$3,D1754&lt;=$G$4,'calculated data '!$A$4,D1754&lt;=$G$6,'calculated data '!$A$5,D1754&gt;=$G$6,'calculated data '!$A$6)</f>
        <v>Low Demand Tier</v>
      </c>
      <c r="F1754" s="10">
        <f t="shared" si="1"/>
        <v>-0.6280766138</v>
      </c>
    </row>
    <row r="1755" ht="14.25" customHeight="1">
      <c r="A1755" s="2" t="s">
        <v>153</v>
      </c>
      <c r="B1755" s="2" t="s">
        <v>154</v>
      </c>
      <c r="C1755" s="2">
        <v>1990.0</v>
      </c>
      <c r="D1755" s="9">
        <v>1326.1285</v>
      </c>
      <c r="E1755" s="10" t="str">
        <f t="array" ref="E1755">IFS(D1755&lt;=$G$3,'calculated data '!$A$3,D1755&lt;=$G$4,'calculated data '!$A$4,D1755&lt;=$G$6,'calculated data '!$A$5,D1755&gt;=$G$6,'calculated data '!$A$6)</f>
        <v>Low Demand Tier</v>
      </c>
      <c r="F1755" s="10">
        <f t="shared" si="1"/>
        <v>-0.6280691838</v>
      </c>
    </row>
    <row r="1756" ht="14.25" customHeight="1">
      <c r="A1756" s="2" t="s">
        <v>151</v>
      </c>
      <c r="B1756" s="2" t="s">
        <v>152</v>
      </c>
      <c r="C1756" s="2">
        <v>1975.0</v>
      </c>
      <c r="D1756" s="9">
        <v>1326.5823</v>
      </c>
      <c r="E1756" s="10" t="str">
        <f t="array" ref="E1756">IFS(D1756&lt;=$G$3,'calculated data '!$A$3,D1756&lt;=$G$4,'calculated data '!$A$4,D1756&lt;=$G$6,'calculated data '!$A$5,D1756&gt;=$G$6,'calculated data '!$A$6)</f>
        <v>Low Demand Tier</v>
      </c>
      <c r="F1756" s="10">
        <f t="shared" si="1"/>
        <v>-0.6280571718</v>
      </c>
    </row>
    <row r="1757" ht="14.25" customHeight="1">
      <c r="A1757" s="2" t="s">
        <v>161</v>
      </c>
      <c r="B1757" s="2" t="s">
        <v>162</v>
      </c>
      <c r="C1757" s="2">
        <v>1993.0</v>
      </c>
      <c r="D1757" s="9">
        <v>1327.2646</v>
      </c>
      <c r="E1757" s="10" t="str">
        <f t="array" ref="E1757">IFS(D1757&lt;=$G$3,'calculated data '!$A$3,D1757&lt;=$G$4,'calculated data '!$A$4,D1757&lt;=$G$6,'calculated data '!$A$5,D1757&gt;=$G$6,'calculated data '!$A$6)</f>
        <v>Low Demand Tier</v>
      </c>
      <c r="F1757" s="10">
        <f t="shared" si="1"/>
        <v>-0.6280391115</v>
      </c>
    </row>
    <row r="1758" ht="14.25" customHeight="1">
      <c r="A1758" s="2" t="s">
        <v>139</v>
      </c>
      <c r="B1758" s="2" t="s">
        <v>140</v>
      </c>
      <c r="C1758" s="2">
        <v>1978.0</v>
      </c>
      <c r="D1758" s="9">
        <v>1328.713</v>
      </c>
      <c r="E1758" s="10" t="str">
        <f t="array" ref="E1758">IFS(D1758&lt;=$G$3,'calculated data '!$A$3,D1758&lt;=$G$4,'calculated data '!$A$4,D1758&lt;=$G$6,'calculated data '!$A$5,D1758&gt;=$G$6,'calculated data '!$A$6)</f>
        <v>Low Demand Tier</v>
      </c>
      <c r="F1758" s="10">
        <f t="shared" si="1"/>
        <v>-0.6280007727</v>
      </c>
    </row>
    <row r="1759" ht="14.25" customHeight="1">
      <c r="A1759" s="2" t="s">
        <v>147</v>
      </c>
      <c r="B1759" s="2" t="s">
        <v>148</v>
      </c>
      <c r="C1759" s="2">
        <v>2021.0</v>
      </c>
      <c r="D1759" s="9">
        <v>1333.1031</v>
      </c>
      <c r="E1759" s="10" t="str">
        <f t="array" ref="E1759">IFS(D1759&lt;=$G$3,'calculated data '!$A$3,D1759&lt;=$G$4,'calculated data '!$A$4,D1759&lt;=$G$6,'calculated data '!$A$5,D1759&gt;=$G$6,'calculated data '!$A$6)</f>
        <v>Low Demand Tier</v>
      </c>
      <c r="F1759" s="10">
        <f t="shared" si="1"/>
        <v>-0.6278845679</v>
      </c>
    </row>
    <row r="1760" ht="14.25" customHeight="1">
      <c r="A1760" s="2" t="s">
        <v>59</v>
      </c>
      <c r="B1760" s="2" t="s">
        <v>60</v>
      </c>
      <c r="C1760" s="2">
        <v>2017.0</v>
      </c>
      <c r="D1760" s="9">
        <v>1333.339</v>
      </c>
      <c r="E1760" s="10" t="str">
        <f t="array" ref="E1760">IFS(D1760&lt;=$G$3,'calculated data '!$A$3,D1760&lt;=$G$4,'calculated data '!$A$4,D1760&lt;=$G$6,'calculated data '!$A$5,D1760&gt;=$G$6,'calculated data '!$A$6)</f>
        <v>Low Demand Tier</v>
      </c>
      <c r="F1760" s="10">
        <f t="shared" si="1"/>
        <v>-0.6278783236</v>
      </c>
    </row>
    <row r="1761" ht="14.25" customHeight="1">
      <c r="A1761" s="2" t="s">
        <v>133</v>
      </c>
      <c r="B1761" s="2" t="s">
        <v>134</v>
      </c>
      <c r="C1761" s="2">
        <v>1966.0</v>
      </c>
      <c r="D1761" s="9">
        <v>1333.8289</v>
      </c>
      <c r="E1761" s="10" t="str">
        <f t="array" ref="E1761">IFS(D1761&lt;=$G$3,'calculated data '!$A$3,D1761&lt;=$G$4,'calculated data '!$A$4,D1761&lt;=$G$6,'calculated data '!$A$5,D1761&gt;=$G$6,'calculated data '!$A$6)</f>
        <v>Low Demand Tier</v>
      </c>
      <c r="F1761" s="10">
        <f t="shared" si="1"/>
        <v>-0.6278653561</v>
      </c>
    </row>
    <row r="1762" ht="14.25" customHeight="1">
      <c r="A1762" s="2" t="s">
        <v>85</v>
      </c>
      <c r="B1762" s="2" t="s">
        <v>86</v>
      </c>
      <c r="C1762" s="2">
        <v>2020.0</v>
      </c>
      <c r="D1762" s="9">
        <v>1334.5574</v>
      </c>
      <c r="E1762" s="10" t="str">
        <f t="array" ref="E1762">IFS(D1762&lt;=$G$3,'calculated data '!$A$3,D1762&lt;=$G$4,'calculated data '!$A$4,D1762&lt;=$G$6,'calculated data '!$A$5,D1762&gt;=$G$6,'calculated data '!$A$6)</f>
        <v>Low Demand Tier</v>
      </c>
      <c r="F1762" s="10">
        <f t="shared" si="1"/>
        <v>-0.6278460729</v>
      </c>
    </row>
    <row r="1763" ht="14.25" customHeight="1">
      <c r="A1763" s="2" t="s">
        <v>175</v>
      </c>
      <c r="B1763" s="2" t="s">
        <v>176</v>
      </c>
      <c r="C1763" s="2">
        <v>1973.0</v>
      </c>
      <c r="D1763" s="9">
        <v>1335.7981</v>
      </c>
      <c r="E1763" s="10" t="str">
        <f t="array" ref="E1763">IFS(D1763&lt;=$G$3,'calculated data '!$A$3,D1763&lt;=$G$4,'calculated data '!$A$4,D1763&lt;=$G$6,'calculated data '!$A$5,D1763&gt;=$G$6,'calculated data '!$A$6)</f>
        <v>Low Demand Tier</v>
      </c>
      <c r="F1763" s="10">
        <f t="shared" si="1"/>
        <v>-0.6278132319</v>
      </c>
    </row>
    <row r="1764" ht="14.25" customHeight="1">
      <c r="A1764" s="2" t="s">
        <v>133</v>
      </c>
      <c r="B1764" s="2" t="s">
        <v>134</v>
      </c>
      <c r="C1764" s="2">
        <v>1974.0</v>
      </c>
      <c r="D1764" s="9">
        <v>1335.9064</v>
      </c>
      <c r="E1764" s="10" t="str">
        <f t="array" ref="E1764">IFS(D1764&lt;=$G$3,'calculated data '!$A$3,D1764&lt;=$G$4,'calculated data '!$A$4,D1764&lt;=$G$6,'calculated data '!$A$5,D1764&gt;=$G$6,'calculated data '!$A$6)</f>
        <v>Low Demand Tier</v>
      </c>
      <c r="F1764" s="10">
        <f t="shared" si="1"/>
        <v>-0.6278103652</v>
      </c>
    </row>
    <row r="1765" ht="14.25" customHeight="1">
      <c r="A1765" s="2" t="s">
        <v>145</v>
      </c>
      <c r="B1765" s="2" t="s">
        <v>146</v>
      </c>
      <c r="C1765" s="2">
        <v>1994.0</v>
      </c>
      <c r="D1765" s="9">
        <v>1337.1829</v>
      </c>
      <c r="E1765" s="10" t="str">
        <f t="array" ref="E1765">IFS(D1765&lt;=$G$3,'calculated data '!$A$3,D1765&lt;=$G$4,'calculated data '!$A$4,D1765&lt;=$G$6,'calculated data '!$A$5,D1765&gt;=$G$6,'calculated data '!$A$6)</f>
        <v>Low Demand Tier</v>
      </c>
      <c r="F1765" s="10">
        <f t="shared" si="1"/>
        <v>-0.6277765766</v>
      </c>
    </row>
    <row r="1766" ht="14.25" customHeight="1">
      <c r="A1766" s="2" t="s">
        <v>147</v>
      </c>
      <c r="B1766" s="2" t="s">
        <v>148</v>
      </c>
      <c r="C1766" s="2">
        <v>2009.0</v>
      </c>
      <c r="D1766" s="9">
        <v>1337.6053</v>
      </c>
      <c r="E1766" s="10" t="str">
        <f t="array" ref="E1766">IFS(D1766&lt;=$G$3,'calculated data '!$A$3,D1766&lt;=$G$4,'calculated data '!$A$4,D1766&lt;=$G$6,'calculated data '!$A$5,D1766&gt;=$G$6,'calculated data '!$A$6)</f>
        <v>Low Demand Tier</v>
      </c>
      <c r="F1766" s="10">
        <f t="shared" si="1"/>
        <v>-0.6277653957</v>
      </c>
    </row>
    <row r="1767" ht="14.25" customHeight="1">
      <c r="A1767" s="2" t="s">
        <v>135</v>
      </c>
      <c r="B1767" s="2" t="s">
        <v>136</v>
      </c>
      <c r="C1767" s="2">
        <v>2006.0</v>
      </c>
      <c r="D1767" s="9">
        <v>1338.3616</v>
      </c>
      <c r="E1767" s="10" t="str">
        <f t="array" ref="E1767">IFS(D1767&lt;=$G$3,'calculated data '!$A$3,D1767&lt;=$G$4,'calculated data '!$A$4,D1767&lt;=$G$6,'calculated data '!$A$5,D1767&gt;=$G$6,'calculated data '!$A$6)</f>
        <v>Low Demand Tier</v>
      </c>
      <c r="F1767" s="10">
        <f t="shared" si="1"/>
        <v>-0.6277453767</v>
      </c>
    </row>
    <row r="1768" ht="14.25" customHeight="1">
      <c r="A1768" s="2" t="s">
        <v>93</v>
      </c>
      <c r="B1768" s="2" t="s">
        <v>94</v>
      </c>
      <c r="C1768" s="2">
        <v>2004.0</v>
      </c>
      <c r="D1768" s="9">
        <v>1342.909</v>
      </c>
      <c r="E1768" s="10" t="str">
        <f t="array" ref="E1768">IFS(D1768&lt;=$G$3,'calculated data '!$A$3,D1768&lt;=$G$4,'calculated data '!$A$4,D1768&lt;=$G$6,'calculated data '!$A$5,D1768&gt;=$G$6,'calculated data '!$A$6)</f>
        <v>Low Demand Tier</v>
      </c>
      <c r="F1768" s="10">
        <f t="shared" si="1"/>
        <v>-0.6276250081</v>
      </c>
    </row>
    <row r="1769" ht="14.25" customHeight="1">
      <c r="A1769" s="2" t="s">
        <v>99</v>
      </c>
      <c r="B1769" s="2" t="s">
        <v>100</v>
      </c>
      <c r="C1769" s="2">
        <v>1984.0</v>
      </c>
      <c r="D1769" s="9">
        <v>1343.9891</v>
      </c>
      <c r="E1769" s="10" t="str">
        <f t="array" ref="E1769">IFS(D1769&lt;=$G$3,'calculated data '!$A$3,D1769&lt;=$G$4,'calculated data '!$A$4,D1769&lt;=$G$6,'calculated data '!$A$5,D1769&gt;=$G$6,'calculated data '!$A$6)</f>
        <v>Low Demand Tier</v>
      </c>
      <c r="F1769" s="10">
        <f t="shared" si="1"/>
        <v>-0.6275964182</v>
      </c>
    </row>
    <row r="1770" ht="14.25" customHeight="1">
      <c r="A1770" s="2" t="s">
        <v>179</v>
      </c>
      <c r="B1770" s="2" t="s">
        <v>180</v>
      </c>
      <c r="C1770" s="2">
        <v>2009.0</v>
      </c>
      <c r="D1770" s="9">
        <v>1346.4528</v>
      </c>
      <c r="E1770" s="10" t="str">
        <f t="array" ref="E1770">IFS(D1770&lt;=$G$3,'calculated data '!$A$3,D1770&lt;=$G$4,'calculated data '!$A$4,D1770&lt;=$G$6,'calculated data '!$A$5,D1770&gt;=$G$6,'calculated data '!$A$6)</f>
        <v>Low Demand Tier</v>
      </c>
      <c r="F1770" s="10">
        <f t="shared" si="1"/>
        <v>-0.6275312046</v>
      </c>
    </row>
    <row r="1771" ht="14.25" customHeight="1">
      <c r="A1771" s="2" t="s">
        <v>123</v>
      </c>
      <c r="B1771" s="2" t="s">
        <v>124</v>
      </c>
      <c r="C1771" s="2">
        <v>2023.0</v>
      </c>
      <c r="D1771" s="9">
        <v>1347.1267</v>
      </c>
      <c r="E1771" s="10" t="str">
        <f t="array" ref="E1771">IFS(D1771&lt;=$G$3,'calculated data '!$A$3,D1771&lt;=$G$4,'calculated data '!$A$4,D1771&lt;=$G$6,'calculated data '!$A$5,D1771&gt;=$G$6,'calculated data '!$A$6)</f>
        <v>Low Demand Tier</v>
      </c>
      <c r="F1771" s="10">
        <f t="shared" si="1"/>
        <v>-0.6275133667</v>
      </c>
    </row>
    <row r="1772" ht="14.25" customHeight="1">
      <c r="A1772" s="2" t="s">
        <v>165</v>
      </c>
      <c r="B1772" s="2" t="s">
        <v>166</v>
      </c>
      <c r="C1772" s="2">
        <v>1973.0</v>
      </c>
      <c r="D1772" s="9">
        <v>1347.4165</v>
      </c>
      <c r="E1772" s="10" t="str">
        <f t="array" ref="E1772">IFS(D1772&lt;=$G$3,'calculated data '!$A$3,D1772&lt;=$G$4,'calculated data '!$A$4,D1772&lt;=$G$6,'calculated data '!$A$5,D1772&gt;=$G$6,'calculated data '!$A$6)</f>
        <v>Low Demand Tier</v>
      </c>
      <c r="F1772" s="10">
        <f t="shared" si="1"/>
        <v>-0.6275056957</v>
      </c>
    </row>
    <row r="1773" ht="14.25" customHeight="1">
      <c r="A1773" s="2" t="s">
        <v>173</v>
      </c>
      <c r="B1773" s="2" t="s">
        <v>174</v>
      </c>
      <c r="C1773" s="2">
        <v>1995.0</v>
      </c>
      <c r="D1773" s="9">
        <v>1347.5656</v>
      </c>
      <c r="E1773" s="10" t="str">
        <f t="array" ref="E1773">IFS(D1773&lt;=$G$3,'calculated data '!$A$3,D1773&lt;=$G$4,'calculated data '!$A$4,D1773&lt;=$G$6,'calculated data '!$A$5,D1773&gt;=$G$6,'calculated data '!$A$6)</f>
        <v>Low Demand Tier</v>
      </c>
      <c r="F1773" s="10">
        <f t="shared" si="1"/>
        <v>-0.6275017491</v>
      </c>
    </row>
    <row r="1774" ht="14.25" customHeight="1">
      <c r="A1774" s="2" t="s">
        <v>147</v>
      </c>
      <c r="B1774" s="2" t="s">
        <v>148</v>
      </c>
      <c r="C1774" s="2">
        <v>1988.0</v>
      </c>
      <c r="D1774" s="9">
        <v>1348.2859</v>
      </c>
      <c r="E1774" s="10" t="str">
        <f t="array" ref="E1774">IFS(D1774&lt;=$G$3,'calculated data '!$A$3,D1774&lt;=$G$4,'calculated data '!$A$4,D1774&lt;=$G$6,'calculated data '!$A$5,D1774&gt;=$G$6,'calculated data '!$A$6)</f>
        <v>Low Demand Tier</v>
      </c>
      <c r="F1774" s="10">
        <f t="shared" si="1"/>
        <v>-0.6274826829</v>
      </c>
    </row>
    <row r="1775" ht="14.25" customHeight="1">
      <c r="A1775" s="2" t="s">
        <v>173</v>
      </c>
      <c r="B1775" s="2" t="s">
        <v>174</v>
      </c>
      <c r="C1775" s="2">
        <v>1994.0</v>
      </c>
      <c r="D1775" s="9">
        <v>1348.7219</v>
      </c>
      <c r="E1775" s="10" t="str">
        <f t="array" ref="E1775">IFS(D1775&lt;=$G$3,'calculated data '!$A$3,D1775&lt;=$G$4,'calculated data '!$A$4,D1775&lt;=$G$6,'calculated data '!$A$5,D1775&gt;=$G$6,'calculated data '!$A$6)</f>
        <v>Low Demand Tier</v>
      </c>
      <c r="F1775" s="10">
        <f t="shared" si="1"/>
        <v>-0.6274711421</v>
      </c>
    </row>
    <row r="1776" ht="14.25" customHeight="1">
      <c r="A1776" s="2" t="s">
        <v>153</v>
      </c>
      <c r="B1776" s="2" t="s">
        <v>154</v>
      </c>
      <c r="C1776" s="2">
        <v>2006.0</v>
      </c>
      <c r="D1776" s="9">
        <v>1350.3188</v>
      </c>
      <c r="E1776" s="10" t="str">
        <f t="array" ref="E1776">IFS(D1776&lt;=$G$3,'calculated data '!$A$3,D1776&lt;=$G$4,'calculated data '!$A$4,D1776&lt;=$G$6,'calculated data '!$A$5,D1776&gt;=$G$6,'calculated data '!$A$6)</f>
        <v>Low Demand Tier</v>
      </c>
      <c r="F1776" s="10">
        <f t="shared" si="1"/>
        <v>-0.6274288726</v>
      </c>
    </row>
    <row r="1777" ht="14.25" customHeight="1">
      <c r="A1777" s="2" t="s">
        <v>153</v>
      </c>
      <c r="B1777" s="2" t="s">
        <v>154</v>
      </c>
      <c r="C1777" s="2">
        <v>2000.0</v>
      </c>
      <c r="D1777" s="9">
        <v>1350.8173</v>
      </c>
      <c r="E1777" s="10" t="str">
        <f t="array" ref="E1777">IFS(D1777&lt;=$G$3,'calculated data '!$A$3,D1777&lt;=$G$4,'calculated data '!$A$4,D1777&lt;=$G$6,'calculated data '!$A$5,D1777&gt;=$G$6,'calculated data '!$A$6)</f>
        <v>Low Demand Tier</v>
      </c>
      <c r="F1777" s="10">
        <f t="shared" si="1"/>
        <v>-0.6274156774</v>
      </c>
    </row>
    <row r="1778" ht="14.25" customHeight="1">
      <c r="A1778" s="2" t="s">
        <v>139</v>
      </c>
      <c r="B1778" s="2" t="s">
        <v>140</v>
      </c>
      <c r="C1778" s="2">
        <v>1985.0</v>
      </c>
      <c r="D1778" s="9">
        <v>1351.4888</v>
      </c>
      <c r="E1778" s="10" t="str">
        <f t="array" ref="E1778">IFS(D1778&lt;=$G$3,'calculated data '!$A$3,D1778&lt;=$G$4,'calculated data '!$A$4,D1778&lt;=$G$6,'calculated data '!$A$5,D1778&gt;=$G$6,'calculated data '!$A$6)</f>
        <v>Low Demand Tier</v>
      </c>
      <c r="F1778" s="10">
        <f t="shared" si="1"/>
        <v>-0.627397903</v>
      </c>
    </row>
    <row r="1779" ht="14.25" customHeight="1">
      <c r="A1779" s="2" t="s">
        <v>179</v>
      </c>
      <c r="B1779" s="2" t="s">
        <v>180</v>
      </c>
      <c r="C1779" s="2">
        <v>2010.0</v>
      </c>
      <c r="D1779" s="9">
        <v>1352.3245</v>
      </c>
      <c r="E1779" s="10" t="str">
        <f t="array" ref="E1779">IFS(D1779&lt;=$G$3,'calculated data '!$A$3,D1779&lt;=$G$4,'calculated data '!$A$4,D1779&lt;=$G$6,'calculated data '!$A$5,D1779&gt;=$G$6,'calculated data '!$A$6)</f>
        <v>Low Demand Tier</v>
      </c>
      <c r="F1779" s="10">
        <f t="shared" si="1"/>
        <v>-0.6273757822</v>
      </c>
    </row>
    <row r="1780" ht="14.25" customHeight="1">
      <c r="A1780" s="2" t="s">
        <v>155</v>
      </c>
      <c r="B1780" s="2" t="s">
        <v>156</v>
      </c>
      <c r="C1780" s="2">
        <v>2012.0</v>
      </c>
      <c r="D1780" s="9">
        <v>1353.9265</v>
      </c>
      <c r="E1780" s="10" t="str">
        <f t="array" ref="E1780">IFS(D1780&lt;=$G$3,'calculated data '!$A$3,D1780&lt;=$G$4,'calculated data '!$A$4,D1780&lt;=$G$6,'calculated data '!$A$5,D1780&gt;=$G$6,'calculated data '!$A$6)</f>
        <v>Low Demand Tier</v>
      </c>
      <c r="F1780" s="10">
        <f t="shared" si="1"/>
        <v>-0.6273333776</v>
      </c>
    </row>
    <row r="1781" ht="14.25" customHeight="1">
      <c r="A1781" s="2" t="s">
        <v>153</v>
      </c>
      <c r="B1781" s="2" t="s">
        <v>154</v>
      </c>
      <c r="C1781" s="2">
        <v>2012.0</v>
      </c>
      <c r="D1781" s="9">
        <v>1354.3319</v>
      </c>
      <c r="E1781" s="10" t="str">
        <f t="array" ref="E1781">IFS(D1781&lt;=$G$3,'calculated data '!$A$3,D1781&lt;=$G$4,'calculated data '!$A$4,D1781&lt;=$G$6,'calculated data '!$A$5,D1781&gt;=$G$6,'calculated data '!$A$6)</f>
        <v>Low Demand Tier</v>
      </c>
      <c r="F1781" s="10">
        <f t="shared" si="1"/>
        <v>-0.6273226468</v>
      </c>
    </row>
    <row r="1782" ht="14.25" customHeight="1">
      <c r="A1782" s="2" t="s">
        <v>165</v>
      </c>
      <c r="B1782" s="2" t="s">
        <v>166</v>
      </c>
      <c r="C1782" s="2">
        <v>1972.0</v>
      </c>
      <c r="D1782" s="9">
        <v>1354.3354</v>
      </c>
      <c r="E1782" s="10" t="str">
        <f t="array" ref="E1782">IFS(D1782&lt;=$G$3,'calculated data '!$A$3,D1782&lt;=$G$4,'calculated data '!$A$4,D1782&lt;=$G$6,'calculated data '!$A$5,D1782&gt;=$G$6,'calculated data '!$A$6)</f>
        <v>Low Demand Tier</v>
      </c>
      <c r="F1782" s="10">
        <f t="shared" si="1"/>
        <v>-0.6273225542</v>
      </c>
    </row>
    <row r="1783" ht="14.25" customHeight="1">
      <c r="A1783" s="2" t="s">
        <v>139</v>
      </c>
      <c r="B1783" s="2" t="s">
        <v>140</v>
      </c>
      <c r="C1783" s="2">
        <v>1980.0</v>
      </c>
      <c r="D1783" s="9">
        <v>1354.8575</v>
      </c>
      <c r="E1783" s="10" t="str">
        <f t="array" ref="E1783">IFS(D1783&lt;=$G$3,'calculated data '!$A$3,D1783&lt;=$G$4,'calculated data '!$A$4,D1783&lt;=$G$6,'calculated data '!$A$5,D1783&gt;=$G$6,'calculated data '!$A$6)</f>
        <v>Low Demand Tier</v>
      </c>
      <c r="F1783" s="10">
        <f t="shared" si="1"/>
        <v>-0.6273087343</v>
      </c>
    </row>
    <row r="1784" ht="14.25" customHeight="1">
      <c r="A1784" s="2" t="s">
        <v>165</v>
      </c>
      <c r="B1784" s="2" t="s">
        <v>166</v>
      </c>
      <c r="C1784" s="2">
        <v>1969.0</v>
      </c>
      <c r="D1784" s="9">
        <v>1356.8783</v>
      </c>
      <c r="E1784" s="10" t="str">
        <f t="array" ref="E1784">IFS(D1784&lt;=$G$3,'calculated data '!$A$3,D1784&lt;=$G$4,'calculated data '!$A$4,D1784&lt;=$G$6,'calculated data '!$A$5,D1784&gt;=$G$6,'calculated data '!$A$6)</f>
        <v>Low Demand Tier</v>
      </c>
      <c r="F1784" s="10">
        <f t="shared" si="1"/>
        <v>-0.6272552442</v>
      </c>
    </row>
    <row r="1785" ht="14.25" customHeight="1">
      <c r="A1785" s="2" t="s">
        <v>135</v>
      </c>
      <c r="B1785" s="2" t="s">
        <v>136</v>
      </c>
      <c r="C1785" s="2">
        <v>2007.0</v>
      </c>
      <c r="D1785" s="9">
        <v>1358.3431</v>
      </c>
      <c r="E1785" s="10" t="str">
        <f t="array" ref="E1785">IFS(D1785&lt;=$G$3,'calculated data '!$A$3,D1785&lt;=$G$4,'calculated data '!$A$4,D1785&lt;=$G$6,'calculated data '!$A$5,D1785&gt;=$G$6,'calculated data '!$A$6)</f>
        <v>Low Demand Tier</v>
      </c>
      <c r="F1785" s="10">
        <f t="shared" si="1"/>
        <v>-0.6272164713</v>
      </c>
    </row>
    <row r="1786" ht="14.25" customHeight="1">
      <c r="A1786" s="2" t="s">
        <v>113</v>
      </c>
      <c r="B1786" s="2" t="s">
        <v>114</v>
      </c>
      <c r="C1786" s="2">
        <v>2008.0</v>
      </c>
      <c r="D1786" s="9">
        <v>1358.9896</v>
      </c>
      <c r="E1786" s="10" t="str">
        <f t="array" ref="E1786">IFS(D1786&lt;=$G$3,'calculated data '!$A$3,D1786&lt;=$G$4,'calculated data '!$A$4,D1786&lt;=$G$6,'calculated data '!$A$5,D1786&gt;=$G$6,'calculated data '!$A$6)</f>
        <v>Low Demand Tier</v>
      </c>
      <c r="F1786" s="10">
        <f t="shared" si="1"/>
        <v>-0.6271993587</v>
      </c>
    </row>
    <row r="1787" ht="14.25" customHeight="1">
      <c r="A1787" s="2" t="s">
        <v>153</v>
      </c>
      <c r="B1787" s="2" t="s">
        <v>154</v>
      </c>
      <c r="C1787" s="2">
        <v>1989.0</v>
      </c>
      <c r="D1787" s="9">
        <v>1362.8743</v>
      </c>
      <c r="E1787" s="10" t="str">
        <f t="array" ref="E1787">IFS(D1787&lt;=$G$3,'calculated data '!$A$3,D1787&lt;=$G$4,'calculated data '!$A$4,D1787&lt;=$G$6,'calculated data '!$A$5,D1787&gt;=$G$6,'calculated data '!$A$6)</f>
        <v>Low Demand Tier</v>
      </c>
      <c r="F1787" s="10">
        <f t="shared" si="1"/>
        <v>-0.6270965316</v>
      </c>
    </row>
    <row r="1788" ht="14.25" customHeight="1">
      <c r="A1788" s="2" t="s">
        <v>161</v>
      </c>
      <c r="B1788" s="2" t="s">
        <v>162</v>
      </c>
      <c r="C1788" s="2">
        <v>1992.0</v>
      </c>
      <c r="D1788" s="9">
        <v>1363.4834</v>
      </c>
      <c r="E1788" s="10" t="str">
        <f t="array" ref="E1788">IFS(D1788&lt;=$G$3,'calculated data '!$A$3,D1788&lt;=$G$4,'calculated data '!$A$4,D1788&lt;=$G$6,'calculated data '!$A$5,D1788&gt;=$G$6,'calculated data '!$A$6)</f>
        <v>Low Demand Tier</v>
      </c>
      <c r="F1788" s="10">
        <f t="shared" si="1"/>
        <v>-0.6270804089</v>
      </c>
    </row>
    <row r="1789" ht="14.25" customHeight="1">
      <c r="A1789" s="2" t="s">
        <v>153</v>
      </c>
      <c r="B1789" s="2" t="s">
        <v>154</v>
      </c>
      <c r="C1789" s="2">
        <v>1985.0</v>
      </c>
      <c r="D1789" s="9">
        <v>1364.8616</v>
      </c>
      <c r="E1789" s="10" t="str">
        <f t="array" ref="E1789">IFS(D1789&lt;=$G$3,'calculated data '!$A$3,D1789&lt;=$G$4,'calculated data '!$A$4,D1789&lt;=$G$6,'calculated data '!$A$5,D1789&gt;=$G$6,'calculated data '!$A$6)</f>
        <v>Low Demand Tier</v>
      </c>
      <c r="F1789" s="10">
        <f t="shared" si="1"/>
        <v>-0.6270439283</v>
      </c>
    </row>
    <row r="1790" ht="14.25" customHeight="1">
      <c r="A1790" s="2" t="s">
        <v>173</v>
      </c>
      <c r="B1790" s="2" t="s">
        <v>174</v>
      </c>
      <c r="C1790" s="2">
        <v>1993.0</v>
      </c>
      <c r="D1790" s="9">
        <v>1365.7268</v>
      </c>
      <c r="E1790" s="10" t="str">
        <f t="array" ref="E1790">IFS(D1790&lt;=$G$3,'calculated data '!$A$3,D1790&lt;=$G$4,'calculated data '!$A$4,D1790&lt;=$G$6,'calculated data '!$A$5,D1790&gt;=$G$6,'calculated data '!$A$6)</f>
        <v>Low Demand Tier</v>
      </c>
      <c r="F1790" s="10">
        <f t="shared" si="1"/>
        <v>-0.6270210266</v>
      </c>
    </row>
    <row r="1791" ht="14.25" customHeight="1">
      <c r="A1791" s="2" t="s">
        <v>153</v>
      </c>
      <c r="B1791" s="2" t="s">
        <v>154</v>
      </c>
      <c r="C1791" s="2">
        <v>1984.0</v>
      </c>
      <c r="D1791" s="9">
        <v>1366.6373</v>
      </c>
      <c r="E1791" s="10" t="str">
        <f t="array" ref="E1791">IFS(D1791&lt;=$G$3,'calculated data '!$A$3,D1791&lt;=$G$4,'calculated data '!$A$4,D1791&lt;=$G$6,'calculated data '!$A$5,D1791&gt;=$G$6,'calculated data '!$A$6)</f>
        <v>Low Demand Tier</v>
      </c>
      <c r="F1791" s="10">
        <f t="shared" si="1"/>
        <v>-0.6269969259</v>
      </c>
    </row>
    <row r="1792" ht="14.25" customHeight="1">
      <c r="A1792" s="2" t="s">
        <v>139</v>
      </c>
      <c r="B1792" s="2" t="s">
        <v>140</v>
      </c>
      <c r="C1792" s="2">
        <v>1979.0</v>
      </c>
      <c r="D1792" s="9">
        <v>1368.3043</v>
      </c>
      <c r="E1792" s="10" t="str">
        <f t="array" ref="E1792">IFS(D1792&lt;=$G$3,'calculated data '!$A$3,D1792&lt;=$G$4,'calculated data '!$A$4,D1792&lt;=$G$6,'calculated data '!$A$5,D1792&gt;=$G$6,'calculated data '!$A$6)</f>
        <v>Low Demand Tier</v>
      </c>
      <c r="F1792" s="10">
        <f t="shared" si="1"/>
        <v>-0.6269528009</v>
      </c>
    </row>
    <row r="1793" ht="14.25" customHeight="1">
      <c r="A1793" s="2" t="s">
        <v>135</v>
      </c>
      <c r="B1793" s="2" t="s">
        <v>136</v>
      </c>
      <c r="C1793" s="2">
        <v>2002.0</v>
      </c>
      <c r="D1793" s="9">
        <v>1372.1799</v>
      </c>
      <c r="E1793" s="10" t="str">
        <f t="array" ref="E1793">IFS(D1793&lt;=$G$3,'calculated data '!$A$3,D1793&lt;=$G$4,'calculated data '!$A$4,D1793&lt;=$G$6,'calculated data '!$A$5,D1793&gt;=$G$6,'calculated data '!$A$6)</f>
        <v>Low Demand Tier</v>
      </c>
      <c r="F1793" s="10">
        <f t="shared" si="1"/>
        <v>-0.6268502147</v>
      </c>
    </row>
    <row r="1794" ht="14.25" customHeight="1">
      <c r="A1794" s="2" t="s">
        <v>137</v>
      </c>
      <c r="B1794" s="2" t="s">
        <v>138</v>
      </c>
      <c r="C1794" s="2">
        <v>2001.0</v>
      </c>
      <c r="D1794" s="9">
        <v>1373.4691</v>
      </c>
      <c r="E1794" s="10" t="str">
        <f t="array" ref="E1794">IFS(D1794&lt;=$G$3,'calculated data '!$A$3,D1794&lt;=$G$4,'calculated data '!$A$4,D1794&lt;=$G$6,'calculated data '!$A$5,D1794&gt;=$G$6,'calculated data '!$A$6)</f>
        <v>Low Demand Tier</v>
      </c>
      <c r="F1794" s="10">
        <f t="shared" si="1"/>
        <v>-0.6268160899</v>
      </c>
    </row>
    <row r="1795" ht="14.25" customHeight="1">
      <c r="A1795" s="2" t="s">
        <v>179</v>
      </c>
      <c r="B1795" s="2" t="s">
        <v>180</v>
      </c>
      <c r="C1795" s="2">
        <v>2000.0</v>
      </c>
      <c r="D1795" s="9">
        <v>1376.6178</v>
      </c>
      <c r="E1795" s="10" t="str">
        <f t="array" ref="E1795">IFS(D1795&lt;=$G$3,'calculated data '!$A$3,D1795&lt;=$G$4,'calculated data '!$A$4,D1795&lt;=$G$6,'calculated data '!$A$5,D1795&gt;=$G$6,'calculated data '!$A$6)</f>
        <v>Low Demand Tier</v>
      </c>
      <c r="F1795" s="10">
        <f t="shared" si="1"/>
        <v>-0.6267327446</v>
      </c>
    </row>
    <row r="1796" ht="14.25" customHeight="1">
      <c r="A1796" s="2" t="s">
        <v>171</v>
      </c>
      <c r="B1796" s="2" t="s">
        <v>172</v>
      </c>
      <c r="C1796" s="2">
        <v>1990.0</v>
      </c>
      <c r="D1796" s="9">
        <v>1378.0177</v>
      </c>
      <c r="E1796" s="10" t="str">
        <f t="array" ref="E1796">IFS(D1796&lt;=$G$3,'calculated data '!$A$3,D1796&lt;=$G$4,'calculated data '!$A$4,D1796&lt;=$G$6,'calculated data '!$A$5,D1796&gt;=$G$6,'calculated data '!$A$6)</f>
        <v>Low Demand Tier</v>
      </c>
      <c r="F1796" s="10">
        <f t="shared" si="1"/>
        <v>-0.6266956896</v>
      </c>
    </row>
    <row r="1797" ht="14.25" customHeight="1">
      <c r="A1797" s="2" t="s">
        <v>153</v>
      </c>
      <c r="B1797" s="2" t="s">
        <v>154</v>
      </c>
      <c r="C1797" s="2">
        <v>1986.0</v>
      </c>
      <c r="D1797" s="9">
        <v>1381.1853</v>
      </c>
      <c r="E1797" s="10" t="str">
        <f t="array" ref="E1797">IFS(D1797&lt;=$G$3,'calculated data '!$A$3,D1797&lt;=$G$4,'calculated data '!$A$4,D1797&lt;=$G$6,'calculated data '!$A$5,D1797&gt;=$G$6,'calculated data '!$A$6)</f>
        <v>Low Demand Tier</v>
      </c>
      <c r="F1797" s="10">
        <f t="shared" si="1"/>
        <v>-0.626611844</v>
      </c>
    </row>
    <row r="1798" ht="14.25" customHeight="1">
      <c r="A1798" s="2" t="s">
        <v>151</v>
      </c>
      <c r="B1798" s="2" t="s">
        <v>152</v>
      </c>
      <c r="C1798" s="2">
        <v>1976.0</v>
      </c>
      <c r="D1798" s="9">
        <v>1382.4935</v>
      </c>
      <c r="E1798" s="10" t="str">
        <f t="array" ref="E1798">IFS(D1798&lt;=$G$3,'calculated data '!$A$3,D1798&lt;=$G$4,'calculated data '!$A$4,D1798&lt;=$G$6,'calculated data '!$A$5,D1798&gt;=$G$6,'calculated data '!$A$6)</f>
        <v>Low Demand Tier</v>
      </c>
      <c r="F1798" s="10">
        <f t="shared" si="1"/>
        <v>-0.6265772163</v>
      </c>
    </row>
    <row r="1799" ht="14.25" customHeight="1">
      <c r="A1799" s="2" t="s">
        <v>179</v>
      </c>
      <c r="B1799" s="2" t="s">
        <v>180</v>
      </c>
      <c r="C1799" s="2">
        <v>2008.0</v>
      </c>
      <c r="D1799" s="9">
        <v>1383.14</v>
      </c>
      <c r="E1799" s="10" t="str">
        <f t="array" ref="E1799">IFS(D1799&lt;=$G$3,'calculated data '!$A$3,D1799&lt;=$G$4,'calculated data '!$A$4,D1799&lt;=$G$6,'calculated data '!$A$5,D1799&gt;=$G$6,'calculated data '!$A$6)</f>
        <v>Low Demand Tier</v>
      </c>
      <c r="F1799" s="10">
        <f t="shared" si="1"/>
        <v>-0.6265601036</v>
      </c>
    </row>
    <row r="1800" ht="14.25" customHeight="1">
      <c r="A1800" s="2" t="s">
        <v>79</v>
      </c>
      <c r="B1800" s="2" t="s">
        <v>80</v>
      </c>
      <c r="C1800" s="2">
        <v>2009.0</v>
      </c>
      <c r="D1800" s="9">
        <v>1385.5447</v>
      </c>
      <c r="E1800" s="10" t="str">
        <f t="array" ref="E1800">IFS(D1800&lt;=$G$3,'calculated data '!$A$3,D1800&lt;=$G$4,'calculated data '!$A$4,D1800&lt;=$G$6,'calculated data '!$A$5,D1800&gt;=$G$6,'calculated data '!$A$6)</f>
        <v>Low Demand Tier</v>
      </c>
      <c r="F1800" s="10">
        <f t="shared" si="1"/>
        <v>-0.6264964518</v>
      </c>
    </row>
    <row r="1801" ht="14.25" customHeight="1">
      <c r="A1801" s="2" t="s">
        <v>125</v>
      </c>
      <c r="B1801" s="2" t="s">
        <v>126</v>
      </c>
      <c r="C1801" s="2">
        <v>2013.0</v>
      </c>
      <c r="D1801" s="9">
        <v>1387.0251</v>
      </c>
      <c r="E1801" s="10" t="str">
        <f t="array" ref="E1801">IFS(D1801&lt;=$G$3,'calculated data '!$A$3,D1801&lt;=$G$4,'calculated data '!$A$4,D1801&lt;=$G$6,'calculated data '!$A$5,D1801&gt;=$G$6,'calculated data '!$A$6)</f>
        <v>Low Demand Tier</v>
      </c>
      <c r="F1801" s="10">
        <f t="shared" si="1"/>
        <v>-0.626457266</v>
      </c>
    </row>
    <row r="1802" ht="14.25" customHeight="1">
      <c r="A1802" s="2" t="s">
        <v>61</v>
      </c>
      <c r="B1802" s="2" t="s">
        <v>62</v>
      </c>
      <c r="C1802" s="2">
        <v>2021.0</v>
      </c>
      <c r="D1802" s="9">
        <v>1387.1483</v>
      </c>
      <c r="E1802" s="10" t="str">
        <f t="array" ref="E1802">IFS(D1802&lt;=$G$3,'calculated data '!$A$3,D1802&lt;=$G$4,'calculated data '!$A$4,D1802&lt;=$G$6,'calculated data '!$A$5,D1802&gt;=$G$6,'calculated data '!$A$6)</f>
        <v>Low Demand Tier</v>
      </c>
      <c r="F1802" s="10">
        <f t="shared" si="1"/>
        <v>-0.6264540049</v>
      </c>
    </row>
    <row r="1803" ht="14.25" customHeight="1">
      <c r="A1803" s="2" t="s">
        <v>139</v>
      </c>
      <c r="B1803" s="2" t="s">
        <v>140</v>
      </c>
      <c r="C1803" s="2">
        <v>1986.0</v>
      </c>
      <c r="D1803" s="9">
        <v>1390.2891</v>
      </c>
      <c r="E1803" s="10" t="str">
        <f t="array" ref="E1803">IFS(D1803&lt;=$G$3,'calculated data '!$A$3,D1803&lt;=$G$4,'calculated data '!$A$4,D1803&lt;=$G$6,'calculated data '!$A$5,D1803&gt;=$G$6,'calculated data '!$A$6)</f>
        <v>Low Demand Tier</v>
      </c>
      <c r="F1803" s="10">
        <f t="shared" si="1"/>
        <v>-0.6263708687</v>
      </c>
    </row>
    <row r="1804" ht="14.25" customHeight="1">
      <c r="A1804" s="2" t="s">
        <v>171</v>
      </c>
      <c r="B1804" s="2" t="s">
        <v>172</v>
      </c>
      <c r="C1804" s="2">
        <v>1988.0</v>
      </c>
      <c r="D1804" s="9">
        <v>1394.8091</v>
      </c>
      <c r="E1804" s="10" t="str">
        <f t="array" ref="E1804">IFS(D1804&lt;=$G$3,'calculated data '!$A$3,D1804&lt;=$G$4,'calculated data '!$A$4,D1804&lt;=$G$6,'calculated data '!$A$5,D1804&gt;=$G$6,'calculated data '!$A$6)</f>
        <v>Low Demand Tier</v>
      </c>
      <c r="F1804" s="10">
        <f t="shared" si="1"/>
        <v>-0.6262512254</v>
      </c>
    </row>
    <row r="1805" ht="14.25" customHeight="1">
      <c r="A1805" s="2" t="s">
        <v>139</v>
      </c>
      <c r="B1805" s="2" t="s">
        <v>140</v>
      </c>
      <c r="C1805" s="2">
        <v>1988.0</v>
      </c>
      <c r="D1805" s="9">
        <v>1395.2968</v>
      </c>
      <c r="E1805" s="10" t="str">
        <f t="array" ref="E1805">IFS(D1805&lt;=$G$3,'calculated data '!$A$3,D1805&lt;=$G$4,'calculated data '!$A$4,D1805&lt;=$G$6,'calculated data '!$A$5,D1805&gt;=$G$6,'calculated data '!$A$6)</f>
        <v>Low Demand Tier</v>
      </c>
      <c r="F1805" s="10">
        <f t="shared" si="1"/>
        <v>-0.6262383161</v>
      </c>
    </row>
    <row r="1806" ht="14.25" customHeight="1">
      <c r="A1806" s="2" t="s">
        <v>139</v>
      </c>
      <c r="B1806" s="2" t="s">
        <v>140</v>
      </c>
      <c r="C1806" s="2">
        <v>1981.0</v>
      </c>
      <c r="D1806" s="9">
        <v>1396.556</v>
      </c>
      <c r="E1806" s="10" t="str">
        <f t="array" ref="E1806">IFS(D1806&lt;=$G$3,'calculated data '!$A$3,D1806&lt;=$G$4,'calculated data '!$A$4,D1806&lt;=$G$6,'calculated data '!$A$5,D1806&gt;=$G$6,'calculated data '!$A$6)</f>
        <v>Low Demand Tier</v>
      </c>
      <c r="F1806" s="10">
        <f t="shared" si="1"/>
        <v>-0.6262049854</v>
      </c>
    </row>
    <row r="1807" ht="14.25" customHeight="1">
      <c r="A1807" s="2" t="s">
        <v>21</v>
      </c>
      <c r="B1807" s="2" t="s">
        <v>22</v>
      </c>
      <c r="C1807" s="2">
        <v>2006.0</v>
      </c>
      <c r="D1807" s="9">
        <v>1396.6757</v>
      </c>
      <c r="E1807" s="10" t="str">
        <f t="array" ref="E1807">IFS(D1807&lt;=$G$3,'calculated data '!$A$3,D1807&lt;=$G$4,'calculated data '!$A$4,D1807&lt;=$G$6,'calculated data '!$A$5,D1807&gt;=$G$6,'calculated data '!$A$6)</f>
        <v>Low Demand Tier</v>
      </c>
      <c r="F1807" s="10">
        <f t="shared" si="1"/>
        <v>-0.626201817</v>
      </c>
    </row>
    <row r="1808" ht="14.25" customHeight="1">
      <c r="A1808" s="2" t="s">
        <v>153</v>
      </c>
      <c r="B1808" s="2" t="s">
        <v>154</v>
      </c>
      <c r="C1808" s="2">
        <v>2009.0</v>
      </c>
      <c r="D1808" s="9">
        <v>1398.1256</v>
      </c>
      <c r="E1808" s="10" t="str">
        <f t="array" ref="E1808">IFS(D1808&lt;=$G$3,'calculated data '!$A$3,D1808&lt;=$G$4,'calculated data '!$A$4,D1808&lt;=$G$6,'calculated data '!$A$5,D1808&gt;=$G$6,'calculated data '!$A$6)</f>
        <v>Low Demand Tier</v>
      </c>
      <c r="F1808" s="10">
        <f t="shared" si="1"/>
        <v>-0.6261634385</v>
      </c>
    </row>
    <row r="1809" ht="14.25" customHeight="1">
      <c r="A1809" s="2" t="s">
        <v>175</v>
      </c>
      <c r="B1809" s="2" t="s">
        <v>176</v>
      </c>
      <c r="C1809" s="2">
        <v>1976.0</v>
      </c>
      <c r="D1809" s="9">
        <v>1398.5009</v>
      </c>
      <c r="E1809" s="10" t="str">
        <f t="array" ref="E1809">IFS(D1809&lt;=$G$3,'calculated data '!$A$3,D1809&lt;=$G$4,'calculated data '!$A$4,D1809&lt;=$G$6,'calculated data '!$A$5,D1809&gt;=$G$6,'calculated data '!$A$6)</f>
        <v>Low Demand Tier</v>
      </c>
      <c r="F1809" s="10">
        <f t="shared" si="1"/>
        <v>-0.6261535044</v>
      </c>
    </row>
    <row r="1810" ht="14.25" customHeight="1">
      <c r="A1810" s="2" t="s">
        <v>171</v>
      </c>
      <c r="B1810" s="2" t="s">
        <v>172</v>
      </c>
      <c r="C1810" s="2">
        <v>1989.0</v>
      </c>
      <c r="D1810" s="9">
        <v>1401.0586</v>
      </c>
      <c r="E1810" s="10" t="str">
        <f t="array" ref="E1810">IFS(D1810&lt;=$G$3,'calculated data '!$A$3,D1810&lt;=$G$4,'calculated data '!$A$4,D1810&lt;=$G$6,'calculated data '!$A$5,D1810&gt;=$G$6,'calculated data '!$A$6)</f>
        <v>Low Demand Tier</v>
      </c>
      <c r="F1810" s="10">
        <f t="shared" si="1"/>
        <v>-0.6260858027</v>
      </c>
    </row>
    <row r="1811" ht="14.25" customHeight="1">
      <c r="A1811" s="2" t="s">
        <v>123</v>
      </c>
      <c r="B1811" s="2" t="s">
        <v>124</v>
      </c>
      <c r="C1811" s="2">
        <v>2004.0</v>
      </c>
      <c r="D1811" s="9">
        <v>1402.6357</v>
      </c>
      <c r="E1811" s="10" t="str">
        <f t="array" ref="E1811">IFS(D1811&lt;=$G$3,'calculated data '!$A$3,D1811&lt;=$G$4,'calculated data '!$A$4,D1811&lt;=$G$6,'calculated data '!$A$5,D1811&gt;=$G$6,'calculated data '!$A$6)</f>
        <v>Low Demand Tier</v>
      </c>
      <c r="F1811" s="10">
        <f t="shared" si="1"/>
        <v>-0.6260440573</v>
      </c>
    </row>
    <row r="1812" ht="14.25" customHeight="1">
      <c r="A1812" s="2" t="s">
        <v>99</v>
      </c>
      <c r="B1812" s="2" t="s">
        <v>100</v>
      </c>
      <c r="C1812" s="2">
        <v>1987.0</v>
      </c>
      <c r="D1812" s="9">
        <v>1402.8014</v>
      </c>
      <c r="E1812" s="10" t="str">
        <f t="array" ref="E1812">IFS(D1812&lt;=$G$3,'calculated data '!$A$3,D1812&lt;=$G$4,'calculated data '!$A$4,D1812&lt;=$G$6,'calculated data '!$A$5,D1812&gt;=$G$6,'calculated data '!$A$6)</f>
        <v>Low Demand Tier</v>
      </c>
      <c r="F1812" s="10">
        <f t="shared" si="1"/>
        <v>-0.6260396712</v>
      </c>
    </row>
    <row r="1813" ht="14.25" customHeight="1">
      <c r="A1813" s="2" t="s">
        <v>165</v>
      </c>
      <c r="B1813" s="2" t="s">
        <v>166</v>
      </c>
      <c r="C1813" s="2">
        <v>1974.0</v>
      </c>
      <c r="D1813" s="9">
        <v>1405.86</v>
      </c>
      <c r="E1813" s="10" t="str">
        <f t="array" ref="E1813">IFS(D1813&lt;=$G$3,'calculated data '!$A$3,D1813&lt;=$G$4,'calculated data '!$A$4,D1813&lt;=$G$6,'calculated data '!$A$5,D1813&gt;=$G$6,'calculated data '!$A$6)</f>
        <v>Low Demand Tier</v>
      </c>
      <c r="F1813" s="10">
        <f t="shared" si="1"/>
        <v>-0.6259587108</v>
      </c>
    </row>
    <row r="1814" ht="14.25" customHeight="1">
      <c r="A1814" s="2" t="s">
        <v>173</v>
      </c>
      <c r="B1814" s="2" t="s">
        <v>174</v>
      </c>
      <c r="C1814" s="2">
        <v>2011.0</v>
      </c>
      <c r="D1814" s="9">
        <v>1407.5741</v>
      </c>
      <c r="E1814" s="10" t="str">
        <f t="array" ref="E1814">IFS(D1814&lt;=$G$3,'calculated data '!$A$3,D1814&lt;=$G$4,'calculated data '!$A$4,D1814&lt;=$G$6,'calculated data '!$A$5,D1814&gt;=$G$6,'calculated data '!$A$6)</f>
        <v>Low Demand Tier</v>
      </c>
      <c r="F1814" s="10">
        <f t="shared" si="1"/>
        <v>-0.625913339</v>
      </c>
    </row>
    <row r="1815" ht="14.25" customHeight="1">
      <c r="A1815" s="2" t="s">
        <v>65</v>
      </c>
      <c r="B1815" s="2" t="s">
        <v>66</v>
      </c>
      <c r="C1815" s="2">
        <v>2011.0</v>
      </c>
      <c r="D1815" s="9">
        <v>1410.3762</v>
      </c>
      <c r="E1815" s="10" t="str">
        <f t="array" ref="E1815">IFS(D1815&lt;=$G$3,'calculated data '!$A$3,D1815&lt;=$G$4,'calculated data '!$A$4,D1815&lt;=$G$6,'calculated data '!$A$5,D1815&gt;=$G$6,'calculated data '!$A$6)</f>
        <v>Low Demand Tier</v>
      </c>
      <c r="F1815" s="10">
        <f t="shared" si="1"/>
        <v>-0.6258391681</v>
      </c>
    </row>
    <row r="1816" ht="14.25" customHeight="1">
      <c r="A1816" s="2" t="s">
        <v>71</v>
      </c>
      <c r="B1816" s="2" t="s">
        <v>72</v>
      </c>
      <c r="C1816" s="2">
        <v>1970.0</v>
      </c>
      <c r="D1816" s="9">
        <v>1412.2805</v>
      </c>
      <c r="E1816" s="10" t="str">
        <f t="array" ref="E1816">IFS(D1816&lt;=$G$3,'calculated data '!$A$3,D1816&lt;=$G$4,'calculated data '!$A$4,D1816&lt;=$G$6,'calculated data '!$A$5,D1816&gt;=$G$6,'calculated data '!$A$6)</f>
        <v>Low Demand Tier</v>
      </c>
      <c r="F1816" s="10">
        <f t="shared" si="1"/>
        <v>-0.6257887618</v>
      </c>
    </row>
    <row r="1817" ht="14.25" customHeight="1">
      <c r="A1817" s="2" t="s">
        <v>175</v>
      </c>
      <c r="B1817" s="2" t="s">
        <v>176</v>
      </c>
      <c r="C1817" s="2">
        <v>1974.0</v>
      </c>
      <c r="D1817" s="9">
        <v>1415.0807</v>
      </c>
      <c r="E1817" s="10" t="str">
        <f t="array" ref="E1817">IFS(D1817&lt;=$G$3,'calculated data '!$A$3,D1817&lt;=$G$4,'calculated data '!$A$4,D1817&lt;=$G$6,'calculated data '!$A$5,D1817&gt;=$G$6,'calculated data '!$A$6)</f>
        <v>Low Demand Tier</v>
      </c>
      <c r="F1817" s="10">
        <f t="shared" si="1"/>
        <v>-0.6257146412</v>
      </c>
    </row>
    <row r="1818" ht="14.25" customHeight="1">
      <c r="A1818" s="2" t="s">
        <v>51</v>
      </c>
      <c r="B1818" s="2" t="s">
        <v>52</v>
      </c>
      <c r="C1818" s="2">
        <v>1994.0</v>
      </c>
      <c r="D1818" s="9">
        <v>1415.5836</v>
      </c>
      <c r="E1818" s="10" t="str">
        <f t="array" ref="E1818">IFS(D1818&lt;=$G$3,'calculated data '!$A$3,D1818&lt;=$G$4,'calculated data '!$A$4,D1818&lt;=$G$6,'calculated data '!$A$5,D1818&gt;=$G$6,'calculated data '!$A$6)</f>
        <v>Low Demand Tier</v>
      </c>
      <c r="F1818" s="10">
        <f t="shared" si="1"/>
        <v>-0.6257013296</v>
      </c>
    </row>
    <row r="1819" ht="14.25" customHeight="1">
      <c r="A1819" s="2" t="s">
        <v>119</v>
      </c>
      <c r="B1819" s="2" t="s">
        <v>120</v>
      </c>
      <c r="C1819" s="2">
        <v>2019.0</v>
      </c>
      <c r="D1819" s="9">
        <v>1416.3385</v>
      </c>
      <c r="E1819" s="10" t="str">
        <f t="array" ref="E1819">IFS(D1819&lt;=$G$3,'calculated data '!$A$3,D1819&lt;=$G$4,'calculated data '!$A$4,D1819&lt;=$G$6,'calculated data '!$A$5,D1819&gt;=$G$6,'calculated data '!$A$6)</f>
        <v>Low Demand Tier</v>
      </c>
      <c r="F1819" s="10">
        <f t="shared" si="1"/>
        <v>-0.6256813476</v>
      </c>
    </row>
    <row r="1820" ht="14.25" customHeight="1">
      <c r="A1820" s="2" t="s">
        <v>179</v>
      </c>
      <c r="B1820" s="2" t="s">
        <v>180</v>
      </c>
      <c r="C1820" s="2">
        <v>1999.0</v>
      </c>
      <c r="D1820" s="9">
        <v>1416.5885</v>
      </c>
      <c r="E1820" s="10" t="str">
        <f t="array" ref="E1820">IFS(D1820&lt;=$G$3,'calculated data '!$A$3,D1820&lt;=$G$4,'calculated data '!$A$4,D1820&lt;=$G$6,'calculated data '!$A$5,D1820&gt;=$G$6,'calculated data '!$A$6)</f>
        <v>Low Demand Tier</v>
      </c>
      <c r="F1820" s="10">
        <f t="shared" si="1"/>
        <v>-0.6256747301</v>
      </c>
    </row>
    <row r="1821" ht="14.25" customHeight="1">
      <c r="A1821" s="2" t="s">
        <v>147</v>
      </c>
      <c r="B1821" s="2" t="s">
        <v>148</v>
      </c>
      <c r="C1821" s="2">
        <v>1987.0</v>
      </c>
      <c r="D1821" s="9">
        <v>1417.452</v>
      </c>
      <c r="E1821" s="10" t="str">
        <f t="array" ref="E1821">IFS(D1821&lt;=$G$3,'calculated data '!$A$3,D1821&lt;=$G$4,'calculated data '!$A$4,D1821&lt;=$G$6,'calculated data '!$A$5,D1821&gt;=$G$6,'calculated data '!$A$6)</f>
        <v>Low Demand Tier</v>
      </c>
      <c r="F1821" s="10">
        <f t="shared" si="1"/>
        <v>-0.6256518735</v>
      </c>
    </row>
    <row r="1822" ht="14.25" customHeight="1">
      <c r="A1822" s="2" t="s">
        <v>135</v>
      </c>
      <c r="B1822" s="2" t="s">
        <v>136</v>
      </c>
      <c r="C1822" s="2">
        <v>2001.0</v>
      </c>
      <c r="D1822" s="9">
        <v>1417.9863</v>
      </c>
      <c r="E1822" s="10" t="str">
        <f t="array" ref="E1822">IFS(D1822&lt;=$G$3,'calculated data '!$A$3,D1822&lt;=$G$4,'calculated data '!$A$4,D1822&lt;=$G$6,'calculated data '!$A$5,D1822&gt;=$G$6,'calculated data '!$A$6)</f>
        <v>Low Demand Tier</v>
      </c>
      <c r="F1822" s="10">
        <f t="shared" si="1"/>
        <v>-0.6256377307</v>
      </c>
    </row>
    <row r="1823" ht="14.25" customHeight="1">
      <c r="A1823" s="2" t="s">
        <v>113</v>
      </c>
      <c r="B1823" s="2" t="s">
        <v>114</v>
      </c>
      <c r="C1823" s="2">
        <v>2006.0</v>
      </c>
      <c r="D1823" s="9">
        <v>1418.0597</v>
      </c>
      <c r="E1823" s="10" t="str">
        <f t="array" ref="E1823">IFS(D1823&lt;=$G$3,'calculated data '!$A$3,D1823&lt;=$G$4,'calculated data '!$A$4,D1823&lt;=$G$6,'calculated data '!$A$5,D1823&gt;=$G$6,'calculated data '!$A$6)</f>
        <v>Low Demand Tier</v>
      </c>
      <c r="F1823" s="10">
        <f t="shared" si="1"/>
        <v>-0.6256357878</v>
      </c>
    </row>
    <row r="1824" ht="14.25" customHeight="1">
      <c r="A1824" s="2" t="s">
        <v>135</v>
      </c>
      <c r="B1824" s="2" t="s">
        <v>136</v>
      </c>
      <c r="C1824" s="2">
        <v>2005.0</v>
      </c>
      <c r="D1824" s="9">
        <v>1418.505</v>
      </c>
      <c r="E1824" s="10" t="str">
        <f t="array" ref="E1824">IFS(D1824&lt;=$G$3,'calculated data '!$A$3,D1824&lt;=$G$4,'calculated data '!$A$4,D1824&lt;=$G$6,'calculated data '!$A$5,D1824&gt;=$G$6,'calculated data '!$A$6)</f>
        <v>Low Demand Tier</v>
      </c>
      <c r="F1824" s="10">
        <f t="shared" si="1"/>
        <v>-0.6256240008</v>
      </c>
    </row>
    <row r="1825" ht="14.25" customHeight="1">
      <c r="A1825" s="2" t="s">
        <v>179</v>
      </c>
      <c r="B1825" s="2" t="s">
        <v>180</v>
      </c>
      <c r="C1825" s="2">
        <v>2001.0</v>
      </c>
      <c r="D1825" s="9">
        <v>1418.7946</v>
      </c>
      <c r="E1825" s="10" t="str">
        <f t="array" ref="E1825">IFS(D1825&lt;=$G$3,'calculated data '!$A$3,D1825&lt;=$G$4,'calculated data '!$A$4,D1825&lt;=$G$6,'calculated data '!$A$5,D1825&gt;=$G$6,'calculated data '!$A$6)</f>
        <v>Low Demand Tier</v>
      </c>
      <c r="F1825" s="10">
        <f t="shared" si="1"/>
        <v>-0.6256163352</v>
      </c>
    </row>
    <row r="1826" ht="14.25" customHeight="1">
      <c r="A1826" s="2" t="s">
        <v>21</v>
      </c>
      <c r="B1826" s="2" t="s">
        <v>22</v>
      </c>
      <c r="C1826" s="2">
        <v>2007.0</v>
      </c>
      <c r="D1826" s="9">
        <v>1421.4309</v>
      </c>
      <c r="E1826" s="10" t="str">
        <f t="array" ref="E1826">IFS(D1826&lt;=$G$3,'calculated data '!$A$3,D1826&lt;=$G$4,'calculated data '!$A$4,D1826&lt;=$G$6,'calculated data '!$A$5,D1826&gt;=$G$6,'calculated data '!$A$6)</f>
        <v>Low Demand Tier</v>
      </c>
      <c r="F1826" s="10">
        <f t="shared" si="1"/>
        <v>-0.625546553</v>
      </c>
    </row>
    <row r="1827" ht="14.25" customHeight="1">
      <c r="A1827" s="2" t="s">
        <v>153</v>
      </c>
      <c r="B1827" s="2" t="s">
        <v>154</v>
      </c>
      <c r="C1827" s="2">
        <v>2013.0</v>
      </c>
      <c r="D1827" s="9">
        <v>1423.8463</v>
      </c>
      <c r="E1827" s="10" t="str">
        <f t="array" ref="E1827">IFS(D1827&lt;=$G$3,'calculated data '!$A$3,D1827&lt;=$G$4,'calculated data '!$A$4,D1827&lt;=$G$6,'calculated data '!$A$5,D1827&gt;=$G$6,'calculated data '!$A$6)</f>
        <v>Low Demand Tier</v>
      </c>
      <c r="F1827" s="10">
        <f t="shared" si="1"/>
        <v>-0.625482618</v>
      </c>
    </row>
    <row r="1828" ht="14.25" customHeight="1">
      <c r="A1828" s="2" t="s">
        <v>153</v>
      </c>
      <c r="B1828" s="2" t="s">
        <v>154</v>
      </c>
      <c r="C1828" s="2">
        <v>1983.0</v>
      </c>
      <c r="D1828" s="9">
        <v>1425.0796</v>
      </c>
      <c r="E1828" s="10" t="str">
        <f t="array" ref="E1828">IFS(D1828&lt;=$G$3,'calculated data '!$A$3,D1828&lt;=$G$4,'calculated data '!$A$4,D1828&lt;=$G$6,'calculated data '!$A$5,D1828&gt;=$G$6,'calculated data '!$A$6)</f>
        <v>Low Demand Tier</v>
      </c>
      <c r="F1828" s="10">
        <f t="shared" si="1"/>
        <v>-0.6254499728</v>
      </c>
    </row>
    <row r="1829" ht="14.25" customHeight="1">
      <c r="A1829" s="2" t="s">
        <v>147</v>
      </c>
      <c r="B1829" s="2" t="s">
        <v>148</v>
      </c>
      <c r="C1829" s="2">
        <v>2019.0</v>
      </c>
      <c r="D1829" s="9">
        <v>1426.2277</v>
      </c>
      <c r="E1829" s="10" t="str">
        <f t="array" ref="E1829">IFS(D1829&lt;=$G$3,'calculated data '!$A$3,D1829&lt;=$G$4,'calculated data '!$A$4,D1829&lt;=$G$6,'calculated data '!$A$5,D1829&gt;=$G$6,'calculated data '!$A$6)</f>
        <v>Low Demand Tier</v>
      </c>
      <c r="F1829" s="10">
        <f t="shared" si="1"/>
        <v>-0.6254195829</v>
      </c>
    </row>
    <row r="1830" ht="14.25" customHeight="1">
      <c r="A1830" s="2" t="s">
        <v>135</v>
      </c>
      <c r="B1830" s="2" t="s">
        <v>136</v>
      </c>
      <c r="C1830" s="2">
        <v>2008.0</v>
      </c>
      <c r="D1830" s="9">
        <v>1428.3232</v>
      </c>
      <c r="E1830" s="10" t="str">
        <f t="array" ref="E1830">IFS(D1830&lt;=$G$3,'calculated data '!$A$3,D1830&lt;=$G$4,'calculated data '!$A$4,D1830&lt;=$G$6,'calculated data '!$A$5,D1830&gt;=$G$6,'calculated data '!$A$6)</f>
        <v>Low Demand Tier</v>
      </c>
      <c r="F1830" s="10">
        <f t="shared" si="1"/>
        <v>-0.6253641155</v>
      </c>
    </row>
    <row r="1831" ht="14.25" customHeight="1">
      <c r="A1831" s="2" t="s">
        <v>175</v>
      </c>
      <c r="B1831" s="2" t="s">
        <v>176</v>
      </c>
      <c r="C1831" s="2">
        <v>1975.0</v>
      </c>
      <c r="D1831" s="9">
        <v>1429.7806</v>
      </c>
      <c r="E1831" s="10" t="str">
        <f t="array" ref="E1831">IFS(D1831&lt;=$G$3,'calculated data '!$A$3,D1831&lt;=$G$4,'calculated data '!$A$4,D1831&lt;=$G$6,'calculated data '!$A$5,D1831&gt;=$G$6,'calculated data '!$A$6)</f>
        <v>Low Demand Tier</v>
      </c>
      <c r="F1831" s="10">
        <f t="shared" si="1"/>
        <v>-0.6253255385</v>
      </c>
    </row>
    <row r="1832" ht="14.25" customHeight="1">
      <c r="A1832" s="2" t="s">
        <v>145</v>
      </c>
      <c r="B1832" s="2" t="s">
        <v>146</v>
      </c>
      <c r="C1832" s="2">
        <v>1984.0</v>
      </c>
      <c r="D1832" s="9">
        <v>1430.6758</v>
      </c>
      <c r="E1832" s="10" t="str">
        <f t="array" ref="E1832">IFS(D1832&lt;=$G$3,'calculated data '!$A$3,D1832&lt;=$G$4,'calculated data '!$A$4,D1832&lt;=$G$6,'calculated data '!$A$5,D1832&gt;=$G$6,'calculated data '!$A$6)</f>
        <v>Low Demand Tier</v>
      </c>
      <c r="F1832" s="10">
        <f t="shared" si="1"/>
        <v>-0.6253018428</v>
      </c>
    </row>
    <row r="1833" ht="14.25" customHeight="1">
      <c r="A1833" s="2" t="s">
        <v>147</v>
      </c>
      <c r="B1833" s="2" t="s">
        <v>148</v>
      </c>
      <c r="C1833" s="2">
        <v>2017.0</v>
      </c>
      <c r="D1833" s="9">
        <v>1432.6211</v>
      </c>
      <c r="E1833" s="10" t="str">
        <f t="array" ref="E1833">IFS(D1833&lt;=$G$3,'calculated data '!$A$3,D1833&lt;=$G$4,'calculated data '!$A$4,D1833&lt;=$G$6,'calculated data '!$A$5,D1833&gt;=$G$6,'calculated data '!$A$6)</f>
        <v>Low Demand Tier</v>
      </c>
      <c r="F1833" s="10">
        <f t="shared" si="1"/>
        <v>-0.6252503512</v>
      </c>
    </row>
    <row r="1834" ht="14.25" customHeight="1">
      <c r="A1834" s="2" t="s">
        <v>135</v>
      </c>
      <c r="B1834" s="2" t="s">
        <v>136</v>
      </c>
      <c r="C1834" s="2">
        <v>2004.0</v>
      </c>
      <c r="D1834" s="9">
        <v>1432.9792</v>
      </c>
      <c r="E1834" s="10" t="str">
        <f t="array" ref="E1834">IFS(D1834&lt;=$G$3,'calculated data '!$A$3,D1834&lt;=$G$4,'calculated data '!$A$4,D1834&lt;=$G$6,'calculated data '!$A$5,D1834&gt;=$G$6,'calculated data '!$A$6)</f>
        <v>Low Demand Tier</v>
      </c>
      <c r="F1834" s="10">
        <f t="shared" si="1"/>
        <v>-0.6252408724</v>
      </c>
    </row>
    <row r="1835" ht="14.25" customHeight="1">
      <c r="A1835" s="2" t="s">
        <v>147</v>
      </c>
      <c r="B1835" s="2" t="s">
        <v>148</v>
      </c>
      <c r="C1835" s="2">
        <v>1984.0</v>
      </c>
      <c r="D1835" s="9">
        <v>1436.5275</v>
      </c>
      <c r="E1835" s="10" t="str">
        <f t="array" ref="E1835">IFS(D1835&lt;=$G$3,'calculated data '!$A$3,D1835&lt;=$G$4,'calculated data '!$A$4,D1835&lt;=$G$6,'calculated data '!$A$5,D1835&gt;=$G$6,'calculated data '!$A$6)</f>
        <v>Low Demand Tier</v>
      </c>
      <c r="F1835" s="10">
        <f t="shared" si="1"/>
        <v>-0.6251469498</v>
      </c>
    </row>
    <row r="1836" ht="14.25" customHeight="1">
      <c r="A1836" s="2" t="s">
        <v>143</v>
      </c>
      <c r="B1836" s="2" t="s">
        <v>144</v>
      </c>
      <c r="C1836" s="2">
        <v>1999.0</v>
      </c>
      <c r="D1836" s="9">
        <v>1436.6863</v>
      </c>
      <c r="E1836" s="10" t="str">
        <f t="array" ref="E1836">IFS(D1836&lt;=$G$3,'calculated data '!$A$3,D1836&lt;=$G$4,'calculated data '!$A$4,D1836&lt;=$G$6,'calculated data '!$A$5,D1836&gt;=$G$6,'calculated data '!$A$6)</f>
        <v>Low Demand Tier</v>
      </c>
      <c r="F1836" s="10">
        <f t="shared" si="1"/>
        <v>-0.6251427464</v>
      </c>
    </row>
    <row r="1837" ht="14.25" customHeight="1">
      <c r="A1837" s="2" t="s">
        <v>125</v>
      </c>
      <c r="B1837" s="2" t="s">
        <v>126</v>
      </c>
      <c r="C1837" s="2">
        <v>2012.0</v>
      </c>
      <c r="D1837" s="9">
        <v>1436.722</v>
      </c>
      <c r="E1837" s="10" t="str">
        <f t="array" ref="E1837">IFS(D1837&lt;=$G$3,'calculated data '!$A$3,D1837&lt;=$G$4,'calculated data '!$A$4,D1837&lt;=$G$6,'calculated data '!$A$5,D1837&gt;=$G$6,'calculated data '!$A$6)</f>
        <v>Low Demand Tier</v>
      </c>
      <c r="F1837" s="10">
        <f t="shared" si="1"/>
        <v>-0.6251418014</v>
      </c>
    </row>
    <row r="1838" ht="14.25" customHeight="1">
      <c r="A1838" s="2" t="s">
        <v>145</v>
      </c>
      <c r="B1838" s="2" t="s">
        <v>146</v>
      </c>
      <c r="C1838" s="2">
        <v>1993.0</v>
      </c>
      <c r="D1838" s="9">
        <v>1438.4036</v>
      </c>
      <c r="E1838" s="10" t="str">
        <f t="array" ref="E1838">IFS(D1838&lt;=$G$3,'calculated data '!$A$3,D1838&lt;=$G$4,'calculated data '!$A$4,D1838&lt;=$G$6,'calculated data '!$A$5,D1838&gt;=$G$6,'calculated data '!$A$6)</f>
        <v>Low Demand Tier</v>
      </c>
      <c r="F1838" s="10">
        <f t="shared" si="1"/>
        <v>-0.6250972899</v>
      </c>
    </row>
    <row r="1839" ht="14.25" customHeight="1">
      <c r="A1839" s="2" t="s">
        <v>71</v>
      </c>
      <c r="B1839" s="2" t="s">
        <v>72</v>
      </c>
      <c r="C1839" s="2">
        <v>1969.0</v>
      </c>
      <c r="D1839" s="9">
        <v>1438.9675</v>
      </c>
      <c r="E1839" s="10" t="str">
        <f t="array" ref="E1839">IFS(D1839&lt;=$G$3,'calculated data '!$A$3,D1839&lt;=$G$4,'calculated data '!$A$4,D1839&lt;=$G$6,'calculated data '!$A$5,D1839&gt;=$G$6,'calculated data '!$A$6)</f>
        <v>Low Demand Tier</v>
      </c>
      <c r="F1839" s="10">
        <f t="shared" si="1"/>
        <v>-0.6250823636</v>
      </c>
    </row>
    <row r="1840" ht="14.25" customHeight="1">
      <c r="A1840" s="2" t="s">
        <v>139</v>
      </c>
      <c r="B1840" s="2" t="s">
        <v>140</v>
      </c>
      <c r="C1840" s="2">
        <v>1991.0</v>
      </c>
      <c r="D1840" s="9">
        <v>1440.176</v>
      </c>
      <c r="E1840" s="10" t="str">
        <f t="array" ref="E1840">IFS(D1840&lt;=$G$3,'calculated data '!$A$3,D1840&lt;=$G$4,'calculated data '!$A$4,D1840&lt;=$G$6,'calculated data '!$A$5,D1840&gt;=$G$6,'calculated data '!$A$6)</f>
        <v>Low Demand Tier</v>
      </c>
      <c r="F1840" s="10">
        <f t="shared" si="1"/>
        <v>-0.6250503749</v>
      </c>
    </row>
    <row r="1841" ht="14.25" customHeight="1">
      <c r="A1841" s="2" t="s">
        <v>145</v>
      </c>
      <c r="B1841" s="2" t="s">
        <v>146</v>
      </c>
      <c r="C1841" s="2">
        <v>1983.0</v>
      </c>
      <c r="D1841" s="9">
        <v>1441.9889</v>
      </c>
      <c r="E1841" s="10" t="str">
        <f t="array" ref="E1841">IFS(D1841&lt;=$G$3,'calculated data '!$A$3,D1841&lt;=$G$4,'calculated data '!$A$4,D1841&lt;=$G$6,'calculated data '!$A$5,D1841&gt;=$G$6,'calculated data '!$A$6)</f>
        <v>Low Demand Tier</v>
      </c>
      <c r="F1841" s="10">
        <f t="shared" si="1"/>
        <v>-0.6250023879</v>
      </c>
    </row>
    <row r="1842" ht="14.25" customHeight="1">
      <c r="A1842" s="2" t="s">
        <v>151</v>
      </c>
      <c r="B1842" s="2" t="s">
        <v>152</v>
      </c>
      <c r="C1842" s="2">
        <v>1977.0</v>
      </c>
      <c r="D1842" s="9">
        <v>1443.774</v>
      </c>
      <c r="E1842" s="10" t="str">
        <f t="array" ref="E1842">IFS(D1842&lt;=$G$3,'calculated data '!$A$3,D1842&lt;=$G$4,'calculated data '!$A$4,D1842&lt;=$G$6,'calculated data '!$A$5,D1842&gt;=$G$6,'calculated data '!$A$6)</f>
        <v>Low Demand Tier</v>
      </c>
      <c r="F1842" s="10">
        <f t="shared" si="1"/>
        <v>-0.6249551367</v>
      </c>
    </row>
    <row r="1843" ht="14.25" customHeight="1">
      <c r="A1843" s="2" t="s">
        <v>147</v>
      </c>
      <c r="B1843" s="2" t="s">
        <v>148</v>
      </c>
      <c r="C1843" s="2">
        <v>2020.0</v>
      </c>
      <c r="D1843" s="9">
        <v>1444.2842</v>
      </c>
      <c r="E1843" s="10" t="str">
        <f t="array" ref="E1843">IFS(D1843&lt;=$G$3,'calculated data '!$A$3,D1843&lt;=$G$4,'calculated data '!$A$4,D1843&lt;=$G$6,'calculated data '!$A$5,D1843&gt;=$G$6,'calculated data '!$A$6)</f>
        <v>Low Demand Tier</v>
      </c>
      <c r="F1843" s="10">
        <f t="shared" si="1"/>
        <v>-0.6249416318</v>
      </c>
    </row>
    <row r="1844" ht="14.25" customHeight="1">
      <c r="A1844" s="2" t="s">
        <v>167</v>
      </c>
      <c r="B1844" s="2" t="s">
        <v>168</v>
      </c>
      <c r="C1844" s="2">
        <v>2010.0</v>
      </c>
      <c r="D1844" s="9">
        <v>1445.2784</v>
      </c>
      <c r="E1844" s="10" t="str">
        <f t="array" ref="E1844">IFS(D1844&lt;=$G$3,'calculated data '!$A$3,D1844&lt;=$G$4,'calculated data '!$A$4,D1844&lt;=$G$6,'calculated data '!$A$5,D1844&gt;=$G$6,'calculated data '!$A$6)</f>
        <v>Low Demand Tier</v>
      </c>
      <c r="F1844" s="10">
        <f t="shared" si="1"/>
        <v>-0.6249153156</v>
      </c>
    </row>
    <row r="1845" ht="14.25" customHeight="1">
      <c r="A1845" s="2" t="s">
        <v>153</v>
      </c>
      <c r="B1845" s="2" t="s">
        <v>154</v>
      </c>
      <c r="C1845" s="2">
        <v>2010.0</v>
      </c>
      <c r="D1845" s="9">
        <v>1447.064</v>
      </c>
      <c r="E1845" s="10" t="str">
        <f t="array" ref="E1845">IFS(D1845&lt;=$G$3,'calculated data '!$A$3,D1845&lt;=$G$4,'calculated data '!$A$4,D1845&lt;=$G$6,'calculated data '!$A$5,D1845&gt;=$G$6,'calculated data '!$A$6)</f>
        <v>Low Demand Tier</v>
      </c>
      <c r="F1845" s="10">
        <f t="shared" si="1"/>
        <v>-0.6248680512</v>
      </c>
    </row>
    <row r="1846" ht="14.25" customHeight="1">
      <c r="A1846" s="2" t="s">
        <v>151</v>
      </c>
      <c r="B1846" s="2" t="s">
        <v>152</v>
      </c>
      <c r="C1846" s="2">
        <v>1978.0</v>
      </c>
      <c r="D1846" s="9">
        <v>1448.5525</v>
      </c>
      <c r="E1846" s="10" t="str">
        <f t="array" ref="E1846">IFS(D1846&lt;=$G$3,'calculated data '!$A$3,D1846&lt;=$G$4,'calculated data '!$A$4,D1846&lt;=$G$6,'calculated data '!$A$5,D1846&gt;=$G$6,'calculated data '!$A$6)</f>
        <v>Low Demand Tier</v>
      </c>
      <c r="F1846" s="10">
        <f t="shared" si="1"/>
        <v>-0.624828651</v>
      </c>
    </row>
    <row r="1847" ht="14.25" customHeight="1">
      <c r="A1847" s="2" t="s">
        <v>133</v>
      </c>
      <c r="B1847" s="2" t="s">
        <v>134</v>
      </c>
      <c r="C1847" s="2">
        <v>1975.0</v>
      </c>
      <c r="D1847" s="9">
        <v>1449.3969</v>
      </c>
      <c r="E1847" s="10" t="str">
        <f t="array" ref="E1847">IFS(D1847&lt;=$G$3,'calculated data '!$A$3,D1847&lt;=$G$4,'calculated data '!$A$4,D1847&lt;=$G$6,'calculated data '!$A$5,D1847&gt;=$G$6,'calculated data '!$A$6)</f>
        <v>Low Demand Tier</v>
      </c>
      <c r="F1847" s="10">
        <f t="shared" si="1"/>
        <v>-0.6248062999</v>
      </c>
    </row>
    <row r="1848" ht="14.25" customHeight="1">
      <c r="A1848" s="2" t="s">
        <v>173</v>
      </c>
      <c r="B1848" s="2" t="s">
        <v>174</v>
      </c>
      <c r="C1848" s="2">
        <v>2006.0</v>
      </c>
      <c r="D1848" s="9">
        <v>1450.8588</v>
      </c>
      <c r="E1848" s="10" t="str">
        <f t="array" ref="E1848">IFS(D1848&lt;=$G$3,'calculated data '!$A$3,D1848&lt;=$G$4,'calculated data '!$A$4,D1848&lt;=$G$6,'calculated data '!$A$5,D1848&gt;=$G$6,'calculated data '!$A$6)</f>
        <v>Low Demand Tier</v>
      </c>
      <c r="F1848" s="10">
        <f t="shared" si="1"/>
        <v>-0.6247676038</v>
      </c>
    </row>
    <row r="1849" ht="14.25" customHeight="1">
      <c r="A1849" s="2" t="s">
        <v>175</v>
      </c>
      <c r="B1849" s="2" t="s">
        <v>176</v>
      </c>
      <c r="C1849" s="2">
        <v>1977.0</v>
      </c>
      <c r="D1849" s="9">
        <v>1451.3198</v>
      </c>
      <c r="E1849" s="10" t="str">
        <f t="array" ref="E1849">IFS(D1849&lt;=$G$3,'calculated data '!$A$3,D1849&lt;=$G$4,'calculated data '!$A$4,D1849&lt;=$G$6,'calculated data '!$A$5,D1849&gt;=$G$6,'calculated data '!$A$6)</f>
        <v>Low Demand Tier</v>
      </c>
      <c r="F1849" s="10">
        <f t="shared" si="1"/>
        <v>-0.6247554013</v>
      </c>
    </row>
    <row r="1850" ht="14.25" customHeight="1">
      <c r="A1850" s="2" t="s">
        <v>139</v>
      </c>
      <c r="B1850" s="2" t="s">
        <v>140</v>
      </c>
      <c r="C1850" s="2">
        <v>1990.0</v>
      </c>
      <c r="D1850" s="9">
        <v>1451.32</v>
      </c>
      <c r="E1850" s="10" t="str">
        <f t="array" ref="E1850">IFS(D1850&lt;=$G$3,'calculated data '!$A$3,D1850&lt;=$G$4,'calculated data '!$A$4,D1850&lt;=$G$6,'calculated data '!$A$5,D1850&gt;=$G$6,'calculated data '!$A$6)</f>
        <v>Low Demand Tier</v>
      </c>
      <c r="F1850" s="10">
        <f t="shared" si="1"/>
        <v>-0.624755396</v>
      </c>
    </row>
    <row r="1851" ht="14.25" customHeight="1">
      <c r="A1851" s="2" t="s">
        <v>99</v>
      </c>
      <c r="B1851" s="2" t="s">
        <v>100</v>
      </c>
      <c r="C1851" s="2">
        <v>1986.0</v>
      </c>
      <c r="D1851" s="9">
        <v>1452.7455</v>
      </c>
      <c r="E1851" s="10" t="str">
        <f t="array" ref="E1851">IFS(D1851&lt;=$G$3,'calculated data '!$A$3,D1851&lt;=$G$4,'calculated data '!$A$4,D1851&lt;=$G$6,'calculated data '!$A$5,D1851&gt;=$G$6,'calculated data '!$A$6)</f>
        <v>Low Demand Tier</v>
      </c>
      <c r="F1851" s="10">
        <f t="shared" si="1"/>
        <v>-0.6247176633</v>
      </c>
    </row>
    <row r="1852" ht="14.25" customHeight="1">
      <c r="A1852" s="2" t="s">
        <v>143</v>
      </c>
      <c r="B1852" s="2" t="s">
        <v>144</v>
      </c>
      <c r="C1852" s="2">
        <v>1998.0</v>
      </c>
      <c r="D1852" s="9">
        <v>1455.8417</v>
      </c>
      <c r="E1852" s="10" t="str">
        <f t="array" ref="E1852">IFS(D1852&lt;=$G$3,'calculated data '!$A$3,D1852&lt;=$G$4,'calculated data '!$A$4,D1852&lt;=$G$6,'calculated data '!$A$5,D1852&gt;=$G$6,'calculated data '!$A$6)</f>
        <v>Low Demand Tier</v>
      </c>
      <c r="F1852" s="10">
        <f t="shared" si="1"/>
        <v>-0.6246357077</v>
      </c>
    </row>
    <row r="1853" ht="14.25" customHeight="1">
      <c r="A1853" s="2" t="s">
        <v>175</v>
      </c>
      <c r="B1853" s="2" t="s">
        <v>176</v>
      </c>
      <c r="C1853" s="2">
        <v>1971.0</v>
      </c>
      <c r="D1853" s="9">
        <v>1455.9967</v>
      </c>
      <c r="E1853" s="10" t="str">
        <f t="array" ref="E1853">IFS(D1853&lt;=$G$3,'calculated data '!$A$3,D1853&lt;=$G$4,'calculated data '!$A$4,D1853&lt;=$G$6,'calculated data '!$A$5,D1853&gt;=$G$6,'calculated data '!$A$6)</f>
        <v>Low Demand Tier</v>
      </c>
      <c r="F1853" s="10">
        <f t="shared" si="1"/>
        <v>-0.6246316049</v>
      </c>
    </row>
    <row r="1854" ht="14.25" customHeight="1">
      <c r="A1854" s="2" t="s">
        <v>171</v>
      </c>
      <c r="B1854" s="2" t="s">
        <v>172</v>
      </c>
      <c r="C1854" s="2">
        <v>1992.0</v>
      </c>
      <c r="D1854" s="9">
        <v>1456.7665</v>
      </c>
      <c r="E1854" s="10" t="str">
        <f t="array" ref="E1854">IFS(D1854&lt;=$G$3,'calculated data '!$A$3,D1854&lt;=$G$4,'calculated data '!$A$4,D1854&lt;=$G$6,'calculated data '!$A$5,D1854&gt;=$G$6,'calculated data '!$A$6)</f>
        <v>Low Demand Tier</v>
      </c>
      <c r="F1854" s="10">
        <f t="shared" si="1"/>
        <v>-0.6246112285</v>
      </c>
    </row>
    <row r="1855" ht="14.25" customHeight="1">
      <c r="A1855" s="2" t="s">
        <v>135</v>
      </c>
      <c r="B1855" s="2" t="s">
        <v>136</v>
      </c>
      <c r="C1855" s="2">
        <v>2000.0</v>
      </c>
      <c r="D1855" s="9">
        <v>1456.7996</v>
      </c>
      <c r="E1855" s="10" t="str">
        <f t="array" ref="E1855">IFS(D1855&lt;=$G$3,'calculated data '!$A$3,D1855&lt;=$G$4,'calculated data '!$A$4,D1855&lt;=$G$6,'calculated data '!$A$5,D1855&gt;=$G$6,'calculated data '!$A$6)</f>
        <v>Low Demand Tier</v>
      </c>
      <c r="F1855" s="10">
        <f t="shared" si="1"/>
        <v>-0.6246103523</v>
      </c>
    </row>
    <row r="1856" ht="14.25" customHeight="1">
      <c r="A1856" s="2" t="s">
        <v>179</v>
      </c>
      <c r="B1856" s="2" t="s">
        <v>180</v>
      </c>
      <c r="C1856" s="2">
        <v>2002.0</v>
      </c>
      <c r="D1856" s="9">
        <v>1460.2954</v>
      </c>
      <c r="E1856" s="10" t="str">
        <f t="array" ref="E1856">IFS(D1856&lt;=$G$3,'calculated data '!$A$3,D1856&lt;=$G$4,'calculated data '!$A$4,D1856&lt;=$G$6,'calculated data '!$A$5,D1856&gt;=$G$6,'calculated data '!$A$6)</f>
        <v>Low Demand Tier</v>
      </c>
      <c r="F1856" s="10">
        <f t="shared" si="1"/>
        <v>-0.6245178194</v>
      </c>
    </row>
    <row r="1857" ht="14.25" customHeight="1">
      <c r="A1857" s="2" t="s">
        <v>125</v>
      </c>
      <c r="B1857" s="2" t="s">
        <v>126</v>
      </c>
      <c r="C1857" s="2">
        <v>2022.0</v>
      </c>
      <c r="D1857" s="9">
        <v>1460.611</v>
      </c>
      <c r="E1857" s="10" t="str">
        <f t="array" ref="E1857">IFS(D1857&lt;=$G$3,'calculated data '!$A$3,D1857&lt;=$G$4,'calculated data '!$A$4,D1857&lt;=$G$6,'calculated data '!$A$5,D1857&gt;=$G$6,'calculated data '!$A$6)</f>
        <v>Low Demand Tier</v>
      </c>
      <c r="F1857" s="10">
        <f t="shared" si="1"/>
        <v>-0.6245094655</v>
      </c>
    </row>
    <row r="1858" ht="14.25" customHeight="1">
      <c r="A1858" s="2" t="s">
        <v>125</v>
      </c>
      <c r="B1858" s="2" t="s">
        <v>126</v>
      </c>
      <c r="C1858" s="2">
        <v>2021.0</v>
      </c>
      <c r="D1858" s="9">
        <v>1462.0034</v>
      </c>
      <c r="E1858" s="10" t="str">
        <f t="array" ref="E1858">IFS(D1858&lt;=$G$3,'calculated data '!$A$3,D1858&lt;=$G$4,'calculated data '!$A$4,D1858&lt;=$G$6,'calculated data '!$A$5,D1858&gt;=$G$6,'calculated data '!$A$6)</f>
        <v>Low Demand Tier</v>
      </c>
      <c r="F1858" s="10">
        <f t="shared" si="1"/>
        <v>-0.624472609</v>
      </c>
    </row>
    <row r="1859" ht="14.25" customHeight="1">
      <c r="A1859" s="2" t="s">
        <v>147</v>
      </c>
      <c r="B1859" s="2" t="s">
        <v>148</v>
      </c>
      <c r="C1859" s="2">
        <v>1983.0</v>
      </c>
      <c r="D1859" s="9">
        <v>1462.4208</v>
      </c>
      <c r="E1859" s="10" t="str">
        <f t="array" ref="E1859">IFS(D1859&lt;=$G$3,'calculated data '!$A$3,D1859&lt;=$G$4,'calculated data '!$A$4,D1859&lt;=$G$6,'calculated data '!$A$5,D1859&gt;=$G$6,'calculated data '!$A$6)</f>
        <v>Low Demand Tier</v>
      </c>
      <c r="F1859" s="10">
        <f t="shared" si="1"/>
        <v>-0.6244615605</v>
      </c>
    </row>
    <row r="1860" ht="14.25" customHeight="1">
      <c r="A1860" s="2" t="s">
        <v>175</v>
      </c>
      <c r="B1860" s="2" t="s">
        <v>176</v>
      </c>
      <c r="C1860" s="2">
        <v>1966.0</v>
      </c>
      <c r="D1860" s="9">
        <v>1463.194</v>
      </c>
      <c r="E1860" s="10" t="str">
        <f t="array" ref="E1860">IFS(D1860&lt;=$G$3,'calculated data '!$A$3,D1860&lt;=$G$4,'calculated data '!$A$4,D1860&lt;=$G$6,'calculated data '!$A$5,D1860&gt;=$G$6,'calculated data '!$A$6)</f>
        <v>Low Demand Tier</v>
      </c>
      <c r="F1860" s="10">
        <f t="shared" si="1"/>
        <v>-0.6244410941</v>
      </c>
    </row>
    <row r="1861" ht="14.25" customHeight="1">
      <c r="A1861" s="2" t="s">
        <v>165</v>
      </c>
      <c r="B1861" s="2" t="s">
        <v>166</v>
      </c>
      <c r="C1861" s="2">
        <v>1975.0</v>
      </c>
      <c r="D1861" s="9">
        <v>1463.7323</v>
      </c>
      <c r="E1861" s="10" t="str">
        <f t="array" ref="E1861">IFS(D1861&lt;=$G$3,'calculated data '!$A$3,D1861&lt;=$G$4,'calculated data '!$A$4,D1861&lt;=$G$6,'calculated data '!$A$5,D1861&gt;=$G$6,'calculated data '!$A$6)</f>
        <v>Low Demand Tier</v>
      </c>
      <c r="F1861" s="10">
        <f t="shared" si="1"/>
        <v>-0.6244268455</v>
      </c>
    </row>
    <row r="1862" ht="14.25" customHeight="1">
      <c r="A1862" s="2" t="s">
        <v>153</v>
      </c>
      <c r="B1862" s="2" t="s">
        <v>154</v>
      </c>
      <c r="C1862" s="2">
        <v>2011.0</v>
      </c>
      <c r="D1862" s="9">
        <v>1465.1292</v>
      </c>
      <c r="E1862" s="10" t="str">
        <f t="array" ref="E1862">IFS(D1862&lt;=$G$3,'calculated data '!$A$3,D1862&lt;=$G$4,'calculated data '!$A$4,D1862&lt;=$G$6,'calculated data '!$A$5,D1862&gt;=$G$6,'calculated data '!$A$6)</f>
        <v>Low Demand Tier</v>
      </c>
      <c r="F1862" s="10">
        <f t="shared" si="1"/>
        <v>-0.6243898699</v>
      </c>
    </row>
    <row r="1863" ht="14.25" customHeight="1">
      <c r="A1863" s="2" t="s">
        <v>87</v>
      </c>
      <c r="B1863" s="2" t="s">
        <v>88</v>
      </c>
      <c r="C1863" s="2">
        <v>2009.0</v>
      </c>
      <c r="D1863" s="9">
        <v>1469.4915</v>
      </c>
      <c r="E1863" s="10" t="str">
        <f t="array" ref="E1863">IFS(D1863&lt;=$G$3,'calculated data '!$A$3,D1863&lt;=$G$4,'calculated data '!$A$4,D1863&lt;=$G$6,'calculated data '!$A$5,D1863&gt;=$G$6,'calculated data '!$A$6)</f>
        <v>Low Demand Tier</v>
      </c>
      <c r="F1863" s="10">
        <f t="shared" si="1"/>
        <v>-0.6242744009</v>
      </c>
    </row>
    <row r="1864" ht="14.25" customHeight="1">
      <c r="A1864" s="2" t="s">
        <v>153</v>
      </c>
      <c r="B1864" s="2" t="s">
        <v>154</v>
      </c>
      <c r="C1864" s="2">
        <v>2014.0</v>
      </c>
      <c r="D1864" s="9">
        <v>1470.0199</v>
      </c>
      <c r="E1864" s="10" t="str">
        <f t="array" ref="E1864">IFS(D1864&lt;=$G$3,'calculated data '!$A$3,D1864&lt;=$G$4,'calculated data '!$A$4,D1864&lt;=$G$6,'calculated data '!$A$5,D1864&gt;=$G$6,'calculated data '!$A$6)</f>
        <v>Low Demand Tier</v>
      </c>
      <c r="F1864" s="10">
        <f t="shared" si="1"/>
        <v>-0.6242604143</v>
      </c>
    </row>
    <row r="1865" ht="14.25" customHeight="1">
      <c r="A1865" s="2" t="s">
        <v>147</v>
      </c>
      <c r="B1865" s="2" t="s">
        <v>148</v>
      </c>
      <c r="C1865" s="2">
        <v>1985.0</v>
      </c>
      <c r="D1865" s="9">
        <v>1472.3489</v>
      </c>
      <c r="E1865" s="10" t="str">
        <f t="array" ref="E1865">IFS(D1865&lt;=$G$3,'calculated data '!$A$3,D1865&lt;=$G$4,'calculated data '!$A$4,D1865&lt;=$G$6,'calculated data '!$A$5,D1865&gt;=$G$6,'calculated data '!$A$6)</f>
        <v>Low Demand Tier</v>
      </c>
      <c r="F1865" s="10">
        <f t="shared" si="1"/>
        <v>-0.6241987662</v>
      </c>
    </row>
    <row r="1866" ht="14.25" customHeight="1">
      <c r="A1866" s="2" t="s">
        <v>139</v>
      </c>
      <c r="B1866" s="2" t="s">
        <v>140</v>
      </c>
      <c r="C1866" s="2">
        <v>1971.0</v>
      </c>
      <c r="D1866" s="9">
        <v>1475.1217</v>
      </c>
      <c r="E1866" s="10" t="str">
        <f t="array" ref="E1866">IFS(D1866&lt;=$G$3,'calculated data '!$A$3,D1866&lt;=$G$4,'calculated data '!$A$4,D1866&lt;=$G$6,'calculated data '!$A$5,D1866&gt;=$G$6,'calculated data '!$A$6)</f>
        <v>Low Demand Tier</v>
      </c>
      <c r="F1866" s="10">
        <f t="shared" si="1"/>
        <v>-0.6241253709</v>
      </c>
    </row>
    <row r="1867" ht="14.25" customHeight="1">
      <c r="A1867" s="2" t="s">
        <v>175</v>
      </c>
      <c r="B1867" s="2" t="s">
        <v>176</v>
      </c>
      <c r="C1867" s="2">
        <v>1978.0</v>
      </c>
      <c r="D1867" s="9">
        <v>1476.8958</v>
      </c>
      <c r="E1867" s="10" t="str">
        <f t="array" ref="E1867">IFS(D1867&lt;=$G$3,'calculated data '!$A$3,D1867&lt;=$G$4,'calculated data '!$A$4,D1867&lt;=$G$6,'calculated data '!$A$5,D1867&gt;=$G$6,'calculated data '!$A$6)</f>
        <v>Low Demand Tier</v>
      </c>
      <c r="F1867" s="10">
        <f t="shared" si="1"/>
        <v>-0.6240784109</v>
      </c>
    </row>
    <row r="1868" ht="14.25" customHeight="1">
      <c r="A1868" s="2" t="s">
        <v>133</v>
      </c>
      <c r="B1868" s="2" t="s">
        <v>134</v>
      </c>
      <c r="C1868" s="2">
        <v>1995.0</v>
      </c>
      <c r="D1868" s="9">
        <v>1477.3622</v>
      </c>
      <c r="E1868" s="10" t="str">
        <f t="array" ref="E1868">IFS(D1868&lt;=$G$3,'calculated data '!$A$3,D1868&lt;=$G$4,'calculated data '!$A$4,D1868&lt;=$G$6,'calculated data '!$A$5,D1868&gt;=$G$6,'calculated data '!$A$6)</f>
        <v>Low Demand Tier</v>
      </c>
      <c r="F1868" s="10">
        <f t="shared" si="1"/>
        <v>-0.6240660654</v>
      </c>
    </row>
    <row r="1869" ht="14.25" customHeight="1">
      <c r="A1869" s="2" t="s">
        <v>171</v>
      </c>
      <c r="B1869" s="2" t="s">
        <v>172</v>
      </c>
      <c r="C1869" s="2">
        <v>1993.0</v>
      </c>
      <c r="D1869" s="9">
        <v>1477.7007</v>
      </c>
      <c r="E1869" s="10" t="str">
        <f t="array" ref="E1869">IFS(D1869&lt;=$G$3,'calculated data '!$A$3,D1869&lt;=$G$4,'calculated data '!$A$4,D1869&lt;=$G$6,'calculated data '!$A$5,D1869&gt;=$G$6,'calculated data '!$A$6)</f>
        <v>Low Demand Tier</v>
      </c>
      <c r="F1869" s="10">
        <f t="shared" si="1"/>
        <v>-0.6240571054</v>
      </c>
    </row>
    <row r="1870" ht="14.25" customHeight="1">
      <c r="A1870" s="2" t="s">
        <v>97</v>
      </c>
      <c r="B1870" s="2" t="s">
        <v>98</v>
      </c>
      <c r="C1870" s="2">
        <v>2020.0</v>
      </c>
      <c r="D1870" s="9">
        <v>1478.2959</v>
      </c>
      <c r="E1870" s="10" t="str">
        <f t="array" ref="E1870">IFS(D1870&lt;=$G$3,'calculated data '!$A$3,D1870&lt;=$G$4,'calculated data '!$A$4,D1870&lt;=$G$6,'calculated data '!$A$5,D1870&gt;=$G$6,'calculated data '!$A$6)</f>
        <v>Low Demand Tier</v>
      </c>
      <c r="F1870" s="10">
        <f t="shared" si="1"/>
        <v>-0.6240413506</v>
      </c>
    </row>
    <row r="1871" ht="14.25" customHeight="1">
      <c r="A1871" s="2" t="s">
        <v>147</v>
      </c>
      <c r="B1871" s="2" t="s">
        <v>148</v>
      </c>
      <c r="C1871" s="2">
        <v>1992.0</v>
      </c>
      <c r="D1871" s="9">
        <v>1478.8632</v>
      </c>
      <c r="E1871" s="10" t="str">
        <f t="array" ref="E1871">IFS(D1871&lt;=$G$3,'calculated data '!$A$3,D1871&lt;=$G$4,'calculated data '!$A$4,D1871&lt;=$G$6,'calculated data '!$A$5,D1871&gt;=$G$6,'calculated data '!$A$6)</f>
        <v>Low Demand Tier</v>
      </c>
      <c r="F1871" s="10">
        <f t="shared" si="1"/>
        <v>-0.6240263343</v>
      </c>
    </row>
    <row r="1872" ht="14.25" customHeight="1">
      <c r="A1872" s="2" t="s">
        <v>139</v>
      </c>
      <c r="B1872" s="2" t="s">
        <v>140</v>
      </c>
      <c r="C1872" s="2">
        <v>1987.0</v>
      </c>
      <c r="D1872" s="9">
        <v>1479.7654</v>
      </c>
      <c r="E1872" s="10" t="str">
        <f t="array" ref="E1872">IFS(D1872&lt;=$G$3,'calculated data '!$A$3,D1872&lt;=$G$4,'calculated data '!$A$4,D1872&lt;=$G$6,'calculated data '!$A$5,D1872&gt;=$G$6,'calculated data '!$A$6)</f>
        <v>Low Demand Tier</v>
      </c>
      <c r="F1872" s="10">
        <f t="shared" si="1"/>
        <v>-0.6240024533</v>
      </c>
    </row>
    <row r="1873" ht="14.25" customHeight="1">
      <c r="A1873" s="2" t="s">
        <v>21</v>
      </c>
      <c r="B1873" s="2" t="s">
        <v>22</v>
      </c>
      <c r="C1873" s="2">
        <v>2008.0</v>
      </c>
      <c r="D1873" s="9">
        <v>1479.7852</v>
      </c>
      <c r="E1873" s="10" t="str">
        <f t="array" ref="E1873">IFS(D1873&lt;=$G$3,'calculated data '!$A$3,D1873&lt;=$G$4,'calculated data '!$A$4,D1873&lt;=$G$6,'calculated data '!$A$5,D1873&gt;=$G$6,'calculated data '!$A$6)</f>
        <v>Low Demand Tier</v>
      </c>
      <c r="F1873" s="10">
        <f t="shared" si="1"/>
        <v>-0.6240019292</v>
      </c>
    </row>
    <row r="1874" ht="14.25" customHeight="1">
      <c r="A1874" s="2" t="s">
        <v>173</v>
      </c>
      <c r="B1874" s="2" t="s">
        <v>174</v>
      </c>
      <c r="C1874" s="2">
        <v>2003.0</v>
      </c>
      <c r="D1874" s="9">
        <v>1482.0157</v>
      </c>
      <c r="E1874" s="10" t="str">
        <f t="array" ref="E1874">IFS(D1874&lt;=$G$3,'calculated data '!$A$3,D1874&lt;=$G$4,'calculated data '!$A$4,D1874&lt;=$G$6,'calculated data '!$A$5,D1874&gt;=$G$6,'calculated data '!$A$6)</f>
        <v>Low Demand Tier</v>
      </c>
      <c r="F1874" s="10">
        <f t="shared" si="1"/>
        <v>-0.6239428884</v>
      </c>
    </row>
    <row r="1875" ht="14.25" customHeight="1">
      <c r="A1875" s="2" t="s">
        <v>119</v>
      </c>
      <c r="B1875" s="2" t="s">
        <v>120</v>
      </c>
      <c r="C1875" s="2">
        <v>2024.0</v>
      </c>
      <c r="D1875" s="9">
        <v>1483.4702</v>
      </c>
      <c r="E1875" s="10" t="str">
        <f t="array" ref="E1875">IFS(D1875&lt;=$G$3,'calculated data '!$A$3,D1875&lt;=$G$4,'calculated data '!$A$4,D1875&lt;=$G$6,'calculated data '!$A$5,D1875&gt;=$G$6,'calculated data '!$A$6)</f>
        <v>Low Demand Tier</v>
      </c>
      <c r="F1875" s="10">
        <f t="shared" si="1"/>
        <v>-0.6239043882</v>
      </c>
    </row>
    <row r="1876" ht="14.25" customHeight="1">
      <c r="A1876" s="2" t="s">
        <v>119</v>
      </c>
      <c r="B1876" s="2" t="s">
        <v>120</v>
      </c>
      <c r="C1876" s="2">
        <v>2023.0</v>
      </c>
      <c r="D1876" s="9">
        <v>1484.0073</v>
      </c>
      <c r="E1876" s="10" t="str">
        <f t="array" ref="E1876">IFS(D1876&lt;=$G$3,'calculated data '!$A$3,D1876&lt;=$G$4,'calculated data '!$A$4,D1876&lt;=$G$6,'calculated data '!$A$5,D1876&gt;=$G$6,'calculated data '!$A$6)</f>
        <v>Low Demand Tier</v>
      </c>
      <c r="F1876" s="10">
        <f t="shared" si="1"/>
        <v>-0.6238901713</v>
      </c>
    </row>
    <row r="1877" ht="14.25" customHeight="1">
      <c r="A1877" s="2" t="s">
        <v>177</v>
      </c>
      <c r="B1877" s="2" t="s">
        <v>178</v>
      </c>
      <c r="C1877" s="2">
        <v>2023.0</v>
      </c>
      <c r="D1877" s="9">
        <v>1484.1034</v>
      </c>
      <c r="E1877" s="10" t="str">
        <f t="array" ref="E1877">IFS(D1877&lt;=$G$3,'calculated data '!$A$3,D1877&lt;=$G$4,'calculated data '!$A$4,D1877&lt;=$G$6,'calculated data '!$A$5,D1877&gt;=$G$6,'calculated data '!$A$6)</f>
        <v>Low Demand Tier</v>
      </c>
      <c r="F1877" s="10">
        <f t="shared" si="1"/>
        <v>-0.6238876275</v>
      </c>
    </row>
    <row r="1878" ht="14.25" customHeight="1">
      <c r="A1878" s="2" t="s">
        <v>65</v>
      </c>
      <c r="B1878" s="2" t="s">
        <v>66</v>
      </c>
      <c r="C1878" s="2">
        <v>1987.0</v>
      </c>
      <c r="D1878" s="9">
        <v>1486.6866</v>
      </c>
      <c r="E1878" s="10" t="str">
        <f t="array" ref="E1878">IFS(D1878&lt;=$G$3,'calculated data '!$A$3,D1878&lt;=$G$4,'calculated data '!$A$4,D1878&lt;=$G$6,'calculated data '!$A$5,D1878&gt;=$G$6,'calculated data '!$A$6)</f>
        <v>Low Demand Tier</v>
      </c>
      <c r="F1878" s="10">
        <f t="shared" si="1"/>
        <v>-0.6238192509</v>
      </c>
    </row>
    <row r="1879" ht="14.25" customHeight="1">
      <c r="A1879" s="2" t="s">
        <v>139</v>
      </c>
      <c r="B1879" s="2" t="s">
        <v>140</v>
      </c>
      <c r="C1879" s="2">
        <v>1970.0</v>
      </c>
      <c r="D1879" s="9">
        <v>1490.5715</v>
      </c>
      <c r="E1879" s="10" t="str">
        <f t="array" ref="E1879">IFS(D1879&lt;=$G$3,'calculated data '!$A$3,D1879&lt;=$G$4,'calculated data '!$A$4,D1879&lt;=$G$6,'calculated data '!$A$5,D1879&gt;=$G$6,'calculated data '!$A$6)</f>
        <v>Low Demand Tier</v>
      </c>
      <c r="F1879" s="10">
        <f t="shared" si="1"/>
        <v>-0.6237164185</v>
      </c>
    </row>
    <row r="1880" ht="14.25" customHeight="1">
      <c r="A1880" s="2" t="s">
        <v>141</v>
      </c>
      <c r="B1880" s="2" t="s">
        <v>142</v>
      </c>
      <c r="C1880" s="2">
        <v>1968.0</v>
      </c>
      <c r="D1880" s="9">
        <v>1491.7148</v>
      </c>
      <c r="E1880" s="10" t="str">
        <f t="array" ref="E1880">IFS(D1880&lt;=$G$3,'calculated data '!$A$3,D1880&lt;=$G$4,'calculated data '!$A$4,D1880&lt;=$G$6,'calculated data '!$A$5,D1880&gt;=$G$6,'calculated data '!$A$6)</f>
        <v>Low Demand Tier</v>
      </c>
      <c r="F1880" s="10">
        <f t="shared" si="1"/>
        <v>-0.6236861557</v>
      </c>
    </row>
    <row r="1881" ht="14.25" customHeight="1">
      <c r="A1881" s="2" t="s">
        <v>175</v>
      </c>
      <c r="B1881" s="2" t="s">
        <v>176</v>
      </c>
      <c r="C1881" s="2">
        <v>1965.0</v>
      </c>
      <c r="D1881" s="9">
        <v>1492.5784</v>
      </c>
      <c r="E1881" s="10" t="str">
        <f t="array" ref="E1881">IFS(D1881&lt;=$G$3,'calculated data '!$A$3,D1881&lt;=$G$4,'calculated data '!$A$4,D1881&lt;=$G$6,'calculated data '!$A$5,D1881&gt;=$G$6,'calculated data '!$A$6)</f>
        <v>Low Demand Tier</v>
      </c>
      <c r="F1881" s="10">
        <f t="shared" si="1"/>
        <v>-0.6236632964</v>
      </c>
    </row>
    <row r="1882" ht="14.25" customHeight="1">
      <c r="A1882" s="2" t="s">
        <v>59</v>
      </c>
      <c r="B1882" s="2" t="s">
        <v>60</v>
      </c>
      <c r="C1882" s="2">
        <v>2018.0</v>
      </c>
      <c r="D1882" s="9">
        <v>1495.165</v>
      </c>
      <c r="E1882" s="10" t="str">
        <f t="array" ref="E1882">IFS(D1882&lt;=$G$3,'calculated data '!$A$3,D1882&lt;=$G$4,'calculated data '!$A$4,D1882&lt;=$G$6,'calculated data '!$A$5,D1882&gt;=$G$6,'calculated data '!$A$6)</f>
        <v>Low Demand Tier</v>
      </c>
      <c r="F1882" s="10">
        <f t="shared" si="1"/>
        <v>-0.6235948297</v>
      </c>
    </row>
    <row r="1883" ht="14.25" customHeight="1">
      <c r="A1883" s="2" t="s">
        <v>87</v>
      </c>
      <c r="B1883" s="2" t="s">
        <v>88</v>
      </c>
      <c r="C1883" s="2">
        <v>2007.0</v>
      </c>
      <c r="D1883" s="9">
        <v>1495.3372</v>
      </c>
      <c r="E1883" s="10" t="str">
        <f t="array" ref="E1883">IFS(D1883&lt;=$G$3,'calculated data '!$A$3,D1883&lt;=$G$4,'calculated data '!$A$4,D1883&lt;=$G$6,'calculated data '!$A$5,D1883&gt;=$G$6,'calculated data '!$A$6)</f>
        <v>Low Demand Tier</v>
      </c>
      <c r="F1883" s="10">
        <f t="shared" si="1"/>
        <v>-0.6235902716</v>
      </c>
    </row>
    <row r="1884" ht="14.25" customHeight="1">
      <c r="A1884" s="2" t="s">
        <v>147</v>
      </c>
      <c r="B1884" s="2" t="s">
        <v>148</v>
      </c>
      <c r="C1884" s="2">
        <v>1982.0</v>
      </c>
      <c r="D1884" s="9">
        <v>1495.4337</v>
      </c>
      <c r="E1884" s="10" t="str">
        <f t="array" ref="E1884">IFS(D1884&lt;=$G$3,'calculated data '!$A$3,D1884&lt;=$G$4,'calculated data '!$A$4,D1884&lt;=$G$6,'calculated data '!$A$5,D1884&gt;=$G$6,'calculated data '!$A$6)</f>
        <v>Low Demand Tier</v>
      </c>
      <c r="F1884" s="10">
        <f t="shared" si="1"/>
        <v>-0.6235877173</v>
      </c>
    </row>
    <row r="1885" ht="14.25" customHeight="1">
      <c r="A1885" s="2" t="s">
        <v>147</v>
      </c>
      <c r="B1885" s="2" t="s">
        <v>148</v>
      </c>
      <c r="C1885" s="2">
        <v>2016.0</v>
      </c>
      <c r="D1885" s="9">
        <v>1495.5171</v>
      </c>
      <c r="E1885" s="10" t="str">
        <f t="array" ref="E1885">IFS(D1885&lt;=$G$3,'calculated data '!$A$3,D1885&lt;=$G$4,'calculated data '!$A$4,D1885&lt;=$G$6,'calculated data '!$A$5,D1885&gt;=$G$6,'calculated data '!$A$6)</f>
        <v>Low Demand Tier</v>
      </c>
      <c r="F1885" s="10">
        <f t="shared" si="1"/>
        <v>-0.6235855097</v>
      </c>
    </row>
    <row r="1886" ht="14.25" customHeight="1">
      <c r="A1886" s="2" t="s">
        <v>181</v>
      </c>
      <c r="B1886" s="2" t="s">
        <v>182</v>
      </c>
      <c r="C1886" s="2">
        <v>1998.0</v>
      </c>
      <c r="D1886" s="9">
        <v>1496.5481</v>
      </c>
      <c r="E1886" s="10" t="str">
        <f t="array" ref="E1886">IFS(D1886&lt;=$G$3,'calculated data '!$A$3,D1886&lt;=$G$4,'calculated data '!$A$4,D1886&lt;=$G$6,'calculated data '!$A$5,D1886&gt;=$G$6,'calculated data '!$A$6)</f>
        <v>Low Demand Tier</v>
      </c>
      <c r="F1886" s="10">
        <f t="shared" si="1"/>
        <v>-0.6235582194</v>
      </c>
    </row>
    <row r="1887" ht="14.25" customHeight="1">
      <c r="A1887" s="2" t="s">
        <v>139</v>
      </c>
      <c r="B1887" s="2" t="s">
        <v>140</v>
      </c>
      <c r="C1887" s="2">
        <v>1982.0</v>
      </c>
      <c r="D1887" s="9">
        <v>1497.0687</v>
      </c>
      <c r="E1887" s="10" t="str">
        <f t="array" ref="E1887">IFS(D1887&lt;=$G$3,'calculated data '!$A$3,D1887&lt;=$G$4,'calculated data '!$A$4,D1887&lt;=$G$6,'calculated data '!$A$5,D1887&gt;=$G$6,'calculated data '!$A$6)</f>
        <v>Low Demand Tier</v>
      </c>
      <c r="F1887" s="10">
        <f t="shared" si="1"/>
        <v>-0.6235444393</v>
      </c>
    </row>
    <row r="1888" ht="14.25" customHeight="1">
      <c r="A1888" s="2" t="s">
        <v>139</v>
      </c>
      <c r="B1888" s="2" t="s">
        <v>140</v>
      </c>
      <c r="C1888" s="2">
        <v>1984.0</v>
      </c>
      <c r="D1888" s="9">
        <v>1497.2688</v>
      </c>
      <c r="E1888" s="10" t="str">
        <f t="array" ref="E1888">IFS(D1888&lt;=$G$3,'calculated data '!$A$3,D1888&lt;=$G$4,'calculated data '!$A$4,D1888&lt;=$G$6,'calculated data '!$A$5,D1888&gt;=$G$6,'calculated data '!$A$6)</f>
        <v>Low Demand Tier</v>
      </c>
      <c r="F1888" s="10">
        <f t="shared" si="1"/>
        <v>-0.6235391427</v>
      </c>
    </row>
    <row r="1889" ht="14.25" customHeight="1">
      <c r="A1889" s="2" t="s">
        <v>179</v>
      </c>
      <c r="B1889" s="2" t="s">
        <v>180</v>
      </c>
      <c r="C1889" s="2">
        <v>2003.0</v>
      </c>
      <c r="D1889" s="9">
        <v>1498.4042</v>
      </c>
      <c r="E1889" s="10" t="str">
        <f t="array" ref="E1889">IFS(D1889&lt;=$G$3,'calculated data '!$A$3,D1889&lt;=$G$4,'calculated data '!$A$4,D1889&lt;=$G$6,'calculated data '!$A$5,D1889&gt;=$G$6,'calculated data '!$A$6)</f>
        <v>Low Demand Tier</v>
      </c>
      <c r="F1889" s="10">
        <f t="shared" si="1"/>
        <v>-0.6235090889</v>
      </c>
    </row>
    <row r="1890" ht="14.25" customHeight="1">
      <c r="A1890" s="2" t="s">
        <v>165</v>
      </c>
      <c r="B1890" s="2" t="s">
        <v>166</v>
      </c>
      <c r="C1890" s="2">
        <v>1976.0</v>
      </c>
      <c r="D1890" s="9">
        <v>1499.9391</v>
      </c>
      <c r="E1890" s="10" t="str">
        <f t="array" ref="E1890">IFS(D1890&lt;=$G$3,'calculated data '!$A$3,D1890&lt;=$G$4,'calculated data '!$A$4,D1890&lt;=$G$6,'calculated data '!$A$5,D1890&gt;=$G$6,'calculated data '!$A$6)</f>
        <v>Low Demand Tier</v>
      </c>
      <c r="F1890" s="10">
        <f t="shared" si="1"/>
        <v>-0.6234684605</v>
      </c>
    </row>
    <row r="1891" ht="14.25" customHeight="1">
      <c r="A1891" s="2" t="s">
        <v>155</v>
      </c>
      <c r="B1891" s="2" t="s">
        <v>156</v>
      </c>
      <c r="C1891" s="2">
        <v>2011.0</v>
      </c>
      <c r="D1891" s="9">
        <v>1501.1024</v>
      </c>
      <c r="E1891" s="10" t="str">
        <f t="array" ref="E1891">IFS(D1891&lt;=$G$3,'calculated data '!$A$3,D1891&lt;=$G$4,'calculated data '!$A$4,D1891&lt;=$G$6,'calculated data '!$A$5,D1891&gt;=$G$6,'calculated data '!$A$6)</f>
        <v>Low Demand Tier</v>
      </c>
      <c r="F1891" s="10">
        <f t="shared" si="1"/>
        <v>-0.6234376682</v>
      </c>
    </row>
    <row r="1892" ht="14.25" customHeight="1">
      <c r="A1892" s="2" t="s">
        <v>85</v>
      </c>
      <c r="B1892" s="2" t="s">
        <v>86</v>
      </c>
      <c r="C1892" s="2">
        <v>2017.0</v>
      </c>
      <c r="D1892" s="9">
        <v>1501.4474</v>
      </c>
      <c r="E1892" s="10" t="str">
        <f t="array" ref="E1892">IFS(D1892&lt;=$G$3,'calculated data '!$A$3,D1892&lt;=$G$4,'calculated data '!$A$4,D1892&lt;=$G$6,'calculated data '!$A$5,D1892&gt;=$G$6,'calculated data '!$A$6)</f>
        <v>Low Demand Tier</v>
      </c>
      <c r="F1892" s="10">
        <f t="shared" si="1"/>
        <v>-0.6234285362</v>
      </c>
    </row>
    <row r="1893" ht="14.25" customHeight="1">
      <c r="A1893" s="2" t="s">
        <v>179</v>
      </c>
      <c r="B1893" s="2" t="s">
        <v>180</v>
      </c>
      <c r="C1893" s="2">
        <v>2011.0</v>
      </c>
      <c r="D1893" s="9">
        <v>1502.844</v>
      </c>
      <c r="E1893" s="10" t="str">
        <f t="array" ref="E1893">IFS(D1893&lt;=$G$3,'calculated data '!$A$3,D1893&lt;=$G$4,'calculated data '!$A$4,D1893&lt;=$G$6,'calculated data '!$A$5,D1893&gt;=$G$6,'calculated data '!$A$6)</f>
        <v>Low Demand Tier</v>
      </c>
      <c r="F1893" s="10">
        <f t="shared" si="1"/>
        <v>-0.6233915685</v>
      </c>
    </row>
    <row r="1894" ht="14.25" customHeight="1">
      <c r="A1894" s="2" t="s">
        <v>173</v>
      </c>
      <c r="B1894" s="2" t="s">
        <v>174</v>
      </c>
      <c r="C1894" s="2">
        <v>2007.0</v>
      </c>
      <c r="D1894" s="9">
        <v>1502.9568</v>
      </c>
      <c r="E1894" s="10" t="str">
        <f t="array" ref="E1894">IFS(D1894&lt;=$G$3,'calculated data '!$A$3,D1894&lt;=$G$4,'calculated data '!$A$4,D1894&lt;=$G$6,'calculated data '!$A$5,D1894&gt;=$G$6,'calculated data '!$A$6)</f>
        <v>Low Demand Tier</v>
      </c>
      <c r="F1894" s="10">
        <f t="shared" si="1"/>
        <v>-0.6233885827</v>
      </c>
    </row>
    <row r="1895" ht="14.25" customHeight="1">
      <c r="A1895" s="2" t="s">
        <v>147</v>
      </c>
      <c r="B1895" s="2" t="s">
        <v>148</v>
      </c>
      <c r="C1895" s="2">
        <v>1991.0</v>
      </c>
      <c r="D1895" s="9">
        <v>1503.8103</v>
      </c>
      <c r="E1895" s="10" t="str">
        <f t="array" ref="E1895">IFS(D1895&lt;=$G$3,'calculated data '!$A$3,D1895&lt;=$G$4,'calculated data '!$A$4,D1895&lt;=$G$6,'calculated data '!$A$5,D1895&gt;=$G$6,'calculated data '!$A$6)</f>
        <v>Low Demand Tier</v>
      </c>
      <c r="F1895" s="10">
        <f t="shared" si="1"/>
        <v>-0.6233659908</v>
      </c>
    </row>
    <row r="1896" ht="14.25" customHeight="1">
      <c r="A1896" s="2" t="s">
        <v>179</v>
      </c>
      <c r="B1896" s="2" t="s">
        <v>180</v>
      </c>
      <c r="C1896" s="2">
        <v>2004.0</v>
      </c>
      <c r="D1896" s="9">
        <v>1505.3655</v>
      </c>
      <c r="E1896" s="10" t="str">
        <f t="array" ref="E1896">IFS(D1896&lt;=$G$3,'calculated data '!$A$3,D1896&lt;=$G$4,'calculated data '!$A$4,D1896&lt;=$G$6,'calculated data '!$A$5,D1896&gt;=$G$6,'calculated data '!$A$6)</f>
        <v>Low Demand Tier</v>
      </c>
      <c r="F1896" s="10">
        <f t="shared" si="1"/>
        <v>-0.623324825</v>
      </c>
    </row>
    <row r="1897" ht="14.25" customHeight="1">
      <c r="A1897" s="2" t="s">
        <v>87</v>
      </c>
      <c r="B1897" s="2" t="s">
        <v>88</v>
      </c>
      <c r="C1897" s="2">
        <v>2011.0</v>
      </c>
      <c r="D1897" s="9">
        <v>1505.8662</v>
      </c>
      <c r="E1897" s="10" t="str">
        <f t="array" ref="E1897">IFS(D1897&lt;=$G$3,'calculated data '!$A$3,D1897&lt;=$G$4,'calculated data '!$A$4,D1897&lt;=$G$6,'calculated data '!$A$5,D1897&gt;=$G$6,'calculated data '!$A$6)</f>
        <v>Low Demand Tier</v>
      </c>
      <c r="F1897" s="10">
        <f t="shared" si="1"/>
        <v>-0.6233115716</v>
      </c>
    </row>
    <row r="1898" ht="14.25" customHeight="1">
      <c r="A1898" s="2" t="s">
        <v>179</v>
      </c>
      <c r="B1898" s="2" t="s">
        <v>180</v>
      </c>
      <c r="C1898" s="2">
        <v>2006.0</v>
      </c>
      <c r="D1898" s="9">
        <v>1506.22</v>
      </c>
      <c r="E1898" s="10" t="str">
        <f t="array" ref="E1898">IFS(D1898&lt;=$G$3,'calculated data '!$A$3,D1898&lt;=$G$4,'calculated data '!$A$4,D1898&lt;=$G$6,'calculated data '!$A$5,D1898&gt;=$G$6,'calculated data '!$A$6)</f>
        <v>Low Demand Tier</v>
      </c>
      <c r="F1898" s="10">
        <f t="shared" si="1"/>
        <v>-0.6233022066</v>
      </c>
    </row>
    <row r="1899" ht="14.25" customHeight="1">
      <c r="A1899" s="2" t="s">
        <v>147</v>
      </c>
      <c r="B1899" s="2" t="s">
        <v>148</v>
      </c>
      <c r="C1899" s="2">
        <v>2018.0</v>
      </c>
      <c r="D1899" s="9">
        <v>1512.5034</v>
      </c>
      <c r="E1899" s="10" t="str">
        <f t="array" ref="E1899">IFS(D1899&lt;=$G$3,'calculated data '!$A$3,D1899&lt;=$G$4,'calculated data '!$A$4,D1899&lt;=$G$6,'calculated data '!$A$5,D1899&gt;=$G$6,'calculated data '!$A$6)</f>
        <v>Low Demand Tier</v>
      </c>
      <c r="F1899" s="10">
        <f t="shared" si="1"/>
        <v>-0.6231358866</v>
      </c>
    </row>
    <row r="1900" ht="14.25" customHeight="1">
      <c r="A1900" s="2" t="s">
        <v>139</v>
      </c>
      <c r="B1900" s="2" t="s">
        <v>140</v>
      </c>
      <c r="C1900" s="2">
        <v>1983.0</v>
      </c>
      <c r="D1900" s="9">
        <v>1513.5085</v>
      </c>
      <c r="E1900" s="10" t="str">
        <f t="array" ref="E1900">IFS(D1900&lt;=$G$3,'calculated data '!$A$3,D1900&lt;=$G$4,'calculated data '!$A$4,D1900&lt;=$G$6,'calculated data '!$A$5,D1900&gt;=$G$6,'calculated data '!$A$6)</f>
        <v>Low Demand Tier</v>
      </c>
      <c r="F1900" s="10">
        <f t="shared" si="1"/>
        <v>-0.6231092819</v>
      </c>
    </row>
    <row r="1901" ht="14.25" customHeight="1">
      <c r="A1901" s="2" t="s">
        <v>173</v>
      </c>
      <c r="B1901" s="2" t="s">
        <v>174</v>
      </c>
      <c r="C1901" s="2">
        <v>1997.0</v>
      </c>
      <c r="D1901" s="9">
        <v>1514.5144</v>
      </c>
      <c r="E1901" s="10" t="str">
        <f t="array" ref="E1901">IFS(D1901&lt;=$G$3,'calculated data '!$A$3,D1901&lt;=$G$4,'calculated data '!$A$4,D1901&lt;=$G$6,'calculated data '!$A$5,D1901&gt;=$G$6,'calculated data '!$A$6)</f>
        <v>Low Demand Tier</v>
      </c>
      <c r="F1901" s="10">
        <f t="shared" si="1"/>
        <v>-0.6230826559</v>
      </c>
    </row>
    <row r="1902" ht="14.25" customHeight="1">
      <c r="A1902" s="2" t="s">
        <v>83</v>
      </c>
      <c r="B1902" s="2" t="s">
        <v>84</v>
      </c>
      <c r="C1902" s="2">
        <v>2006.0</v>
      </c>
      <c r="D1902" s="9">
        <v>1515.7966</v>
      </c>
      <c r="E1902" s="10" t="str">
        <f t="array" ref="E1902">IFS(D1902&lt;=$G$3,'calculated data '!$A$3,D1902&lt;=$G$4,'calculated data '!$A$4,D1902&lt;=$G$6,'calculated data '!$A$5,D1902&gt;=$G$6,'calculated data '!$A$6)</f>
        <v>Low Demand Tier</v>
      </c>
      <c r="F1902" s="10">
        <f t="shared" si="1"/>
        <v>-0.6230487164</v>
      </c>
    </row>
    <row r="1903" ht="14.25" customHeight="1">
      <c r="A1903" s="2" t="s">
        <v>147</v>
      </c>
      <c r="B1903" s="2" t="s">
        <v>148</v>
      </c>
      <c r="C1903" s="2">
        <v>2010.0</v>
      </c>
      <c r="D1903" s="9">
        <v>1516.1041</v>
      </c>
      <c r="E1903" s="10" t="str">
        <f t="array" ref="E1903">IFS(D1903&lt;=$G$3,'calculated data '!$A$3,D1903&lt;=$G$4,'calculated data '!$A$4,D1903&lt;=$G$6,'calculated data '!$A$5,D1903&gt;=$G$6,'calculated data '!$A$6)</f>
        <v>Low Demand Tier</v>
      </c>
      <c r="F1903" s="10">
        <f t="shared" si="1"/>
        <v>-0.623040577</v>
      </c>
    </row>
    <row r="1904" ht="14.25" customHeight="1">
      <c r="A1904" s="2" t="s">
        <v>177</v>
      </c>
      <c r="B1904" s="2" t="s">
        <v>178</v>
      </c>
      <c r="C1904" s="2">
        <v>2024.0</v>
      </c>
      <c r="D1904" s="9">
        <v>1517.8556</v>
      </c>
      <c r="E1904" s="10" t="str">
        <f t="array" ref="E1904">IFS(D1904&lt;=$G$3,'calculated data '!$A$3,D1904&lt;=$G$4,'calculated data '!$A$4,D1904&lt;=$G$6,'calculated data '!$A$5,D1904&gt;=$G$6,'calculated data '!$A$6)</f>
        <v>Low Demand Tier</v>
      </c>
      <c r="F1904" s="10">
        <f t="shared" si="1"/>
        <v>-0.6229942152</v>
      </c>
    </row>
    <row r="1905" ht="14.25" customHeight="1">
      <c r="A1905" s="2" t="s">
        <v>113</v>
      </c>
      <c r="B1905" s="2" t="s">
        <v>114</v>
      </c>
      <c r="C1905" s="2">
        <v>2012.0</v>
      </c>
      <c r="D1905" s="9">
        <v>1518.6677</v>
      </c>
      <c r="E1905" s="10" t="str">
        <f t="array" ref="E1905">IFS(D1905&lt;=$G$3,'calculated data '!$A$3,D1905&lt;=$G$4,'calculated data '!$A$4,D1905&lt;=$G$6,'calculated data '!$A$5,D1905&gt;=$G$6,'calculated data '!$A$6)</f>
        <v>Low Demand Tier</v>
      </c>
      <c r="F1905" s="10">
        <f t="shared" si="1"/>
        <v>-0.6229727191</v>
      </c>
    </row>
    <row r="1906" ht="14.25" customHeight="1">
      <c r="A1906" s="2" t="s">
        <v>111</v>
      </c>
      <c r="B1906" s="2" t="s">
        <v>112</v>
      </c>
      <c r="C1906" s="2">
        <v>1983.0</v>
      </c>
      <c r="D1906" s="9">
        <v>1518.8368</v>
      </c>
      <c r="E1906" s="10" t="str">
        <f t="array" ref="E1906">IFS(D1906&lt;=$G$3,'calculated data '!$A$3,D1906&lt;=$G$4,'calculated data '!$A$4,D1906&lt;=$G$6,'calculated data '!$A$5,D1906&gt;=$G$6,'calculated data '!$A$6)</f>
        <v>Low Demand Tier</v>
      </c>
      <c r="F1906" s="10">
        <f t="shared" si="1"/>
        <v>-0.6229682431</v>
      </c>
    </row>
    <row r="1907" ht="14.25" customHeight="1">
      <c r="A1907" s="2" t="s">
        <v>139</v>
      </c>
      <c r="B1907" s="2" t="s">
        <v>140</v>
      </c>
      <c r="C1907" s="2">
        <v>1972.0</v>
      </c>
      <c r="D1907" s="9">
        <v>1519.12</v>
      </c>
      <c r="E1907" s="10" t="str">
        <f t="array" ref="E1907">IFS(D1907&lt;=$G$3,'calculated data '!$A$3,D1907&lt;=$G$4,'calculated data '!$A$4,D1907&lt;=$G$6,'calculated data '!$A$5,D1907&gt;=$G$6,'calculated data '!$A$6)</f>
        <v>Low Demand Tier</v>
      </c>
      <c r="F1907" s="10">
        <f t="shared" si="1"/>
        <v>-0.6229607468</v>
      </c>
    </row>
    <row r="1908" ht="14.25" customHeight="1">
      <c r="A1908" s="2" t="s">
        <v>113</v>
      </c>
      <c r="B1908" s="2" t="s">
        <v>114</v>
      </c>
      <c r="C1908" s="2">
        <v>2007.0</v>
      </c>
      <c r="D1908" s="9">
        <v>1519.3099</v>
      </c>
      <c r="E1908" s="10" t="str">
        <f t="array" ref="E1908">IFS(D1908&lt;=$G$3,'calculated data '!$A$3,D1908&lt;=$G$4,'calculated data '!$A$4,D1908&lt;=$G$6,'calculated data '!$A$5,D1908&gt;=$G$6,'calculated data '!$A$6)</f>
        <v>Low Demand Tier</v>
      </c>
      <c r="F1908" s="10">
        <f t="shared" si="1"/>
        <v>-0.6229557202</v>
      </c>
    </row>
    <row r="1909" ht="14.25" customHeight="1">
      <c r="A1909" s="2" t="s">
        <v>125</v>
      </c>
      <c r="B1909" s="2" t="s">
        <v>126</v>
      </c>
      <c r="C1909" s="2">
        <v>2024.0</v>
      </c>
      <c r="D1909" s="9">
        <v>1519.3993</v>
      </c>
      <c r="E1909" s="10" t="str">
        <f t="array" ref="E1909">IFS(D1909&lt;=$G$3,'calculated data '!$A$3,D1909&lt;=$G$4,'calculated data '!$A$4,D1909&lt;=$G$6,'calculated data '!$A$5,D1909&gt;=$G$6,'calculated data '!$A$6)</f>
        <v>Low Demand Tier</v>
      </c>
      <c r="F1909" s="10">
        <f t="shared" si="1"/>
        <v>-0.6229533538</v>
      </c>
    </row>
    <row r="1910" ht="14.25" customHeight="1">
      <c r="A1910" s="2" t="s">
        <v>171</v>
      </c>
      <c r="B1910" s="2" t="s">
        <v>172</v>
      </c>
      <c r="C1910" s="2">
        <v>1983.0</v>
      </c>
      <c r="D1910" s="9">
        <v>1520.5153</v>
      </c>
      <c r="E1910" s="10" t="str">
        <f t="array" ref="E1910">IFS(D1910&lt;=$G$3,'calculated data '!$A$3,D1910&lt;=$G$4,'calculated data '!$A$4,D1910&lt;=$G$6,'calculated data '!$A$5,D1910&gt;=$G$6,'calculated data '!$A$6)</f>
        <v>Low Demand Tier</v>
      </c>
      <c r="F1910" s="10">
        <f t="shared" si="1"/>
        <v>-0.6229238136</v>
      </c>
    </row>
    <row r="1911" ht="14.25" customHeight="1">
      <c r="A1911" s="2" t="s">
        <v>173</v>
      </c>
      <c r="B1911" s="2" t="s">
        <v>174</v>
      </c>
      <c r="C1911" s="2">
        <v>2009.0</v>
      </c>
      <c r="D1911" s="9">
        <v>1522.4325</v>
      </c>
      <c r="E1911" s="10" t="str">
        <f t="array" ref="E1911">IFS(D1911&lt;=$G$3,'calculated data '!$A$3,D1911&lt;=$G$4,'calculated data '!$A$4,D1911&lt;=$G$6,'calculated data '!$A$5,D1911&gt;=$G$6,'calculated data '!$A$6)</f>
        <v>Low Demand Tier</v>
      </c>
      <c r="F1911" s="10">
        <f t="shared" si="1"/>
        <v>-0.6228730658</v>
      </c>
    </row>
    <row r="1912" ht="14.25" customHeight="1">
      <c r="A1912" s="2" t="s">
        <v>151</v>
      </c>
      <c r="B1912" s="2" t="s">
        <v>152</v>
      </c>
      <c r="C1912" s="2">
        <v>1979.0</v>
      </c>
      <c r="D1912" s="9">
        <v>1525.148</v>
      </c>
      <c r="E1912" s="10" t="str">
        <f t="array" ref="E1912">IFS(D1912&lt;=$G$3,'calculated data '!$A$3,D1912&lt;=$G$4,'calculated data '!$A$4,D1912&lt;=$G$6,'calculated data '!$A$5,D1912&gt;=$G$6,'calculated data '!$A$6)</f>
        <v>Low Demand Tier</v>
      </c>
      <c r="F1912" s="10">
        <f t="shared" si="1"/>
        <v>-0.6228011872</v>
      </c>
    </row>
    <row r="1913" ht="14.25" customHeight="1">
      <c r="A1913" s="2" t="s">
        <v>119</v>
      </c>
      <c r="B1913" s="2" t="s">
        <v>120</v>
      </c>
      <c r="C1913" s="2">
        <v>2021.0</v>
      </c>
      <c r="D1913" s="9">
        <v>1529.5032</v>
      </c>
      <c r="E1913" s="10" t="str">
        <f t="array" ref="E1913">IFS(D1913&lt;=$G$3,'calculated data '!$A$3,D1913&lt;=$G$4,'calculated data '!$A$4,D1913&lt;=$G$6,'calculated data '!$A$5,D1913&gt;=$G$6,'calculated data '!$A$6)</f>
        <v>Low Demand Tier</v>
      </c>
      <c r="F1913" s="10">
        <f t="shared" si="1"/>
        <v>-0.6226859061</v>
      </c>
    </row>
    <row r="1914" ht="14.25" customHeight="1">
      <c r="A1914" s="2" t="s">
        <v>119</v>
      </c>
      <c r="B1914" s="2" t="s">
        <v>120</v>
      </c>
      <c r="C1914" s="2">
        <v>2022.0</v>
      </c>
      <c r="D1914" s="9">
        <v>1532.4482</v>
      </c>
      <c r="E1914" s="10" t="str">
        <f t="array" ref="E1914">IFS(D1914&lt;=$G$3,'calculated data '!$A$3,D1914&lt;=$G$4,'calculated data '!$A$4,D1914&lt;=$G$6,'calculated data '!$A$5,D1914&gt;=$G$6,'calculated data '!$A$6)</f>
        <v>Low Demand Tier</v>
      </c>
      <c r="F1914" s="10">
        <f t="shared" si="1"/>
        <v>-0.6226079527</v>
      </c>
    </row>
    <row r="1915" ht="14.25" customHeight="1">
      <c r="A1915" s="2" t="s">
        <v>113</v>
      </c>
      <c r="B1915" s="2" t="s">
        <v>114</v>
      </c>
      <c r="C1915" s="2">
        <v>2005.0</v>
      </c>
      <c r="D1915" s="9">
        <v>1532.5985</v>
      </c>
      <c r="E1915" s="10" t="str">
        <f t="array" ref="E1915">IFS(D1915&lt;=$G$3,'calculated data '!$A$3,D1915&lt;=$G$4,'calculated data '!$A$4,D1915&lt;=$G$6,'calculated data '!$A$5,D1915&gt;=$G$6,'calculated data '!$A$6)</f>
        <v>Low Demand Tier</v>
      </c>
      <c r="F1915" s="10">
        <f t="shared" si="1"/>
        <v>-0.6226039743</v>
      </c>
    </row>
    <row r="1916" ht="14.25" customHeight="1">
      <c r="A1916" s="2" t="s">
        <v>173</v>
      </c>
      <c r="B1916" s="2" t="s">
        <v>174</v>
      </c>
      <c r="C1916" s="2">
        <v>1998.0</v>
      </c>
      <c r="D1916" s="9">
        <v>1534.1295</v>
      </c>
      <c r="E1916" s="10" t="str">
        <f t="array" ref="E1916">IFS(D1916&lt;=$G$3,'calculated data '!$A$3,D1916&lt;=$G$4,'calculated data '!$A$4,D1916&lt;=$G$6,'calculated data '!$A$5,D1916&gt;=$G$6,'calculated data '!$A$6)</f>
        <v>Low Demand Tier</v>
      </c>
      <c r="F1916" s="10">
        <f t="shared" si="1"/>
        <v>-0.6225634491</v>
      </c>
    </row>
    <row r="1917" ht="14.25" customHeight="1">
      <c r="A1917" s="2" t="s">
        <v>179</v>
      </c>
      <c r="B1917" s="2" t="s">
        <v>180</v>
      </c>
      <c r="C1917" s="2">
        <v>2005.0</v>
      </c>
      <c r="D1917" s="9">
        <v>1537.1642</v>
      </c>
      <c r="E1917" s="10" t="str">
        <f t="array" ref="E1917">IFS(D1917&lt;=$G$3,'calculated data '!$A$3,D1917&lt;=$G$4,'calculated data '!$A$4,D1917&lt;=$G$6,'calculated data '!$A$5,D1917&gt;=$G$6,'calculated data '!$A$6)</f>
        <v>Low Demand Tier</v>
      </c>
      <c r="F1917" s="10">
        <f t="shared" si="1"/>
        <v>-0.6224831214</v>
      </c>
    </row>
    <row r="1918" ht="14.25" customHeight="1">
      <c r="A1918" s="2" t="s">
        <v>147</v>
      </c>
      <c r="B1918" s="2" t="s">
        <v>148</v>
      </c>
      <c r="C1918" s="2">
        <v>1990.0</v>
      </c>
      <c r="D1918" s="9">
        <v>1538.2584</v>
      </c>
      <c r="E1918" s="10" t="str">
        <f t="array" ref="E1918">IFS(D1918&lt;=$G$3,'calculated data '!$A$3,D1918&lt;=$G$4,'calculated data '!$A$4,D1918&lt;=$G$6,'calculated data '!$A$5,D1918&gt;=$G$6,'calculated data '!$A$6)</f>
        <v>Low Demand Tier</v>
      </c>
      <c r="F1918" s="10">
        <f t="shared" si="1"/>
        <v>-0.6224541582</v>
      </c>
    </row>
    <row r="1919" ht="14.25" customHeight="1">
      <c r="A1919" s="2" t="s">
        <v>147</v>
      </c>
      <c r="B1919" s="2" t="s">
        <v>148</v>
      </c>
      <c r="C1919" s="2">
        <v>2012.0</v>
      </c>
      <c r="D1919" s="9">
        <v>1539.4532</v>
      </c>
      <c r="E1919" s="10" t="str">
        <f t="array" ref="E1919">IFS(D1919&lt;=$G$3,'calculated data '!$A$3,D1919&lt;=$G$4,'calculated data '!$A$4,D1919&lt;=$G$6,'calculated data '!$A$5,D1919&gt;=$G$6,'calculated data '!$A$6)</f>
        <v>Low Demand Tier</v>
      </c>
      <c r="F1919" s="10">
        <f t="shared" si="1"/>
        <v>-0.6224225321</v>
      </c>
    </row>
    <row r="1920" ht="14.25" customHeight="1">
      <c r="A1920" s="2" t="s">
        <v>183</v>
      </c>
      <c r="B1920" s="2" t="s">
        <v>184</v>
      </c>
      <c r="C1920" s="2">
        <v>1965.0</v>
      </c>
      <c r="D1920" s="9">
        <v>1540.2902</v>
      </c>
      <c r="E1920" s="10" t="str">
        <f t="array" ref="E1920">IFS(D1920&lt;=$G$3,'calculated data '!$A$3,D1920&lt;=$G$4,'calculated data '!$A$4,D1920&lt;=$G$6,'calculated data '!$A$5,D1920&gt;=$G$6,'calculated data '!$A$6)</f>
        <v>Low Demand Tier</v>
      </c>
      <c r="F1920" s="10">
        <f t="shared" si="1"/>
        <v>-0.6224003769</v>
      </c>
    </row>
    <row r="1921" ht="14.25" customHeight="1">
      <c r="A1921" s="2" t="s">
        <v>111</v>
      </c>
      <c r="B1921" s="2" t="s">
        <v>112</v>
      </c>
      <c r="C1921" s="2">
        <v>1982.0</v>
      </c>
      <c r="D1921" s="9">
        <v>1541.3503</v>
      </c>
      <c r="E1921" s="10" t="str">
        <f t="array" ref="E1921">IFS(D1921&lt;=$G$3,'calculated data '!$A$3,D1921&lt;=$G$4,'calculated data '!$A$4,D1921&lt;=$G$6,'calculated data '!$A$5,D1921&gt;=$G$6,'calculated data '!$A$6)</f>
        <v>Low Demand Tier</v>
      </c>
      <c r="F1921" s="10">
        <f t="shared" si="1"/>
        <v>-0.6223723163</v>
      </c>
    </row>
    <row r="1922" ht="14.25" customHeight="1">
      <c r="A1922" s="2" t="s">
        <v>165</v>
      </c>
      <c r="B1922" s="2" t="s">
        <v>166</v>
      </c>
      <c r="C1922" s="2">
        <v>1978.0</v>
      </c>
      <c r="D1922" s="9">
        <v>1542.522</v>
      </c>
      <c r="E1922" s="10" t="str">
        <f t="array" ref="E1922">IFS(D1922&lt;=$G$3,'calculated data '!$A$3,D1922&lt;=$G$4,'calculated data '!$A$4,D1922&lt;=$G$6,'calculated data '!$A$5,D1922&gt;=$G$6,'calculated data '!$A$6)</f>
        <v>Low Demand Tier</v>
      </c>
      <c r="F1922" s="10">
        <f t="shared" si="1"/>
        <v>-0.6223413017</v>
      </c>
    </row>
    <row r="1923" ht="14.25" customHeight="1">
      <c r="A1923" s="2" t="s">
        <v>153</v>
      </c>
      <c r="B1923" s="2" t="s">
        <v>154</v>
      </c>
      <c r="C1923" s="2">
        <v>1982.0</v>
      </c>
      <c r="D1923" s="9">
        <v>1543.0443</v>
      </c>
      <c r="E1923" s="10" t="str">
        <f t="array" ref="E1923">IFS(D1923&lt;=$G$3,'calculated data '!$A$3,D1923&lt;=$G$4,'calculated data '!$A$4,D1923&lt;=$G$6,'calculated data '!$A$5,D1923&gt;=$G$6,'calculated data '!$A$6)</f>
        <v>Low Demand Tier</v>
      </c>
      <c r="F1923" s="10">
        <f t="shared" si="1"/>
        <v>-0.6223274766</v>
      </c>
    </row>
    <row r="1924" ht="14.25" customHeight="1">
      <c r="A1924" s="2" t="s">
        <v>165</v>
      </c>
      <c r="B1924" s="2" t="s">
        <v>166</v>
      </c>
      <c r="C1924" s="2">
        <v>1977.0</v>
      </c>
      <c r="D1924" s="9">
        <v>1545.0519</v>
      </c>
      <c r="E1924" s="10" t="str">
        <f t="array" ref="E1924">IFS(D1924&lt;=$G$3,'calculated data '!$A$3,D1924&lt;=$G$4,'calculated data '!$A$4,D1924&lt;=$G$6,'calculated data '!$A$5,D1924&gt;=$G$6,'calculated data '!$A$6)</f>
        <v>Low Demand Tier</v>
      </c>
      <c r="F1924" s="10">
        <f t="shared" si="1"/>
        <v>-0.6222743359</v>
      </c>
    </row>
    <row r="1925" ht="14.25" customHeight="1">
      <c r="A1925" s="2" t="s">
        <v>173</v>
      </c>
      <c r="B1925" s="2" t="s">
        <v>174</v>
      </c>
      <c r="C1925" s="2">
        <v>1996.0</v>
      </c>
      <c r="D1925" s="9">
        <v>1545.1586</v>
      </c>
      <c r="E1925" s="10" t="str">
        <f t="array" ref="E1925">IFS(D1925&lt;=$G$3,'calculated data '!$A$3,D1925&lt;=$G$4,'calculated data '!$A$4,D1925&lt;=$G$6,'calculated data '!$A$5,D1925&gt;=$G$6,'calculated data '!$A$6)</f>
        <v>Low Demand Tier</v>
      </c>
      <c r="F1925" s="10">
        <f t="shared" si="1"/>
        <v>-0.6222715116</v>
      </c>
    </row>
    <row r="1926" ht="14.25" customHeight="1">
      <c r="A1926" s="2" t="s">
        <v>179</v>
      </c>
      <c r="B1926" s="2" t="s">
        <v>180</v>
      </c>
      <c r="C1926" s="2">
        <v>1996.0</v>
      </c>
      <c r="D1926" s="9">
        <v>1551.0845</v>
      </c>
      <c r="E1926" s="10" t="str">
        <f t="array" ref="E1926">IFS(D1926&lt;=$G$3,'calculated data '!$A$3,D1926&lt;=$G$4,'calculated data '!$A$4,D1926&lt;=$G$6,'calculated data '!$A$5,D1926&gt;=$G$6,'calculated data '!$A$6)</f>
        <v>Low Demand Tier</v>
      </c>
      <c r="F1926" s="10">
        <f t="shared" si="1"/>
        <v>-0.6221146545</v>
      </c>
    </row>
    <row r="1927" ht="14.25" customHeight="1">
      <c r="A1927" s="2" t="s">
        <v>169</v>
      </c>
      <c r="B1927" s="2" t="s">
        <v>170</v>
      </c>
      <c r="C1927" s="2">
        <v>1983.0</v>
      </c>
      <c r="D1927" s="9">
        <v>1554.7671</v>
      </c>
      <c r="E1927" s="10" t="str">
        <f t="array" ref="E1927">IFS(D1927&lt;=$G$3,'calculated data '!$A$3,D1927&lt;=$G$4,'calculated data '!$A$4,D1927&lt;=$G$6,'calculated data '!$A$5,D1927&gt;=$G$6,'calculated data '!$A$6)</f>
        <v>Low Demand Tier</v>
      </c>
      <c r="F1927" s="10">
        <f t="shared" si="1"/>
        <v>-0.622017177</v>
      </c>
    </row>
    <row r="1928" ht="14.25" customHeight="1">
      <c r="A1928" s="2" t="s">
        <v>119</v>
      </c>
      <c r="B1928" s="2" t="s">
        <v>120</v>
      </c>
      <c r="C1928" s="2">
        <v>2020.0</v>
      </c>
      <c r="D1928" s="9">
        <v>1554.8408</v>
      </c>
      <c r="E1928" s="10" t="str">
        <f t="array" ref="E1928">IFS(D1928&lt;=$G$3,'calculated data '!$A$3,D1928&lt;=$G$4,'calculated data '!$A$4,D1928&lt;=$G$6,'calculated data '!$A$5,D1928&gt;=$G$6,'calculated data '!$A$6)</f>
        <v>Low Demand Tier</v>
      </c>
      <c r="F1928" s="10">
        <f t="shared" si="1"/>
        <v>-0.6220152262</v>
      </c>
    </row>
    <row r="1929" ht="14.25" customHeight="1">
      <c r="A1929" s="2" t="s">
        <v>141</v>
      </c>
      <c r="B1929" s="2" t="s">
        <v>142</v>
      </c>
      <c r="C1929" s="2">
        <v>1969.0</v>
      </c>
      <c r="D1929" s="9">
        <v>1556.234</v>
      </c>
      <c r="E1929" s="10" t="str">
        <f t="array" ref="E1929">IFS(D1929&lt;=$G$3,'calculated data '!$A$3,D1929&lt;=$G$4,'calculated data '!$A$4,D1929&lt;=$G$6,'calculated data '!$A$5,D1929&gt;=$G$6,'calculated data '!$A$6)</f>
        <v>Low Demand Tier</v>
      </c>
      <c r="F1929" s="10">
        <f t="shared" si="1"/>
        <v>-0.6219783485</v>
      </c>
    </row>
    <row r="1930" ht="14.25" customHeight="1">
      <c r="A1930" s="2" t="s">
        <v>175</v>
      </c>
      <c r="B1930" s="2" t="s">
        <v>176</v>
      </c>
      <c r="C1930" s="2">
        <v>1979.0</v>
      </c>
      <c r="D1930" s="9">
        <v>1556.5922</v>
      </c>
      <c r="E1930" s="10" t="str">
        <f t="array" ref="E1930">IFS(D1930&lt;=$G$3,'calculated data '!$A$3,D1930&lt;=$G$4,'calculated data '!$A$4,D1930&lt;=$G$6,'calculated data '!$A$5,D1930&gt;=$G$6,'calculated data '!$A$6)</f>
        <v>Low Demand Tier</v>
      </c>
      <c r="F1930" s="10">
        <f t="shared" si="1"/>
        <v>-0.621968867</v>
      </c>
    </row>
    <row r="1931" ht="14.25" customHeight="1">
      <c r="A1931" s="2" t="s">
        <v>87</v>
      </c>
      <c r="B1931" s="2" t="s">
        <v>88</v>
      </c>
      <c r="C1931" s="2">
        <v>2010.0</v>
      </c>
      <c r="D1931" s="9">
        <v>1557.5778</v>
      </c>
      <c r="E1931" s="10" t="str">
        <f t="array" ref="E1931">IFS(D1931&lt;=$G$3,'calculated data '!$A$3,D1931&lt;=$G$4,'calculated data '!$A$4,D1931&lt;=$G$6,'calculated data '!$A$5,D1931&gt;=$G$6,'calculated data '!$A$6)</f>
        <v>Low Demand Tier</v>
      </c>
      <c r="F1931" s="10">
        <f t="shared" si="1"/>
        <v>-0.6219427785</v>
      </c>
    </row>
    <row r="1932" ht="14.25" customHeight="1">
      <c r="A1932" s="2" t="s">
        <v>147</v>
      </c>
      <c r="B1932" s="2" t="s">
        <v>148</v>
      </c>
      <c r="C1932" s="2">
        <v>2011.0</v>
      </c>
      <c r="D1932" s="9">
        <v>1562.7028</v>
      </c>
      <c r="E1932" s="10" t="str">
        <f t="array" ref="E1932">IFS(D1932&lt;=$G$3,'calculated data '!$A$3,D1932&lt;=$G$4,'calculated data '!$A$4,D1932&lt;=$G$6,'calculated data '!$A$5,D1932&gt;=$G$6,'calculated data '!$A$6)</f>
        <v>Low Demand Tier</v>
      </c>
      <c r="F1932" s="10">
        <f t="shared" si="1"/>
        <v>-0.621807121</v>
      </c>
    </row>
    <row r="1933" ht="14.25" customHeight="1">
      <c r="A1933" s="2" t="s">
        <v>147</v>
      </c>
      <c r="B1933" s="2" t="s">
        <v>148</v>
      </c>
      <c r="C1933" s="2">
        <v>1986.0</v>
      </c>
      <c r="D1933" s="9">
        <v>1563.531</v>
      </c>
      <c r="E1933" s="10" t="str">
        <f t="array" ref="E1933">IFS(D1933&lt;=$G$3,'calculated data '!$A$3,D1933&lt;=$G$4,'calculated data '!$A$4,D1933&lt;=$G$6,'calculated data '!$A$5,D1933&gt;=$G$6,'calculated data '!$A$6)</f>
        <v>Low Demand Tier</v>
      </c>
      <c r="F1933" s="10">
        <f t="shared" si="1"/>
        <v>-0.6217851987</v>
      </c>
    </row>
    <row r="1934" ht="14.25" customHeight="1">
      <c r="A1934" s="2" t="s">
        <v>147</v>
      </c>
      <c r="B1934" s="2" t="s">
        <v>148</v>
      </c>
      <c r="C1934" s="2">
        <v>1989.0</v>
      </c>
      <c r="D1934" s="9">
        <v>1565.0748</v>
      </c>
      <c r="E1934" s="10" t="str">
        <f t="array" ref="E1934">IFS(D1934&lt;=$G$3,'calculated data '!$A$3,D1934&lt;=$G$4,'calculated data '!$A$4,D1934&lt;=$G$6,'calculated data '!$A$5,D1934&gt;=$G$6,'calculated data '!$A$6)</f>
        <v>Low Demand Tier</v>
      </c>
      <c r="F1934" s="10">
        <f t="shared" si="1"/>
        <v>-0.6217443347</v>
      </c>
    </row>
    <row r="1935" ht="14.25" customHeight="1">
      <c r="A1935" s="2" t="s">
        <v>153</v>
      </c>
      <c r="B1935" s="2" t="s">
        <v>154</v>
      </c>
      <c r="C1935" s="2">
        <v>2020.0</v>
      </c>
      <c r="D1935" s="9">
        <v>1565.2426</v>
      </c>
      <c r="E1935" s="10" t="str">
        <f t="array" ref="E1935">IFS(D1935&lt;=$G$3,'calculated data '!$A$3,D1935&lt;=$G$4,'calculated data '!$A$4,D1935&lt;=$G$6,'calculated data '!$A$5,D1935&gt;=$G$6,'calculated data '!$A$6)</f>
        <v>Low Demand Tier</v>
      </c>
      <c r="F1935" s="10">
        <f t="shared" si="1"/>
        <v>-0.6217398931</v>
      </c>
    </row>
    <row r="1936" ht="14.25" customHeight="1">
      <c r="A1936" s="2" t="s">
        <v>183</v>
      </c>
      <c r="B1936" s="2" t="s">
        <v>184</v>
      </c>
      <c r="C1936" s="2">
        <v>1966.0</v>
      </c>
      <c r="D1936" s="9">
        <v>1565.7289</v>
      </c>
      <c r="E1936" s="10" t="str">
        <f t="array" ref="E1936">IFS(D1936&lt;=$G$3,'calculated data '!$A$3,D1936&lt;=$G$4,'calculated data '!$A$4,D1936&lt;=$G$6,'calculated data '!$A$5,D1936&gt;=$G$6,'calculated data '!$A$6)</f>
        <v>Low Demand Tier</v>
      </c>
      <c r="F1936" s="10">
        <f t="shared" si="1"/>
        <v>-0.6217270209</v>
      </c>
    </row>
    <row r="1937" ht="14.25" customHeight="1">
      <c r="A1937" s="2" t="s">
        <v>159</v>
      </c>
      <c r="B1937" s="2" t="s">
        <v>160</v>
      </c>
      <c r="C1937" s="2">
        <v>1966.0</v>
      </c>
      <c r="D1937" s="9">
        <v>1568.1694</v>
      </c>
      <c r="E1937" s="10" t="str">
        <f t="array" ref="E1937">IFS(D1937&lt;=$G$3,'calculated data '!$A$3,D1937&lt;=$G$4,'calculated data '!$A$4,D1937&lt;=$G$6,'calculated data '!$A$5,D1937&gt;=$G$6,'calculated data '!$A$6)</f>
        <v>Low Demand Tier</v>
      </c>
      <c r="F1937" s="10">
        <f t="shared" si="1"/>
        <v>-0.6216624214</v>
      </c>
    </row>
    <row r="1938" ht="14.25" customHeight="1">
      <c r="A1938" s="2" t="s">
        <v>173</v>
      </c>
      <c r="B1938" s="2" t="s">
        <v>174</v>
      </c>
      <c r="C1938" s="2">
        <v>2010.0</v>
      </c>
      <c r="D1938" s="9">
        <v>1568.4662</v>
      </c>
      <c r="E1938" s="10" t="str">
        <f t="array" ref="E1938">IFS(D1938&lt;=$G$3,'calculated data '!$A$3,D1938&lt;=$G$4,'calculated data '!$A$4,D1938&lt;=$G$6,'calculated data '!$A$5,D1938&gt;=$G$6,'calculated data '!$A$6)</f>
        <v>Low Demand Tier</v>
      </c>
      <c r="F1938" s="10">
        <f t="shared" si="1"/>
        <v>-0.6216545652</v>
      </c>
    </row>
    <row r="1939" ht="14.25" customHeight="1">
      <c r="A1939" s="2" t="s">
        <v>175</v>
      </c>
      <c r="B1939" s="2" t="s">
        <v>176</v>
      </c>
      <c r="C1939" s="2">
        <v>1967.0</v>
      </c>
      <c r="D1939" s="9">
        <v>1568.8821</v>
      </c>
      <c r="E1939" s="10" t="str">
        <f t="array" ref="E1939">IFS(D1939&lt;=$G$3,'calculated data '!$A$3,D1939&lt;=$G$4,'calculated data '!$A$4,D1939&lt;=$G$6,'calculated data '!$A$5,D1939&gt;=$G$6,'calculated data '!$A$6)</f>
        <v>Low Demand Tier</v>
      </c>
      <c r="F1939" s="10">
        <f t="shared" si="1"/>
        <v>-0.6216435565</v>
      </c>
    </row>
    <row r="1940" ht="14.25" customHeight="1">
      <c r="A1940" s="2" t="s">
        <v>139</v>
      </c>
      <c r="B1940" s="2" t="s">
        <v>140</v>
      </c>
      <c r="C1940" s="2">
        <v>1973.0</v>
      </c>
      <c r="D1940" s="9">
        <v>1569.0118</v>
      </c>
      <c r="E1940" s="10" t="str">
        <f t="array" ref="E1940">IFS(D1940&lt;=$G$3,'calculated data '!$A$3,D1940&lt;=$G$4,'calculated data '!$A$4,D1940&lt;=$G$6,'calculated data '!$A$5,D1940&gt;=$G$6,'calculated data '!$A$6)</f>
        <v>Low Demand Tier</v>
      </c>
      <c r="F1940" s="10">
        <f t="shared" si="1"/>
        <v>-0.6216401233</v>
      </c>
    </row>
    <row r="1941" ht="14.25" customHeight="1">
      <c r="A1941" s="2" t="s">
        <v>139</v>
      </c>
      <c r="B1941" s="2" t="s">
        <v>140</v>
      </c>
      <c r="C1941" s="2">
        <v>1992.0</v>
      </c>
      <c r="D1941" s="9">
        <v>1572.5511</v>
      </c>
      <c r="E1941" s="10" t="str">
        <f t="array" ref="E1941">IFS(D1941&lt;=$G$3,'calculated data '!$A$3,D1941&lt;=$G$4,'calculated data '!$A$4,D1941&lt;=$G$6,'calculated data '!$A$5,D1941&gt;=$G$6,'calculated data '!$A$6)</f>
        <v>Low Demand Tier</v>
      </c>
      <c r="F1941" s="10">
        <f t="shared" si="1"/>
        <v>-0.6215464389</v>
      </c>
    </row>
    <row r="1942" ht="14.25" customHeight="1">
      <c r="A1942" s="2" t="s">
        <v>79</v>
      </c>
      <c r="B1942" s="2" t="s">
        <v>80</v>
      </c>
      <c r="C1942" s="2">
        <v>2010.0</v>
      </c>
      <c r="D1942" s="9">
        <v>1574.4983</v>
      </c>
      <c r="E1942" s="10" t="str">
        <f t="array" ref="E1942">IFS(D1942&lt;=$G$3,'calculated data '!$A$3,D1942&lt;=$G$4,'calculated data '!$A$4,D1942&lt;=$G$6,'calculated data '!$A$5,D1942&gt;=$G$6,'calculated data '!$A$6)</f>
        <v>Low Demand Tier</v>
      </c>
      <c r="F1942" s="10">
        <f t="shared" si="1"/>
        <v>-0.621494897</v>
      </c>
    </row>
    <row r="1943" ht="14.25" customHeight="1">
      <c r="A1943" s="2" t="s">
        <v>59</v>
      </c>
      <c r="B1943" s="2" t="s">
        <v>60</v>
      </c>
      <c r="C1943" s="2">
        <v>2020.0</v>
      </c>
      <c r="D1943" s="9">
        <v>1574.5149</v>
      </c>
      <c r="E1943" s="10" t="str">
        <f t="array" ref="E1943">IFS(D1943&lt;=$G$3,'calculated data '!$A$3,D1943&lt;=$G$4,'calculated data '!$A$4,D1943&lt;=$G$6,'calculated data '!$A$5,D1943&gt;=$G$6,'calculated data '!$A$6)</f>
        <v>Low Demand Tier</v>
      </c>
      <c r="F1943" s="10">
        <f t="shared" si="1"/>
        <v>-0.6214944576</v>
      </c>
    </row>
    <row r="1944" ht="14.25" customHeight="1">
      <c r="A1944" s="2" t="s">
        <v>87</v>
      </c>
      <c r="B1944" s="2" t="s">
        <v>88</v>
      </c>
      <c r="C1944" s="2">
        <v>2015.0</v>
      </c>
      <c r="D1944" s="9">
        <v>1577.3296</v>
      </c>
      <c r="E1944" s="10" t="str">
        <f t="array" ref="E1944">IFS(D1944&lt;=$G$3,'calculated data '!$A$3,D1944&lt;=$G$4,'calculated data '!$A$4,D1944&lt;=$G$6,'calculated data '!$A$5,D1944&gt;=$G$6,'calculated data '!$A$6)</f>
        <v>Low Demand Tier</v>
      </c>
      <c r="F1944" s="10">
        <f t="shared" si="1"/>
        <v>-0.6214199532</v>
      </c>
    </row>
    <row r="1945" ht="14.25" customHeight="1">
      <c r="A1945" s="2" t="s">
        <v>129</v>
      </c>
      <c r="B1945" s="2" t="s">
        <v>130</v>
      </c>
      <c r="C1945" s="2">
        <v>1977.0</v>
      </c>
      <c r="D1945" s="9">
        <v>1578.204</v>
      </c>
      <c r="E1945" s="10" t="str">
        <f t="array" ref="E1945">IFS(D1945&lt;=$G$3,'calculated data '!$A$3,D1945&lt;=$G$4,'calculated data '!$A$4,D1945&lt;=$G$6,'calculated data '!$A$5,D1945&gt;=$G$6,'calculated data '!$A$6)</f>
        <v>Low Demand Tier</v>
      </c>
      <c r="F1945" s="10">
        <f t="shared" si="1"/>
        <v>-0.6213968081</v>
      </c>
    </row>
    <row r="1946" ht="14.25" customHeight="1">
      <c r="A1946" s="2" t="s">
        <v>83</v>
      </c>
      <c r="B1946" s="2" t="s">
        <v>84</v>
      </c>
      <c r="C1946" s="2">
        <v>2007.0</v>
      </c>
      <c r="D1946" s="9">
        <v>1579.5715</v>
      </c>
      <c r="E1946" s="10" t="str">
        <f t="array" ref="E1946">IFS(D1946&lt;=$G$3,'calculated data '!$A$3,D1946&lt;=$G$4,'calculated data '!$A$4,D1946&lt;=$G$6,'calculated data '!$A$5,D1946&gt;=$G$6,'calculated data '!$A$6)</f>
        <v>Low Demand Tier</v>
      </c>
      <c r="F1946" s="10">
        <f t="shared" si="1"/>
        <v>-0.6213606107</v>
      </c>
    </row>
    <row r="1947" ht="14.25" customHeight="1">
      <c r="A1947" s="2" t="s">
        <v>147</v>
      </c>
      <c r="B1947" s="2" t="s">
        <v>148</v>
      </c>
      <c r="C1947" s="2">
        <v>2015.0</v>
      </c>
      <c r="D1947" s="9">
        <v>1584.3257</v>
      </c>
      <c r="E1947" s="10" t="str">
        <f t="array" ref="E1947">IFS(D1947&lt;=$G$3,'calculated data '!$A$3,D1947&lt;=$G$4,'calculated data '!$A$4,D1947&lt;=$G$6,'calculated data '!$A$5,D1947&gt;=$G$6,'calculated data '!$A$6)</f>
        <v>Low Demand Tier</v>
      </c>
      <c r="F1947" s="10">
        <f t="shared" si="1"/>
        <v>-0.6212347682</v>
      </c>
    </row>
    <row r="1948" ht="14.25" customHeight="1">
      <c r="A1948" s="2" t="s">
        <v>167</v>
      </c>
      <c r="B1948" s="2" t="s">
        <v>168</v>
      </c>
      <c r="C1948" s="2">
        <v>1980.0</v>
      </c>
      <c r="D1948" s="9">
        <v>1585.5594</v>
      </c>
      <c r="E1948" s="10" t="str">
        <f t="array" ref="E1948">IFS(D1948&lt;=$G$3,'calculated data '!$A$3,D1948&lt;=$G$4,'calculated data '!$A$4,D1948&lt;=$G$6,'calculated data '!$A$5,D1948&gt;=$G$6,'calculated data '!$A$6)</f>
        <v>Low Demand Tier</v>
      </c>
      <c r="F1948" s="10">
        <f t="shared" si="1"/>
        <v>-0.6212021125</v>
      </c>
    </row>
    <row r="1949" ht="14.25" customHeight="1">
      <c r="A1949" s="2" t="s">
        <v>185</v>
      </c>
      <c r="B1949" s="2" t="s">
        <v>186</v>
      </c>
      <c r="C1949" s="2">
        <v>1986.0</v>
      </c>
      <c r="D1949" s="9">
        <v>1586.2715</v>
      </c>
      <c r="E1949" s="10" t="str">
        <f t="array" ref="E1949">IFS(D1949&lt;=$G$3,'calculated data '!$A$3,D1949&lt;=$G$4,'calculated data '!$A$4,D1949&lt;=$G$6,'calculated data '!$A$5,D1949&gt;=$G$6,'calculated data '!$A$6)</f>
        <v>Low Demand Tier</v>
      </c>
      <c r="F1949" s="10">
        <f t="shared" si="1"/>
        <v>-0.6211832634</v>
      </c>
    </row>
    <row r="1950" ht="14.25" customHeight="1">
      <c r="A1950" s="2" t="s">
        <v>173</v>
      </c>
      <c r="B1950" s="2" t="s">
        <v>174</v>
      </c>
      <c r="C1950" s="2">
        <v>2004.0</v>
      </c>
      <c r="D1950" s="9">
        <v>1587.2847</v>
      </c>
      <c r="E1950" s="10" t="str">
        <f t="array" ref="E1950">IFS(D1950&lt;=$G$3,'calculated data '!$A$3,D1950&lt;=$G$4,'calculated data '!$A$4,D1950&lt;=$G$6,'calculated data '!$A$5,D1950&gt;=$G$6,'calculated data '!$A$6)</f>
        <v>Low Demand Tier</v>
      </c>
      <c r="F1950" s="10">
        <f t="shared" si="1"/>
        <v>-0.6211564442</v>
      </c>
    </row>
    <row r="1951" ht="14.25" customHeight="1">
      <c r="A1951" s="2" t="s">
        <v>151</v>
      </c>
      <c r="B1951" s="2" t="s">
        <v>152</v>
      </c>
      <c r="C1951" s="2">
        <v>1980.0</v>
      </c>
      <c r="D1951" s="9">
        <v>1587.6401</v>
      </c>
      <c r="E1951" s="10" t="str">
        <f t="array" ref="E1951">IFS(D1951&lt;=$G$3,'calculated data '!$A$3,D1951&lt;=$G$4,'calculated data '!$A$4,D1951&lt;=$G$6,'calculated data '!$A$5,D1951&gt;=$G$6,'calculated data '!$A$6)</f>
        <v>Low Demand Tier</v>
      </c>
      <c r="F1951" s="10">
        <f t="shared" si="1"/>
        <v>-0.6211470369</v>
      </c>
    </row>
    <row r="1952" ht="14.25" customHeight="1">
      <c r="A1952" s="2" t="s">
        <v>179</v>
      </c>
      <c r="B1952" s="2" t="s">
        <v>180</v>
      </c>
      <c r="C1952" s="2">
        <v>1995.0</v>
      </c>
      <c r="D1952" s="9">
        <v>1588.5927</v>
      </c>
      <c r="E1952" s="10" t="str">
        <f t="array" ref="E1952">IFS(D1952&lt;=$G$3,'calculated data '!$A$3,D1952&lt;=$G$4,'calculated data '!$A$4,D1952&lt;=$G$6,'calculated data '!$A$5,D1952&gt;=$G$6,'calculated data '!$A$6)</f>
        <v>Low Demand Tier</v>
      </c>
      <c r="F1952" s="10">
        <f t="shared" si="1"/>
        <v>-0.6211218218</v>
      </c>
    </row>
    <row r="1953" ht="14.25" customHeight="1">
      <c r="A1953" s="2" t="s">
        <v>179</v>
      </c>
      <c r="B1953" s="2" t="s">
        <v>180</v>
      </c>
      <c r="C1953" s="2">
        <v>1998.0</v>
      </c>
      <c r="D1953" s="9">
        <v>1592.1736</v>
      </c>
      <c r="E1953" s="10" t="str">
        <f t="array" ref="E1953">IFS(D1953&lt;=$G$3,'calculated data '!$A$3,D1953&lt;=$G$4,'calculated data '!$A$4,D1953&lt;=$G$6,'calculated data '!$A$5,D1953&gt;=$G$6,'calculated data '!$A$6)</f>
        <v>Low Demand Tier</v>
      </c>
      <c r="F1953" s="10">
        <f t="shared" si="1"/>
        <v>-0.6210270363</v>
      </c>
    </row>
    <row r="1954" ht="14.25" customHeight="1">
      <c r="A1954" s="2" t="s">
        <v>123</v>
      </c>
      <c r="B1954" s="2" t="s">
        <v>124</v>
      </c>
      <c r="C1954" s="2">
        <v>2005.0</v>
      </c>
      <c r="D1954" s="9">
        <v>1593.2152</v>
      </c>
      <c r="E1954" s="10" t="str">
        <f t="array" ref="E1954">IFS(D1954&lt;=$G$3,'calculated data '!$A$3,D1954&lt;=$G$4,'calculated data '!$A$4,D1954&lt;=$G$6,'calculated data '!$A$5,D1954&gt;=$G$6,'calculated data '!$A$6)</f>
        <v>Low Demand Tier</v>
      </c>
      <c r="F1954" s="10">
        <f t="shared" si="1"/>
        <v>-0.6209994654</v>
      </c>
    </row>
    <row r="1955" ht="14.25" customHeight="1">
      <c r="A1955" s="2" t="s">
        <v>125</v>
      </c>
      <c r="B1955" s="2" t="s">
        <v>126</v>
      </c>
      <c r="C1955" s="2">
        <v>2023.0</v>
      </c>
      <c r="D1955" s="9">
        <v>1597.1461</v>
      </c>
      <c r="E1955" s="10" t="str">
        <f t="array" ref="E1955">IFS(D1955&lt;=$G$3,'calculated data '!$A$3,D1955&lt;=$G$4,'calculated data '!$A$4,D1955&lt;=$G$6,'calculated data '!$A$5,D1955&gt;=$G$6,'calculated data '!$A$6)</f>
        <v>Low Demand Tier</v>
      </c>
      <c r="F1955" s="10">
        <f t="shared" si="1"/>
        <v>-0.6208954154</v>
      </c>
    </row>
    <row r="1956" ht="14.25" customHeight="1">
      <c r="A1956" s="2" t="s">
        <v>187</v>
      </c>
      <c r="B1956" s="2" t="s">
        <v>188</v>
      </c>
      <c r="C1956" s="2">
        <v>2023.0</v>
      </c>
      <c r="D1956" s="9">
        <v>1597.4872</v>
      </c>
      <c r="E1956" s="10" t="str">
        <f t="array" ref="E1956">IFS(D1956&lt;=$G$3,'calculated data '!$A$3,D1956&lt;=$G$4,'calculated data '!$A$4,D1956&lt;=$G$6,'calculated data '!$A$5,D1956&gt;=$G$6,'calculated data '!$A$6)</f>
        <v>Low Demand Tier</v>
      </c>
      <c r="F1956" s="10">
        <f t="shared" si="1"/>
        <v>-0.6208863866</v>
      </c>
    </row>
    <row r="1957" ht="14.25" customHeight="1">
      <c r="A1957" s="2" t="s">
        <v>169</v>
      </c>
      <c r="B1957" s="2" t="s">
        <v>170</v>
      </c>
      <c r="C1957" s="2">
        <v>1982.0</v>
      </c>
      <c r="D1957" s="9">
        <v>1597.6041</v>
      </c>
      <c r="E1957" s="10" t="str">
        <f t="array" ref="E1957">IFS(D1957&lt;=$G$3,'calculated data '!$A$3,D1957&lt;=$G$4,'calculated data '!$A$4,D1957&lt;=$G$6,'calculated data '!$A$5,D1957&gt;=$G$6,'calculated data '!$A$6)</f>
        <v>Low Demand Tier</v>
      </c>
      <c r="F1957" s="10">
        <f t="shared" si="1"/>
        <v>-0.6208832923</v>
      </c>
    </row>
    <row r="1958" ht="14.25" customHeight="1">
      <c r="A1958" s="2" t="s">
        <v>181</v>
      </c>
      <c r="B1958" s="2" t="s">
        <v>182</v>
      </c>
      <c r="C1958" s="2">
        <v>1996.0</v>
      </c>
      <c r="D1958" s="9">
        <v>1597.9404</v>
      </c>
      <c r="E1958" s="10" t="str">
        <f t="array" ref="E1958">IFS(D1958&lt;=$G$3,'calculated data '!$A$3,D1958&lt;=$G$4,'calculated data '!$A$4,D1958&lt;=$G$6,'calculated data '!$A$5,D1958&gt;=$G$6,'calculated data '!$A$6)</f>
        <v>Low Demand Tier</v>
      </c>
      <c r="F1958" s="10">
        <f t="shared" si="1"/>
        <v>-0.6208743905</v>
      </c>
    </row>
    <row r="1959" ht="14.25" customHeight="1">
      <c r="A1959" s="2" t="s">
        <v>99</v>
      </c>
      <c r="B1959" s="2" t="s">
        <v>100</v>
      </c>
      <c r="C1959" s="2">
        <v>1989.0</v>
      </c>
      <c r="D1959" s="9">
        <v>1600.1329</v>
      </c>
      <c r="E1959" s="10" t="str">
        <f t="array" ref="E1959">IFS(D1959&lt;=$G$3,'calculated data '!$A$3,D1959&lt;=$G$4,'calculated data '!$A$4,D1959&lt;=$G$6,'calculated data '!$A$5,D1959&gt;=$G$6,'calculated data '!$A$6)</f>
        <v>Low Demand Tier</v>
      </c>
      <c r="F1959" s="10">
        <f t="shared" si="1"/>
        <v>-0.6208163556</v>
      </c>
    </row>
    <row r="1960" ht="14.25" customHeight="1">
      <c r="A1960" s="2" t="s">
        <v>97</v>
      </c>
      <c r="B1960" s="2" t="s">
        <v>98</v>
      </c>
      <c r="C1960" s="2">
        <v>2012.0</v>
      </c>
      <c r="D1960" s="9">
        <v>1601.8507</v>
      </c>
      <c r="E1960" s="10" t="str">
        <f t="array" ref="E1960">IFS(D1960&lt;=$G$3,'calculated data '!$A$3,D1960&lt;=$G$4,'calculated data '!$A$4,D1960&lt;=$G$6,'calculated data '!$A$5,D1960&gt;=$G$6,'calculated data '!$A$6)</f>
        <v>Low Demand Tier</v>
      </c>
      <c r="F1960" s="10">
        <f t="shared" si="1"/>
        <v>-0.6207708858</v>
      </c>
    </row>
    <row r="1961" ht="14.25" customHeight="1">
      <c r="A1961" s="2" t="s">
        <v>187</v>
      </c>
      <c r="B1961" s="2" t="s">
        <v>188</v>
      </c>
      <c r="C1961" s="2">
        <v>2022.0</v>
      </c>
      <c r="D1961" s="9">
        <v>1602.0515</v>
      </c>
      <c r="E1961" s="10" t="str">
        <f t="array" ref="E1961">IFS(D1961&lt;=$G$3,'calculated data '!$A$3,D1961&lt;=$G$4,'calculated data '!$A$4,D1961&lt;=$G$6,'calculated data '!$A$5,D1961&gt;=$G$6,'calculated data '!$A$6)</f>
        <v>Low Demand Tier</v>
      </c>
      <c r="F1961" s="10">
        <f t="shared" si="1"/>
        <v>-0.6207655707</v>
      </c>
    </row>
    <row r="1962" ht="14.25" customHeight="1">
      <c r="A1962" s="2" t="s">
        <v>79</v>
      </c>
      <c r="B1962" s="2" t="s">
        <v>80</v>
      </c>
      <c r="C1962" s="2">
        <v>2011.0</v>
      </c>
      <c r="D1962" s="9">
        <v>1602.2502</v>
      </c>
      <c r="E1962" s="10" t="str">
        <f t="array" ref="E1962">IFS(D1962&lt;=$G$3,'calculated data '!$A$3,D1962&lt;=$G$4,'calculated data '!$A$4,D1962&lt;=$G$6,'calculated data '!$A$5,D1962&gt;=$G$6,'calculated data '!$A$6)</f>
        <v>Low Demand Tier</v>
      </c>
      <c r="F1962" s="10">
        <f t="shared" si="1"/>
        <v>-0.6207603112</v>
      </c>
    </row>
    <row r="1963" ht="14.25" customHeight="1">
      <c r="A1963" s="2" t="s">
        <v>185</v>
      </c>
      <c r="B1963" s="2" t="s">
        <v>186</v>
      </c>
      <c r="C1963" s="2">
        <v>1987.0</v>
      </c>
      <c r="D1963" s="9">
        <v>1603.2161</v>
      </c>
      <c r="E1963" s="10" t="str">
        <f t="array" ref="E1963">IFS(D1963&lt;=$G$3,'calculated data '!$A$3,D1963&lt;=$G$4,'calculated data '!$A$4,D1963&lt;=$G$6,'calculated data '!$A$5,D1963&gt;=$G$6,'calculated data '!$A$6)</f>
        <v>Low Demand Tier</v>
      </c>
      <c r="F1963" s="10">
        <f t="shared" si="1"/>
        <v>-0.620734744</v>
      </c>
    </row>
    <row r="1964" ht="14.25" customHeight="1">
      <c r="A1964" s="2" t="s">
        <v>165</v>
      </c>
      <c r="B1964" s="2" t="s">
        <v>166</v>
      </c>
      <c r="C1964" s="2">
        <v>1979.0</v>
      </c>
      <c r="D1964" s="9">
        <v>1605.2966</v>
      </c>
      <c r="E1964" s="10" t="str">
        <f t="array" ref="E1964">IFS(D1964&lt;=$G$3,'calculated data '!$A$3,D1964&lt;=$G$4,'calculated data '!$A$4,D1964&lt;=$G$6,'calculated data '!$A$5,D1964&gt;=$G$6,'calculated data '!$A$6)</f>
        <v>Low Demand Tier</v>
      </c>
      <c r="F1964" s="10">
        <f t="shared" si="1"/>
        <v>-0.6206796737</v>
      </c>
    </row>
    <row r="1965" ht="14.25" customHeight="1">
      <c r="A1965" s="2" t="s">
        <v>171</v>
      </c>
      <c r="B1965" s="2" t="s">
        <v>172</v>
      </c>
      <c r="C1965" s="2">
        <v>1997.0</v>
      </c>
      <c r="D1965" s="9">
        <v>1607.2745</v>
      </c>
      <c r="E1965" s="10" t="str">
        <f t="array" ref="E1965">IFS(D1965&lt;=$G$3,'calculated data '!$A$3,D1965&lt;=$G$4,'calculated data '!$A$4,D1965&lt;=$G$6,'calculated data '!$A$5,D1965&gt;=$G$6,'calculated data '!$A$6)</f>
        <v>Low Demand Tier</v>
      </c>
      <c r="F1965" s="10">
        <f t="shared" si="1"/>
        <v>-0.6206273192</v>
      </c>
    </row>
    <row r="1966" ht="14.25" customHeight="1">
      <c r="A1966" s="2" t="s">
        <v>153</v>
      </c>
      <c r="B1966" s="2" t="s">
        <v>154</v>
      </c>
      <c r="C1966" s="2">
        <v>2023.0</v>
      </c>
      <c r="D1966" s="9">
        <v>1609.8734</v>
      </c>
      <c r="E1966" s="10" t="str">
        <f t="array" ref="E1966">IFS(D1966&lt;=$G$3,'calculated data '!$A$3,D1966&lt;=$G$4,'calculated data '!$A$4,D1966&lt;=$G$6,'calculated data '!$A$5,D1966&gt;=$G$6,'calculated data '!$A$6)</f>
        <v>Low Demand Tier</v>
      </c>
      <c r="F1966" s="10">
        <f t="shared" si="1"/>
        <v>-0.620558527</v>
      </c>
    </row>
    <row r="1967" ht="14.25" customHeight="1">
      <c r="A1967" s="2" t="s">
        <v>153</v>
      </c>
      <c r="B1967" s="2" t="s">
        <v>154</v>
      </c>
      <c r="C1967" s="2">
        <v>2022.0</v>
      </c>
      <c r="D1967" s="9">
        <v>1609.9459</v>
      </c>
      <c r="E1967" s="10" t="str">
        <f t="array" ref="E1967">IFS(D1967&lt;=$G$3,'calculated data '!$A$3,D1967&lt;=$G$4,'calculated data '!$A$4,D1967&lt;=$G$6,'calculated data '!$A$5,D1967&gt;=$G$6,'calculated data '!$A$6)</f>
        <v>Low Demand Tier</v>
      </c>
      <c r="F1967" s="10">
        <f t="shared" si="1"/>
        <v>-0.6205566079</v>
      </c>
    </row>
    <row r="1968" ht="14.25" customHeight="1">
      <c r="A1968" s="2" t="s">
        <v>179</v>
      </c>
      <c r="B1968" s="2" t="s">
        <v>180</v>
      </c>
      <c r="C1968" s="2">
        <v>2012.0</v>
      </c>
      <c r="D1968" s="9">
        <v>1610.5361</v>
      </c>
      <c r="E1968" s="10" t="str">
        <f t="array" ref="E1968">IFS(D1968&lt;=$G$3,'calculated data '!$A$3,D1968&lt;=$G$4,'calculated data '!$A$4,D1968&lt;=$G$6,'calculated data '!$A$5,D1968&gt;=$G$6,'calculated data '!$A$6)</f>
        <v>Low Demand Tier</v>
      </c>
      <c r="F1968" s="10">
        <f t="shared" si="1"/>
        <v>-0.6205409854</v>
      </c>
    </row>
    <row r="1969" ht="14.25" customHeight="1">
      <c r="A1969" s="2" t="s">
        <v>87</v>
      </c>
      <c r="B1969" s="2" t="s">
        <v>88</v>
      </c>
      <c r="C1969" s="2">
        <v>2013.0</v>
      </c>
      <c r="D1969" s="9">
        <v>1610.6417</v>
      </c>
      <c r="E1969" s="10" t="str">
        <f t="array" ref="E1969">IFS(D1969&lt;=$G$3,'calculated data '!$A$3,D1969&lt;=$G$4,'calculated data '!$A$4,D1969&lt;=$G$6,'calculated data '!$A$5,D1969&gt;=$G$6,'calculated data '!$A$6)</f>
        <v>Low Demand Tier</v>
      </c>
      <c r="F1969" s="10">
        <f t="shared" si="1"/>
        <v>-0.6205381902</v>
      </c>
    </row>
    <row r="1970" ht="14.25" customHeight="1">
      <c r="A1970" s="2" t="s">
        <v>153</v>
      </c>
      <c r="B1970" s="2" t="s">
        <v>154</v>
      </c>
      <c r="C1970" s="2">
        <v>1981.0</v>
      </c>
      <c r="D1970" s="9">
        <v>1612.9852</v>
      </c>
      <c r="E1970" s="10" t="str">
        <f t="array" ref="E1970">IFS(D1970&lt;=$G$3,'calculated data '!$A$3,D1970&lt;=$G$4,'calculated data '!$A$4,D1970&lt;=$G$6,'calculated data '!$A$5,D1970&gt;=$G$6,'calculated data '!$A$6)</f>
        <v>Low Demand Tier</v>
      </c>
      <c r="F1970" s="10">
        <f t="shared" si="1"/>
        <v>-0.6204761584</v>
      </c>
    </row>
    <row r="1971" ht="14.25" customHeight="1">
      <c r="A1971" s="2" t="s">
        <v>87</v>
      </c>
      <c r="B1971" s="2" t="s">
        <v>88</v>
      </c>
      <c r="C1971" s="2">
        <v>2020.0</v>
      </c>
      <c r="D1971" s="9">
        <v>1613.1987</v>
      </c>
      <c r="E1971" s="10" t="str">
        <f t="array" ref="E1971">IFS(D1971&lt;=$G$3,'calculated data '!$A$3,D1971&lt;=$G$4,'calculated data '!$A$4,D1971&lt;=$G$6,'calculated data '!$A$5,D1971&gt;=$G$6,'calculated data '!$A$6)</f>
        <v>Low Demand Tier</v>
      </c>
      <c r="F1971" s="10">
        <f t="shared" si="1"/>
        <v>-0.6204705071</v>
      </c>
    </row>
    <row r="1972" ht="14.25" customHeight="1">
      <c r="A1972" s="2" t="s">
        <v>139</v>
      </c>
      <c r="B1972" s="2" t="s">
        <v>140</v>
      </c>
      <c r="C1972" s="2">
        <v>1993.0</v>
      </c>
      <c r="D1972" s="9">
        <v>1613.5466</v>
      </c>
      <c r="E1972" s="10" t="str">
        <f t="array" ref="E1972">IFS(D1972&lt;=$G$3,'calculated data '!$A$3,D1972&lt;=$G$4,'calculated data '!$A$4,D1972&lt;=$G$6,'calculated data '!$A$5,D1972&gt;=$G$6,'calculated data '!$A$6)</f>
        <v>Low Demand Tier</v>
      </c>
      <c r="F1972" s="10">
        <f t="shared" si="1"/>
        <v>-0.6204612983</v>
      </c>
    </row>
    <row r="1973" ht="14.25" customHeight="1">
      <c r="A1973" s="2" t="s">
        <v>87</v>
      </c>
      <c r="B1973" s="2" t="s">
        <v>88</v>
      </c>
      <c r="C1973" s="2">
        <v>2012.0</v>
      </c>
      <c r="D1973" s="9">
        <v>1613.9104</v>
      </c>
      <c r="E1973" s="10" t="str">
        <f t="array" ref="E1973">IFS(D1973&lt;=$G$3,'calculated data '!$A$3,D1973&lt;=$G$4,'calculated data '!$A$4,D1973&lt;=$G$6,'calculated data '!$A$5,D1973&gt;=$G$6,'calculated data '!$A$6)</f>
        <v>Low Demand Tier</v>
      </c>
      <c r="F1973" s="10">
        <f t="shared" si="1"/>
        <v>-0.6204516686</v>
      </c>
    </row>
    <row r="1974" ht="14.25" customHeight="1">
      <c r="A1974" s="2" t="s">
        <v>165</v>
      </c>
      <c r="B1974" s="2" t="s">
        <v>166</v>
      </c>
      <c r="C1974" s="2">
        <v>1980.0</v>
      </c>
      <c r="D1974" s="9">
        <v>1615.7216</v>
      </c>
      <c r="E1974" s="10" t="str">
        <f t="array" ref="E1974">IFS(D1974&lt;=$G$3,'calculated data '!$A$3,D1974&lt;=$G$4,'calculated data '!$A$4,D1974&lt;=$G$6,'calculated data '!$A$5,D1974&gt;=$G$6,'calculated data '!$A$6)</f>
        <v>Low Demand Tier</v>
      </c>
      <c r="F1974" s="10">
        <f t="shared" si="1"/>
        <v>-0.6204037266</v>
      </c>
    </row>
    <row r="1975" ht="14.25" customHeight="1">
      <c r="A1975" s="2" t="s">
        <v>175</v>
      </c>
      <c r="B1975" s="2" t="s">
        <v>176</v>
      </c>
      <c r="C1975" s="2">
        <v>1970.0</v>
      </c>
      <c r="D1975" s="9">
        <v>1616.0881</v>
      </c>
      <c r="E1975" s="10" t="str">
        <f t="array" ref="E1975">IFS(D1975&lt;=$G$3,'calculated data '!$A$3,D1975&lt;=$G$4,'calculated data '!$A$4,D1975&lt;=$G$6,'calculated data '!$A$5,D1975&gt;=$G$6,'calculated data '!$A$6)</f>
        <v>Low Demand Tier</v>
      </c>
      <c r="F1975" s="10">
        <f t="shared" si="1"/>
        <v>-0.6203940254</v>
      </c>
    </row>
    <row r="1976" ht="14.25" customHeight="1">
      <c r="A1976" s="2" t="s">
        <v>93</v>
      </c>
      <c r="B1976" s="2" t="s">
        <v>94</v>
      </c>
      <c r="C1976" s="2">
        <v>2006.0</v>
      </c>
      <c r="D1976" s="9">
        <v>1617.1282</v>
      </c>
      <c r="E1976" s="10" t="str">
        <f t="array" ref="E1976">IFS(D1976&lt;=$G$3,'calculated data '!$A$3,D1976&lt;=$G$4,'calculated data '!$A$4,D1976&lt;=$G$6,'calculated data '!$A$5,D1976&gt;=$G$6,'calculated data '!$A$6)</f>
        <v>Low Demand Tier</v>
      </c>
      <c r="F1976" s="10">
        <f t="shared" si="1"/>
        <v>-0.6203664942</v>
      </c>
    </row>
    <row r="1977" ht="14.25" customHeight="1">
      <c r="A1977" s="2" t="s">
        <v>147</v>
      </c>
      <c r="B1977" s="2" t="s">
        <v>148</v>
      </c>
      <c r="C1977" s="2">
        <v>2014.0</v>
      </c>
      <c r="D1977" s="9">
        <v>1619.597</v>
      </c>
      <c r="E1977" s="10" t="str">
        <f t="array" ref="E1977">IFS(D1977&lt;=$G$3,'calculated data '!$A$3,D1977&lt;=$G$4,'calculated data '!$A$4,D1977&lt;=$G$6,'calculated data '!$A$5,D1977&gt;=$G$6,'calculated data '!$A$6)</f>
        <v>Low Demand Tier</v>
      </c>
      <c r="F1977" s="10">
        <f t="shared" si="1"/>
        <v>-0.6203011457</v>
      </c>
    </row>
    <row r="1978" ht="14.25" customHeight="1">
      <c r="A1978" s="2" t="s">
        <v>21</v>
      </c>
      <c r="B1978" s="2" t="s">
        <v>22</v>
      </c>
      <c r="C1978" s="2">
        <v>2009.0</v>
      </c>
      <c r="D1978" s="9">
        <v>1620.81</v>
      </c>
      <c r="E1978" s="10" t="str">
        <f t="array" ref="E1978">IFS(D1978&lt;=$G$3,'calculated data '!$A$3,D1978&lt;=$G$4,'calculated data '!$A$4,D1978&lt;=$G$6,'calculated data '!$A$5,D1978&gt;=$G$6,'calculated data '!$A$6)</f>
        <v>Low Demand Tier</v>
      </c>
      <c r="F1978" s="10">
        <f t="shared" si="1"/>
        <v>-0.6202690379</v>
      </c>
    </row>
    <row r="1979" ht="14.25" customHeight="1">
      <c r="A1979" s="2" t="s">
        <v>145</v>
      </c>
      <c r="B1979" s="2" t="s">
        <v>146</v>
      </c>
      <c r="C1979" s="2">
        <v>1992.0</v>
      </c>
      <c r="D1979" s="9">
        <v>1620.8217</v>
      </c>
      <c r="E1979" s="10" t="str">
        <f t="array" ref="E1979">IFS(D1979&lt;=$G$3,'calculated data '!$A$3,D1979&lt;=$G$4,'calculated data '!$A$4,D1979&lt;=$G$6,'calculated data '!$A$5,D1979&gt;=$G$6,'calculated data '!$A$6)</f>
        <v>Low Demand Tier</v>
      </c>
      <c r="F1979" s="10">
        <f t="shared" si="1"/>
        <v>-0.6202687282</v>
      </c>
    </row>
    <row r="1980" ht="14.25" customHeight="1">
      <c r="A1980" s="2" t="s">
        <v>173</v>
      </c>
      <c r="B1980" s="2" t="s">
        <v>174</v>
      </c>
      <c r="C1980" s="2">
        <v>2008.0</v>
      </c>
      <c r="D1980" s="9">
        <v>1622.6282</v>
      </c>
      <c r="E1980" s="10" t="str">
        <f t="array" ref="E1980">IFS(D1980&lt;=$G$3,'calculated data '!$A$3,D1980&lt;=$G$4,'calculated data '!$A$4,D1980&lt;=$G$6,'calculated data '!$A$5,D1980&gt;=$G$6,'calculated data '!$A$6)</f>
        <v>Low Demand Tier</v>
      </c>
      <c r="F1980" s="10">
        <f t="shared" si="1"/>
        <v>-0.6202209106</v>
      </c>
    </row>
    <row r="1981" ht="14.25" customHeight="1">
      <c r="A1981" s="2" t="s">
        <v>177</v>
      </c>
      <c r="B1981" s="2" t="s">
        <v>178</v>
      </c>
      <c r="C1981" s="2">
        <v>2017.0</v>
      </c>
      <c r="D1981" s="9">
        <v>1624.4481</v>
      </c>
      <c r="E1981" s="10" t="str">
        <f t="array" ref="E1981">IFS(D1981&lt;=$G$3,'calculated data '!$A$3,D1981&lt;=$G$4,'calculated data '!$A$4,D1981&lt;=$G$6,'calculated data '!$A$5,D1981&gt;=$G$6,'calculated data '!$A$6)</f>
        <v>Low Demand Tier</v>
      </c>
      <c r="F1981" s="10">
        <f t="shared" si="1"/>
        <v>-0.6201727383</v>
      </c>
    </row>
    <row r="1982" ht="14.25" customHeight="1">
      <c r="A1982" s="2" t="s">
        <v>97</v>
      </c>
      <c r="B1982" s="2" t="s">
        <v>98</v>
      </c>
      <c r="C1982" s="2">
        <v>2018.0</v>
      </c>
      <c r="D1982" s="9">
        <v>1625.5104</v>
      </c>
      <c r="E1982" s="10" t="str">
        <f t="array" ref="E1982">IFS(D1982&lt;=$G$3,'calculated data '!$A$3,D1982&lt;=$G$4,'calculated data '!$A$4,D1982&lt;=$G$6,'calculated data '!$A$5,D1982&gt;=$G$6,'calculated data '!$A$6)</f>
        <v>Low Demand Tier</v>
      </c>
      <c r="F1982" s="10">
        <f t="shared" si="1"/>
        <v>-0.6201446195</v>
      </c>
    </row>
    <row r="1983" ht="14.25" customHeight="1">
      <c r="A1983" s="2" t="s">
        <v>179</v>
      </c>
      <c r="B1983" s="2" t="s">
        <v>180</v>
      </c>
      <c r="C1983" s="2">
        <v>1997.0</v>
      </c>
      <c r="D1983" s="9">
        <v>1626.0529</v>
      </c>
      <c r="E1983" s="10" t="str">
        <f t="array" ref="E1983">IFS(D1983&lt;=$G$3,'calculated data '!$A$3,D1983&lt;=$G$4,'calculated data '!$A$4,D1983&lt;=$G$6,'calculated data '!$A$5,D1983&gt;=$G$6,'calculated data '!$A$6)</f>
        <v>Low Demand Tier</v>
      </c>
      <c r="F1983" s="10">
        <f t="shared" si="1"/>
        <v>-0.6201302596</v>
      </c>
    </row>
    <row r="1984" ht="14.25" customHeight="1">
      <c r="A1984" s="2" t="s">
        <v>179</v>
      </c>
      <c r="B1984" s="2" t="s">
        <v>180</v>
      </c>
      <c r="C1984" s="2">
        <v>2013.0</v>
      </c>
      <c r="D1984" s="9">
        <v>1627.4725</v>
      </c>
      <c r="E1984" s="10" t="str">
        <f t="array" ref="E1984">IFS(D1984&lt;=$G$3,'calculated data '!$A$3,D1984&lt;=$G$4,'calculated data '!$A$4,D1984&lt;=$G$6,'calculated data '!$A$5,D1984&gt;=$G$6,'calculated data '!$A$6)</f>
        <v>Low Demand Tier</v>
      </c>
      <c r="F1984" s="10">
        <f t="shared" si="1"/>
        <v>-0.6200926832</v>
      </c>
    </row>
    <row r="1985" ht="14.25" customHeight="1">
      <c r="A1985" s="2" t="s">
        <v>169</v>
      </c>
      <c r="B1985" s="2" t="s">
        <v>170</v>
      </c>
      <c r="C1985" s="2">
        <v>1987.0</v>
      </c>
      <c r="D1985" s="9">
        <v>1628.3057</v>
      </c>
      <c r="E1985" s="10" t="str">
        <f t="array" ref="E1985">IFS(D1985&lt;=$G$3,'calculated data '!$A$3,D1985&lt;=$G$4,'calculated data '!$A$4,D1985&lt;=$G$6,'calculated data '!$A$5,D1985&gt;=$G$6,'calculated data '!$A$6)</f>
        <v>Low Demand Tier</v>
      </c>
      <c r="F1985" s="10">
        <f t="shared" si="1"/>
        <v>-0.6200706286</v>
      </c>
    </row>
    <row r="1986" ht="14.25" customHeight="1">
      <c r="A1986" s="2" t="s">
        <v>135</v>
      </c>
      <c r="B1986" s="2" t="s">
        <v>136</v>
      </c>
      <c r="C1986" s="2">
        <v>2009.0</v>
      </c>
      <c r="D1986" s="9">
        <v>1628.5824</v>
      </c>
      <c r="E1986" s="10" t="str">
        <f t="array" ref="E1986">IFS(D1986&lt;=$G$3,'calculated data '!$A$3,D1986&lt;=$G$4,'calculated data '!$A$4,D1986&lt;=$G$6,'calculated data '!$A$5,D1986&gt;=$G$6,'calculated data '!$A$6)</f>
        <v>Low Demand Tier</v>
      </c>
      <c r="F1986" s="10">
        <f t="shared" si="1"/>
        <v>-0.6200633044</v>
      </c>
    </row>
    <row r="1987" ht="14.25" customHeight="1">
      <c r="A1987" s="2" t="s">
        <v>125</v>
      </c>
      <c r="B1987" s="2" t="s">
        <v>126</v>
      </c>
      <c r="C1987" s="2">
        <v>2011.0</v>
      </c>
      <c r="D1987" s="9">
        <v>1629.7235</v>
      </c>
      <c r="E1987" s="10" t="str">
        <f t="array" ref="E1987">IFS(D1987&lt;=$G$3,'calculated data '!$A$3,D1987&lt;=$G$4,'calculated data '!$A$4,D1987&lt;=$G$6,'calculated data '!$A$5,D1987&gt;=$G$6,'calculated data '!$A$6)</f>
        <v>Low Demand Tier</v>
      </c>
      <c r="F1987" s="10">
        <f t="shared" si="1"/>
        <v>-0.6200330997</v>
      </c>
    </row>
    <row r="1988" ht="14.25" customHeight="1">
      <c r="A1988" s="2" t="s">
        <v>177</v>
      </c>
      <c r="B1988" s="2" t="s">
        <v>178</v>
      </c>
      <c r="C1988" s="2">
        <v>2021.0</v>
      </c>
      <c r="D1988" s="9">
        <v>1630.4496</v>
      </c>
      <c r="E1988" s="10" t="str">
        <f t="array" ref="E1988">IFS(D1988&lt;=$G$3,'calculated data '!$A$3,D1988&lt;=$G$4,'calculated data '!$A$4,D1988&lt;=$G$6,'calculated data '!$A$5,D1988&gt;=$G$6,'calculated data '!$A$6)</f>
        <v>Low Demand Tier</v>
      </c>
      <c r="F1988" s="10">
        <f t="shared" si="1"/>
        <v>-0.6200138801</v>
      </c>
    </row>
    <row r="1989" ht="14.25" customHeight="1">
      <c r="A1989" s="2" t="s">
        <v>159</v>
      </c>
      <c r="B1989" s="2" t="s">
        <v>160</v>
      </c>
      <c r="C1989" s="2">
        <v>1967.0</v>
      </c>
      <c r="D1989" s="9">
        <v>1633.4149</v>
      </c>
      <c r="E1989" s="10" t="str">
        <f t="array" ref="E1989">IFS(D1989&lt;=$G$3,'calculated data '!$A$3,D1989&lt;=$G$4,'calculated data '!$A$4,D1989&lt;=$G$6,'calculated data '!$A$5,D1989&gt;=$G$6,'calculated data '!$A$6)</f>
        <v>Low Demand Tier</v>
      </c>
      <c r="F1989" s="10">
        <f t="shared" si="1"/>
        <v>-0.6199353893</v>
      </c>
    </row>
    <row r="1990" ht="14.25" customHeight="1">
      <c r="A1990" s="2" t="s">
        <v>59</v>
      </c>
      <c r="B1990" s="2" t="s">
        <v>60</v>
      </c>
      <c r="C1990" s="2">
        <v>2021.0</v>
      </c>
      <c r="D1990" s="9">
        <v>1633.55</v>
      </c>
      <c r="E1990" s="10" t="str">
        <f t="array" ref="E1990">IFS(D1990&lt;=$G$3,'calculated data '!$A$3,D1990&lt;=$G$4,'calculated data '!$A$4,D1990&lt;=$G$6,'calculated data '!$A$5,D1990&gt;=$G$6,'calculated data '!$A$6)</f>
        <v>Low Demand Tier</v>
      </c>
      <c r="F1990" s="10">
        <f t="shared" si="1"/>
        <v>-0.6199318132</v>
      </c>
    </row>
    <row r="1991" ht="14.25" customHeight="1">
      <c r="A1991" s="2" t="s">
        <v>153</v>
      </c>
      <c r="B1991" s="2" t="s">
        <v>154</v>
      </c>
      <c r="C1991" s="2">
        <v>2021.0</v>
      </c>
      <c r="D1991" s="9">
        <v>1634.8809</v>
      </c>
      <c r="E1991" s="10" t="str">
        <f t="array" ref="E1991">IFS(D1991&lt;=$G$3,'calculated data '!$A$3,D1991&lt;=$G$4,'calculated data '!$A$4,D1991&lt;=$G$6,'calculated data '!$A$5,D1991&gt;=$G$6,'calculated data '!$A$6)</f>
        <v>Low Demand Tier</v>
      </c>
      <c r="F1991" s="10">
        <f t="shared" si="1"/>
        <v>-0.6198965847</v>
      </c>
    </row>
    <row r="1992" ht="14.25" customHeight="1">
      <c r="A1992" s="2" t="s">
        <v>187</v>
      </c>
      <c r="B1992" s="2" t="s">
        <v>188</v>
      </c>
      <c r="C1992" s="2">
        <v>1999.0</v>
      </c>
      <c r="D1992" s="9">
        <v>1635.2208</v>
      </c>
      <c r="E1992" s="10" t="str">
        <f t="array" ref="E1992">IFS(D1992&lt;=$G$3,'calculated data '!$A$3,D1992&lt;=$G$4,'calculated data '!$A$4,D1992&lt;=$G$6,'calculated data '!$A$5,D1992&gt;=$G$6,'calculated data '!$A$6)</f>
        <v>Low Demand Tier</v>
      </c>
      <c r="F1992" s="10">
        <f t="shared" si="1"/>
        <v>-0.6198875876</v>
      </c>
    </row>
    <row r="1993" ht="14.25" customHeight="1">
      <c r="A1993" s="2" t="s">
        <v>169</v>
      </c>
      <c r="B1993" s="2" t="s">
        <v>170</v>
      </c>
      <c r="C1993" s="2">
        <v>1981.0</v>
      </c>
      <c r="D1993" s="9">
        <v>1637.032</v>
      </c>
      <c r="E1993" s="10" t="str">
        <f t="array" ref="E1993">IFS(D1993&lt;=$G$3,'calculated data '!$A$3,D1993&lt;=$G$4,'calculated data '!$A$4,D1993&lt;=$G$6,'calculated data '!$A$5,D1993&gt;=$G$6,'calculated data '!$A$6)</f>
        <v>Low Demand Tier</v>
      </c>
      <c r="F1993" s="10">
        <f t="shared" si="1"/>
        <v>-0.6198396456</v>
      </c>
    </row>
    <row r="1994" ht="14.25" customHeight="1">
      <c r="A1994" s="2" t="s">
        <v>131</v>
      </c>
      <c r="B1994" s="2" t="s">
        <v>132</v>
      </c>
      <c r="C1994" s="2">
        <v>2013.0</v>
      </c>
      <c r="D1994" s="9">
        <v>1638.827</v>
      </c>
      <c r="E1994" s="10" t="str">
        <f t="array" ref="E1994">IFS(D1994&lt;=$G$3,'calculated data '!$A$3,D1994&lt;=$G$4,'calculated data '!$A$4,D1994&lt;=$G$6,'calculated data '!$A$5,D1994&gt;=$G$6,'calculated data '!$A$6)</f>
        <v>Low Demand Tier</v>
      </c>
      <c r="F1994" s="10">
        <f t="shared" si="1"/>
        <v>-0.6197921324</v>
      </c>
    </row>
    <row r="1995" ht="14.25" customHeight="1">
      <c r="A1995" s="2" t="s">
        <v>21</v>
      </c>
      <c r="B1995" s="2" t="s">
        <v>22</v>
      </c>
      <c r="C1995" s="2">
        <v>2010.0</v>
      </c>
      <c r="D1995" s="9">
        <v>1640.5099</v>
      </c>
      <c r="E1995" s="10" t="str">
        <f t="array" ref="E1995">IFS(D1995&lt;=$G$3,'calculated data '!$A$3,D1995&lt;=$G$4,'calculated data '!$A$4,D1995&lt;=$G$6,'calculated data '!$A$5,D1995&gt;=$G$6,'calculated data '!$A$6)</f>
        <v>Low Demand Tier</v>
      </c>
      <c r="F1995" s="10">
        <f t="shared" si="1"/>
        <v>-0.6197475864</v>
      </c>
    </row>
    <row r="1996" ht="14.25" customHeight="1">
      <c r="A1996" s="2" t="s">
        <v>137</v>
      </c>
      <c r="B1996" s="2" t="s">
        <v>138</v>
      </c>
      <c r="C1996" s="2">
        <v>2000.0</v>
      </c>
      <c r="D1996" s="9">
        <v>1640.8224</v>
      </c>
      <c r="E1996" s="10" t="str">
        <f t="array" ref="E1996">IFS(D1996&lt;=$G$3,'calculated data '!$A$3,D1996&lt;=$G$4,'calculated data '!$A$4,D1996&lt;=$G$6,'calculated data '!$A$5,D1996&gt;=$G$6,'calculated data '!$A$6)</f>
        <v>Low Demand Tier</v>
      </c>
      <c r="F1996" s="10">
        <f t="shared" si="1"/>
        <v>-0.6197393146</v>
      </c>
    </row>
    <row r="1997" ht="14.25" customHeight="1">
      <c r="A1997" s="2" t="s">
        <v>187</v>
      </c>
      <c r="B1997" s="2" t="s">
        <v>188</v>
      </c>
      <c r="C1997" s="2">
        <v>2024.0</v>
      </c>
      <c r="D1997" s="9">
        <v>1641.3884</v>
      </c>
      <c r="E1997" s="10" t="str">
        <f t="array" ref="E1997">IFS(D1997&lt;=$G$3,'calculated data '!$A$3,D1997&lt;=$G$4,'calculated data '!$A$4,D1997&lt;=$G$6,'calculated data '!$A$5,D1997&gt;=$G$6,'calculated data '!$A$6)</f>
        <v>Low Demand Tier</v>
      </c>
      <c r="F1997" s="10">
        <f t="shared" si="1"/>
        <v>-0.6197243328</v>
      </c>
    </row>
    <row r="1998" ht="14.25" customHeight="1">
      <c r="A1998" s="2" t="s">
        <v>87</v>
      </c>
      <c r="B1998" s="2" t="s">
        <v>88</v>
      </c>
      <c r="C1998" s="2">
        <v>2014.0</v>
      </c>
      <c r="D1998" s="9">
        <v>1641.573</v>
      </c>
      <c r="E1998" s="10" t="str">
        <f t="array" ref="E1998">IFS(D1998&lt;=$G$3,'calculated data '!$A$3,D1998&lt;=$G$4,'calculated data '!$A$4,D1998&lt;=$G$6,'calculated data '!$A$5,D1998&gt;=$G$6,'calculated data '!$A$6)</f>
        <v>Low Demand Tier</v>
      </c>
      <c r="F1998" s="10">
        <f t="shared" si="1"/>
        <v>-0.6197194464</v>
      </c>
    </row>
    <row r="1999" ht="14.25" customHeight="1">
      <c r="A1999" s="2" t="s">
        <v>183</v>
      </c>
      <c r="B1999" s="2" t="s">
        <v>184</v>
      </c>
      <c r="C1999" s="2">
        <v>1967.0</v>
      </c>
      <c r="D1999" s="9">
        <v>1642.3959</v>
      </c>
      <c r="E1999" s="10" t="str">
        <f t="array" ref="E1999">IFS(D1999&lt;=$G$3,'calculated data '!$A$3,D1999&lt;=$G$4,'calculated data '!$A$4,D1999&lt;=$G$6,'calculated data '!$A$5,D1999&gt;=$G$6,'calculated data '!$A$6)</f>
        <v>Low Demand Tier</v>
      </c>
      <c r="F1999" s="10">
        <f t="shared" si="1"/>
        <v>-0.6196976645</v>
      </c>
    </row>
    <row r="2000" ht="14.25" customHeight="1">
      <c r="A2000" s="2" t="s">
        <v>173</v>
      </c>
      <c r="B2000" s="2" t="s">
        <v>174</v>
      </c>
      <c r="C2000" s="2">
        <v>1990.0</v>
      </c>
      <c r="D2000" s="9">
        <v>1642.7606</v>
      </c>
      <c r="E2000" s="10" t="str">
        <f t="array" ref="E2000">IFS(D2000&lt;=$G$3,'calculated data '!$A$3,D2000&lt;=$G$4,'calculated data '!$A$4,D2000&lt;=$G$6,'calculated data '!$A$5,D2000&gt;=$G$6,'calculated data '!$A$6)</f>
        <v>Low Demand Tier</v>
      </c>
      <c r="F2000" s="10">
        <f t="shared" si="1"/>
        <v>-0.619688011</v>
      </c>
    </row>
    <row r="2001" ht="14.25" customHeight="1">
      <c r="A2001" s="2" t="s">
        <v>167</v>
      </c>
      <c r="B2001" s="2" t="s">
        <v>168</v>
      </c>
      <c r="C2001" s="2">
        <v>2007.0</v>
      </c>
      <c r="D2001" s="9">
        <v>1643.4609</v>
      </c>
      <c r="E2001" s="10" t="str">
        <f t="array" ref="E2001">IFS(D2001&lt;=$G$3,'calculated data '!$A$3,D2001&lt;=$G$4,'calculated data '!$A$4,D2001&lt;=$G$6,'calculated data '!$A$5,D2001&gt;=$G$6,'calculated data '!$A$6)</f>
        <v>Low Demand Tier</v>
      </c>
      <c r="F2001" s="10">
        <f t="shared" si="1"/>
        <v>-0.6196694742</v>
      </c>
    </row>
    <row r="2002" ht="14.25" customHeight="1">
      <c r="A2002" s="2" t="s">
        <v>153</v>
      </c>
      <c r="B2002" s="2" t="s">
        <v>154</v>
      </c>
      <c r="C2002" s="2">
        <v>2018.0</v>
      </c>
      <c r="D2002" s="9">
        <v>1644.6803</v>
      </c>
      <c r="E2002" s="10" t="str">
        <f t="array" ref="E2002">IFS(D2002&lt;=$G$3,'calculated data '!$A$3,D2002&lt;=$G$4,'calculated data '!$A$4,D2002&lt;=$G$6,'calculated data '!$A$5,D2002&gt;=$G$6,'calculated data '!$A$6)</f>
        <v>Low Demand Tier</v>
      </c>
      <c r="F2002" s="10">
        <f t="shared" si="1"/>
        <v>-0.619637197</v>
      </c>
    </row>
    <row r="2003" ht="14.25" customHeight="1">
      <c r="A2003" s="2" t="s">
        <v>135</v>
      </c>
      <c r="B2003" s="2" t="s">
        <v>136</v>
      </c>
      <c r="C2003" s="2">
        <v>2010.0</v>
      </c>
      <c r="D2003" s="9">
        <v>1644.7517</v>
      </c>
      <c r="E2003" s="10" t="str">
        <f t="array" ref="E2003">IFS(D2003&lt;=$G$3,'calculated data '!$A$3,D2003&lt;=$G$4,'calculated data '!$A$4,D2003&lt;=$G$6,'calculated data '!$A$5,D2003&gt;=$G$6,'calculated data '!$A$6)</f>
        <v>Low Demand Tier</v>
      </c>
      <c r="F2003" s="10">
        <f t="shared" si="1"/>
        <v>-0.619635307</v>
      </c>
    </row>
    <row r="2004" ht="14.25" customHeight="1">
      <c r="A2004" s="2" t="s">
        <v>161</v>
      </c>
      <c r="B2004" s="2" t="s">
        <v>162</v>
      </c>
      <c r="C2004" s="2">
        <v>2006.0</v>
      </c>
      <c r="D2004" s="9">
        <v>1646.7811</v>
      </c>
      <c r="E2004" s="10" t="str">
        <f t="array" ref="E2004">IFS(D2004&lt;=$G$3,'calculated data '!$A$3,D2004&lt;=$G$4,'calculated data '!$A$4,D2004&lt;=$G$6,'calculated data '!$A$5,D2004&gt;=$G$6,'calculated data '!$A$6)</f>
        <v>Low Demand Tier</v>
      </c>
      <c r="F2004" s="10">
        <f t="shared" si="1"/>
        <v>-0.6195815893</v>
      </c>
    </row>
    <row r="2005" ht="14.25" customHeight="1">
      <c r="A2005" s="2" t="s">
        <v>97</v>
      </c>
      <c r="B2005" s="2" t="s">
        <v>98</v>
      </c>
      <c r="C2005" s="2">
        <v>2019.0</v>
      </c>
      <c r="D2005" s="9">
        <v>1650.032</v>
      </c>
      <c r="E2005" s="10" t="str">
        <f t="array" ref="E2005">IFS(D2005&lt;=$G$3,'calculated data '!$A$3,D2005&lt;=$G$4,'calculated data '!$A$4,D2005&lt;=$G$6,'calculated data '!$A$5,D2005&gt;=$G$6,'calculated data '!$A$6)</f>
        <v>Low Demand Tier</v>
      </c>
      <c r="F2005" s="10">
        <f t="shared" si="1"/>
        <v>-0.6194955388</v>
      </c>
    </row>
    <row r="2006" ht="14.25" customHeight="1">
      <c r="A2006" s="2" t="s">
        <v>181</v>
      </c>
      <c r="B2006" s="2" t="s">
        <v>182</v>
      </c>
      <c r="C2006" s="2">
        <v>1999.0</v>
      </c>
      <c r="D2006" s="9">
        <v>1652.0848</v>
      </c>
      <c r="E2006" s="10" t="str">
        <f t="array" ref="E2006">IFS(D2006&lt;=$G$3,'calculated data '!$A$3,D2006&lt;=$G$4,'calculated data '!$A$4,D2006&lt;=$G$6,'calculated data '!$A$5,D2006&gt;=$G$6,'calculated data '!$A$6)</f>
        <v>Low Demand Tier</v>
      </c>
      <c r="F2006" s="10">
        <f t="shared" si="1"/>
        <v>-0.6194412017</v>
      </c>
    </row>
    <row r="2007" ht="14.25" customHeight="1">
      <c r="A2007" s="2" t="s">
        <v>177</v>
      </c>
      <c r="B2007" s="2" t="s">
        <v>178</v>
      </c>
      <c r="C2007" s="2">
        <v>2022.0</v>
      </c>
      <c r="D2007" s="9">
        <v>1655.0284</v>
      </c>
      <c r="E2007" s="10" t="str">
        <f t="array" ref="E2007">IFS(D2007&lt;=$G$3,'calculated data '!$A$3,D2007&lt;=$G$4,'calculated data '!$A$4,D2007&lt;=$G$6,'calculated data '!$A$5,D2007&gt;=$G$6,'calculated data '!$A$6)</f>
        <v>Low Demand Tier</v>
      </c>
      <c r="F2007" s="10">
        <f t="shared" si="1"/>
        <v>-0.6193632853</v>
      </c>
    </row>
    <row r="2008" ht="14.25" customHeight="1">
      <c r="A2008" s="2" t="s">
        <v>97</v>
      </c>
      <c r="B2008" s="2" t="s">
        <v>98</v>
      </c>
      <c r="C2008" s="2">
        <v>2021.0</v>
      </c>
      <c r="D2008" s="9">
        <v>1655.6117</v>
      </c>
      <c r="E2008" s="10" t="str">
        <f t="array" ref="E2008">IFS(D2008&lt;=$G$3,'calculated data '!$A$3,D2008&lt;=$G$4,'calculated data '!$A$4,D2008&lt;=$G$6,'calculated data '!$A$5,D2008&gt;=$G$6,'calculated data '!$A$6)</f>
        <v>Low Demand Tier</v>
      </c>
      <c r="F2008" s="10">
        <f t="shared" si="1"/>
        <v>-0.6193478455</v>
      </c>
    </row>
    <row r="2009" ht="14.25" customHeight="1">
      <c r="A2009" s="2" t="s">
        <v>99</v>
      </c>
      <c r="B2009" s="2" t="s">
        <v>100</v>
      </c>
      <c r="C2009" s="2">
        <v>1988.0</v>
      </c>
      <c r="D2009" s="9">
        <v>1656.1415</v>
      </c>
      <c r="E2009" s="10" t="str">
        <f t="array" ref="E2009">IFS(D2009&lt;=$G$3,'calculated data '!$A$3,D2009&lt;=$G$4,'calculated data '!$A$4,D2009&lt;=$G$6,'calculated data '!$A$5,D2009&gt;=$G$6,'calculated data '!$A$6)</f>
        <v>Low Demand Tier</v>
      </c>
      <c r="F2009" s="10">
        <f t="shared" si="1"/>
        <v>-0.6193338219</v>
      </c>
    </row>
    <row r="2010" ht="14.25" customHeight="1">
      <c r="A2010" s="2" t="s">
        <v>181</v>
      </c>
      <c r="B2010" s="2" t="s">
        <v>182</v>
      </c>
      <c r="C2010" s="2">
        <v>1994.0</v>
      </c>
      <c r="D2010" s="9">
        <v>1658.5916</v>
      </c>
      <c r="E2010" s="10" t="str">
        <f t="array" ref="E2010">IFS(D2010&lt;=$G$3,'calculated data '!$A$3,D2010&lt;=$G$4,'calculated data '!$A$4,D2010&lt;=$G$6,'calculated data '!$A$5,D2010&gt;=$G$6,'calculated data '!$A$6)</f>
        <v>Low Demand Tier</v>
      </c>
      <c r="F2010" s="10">
        <f t="shared" si="1"/>
        <v>-0.6192689683</v>
      </c>
    </row>
    <row r="2011" ht="14.25" customHeight="1">
      <c r="A2011" s="2" t="s">
        <v>171</v>
      </c>
      <c r="B2011" s="2" t="s">
        <v>172</v>
      </c>
      <c r="C2011" s="2">
        <v>1982.0</v>
      </c>
      <c r="D2011" s="9">
        <v>1659.51</v>
      </c>
      <c r="E2011" s="10" t="str">
        <f t="array" ref="E2011">IFS(D2011&lt;=$G$3,'calculated data '!$A$3,D2011&lt;=$G$4,'calculated data '!$A$4,D2011&lt;=$G$6,'calculated data '!$A$5,D2011&gt;=$G$6,'calculated data '!$A$6)</f>
        <v>Low Demand Tier</v>
      </c>
      <c r="F2011" s="10">
        <f t="shared" si="1"/>
        <v>-0.6192446585</v>
      </c>
    </row>
    <row r="2012" ht="14.25" customHeight="1">
      <c r="A2012" s="2" t="s">
        <v>175</v>
      </c>
      <c r="B2012" s="2" t="s">
        <v>176</v>
      </c>
      <c r="C2012" s="2">
        <v>1980.0</v>
      </c>
      <c r="D2012" s="9">
        <v>1669.3373</v>
      </c>
      <c r="E2012" s="10" t="str">
        <f t="array" ref="E2012">IFS(D2012&lt;=$G$3,'calculated data '!$A$3,D2012&lt;=$G$4,'calculated data '!$A$4,D2012&lt;=$G$6,'calculated data '!$A$5,D2012&gt;=$G$6,'calculated data '!$A$6)</f>
        <v>Low Demand Tier</v>
      </c>
      <c r="F2012" s="10">
        <f t="shared" si="1"/>
        <v>-0.6189845323</v>
      </c>
    </row>
    <row r="2013" ht="14.25" customHeight="1">
      <c r="A2013" s="2" t="s">
        <v>171</v>
      </c>
      <c r="B2013" s="2" t="s">
        <v>172</v>
      </c>
      <c r="C2013" s="2">
        <v>1998.0</v>
      </c>
      <c r="D2013" s="9">
        <v>1670.6163</v>
      </c>
      <c r="E2013" s="10" t="str">
        <f t="array" ref="E2013">IFS(D2013&lt;=$G$3,'calculated data '!$A$3,D2013&lt;=$G$4,'calculated data '!$A$4,D2013&lt;=$G$6,'calculated data '!$A$5,D2013&gt;=$G$6,'calculated data '!$A$6)</f>
        <v>Low Demand Tier</v>
      </c>
      <c r="F2013" s="10">
        <f t="shared" si="1"/>
        <v>-0.6189506775</v>
      </c>
    </row>
    <row r="2014" ht="14.25" customHeight="1">
      <c r="A2014" s="2" t="s">
        <v>133</v>
      </c>
      <c r="B2014" s="2" t="s">
        <v>134</v>
      </c>
      <c r="C2014" s="2">
        <v>1996.0</v>
      </c>
      <c r="D2014" s="9">
        <v>1671.3932</v>
      </c>
      <c r="E2014" s="10" t="str">
        <f t="array" ref="E2014">IFS(D2014&lt;=$G$3,'calculated data '!$A$3,D2014&lt;=$G$4,'calculated data '!$A$4,D2014&lt;=$G$6,'calculated data '!$A$5,D2014&gt;=$G$6,'calculated data '!$A$6)</f>
        <v>Low Demand Tier</v>
      </c>
      <c r="F2014" s="10">
        <f t="shared" si="1"/>
        <v>-0.6189301132</v>
      </c>
    </row>
    <row r="2015" ht="14.25" customHeight="1">
      <c r="A2015" s="2" t="s">
        <v>153</v>
      </c>
      <c r="B2015" s="2" t="s">
        <v>154</v>
      </c>
      <c r="C2015" s="2">
        <v>2015.0</v>
      </c>
      <c r="D2015" s="9">
        <v>1671.8329</v>
      </c>
      <c r="E2015" s="10" t="str">
        <f t="array" ref="E2015">IFS(D2015&lt;=$G$3,'calculated data '!$A$3,D2015&lt;=$G$4,'calculated data '!$A$4,D2015&lt;=$G$6,'calculated data '!$A$5,D2015&gt;=$G$6,'calculated data '!$A$6)</f>
        <v>Low Demand Tier</v>
      </c>
      <c r="F2015" s="10">
        <f t="shared" si="1"/>
        <v>-0.6189184744</v>
      </c>
    </row>
    <row r="2016" ht="14.25" customHeight="1">
      <c r="A2016" s="2" t="s">
        <v>177</v>
      </c>
      <c r="B2016" s="2" t="s">
        <v>178</v>
      </c>
      <c r="C2016" s="2">
        <v>2015.0</v>
      </c>
      <c r="D2016" s="9">
        <v>1674.8418</v>
      </c>
      <c r="E2016" s="10" t="str">
        <f t="array" ref="E2016">IFS(D2016&lt;=$G$3,'calculated data '!$A$3,D2016&lt;=$G$4,'calculated data '!$A$4,D2016&lt;=$G$6,'calculated data '!$A$5,D2016&gt;=$G$6,'calculated data '!$A$6)</f>
        <v>Low Demand Tier</v>
      </c>
      <c r="F2016" s="10">
        <f t="shared" si="1"/>
        <v>-0.6188388296</v>
      </c>
    </row>
    <row r="2017" ht="14.25" customHeight="1">
      <c r="A2017" s="2" t="s">
        <v>171</v>
      </c>
      <c r="B2017" s="2" t="s">
        <v>172</v>
      </c>
      <c r="C2017" s="2">
        <v>1987.0</v>
      </c>
      <c r="D2017" s="9">
        <v>1674.9998</v>
      </c>
      <c r="E2017" s="10" t="str">
        <f t="array" ref="E2017">IFS(D2017&lt;=$G$3,'calculated data '!$A$3,D2017&lt;=$G$4,'calculated data '!$A$4,D2017&lt;=$G$6,'calculated data '!$A$5,D2017&gt;=$G$6,'calculated data '!$A$6)</f>
        <v>Low Demand Tier</v>
      </c>
      <c r="F2017" s="10">
        <f t="shared" si="1"/>
        <v>-0.6188346474</v>
      </c>
    </row>
    <row r="2018" ht="14.25" customHeight="1">
      <c r="A2018" s="2" t="s">
        <v>153</v>
      </c>
      <c r="B2018" s="2" t="s">
        <v>154</v>
      </c>
      <c r="C2018" s="2">
        <v>2024.0</v>
      </c>
      <c r="D2018" s="9">
        <v>1676.7908</v>
      </c>
      <c r="E2018" s="10" t="str">
        <f t="array" ref="E2018">IFS(D2018&lt;=$G$3,'calculated data '!$A$3,D2018&lt;=$G$4,'calculated data '!$A$4,D2018&lt;=$G$6,'calculated data '!$A$5,D2018&gt;=$G$6,'calculated data '!$A$6)</f>
        <v>Low Demand Tier</v>
      </c>
      <c r="F2018" s="10">
        <f t="shared" si="1"/>
        <v>-0.61878724</v>
      </c>
    </row>
    <row r="2019" ht="14.25" customHeight="1">
      <c r="A2019" s="2" t="s">
        <v>153</v>
      </c>
      <c r="B2019" s="2" t="s">
        <v>154</v>
      </c>
      <c r="C2019" s="2">
        <v>2019.0</v>
      </c>
      <c r="D2019" s="9">
        <v>1678.614</v>
      </c>
      <c r="E2019" s="10" t="str">
        <f t="array" ref="E2019">IFS(D2019&lt;=$G$3,'calculated data '!$A$3,D2019&lt;=$G$4,'calculated data '!$A$4,D2019&lt;=$G$6,'calculated data '!$A$5,D2019&gt;=$G$6,'calculated data '!$A$6)</f>
        <v>Low Demand Tier</v>
      </c>
      <c r="F2019" s="10">
        <f t="shared" si="1"/>
        <v>-0.6187389804</v>
      </c>
    </row>
    <row r="2020" ht="14.25" customHeight="1">
      <c r="A2020" s="2" t="s">
        <v>175</v>
      </c>
      <c r="B2020" s="2" t="s">
        <v>176</v>
      </c>
      <c r="C2020" s="2">
        <v>1969.0</v>
      </c>
      <c r="D2020" s="9">
        <v>1679.2612</v>
      </c>
      <c r="E2020" s="10" t="str">
        <f t="array" ref="E2020">IFS(D2020&lt;=$G$3,'calculated data '!$A$3,D2020&lt;=$G$4,'calculated data '!$A$4,D2020&lt;=$G$6,'calculated data '!$A$5,D2020&gt;=$G$6,'calculated data '!$A$6)</f>
        <v>Low Demand Tier</v>
      </c>
      <c r="F2020" s="10">
        <f t="shared" si="1"/>
        <v>-0.6187218492</v>
      </c>
    </row>
    <row r="2021" ht="14.25" customHeight="1">
      <c r="A2021" s="2" t="s">
        <v>59</v>
      </c>
      <c r="B2021" s="2" t="s">
        <v>60</v>
      </c>
      <c r="C2021" s="2">
        <v>2023.0</v>
      </c>
      <c r="D2021" s="9">
        <v>1679.4807</v>
      </c>
      <c r="E2021" s="10" t="str">
        <f t="array" ref="E2021">IFS(D2021&lt;=$G$3,'calculated data '!$A$3,D2021&lt;=$G$4,'calculated data '!$A$4,D2021&lt;=$G$6,'calculated data '!$A$5,D2021&gt;=$G$6,'calculated data '!$A$6)</f>
        <v>Low Demand Tier</v>
      </c>
      <c r="F2021" s="10">
        <f t="shared" si="1"/>
        <v>-0.6187160391</v>
      </c>
    </row>
    <row r="2022" ht="14.25" customHeight="1">
      <c r="A2022" s="2" t="s">
        <v>187</v>
      </c>
      <c r="B2022" s="2" t="s">
        <v>188</v>
      </c>
      <c r="C2022" s="2">
        <v>1998.0</v>
      </c>
      <c r="D2022" s="9">
        <v>1679.8167</v>
      </c>
      <c r="E2022" s="10" t="str">
        <f t="array" ref="E2022">IFS(D2022&lt;=$G$3,'calculated data '!$A$3,D2022&lt;=$G$4,'calculated data '!$A$4,D2022&lt;=$G$6,'calculated data '!$A$5,D2022&gt;=$G$6,'calculated data '!$A$6)</f>
        <v>Low Demand Tier</v>
      </c>
      <c r="F2022" s="10">
        <f t="shared" si="1"/>
        <v>-0.6187071452</v>
      </c>
    </row>
    <row r="2023" ht="14.25" customHeight="1">
      <c r="A2023" s="2" t="s">
        <v>87</v>
      </c>
      <c r="B2023" s="2" t="s">
        <v>88</v>
      </c>
      <c r="C2023" s="2">
        <v>2024.0</v>
      </c>
      <c r="D2023" s="9">
        <v>1681.6976</v>
      </c>
      <c r="E2023" s="10" t="str">
        <f t="array" ref="E2023">IFS(D2023&lt;=$G$3,'calculated data '!$A$3,D2023&lt;=$G$4,'calculated data '!$A$4,D2023&lt;=$G$6,'calculated data '!$A$5,D2023&gt;=$G$6,'calculated data '!$A$6)</f>
        <v>Low Demand Tier</v>
      </c>
      <c r="F2023" s="10">
        <f t="shared" si="1"/>
        <v>-0.6186573583</v>
      </c>
    </row>
    <row r="2024" ht="14.25" customHeight="1">
      <c r="A2024" s="2" t="s">
        <v>97</v>
      </c>
      <c r="B2024" s="2" t="s">
        <v>98</v>
      </c>
      <c r="C2024" s="2">
        <v>2023.0</v>
      </c>
      <c r="D2024" s="9">
        <v>1684.5072</v>
      </c>
      <c r="E2024" s="10" t="str">
        <f t="array" ref="E2024">IFS(D2024&lt;=$G$3,'calculated data '!$A$3,D2024&lt;=$G$4,'calculated data '!$A$4,D2024&lt;=$G$6,'calculated data '!$A$5,D2024&gt;=$G$6,'calculated data '!$A$6)</f>
        <v>Low Demand Tier</v>
      </c>
      <c r="F2024" s="10">
        <f t="shared" si="1"/>
        <v>-0.6185829889</v>
      </c>
    </row>
    <row r="2025" ht="14.25" customHeight="1">
      <c r="A2025" s="2" t="s">
        <v>151</v>
      </c>
      <c r="B2025" s="2" t="s">
        <v>152</v>
      </c>
      <c r="C2025" s="2">
        <v>1981.0</v>
      </c>
      <c r="D2025" s="9">
        <v>1688.7014</v>
      </c>
      <c r="E2025" s="10" t="str">
        <f t="array" ref="E2025">IFS(D2025&lt;=$G$3,'calculated data '!$A$3,D2025&lt;=$G$4,'calculated data '!$A$4,D2025&lt;=$G$6,'calculated data '!$A$5,D2025&gt;=$G$6,'calculated data '!$A$6)</f>
        <v>Low Demand Tier</v>
      </c>
      <c r="F2025" s="10">
        <f t="shared" si="1"/>
        <v>-0.6184719694</v>
      </c>
    </row>
    <row r="2026" ht="14.25" customHeight="1">
      <c r="A2026" s="2" t="s">
        <v>187</v>
      </c>
      <c r="B2026" s="2" t="s">
        <v>188</v>
      </c>
      <c r="C2026" s="2">
        <v>2021.0</v>
      </c>
      <c r="D2026" s="9">
        <v>1691.5748</v>
      </c>
      <c r="E2026" s="10" t="str">
        <f t="array" ref="E2026">IFS(D2026&lt;=$G$3,'calculated data '!$A$3,D2026&lt;=$G$4,'calculated data '!$A$4,D2026&lt;=$G$6,'calculated data '!$A$5,D2026&gt;=$G$6,'calculated data '!$A$6)</f>
        <v>Low Demand Tier</v>
      </c>
      <c r="F2026" s="10">
        <f t="shared" si="1"/>
        <v>-0.6183959112</v>
      </c>
    </row>
    <row r="2027" ht="14.25" customHeight="1">
      <c r="A2027" s="2" t="s">
        <v>145</v>
      </c>
      <c r="B2027" s="2" t="s">
        <v>146</v>
      </c>
      <c r="C2027" s="2">
        <v>1988.0</v>
      </c>
      <c r="D2027" s="9">
        <v>1692.5928</v>
      </c>
      <c r="E2027" s="10" t="str">
        <f t="array" ref="E2027">IFS(D2027&lt;=$G$3,'calculated data '!$A$3,D2027&lt;=$G$4,'calculated data '!$A$4,D2027&lt;=$G$6,'calculated data '!$A$5,D2027&gt;=$G$6,'calculated data '!$A$6)</f>
        <v>Low Demand Tier</v>
      </c>
      <c r="F2027" s="10">
        <f t="shared" si="1"/>
        <v>-0.618368965</v>
      </c>
    </row>
    <row r="2028" ht="14.25" customHeight="1">
      <c r="A2028" s="2" t="s">
        <v>151</v>
      </c>
      <c r="B2028" s="2" t="s">
        <v>152</v>
      </c>
      <c r="C2028" s="2">
        <v>1982.0</v>
      </c>
      <c r="D2028" s="9">
        <v>1692.9355</v>
      </c>
      <c r="E2028" s="10" t="str">
        <f t="array" ref="E2028">IFS(D2028&lt;=$G$3,'calculated data '!$A$3,D2028&lt;=$G$4,'calculated data '!$A$4,D2028&lt;=$G$6,'calculated data '!$A$5,D2028&gt;=$G$6,'calculated data '!$A$6)</f>
        <v>Low Demand Tier</v>
      </c>
      <c r="F2028" s="10">
        <f t="shared" si="1"/>
        <v>-0.6183598939</v>
      </c>
    </row>
    <row r="2029" ht="14.25" customHeight="1">
      <c r="A2029" s="2" t="s">
        <v>159</v>
      </c>
      <c r="B2029" s="2" t="s">
        <v>160</v>
      </c>
      <c r="C2029" s="2">
        <v>1968.0</v>
      </c>
      <c r="D2029" s="9">
        <v>1699.33</v>
      </c>
      <c r="E2029" s="10" t="str">
        <f t="array" ref="E2029">IFS(D2029&lt;=$G$3,'calculated data '!$A$3,D2029&lt;=$G$4,'calculated data '!$A$4,D2029&lt;=$G$6,'calculated data '!$A$5,D2029&gt;=$G$6,'calculated data '!$A$6)</f>
        <v>Low Demand Tier</v>
      </c>
      <c r="F2029" s="10">
        <f t="shared" si="1"/>
        <v>-0.618190633</v>
      </c>
    </row>
    <row r="2030" ht="14.25" customHeight="1">
      <c r="A2030" s="2" t="s">
        <v>131</v>
      </c>
      <c r="B2030" s="2" t="s">
        <v>132</v>
      </c>
      <c r="C2030" s="2">
        <v>2016.0</v>
      </c>
      <c r="D2030" s="9">
        <v>1701.149</v>
      </c>
      <c r="E2030" s="10" t="str">
        <f t="array" ref="E2030">IFS(D2030&lt;=$G$3,'calculated data '!$A$3,D2030&lt;=$G$4,'calculated data '!$A$4,D2030&lt;=$G$6,'calculated data '!$A$5,D2030&gt;=$G$6,'calculated data '!$A$6)</f>
        <v>Low Demand Tier</v>
      </c>
      <c r="F2030" s="10">
        <f t="shared" si="1"/>
        <v>-0.6181424846</v>
      </c>
    </row>
    <row r="2031" ht="14.25" customHeight="1">
      <c r="A2031" s="2" t="s">
        <v>153</v>
      </c>
      <c r="B2031" s="2" t="s">
        <v>154</v>
      </c>
      <c r="C2031" s="2">
        <v>1980.0</v>
      </c>
      <c r="D2031" s="9">
        <v>1702.3232</v>
      </c>
      <c r="E2031" s="10" t="str">
        <f t="array" ref="E2031">IFS(D2031&lt;=$G$3,'calculated data '!$A$3,D2031&lt;=$G$4,'calculated data '!$A$4,D2031&lt;=$G$6,'calculated data '!$A$5,D2031&gt;=$G$6,'calculated data '!$A$6)</f>
        <v>Low Demand Tier</v>
      </c>
      <c r="F2031" s="10">
        <f t="shared" si="1"/>
        <v>-0.6181114038</v>
      </c>
    </row>
    <row r="2032" ht="14.25" customHeight="1">
      <c r="A2032" s="2" t="s">
        <v>131</v>
      </c>
      <c r="B2032" s="2" t="s">
        <v>132</v>
      </c>
      <c r="C2032" s="2">
        <v>2017.0</v>
      </c>
      <c r="D2032" s="9">
        <v>1702.6866</v>
      </c>
      <c r="E2032" s="10" t="str">
        <f t="array" ref="E2032">IFS(D2032&lt;=$G$3,'calculated data '!$A$3,D2032&lt;=$G$4,'calculated data '!$A$4,D2032&lt;=$G$6,'calculated data '!$A$5,D2032&gt;=$G$6,'calculated data '!$A$6)</f>
        <v>Low Demand Tier</v>
      </c>
      <c r="F2032" s="10">
        <f t="shared" si="1"/>
        <v>-0.6181017847</v>
      </c>
    </row>
    <row r="2033" ht="14.25" customHeight="1">
      <c r="A2033" s="2" t="s">
        <v>123</v>
      </c>
      <c r="B2033" s="2" t="s">
        <v>124</v>
      </c>
      <c r="C2033" s="2">
        <v>2021.0</v>
      </c>
      <c r="D2033" s="9">
        <v>1703.644</v>
      </c>
      <c r="E2033" s="10" t="str">
        <f t="array" ref="E2033">IFS(D2033&lt;=$G$3,'calculated data '!$A$3,D2033&lt;=$G$4,'calculated data '!$A$4,D2033&lt;=$G$6,'calculated data '!$A$5,D2033&gt;=$G$6,'calculated data '!$A$6)</f>
        <v>Low Demand Tier</v>
      </c>
      <c r="F2033" s="10">
        <f t="shared" si="1"/>
        <v>-0.6180764425</v>
      </c>
    </row>
    <row r="2034" ht="14.25" customHeight="1">
      <c r="A2034" s="2" t="s">
        <v>171</v>
      </c>
      <c r="B2034" s="2" t="s">
        <v>172</v>
      </c>
      <c r="C2034" s="2">
        <v>1981.0</v>
      </c>
      <c r="D2034" s="9">
        <v>1703.7286</v>
      </c>
      <c r="E2034" s="10" t="str">
        <f t="array" ref="E2034">IFS(D2034&lt;=$G$3,'calculated data '!$A$3,D2034&lt;=$G$4,'calculated data '!$A$4,D2034&lt;=$G$6,'calculated data '!$A$5,D2034&gt;=$G$6,'calculated data '!$A$6)</f>
        <v>Low Demand Tier</v>
      </c>
      <c r="F2034" s="10">
        <f t="shared" si="1"/>
        <v>-0.6180742032</v>
      </c>
    </row>
    <row r="2035" ht="14.25" customHeight="1">
      <c r="A2035" s="2" t="s">
        <v>171</v>
      </c>
      <c r="B2035" s="2" t="s">
        <v>172</v>
      </c>
      <c r="C2035" s="2">
        <v>1986.0</v>
      </c>
      <c r="D2035" s="9">
        <v>1703.952</v>
      </c>
      <c r="E2035" s="10" t="str">
        <f t="array" ref="E2035">IFS(D2035&lt;=$G$3,'calculated data '!$A$3,D2035&lt;=$G$4,'calculated data '!$A$4,D2035&lt;=$G$6,'calculated data '!$A$5,D2035&gt;=$G$6,'calculated data '!$A$6)</f>
        <v>Low Demand Tier</v>
      </c>
      <c r="F2035" s="10">
        <f t="shared" si="1"/>
        <v>-0.6180682898</v>
      </c>
    </row>
    <row r="2036" ht="14.25" customHeight="1">
      <c r="A2036" s="2" t="s">
        <v>79</v>
      </c>
      <c r="B2036" s="2" t="s">
        <v>80</v>
      </c>
      <c r="C2036" s="2">
        <v>2012.0</v>
      </c>
      <c r="D2036" s="9">
        <v>1703.96</v>
      </c>
      <c r="E2036" s="10" t="str">
        <f t="array" ref="E2036">IFS(D2036&lt;=$G$3,'calculated data '!$A$3,D2036&lt;=$G$4,'calculated data '!$A$4,D2036&lt;=$G$6,'calculated data '!$A$5,D2036&gt;=$G$6,'calculated data '!$A$6)</f>
        <v>Low Demand Tier</v>
      </c>
      <c r="F2036" s="10">
        <f t="shared" si="1"/>
        <v>-0.6180680781</v>
      </c>
    </row>
    <row r="2037" ht="14.25" customHeight="1">
      <c r="A2037" s="2" t="s">
        <v>167</v>
      </c>
      <c r="B2037" s="2" t="s">
        <v>168</v>
      </c>
      <c r="C2037" s="2">
        <v>2000.0</v>
      </c>
      <c r="D2037" s="9">
        <v>1704.0754</v>
      </c>
      <c r="E2037" s="10" t="str">
        <f t="array" ref="E2037">IFS(D2037&lt;=$G$3,'calculated data '!$A$3,D2037&lt;=$G$4,'calculated data '!$A$4,D2037&lt;=$G$6,'calculated data '!$A$5,D2037&gt;=$G$6,'calculated data '!$A$6)</f>
        <v>Low Demand Tier</v>
      </c>
      <c r="F2037" s="10">
        <f t="shared" si="1"/>
        <v>-0.6180650235</v>
      </c>
    </row>
    <row r="2038" ht="14.25" customHeight="1">
      <c r="A2038" s="2" t="s">
        <v>155</v>
      </c>
      <c r="B2038" s="2" t="s">
        <v>156</v>
      </c>
      <c r="C2038" s="2">
        <v>2010.0</v>
      </c>
      <c r="D2038" s="9">
        <v>1706.0151</v>
      </c>
      <c r="E2038" s="10" t="str">
        <f t="array" ref="E2038">IFS(D2038&lt;=$G$3,'calculated data '!$A$3,D2038&lt;=$G$4,'calculated data '!$A$4,D2038&lt;=$G$6,'calculated data '!$A$5,D2038&gt;=$G$6,'calculated data '!$A$6)</f>
        <v>Low Demand Tier</v>
      </c>
      <c r="F2038" s="10">
        <f t="shared" si="1"/>
        <v>-0.6180136801</v>
      </c>
    </row>
    <row r="2039" ht="14.25" customHeight="1">
      <c r="A2039" s="2" t="s">
        <v>177</v>
      </c>
      <c r="B2039" s="2" t="s">
        <v>178</v>
      </c>
      <c r="C2039" s="2">
        <v>2020.0</v>
      </c>
      <c r="D2039" s="9">
        <v>1708.1807</v>
      </c>
      <c r="E2039" s="10" t="str">
        <f t="array" ref="E2039">IFS(D2039&lt;=$G$3,'calculated data '!$A$3,D2039&lt;=$G$4,'calculated data '!$A$4,D2039&lt;=$G$6,'calculated data '!$A$5,D2039&gt;=$G$6,'calculated data '!$A$6)</f>
        <v>Low Demand Tier</v>
      </c>
      <c r="F2039" s="10">
        <f t="shared" si="1"/>
        <v>-0.6179563572</v>
      </c>
    </row>
    <row r="2040" ht="14.25" customHeight="1">
      <c r="A2040" s="2" t="s">
        <v>171</v>
      </c>
      <c r="B2040" s="2" t="s">
        <v>172</v>
      </c>
      <c r="C2040" s="2">
        <v>1985.0</v>
      </c>
      <c r="D2040" s="9">
        <v>1708.6787</v>
      </c>
      <c r="E2040" s="10" t="str">
        <f t="array" ref="E2040">IFS(D2040&lt;=$G$3,'calculated data '!$A$3,D2040&lt;=$G$4,'calculated data '!$A$4,D2040&lt;=$G$6,'calculated data '!$A$5,D2040&gt;=$G$6,'calculated data '!$A$6)</f>
        <v>Low Demand Tier</v>
      </c>
      <c r="F2040" s="10">
        <f t="shared" si="1"/>
        <v>-0.6179431753</v>
      </c>
    </row>
    <row r="2041" ht="14.25" customHeight="1">
      <c r="A2041" s="2" t="s">
        <v>145</v>
      </c>
      <c r="B2041" s="2" t="s">
        <v>146</v>
      </c>
      <c r="C2041" s="2">
        <v>1980.0</v>
      </c>
      <c r="D2041" s="9">
        <v>1709.1973</v>
      </c>
      <c r="E2041" s="10" t="str">
        <f t="array" ref="E2041">IFS(D2041&lt;=$G$3,'calculated data '!$A$3,D2041&lt;=$G$4,'calculated data '!$A$4,D2041&lt;=$G$6,'calculated data '!$A$5,D2041&gt;=$G$6,'calculated data '!$A$6)</f>
        <v>Low Demand Tier</v>
      </c>
      <c r="F2041" s="10">
        <f t="shared" si="1"/>
        <v>-0.6179294481</v>
      </c>
    </row>
    <row r="2042" ht="14.25" customHeight="1">
      <c r="A2042" s="2" t="s">
        <v>145</v>
      </c>
      <c r="B2042" s="2" t="s">
        <v>146</v>
      </c>
      <c r="C2042" s="2">
        <v>1991.0</v>
      </c>
      <c r="D2042" s="9">
        <v>1709.6682</v>
      </c>
      <c r="E2042" s="10" t="str">
        <f t="array" ref="E2042">IFS(D2042&lt;=$G$3,'calculated data '!$A$3,D2042&lt;=$G$4,'calculated data '!$A$4,D2042&lt;=$G$6,'calculated data '!$A$5,D2042&gt;=$G$6,'calculated data '!$A$6)</f>
        <v>Low Demand Tier</v>
      </c>
      <c r="F2042" s="10">
        <f t="shared" si="1"/>
        <v>-0.6179169835</v>
      </c>
    </row>
    <row r="2043" ht="14.25" customHeight="1">
      <c r="A2043" s="2" t="s">
        <v>145</v>
      </c>
      <c r="B2043" s="2" t="s">
        <v>146</v>
      </c>
      <c r="C2043" s="2">
        <v>1982.0</v>
      </c>
      <c r="D2043" s="9">
        <v>1713.52</v>
      </c>
      <c r="E2043" s="10" t="str">
        <f t="array" ref="E2043">IFS(D2043&lt;=$G$3,'calculated data '!$A$3,D2043&lt;=$G$4,'calculated data '!$A$4,D2043&lt;=$G$6,'calculated data '!$A$5,D2043&gt;=$G$6,'calculated data '!$A$6)</f>
        <v>Low Demand Tier</v>
      </c>
      <c r="F2043" s="10">
        <f t="shared" si="1"/>
        <v>-0.6178150273</v>
      </c>
    </row>
    <row r="2044" ht="14.25" customHeight="1">
      <c r="A2044" s="2" t="s">
        <v>173</v>
      </c>
      <c r="B2044" s="2" t="s">
        <v>174</v>
      </c>
      <c r="C2044" s="2">
        <v>2012.0</v>
      </c>
      <c r="D2044" s="9">
        <v>1713.8406</v>
      </c>
      <c r="E2044" s="10" t="str">
        <f t="array" ref="E2044">IFS(D2044&lt;=$G$3,'calculated data '!$A$3,D2044&lt;=$G$4,'calculated data '!$A$4,D2044&lt;=$G$6,'calculated data '!$A$5,D2044&gt;=$G$6,'calculated data '!$A$6)</f>
        <v>Low Demand Tier</v>
      </c>
      <c r="F2044" s="10">
        <f t="shared" si="1"/>
        <v>-0.6178065411</v>
      </c>
    </row>
    <row r="2045" ht="14.25" customHeight="1">
      <c r="A2045" s="2" t="s">
        <v>173</v>
      </c>
      <c r="B2045" s="2" t="s">
        <v>174</v>
      </c>
      <c r="C2045" s="2">
        <v>2002.0</v>
      </c>
      <c r="D2045" s="9">
        <v>1715.6914</v>
      </c>
      <c r="E2045" s="10" t="str">
        <f t="array" ref="E2045">IFS(D2045&lt;=$G$3,'calculated data '!$A$3,D2045&lt;=$G$4,'calculated data '!$A$4,D2045&lt;=$G$6,'calculated data '!$A$5,D2045&gt;=$G$6,'calculated data '!$A$6)</f>
        <v>Low Demand Tier</v>
      </c>
      <c r="F2045" s="10">
        <f t="shared" si="1"/>
        <v>-0.6177575508</v>
      </c>
    </row>
    <row r="2046" ht="14.25" customHeight="1">
      <c r="A2046" s="2" t="s">
        <v>123</v>
      </c>
      <c r="B2046" s="2" t="s">
        <v>124</v>
      </c>
      <c r="C2046" s="2">
        <v>2020.0</v>
      </c>
      <c r="D2046" s="9">
        <v>1715.8545</v>
      </c>
      <c r="E2046" s="10" t="str">
        <f t="array" ref="E2046">IFS(D2046&lt;=$G$3,'calculated data '!$A$3,D2046&lt;=$G$4,'calculated data '!$A$4,D2046&lt;=$G$6,'calculated data '!$A$5,D2046&gt;=$G$6,'calculated data '!$A$6)</f>
        <v>Low Demand Tier</v>
      </c>
      <c r="F2046" s="10">
        <f t="shared" si="1"/>
        <v>-0.6177532336</v>
      </c>
    </row>
    <row r="2047" ht="14.25" customHeight="1">
      <c r="A2047" s="2" t="s">
        <v>155</v>
      </c>
      <c r="B2047" s="2" t="s">
        <v>156</v>
      </c>
      <c r="C2047" s="2">
        <v>2009.0</v>
      </c>
      <c r="D2047" s="9">
        <v>1718.3467</v>
      </c>
      <c r="E2047" s="10" t="str">
        <f t="array" ref="E2047">IFS(D2047&lt;=$G$3,'calculated data '!$A$3,D2047&lt;=$G$4,'calculated data '!$A$4,D2047&lt;=$G$6,'calculated data '!$A$5,D2047&gt;=$G$6,'calculated data '!$A$6)</f>
        <v>Low Demand Tier</v>
      </c>
      <c r="F2047" s="10">
        <f t="shared" si="1"/>
        <v>-0.6176872657</v>
      </c>
    </row>
    <row r="2048" ht="14.25" customHeight="1">
      <c r="A2048" s="2" t="s">
        <v>165</v>
      </c>
      <c r="B2048" s="2" t="s">
        <v>166</v>
      </c>
      <c r="C2048" s="2">
        <v>1982.0</v>
      </c>
      <c r="D2048" s="9">
        <v>1719.9318</v>
      </c>
      <c r="E2048" s="10" t="str">
        <f t="array" ref="E2048">IFS(D2048&lt;=$G$3,'calculated data '!$A$3,D2048&lt;=$G$4,'calculated data '!$A$4,D2048&lt;=$G$6,'calculated data '!$A$5,D2048&gt;=$G$6,'calculated data '!$A$6)</f>
        <v>Low Demand Tier</v>
      </c>
      <c r="F2048" s="10">
        <f t="shared" si="1"/>
        <v>-0.6176453085</v>
      </c>
    </row>
    <row r="2049" ht="14.25" customHeight="1">
      <c r="A2049" s="2" t="s">
        <v>97</v>
      </c>
      <c r="B2049" s="2" t="s">
        <v>98</v>
      </c>
      <c r="C2049" s="2">
        <v>2022.0</v>
      </c>
      <c r="D2049" s="9">
        <v>1721.4897</v>
      </c>
      <c r="E2049" s="10" t="str">
        <f t="array" ref="E2049">IFS(D2049&lt;=$G$3,'calculated data '!$A$3,D2049&lt;=$G$4,'calculated data '!$A$4,D2049&lt;=$G$6,'calculated data '!$A$5,D2049&gt;=$G$6,'calculated data '!$A$6)</f>
        <v>Low Demand Tier</v>
      </c>
      <c r="F2049" s="10">
        <f t="shared" si="1"/>
        <v>-0.6176040713</v>
      </c>
    </row>
    <row r="2050" ht="14.25" customHeight="1">
      <c r="A2050" s="2" t="s">
        <v>175</v>
      </c>
      <c r="B2050" s="2" t="s">
        <v>176</v>
      </c>
      <c r="C2050" s="2">
        <v>1968.0</v>
      </c>
      <c r="D2050" s="9">
        <v>1725.1692</v>
      </c>
      <c r="E2050" s="10" t="str">
        <f t="array" ref="E2050">IFS(D2050&lt;=$G$3,'calculated data '!$A$3,D2050&lt;=$G$4,'calculated data '!$A$4,D2050&lt;=$G$6,'calculated data '!$A$5,D2050&gt;=$G$6,'calculated data '!$A$6)</f>
        <v>Low Demand Tier</v>
      </c>
      <c r="F2050" s="10">
        <f t="shared" si="1"/>
        <v>-0.6175066758</v>
      </c>
    </row>
    <row r="2051" ht="14.25" customHeight="1">
      <c r="A2051" s="2" t="s">
        <v>79</v>
      </c>
      <c r="B2051" s="2" t="s">
        <v>80</v>
      </c>
      <c r="C2051" s="2">
        <v>2013.0</v>
      </c>
      <c r="D2051" s="9">
        <v>1725.2976</v>
      </c>
      <c r="E2051" s="10" t="str">
        <f t="array" ref="E2051">IFS(D2051&lt;=$G$3,'calculated data '!$A$3,D2051&lt;=$G$4,'calculated data '!$A$4,D2051&lt;=$G$6,'calculated data '!$A$5,D2051&gt;=$G$6,'calculated data '!$A$6)</f>
        <v>Low Demand Tier</v>
      </c>
      <c r="F2051" s="10">
        <f t="shared" si="1"/>
        <v>-0.6175032771</v>
      </c>
    </row>
    <row r="2052" ht="14.25" customHeight="1">
      <c r="A2052" s="2" t="s">
        <v>151</v>
      </c>
      <c r="B2052" s="2" t="s">
        <v>152</v>
      </c>
      <c r="C2052" s="2">
        <v>1983.0</v>
      </c>
      <c r="D2052" s="9">
        <v>1725.3019</v>
      </c>
      <c r="E2052" s="10" t="str">
        <f t="array" ref="E2052">IFS(D2052&lt;=$G$3,'calculated data '!$A$3,D2052&lt;=$G$4,'calculated data '!$A$4,D2052&lt;=$G$6,'calculated data '!$A$5,D2052&gt;=$G$6,'calculated data '!$A$6)</f>
        <v>Low Demand Tier</v>
      </c>
      <c r="F2052" s="10">
        <f t="shared" si="1"/>
        <v>-0.6175031633</v>
      </c>
    </row>
    <row r="2053" ht="14.25" customHeight="1">
      <c r="A2053" s="2" t="s">
        <v>139</v>
      </c>
      <c r="B2053" s="2" t="s">
        <v>140</v>
      </c>
      <c r="C2053" s="2">
        <v>1994.0</v>
      </c>
      <c r="D2053" s="9">
        <v>1725.3722</v>
      </c>
      <c r="E2053" s="10" t="str">
        <f t="array" ref="E2053">IFS(D2053&lt;=$G$3,'calculated data '!$A$3,D2053&lt;=$G$4,'calculated data '!$A$4,D2053&lt;=$G$6,'calculated data '!$A$5,D2053&gt;=$G$6,'calculated data '!$A$6)</f>
        <v>Low Demand Tier</v>
      </c>
      <c r="F2053" s="10">
        <f t="shared" si="1"/>
        <v>-0.6175013025</v>
      </c>
    </row>
    <row r="2054" ht="14.25" customHeight="1">
      <c r="A2054" s="2" t="s">
        <v>155</v>
      </c>
      <c r="B2054" s="2" t="s">
        <v>156</v>
      </c>
      <c r="C2054" s="2">
        <v>2003.0</v>
      </c>
      <c r="D2054" s="9">
        <v>1725.7385</v>
      </c>
      <c r="E2054" s="10" t="str">
        <f t="array" ref="E2054">IFS(D2054&lt;=$G$3,'calculated data '!$A$3,D2054&lt;=$G$4,'calculated data '!$A$4,D2054&lt;=$G$6,'calculated data '!$A$5,D2054&gt;=$G$6,'calculated data '!$A$6)</f>
        <v>Low Demand Tier</v>
      </c>
      <c r="F2054" s="10">
        <f t="shared" si="1"/>
        <v>-0.6174916066</v>
      </c>
    </row>
    <row r="2055" ht="14.25" customHeight="1">
      <c r="A2055" s="2" t="s">
        <v>153</v>
      </c>
      <c r="B2055" s="2" t="s">
        <v>154</v>
      </c>
      <c r="C2055" s="2">
        <v>2017.0</v>
      </c>
      <c r="D2055" s="9">
        <v>1727.4929</v>
      </c>
      <c r="E2055" s="10" t="str">
        <f t="array" ref="E2055">IFS(D2055&lt;=$G$3,'calculated data '!$A$3,D2055&lt;=$G$4,'calculated data '!$A$4,D2055&lt;=$G$6,'calculated data '!$A$5,D2055&gt;=$G$6,'calculated data '!$A$6)</f>
        <v>Low Demand Tier</v>
      </c>
      <c r="F2055" s="10">
        <f t="shared" si="1"/>
        <v>-0.6174451681</v>
      </c>
    </row>
    <row r="2056" ht="14.25" customHeight="1">
      <c r="A2056" s="2" t="s">
        <v>187</v>
      </c>
      <c r="B2056" s="2" t="s">
        <v>188</v>
      </c>
      <c r="C2056" s="2">
        <v>1997.0</v>
      </c>
      <c r="D2056" s="9">
        <v>1727.6288</v>
      </c>
      <c r="E2056" s="10" t="str">
        <f t="array" ref="E2056">IFS(D2056&lt;=$G$3,'calculated data '!$A$3,D2056&lt;=$G$4,'calculated data '!$A$4,D2056&lt;=$G$6,'calculated data '!$A$5,D2056&gt;=$G$6,'calculated data '!$A$6)</f>
        <v>Low Demand Tier</v>
      </c>
      <c r="F2056" s="10">
        <f t="shared" si="1"/>
        <v>-0.6174415708</v>
      </c>
    </row>
    <row r="2057" ht="14.25" customHeight="1">
      <c r="A2057" s="2" t="s">
        <v>179</v>
      </c>
      <c r="B2057" s="2" t="s">
        <v>180</v>
      </c>
      <c r="C2057" s="2">
        <v>2016.0</v>
      </c>
      <c r="D2057" s="9">
        <v>1727.7833</v>
      </c>
      <c r="E2057" s="10" t="str">
        <f t="array" ref="E2057">IFS(D2057&lt;=$G$3,'calculated data '!$A$3,D2057&lt;=$G$4,'calculated data '!$A$4,D2057&lt;=$G$6,'calculated data '!$A$5,D2057&gt;=$G$6,'calculated data '!$A$6)</f>
        <v>Low Demand Tier</v>
      </c>
      <c r="F2057" s="10">
        <f t="shared" si="1"/>
        <v>-0.6174374813</v>
      </c>
    </row>
    <row r="2058" ht="14.25" customHeight="1">
      <c r="A2058" s="2" t="s">
        <v>175</v>
      </c>
      <c r="B2058" s="2" t="s">
        <v>176</v>
      </c>
      <c r="C2058" s="2">
        <v>1981.0</v>
      </c>
      <c r="D2058" s="9">
        <v>1727.8049</v>
      </c>
      <c r="E2058" s="10" t="str">
        <f t="array" ref="E2058">IFS(D2058&lt;=$G$3,'calculated data '!$A$3,D2058&lt;=$G$4,'calculated data '!$A$4,D2058&lt;=$G$6,'calculated data '!$A$5,D2058&gt;=$G$6,'calculated data '!$A$6)</f>
        <v>Low Demand Tier</v>
      </c>
      <c r="F2058" s="10">
        <f t="shared" si="1"/>
        <v>-0.6174369095</v>
      </c>
    </row>
    <row r="2059" ht="14.25" customHeight="1">
      <c r="A2059" s="2" t="s">
        <v>109</v>
      </c>
      <c r="B2059" s="2" t="s">
        <v>110</v>
      </c>
      <c r="C2059" s="2">
        <v>1989.0</v>
      </c>
      <c r="D2059" s="9">
        <v>1728.6504</v>
      </c>
      <c r="E2059" s="10" t="str">
        <f t="array" ref="E2059">IFS(D2059&lt;=$G$3,'calculated data '!$A$3,D2059&lt;=$G$4,'calculated data '!$A$4,D2059&lt;=$G$6,'calculated data '!$A$5,D2059&gt;=$G$6,'calculated data '!$A$6)</f>
        <v>Low Demand Tier</v>
      </c>
      <c r="F2059" s="10">
        <f t="shared" si="1"/>
        <v>-0.6174145293</v>
      </c>
    </row>
    <row r="2060" ht="14.25" customHeight="1">
      <c r="A2060" s="2" t="s">
        <v>83</v>
      </c>
      <c r="B2060" s="2" t="s">
        <v>84</v>
      </c>
      <c r="C2060" s="2">
        <v>2008.0</v>
      </c>
      <c r="D2060" s="9">
        <v>1728.9297</v>
      </c>
      <c r="E2060" s="10" t="str">
        <f t="array" ref="E2060">IFS(D2060&lt;=$G$3,'calculated data '!$A$3,D2060&lt;=$G$4,'calculated data '!$A$4,D2060&lt;=$G$6,'calculated data '!$A$5,D2060&gt;=$G$6,'calculated data '!$A$6)</f>
        <v>Low Demand Tier</v>
      </c>
      <c r="F2060" s="10">
        <f t="shared" si="1"/>
        <v>-0.6174071363</v>
      </c>
    </row>
    <row r="2061" ht="14.25" customHeight="1">
      <c r="A2061" s="2" t="s">
        <v>181</v>
      </c>
      <c r="B2061" s="2" t="s">
        <v>182</v>
      </c>
      <c r="C2061" s="2">
        <v>1995.0</v>
      </c>
      <c r="D2061" s="9">
        <v>1729.5052</v>
      </c>
      <c r="E2061" s="10" t="str">
        <f t="array" ref="E2061">IFS(D2061&lt;=$G$3,'calculated data '!$A$3,D2061&lt;=$G$4,'calculated data '!$A$4,D2061&lt;=$G$6,'calculated data '!$A$5,D2061&gt;=$G$6,'calculated data '!$A$6)</f>
        <v>Low Demand Tier</v>
      </c>
      <c r="F2061" s="10">
        <f t="shared" si="1"/>
        <v>-0.617391903</v>
      </c>
    </row>
    <row r="2062" ht="14.25" customHeight="1">
      <c r="A2062" s="2" t="s">
        <v>187</v>
      </c>
      <c r="B2062" s="2" t="s">
        <v>188</v>
      </c>
      <c r="C2062" s="2">
        <v>1986.0</v>
      </c>
      <c r="D2062" s="9">
        <v>1731.0171</v>
      </c>
      <c r="E2062" s="10" t="str">
        <f t="array" ref="E2062">IFS(D2062&lt;=$G$3,'calculated data '!$A$3,D2062&lt;=$G$4,'calculated data '!$A$4,D2062&lt;=$G$6,'calculated data '!$A$5,D2062&gt;=$G$6,'calculated data '!$A$6)</f>
        <v>Low Demand Tier</v>
      </c>
      <c r="F2062" s="10">
        <f t="shared" si="1"/>
        <v>-0.6173518834</v>
      </c>
    </row>
    <row r="2063" ht="14.25" customHeight="1">
      <c r="A2063" s="2" t="s">
        <v>181</v>
      </c>
      <c r="B2063" s="2" t="s">
        <v>182</v>
      </c>
      <c r="C2063" s="2">
        <v>1984.0</v>
      </c>
      <c r="D2063" s="9">
        <v>1731.142</v>
      </c>
      <c r="E2063" s="10" t="str">
        <f t="array" ref="E2063">IFS(D2063&lt;=$G$3,'calculated data '!$A$3,D2063&lt;=$G$4,'calculated data '!$A$4,D2063&lt;=$G$6,'calculated data '!$A$5,D2063&gt;=$G$6,'calculated data '!$A$6)</f>
        <v>Low Demand Tier</v>
      </c>
      <c r="F2063" s="10">
        <f t="shared" si="1"/>
        <v>-0.6173485773</v>
      </c>
    </row>
    <row r="2064" ht="14.25" customHeight="1">
      <c r="A2064" s="2" t="s">
        <v>179</v>
      </c>
      <c r="B2064" s="2" t="s">
        <v>180</v>
      </c>
      <c r="C2064" s="2">
        <v>2015.0</v>
      </c>
      <c r="D2064" s="9">
        <v>1731.9987</v>
      </c>
      <c r="E2064" s="10" t="str">
        <f t="array" ref="E2064">IFS(D2064&lt;=$G$3,'calculated data '!$A$3,D2064&lt;=$G$4,'calculated data '!$A$4,D2064&lt;=$G$6,'calculated data '!$A$5,D2064&gt;=$G$6,'calculated data '!$A$6)</f>
        <v>Low Demand Tier</v>
      </c>
      <c r="F2064" s="10">
        <f t="shared" si="1"/>
        <v>-0.6173259007</v>
      </c>
    </row>
    <row r="2065" ht="14.25" customHeight="1">
      <c r="A2065" s="2" t="s">
        <v>171</v>
      </c>
      <c r="B2065" s="2" t="s">
        <v>172</v>
      </c>
      <c r="C2065" s="2">
        <v>1994.0</v>
      </c>
      <c r="D2065" s="9">
        <v>1735.3058</v>
      </c>
      <c r="E2065" s="10" t="str">
        <f t="array" ref="E2065">IFS(D2065&lt;=$G$3,'calculated data '!$A$3,D2065&lt;=$G$4,'calculated data '!$A$4,D2065&lt;=$G$6,'calculated data '!$A$5,D2065&gt;=$G$6,'calculated data '!$A$6)</f>
        <v>Low Demand Tier</v>
      </c>
      <c r="F2065" s="10">
        <f t="shared" si="1"/>
        <v>-0.6172383626</v>
      </c>
    </row>
    <row r="2066" ht="14.25" customHeight="1">
      <c r="A2066" s="2" t="s">
        <v>179</v>
      </c>
      <c r="B2066" s="2" t="s">
        <v>180</v>
      </c>
      <c r="C2066" s="2">
        <v>2014.0</v>
      </c>
      <c r="D2066" s="9">
        <v>1736.2487</v>
      </c>
      <c r="E2066" s="10" t="str">
        <f t="array" ref="E2066">IFS(D2066&lt;=$G$3,'calculated data '!$A$3,D2066&lt;=$G$4,'calculated data '!$A$4,D2066&lt;=$G$6,'calculated data '!$A$5,D2066&gt;=$G$6,'calculated data '!$A$6)</f>
        <v>Low Demand Tier</v>
      </c>
      <c r="F2066" s="10">
        <f t="shared" si="1"/>
        <v>-0.6172134042</v>
      </c>
    </row>
    <row r="2067" ht="14.25" customHeight="1">
      <c r="A2067" s="2" t="s">
        <v>87</v>
      </c>
      <c r="B2067" s="2" t="s">
        <v>88</v>
      </c>
      <c r="C2067" s="2">
        <v>2016.0</v>
      </c>
      <c r="D2067" s="9">
        <v>1737.0465</v>
      </c>
      <c r="E2067" s="10" t="str">
        <f t="array" ref="E2067">IFS(D2067&lt;=$G$3,'calculated data '!$A$3,D2067&lt;=$G$4,'calculated data '!$A$4,D2067&lt;=$G$6,'calculated data '!$A$5,D2067&gt;=$G$6,'calculated data '!$A$6)</f>
        <v>Low Demand Tier</v>
      </c>
      <c r="F2067" s="10">
        <f t="shared" si="1"/>
        <v>-0.6171922867</v>
      </c>
    </row>
    <row r="2068" ht="14.25" customHeight="1">
      <c r="A2068" s="2" t="s">
        <v>51</v>
      </c>
      <c r="B2068" s="2" t="s">
        <v>52</v>
      </c>
      <c r="C2068" s="2">
        <v>1995.0</v>
      </c>
      <c r="D2068" s="9">
        <v>1738.5422</v>
      </c>
      <c r="E2068" s="10" t="str">
        <f t="array" ref="E2068">IFS(D2068&lt;=$G$3,'calculated data '!$A$3,D2068&lt;=$G$4,'calculated data '!$A$4,D2068&lt;=$G$6,'calculated data '!$A$5,D2068&gt;=$G$6,'calculated data '!$A$6)</f>
        <v>Low Demand Tier</v>
      </c>
      <c r="F2068" s="10">
        <f t="shared" si="1"/>
        <v>-0.6171526959</v>
      </c>
    </row>
    <row r="2069" ht="14.25" customHeight="1">
      <c r="A2069" s="2" t="s">
        <v>129</v>
      </c>
      <c r="B2069" s="2" t="s">
        <v>130</v>
      </c>
      <c r="C2069" s="2">
        <v>1978.0</v>
      </c>
      <c r="D2069" s="9">
        <v>1742.7589</v>
      </c>
      <c r="E2069" s="10" t="str">
        <f t="array" ref="E2069">IFS(D2069&lt;=$G$3,'calculated data '!$A$3,D2069&lt;=$G$4,'calculated data '!$A$4,D2069&lt;=$G$6,'calculated data '!$A$5,D2069&gt;=$G$6,'calculated data '!$A$6)</f>
        <v>Low Demand Tier</v>
      </c>
      <c r="F2069" s="10">
        <f t="shared" si="1"/>
        <v>-0.6170410809</v>
      </c>
    </row>
    <row r="2070" ht="14.25" customHeight="1">
      <c r="A2070" s="2" t="s">
        <v>153</v>
      </c>
      <c r="B2070" s="2" t="s">
        <v>154</v>
      </c>
      <c r="C2070" s="2">
        <v>2016.0</v>
      </c>
      <c r="D2070" s="9">
        <v>1743.2766</v>
      </c>
      <c r="E2070" s="10" t="str">
        <f t="array" ref="E2070">IFS(D2070&lt;=$G$3,'calculated data '!$A$3,D2070&lt;=$G$4,'calculated data '!$A$4,D2070&lt;=$G$6,'calculated data '!$A$5,D2070&gt;=$G$6,'calculated data '!$A$6)</f>
        <v>Low Demand Tier</v>
      </c>
      <c r="F2070" s="10">
        <f t="shared" si="1"/>
        <v>-0.6170273775</v>
      </c>
    </row>
    <row r="2071" ht="14.25" customHeight="1">
      <c r="A2071" s="2" t="s">
        <v>155</v>
      </c>
      <c r="B2071" s="2" t="s">
        <v>156</v>
      </c>
      <c r="C2071" s="2">
        <v>1998.0</v>
      </c>
      <c r="D2071" s="9">
        <v>1743.9768</v>
      </c>
      <c r="E2071" s="10" t="str">
        <f t="array" ref="E2071">IFS(D2071&lt;=$G$3,'calculated data '!$A$3,D2071&lt;=$G$4,'calculated data '!$A$4,D2071&lt;=$G$6,'calculated data '!$A$5,D2071&gt;=$G$6,'calculated data '!$A$6)</f>
        <v>Low Demand Tier</v>
      </c>
      <c r="F2071" s="10">
        <f t="shared" si="1"/>
        <v>-0.6170088434</v>
      </c>
    </row>
    <row r="2072" ht="14.25" customHeight="1">
      <c r="A2072" s="2" t="s">
        <v>189</v>
      </c>
      <c r="B2072" s="2" t="s">
        <v>190</v>
      </c>
      <c r="C2072" s="2">
        <v>1985.0</v>
      </c>
      <c r="D2072" s="9">
        <v>1745.4581</v>
      </c>
      <c r="E2072" s="10" t="str">
        <f t="array" ref="E2072">IFS(D2072&lt;=$G$3,'calculated data '!$A$3,D2072&lt;=$G$4,'calculated data '!$A$4,D2072&lt;=$G$6,'calculated data '!$A$5,D2072&gt;=$G$6,'calculated data '!$A$6)</f>
        <v>Low Demand Tier</v>
      </c>
      <c r="F2072" s="10">
        <f t="shared" si="1"/>
        <v>-0.6169696337</v>
      </c>
    </row>
    <row r="2073" ht="14.25" customHeight="1">
      <c r="A2073" s="2" t="s">
        <v>109</v>
      </c>
      <c r="B2073" s="2" t="s">
        <v>110</v>
      </c>
      <c r="C2073" s="2">
        <v>1987.0</v>
      </c>
      <c r="D2073" s="9">
        <v>1745.9802</v>
      </c>
      <c r="E2073" s="10" t="str">
        <f t="array" ref="E2073">IFS(D2073&lt;=$G$3,'calculated data '!$A$3,D2073&lt;=$G$4,'calculated data '!$A$4,D2073&lt;=$G$6,'calculated data '!$A$5,D2073&gt;=$G$6,'calculated data '!$A$6)</f>
        <v>Low Demand Tier</v>
      </c>
      <c r="F2073" s="10">
        <f t="shared" si="1"/>
        <v>-0.6169558139</v>
      </c>
    </row>
    <row r="2074" ht="14.25" customHeight="1">
      <c r="A2074" s="2" t="s">
        <v>155</v>
      </c>
      <c r="B2074" s="2" t="s">
        <v>156</v>
      </c>
      <c r="C2074" s="2">
        <v>2002.0</v>
      </c>
      <c r="D2074" s="9">
        <v>1747.3691</v>
      </c>
      <c r="E2074" s="10" t="str">
        <f t="array" ref="E2074">IFS(D2074&lt;=$G$3,'calculated data '!$A$3,D2074&lt;=$G$4,'calculated data '!$A$4,D2074&lt;=$G$6,'calculated data '!$A$5,D2074&gt;=$G$6,'calculated data '!$A$6)</f>
        <v>Low Demand Tier</v>
      </c>
      <c r="F2074" s="10">
        <f t="shared" si="1"/>
        <v>-0.61691905</v>
      </c>
    </row>
    <row r="2075" ht="14.25" customHeight="1">
      <c r="A2075" s="2" t="s">
        <v>113</v>
      </c>
      <c r="B2075" s="2" t="s">
        <v>114</v>
      </c>
      <c r="C2075" s="2">
        <v>2013.0</v>
      </c>
      <c r="D2075" s="9">
        <v>1748.0399</v>
      </c>
      <c r="E2075" s="10" t="str">
        <f t="array" ref="E2075">IFS(D2075&lt;=$G$3,'calculated data '!$A$3,D2075&lt;=$G$4,'calculated data '!$A$4,D2075&lt;=$G$6,'calculated data '!$A$5,D2075&gt;=$G$6,'calculated data '!$A$6)</f>
        <v>Low Demand Tier</v>
      </c>
      <c r="F2075" s="10">
        <f t="shared" si="1"/>
        <v>-0.6169012941</v>
      </c>
    </row>
    <row r="2076" ht="14.25" customHeight="1">
      <c r="A2076" s="2" t="s">
        <v>187</v>
      </c>
      <c r="B2076" s="2" t="s">
        <v>188</v>
      </c>
      <c r="C2076" s="2">
        <v>2020.0</v>
      </c>
      <c r="D2076" s="9">
        <v>1751.7308</v>
      </c>
      <c r="E2076" s="10" t="str">
        <f t="array" ref="E2076">IFS(D2076&lt;=$G$3,'calculated data '!$A$3,D2076&lt;=$G$4,'calculated data '!$A$4,D2076&lt;=$G$6,'calculated data '!$A$5,D2076&gt;=$G$6,'calculated data '!$A$6)</f>
        <v>Low Demand Tier</v>
      </c>
      <c r="F2076" s="10">
        <f t="shared" si="1"/>
        <v>-0.6168035969</v>
      </c>
    </row>
    <row r="2077" ht="14.25" customHeight="1">
      <c r="A2077" s="2" t="s">
        <v>171</v>
      </c>
      <c r="B2077" s="2" t="s">
        <v>172</v>
      </c>
      <c r="C2077" s="2">
        <v>1980.0</v>
      </c>
      <c r="D2077" s="9">
        <v>1752.6798</v>
      </c>
      <c r="E2077" s="10" t="str">
        <f t="array" ref="E2077">IFS(D2077&lt;=$G$3,'calculated data '!$A$3,D2077&lt;=$G$4,'calculated data '!$A$4,D2077&lt;=$G$6,'calculated data '!$A$5,D2077&gt;=$G$6,'calculated data '!$A$6)</f>
        <v>Low Demand Tier</v>
      </c>
      <c r="F2077" s="10">
        <f t="shared" si="1"/>
        <v>-0.6167784771</v>
      </c>
    </row>
    <row r="2078" ht="14.25" customHeight="1">
      <c r="A2078" s="2" t="s">
        <v>165</v>
      </c>
      <c r="B2078" s="2" t="s">
        <v>166</v>
      </c>
      <c r="C2078" s="2">
        <v>1981.0</v>
      </c>
      <c r="D2078" s="9">
        <v>1753.7897</v>
      </c>
      <c r="E2078" s="10" t="str">
        <f t="array" ref="E2078">IFS(D2078&lt;=$G$3,'calculated data '!$A$3,D2078&lt;=$G$4,'calculated data '!$A$4,D2078&lt;=$G$6,'calculated data '!$A$5,D2078&gt;=$G$6,'calculated data '!$A$6)</f>
        <v>Low Demand Tier</v>
      </c>
      <c r="F2078" s="10">
        <f t="shared" si="1"/>
        <v>-0.6167490983</v>
      </c>
    </row>
    <row r="2079" ht="14.25" customHeight="1">
      <c r="A2079" s="2" t="s">
        <v>145</v>
      </c>
      <c r="B2079" s="2" t="s">
        <v>146</v>
      </c>
      <c r="C2079" s="2">
        <v>2005.0</v>
      </c>
      <c r="D2079" s="9">
        <v>1755.2279</v>
      </c>
      <c r="E2079" s="10" t="str">
        <f t="array" ref="E2079">IFS(D2079&lt;=$G$3,'calculated data '!$A$3,D2079&lt;=$G$4,'calculated data '!$A$4,D2079&lt;=$G$6,'calculated data '!$A$5,D2079&gt;=$G$6,'calculated data '!$A$6)</f>
        <v>Low Demand Tier</v>
      </c>
      <c r="F2079" s="10">
        <f t="shared" si="1"/>
        <v>-0.6167110295</v>
      </c>
    </row>
    <row r="2080" ht="14.25" customHeight="1">
      <c r="A2080" s="2" t="s">
        <v>87</v>
      </c>
      <c r="B2080" s="2" t="s">
        <v>88</v>
      </c>
      <c r="C2080" s="2">
        <v>2021.0</v>
      </c>
      <c r="D2080" s="9">
        <v>1755.9045</v>
      </c>
      <c r="E2080" s="10" t="str">
        <f t="array" ref="E2080">IFS(D2080&lt;=$G$3,'calculated data '!$A$3,D2080&lt;=$G$4,'calculated data '!$A$4,D2080&lt;=$G$6,'calculated data '!$A$5,D2080&gt;=$G$6,'calculated data '!$A$6)</f>
        <v>Low Demand Tier</v>
      </c>
      <c r="F2080" s="10">
        <f t="shared" si="1"/>
        <v>-0.6166931201</v>
      </c>
    </row>
    <row r="2081" ht="14.25" customHeight="1">
      <c r="A2081" s="2" t="s">
        <v>155</v>
      </c>
      <c r="B2081" s="2" t="s">
        <v>156</v>
      </c>
      <c r="C2081" s="2">
        <v>2001.0</v>
      </c>
      <c r="D2081" s="9">
        <v>1756.784</v>
      </c>
      <c r="E2081" s="10" t="str">
        <f t="array" ref="E2081">IFS(D2081&lt;=$G$3,'calculated data '!$A$3,D2081&lt;=$G$4,'calculated data '!$A$4,D2081&lt;=$G$6,'calculated data '!$A$5,D2081&gt;=$G$6,'calculated data '!$A$6)</f>
        <v>Low Demand Tier</v>
      </c>
      <c r="F2081" s="10">
        <f t="shared" si="1"/>
        <v>-0.61666984</v>
      </c>
    </row>
    <row r="2082" ht="14.25" customHeight="1">
      <c r="A2082" s="2" t="s">
        <v>21</v>
      </c>
      <c r="B2082" s="2" t="s">
        <v>22</v>
      </c>
      <c r="C2082" s="2">
        <v>2011.0</v>
      </c>
      <c r="D2082" s="9">
        <v>1757.0259</v>
      </c>
      <c r="E2082" s="10" t="str">
        <f t="array" ref="E2082">IFS(D2082&lt;=$G$3,'calculated data '!$A$3,D2082&lt;=$G$4,'calculated data '!$A$4,D2082&lt;=$G$6,'calculated data '!$A$5,D2082&gt;=$G$6,'calculated data '!$A$6)</f>
        <v>Low Demand Tier</v>
      </c>
      <c r="F2082" s="10">
        <f t="shared" si="1"/>
        <v>-0.6166634369</v>
      </c>
    </row>
    <row r="2083" ht="14.25" customHeight="1">
      <c r="A2083" s="2" t="s">
        <v>131</v>
      </c>
      <c r="B2083" s="2" t="s">
        <v>132</v>
      </c>
      <c r="C2083" s="2">
        <v>2018.0</v>
      </c>
      <c r="D2083" s="9">
        <v>1759.182</v>
      </c>
      <c r="E2083" s="10" t="str">
        <f t="array" ref="E2083">IFS(D2083&lt;=$G$3,'calculated data '!$A$3,D2083&lt;=$G$4,'calculated data '!$A$4,D2083&lt;=$G$6,'calculated data '!$A$5,D2083&gt;=$G$6,'calculated data '!$A$6)</f>
        <v>Low Demand Tier</v>
      </c>
      <c r="F2083" s="10">
        <f t="shared" si="1"/>
        <v>-0.6166063655</v>
      </c>
    </row>
    <row r="2084" ht="14.25" customHeight="1">
      <c r="A2084" s="2" t="s">
        <v>181</v>
      </c>
      <c r="B2084" s="2" t="s">
        <v>182</v>
      </c>
      <c r="C2084" s="2">
        <v>1997.0</v>
      </c>
      <c r="D2084" s="9">
        <v>1759.7137</v>
      </c>
      <c r="E2084" s="10" t="str">
        <f t="array" ref="E2084">IFS(D2084&lt;=$G$3,'calculated data '!$A$3,D2084&lt;=$G$4,'calculated data '!$A$4,D2084&lt;=$G$6,'calculated data '!$A$5,D2084&gt;=$G$6,'calculated data '!$A$6)</f>
        <v>Low Demand Tier</v>
      </c>
      <c r="F2084" s="10">
        <f t="shared" si="1"/>
        <v>-0.6165922915</v>
      </c>
    </row>
    <row r="2085" ht="14.25" customHeight="1">
      <c r="A2085" s="2" t="s">
        <v>181</v>
      </c>
      <c r="B2085" s="2" t="s">
        <v>182</v>
      </c>
      <c r="C2085" s="2">
        <v>1993.0</v>
      </c>
      <c r="D2085" s="9">
        <v>1760.3505</v>
      </c>
      <c r="E2085" s="10" t="str">
        <f t="array" ref="E2085">IFS(D2085&lt;=$G$3,'calculated data '!$A$3,D2085&lt;=$G$4,'calculated data '!$A$4,D2085&lt;=$G$6,'calculated data '!$A$5,D2085&gt;=$G$6,'calculated data '!$A$6)</f>
        <v>Low Demand Tier</v>
      </c>
      <c r="F2085" s="10">
        <f t="shared" si="1"/>
        <v>-0.6165754356</v>
      </c>
    </row>
    <row r="2086" ht="14.25" customHeight="1">
      <c r="A2086" s="2" t="s">
        <v>85</v>
      </c>
      <c r="B2086" s="2" t="s">
        <v>86</v>
      </c>
      <c r="C2086" s="2">
        <v>2023.0</v>
      </c>
      <c r="D2086" s="9">
        <v>1760.384</v>
      </c>
      <c r="E2086" s="10" t="str">
        <f t="array" ref="E2086">IFS(D2086&lt;=$G$3,'calculated data '!$A$3,D2086&lt;=$G$4,'calculated data '!$A$4,D2086&lt;=$G$6,'calculated data '!$A$5,D2086&gt;=$G$6,'calculated data '!$A$6)</f>
        <v>Low Demand Tier</v>
      </c>
      <c r="F2086" s="10">
        <f t="shared" si="1"/>
        <v>-0.6165745489</v>
      </c>
    </row>
    <row r="2087" ht="14.25" customHeight="1">
      <c r="A2087" s="2" t="s">
        <v>97</v>
      </c>
      <c r="B2087" s="2" t="s">
        <v>98</v>
      </c>
      <c r="C2087" s="2">
        <v>2024.0</v>
      </c>
      <c r="D2087" s="9">
        <v>1761.81</v>
      </c>
      <c r="E2087" s="10" t="str">
        <f t="array" ref="E2087">IFS(D2087&lt;=$G$3,'calculated data '!$A$3,D2087&lt;=$G$4,'calculated data '!$A$4,D2087&lt;=$G$6,'calculated data '!$A$5,D2087&gt;=$G$6,'calculated data '!$A$6)</f>
        <v>Low Demand Tier</v>
      </c>
      <c r="F2087" s="10">
        <f t="shared" si="1"/>
        <v>-0.616536803</v>
      </c>
    </row>
    <row r="2088" ht="14.25" customHeight="1">
      <c r="A2088" s="2" t="s">
        <v>169</v>
      </c>
      <c r="B2088" s="2" t="s">
        <v>170</v>
      </c>
      <c r="C2088" s="2">
        <v>1980.0</v>
      </c>
      <c r="D2088" s="9">
        <v>1765.8181</v>
      </c>
      <c r="E2088" s="10" t="str">
        <f t="array" ref="E2088">IFS(D2088&lt;=$G$3,'calculated data '!$A$3,D2088&lt;=$G$4,'calculated data '!$A$4,D2088&lt;=$G$6,'calculated data '!$A$5,D2088&gt;=$G$6,'calculated data '!$A$6)</f>
        <v>Low Demand Tier</v>
      </c>
      <c r="F2088" s="10">
        <f t="shared" si="1"/>
        <v>-0.6164307096</v>
      </c>
    </row>
    <row r="2089" ht="14.25" customHeight="1">
      <c r="A2089" s="2" t="s">
        <v>191</v>
      </c>
      <c r="B2089" s="2" t="s">
        <v>192</v>
      </c>
      <c r="C2089" s="2">
        <v>1980.0</v>
      </c>
      <c r="D2089" s="9">
        <v>1765.8777</v>
      </c>
      <c r="E2089" s="10" t="str">
        <f t="array" ref="E2089">IFS(D2089&lt;=$G$3,'calculated data '!$A$3,D2089&lt;=$G$4,'calculated data '!$A$4,D2089&lt;=$G$6,'calculated data '!$A$5,D2089&gt;=$G$6,'calculated data '!$A$6)</f>
        <v>Low Demand Tier</v>
      </c>
      <c r="F2089" s="10">
        <f t="shared" si="1"/>
        <v>-0.616429132</v>
      </c>
    </row>
    <row r="2090" ht="14.25" customHeight="1">
      <c r="A2090" s="2" t="s">
        <v>97</v>
      </c>
      <c r="B2090" s="2" t="s">
        <v>98</v>
      </c>
      <c r="C2090" s="2">
        <v>2013.0</v>
      </c>
      <c r="D2090" s="9">
        <v>1768.0999</v>
      </c>
      <c r="E2090" s="10" t="str">
        <f t="array" ref="E2090">IFS(D2090&lt;=$G$3,'calculated data '!$A$3,D2090&lt;=$G$4,'calculated data '!$A$4,D2090&lt;=$G$6,'calculated data '!$A$5,D2090&gt;=$G$6,'calculated data '!$A$6)</f>
        <v>Low Demand Tier</v>
      </c>
      <c r="F2090" s="10">
        <f t="shared" si="1"/>
        <v>-0.6163703109</v>
      </c>
    </row>
    <row r="2091" ht="14.25" customHeight="1">
      <c r="A2091" s="2" t="s">
        <v>173</v>
      </c>
      <c r="B2091" s="2" t="s">
        <v>174</v>
      </c>
      <c r="C2091" s="2">
        <v>2005.0</v>
      </c>
      <c r="D2091" s="9">
        <v>1768.7383</v>
      </c>
      <c r="E2091" s="10" t="str">
        <f t="array" ref="E2091">IFS(D2091&lt;=$G$3,'calculated data '!$A$3,D2091&lt;=$G$4,'calculated data '!$A$4,D2091&lt;=$G$6,'calculated data '!$A$5,D2091&gt;=$G$6,'calculated data '!$A$6)</f>
        <v>Low Demand Tier</v>
      </c>
      <c r="F2091" s="10">
        <f t="shared" si="1"/>
        <v>-0.6163534126</v>
      </c>
    </row>
    <row r="2092" ht="14.25" customHeight="1">
      <c r="A2092" s="2" t="s">
        <v>87</v>
      </c>
      <c r="B2092" s="2" t="s">
        <v>88</v>
      </c>
      <c r="C2092" s="2">
        <v>2018.0</v>
      </c>
      <c r="D2092" s="9">
        <v>1771.3413</v>
      </c>
      <c r="E2092" s="10" t="str">
        <f t="array" ref="E2092">IFS(D2092&lt;=$G$3,'calculated data '!$A$3,D2092&lt;=$G$4,'calculated data '!$A$4,D2092&lt;=$G$6,'calculated data '!$A$5,D2092&gt;=$G$6,'calculated data '!$A$6)</f>
        <v>Low Demand Tier</v>
      </c>
      <c r="F2092" s="10">
        <f t="shared" si="1"/>
        <v>-0.6162845119</v>
      </c>
    </row>
    <row r="2093" ht="14.25" customHeight="1">
      <c r="A2093" s="2" t="s">
        <v>99</v>
      </c>
      <c r="B2093" s="2" t="s">
        <v>100</v>
      </c>
      <c r="C2093" s="2">
        <v>1992.0</v>
      </c>
      <c r="D2093" s="9">
        <v>1772.9038</v>
      </c>
      <c r="E2093" s="10" t="str">
        <f t="array" ref="E2093">IFS(D2093&lt;=$G$3,'calculated data '!$A$3,D2093&lt;=$G$4,'calculated data '!$A$4,D2093&lt;=$G$6,'calculated data '!$A$5,D2093&gt;=$G$6,'calculated data '!$A$6)</f>
        <v>Low Demand Tier</v>
      </c>
      <c r="F2093" s="10">
        <f t="shared" si="1"/>
        <v>-0.6162431529</v>
      </c>
    </row>
    <row r="2094" ht="14.25" customHeight="1">
      <c r="A2094" s="2" t="s">
        <v>131</v>
      </c>
      <c r="B2094" s="2" t="s">
        <v>132</v>
      </c>
      <c r="C2094" s="2">
        <v>2015.0</v>
      </c>
      <c r="D2094" s="9">
        <v>1772.9237</v>
      </c>
      <c r="E2094" s="10" t="str">
        <f t="array" ref="E2094">IFS(D2094&lt;=$G$3,'calculated data '!$A$3,D2094&lt;=$G$4,'calculated data '!$A$4,D2094&lt;=$G$6,'calculated data '!$A$5,D2094&gt;=$G$6,'calculated data '!$A$6)</f>
        <v>Low Demand Tier</v>
      </c>
      <c r="F2094" s="10">
        <f t="shared" si="1"/>
        <v>-0.6162426261</v>
      </c>
    </row>
    <row r="2095" ht="14.25" customHeight="1">
      <c r="A2095" s="2" t="s">
        <v>141</v>
      </c>
      <c r="B2095" s="2" t="s">
        <v>142</v>
      </c>
      <c r="C2095" s="2">
        <v>1970.0</v>
      </c>
      <c r="D2095" s="9">
        <v>1773.8134</v>
      </c>
      <c r="E2095" s="10" t="str">
        <f t="array" ref="E2095">IFS(D2095&lt;=$G$3,'calculated data '!$A$3,D2095&lt;=$G$4,'calculated data '!$A$4,D2095&lt;=$G$6,'calculated data '!$A$5,D2095&gt;=$G$6,'calculated data '!$A$6)</f>
        <v>Low Demand Tier</v>
      </c>
      <c r="F2095" s="10">
        <f t="shared" si="1"/>
        <v>-0.616219076</v>
      </c>
    </row>
    <row r="2096" ht="14.25" customHeight="1">
      <c r="A2096" s="2" t="s">
        <v>59</v>
      </c>
      <c r="B2096" s="2" t="s">
        <v>60</v>
      </c>
      <c r="C2096" s="2">
        <v>2024.0</v>
      </c>
      <c r="D2096" s="9">
        <v>1776.1818</v>
      </c>
      <c r="E2096" s="10" t="str">
        <f t="array" ref="E2096">IFS(D2096&lt;=$G$3,'calculated data '!$A$3,D2096&lt;=$G$4,'calculated data '!$A$4,D2096&lt;=$G$6,'calculated data '!$A$5,D2096&gt;=$G$6,'calculated data '!$A$6)</f>
        <v>Low Demand Tier</v>
      </c>
      <c r="F2096" s="10">
        <f t="shared" si="1"/>
        <v>-0.616156385</v>
      </c>
    </row>
    <row r="2097" ht="14.25" customHeight="1">
      <c r="A2097" s="2" t="s">
        <v>151</v>
      </c>
      <c r="B2097" s="2" t="s">
        <v>152</v>
      </c>
      <c r="C2097" s="2">
        <v>1984.0</v>
      </c>
      <c r="D2097" s="9">
        <v>1777.9808</v>
      </c>
      <c r="E2097" s="10" t="str">
        <f t="array" ref="E2097">IFS(D2097&lt;=$G$3,'calculated data '!$A$3,D2097&lt;=$G$4,'calculated data '!$A$4,D2097&lt;=$G$6,'calculated data '!$A$5,D2097&gt;=$G$6,'calculated data '!$A$6)</f>
        <v>Low Demand Tier</v>
      </c>
      <c r="F2097" s="10">
        <f t="shared" si="1"/>
        <v>-0.6161087659</v>
      </c>
    </row>
    <row r="2098" ht="14.25" customHeight="1">
      <c r="A2098" s="2" t="s">
        <v>165</v>
      </c>
      <c r="B2098" s="2" t="s">
        <v>166</v>
      </c>
      <c r="C2098" s="2">
        <v>1983.0</v>
      </c>
      <c r="D2098" s="9">
        <v>1778.779</v>
      </c>
      <c r="E2098" s="10" t="str">
        <f t="array" ref="E2098">IFS(D2098&lt;=$G$3,'calculated data '!$A$3,D2098&lt;=$G$4,'calculated data '!$A$4,D2098&lt;=$G$6,'calculated data '!$A$5,D2098&gt;=$G$6,'calculated data '!$A$6)</f>
        <v>Low Demand Tier</v>
      </c>
      <c r="F2098" s="10">
        <f t="shared" si="1"/>
        <v>-0.6160876378</v>
      </c>
    </row>
    <row r="2099" ht="14.25" customHeight="1">
      <c r="A2099" s="2" t="s">
        <v>187</v>
      </c>
      <c r="B2099" s="2" t="s">
        <v>188</v>
      </c>
      <c r="C2099" s="2">
        <v>1996.0</v>
      </c>
      <c r="D2099" s="9">
        <v>1781.8641</v>
      </c>
      <c r="E2099" s="10" t="str">
        <f t="array" ref="E2099">IFS(D2099&lt;=$G$3,'calculated data '!$A$3,D2099&lt;=$G$4,'calculated data '!$A$4,D2099&lt;=$G$6,'calculated data '!$A$5,D2099&gt;=$G$6,'calculated data '!$A$6)</f>
        <v>Low Demand Tier</v>
      </c>
      <c r="F2099" s="10">
        <f t="shared" si="1"/>
        <v>-0.616005976</v>
      </c>
    </row>
    <row r="2100" ht="14.25" customHeight="1">
      <c r="A2100" s="2" t="s">
        <v>185</v>
      </c>
      <c r="B2100" s="2" t="s">
        <v>186</v>
      </c>
      <c r="C2100" s="2">
        <v>1983.0</v>
      </c>
      <c r="D2100" s="9">
        <v>1782.0336</v>
      </c>
      <c r="E2100" s="10" t="str">
        <f t="array" ref="E2100">IFS(D2100&lt;=$G$3,'calculated data '!$A$3,D2100&lt;=$G$4,'calculated data '!$A$4,D2100&lt;=$G$6,'calculated data '!$A$5,D2100&gt;=$G$6,'calculated data '!$A$6)</f>
        <v>Low Demand Tier</v>
      </c>
      <c r="F2100" s="10">
        <f t="shared" si="1"/>
        <v>-0.6160014893</v>
      </c>
    </row>
    <row r="2101" ht="14.25" customHeight="1">
      <c r="A2101" s="2" t="s">
        <v>133</v>
      </c>
      <c r="B2101" s="2" t="s">
        <v>134</v>
      </c>
      <c r="C2101" s="2">
        <v>1972.0</v>
      </c>
      <c r="D2101" s="9">
        <v>1784.7131</v>
      </c>
      <c r="E2101" s="10" t="str">
        <f t="array" ref="E2101">IFS(D2101&lt;=$G$3,'calculated data '!$A$3,D2101&lt;=$G$4,'calculated data '!$A$4,D2101&lt;=$G$6,'calculated data '!$A$5,D2101&gt;=$G$6,'calculated data '!$A$6)</f>
        <v>Low Demand Tier</v>
      </c>
      <c r="F2101" s="10">
        <f t="shared" si="1"/>
        <v>-0.6159305636</v>
      </c>
    </row>
    <row r="2102" ht="14.25" customHeight="1">
      <c r="A2102" s="2" t="s">
        <v>155</v>
      </c>
      <c r="B2102" s="2" t="s">
        <v>156</v>
      </c>
      <c r="C2102" s="2">
        <v>2007.0</v>
      </c>
      <c r="D2102" s="9">
        <v>1786.2277</v>
      </c>
      <c r="E2102" s="10" t="str">
        <f t="array" ref="E2102">IFS(D2102&lt;=$G$3,'calculated data '!$A$3,D2102&lt;=$G$4,'calculated data '!$A$4,D2102&lt;=$G$6,'calculated data '!$A$5,D2102&gt;=$G$6,'calculated data '!$A$6)</f>
        <v>Low Demand Tier</v>
      </c>
      <c r="F2102" s="10">
        <f t="shared" si="1"/>
        <v>-0.6158904726</v>
      </c>
    </row>
    <row r="2103" ht="14.25" customHeight="1">
      <c r="A2103" s="2" t="s">
        <v>159</v>
      </c>
      <c r="B2103" s="2" t="s">
        <v>160</v>
      </c>
      <c r="C2103" s="2">
        <v>1969.0</v>
      </c>
      <c r="D2103" s="9">
        <v>1787.1183</v>
      </c>
      <c r="E2103" s="10" t="str">
        <f t="array" ref="E2103">IFS(D2103&lt;=$G$3,'calculated data '!$A$3,D2103&lt;=$G$4,'calculated data '!$A$4,D2103&lt;=$G$6,'calculated data '!$A$5,D2103&gt;=$G$6,'calculated data '!$A$6)</f>
        <v>Low Demand Tier</v>
      </c>
      <c r="F2103" s="10">
        <f t="shared" si="1"/>
        <v>-0.6158668986</v>
      </c>
    </row>
    <row r="2104" ht="14.25" customHeight="1">
      <c r="A2104" s="2" t="s">
        <v>155</v>
      </c>
      <c r="B2104" s="2" t="s">
        <v>156</v>
      </c>
      <c r="C2104" s="2">
        <v>2004.0</v>
      </c>
      <c r="D2104" s="9">
        <v>1787.9908</v>
      </c>
      <c r="E2104" s="10" t="str">
        <f t="array" ref="E2104">IFS(D2104&lt;=$G$3,'calculated data '!$A$3,D2104&lt;=$G$4,'calculated data '!$A$4,D2104&lt;=$G$6,'calculated data '!$A$5,D2104&gt;=$G$6,'calculated data '!$A$6)</f>
        <v>Low Demand Tier</v>
      </c>
      <c r="F2104" s="10">
        <f t="shared" si="1"/>
        <v>-0.6158438037</v>
      </c>
    </row>
    <row r="2105" ht="14.25" customHeight="1">
      <c r="A2105" s="2" t="s">
        <v>79</v>
      </c>
      <c r="B2105" s="2" t="s">
        <v>80</v>
      </c>
      <c r="C2105" s="2">
        <v>2014.0</v>
      </c>
      <c r="D2105" s="9">
        <v>1792.5469</v>
      </c>
      <c r="E2105" s="10" t="str">
        <f t="array" ref="E2105">IFS(D2105&lt;=$G$3,'calculated data '!$A$3,D2105&lt;=$G$4,'calculated data '!$A$4,D2105&lt;=$G$6,'calculated data '!$A$5,D2105&gt;=$G$6,'calculated data '!$A$6)</f>
        <v>Low Demand Tier</v>
      </c>
      <c r="F2105" s="10">
        <f t="shared" si="1"/>
        <v>-0.6157232049</v>
      </c>
    </row>
    <row r="2106" ht="14.25" customHeight="1">
      <c r="A2106" s="2" t="s">
        <v>171</v>
      </c>
      <c r="B2106" s="2" t="s">
        <v>172</v>
      </c>
      <c r="C2106" s="2">
        <v>1999.0</v>
      </c>
      <c r="D2106" s="9">
        <v>1796.5474</v>
      </c>
      <c r="E2106" s="10" t="str">
        <f t="array" ref="E2106">IFS(D2106&lt;=$G$3,'calculated data '!$A$3,D2106&lt;=$G$4,'calculated data '!$A$4,D2106&lt;=$G$6,'calculated data '!$A$5,D2106&gt;=$G$6,'calculated data '!$A$6)</f>
        <v>Low Demand Tier</v>
      </c>
      <c r="F2106" s="10">
        <f t="shared" si="1"/>
        <v>-0.6156173127</v>
      </c>
    </row>
    <row r="2107" ht="14.25" customHeight="1">
      <c r="A2107" s="2" t="s">
        <v>185</v>
      </c>
      <c r="B2107" s="2" t="s">
        <v>186</v>
      </c>
      <c r="C2107" s="2">
        <v>1982.0</v>
      </c>
      <c r="D2107" s="9">
        <v>1796.6953</v>
      </c>
      <c r="E2107" s="10" t="str">
        <f t="array" ref="E2107">IFS(D2107&lt;=$G$3,'calculated data '!$A$3,D2107&lt;=$G$4,'calculated data '!$A$4,D2107&lt;=$G$6,'calculated data '!$A$5,D2107&gt;=$G$6,'calculated data '!$A$6)</f>
        <v>Low Demand Tier</v>
      </c>
      <c r="F2107" s="10">
        <f t="shared" si="1"/>
        <v>-0.6156133978</v>
      </c>
    </row>
    <row r="2108" ht="14.25" customHeight="1">
      <c r="A2108" s="2" t="s">
        <v>179</v>
      </c>
      <c r="B2108" s="2" t="s">
        <v>180</v>
      </c>
      <c r="C2108" s="2">
        <v>1994.0</v>
      </c>
      <c r="D2108" s="9">
        <v>1796.89</v>
      </c>
      <c r="E2108" s="10" t="str">
        <f t="array" ref="E2108">IFS(D2108&lt;=$G$3,'calculated data '!$A$3,D2108&lt;=$G$4,'calculated data '!$A$4,D2108&lt;=$G$6,'calculated data '!$A$5,D2108&gt;=$G$6,'calculated data '!$A$6)</f>
        <v>Low Demand Tier</v>
      </c>
      <c r="F2108" s="10">
        <f t="shared" si="1"/>
        <v>-0.6156082441</v>
      </c>
    </row>
    <row r="2109" ht="14.25" customHeight="1">
      <c r="A2109" s="2" t="s">
        <v>125</v>
      </c>
      <c r="B2109" s="2" t="s">
        <v>126</v>
      </c>
      <c r="C2109" s="2">
        <v>2010.0</v>
      </c>
      <c r="D2109" s="9">
        <v>1801.3816</v>
      </c>
      <c r="E2109" s="10" t="str">
        <f t="array" ref="E2109">IFS(D2109&lt;=$G$3,'calculated data '!$A$3,D2109&lt;=$G$4,'calculated data '!$A$4,D2109&lt;=$G$6,'calculated data '!$A$5,D2109&gt;=$G$6,'calculated data '!$A$6)</f>
        <v>Low Demand Tier</v>
      </c>
      <c r="F2109" s="10">
        <f t="shared" si="1"/>
        <v>-0.6154893526</v>
      </c>
    </row>
    <row r="2110" ht="14.25" customHeight="1">
      <c r="A2110" s="2" t="s">
        <v>171</v>
      </c>
      <c r="B2110" s="2" t="s">
        <v>172</v>
      </c>
      <c r="C2110" s="2">
        <v>1996.0</v>
      </c>
      <c r="D2110" s="9">
        <v>1801.7229</v>
      </c>
      <c r="E2110" s="10" t="str">
        <f t="array" ref="E2110">IFS(D2110&lt;=$G$3,'calculated data '!$A$3,D2110&lt;=$G$4,'calculated data '!$A$4,D2110&lt;=$G$6,'calculated data '!$A$5,D2110&gt;=$G$6,'calculated data '!$A$6)</f>
        <v>Low Demand Tier</v>
      </c>
      <c r="F2110" s="10">
        <f t="shared" si="1"/>
        <v>-0.6154803185</v>
      </c>
    </row>
    <row r="2111" ht="14.25" customHeight="1">
      <c r="A2111" s="2" t="s">
        <v>133</v>
      </c>
      <c r="B2111" s="2" t="s">
        <v>134</v>
      </c>
      <c r="C2111" s="2">
        <v>1967.0</v>
      </c>
      <c r="D2111" s="9">
        <v>1802.2672</v>
      </c>
      <c r="E2111" s="10" t="str">
        <f t="array" ref="E2111">IFS(D2111&lt;=$G$3,'calculated data '!$A$3,D2111&lt;=$G$4,'calculated data '!$A$4,D2111&lt;=$G$6,'calculated data '!$A$5,D2111&gt;=$G$6,'calculated data '!$A$6)</f>
        <v>Low Demand Tier</v>
      </c>
      <c r="F2111" s="10">
        <f t="shared" si="1"/>
        <v>-0.615465911</v>
      </c>
    </row>
    <row r="2112" ht="14.25" customHeight="1">
      <c r="A2112" s="2" t="s">
        <v>185</v>
      </c>
      <c r="B2112" s="2" t="s">
        <v>186</v>
      </c>
      <c r="C2112" s="2">
        <v>1981.0</v>
      </c>
      <c r="D2112" s="9">
        <v>1802.4641</v>
      </c>
      <c r="E2112" s="10" t="str">
        <f t="array" ref="E2112">IFS(D2112&lt;=$G$3,'calculated data '!$A$3,D2112&lt;=$G$4,'calculated data '!$A$4,D2112&lt;=$G$6,'calculated data '!$A$5,D2112&gt;=$G$6,'calculated data '!$A$6)</f>
        <v>Low Demand Tier</v>
      </c>
      <c r="F2112" s="10">
        <f t="shared" si="1"/>
        <v>-0.6154606991</v>
      </c>
    </row>
    <row r="2113" ht="14.25" customHeight="1">
      <c r="A2113" s="2" t="s">
        <v>111</v>
      </c>
      <c r="B2113" s="2" t="s">
        <v>112</v>
      </c>
      <c r="C2113" s="2">
        <v>1985.0</v>
      </c>
      <c r="D2113" s="9">
        <v>1804.471</v>
      </c>
      <c r="E2113" s="10" t="str">
        <f t="array" ref="E2113">IFS(D2113&lt;=$G$3,'calculated data '!$A$3,D2113&lt;=$G$4,'calculated data '!$A$4,D2113&lt;=$G$6,'calculated data '!$A$5,D2113&gt;=$G$6,'calculated data '!$A$6)</f>
        <v>Low Demand Tier</v>
      </c>
      <c r="F2113" s="10">
        <f t="shared" si="1"/>
        <v>-0.6154075769</v>
      </c>
    </row>
    <row r="2114" ht="14.25" customHeight="1">
      <c r="A2114" s="2" t="s">
        <v>173</v>
      </c>
      <c r="B2114" s="2" t="s">
        <v>174</v>
      </c>
      <c r="C2114" s="2">
        <v>2001.0</v>
      </c>
      <c r="D2114" s="9">
        <v>1804.4712</v>
      </c>
      <c r="E2114" s="10" t="str">
        <f t="array" ref="E2114">IFS(D2114&lt;=$G$3,'calculated data '!$A$3,D2114&lt;=$G$4,'calculated data '!$A$4,D2114&lt;=$G$6,'calculated data '!$A$5,D2114&gt;=$G$6,'calculated data '!$A$6)</f>
        <v>Low Demand Tier</v>
      </c>
      <c r="F2114" s="10">
        <f t="shared" si="1"/>
        <v>-0.6154075717</v>
      </c>
    </row>
    <row r="2115" ht="14.25" customHeight="1">
      <c r="A2115" s="2" t="s">
        <v>155</v>
      </c>
      <c r="B2115" s="2" t="s">
        <v>156</v>
      </c>
      <c r="C2115" s="2">
        <v>2000.0</v>
      </c>
      <c r="D2115" s="9">
        <v>1807.7109</v>
      </c>
      <c r="E2115" s="10" t="str">
        <f t="array" ref="E2115">IFS(D2115&lt;=$G$3,'calculated data '!$A$3,D2115&lt;=$G$4,'calculated data '!$A$4,D2115&lt;=$G$6,'calculated data '!$A$5,D2115&gt;=$G$6,'calculated data '!$A$6)</f>
        <v>Low Demand Tier</v>
      </c>
      <c r="F2115" s="10">
        <f t="shared" si="1"/>
        <v>-0.6153218176</v>
      </c>
    </row>
    <row r="2116" ht="14.25" customHeight="1">
      <c r="A2116" s="2" t="s">
        <v>157</v>
      </c>
      <c r="B2116" s="2" t="s">
        <v>158</v>
      </c>
      <c r="C2116" s="2">
        <v>2001.0</v>
      </c>
      <c r="D2116" s="9">
        <v>1808.9791</v>
      </c>
      <c r="E2116" s="10" t="str">
        <f t="array" ref="E2116">IFS(D2116&lt;=$G$3,'calculated data '!$A$3,D2116&lt;=$G$4,'calculated data '!$A$4,D2116&lt;=$G$6,'calculated data '!$A$5,D2116&gt;=$G$6,'calculated data '!$A$6)</f>
        <v>Low Demand Tier</v>
      </c>
      <c r="F2116" s="10">
        <f t="shared" si="1"/>
        <v>-0.6152882487</v>
      </c>
    </row>
    <row r="2117" ht="14.25" customHeight="1">
      <c r="A2117" s="2" t="s">
        <v>185</v>
      </c>
      <c r="B2117" s="2" t="s">
        <v>186</v>
      </c>
      <c r="C2117" s="2">
        <v>1984.0</v>
      </c>
      <c r="D2117" s="9">
        <v>1809.5273</v>
      </c>
      <c r="E2117" s="10" t="str">
        <f t="array" ref="E2117">IFS(D2117&lt;=$G$3,'calculated data '!$A$3,D2117&lt;=$G$4,'calculated data '!$A$4,D2117&lt;=$G$6,'calculated data '!$A$5,D2117&gt;=$G$6,'calculated data '!$A$6)</f>
        <v>Low Demand Tier</v>
      </c>
      <c r="F2117" s="10">
        <f t="shared" si="1"/>
        <v>-0.6152737379</v>
      </c>
    </row>
    <row r="2118" ht="14.25" customHeight="1">
      <c r="A2118" s="2" t="s">
        <v>189</v>
      </c>
      <c r="B2118" s="2" t="s">
        <v>190</v>
      </c>
      <c r="C2118" s="2">
        <v>1987.0</v>
      </c>
      <c r="D2118" s="9">
        <v>1811.7145</v>
      </c>
      <c r="E2118" s="10" t="str">
        <f t="array" ref="E2118">IFS(D2118&lt;=$G$3,'calculated data '!$A$3,D2118&lt;=$G$4,'calculated data '!$A$4,D2118&lt;=$G$6,'calculated data '!$A$5,D2118&gt;=$G$6,'calculated data '!$A$6)</f>
        <v>Low Demand Tier</v>
      </c>
      <c r="F2118" s="10">
        <f t="shared" si="1"/>
        <v>-0.6152158433</v>
      </c>
    </row>
    <row r="2119" ht="14.25" customHeight="1">
      <c r="A2119" s="2" t="s">
        <v>187</v>
      </c>
      <c r="B2119" s="2" t="s">
        <v>188</v>
      </c>
      <c r="C2119" s="2">
        <v>1980.0</v>
      </c>
      <c r="D2119" s="9">
        <v>1813.3136</v>
      </c>
      <c r="E2119" s="10" t="str">
        <f t="array" ref="E2119">IFS(D2119&lt;=$G$3,'calculated data '!$A$3,D2119&lt;=$G$4,'calculated data '!$A$4,D2119&lt;=$G$6,'calculated data '!$A$5,D2119&gt;=$G$6,'calculated data '!$A$6)</f>
        <v>Low Demand Tier</v>
      </c>
      <c r="F2119" s="10">
        <f t="shared" si="1"/>
        <v>-0.6151735155</v>
      </c>
    </row>
    <row r="2120" ht="14.25" customHeight="1">
      <c r="A2120" s="2" t="s">
        <v>181</v>
      </c>
      <c r="B2120" s="2" t="s">
        <v>182</v>
      </c>
      <c r="C2120" s="2">
        <v>2005.0</v>
      </c>
      <c r="D2120" s="9">
        <v>1815.0062</v>
      </c>
      <c r="E2120" s="10" t="str">
        <f t="array" ref="E2120">IFS(D2120&lt;=$G$3,'calculated data '!$A$3,D2120&lt;=$G$4,'calculated data '!$A$4,D2120&lt;=$G$6,'calculated data '!$A$5,D2120&gt;=$G$6,'calculated data '!$A$6)</f>
        <v>Low Demand Tier</v>
      </c>
      <c r="F2120" s="10">
        <f t="shared" si="1"/>
        <v>-0.6151287128</v>
      </c>
    </row>
    <row r="2121" ht="14.25" customHeight="1">
      <c r="A2121" s="2" t="s">
        <v>139</v>
      </c>
      <c r="B2121" s="2" t="s">
        <v>140</v>
      </c>
      <c r="C2121" s="2">
        <v>1995.0</v>
      </c>
      <c r="D2121" s="9">
        <v>1816.4464</v>
      </c>
      <c r="E2121" s="10" t="str">
        <f t="array" ref="E2121">IFS(D2121&lt;=$G$3,'calculated data '!$A$3,D2121&lt;=$G$4,'calculated data '!$A$4,D2121&lt;=$G$6,'calculated data '!$A$5,D2121&gt;=$G$6,'calculated data '!$A$6)</f>
        <v>Low Demand Tier</v>
      </c>
      <c r="F2121" s="10">
        <f t="shared" si="1"/>
        <v>-0.6150905911</v>
      </c>
    </row>
    <row r="2122" ht="14.25" customHeight="1">
      <c r="A2122" s="2" t="s">
        <v>161</v>
      </c>
      <c r="B2122" s="2" t="s">
        <v>162</v>
      </c>
      <c r="C2122" s="2">
        <v>2005.0</v>
      </c>
      <c r="D2122" s="9">
        <v>1818.9603</v>
      </c>
      <c r="E2122" s="10" t="str">
        <f t="array" ref="E2122">IFS(D2122&lt;=$G$3,'calculated data '!$A$3,D2122&lt;=$G$4,'calculated data '!$A$4,D2122&lt;=$G$6,'calculated data '!$A$5,D2122&gt;=$G$6,'calculated data '!$A$6)</f>
        <v>Low Demand Tier</v>
      </c>
      <c r="F2122" s="10">
        <f t="shared" si="1"/>
        <v>-0.6150240488</v>
      </c>
    </row>
    <row r="2123" ht="14.25" customHeight="1">
      <c r="A2123" s="2" t="s">
        <v>93</v>
      </c>
      <c r="B2123" s="2" t="s">
        <v>94</v>
      </c>
      <c r="C2123" s="2">
        <v>2013.0</v>
      </c>
      <c r="D2123" s="9">
        <v>1819.5419</v>
      </c>
      <c r="E2123" s="10" t="str">
        <f t="array" ref="E2123">IFS(D2123&lt;=$G$3,'calculated data '!$A$3,D2123&lt;=$G$4,'calculated data '!$A$4,D2123&lt;=$G$6,'calculated data '!$A$5,D2123&gt;=$G$6,'calculated data '!$A$6)</f>
        <v>Low Demand Tier</v>
      </c>
      <c r="F2123" s="10">
        <f t="shared" si="1"/>
        <v>-0.615008654</v>
      </c>
    </row>
    <row r="2124" ht="14.25" customHeight="1">
      <c r="A2124" s="2" t="s">
        <v>99</v>
      </c>
      <c r="B2124" s="2" t="s">
        <v>100</v>
      </c>
      <c r="C2124" s="2">
        <v>1991.0</v>
      </c>
      <c r="D2124" s="9">
        <v>1820.1377</v>
      </c>
      <c r="E2124" s="10" t="str">
        <f t="array" ref="E2124">IFS(D2124&lt;=$G$3,'calculated data '!$A$3,D2124&lt;=$G$4,'calculated data '!$A$4,D2124&lt;=$G$6,'calculated data '!$A$5,D2124&gt;=$G$6,'calculated data '!$A$6)</f>
        <v>Low Demand Tier</v>
      </c>
      <c r="F2124" s="10">
        <f t="shared" si="1"/>
        <v>-0.6149928833</v>
      </c>
    </row>
    <row r="2125" ht="14.25" customHeight="1">
      <c r="A2125" s="2" t="s">
        <v>57</v>
      </c>
      <c r="B2125" s="2" t="s">
        <v>58</v>
      </c>
      <c r="C2125" s="2">
        <v>1880.0</v>
      </c>
      <c r="D2125" s="9">
        <v>1820.3241</v>
      </c>
      <c r="E2125" s="10" t="str">
        <f t="array" ref="E2125">IFS(D2125&lt;=$G$3,'calculated data '!$A$3,D2125&lt;=$G$4,'calculated data '!$A$4,D2125&lt;=$G$6,'calculated data '!$A$5,D2125&gt;=$G$6,'calculated data '!$A$6)</f>
        <v>Low Demand Tier</v>
      </c>
      <c r="F2125" s="10">
        <f t="shared" si="1"/>
        <v>-0.6149879493</v>
      </c>
    </row>
    <row r="2126" ht="14.25" customHeight="1">
      <c r="A2126" s="2" t="s">
        <v>59</v>
      </c>
      <c r="B2126" s="2" t="s">
        <v>60</v>
      </c>
      <c r="C2126" s="2">
        <v>2022.0</v>
      </c>
      <c r="D2126" s="9">
        <v>1820.385</v>
      </c>
      <c r="E2126" s="10" t="str">
        <f t="array" ref="E2126">IFS(D2126&lt;=$G$3,'calculated data '!$A$3,D2126&lt;=$G$4,'calculated data '!$A$4,D2126&lt;=$G$6,'calculated data '!$A$5,D2126&gt;=$G$6,'calculated data '!$A$6)</f>
        <v>Low Demand Tier</v>
      </c>
      <c r="F2126" s="10">
        <f t="shared" si="1"/>
        <v>-0.6149863373</v>
      </c>
    </row>
    <row r="2127" ht="14.25" customHeight="1">
      <c r="A2127" s="2" t="s">
        <v>87</v>
      </c>
      <c r="B2127" s="2" t="s">
        <v>88</v>
      </c>
      <c r="C2127" s="2">
        <v>2019.0</v>
      </c>
      <c r="D2127" s="9">
        <v>1821.1028</v>
      </c>
      <c r="E2127" s="10" t="str">
        <f t="array" ref="E2127">IFS(D2127&lt;=$G$3,'calculated data '!$A$3,D2127&lt;=$G$4,'calculated data '!$A$4,D2127&lt;=$G$6,'calculated data '!$A$5,D2127&gt;=$G$6,'calculated data '!$A$6)</f>
        <v>Low Demand Tier</v>
      </c>
      <c r="F2127" s="10">
        <f t="shared" si="1"/>
        <v>-0.6149673373</v>
      </c>
    </row>
    <row r="2128" ht="14.25" customHeight="1">
      <c r="A2128" s="2" t="s">
        <v>85</v>
      </c>
      <c r="B2128" s="2" t="s">
        <v>86</v>
      </c>
      <c r="C2128" s="2">
        <v>2024.0</v>
      </c>
      <c r="D2128" s="9">
        <v>1821.2346</v>
      </c>
      <c r="E2128" s="10" t="str">
        <f t="array" ref="E2128">IFS(D2128&lt;=$G$3,'calculated data '!$A$3,D2128&lt;=$G$4,'calculated data '!$A$4,D2128&lt;=$G$6,'calculated data '!$A$5,D2128&gt;=$G$6,'calculated data '!$A$6)</f>
        <v>Low Demand Tier</v>
      </c>
      <c r="F2128" s="10">
        <f t="shared" si="1"/>
        <v>-0.6149638486</v>
      </c>
    </row>
    <row r="2129" ht="14.25" customHeight="1">
      <c r="A2129" s="2" t="s">
        <v>185</v>
      </c>
      <c r="B2129" s="2" t="s">
        <v>186</v>
      </c>
      <c r="C2129" s="2">
        <v>1980.0</v>
      </c>
      <c r="D2129" s="9">
        <v>1821.9205</v>
      </c>
      <c r="E2129" s="10" t="str">
        <f t="array" ref="E2129">IFS(D2129&lt;=$G$3,'calculated data '!$A$3,D2129&lt;=$G$4,'calculated data '!$A$4,D2129&lt;=$G$6,'calculated data '!$A$5,D2129&gt;=$G$6,'calculated data '!$A$6)</f>
        <v>Low Demand Tier</v>
      </c>
      <c r="F2129" s="10">
        <f t="shared" si="1"/>
        <v>-0.614945693</v>
      </c>
    </row>
    <row r="2130" ht="14.25" customHeight="1">
      <c r="A2130" s="2" t="s">
        <v>193</v>
      </c>
      <c r="B2130" s="2" t="s">
        <v>194</v>
      </c>
      <c r="C2130" s="2">
        <v>1965.0</v>
      </c>
      <c r="D2130" s="9">
        <v>1822.7441</v>
      </c>
      <c r="E2130" s="10" t="str">
        <f t="array" ref="E2130">IFS(D2130&lt;=$G$3,'calculated data '!$A$3,D2130&lt;=$G$4,'calculated data '!$A$4,D2130&lt;=$G$6,'calculated data '!$A$5,D2130&gt;=$G$6,'calculated data '!$A$6)</f>
        <v>Low Demand Tier</v>
      </c>
      <c r="F2130" s="10">
        <f t="shared" si="1"/>
        <v>-0.6149238925</v>
      </c>
    </row>
    <row r="2131" ht="14.25" customHeight="1">
      <c r="A2131" s="2" t="s">
        <v>155</v>
      </c>
      <c r="B2131" s="2" t="s">
        <v>156</v>
      </c>
      <c r="C2131" s="2">
        <v>1997.0</v>
      </c>
      <c r="D2131" s="9">
        <v>1825.1703</v>
      </c>
      <c r="E2131" s="10" t="str">
        <f t="array" ref="E2131">IFS(D2131&lt;=$G$3,'calculated data '!$A$3,D2131&lt;=$G$4,'calculated data '!$A$4,D2131&lt;=$G$6,'calculated data '!$A$5,D2131&gt;=$G$6,'calculated data '!$A$6)</f>
        <v>Low Demand Tier</v>
      </c>
      <c r="F2131" s="10">
        <f t="shared" si="1"/>
        <v>-0.6148596716</v>
      </c>
    </row>
    <row r="2132" ht="14.25" customHeight="1">
      <c r="A2132" s="2" t="s">
        <v>133</v>
      </c>
      <c r="B2132" s="2" t="s">
        <v>134</v>
      </c>
      <c r="C2132" s="2">
        <v>1968.0</v>
      </c>
      <c r="D2132" s="9">
        <v>1827.7953</v>
      </c>
      <c r="E2132" s="10" t="str">
        <f t="array" ref="E2132">IFS(D2132&lt;=$G$3,'calculated data '!$A$3,D2132&lt;=$G$4,'calculated data '!$A$4,D2132&lt;=$G$6,'calculated data '!$A$5,D2132&gt;=$G$6,'calculated data '!$A$6)</f>
        <v>Low Demand Tier</v>
      </c>
      <c r="F2132" s="10">
        <f t="shared" si="1"/>
        <v>-0.6147901885</v>
      </c>
    </row>
    <row r="2133" ht="14.25" customHeight="1">
      <c r="A2133" s="2" t="s">
        <v>185</v>
      </c>
      <c r="B2133" s="2" t="s">
        <v>186</v>
      </c>
      <c r="C2133" s="2">
        <v>1985.0</v>
      </c>
      <c r="D2133" s="9">
        <v>1828.3595</v>
      </c>
      <c r="E2133" s="10" t="str">
        <f t="array" ref="E2133">IFS(D2133&lt;=$G$3,'calculated data '!$A$3,D2133&lt;=$G$4,'calculated data '!$A$4,D2133&lt;=$G$6,'calculated data '!$A$5,D2133&gt;=$G$6,'calculated data '!$A$6)</f>
        <v>Low Demand Tier</v>
      </c>
      <c r="F2133" s="10">
        <f t="shared" si="1"/>
        <v>-0.6147752543</v>
      </c>
    </row>
    <row r="2134" ht="14.25" customHeight="1">
      <c r="A2134" s="2" t="s">
        <v>143</v>
      </c>
      <c r="B2134" s="2" t="s">
        <v>144</v>
      </c>
      <c r="C2134" s="2">
        <v>2000.0</v>
      </c>
      <c r="D2134" s="9">
        <v>1828.8981</v>
      </c>
      <c r="E2134" s="10" t="str">
        <f t="array" ref="E2134">IFS(D2134&lt;=$G$3,'calculated data '!$A$3,D2134&lt;=$G$4,'calculated data '!$A$4,D2134&lt;=$G$6,'calculated data '!$A$5,D2134&gt;=$G$6,'calculated data '!$A$6)</f>
        <v>Low Demand Tier</v>
      </c>
      <c r="F2134" s="10">
        <f t="shared" si="1"/>
        <v>-0.6147609977</v>
      </c>
    </row>
    <row r="2135" ht="14.25" customHeight="1">
      <c r="A2135" s="2" t="s">
        <v>187</v>
      </c>
      <c r="B2135" s="2" t="s">
        <v>188</v>
      </c>
      <c r="C2135" s="2">
        <v>2019.0</v>
      </c>
      <c r="D2135" s="9">
        <v>1829.2687</v>
      </c>
      <c r="E2135" s="10" t="str">
        <f t="array" ref="E2135">IFS(D2135&lt;=$G$3,'calculated data '!$A$3,D2135&lt;=$G$4,'calculated data '!$A$4,D2135&lt;=$G$6,'calculated data '!$A$5,D2135&gt;=$G$6,'calculated data '!$A$6)</f>
        <v>Low Demand Tier</v>
      </c>
      <c r="F2135" s="10">
        <f t="shared" si="1"/>
        <v>-0.614751188</v>
      </c>
    </row>
    <row r="2136" ht="14.25" customHeight="1">
      <c r="A2136" s="2" t="s">
        <v>187</v>
      </c>
      <c r="B2136" s="2" t="s">
        <v>188</v>
      </c>
      <c r="C2136" s="2">
        <v>1995.0</v>
      </c>
      <c r="D2136" s="9">
        <v>1829.7211</v>
      </c>
      <c r="E2136" s="10" t="str">
        <f t="array" ref="E2136">IFS(D2136&lt;=$G$3,'calculated data '!$A$3,D2136&lt;=$G$4,'calculated data '!$A$4,D2136&lt;=$G$6,'calculated data '!$A$5,D2136&gt;=$G$6,'calculated data '!$A$6)</f>
        <v>Low Demand Tier</v>
      </c>
      <c r="F2136" s="10">
        <f t="shared" si="1"/>
        <v>-0.6147392131</v>
      </c>
    </row>
    <row r="2137" ht="14.25" customHeight="1">
      <c r="A2137" s="2" t="s">
        <v>171</v>
      </c>
      <c r="B2137" s="2" t="s">
        <v>172</v>
      </c>
      <c r="C2137" s="2">
        <v>1995.0</v>
      </c>
      <c r="D2137" s="9">
        <v>1830.6353</v>
      </c>
      <c r="E2137" s="10" t="str">
        <f t="array" ref="E2137">IFS(D2137&lt;=$G$3,'calculated data '!$A$3,D2137&lt;=$G$4,'calculated data '!$A$4,D2137&lt;=$G$6,'calculated data '!$A$5,D2137&gt;=$G$6,'calculated data '!$A$6)</f>
        <v>Low Demand Tier</v>
      </c>
      <c r="F2137" s="10">
        <f t="shared" si="1"/>
        <v>-0.6147150144</v>
      </c>
    </row>
    <row r="2138" ht="14.25" customHeight="1">
      <c r="A2138" s="2" t="s">
        <v>175</v>
      </c>
      <c r="B2138" s="2" t="s">
        <v>176</v>
      </c>
      <c r="C2138" s="2">
        <v>1982.0</v>
      </c>
      <c r="D2138" s="9">
        <v>1830.6716</v>
      </c>
      <c r="E2138" s="10" t="str">
        <f t="array" ref="E2138">IFS(D2138&lt;=$G$3,'calculated data '!$A$3,D2138&lt;=$G$4,'calculated data '!$A$4,D2138&lt;=$G$6,'calculated data '!$A$5,D2138&gt;=$G$6,'calculated data '!$A$6)</f>
        <v>Low Demand Tier</v>
      </c>
      <c r="F2138" s="10">
        <f t="shared" si="1"/>
        <v>-0.6147140536</v>
      </c>
    </row>
    <row r="2139" ht="14.25" customHeight="1">
      <c r="A2139" s="2" t="s">
        <v>155</v>
      </c>
      <c r="B2139" s="2" t="s">
        <v>156</v>
      </c>
      <c r="C2139" s="2">
        <v>2008.0</v>
      </c>
      <c r="D2139" s="9">
        <v>1831.5574</v>
      </c>
      <c r="E2139" s="10" t="str">
        <f t="array" ref="E2139">IFS(D2139&lt;=$G$3,'calculated data '!$A$3,D2139&lt;=$G$4,'calculated data '!$A$4,D2139&lt;=$G$6,'calculated data '!$A$5,D2139&gt;=$G$6,'calculated data '!$A$6)</f>
        <v>Low Demand Tier</v>
      </c>
      <c r="F2139" s="10">
        <f t="shared" si="1"/>
        <v>-0.6146906067</v>
      </c>
    </row>
    <row r="2140" ht="14.25" customHeight="1">
      <c r="A2140" s="2" t="s">
        <v>155</v>
      </c>
      <c r="B2140" s="2" t="s">
        <v>156</v>
      </c>
      <c r="C2140" s="2">
        <v>1994.0</v>
      </c>
      <c r="D2140" s="9">
        <v>1831.6108</v>
      </c>
      <c r="E2140" s="10" t="str">
        <f t="array" ref="E2140">IFS(D2140&lt;=$G$3,'calculated data '!$A$3,D2140&lt;=$G$4,'calculated data '!$A$4,D2140&lt;=$G$6,'calculated data '!$A$5,D2140&gt;=$G$6,'calculated data '!$A$6)</f>
        <v>Low Demand Tier</v>
      </c>
      <c r="F2140" s="10">
        <f t="shared" si="1"/>
        <v>-0.6146891932</v>
      </c>
    </row>
    <row r="2141" ht="14.25" customHeight="1">
      <c r="A2141" s="2" t="s">
        <v>155</v>
      </c>
      <c r="B2141" s="2" t="s">
        <v>156</v>
      </c>
      <c r="C2141" s="2">
        <v>2006.0</v>
      </c>
      <c r="D2141" s="9">
        <v>1832.45</v>
      </c>
      <c r="E2141" s="10" t="str">
        <f t="array" ref="E2141">IFS(D2141&lt;=$G$3,'calculated data '!$A$3,D2141&lt;=$G$4,'calculated data '!$A$4,D2141&lt;=$G$6,'calculated data '!$A$5,D2141&gt;=$G$6,'calculated data '!$A$6)</f>
        <v>Low Demand Tier</v>
      </c>
      <c r="F2141" s="10">
        <f t="shared" si="1"/>
        <v>-0.6146669798</v>
      </c>
    </row>
    <row r="2142" ht="14.25" customHeight="1">
      <c r="A2142" s="2" t="s">
        <v>181</v>
      </c>
      <c r="B2142" s="2" t="s">
        <v>182</v>
      </c>
      <c r="C2142" s="2">
        <v>1989.0</v>
      </c>
      <c r="D2142" s="9">
        <v>1833.2638</v>
      </c>
      <c r="E2142" s="10" t="str">
        <f t="array" ref="E2142">IFS(D2142&lt;=$G$3,'calculated data '!$A$3,D2142&lt;=$G$4,'calculated data '!$A$4,D2142&lt;=$G$6,'calculated data '!$A$5,D2142&gt;=$G$6,'calculated data '!$A$6)</f>
        <v>Low Demand Tier</v>
      </c>
      <c r="F2142" s="10">
        <f t="shared" si="1"/>
        <v>-0.6146454387</v>
      </c>
    </row>
    <row r="2143" ht="14.25" customHeight="1">
      <c r="A2143" s="2" t="s">
        <v>159</v>
      </c>
      <c r="B2143" s="2" t="s">
        <v>160</v>
      </c>
      <c r="C2143" s="2">
        <v>1970.0</v>
      </c>
      <c r="D2143" s="9">
        <v>1833.5746</v>
      </c>
      <c r="E2143" s="10" t="str">
        <f t="array" ref="E2143">IFS(D2143&lt;=$G$3,'calculated data '!$A$3,D2143&lt;=$G$4,'calculated data '!$A$4,D2143&lt;=$G$6,'calculated data '!$A$5,D2143&gt;=$G$6,'calculated data '!$A$6)</f>
        <v>Low Demand Tier</v>
      </c>
      <c r="F2143" s="10">
        <f t="shared" si="1"/>
        <v>-0.6146372119</v>
      </c>
    </row>
    <row r="2144" ht="14.25" customHeight="1">
      <c r="A2144" s="2" t="s">
        <v>111</v>
      </c>
      <c r="B2144" s="2" t="s">
        <v>112</v>
      </c>
      <c r="C2144" s="2">
        <v>1984.0</v>
      </c>
      <c r="D2144" s="9">
        <v>1835.0839</v>
      </c>
      <c r="E2144" s="10" t="str">
        <f t="array" ref="E2144">IFS(D2144&lt;=$G$3,'calculated data '!$A$3,D2144&lt;=$G$4,'calculated data '!$A$4,D2144&lt;=$G$6,'calculated data '!$A$5,D2144&gt;=$G$6,'calculated data '!$A$6)</f>
        <v>Low Demand Tier</v>
      </c>
      <c r="F2144" s="10">
        <f t="shared" si="1"/>
        <v>-0.6145972611</v>
      </c>
    </row>
    <row r="2145" ht="14.25" customHeight="1">
      <c r="A2145" s="2" t="s">
        <v>93</v>
      </c>
      <c r="B2145" s="2" t="s">
        <v>94</v>
      </c>
      <c r="C2145" s="2">
        <v>2012.0</v>
      </c>
      <c r="D2145" s="9">
        <v>1836.2549</v>
      </c>
      <c r="E2145" s="10" t="str">
        <f t="array" ref="E2145">IFS(D2145&lt;=$G$3,'calculated data '!$A$3,D2145&lt;=$G$4,'calculated data '!$A$4,D2145&lt;=$G$6,'calculated data '!$A$5,D2145&gt;=$G$6,'calculated data '!$A$6)</f>
        <v>Low Demand Tier</v>
      </c>
      <c r="F2145" s="10">
        <f t="shared" si="1"/>
        <v>-0.614566265</v>
      </c>
    </row>
    <row r="2146" ht="14.25" customHeight="1">
      <c r="A2146" s="2" t="s">
        <v>93</v>
      </c>
      <c r="B2146" s="2" t="s">
        <v>94</v>
      </c>
      <c r="C2146" s="2">
        <v>2021.0</v>
      </c>
      <c r="D2146" s="9">
        <v>1837.7991</v>
      </c>
      <c r="E2146" s="10" t="str">
        <f t="array" ref="E2146">IFS(D2146&lt;=$G$3,'calculated data '!$A$3,D2146&lt;=$G$4,'calculated data '!$A$4,D2146&lt;=$G$6,'calculated data '!$A$5,D2146&gt;=$G$6,'calculated data '!$A$6)</f>
        <v>Low Demand Tier</v>
      </c>
      <c r="F2146" s="10">
        <f t="shared" si="1"/>
        <v>-0.6145253904</v>
      </c>
    </row>
    <row r="2147" ht="14.25" customHeight="1">
      <c r="A2147" s="2" t="s">
        <v>167</v>
      </c>
      <c r="B2147" s="2" t="s">
        <v>168</v>
      </c>
      <c r="C2147" s="2">
        <v>2006.0</v>
      </c>
      <c r="D2147" s="9">
        <v>1838.13</v>
      </c>
      <c r="E2147" s="10" t="str">
        <f t="array" ref="E2147">IFS(D2147&lt;=$G$3,'calculated data '!$A$3,D2147&lt;=$G$4,'calculated data '!$A$4,D2147&lt;=$G$6,'calculated data '!$A$5,D2147&gt;=$G$6,'calculated data '!$A$6)</f>
        <v>Low Demand Tier</v>
      </c>
      <c r="F2147" s="10">
        <f t="shared" si="1"/>
        <v>-0.6145166316</v>
      </c>
    </row>
    <row r="2148" ht="14.25" customHeight="1">
      <c r="A2148" s="2" t="s">
        <v>93</v>
      </c>
      <c r="B2148" s="2" t="s">
        <v>94</v>
      </c>
      <c r="C2148" s="2">
        <v>2008.0</v>
      </c>
      <c r="D2148" s="9">
        <v>1839.1592</v>
      </c>
      <c r="E2148" s="10" t="str">
        <f t="array" ref="E2148">IFS(D2148&lt;=$G$3,'calculated data '!$A$3,D2148&lt;=$G$4,'calculated data '!$A$4,D2148&lt;=$G$6,'calculated data '!$A$5,D2148&gt;=$G$6,'calculated data '!$A$6)</f>
        <v>Low Demand Tier</v>
      </c>
      <c r="F2148" s="10">
        <f t="shared" si="1"/>
        <v>-0.6144893889</v>
      </c>
    </row>
    <row r="2149" ht="14.25" customHeight="1">
      <c r="A2149" s="2" t="s">
        <v>167</v>
      </c>
      <c r="B2149" s="2" t="s">
        <v>168</v>
      </c>
      <c r="C2149" s="2">
        <v>1983.0</v>
      </c>
      <c r="D2149" s="9">
        <v>1840.0729</v>
      </c>
      <c r="E2149" s="10" t="str">
        <f t="array" ref="E2149">IFS(D2149&lt;=$G$3,'calculated data '!$A$3,D2149&lt;=$G$4,'calculated data '!$A$4,D2149&lt;=$G$6,'calculated data '!$A$5,D2149&gt;=$G$6,'calculated data '!$A$6)</f>
        <v>Low Demand Tier</v>
      </c>
      <c r="F2149" s="10">
        <f t="shared" si="1"/>
        <v>-0.6144652035</v>
      </c>
    </row>
    <row r="2150" ht="14.25" customHeight="1">
      <c r="A2150" s="2" t="s">
        <v>93</v>
      </c>
      <c r="B2150" s="2" t="s">
        <v>94</v>
      </c>
      <c r="C2150" s="2">
        <v>2022.0</v>
      </c>
      <c r="D2150" s="9">
        <v>1841.9174</v>
      </c>
      <c r="E2150" s="10" t="str">
        <f t="array" ref="E2150">IFS(D2150&lt;=$G$3,'calculated data '!$A$3,D2150&lt;=$G$4,'calculated data '!$A$4,D2150&lt;=$G$6,'calculated data '!$A$5,D2150&gt;=$G$6,'calculated data '!$A$6)</f>
        <v>Low Demand Tier</v>
      </c>
      <c r="F2150" s="10">
        <f t="shared" si="1"/>
        <v>-0.6144163801</v>
      </c>
    </row>
    <row r="2151" ht="14.25" customHeight="1">
      <c r="A2151" s="2" t="s">
        <v>87</v>
      </c>
      <c r="B2151" s="2" t="s">
        <v>88</v>
      </c>
      <c r="C2151" s="2">
        <v>2017.0</v>
      </c>
      <c r="D2151" s="9">
        <v>1842.3643</v>
      </c>
      <c r="E2151" s="10" t="str">
        <f t="array" ref="E2151">IFS(D2151&lt;=$G$3,'calculated data '!$A$3,D2151&lt;=$G$4,'calculated data '!$A$4,D2151&lt;=$G$6,'calculated data '!$A$5,D2151&gt;=$G$6,'calculated data '!$A$6)</f>
        <v>Low Demand Tier</v>
      </c>
      <c r="F2151" s="10">
        <f t="shared" si="1"/>
        <v>-0.6144045507</v>
      </c>
    </row>
    <row r="2152" ht="14.25" customHeight="1">
      <c r="A2152" s="2" t="s">
        <v>133</v>
      </c>
      <c r="B2152" s="2" t="s">
        <v>134</v>
      </c>
      <c r="C2152" s="2">
        <v>1973.0</v>
      </c>
      <c r="D2152" s="9">
        <v>1843.1736</v>
      </c>
      <c r="E2152" s="10" t="str">
        <f t="array" ref="E2152">IFS(D2152&lt;=$G$3,'calculated data '!$A$3,D2152&lt;=$G$4,'calculated data '!$A$4,D2152&lt;=$G$6,'calculated data '!$A$5,D2152&gt;=$G$6,'calculated data '!$A$6)</f>
        <v>Low Demand Tier</v>
      </c>
      <c r="F2152" s="10">
        <f t="shared" si="1"/>
        <v>-0.6143831288</v>
      </c>
    </row>
    <row r="2153" ht="14.25" customHeight="1">
      <c r="A2153" s="2" t="s">
        <v>131</v>
      </c>
      <c r="B2153" s="2" t="s">
        <v>132</v>
      </c>
      <c r="C2153" s="2">
        <v>2014.0</v>
      </c>
      <c r="D2153" s="9">
        <v>1843.6886</v>
      </c>
      <c r="E2153" s="10" t="str">
        <f t="array" ref="E2153">IFS(D2153&lt;=$G$3,'calculated data '!$A$3,D2153&lt;=$G$4,'calculated data '!$A$4,D2153&lt;=$G$6,'calculated data '!$A$5,D2153&gt;=$G$6,'calculated data '!$A$6)</f>
        <v>Low Demand Tier</v>
      </c>
      <c r="F2153" s="10">
        <f t="shared" si="1"/>
        <v>-0.6143694968</v>
      </c>
    </row>
    <row r="2154" ht="14.25" customHeight="1">
      <c r="A2154" s="2" t="s">
        <v>87</v>
      </c>
      <c r="B2154" s="2" t="s">
        <v>88</v>
      </c>
      <c r="C2154" s="2">
        <v>2023.0</v>
      </c>
      <c r="D2154" s="9">
        <v>1843.9155</v>
      </c>
      <c r="E2154" s="10" t="str">
        <f t="array" ref="E2154">IFS(D2154&lt;=$G$3,'calculated data '!$A$3,D2154&lt;=$G$4,'calculated data '!$A$4,D2154&lt;=$G$6,'calculated data '!$A$5,D2154&gt;=$G$6,'calculated data '!$A$6)</f>
        <v>Low Demand Tier</v>
      </c>
      <c r="F2154" s="10">
        <f t="shared" si="1"/>
        <v>-0.6143634909</v>
      </c>
    </row>
    <row r="2155" ht="14.25" customHeight="1">
      <c r="A2155" s="2" t="s">
        <v>167</v>
      </c>
      <c r="B2155" s="2" t="s">
        <v>168</v>
      </c>
      <c r="C2155" s="2">
        <v>1999.0</v>
      </c>
      <c r="D2155" s="9">
        <v>1845.0272</v>
      </c>
      <c r="E2155" s="10" t="str">
        <f t="array" ref="E2155">IFS(D2155&lt;=$G$3,'calculated data '!$A$3,D2155&lt;=$G$4,'calculated data '!$A$4,D2155&lt;=$G$6,'calculated data '!$A$5,D2155&gt;=$G$6,'calculated data '!$A$6)</f>
        <v>Low Demand Tier</v>
      </c>
      <c r="F2155" s="10">
        <f t="shared" si="1"/>
        <v>-0.6143340644</v>
      </c>
    </row>
    <row r="2156" ht="14.25" customHeight="1">
      <c r="A2156" s="2" t="s">
        <v>177</v>
      </c>
      <c r="B2156" s="2" t="s">
        <v>178</v>
      </c>
      <c r="C2156" s="2">
        <v>2018.0</v>
      </c>
      <c r="D2156" s="9">
        <v>1845.472</v>
      </c>
      <c r="E2156" s="10" t="str">
        <f t="array" ref="E2156">IFS(D2156&lt;=$G$3,'calculated data '!$A$3,D2156&lt;=$G$4,'calculated data '!$A$4,D2156&lt;=$G$6,'calculated data '!$A$5,D2156&gt;=$G$6,'calculated data '!$A$6)</f>
        <v>Low Demand Tier</v>
      </c>
      <c r="F2156" s="10">
        <f t="shared" si="1"/>
        <v>-0.6143222907</v>
      </c>
    </row>
    <row r="2157" ht="14.25" customHeight="1">
      <c r="A2157" s="2" t="s">
        <v>155</v>
      </c>
      <c r="B2157" s="2" t="s">
        <v>156</v>
      </c>
      <c r="C2157" s="2">
        <v>2005.0</v>
      </c>
      <c r="D2157" s="9">
        <v>1845.8534</v>
      </c>
      <c r="E2157" s="10" t="str">
        <f t="array" ref="E2157">IFS(D2157&lt;=$G$3,'calculated data '!$A$3,D2157&lt;=$G$4,'calculated data '!$A$4,D2157&lt;=$G$6,'calculated data '!$A$5,D2157&gt;=$G$6,'calculated data '!$A$6)</f>
        <v>Low Demand Tier</v>
      </c>
      <c r="F2157" s="10">
        <f t="shared" si="1"/>
        <v>-0.6143121951</v>
      </c>
    </row>
    <row r="2158" ht="14.25" customHeight="1">
      <c r="A2158" s="2" t="s">
        <v>145</v>
      </c>
      <c r="B2158" s="2" t="s">
        <v>146</v>
      </c>
      <c r="C2158" s="2">
        <v>1989.0</v>
      </c>
      <c r="D2158" s="9">
        <v>1845.9058</v>
      </c>
      <c r="E2158" s="10" t="str">
        <f t="array" ref="E2158">IFS(D2158&lt;=$G$3,'calculated data '!$A$3,D2158&lt;=$G$4,'calculated data '!$A$4,D2158&lt;=$G$6,'calculated data '!$A$5,D2158&gt;=$G$6,'calculated data '!$A$6)</f>
        <v>Low Demand Tier</v>
      </c>
      <c r="F2158" s="10">
        <f t="shared" si="1"/>
        <v>-0.6143108081</v>
      </c>
    </row>
    <row r="2159" ht="14.25" customHeight="1">
      <c r="A2159" s="2" t="s">
        <v>165</v>
      </c>
      <c r="B2159" s="2" t="s">
        <v>166</v>
      </c>
      <c r="C2159" s="2">
        <v>1984.0</v>
      </c>
      <c r="D2159" s="9">
        <v>1850.1614</v>
      </c>
      <c r="E2159" s="10" t="str">
        <f t="array" ref="E2159">IFS(D2159&lt;=$G$3,'calculated data '!$A$3,D2159&lt;=$G$4,'calculated data '!$A$4,D2159&lt;=$G$6,'calculated data '!$A$5,D2159&gt;=$G$6,'calculated data '!$A$6)</f>
        <v>Low Demand Tier</v>
      </c>
      <c r="F2159" s="10">
        <f t="shared" si="1"/>
        <v>-0.6141981634</v>
      </c>
    </row>
    <row r="2160" ht="14.25" customHeight="1">
      <c r="A2160" s="2" t="s">
        <v>155</v>
      </c>
      <c r="B2160" s="2" t="s">
        <v>156</v>
      </c>
      <c r="C2160" s="2">
        <v>1996.0</v>
      </c>
      <c r="D2160" s="9">
        <v>1850.8123</v>
      </c>
      <c r="E2160" s="10" t="str">
        <f t="array" ref="E2160">IFS(D2160&lt;=$G$3,'calculated data '!$A$3,D2160&lt;=$G$4,'calculated data '!$A$4,D2160&lt;=$G$6,'calculated data '!$A$5,D2160&gt;=$G$6,'calculated data '!$A$6)</f>
        <v>Low Demand Tier</v>
      </c>
      <c r="F2160" s="10">
        <f t="shared" si="1"/>
        <v>-0.6141809343</v>
      </c>
    </row>
    <row r="2161" ht="14.25" customHeight="1">
      <c r="A2161" s="2" t="s">
        <v>145</v>
      </c>
      <c r="B2161" s="2" t="s">
        <v>146</v>
      </c>
      <c r="C2161" s="2">
        <v>1986.0</v>
      </c>
      <c r="D2161" s="9">
        <v>1852.4265</v>
      </c>
      <c r="E2161" s="10" t="str">
        <f t="array" ref="E2161">IFS(D2161&lt;=$G$3,'calculated data '!$A$3,D2161&lt;=$G$4,'calculated data '!$A$4,D2161&lt;=$G$6,'calculated data '!$A$5,D2161&gt;=$G$6,'calculated data '!$A$6)</f>
        <v>Low Demand Tier</v>
      </c>
      <c r="F2161" s="10">
        <f t="shared" si="1"/>
        <v>-0.6141382068</v>
      </c>
    </row>
    <row r="2162" ht="14.25" customHeight="1">
      <c r="A2162" s="2" t="s">
        <v>93</v>
      </c>
      <c r="B2162" s="2" t="s">
        <v>94</v>
      </c>
      <c r="C2162" s="2">
        <v>2007.0</v>
      </c>
      <c r="D2162" s="9">
        <v>1853.5352</v>
      </c>
      <c r="E2162" s="10" t="str">
        <f t="array" ref="E2162">IFS(D2162&lt;=$G$3,'calculated data '!$A$3,D2162&lt;=$G$4,'calculated data '!$A$4,D2162&lt;=$G$6,'calculated data '!$A$5,D2162&gt;=$G$6,'calculated data '!$A$6)</f>
        <v>Low Demand Tier</v>
      </c>
      <c r="F2162" s="10">
        <f t="shared" si="1"/>
        <v>-0.6141088598</v>
      </c>
    </row>
    <row r="2163" ht="14.25" customHeight="1">
      <c r="A2163" s="2" t="s">
        <v>123</v>
      </c>
      <c r="B2163" s="2" t="s">
        <v>124</v>
      </c>
      <c r="C2163" s="2">
        <v>2022.0</v>
      </c>
      <c r="D2163" s="9">
        <v>1854.0256</v>
      </c>
      <c r="E2163" s="10" t="str">
        <f t="array" ref="E2163">IFS(D2163&lt;=$G$3,'calculated data '!$A$3,D2163&lt;=$G$4,'calculated data '!$A$4,D2163&lt;=$G$6,'calculated data '!$A$5,D2163&gt;=$G$6,'calculated data '!$A$6)</f>
        <v>Low Demand Tier</v>
      </c>
      <c r="F2163" s="10">
        <f t="shared" si="1"/>
        <v>-0.614095879</v>
      </c>
    </row>
    <row r="2164" ht="14.25" customHeight="1">
      <c r="A2164" s="2" t="s">
        <v>171</v>
      </c>
      <c r="B2164" s="2" t="s">
        <v>172</v>
      </c>
      <c r="C2164" s="2">
        <v>1984.0</v>
      </c>
      <c r="D2164" s="9">
        <v>1854.5764</v>
      </c>
      <c r="E2164" s="10" t="str">
        <f t="array" ref="E2164">IFS(D2164&lt;=$G$3,'calculated data '!$A$3,D2164&lt;=$G$4,'calculated data '!$A$4,D2164&lt;=$G$6,'calculated data '!$A$5,D2164&gt;=$G$6,'calculated data '!$A$6)</f>
        <v>Low Demand Tier</v>
      </c>
      <c r="F2164" s="10">
        <f t="shared" si="1"/>
        <v>-0.6140812995</v>
      </c>
    </row>
    <row r="2165" ht="14.25" customHeight="1">
      <c r="A2165" s="2" t="s">
        <v>181</v>
      </c>
      <c r="B2165" s="2" t="s">
        <v>182</v>
      </c>
      <c r="C2165" s="2">
        <v>1992.0</v>
      </c>
      <c r="D2165" s="9">
        <v>1861.2843</v>
      </c>
      <c r="E2165" s="10" t="str">
        <f t="array" ref="E2165">IFS(D2165&lt;=$G$3,'calculated data '!$A$3,D2165&lt;=$G$4,'calculated data '!$A$4,D2165&lt;=$G$6,'calculated data '!$A$5,D2165&gt;=$G$6,'calculated data '!$A$6)</f>
        <v>Low Demand Tier</v>
      </c>
      <c r="F2165" s="10">
        <f t="shared" si="1"/>
        <v>-0.613903743</v>
      </c>
    </row>
    <row r="2166" ht="14.25" customHeight="1">
      <c r="A2166" s="2" t="s">
        <v>179</v>
      </c>
      <c r="B2166" s="2" t="s">
        <v>180</v>
      </c>
      <c r="C2166" s="2">
        <v>1993.0</v>
      </c>
      <c r="D2166" s="9">
        <v>1861.9889</v>
      </c>
      <c r="E2166" s="10" t="str">
        <f t="array" ref="E2166">IFS(D2166&lt;=$G$3,'calculated data '!$A$3,D2166&lt;=$G$4,'calculated data '!$A$4,D2166&lt;=$G$6,'calculated data '!$A$5,D2166&gt;=$G$6,'calculated data '!$A$6)</f>
        <v>Low Demand Tier</v>
      </c>
      <c r="F2166" s="10">
        <f t="shared" si="1"/>
        <v>-0.6138850925</v>
      </c>
    </row>
    <row r="2167" ht="14.25" customHeight="1">
      <c r="A2167" s="2" t="s">
        <v>161</v>
      </c>
      <c r="B2167" s="2" t="s">
        <v>162</v>
      </c>
      <c r="C2167" s="2">
        <v>2004.0</v>
      </c>
      <c r="D2167" s="9">
        <v>1863.606</v>
      </c>
      <c r="E2167" s="10" t="str">
        <f t="array" ref="E2167">IFS(D2167&lt;=$G$3,'calculated data '!$A$3,D2167&lt;=$G$4,'calculated data '!$A$4,D2167&lt;=$G$6,'calculated data '!$A$5,D2167&gt;=$G$6,'calculated data '!$A$6)</f>
        <v>Low Demand Tier</v>
      </c>
      <c r="F2167" s="10">
        <f t="shared" si="1"/>
        <v>-0.6138422882</v>
      </c>
    </row>
    <row r="2168" ht="14.25" customHeight="1">
      <c r="A2168" s="2" t="s">
        <v>123</v>
      </c>
      <c r="B2168" s="2" t="s">
        <v>124</v>
      </c>
      <c r="C2168" s="2">
        <v>2006.0</v>
      </c>
      <c r="D2168" s="9">
        <v>1865.1566</v>
      </c>
      <c r="E2168" s="10" t="str">
        <f t="array" ref="E2168">IFS(D2168&lt;=$G$3,'calculated data '!$A$3,D2168&lt;=$G$4,'calculated data '!$A$4,D2168&lt;=$G$6,'calculated data '!$A$5,D2168&gt;=$G$6,'calculated data '!$A$6)</f>
        <v>Low Demand Tier</v>
      </c>
      <c r="F2168" s="10">
        <f t="shared" si="1"/>
        <v>-0.6138012442</v>
      </c>
    </row>
    <row r="2169" ht="14.25" customHeight="1">
      <c r="A2169" s="2" t="s">
        <v>155</v>
      </c>
      <c r="B2169" s="2" t="s">
        <v>156</v>
      </c>
      <c r="C2169" s="2">
        <v>1992.0</v>
      </c>
      <c r="D2169" s="9">
        <v>1870.2538</v>
      </c>
      <c r="E2169" s="10" t="str">
        <f t="array" ref="E2169">IFS(D2169&lt;=$G$3,'calculated data '!$A$3,D2169&lt;=$G$4,'calculated data '!$A$4,D2169&lt;=$G$6,'calculated data '!$A$5,D2169&gt;=$G$6,'calculated data '!$A$6)</f>
        <v>Low Demand Tier</v>
      </c>
      <c r="F2169" s="10">
        <f t="shared" si="1"/>
        <v>-0.6136663226</v>
      </c>
    </row>
    <row r="2170" ht="14.25" customHeight="1">
      <c r="A2170" s="2" t="s">
        <v>175</v>
      </c>
      <c r="B2170" s="2" t="s">
        <v>176</v>
      </c>
      <c r="C2170" s="2">
        <v>1983.0</v>
      </c>
      <c r="D2170" s="9">
        <v>1870.7389</v>
      </c>
      <c r="E2170" s="10" t="str">
        <f t="array" ref="E2170">IFS(D2170&lt;=$G$3,'calculated data '!$A$3,D2170&lt;=$G$4,'calculated data '!$A$4,D2170&lt;=$G$6,'calculated data '!$A$5,D2170&gt;=$G$6,'calculated data '!$A$6)</f>
        <v>Low Demand Tier</v>
      </c>
      <c r="F2170" s="10">
        <f t="shared" si="1"/>
        <v>-0.6136534821</v>
      </c>
    </row>
    <row r="2171" ht="14.25" customHeight="1">
      <c r="A2171" s="2" t="s">
        <v>123</v>
      </c>
      <c r="B2171" s="2" t="s">
        <v>124</v>
      </c>
      <c r="C2171" s="2">
        <v>2014.0</v>
      </c>
      <c r="D2171" s="9">
        <v>1871.9601</v>
      </c>
      <c r="E2171" s="10" t="str">
        <f t="array" ref="E2171">IFS(D2171&lt;=$G$3,'calculated data '!$A$3,D2171&lt;=$G$4,'calculated data '!$A$4,D2171&lt;=$G$6,'calculated data '!$A$5,D2171&gt;=$G$6,'calculated data '!$A$6)</f>
        <v>Low Demand Tier</v>
      </c>
      <c r="F2171" s="10">
        <f t="shared" si="1"/>
        <v>-0.6136211573</v>
      </c>
    </row>
    <row r="2172" ht="14.25" customHeight="1">
      <c r="A2172" s="2" t="s">
        <v>167</v>
      </c>
      <c r="B2172" s="2" t="s">
        <v>168</v>
      </c>
      <c r="C2172" s="2">
        <v>1982.0</v>
      </c>
      <c r="D2172" s="9">
        <v>1874.1976</v>
      </c>
      <c r="E2172" s="10" t="str">
        <f t="array" ref="E2172">IFS(D2172&lt;=$G$3,'calculated data '!$A$3,D2172&lt;=$G$4,'calculated data '!$A$4,D2172&lt;=$G$6,'calculated data '!$A$5,D2172&gt;=$G$6,'calculated data '!$A$6)</f>
        <v>Low Demand Tier</v>
      </c>
      <c r="F2172" s="10">
        <f t="shared" si="1"/>
        <v>-0.6135619312</v>
      </c>
    </row>
    <row r="2173" ht="14.25" customHeight="1">
      <c r="A2173" s="2" t="s">
        <v>133</v>
      </c>
      <c r="B2173" s="2" t="s">
        <v>134</v>
      </c>
      <c r="C2173" s="2">
        <v>1971.0</v>
      </c>
      <c r="D2173" s="9">
        <v>1875.7249</v>
      </c>
      <c r="E2173" s="10" t="str">
        <f t="array" ref="E2173">IFS(D2173&lt;=$G$3,'calculated data '!$A$3,D2173&lt;=$G$4,'calculated data '!$A$4,D2173&lt;=$G$6,'calculated data '!$A$5,D2173&gt;=$G$6,'calculated data '!$A$6)</f>
        <v>Low Demand Tier</v>
      </c>
      <c r="F2173" s="10">
        <f t="shared" si="1"/>
        <v>-0.613521504</v>
      </c>
    </row>
    <row r="2174" ht="14.25" customHeight="1">
      <c r="A2174" s="2" t="s">
        <v>99</v>
      </c>
      <c r="B2174" s="2" t="s">
        <v>100</v>
      </c>
      <c r="C2174" s="2">
        <v>1990.0</v>
      </c>
      <c r="D2174" s="9">
        <v>1877.1293</v>
      </c>
      <c r="E2174" s="10" t="str">
        <f t="array" ref="E2174">IFS(D2174&lt;=$G$3,'calculated data '!$A$3,D2174&lt;=$G$4,'calculated data '!$A$4,D2174&lt;=$G$6,'calculated data '!$A$5,D2174&gt;=$G$6,'calculated data '!$A$6)</f>
        <v>Low Demand Tier</v>
      </c>
      <c r="F2174" s="10">
        <f t="shared" si="1"/>
        <v>-0.6134843298</v>
      </c>
    </row>
    <row r="2175" ht="14.25" customHeight="1">
      <c r="A2175" s="2" t="s">
        <v>93</v>
      </c>
      <c r="B2175" s="2" t="s">
        <v>94</v>
      </c>
      <c r="C2175" s="2">
        <v>2014.0</v>
      </c>
      <c r="D2175" s="9">
        <v>1879.1494</v>
      </c>
      <c r="E2175" s="10" t="str">
        <f t="array" ref="E2175">IFS(D2175&lt;=$G$3,'calculated data '!$A$3,D2175&lt;=$G$4,'calculated data '!$A$4,D2175&lt;=$G$6,'calculated data '!$A$5,D2175&gt;=$G$6,'calculated data '!$A$6)</f>
        <v>Low Demand Tier</v>
      </c>
      <c r="F2175" s="10">
        <f t="shared" si="1"/>
        <v>-0.6134308583</v>
      </c>
    </row>
    <row r="2176" ht="14.25" customHeight="1">
      <c r="A2176" s="2" t="s">
        <v>195</v>
      </c>
      <c r="B2176" s="2" t="s">
        <v>196</v>
      </c>
      <c r="C2176" s="2">
        <v>1984.0</v>
      </c>
      <c r="D2176" s="9">
        <v>1879.9845</v>
      </c>
      <c r="E2176" s="10" t="str">
        <f t="array" ref="E2176">IFS(D2176&lt;=$G$3,'calculated data '!$A$3,D2176&lt;=$G$4,'calculated data '!$A$4,D2176&lt;=$G$6,'calculated data '!$A$5,D2176&gt;=$G$6,'calculated data '!$A$6)</f>
        <v>Low Demand Tier</v>
      </c>
      <c r="F2176" s="10">
        <f t="shared" si="1"/>
        <v>-0.6134087534</v>
      </c>
    </row>
    <row r="2177" ht="14.25" customHeight="1">
      <c r="A2177" s="2" t="s">
        <v>167</v>
      </c>
      <c r="B2177" s="2" t="s">
        <v>168</v>
      </c>
      <c r="C2177" s="2">
        <v>2002.0</v>
      </c>
      <c r="D2177" s="9">
        <v>1880.1866</v>
      </c>
      <c r="E2177" s="10" t="str">
        <f t="array" ref="E2177">IFS(D2177&lt;=$G$3,'calculated data '!$A$3,D2177&lt;=$G$4,'calculated data '!$A$4,D2177&lt;=$G$6,'calculated data '!$A$5,D2177&gt;=$G$6,'calculated data '!$A$6)</f>
        <v>Low Demand Tier</v>
      </c>
      <c r="F2177" s="10">
        <f t="shared" si="1"/>
        <v>-0.6134034039</v>
      </c>
    </row>
    <row r="2178" ht="14.25" customHeight="1">
      <c r="A2178" s="2" t="s">
        <v>181</v>
      </c>
      <c r="B2178" s="2" t="s">
        <v>182</v>
      </c>
      <c r="C2178" s="2">
        <v>1990.0</v>
      </c>
      <c r="D2178" s="9">
        <v>1880.2225</v>
      </c>
      <c r="E2178" s="10" t="str">
        <f t="array" ref="E2178">IFS(D2178&lt;=$G$3,'calculated data '!$A$3,D2178&lt;=$G$4,'calculated data '!$A$4,D2178&lt;=$G$6,'calculated data '!$A$5,D2178&gt;=$G$6,'calculated data '!$A$6)</f>
        <v>Low Demand Tier</v>
      </c>
      <c r="F2178" s="10">
        <f t="shared" si="1"/>
        <v>-0.6134024536</v>
      </c>
    </row>
    <row r="2179" ht="14.25" customHeight="1">
      <c r="A2179" s="2" t="s">
        <v>173</v>
      </c>
      <c r="B2179" s="2" t="s">
        <v>174</v>
      </c>
      <c r="C2179" s="2">
        <v>2000.0</v>
      </c>
      <c r="D2179" s="9">
        <v>1880.6093</v>
      </c>
      <c r="E2179" s="10" t="str">
        <f t="array" ref="E2179">IFS(D2179&lt;=$G$3,'calculated data '!$A$3,D2179&lt;=$G$4,'calculated data '!$A$4,D2179&lt;=$G$6,'calculated data '!$A$5,D2179&gt;=$G$6,'calculated data '!$A$6)</f>
        <v>Low Demand Tier</v>
      </c>
      <c r="F2179" s="10">
        <f t="shared" si="1"/>
        <v>-0.6133922151</v>
      </c>
    </row>
    <row r="2180" ht="14.25" customHeight="1">
      <c r="A2180" s="2" t="s">
        <v>181</v>
      </c>
      <c r="B2180" s="2" t="s">
        <v>182</v>
      </c>
      <c r="C2180" s="2">
        <v>1981.0</v>
      </c>
      <c r="D2180" s="9">
        <v>1880.6632</v>
      </c>
      <c r="E2180" s="10" t="str">
        <f t="array" ref="E2180">IFS(D2180&lt;=$G$3,'calculated data '!$A$3,D2180&lt;=$G$4,'calculated data '!$A$4,D2180&lt;=$G$6,'calculated data '!$A$5,D2180&gt;=$G$6,'calculated data '!$A$6)</f>
        <v>Low Demand Tier</v>
      </c>
      <c r="F2180" s="10">
        <f t="shared" si="1"/>
        <v>-0.6133907884</v>
      </c>
    </row>
    <row r="2181" ht="14.25" customHeight="1">
      <c r="A2181" s="2" t="s">
        <v>167</v>
      </c>
      <c r="B2181" s="2" t="s">
        <v>168</v>
      </c>
      <c r="C2181" s="2">
        <v>2001.0</v>
      </c>
      <c r="D2181" s="9">
        <v>1880.8776</v>
      </c>
      <c r="E2181" s="10" t="str">
        <f t="array" ref="E2181">IFS(D2181&lt;=$G$3,'calculated data '!$A$3,D2181&lt;=$G$4,'calculated data '!$A$4,D2181&lt;=$G$6,'calculated data '!$A$5,D2181&gt;=$G$6,'calculated data '!$A$6)</f>
        <v>Low Demand Tier</v>
      </c>
      <c r="F2181" s="10">
        <f t="shared" si="1"/>
        <v>-0.6133851133</v>
      </c>
    </row>
    <row r="2182" ht="14.25" customHeight="1">
      <c r="A2182" s="2" t="s">
        <v>167</v>
      </c>
      <c r="B2182" s="2" t="s">
        <v>168</v>
      </c>
      <c r="C2182" s="2">
        <v>1986.0</v>
      </c>
      <c r="D2182" s="9">
        <v>1881.5508</v>
      </c>
      <c r="E2182" s="10" t="str">
        <f t="array" ref="E2182">IFS(D2182&lt;=$G$3,'calculated data '!$A$3,D2182&lt;=$G$4,'calculated data '!$A$4,D2182&lt;=$G$6,'calculated data '!$A$5,D2182&gt;=$G$6,'calculated data '!$A$6)</f>
        <v>Low Demand Tier</v>
      </c>
      <c r="F2182" s="10">
        <f t="shared" si="1"/>
        <v>-0.6133672938</v>
      </c>
    </row>
    <row r="2183" ht="14.25" customHeight="1">
      <c r="A2183" s="2" t="s">
        <v>163</v>
      </c>
      <c r="B2183" s="2" t="s">
        <v>164</v>
      </c>
      <c r="C2183" s="2">
        <v>1983.0</v>
      </c>
      <c r="D2183" s="9">
        <v>1883.641</v>
      </c>
      <c r="E2183" s="10" t="str">
        <f t="array" ref="E2183">IFS(D2183&lt;=$G$3,'calculated data '!$A$3,D2183&lt;=$G$4,'calculated data '!$A$4,D2183&lt;=$G$6,'calculated data '!$A$5,D2183&gt;=$G$6,'calculated data '!$A$6)</f>
        <v>Low Demand Tier</v>
      </c>
      <c r="F2183" s="10">
        <f t="shared" si="1"/>
        <v>-0.6133119668</v>
      </c>
    </row>
    <row r="2184" ht="14.25" customHeight="1">
      <c r="A2184" s="2" t="s">
        <v>187</v>
      </c>
      <c r="B2184" s="2" t="s">
        <v>188</v>
      </c>
      <c r="C2184" s="2">
        <v>1994.0</v>
      </c>
      <c r="D2184" s="9">
        <v>1883.8706</v>
      </c>
      <c r="E2184" s="10" t="str">
        <f t="array" ref="E2184">IFS(D2184&lt;=$G$3,'calculated data '!$A$3,D2184&lt;=$G$4,'calculated data '!$A$4,D2184&lt;=$G$6,'calculated data '!$A$5,D2184&gt;=$G$6,'calculated data '!$A$6)</f>
        <v>Low Demand Tier</v>
      </c>
      <c r="F2184" s="10">
        <f t="shared" si="1"/>
        <v>-0.6133058893</v>
      </c>
    </row>
    <row r="2185" ht="14.25" customHeight="1">
      <c r="A2185" s="2" t="s">
        <v>163</v>
      </c>
      <c r="B2185" s="2" t="s">
        <v>164</v>
      </c>
      <c r="C2185" s="2">
        <v>1982.0</v>
      </c>
      <c r="D2185" s="9">
        <v>1883.9485</v>
      </c>
      <c r="E2185" s="10" t="str">
        <f t="array" ref="E2185">IFS(D2185&lt;=$G$3,'calculated data '!$A$3,D2185&lt;=$G$4,'calculated data '!$A$4,D2185&lt;=$G$6,'calculated data '!$A$5,D2185&gt;=$G$6,'calculated data '!$A$6)</f>
        <v>Low Demand Tier</v>
      </c>
      <c r="F2185" s="10">
        <f t="shared" si="1"/>
        <v>-0.6133038273</v>
      </c>
    </row>
    <row r="2186" ht="14.25" customHeight="1">
      <c r="A2186" s="2" t="s">
        <v>163</v>
      </c>
      <c r="B2186" s="2" t="s">
        <v>164</v>
      </c>
      <c r="C2186" s="2">
        <v>1985.0</v>
      </c>
      <c r="D2186" s="9">
        <v>1883.9485</v>
      </c>
      <c r="E2186" s="10" t="str">
        <f t="array" ref="E2186">IFS(D2186&lt;=$G$3,'calculated data '!$A$3,D2186&lt;=$G$4,'calculated data '!$A$4,D2186&lt;=$G$6,'calculated data '!$A$5,D2186&gt;=$G$6,'calculated data '!$A$6)</f>
        <v>Low Demand Tier</v>
      </c>
      <c r="F2186" s="10">
        <f t="shared" si="1"/>
        <v>-0.6133038273</v>
      </c>
    </row>
    <row r="2187" ht="14.25" customHeight="1">
      <c r="A2187" s="2" t="s">
        <v>197</v>
      </c>
      <c r="B2187" s="2" t="s">
        <v>198</v>
      </c>
      <c r="C2187" s="2">
        <v>1968.0</v>
      </c>
      <c r="D2187" s="9">
        <v>1884.6582</v>
      </c>
      <c r="E2187" s="10" t="str">
        <f t="array" ref="E2187">IFS(D2187&lt;=$G$3,'calculated data '!$A$3,D2187&lt;=$G$4,'calculated data '!$A$4,D2187&lt;=$G$6,'calculated data '!$A$5,D2187&gt;=$G$6,'calculated data '!$A$6)</f>
        <v>Low Demand Tier</v>
      </c>
      <c r="F2187" s="10">
        <f t="shared" si="1"/>
        <v>-0.6132850417</v>
      </c>
    </row>
    <row r="2188" ht="14.25" customHeight="1">
      <c r="A2188" s="2" t="s">
        <v>189</v>
      </c>
      <c r="B2188" s="2" t="s">
        <v>190</v>
      </c>
      <c r="C2188" s="2">
        <v>1986.0</v>
      </c>
      <c r="D2188" s="9">
        <v>1884.803</v>
      </c>
      <c r="E2188" s="10" t="str">
        <f t="array" ref="E2188">IFS(D2188&lt;=$G$3,'calculated data '!$A$3,D2188&lt;=$G$4,'calculated data '!$A$4,D2188&lt;=$G$6,'calculated data '!$A$5,D2188&gt;=$G$6,'calculated data '!$A$6)</f>
        <v>Low Demand Tier</v>
      </c>
      <c r="F2188" s="10">
        <f t="shared" si="1"/>
        <v>-0.6132812089</v>
      </c>
    </row>
    <row r="2189" ht="14.25" customHeight="1">
      <c r="A2189" s="2" t="s">
        <v>163</v>
      </c>
      <c r="B2189" s="2" t="s">
        <v>164</v>
      </c>
      <c r="C2189" s="2">
        <v>1981.0</v>
      </c>
      <c r="D2189" s="9">
        <v>1885.2952</v>
      </c>
      <c r="E2189" s="10" t="str">
        <f t="array" ref="E2189">IFS(D2189&lt;=$G$3,'calculated data '!$A$3,D2189&lt;=$G$4,'calculated data '!$A$4,D2189&lt;=$G$6,'calculated data '!$A$5,D2189&gt;=$G$6,'calculated data '!$A$6)</f>
        <v>Low Demand Tier</v>
      </c>
      <c r="F2189" s="10">
        <f t="shared" si="1"/>
        <v>-0.6132681805</v>
      </c>
    </row>
    <row r="2190" ht="14.25" customHeight="1">
      <c r="A2190" s="2" t="s">
        <v>185</v>
      </c>
      <c r="B2190" s="2" t="s">
        <v>186</v>
      </c>
      <c r="C2190" s="2">
        <v>1988.0</v>
      </c>
      <c r="D2190" s="9">
        <v>1885.4658</v>
      </c>
      <c r="E2190" s="10" t="str">
        <f t="array" ref="E2190">IFS(D2190&lt;=$G$3,'calculated data '!$A$3,D2190&lt;=$G$4,'calculated data '!$A$4,D2190&lt;=$G$6,'calculated data '!$A$5,D2190&gt;=$G$6,'calculated data '!$A$6)</f>
        <v>Low Demand Tier</v>
      </c>
      <c r="F2190" s="10">
        <f t="shared" si="1"/>
        <v>-0.6132636648</v>
      </c>
    </row>
    <row r="2191" ht="14.25" customHeight="1">
      <c r="A2191" s="2" t="s">
        <v>131</v>
      </c>
      <c r="B2191" s="2" t="s">
        <v>132</v>
      </c>
      <c r="C2191" s="2">
        <v>2021.0</v>
      </c>
      <c r="D2191" s="9">
        <v>1886.5198</v>
      </c>
      <c r="E2191" s="10" t="str">
        <f t="array" ref="E2191">IFS(D2191&lt;=$G$3,'calculated data '!$A$3,D2191&lt;=$G$4,'calculated data '!$A$4,D2191&lt;=$G$6,'calculated data '!$A$5,D2191&gt;=$G$6,'calculated data '!$A$6)</f>
        <v>Low Demand Tier</v>
      </c>
      <c r="F2191" s="10">
        <f t="shared" si="1"/>
        <v>-0.6132357656</v>
      </c>
    </row>
    <row r="2192" ht="14.25" customHeight="1">
      <c r="A2192" s="2" t="s">
        <v>97</v>
      </c>
      <c r="B2192" s="2" t="s">
        <v>98</v>
      </c>
      <c r="C2192" s="2">
        <v>1980.0</v>
      </c>
      <c r="D2192" s="9">
        <v>1886.6807</v>
      </c>
      <c r="E2192" s="10" t="str">
        <f t="array" ref="E2192">IFS(D2192&lt;=$G$3,'calculated data '!$A$3,D2192&lt;=$G$4,'calculated data '!$A$4,D2192&lt;=$G$6,'calculated data '!$A$5,D2192&gt;=$G$6,'calculated data '!$A$6)</f>
        <v>Low Demand Tier</v>
      </c>
      <c r="F2192" s="10">
        <f t="shared" si="1"/>
        <v>-0.6132315067</v>
      </c>
    </row>
    <row r="2193" ht="14.25" customHeight="1">
      <c r="A2193" s="2" t="s">
        <v>173</v>
      </c>
      <c r="B2193" s="2" t="s">
        <v>174</v>
      </c>
      <c r="C2193" s="2">
        <v>2013.0</v>
      </c>
      <c r="D2193" s="9">
        <v>1887.1545</v>
      </c>
      <c r="E2193" s="10" t="str">
        <f t="array" ref="E2193">IFS(D2193&lt;=$G$3,'calculated data '!$A$3,D2193&lt;=$G$4,'calculated data '!$A$4,D2193&lt;=$G$6,'calculated data '!$A$5,D2193&gt;=$G$6,'calculated data '!$A$6)</f>
        <v>Low Demand Tier</v>
      </c>
      <c r="F2193" s="10">
        <f t="shared" si="1"/>
        <v>-0.6132189653</v>
      </c>
    </row>
    <row r="2194" ht="14.25" customHeight="1">
      <c r="A2194" s="2" t="s">
        <v>159</v>
      </c>
      <c r="B2194" s="2" t="s">
        <v>160</v>
      </c>
      <c r="C2194" s="2">
        <v>1971.0</v>
      </c>
      <c r="D2194" s="9">
        <v>1887.352</v>
      </c>
      <c r="E2194" s="10" t="str">
        <f t="array" ref="E2194">IFS(D2194&lt;=$G$3,'calculated data '!$A$3,D2194&lt;=$G$4,'calculated data '!$A$4,D2194&lt;=$G$6,'calculated data '!$A$5,D2194&gt;=$G$6,'calculated data '!$A$6)</f>
        <v>Low Demand Tier</v>
      </c>
      <c r="F2194" s="10">
        <f t="shared" si="1"/>
        <v>-0.6132137375</v>
      </c>
    </row>
    <row r="2195" ht="14.25" customHeight="1">
      <c r="A2195" s="2" t="s">
        <v>199</v>
      </c>
      <c r="B2195" s="2" t="s">
        <v>200</v>
      </c>
      <c r="C2195" s="2">
        <v>1984.0</v>
      </c>
      <c r="D2195" s="9">
        <v>1887.7921</v>
      </c>
      <c r="E2195" s="10" t="str">
        <f t="array" ref="E2195">IFS(D2195&lt;=$G$3,'calculated data '!$A$3,D2195&lt;=$G$4,'calculated data '!$A$4,D2195&lt;=$G$6,'calculated data '!$A$5,D2195&gt;=$G$6,'calculated data '!$A$6)</f>
        <v>Low Demand Tier</v>
      </c>
      <c r="F2195" s="10">
        <f t="shared" si="1"/>
        <v>-0.6132020882</v>
      </c>
    </row>
    <row r="2196" ht="14.25" customHeight="1">
      <c r="A2196" s="2" t="s">
        <v>195</v>
      </c>
      <c r="B2196" s="2" t="s">
        <v>196</v>
      </c>
      <c r="C2196" s="2">
        <v>1983.0</v>
      </c>
      <c r="D2196" s="9">
        <v>1887.9132</v>
      </c>
      <c r="E2196" s="10" t="str">
        <f t="array" ref="E2196">IFS(D2196&lt;=$G$3,'calculated data '!$A$3,D2196&lt;=$G$4,'calculated data '!$A$4,D2196&lt;=$G$6,'calculated data '!$A$5,D2196&gt;=$G$6,'calculated data '!$A$6)</f>
        <v>Low Demand Tier</v>
      </c>
      <c r="F2196" s="10">
        <f t="shared" si="1"/>
        <v>-0.6131988827</v>
      </c>
    </row>
    <row r="2197" ht="14.25" customHeight="1">
      <c r="A2197" s="2" t="s">
        <v>123</v>
      </c>
      <c r="B2197" s="2" t="s">
        <v>124</v>
      </c>
      <c r="C2197" s="2">
        <v>2013.0</v>
      </c>
      <c r="D2197" s="9">
        <v>1888.2422</v>
      </c>
      <c r="E2197" s="10" t="str">
        <f t="array" ref="E2197">IFS(D2197&lt;=$G$3,'calculated data '!$A$3,D2197&lt;=$G$4,'calculated data '!$A$4,D2197&lt;=$G$6,'calculated data '!$A$5,D2197&gt;=$G$6,'calculated data '!$A$6)</f>
        <v>Low Demand Tier</v>
      </c>
      <c r="F2197" s="10">
        <f t="shared" si="1"/>
        <v>-0.6131901741</v>
      </c>
    </row>
    <row r="2198" ht="14.25" customHeight="1">
      <c r="A2198" s="2" t="s">
        <v>155</v>
      </c>
      <c r="B2198" s="2" t="s">
        <v>156</v>
      </c>
      <c r="C2198" s="2">
        <v>1991.0</v>
      </c>
      <c r="D2198" s="9">
        <v>1888.9485</v>
      </c>
      <c r="E2198" s="10" t="str">
        <f t="array" ref="E2198">IFS(D2198&lt;=$G$3,'calculated data '!$A$3,D2198&lt;=$G$4,'calculated data '!$A$4,D2198&lt;=$G$6,'calculated data '!$A$5,D2198&gt;=$G$6,'calculated data '!$A$6)</f>
        <v>Low Demand Tier</v>
      </c>
      <c r="F2198" s="10">
        <f t="shared" si="1"/>
        <v>-0.6131714786</v>
      </c>
    </row>
    <row r="2199" ht="14.25" customHeight="1">
      <c r="A2199" s="2" t="s">
        <v>163</v>
      </c>
      <c r="B2199" s="2" t="s">
        <v>164</v>
      </c>
      <c r="C2199" s="2">
        <v>1984.0</v>
      </c>
      <c r="D2199" s="9">
        <v>1888.9558</v>
      </c>
      <c r="E2199" s="10" t="str">
        <f t="array" ref="E2199">IFS(D2199&lt;=$G$3,'calculated data '!$A$3,D2199&lt;=$G$4,'calculated data '!$A$4,D2199&lt;=$G$6,'calculated data '!$A$5,D2199&gt;=$G$6,'calculated data '!$A$6)</f>
        <v>Low Demand Tier</v>
      </c>
      <c r="F2199" s="10">
        <f t="shared" si="1"/>
        <v>-0.6131712853</v>
      </c>
    </row>
    <row r="2200" ht="14.25" customHeight="1">
      <c r="A2200" s="2" t="s">
        <v>157</v>
      </c>
      <c r="B2200" s="2" t="s">
        <v>158</v>
      </c>
      <c r="C2200" s="2">
        <v>2000.0</v>
      </c>
      <c r="D2200" s="9">
        <v>1889.7021</v>
      </c>
      <c r="E2200" s="10" t="str">
        <f t="array" ref="E2200">IFS(D2200&lt;=$G$3,'calculated data '!$A$3,D2200&lt;=$G$4,'calculated data '!$A$4,D2200&lt;=$G$6,'calculated data '!$A$5,D2200&gt;=$G$6,'calculated data '!$A$6)</f>
        <v>Low Demand Tier</v>
      </c>
      <c r="F2200" s="10">
        <f t="shared" si="1"/>
        <v>-0.613151531</v>
      </c>
    </row>
    <row r="2201" ht="14.25" customHeight="1">
      <c r="A2201" s="2" t="s">
        <v>201</v>
      </c>
      <c r="B2201" s="2" t="s">
        <v>202</v>
      </c>
      <c r="C2201" s="2">
        <v>2020.0</v>
      </c>
      <c r="D2201" s="9">
        <v>1890.821</v>
      </c>
      <c r="E2201" s="10" t="str">
        <f t="array" ref="E2201">IFS(D2201&lt;=$G$3,'calculated data '!$A$3,D2201&lt;=$G$4,'calculated data '!$A$4,D2201&lt;=$G$6,'calculated data '!$A$5,D2201&gt;=$G$6,'calculated data '!$A$6)</f>
        <v>Low Demand Tier</v>
      </c>
      <c r="F2201" s="10">
        <f t="shared" si="1"/>
        <v>-0.613121914</v>
      </c>
    </row>
    <row r="2202" ht="14.25" customHeight="1">
      <c r="A2202" s="2" t="s">
        <v>21</v>
      </c>
      <c r="B2202" s="2" t="s">
        <v>22</v>
      </c>
      <c r="C2202" s="2">
        <v>2012.0</v>
      </c>
      <c r="D2202" s="9">
        <v>1891.9796</v>
      </c>
      <c r="E2202" s="10" t="str">
        <f t="array" ref="E2202">IFS(D2202&lt;=$G$3,'calculated data '!$A$3,D2202&lt;=$G$4,'calculated data '!$A$4,D2202&lt;=$G$6,'calculated data '!$A$5,D2202&gt;=$G$6,'calculated data '!$A$6)</f>
        <v>Low Demand Tier</v>
      </c>
      <c r="F2202" s="10">
        <f t="shared" si="1"/>
        <v>-0.6130912461</v>
      </c>
    </row>
    <row r="2203" ht="14.25" customHeight="1">
      <c r="A2203" s="2" t="s">
        <v>155</v>
      </c>
      <c r="B2203" s="2" t="s">
        <v>156</v>
      </c>
      <c r="C2203" s="2">
        <v>1999.0</v>
      </c>
      <c r="D2203" s="9">
        <v>1892.0365</v>
      </c>
      <c r="E2203" s="10" t="str">
        <f t="array" ref="E2203">IFS(D2203&lt;=$G$3,'calculated data '!$A$3,D2203&lt;=$G$4,'calculated data '!$A$4,D2203&lt;=$G$6,'calculated data '!$A$5,D2203&gt;=$G$6,'calculated data '!$A$6)</f>
        <v>Low Demand Tier</v>
      </c>
      <c r="F2203" s="10">
        <f t="shared" si="1"/>
        <v>-0.61308974</v>
      </c>
    </row>
    <row r="2204" ht="14.25" customHeight="1">
      <c r="A2204" s="2" t="s">
        <v>199</v>
      </c>
      <c r="B2204" s="2" t="s">
        <v>200</v>
      </c>
      <c r="C2204" s="2">
        <v>1987.0</v>
      </c>
      <c r="D2204" s="9">
        <v>1892.2668</v>
      </c>
      <c r="E2204" s="10" t="str">
        <f t="array" ref="E2204">IFS(D2204&lt;=$G$3,'calculated data '!$A$3,D2204&lt;=$G$4,'calculated data '!$A$4,D2204&lt;=$G$6,'calculated data '!$A$5,D2204&gt;=$G$6,'calculated data '!$A$6)</f>
        <v>Low Demand Tier</v>
      </c>
      <c r="F2204" s="10">
        <f t="shared" si="1"/>
        <v>-0.613083644</v>
      </c>
    </row>
    <row r="2205" ht="14.25" customHeight="1">
      <c r="A2205" s="2" t="s">
        <v>181</v>
      </c>
      <c r="B2205" s="2" t="s">
        <v>182</v>
      </c>
      <c r="C2205" s="2">
        <v>2000.0</v>
      </c>
      <c r="D2205" s="9">
        <v>1893.2184</v>
      </c>
      <c r="E2205" s="10" t="str">
        <f t="array" ref="E2205">IFS(D2205&lt;=$G$3,'calculated data '!$A$3,D2205&lt;=$G$4,'calculated data '!$A$4,D2205&lt;=$G$6,'calculated data '!$A$5,D2205&gt;=$G$6,'calculated data '!$A$6)</f>
        <v>Low Demand Tier</v>
      </c>
      <c r="F2205" s="10">
        <f t="shared" si="1"/>
        <v>-0.6130584554</v>
      </c>
    </row>
    <row r="2206" ht="14.25" customHeight="1">
      <c r="A2206" s="2" t="s">
        <v>167</v>
      </c>
      <c r="B2206" s="2" t="s">
        <v>168</v>
      </c>
      <c r="C2206" s="2">
        <v>1998.0</v>
      </c>
      <c r="D2206" s="9">
        <v>1893.6866</v>
      </c>
      <c r="E2206" s="10" t="str">
        <f t="array" ref="E2206">IFS(D2206&lt;=$G$3,'calculated data '!$A$3,D2206&lt;=$G$4,'calculated data '!$A$4,D2206&lt;=$G$6,'calculated data '!$A$5,D2206&gt;=$G$6,'calculated data '!$A$6)</f>
        <v>Low Demand Tier</v>
      </c>
      <c r="F2206" s="10">
        <f t="shared" si="1"/>
        <v>-0.6130460622</v>
      </c>
    </row>
    <row r="2207" ht="14.25" customHeight="1">
      <c r="A2207" s="2" t="s">
        <v>113</v>
      </c>
      <c r="B2207" s="2" t="s">
        <v>114</v>
      </c>
      <c r="C2207" s="2">
        <v>2015.0</v>
      </c>
      <c r="D2207" s="9">
        <v>1894.9663</v>
      </c>
      <c r="E2207" s="10" t="str">
        <f t="array" ref="E2207">IFS(D2207&lt;=$G$3,'calculated data '!$A$3,D2207&lt;=$G$4,'calculated data '!$A$4,D2207&lt;=$G$6,'calculated data '!$A$5,D2207&gt;=$G$6,'calculated data '!$A$6)</f>
        <v>Low Demand Tier</v>
      </c>
      <c r="F2207" s="10">
        <f t="shared" si="1"/>
        <v>-0.6130121889</v>
      </c>
    </row>
    <row r="2208" ht="14.25" customHeight="1">
      <c r="A2208" s="2" t="s">
        <v>183</v>
      </c>
      <c r="B2208" s="2" t="s">
        <v>184</v>
      </c>
      <c r="C2208" s="2">
        <v>1968.0</v>
      </c>
      <c r="D2208" s="9">
        <v>1896.6799</v>
      </c>
      <c r="E2208" s="10" t="str">
        <f t="array" ref="E2208">IFS(D2208&lt;=$G$3,'calculated data '!$A$3,D2208&lt;=$G$4,'calculated data '!$A$4,D2208&lt;=$G$6,'calculated data '!$A$5,D2208&gt;=$G$6,'calculated data '!$A$6)</f>
        <v>Low Demand Tier</v>
      </c>
      <c r="F2208" s="10">
        <f t="shared" si="1"/>
        <v>-0.6129668303</v>
      </c>
    </row>
    <row r="2209" ht="14.25" customHeight="1">
      <c r="A2209" s="2" t="s">
        <v>195</v>
      </c>
      <c r="B2209" s="2" t="s">
        <v>196</v>
      </c>
      <c r="C2209" s="2">
        <v>1986.0</v>
      </c>
      <c r="D2209" s="9">
        <v>1898.3075</v>
      </c>
      <c r="E2209" s="10" t="str">
        <f t="array" ref="E2209">IFS(D2209&lt;=$G$3,'calculated data '!$A$3,D2209&lt;=$G$4,'calculated data '!$A$4,D2209&lt;=$G$6,'calculated data '!$A$5,D2209&gt;=$G$6,'calculated data '!$A$6)</f>
        <v>Low Demand Tier</v>
      </c>
      <c r="F2209" s="10">
        <f t="shared" si="1"/>
        <v>-0.6129237482</v>
      </c>
    </row>
    <row r="2210" ht="14.25" customHeight="1">
      <c r="A2210" s="2" t="s">
        <v>173</v>
      </c>
      <c r="B2210" s="2" t="s">
        <v>174</v>
      </c>
      <c r="C2210" s="2">
        <v>1984.0</v>
      </c>
      <c r="D2210" s="9">
        <v>1898.6165</v>
      </c>
      <c r="E2210" s="10" t="str">
        <f t="array" ref="E2210">IFS(D2210&lt;=$G$3,'calculated data '!$A$3,D2210&lt;=$G$4,'calculated data '!$A$4,D2210&lt;=$G$6,'calculated data '!$A$5,D2210&gt;=$G$6,'calculated data '!$A$6)</f>
        <v>Low Demand Tier</v>
      </c>
      <c r="F2210" s="10">
        <f t="shared" si="1"/>
        <v>-0.612915569</v>
      </c>
    </row>
    <row r="2211" ht="14.25" customHeight="1">
      <c r="A2211" s="2" t="s">
        <v>123</v>
      </c>
      <c r="B2211" s="2" t="s">
        <v>124</v>
      </c>
      <c r="C2211" s="2">
        <v>2012.0</v>
      </c>
      <c r="D2211" s="9">
        <v>1899.2319</v>
      </c>
      <c r="E2211" s="10" t="str">
        <f t="array" ref="E2211">IFS(D2211&lt;=$G$3,'calculated data '!$A$3,D2211&lt;=$G$4,'calculated data '!$A$4,D2211&lt;=$G$6,'calculated data '!$A$5,D2211&gt;=$G$6,'calculated data '!$A$6)</f>
        <v>Low Demand Tier</v>
      </c>
      <c r="F2211" s="10">
        <f t="shared" si="1"/>
        <v>-0.6128992795</v>
      </c>
    </row>
    <row r="2212" ht="14.25" customHeight="1">
      <c r="A2212" s="2" t="s">
        <v>189</v>
      </c>
      <c r="B2212" s="2" t="s">
        <v>190</v>
      </c>
      <c r="C2212" s="2">
        <v>1982.0</v>
      </c>
      <c r="D2212" s="9">
        <v>1900.1538</v>
      </c>
      <c r="E2212" s="10" t="str">
        <f t="array" ref="E2212">IFS(D2212&lt;=$G$3,'calculated data '!$A$3,D2212&lt;=$G$4,'calculated data '!$A$4,D2212&lt;=$G$6,'calculated data '!$A$5,D2212&gt;=$G$6,'calculated data '!$A$6)</f>
        <v>Low Demand Tier</v>
      </c>
      <c r="F2212" s="10">
        <f t="shared" si="1"/>
        <v>-0.6128748771</v>
      </c>
    </row>
    <row r="2213" ht="14.25" customHeight="1">
      <c r="A2213" s="2" t="s">
        <v>203</v>
      </c>
      <c r="B2213" s="2" t="s">
        <v>204</v>
      </c>
      <c r="C2213" s="2">
        <v>1980.0</v>
      </c>
      <c r="D2213" s="9">
        <v>1901.7826</v>
      </c>
      <c r="E2213" s="10" t="str">
        <f t="array" ref="E2213">IFS(D2213&lt;=$G$3,'calculated data '!$A$3,D2213&lt;=$G$4,'calculated data '!$A$4,D2213&lt;=$G$6,'calculated data '!$A$5,D2213&gt;=$G$6,'calculated data '!$A$6)</f>
        <v>Low Demand Tier</v>
      </c>
      <c r="F2213" s="10">
        <f t="shared" si="1"/>
        <v>-0.6128317631</v>
      </c>
    </row>
    <row r="2214" ht="14.25" customHeight="1">
      <c r="A2214" s="2" t="s">
        <v>155</v>
      </c>
      <c r="B2214" s="2" t="s">
        <v>156</v>
      </c>
      <c r="C2214" s="2">
        <v>1995.0</v>
      </c>
      <c r="D2214" s="9">
        <v>1902.1212</v>
      </c>
      <c r="E2214" s="10" t="str">
        <f t="array" ref="E2214">IFS(D2214&lt;=$G$3,'calculated data '!$A$3,D2214&lt;=$G$4,'calculated data '!$A$4,D2214&lt;=$G$6,'calculated data '!$A$5,D2214&gt;=$G$6,'calculated data '!$A$6)</f>
        <v>Low Demand Tier</v>
      </c>
      <c r="F2214" s="10">
        <f t="shared" si="1"/>
        <v>-0.6128228005</v>
      </c>
    </row>
    <row r="2215" ht="14.25" customHeight="1">
      <c r="A2215" s="2" t="s">
        <v>155</v>
      </c>
      <c r="B2215" s="2" t="s">
        <v>156</v>
      </c>
      <c r="C2215" s="2">
        <v>1993.0</v>
      </c>
      <c r="D2215" s="9">
        <v>1903.6517</v>
      </c>
      <c r="E2215" s="10" t="str">
        <f t="array" ref="E2215">IFS(D2215&lt;=$G$3,'calculated data '!$A$3,D2215&lt;=$G$4,'calculated data '!$A$4,D2215&lt;=$G$6,'calculated data '!$A$5,D2215&gt;=$G$6,'calculated data '!$A$6)</f>
        <v>Low Demand Tier</v>
      </c>
      <c r="F2215" s="10">
        <f t="shared" si="1"/>
        <v>-0.6127822885</v>
      </c>
    </row>
    <row r="2216" ht="14.25" customHeight="1">
      <c r="A2216" s="2" t="s">
        <v>97</v>
      </c>
      <c r="B2216" s="2" t="s">
        <v>98</v>
      </c>
      <c r="C2216" s="2">
        <v>2014.0</v>
      </c>
      <c r="D2216" s="9">
        <v>1905.264</v>
      </c>
      <c r="E2216" s="10" t="str">
        <f t="array" ref="E2216">IFS(D2216&lt;=$G$3,'calculated data '!$A$3,D2216&lt;=$G$4,'calculated data '!$A$4,D2216&lt;=$G$6,'calculated data '!$A$5,D2216&gt;=$G$6,'calculated data '!$A$6)</f>
        <v>Low Demand Tier</v>
      </c>
      <c r="F2216" s="10">
        <f t="shared" si="1"/>
        <v>-0.6127396113</v>
      </c>
    </row>
    <row r="2217" ht="14.25" customHeight="1">
      <c r="A2217" s="2" t="s">
        <v>169</v>
      </c>
      <c r="B2217" s="2" t="s">
        <v>170</v>
      </c>
      <c r="C2217" s="2">
        <v>2000.0</v>
      </c>
      <c r="D2217" s="9">
        <v>1906.4406</v>
      </c>
      <c r="E2217" s="10" t="str">
        <f t="array" ref="E2217">IFS(D2217&lt;=$G$3,'calculated data '!$A$3,D2217&lt;=$G$4,'calculated data '!$A$4,D2217&lt;=$G$6,'calculated data '!$A$5,D2217&gt;=$G$6,'calculated data '!$A$6)</f>
        <v>Low Demand Tier</v>
      </c>
      <c r="F2217" s="10">
        <f t="shared" si="1"/>
        <v>-0.612708467</v>
      </c>
    </row>
    <row r="2218" ht="14.25" customHeight="1">
      <c r="A2218" s="2" t="s">
        <v>195</v>
      </c>
      <c r="B2218" s="2" t="s">
        <v>196</v>
      </c>
      <c r="C2218" s="2">
        <v>1982.0</v>
      </c>
      <c r="D2218" s="9">
        <v>1906.9801</v>
      </c>
      <c r="E2218" s="10" t="str">
        <f t="array" ref="E2218">IFS(D2218&lt;=$G$3,'calculated data '!$A$3,D2218&lt;=$G$4,'calculated data '!$A$4,D2218&lt;=$G$6,'calculated data '!$A$5,D2218&gt;=$G$6,'calculated data '!$A$6)</f>
        <v>Low Demand Tier</v>
      </c>
      <c r="F2218" s="10">
        <f t="shared" si="1"/>
        <v>-0.6126941866</v>
      </c>
    </row>
    <row r="2219" ht="14.25" customHeight="1">
      <c r="A2219" s="2" t="s">
        <v>195</v>
      </c>
      <c r="B2219" s="2" t="s">
        <v>196</v>
      </c>
      <c r="C2219" s="2">
        <v>1985.0</v>
      </c>
      <c r="D2219" s="9">
        <v>1907.2</v>
      </c>
      <c r="E2219" s="10" t="str">
        <f t="array" ref="E2219">IFS(D2219&lt;=$G$3,'calculated data '!$A$3,D2219&lt;=$G$4,'calculated data '!$A$4,D2219&lt;=$G$6,'calculated data '!$A$5,D2219&gt;=$G$6,'calculated data '!$A$6)</f>
        <v>Low Demand Tier</v>
      </c>
      <c r="F2219" s="10">
        <f t="shared" si="1"/>
        <v>-0.6126883659</v>
      </c>
    </row>
    <row r="2220" ht="14.25" customHeight="1">
      <c r="A2220" s="2" t="s">
        <v>187</v>
      </c>
      <c r="B2220" s="2" t="s">
        <v>188</v>
      </c>
      <c r="C2220" s="2">
        <v>2018.0</v>
      </c>
      <c r="D2220" s="9">
        <v>1908.369</v>
      </c>
      <c r="E2220" s="10" t="str">
        <f t="array" ref="E2220">IFS(D2220&lt;=$G$3,'calculated data '!$A$3,D2220&lt;=$G$4,'calculated data '!$A$4,D2220&lt;=$G$6,'calculated data '!$A$5,D2220&gt;=$G$6,'calculated data '!$A$6)</f>
        <v>Low Demand Tier</v>
      </c>
      <c r="F2220" s="10">
        <f t="shared" si="1"/>
        <v>-0.6126574228</v>
      </c>
    </row>
    <row r="2221" ht="14.25" customHeight="1">
      <c r="A2221" s="2" t="s">
        <v>141</v>
      </c>
      <c r="B2221" s="2" t="s">
        <v>142</v>
      </c>
      <c r="C2221" s="2">
        <v>1971.0</v>
      </c>
      <c r="D2221" s="9">
        <v>1908.8815</v>
      </c>
      <c r="E2221" s="10" t="str">
        <f t="array" ref="E2221">IFS(D2221&lt;=$G$3,'calculated data '!$A$3,D2221&lt;=$G$4,'calculated data '!$A$4,D2221&lt;=$G$6,'calculated data '!$A$5,D2221&gt;=$G$6,'calculated data '!$A$6)</f>
        <v>Low Demand Tier</v>
      </c>
      <c r="F2221" s="10">
        <f t="shared" si="1"/>
        <v>-0.612643857</v>
      </c>
    </row>
    <row r="2222" ht="14.25" customHeight="1">
      <c r="A2222" s="2" t="s">
        <v>173</v>
      </c>
      <c r="B2222" s="2" t="s">
        <v>174</v>
      </c>
      <c r="C2222" s="2">
        <v>2015.0</v>
      </c>
      <c r="D2222" s="9">
        <v>1909.7261</v>
      </c>
      <c r="E2222" s="10" t="str">
        <f t="array" ref="E2222">IFS(D2222&lt;=$G$3,'calculated data '!$A$3,D2222&lt;=$G$4,'calculated data '!$A$4,D2222&lt;=$G$6,'calculated data '!$A$5,D2222&gt;=$G$6,'calculated data '!$A$6)</f>
        <v>Low Demand Tier</v>
      </c>
      <c r="F2222" s="10">
        <f t="shared" si="1"/>
        <v>-0.6126215007</v>
      </c>
    </row>
    <row r="2223" ht="14.25" customHeight="1">
      <c r="A2223" s="2" t="s">
        <v>177</v>
      </c>
      <c r="B2223" s="2" t="s">
        <v>178</v>
      </c>
      <c r="C2223" s="2">
        <v>2019.0</v>
      </c>
      <c r="D2223" s="9">
        <v>1910.9924</v>
      </c>
      <c r="E2223" s="10" t="str">
        <f t="array" ref="E2223">IFS(D2223&lt;=$G$3,'calculated data '!$A$3,D2223&lt;=$G$4,'calculated data '!$A$4,D2223&lt;=$G$6,'calculated data '!$A$5,D2223&gt;=$G$6,'calculated data '!$A$6)</f>
        <v>Low Demand Tier</v>
      </c>
      <c r="F2223" s="10">
        <f t="shared" si="1"/>
        <v>-0.612587982</v>
      </c>
    </row>
    <row r="2224" ht="14.25" customHeight="1">
      <c r="A2224" s="2" t="s">
        <v>181</v>
      </c>
      <c r="B2224" s="2" t="s">
        <v>182</v>
      </c>
      <c r="C2224" s="2">
        <v>1991.0</v>
      </c>
      <c r="D2224" s="9">
        <v>1911.4481</v>
      </c>
      <c r="E2224" s="10" t="str">
        <f t="array" ref="E2224">IFS(D2224&lt;=$G$3,'calculated data '!$A$3,D2224&lt;=$G$4,'calculated data '!$A$4,D2224&lt;=$G$6,'calculated data '!$A$5,D2224&gt;=$G$6,'calculated data '!$A$6)</f>
        <v>Low Demand Tier</v>
      </c>
      <c r="F2224" s="10">
        <f t="shared" si="1"/>
        <v>-0.6125759198</v>
      </c>
    </row>
    <row r="2225" ht="14.25" customHeight="1">
      <c r="A2225" s="2" t="s">
        <v>123</v>
      </c>
      <c r="B2225" s="2" t="s">
        <v>124</v>
      </c>
      <c r="C2225" s="2">
        <v>2015.0</v>
      </c>
      <c r="D2225" s="9">
        <v>1915.481</v>
      </c>
      <c r="E2225" s="10" t="str">
        <f t="array" ref="E2225">IFS(D2225&lt;=$G$3,'calculated data '!$A$3,D2225&lt;=$G$4,'calculated data '!$A$4,D2225&lt;=$G$6,'calculated data '!$A$5,D2225&gt;=$G$6,'calculated data '!$A$6)</f>
        <v>Low Demand Tier</v>
      </c>
      <c r="F2225" s="10">
        <f t="shared" si="1"/>
        <v>-0.6124691699</v>
      </c>
    </row>
    <row r="2226" ht="14.25" customHeight="1">
      <c r="A2226" s="2" t="s">
        <v>167</v>
      </c>
      <c r="B2226" s="2" t="s">
        <v>168</v>
      </c>
      <c r="C2226" s="2">
        <v>1994.0</v>
      </c>
      <c r="D2226" s="9">
        <v>1916.4432</v>
      </c>
      <c r="E2226" s="10" t="str">
        <f t="array" ref="E2226">IFS(D2226&lt;=$G$3,'calculated data '!$A$3,D2226&lt;=$G$4,'calculated data '!$A$4,D2226&lt;=$G$6,'calculated data '!$A$5,D2226&gt;=$G$6,'calculated data '!$A$6)</f>
        <v>Low Demand Tier</v>
      </c>
      <c r="F2226" s="10">
        <f t="shared" si="1"/>
        <v>-0.6124437007</v>
      </c>
    </row>
    <row r="2227" ht="14.25" customHeight="1">
      <c r="A2227" s="2" t="s">
        <v>167</v>
      </c>
      <c r="B2227" s="2" t="s">
        <v>168</v>
      </c>
      <c r="C2227" s="2">
        <v>1981.0</v>
      </c>
      <c r="D2227" s="9">
        <v>1919.4331</v>
      </c>
      <c r="E2227" s="10" t="str">
        <f t="array" ref="E2227">IFS(D2227&lt;=$G$3,'calculated data '!$A$3,D2227&lt;=$G$4,'calculated data '!$A$4,D2227&lt;=$G$6,'calculated data '!$A$5,D2227&gt;=$G$6,'calculated data '!$A$6)</f>
        <v>Low Demand Tier</v>
      </c>
      <c r="F2227" s="10">
        <f t="shared" si="1"/>
        <v>-0.6123645588</v>
      </c>
    </row>
    <row r="2228" ht="14.25" customHeight="1">
      <c r="A2228" s="2" t="s">
        <v>165</v>
      </c>
      <c r="B2228" s="2" t="s">
        <v>166</v>
      </c>
      <c r="C2228" s="2">
        <v>1985.0</v>
      </c>
      <c r="D2228" s="9">
        <v>1920.324</v>
      </c>
      <c r="E2228" s="10" t="str">
        <f t="array" ref="E2228">IFS(D2228&lt;=$G$3,'calculated data '!$A$3,D2228&lt;=$G$4,'calculated data '!$A$4,D2228&lt;=$G$6,'calculated data '!$A$5,D2228&gt;=$G$6,'calculated data '!$A$6)</f>
        <v>Low Demand Tier</v>
      </c>
      <c r="F2228" s="10">
        <f t="shared" si="1"/>
        <v>-0.6123409769</v>
      </c>
    </row>
    <row r="2229" ht="14.25" customHeight="1">
      <c r="A2229" s="2" t="s">
        <v>173</v>
      </c>
      <c r="B2229" s="2" t="s">
        <v>174</v>
      </c>
      <c r="C2229" s="2">
        <v>1999.0</v>
      </c>
      <c r="D2229" s="9">
        <v>1921.492</v>
      </c>
      <c r="E2229" s="10" t="str">
        <f t="array" ref="E2229">IFS(D2229&lt;=$G$3,'calculated data '!$A$3,D2229&lt;=$G$4,'calculated data '!$A$4,D2229&lt;=$G$6,'calculated data '!$A$5,D2229&gt;=$G$6,'calculated data '!$A$6)</f>
        <v>Low Demand Tier</v>
      </c>
      <c r="F2229" s="10">
        <f t="shared" si="1"/>
        <v>-0.6123100602</v>
      </c>
    </row>
    <row r="2230" ht="14.25" customHeight="1">
      <c r="A2230" s="2" t="s">
        <v>197</v>
      </c>
      <c r="B2230" s="2" t="s">
        <v>198</v>
      </c>
      <c r="C2230" s="2">
        <v>1967.0</v>
      </c>
      <c r="D2230" s="9">
        <v>1922.5824</v>
      </c>
      <c r="E2230" s="10" t="str">
        <f t="array" ref="E2230">IFS(D2230&lt;=$G$3,'calculated data '!$A$3,D2230&lt;=$G$4,'calculated data '!$A$4,D2230&lt;=$G$6,'calculated data '!$A$5,D2230&gt;=$G$6,'calculated data '!$A$6)</f>
        <v>Low Demand Tier</v>
      </c>
      <c r="F2230" s="10">
        <f t="shared" si="1"/>
        <v>-0.6122811976</v>
      </c>
    </row>
    <row r="2231" ht="14.25" customHeight="1">
      <c r="A2231" s="2" t="s">
        <v>167</v>
      </c>
      <c r="B2231" s="2" t="s">
        <v>168</v>
      </c>
      <c r="C2231" s="2">
        <v>1984.0</v>
      </c>
      <c r="D2231" s="9">
        <v>1923.2622</v>
      </c>
      <c r="E2231" s="10" t="str">
        <f t="array" ref="E2231">IFS(D2231&lt;=$G$3,'calculated data '!$A$3,D2231&lt;=$G$4,'calculated data '!$A$4,D2231&lt;=$G$6,'calculated data '!$A$5,D2231&gt;=$G$6,'calculated data '!$A$6)</f>
        <v>Low Demand Tier</v>
      </c>
      <c r="F2231" s="10">
        <f t="shared" si="1"/>
        <v>-0.6122632035</v>
      </c>
    </row>
    <row r="2232" ht="14.25" customHeight="1">
      <c r="A2232" s="2" t="s">
        <v>199</v>
      </c>
      <c r="B2232" s="2" t="s">
        <v>200</v>
      </c>
      <c r="C2232" s="2">
        <v>1986.0</v>
      </c>
      <c r="D2232" s="9">
        <v>1923.9808</v>
      </c>
      <c r="E2232" s="10" t="str">
        <f t="array" ref="E2232">IFS(D2232&lt;=$G$3,'calculated data '!$A$3,D2232&lt;=$G$4,'calculated data '!$A$4,D2232&lt;=$G$6,'calculated data '!$A$5,D2232&gt;=$G$6,'calculated data '!$A$6)</f>
        <v>Low Demand Tier</v>
      </c>
      <c r="F2232" s="10">
        <f t="shared" si="1"/>
        <v>-0.6122441823</v>
      </c>
    </row>
    <row r="2233" ht="14.25" customHeight="1">
      <c r="A2233" s="2" t="s">
        <v>175</v>
      </c>
      <c r="B2233" s="2" t="s">
        <v>176</v>
      </c>
      <c r="C2233" s="2">
        <v>1984.0</v>
      </c>
      <c r="D2233" s="9">
        <v>1924.2117</v>
      </c>
      <c r="E2233" s="10" t="str">
        <f t="array" ref="E2233">IFS(D2233&lt;=$G$3,'calculated data '!$A$3,D2233&lt;=$G$4,'calculated data '!$A$4,D2233&lt;=$G$6,'calculated data '!$A$5,D2233&gt;=$G$6,'calculated data '!$A$6)</f>
        <v>Low Demand Tier</v>
      </c>
      <c r="F2233" s="10">
        <f t="shared" si="1"/>
        <v>-0.6122380704</v>
      </c>
    </row>
    <row r="2234" ht="14.25" customHeight="1">
      <c r="A2234" s="2" t="s">
        <v>187</v>
      </c>
      <c r="B2234" s="2" t="s">
        <v>188</v>
      </c>
      <c r="C2234" s="2">
        <v>2017.0</v>
      </c>
      <c r="D2234" s="9">
        <v>1927.0525</v>
      </c>
      <c r="E2234" s="10" t="str">
        <f t="array" ref="E2234">IFS(D2234&lt;=$G$3,'calculated data '!$A$3,D2234&lt;=$G$4,'calculated data '!$A$4,D2234&lt;=$G$6,'calculated data '!$A$5,D2234&gt;=$G$6,'calculated data '!$A$6)</f>
        <v>Low Demand Tier</v>
      </c>
      <c r="F2234" s="10">
        <f t="shared" si="1"/>
        <v>-0.6121628752</v>
      </c>
    </row>
    <row r="2235" ht="14.25" customHeight="1">
      <c r="A2235" s="2" t="s">
        <v>195</v>
      </c>
      <c r="B2235" s="2" t="s">
        <v>196</v>
      </c>
      <c r="C2235" s="2">
        <v>1981.0</v>
      </c>
      <c r="D2235" s="9">
        <v>1927.3298</v>
      </c>
      <c r="E2235" s="10" t="str">
        <f t="array" ref="E2235">IFS(D2235&lt;=$G$3,'calculated data '!$A$3,D2235&lt;=$G$4,'calculated data '!$A$4,D2235&lt;=$G$6,'calculated data '!$A$5,D2235&gt;=$G$6,'calculated data '!$A$6)</f>
        <v>Low Demand Tier</v>
      </c>
      <c r="F2235" s="10">
        <f t="shared" si="1"/>
        <v>-0.6121555351</v>
      </c>
    </row>
    <row r="2236" ht="14.25" customHeight="1">
      <c r="A2236" s="2" t="s">
        <v>195</v>
      </c>
      <c r="B2236" s="2" t="s">
        <v>196</v>
      </c>
      <c r="C2236" s="2">
        <v>1991.0</v>
      </c>
      <c r="D2236" s="9">
        <v>1928.5033</v>
      </c>
      <c r="E2236" s="10" t="str">
        <f t="array" ref="E2236">IFS(D2236&lt;=$G$3,'calculated data '!$A$3,D2236&lt;=$G$4,'calculated data '!$A$4,D2236&lt;=$G$6,'calculated data '!$A$5,D2236&gt;=$G$6,'calculated data '!$A$6)</f>
        <v>Low Demand Tier</v>
      </c>
      <c r="F2236" s="10">
        <f t="shared" si="1"/>
        <v>-0.6121244729</v>
      </c>
    </row>
    <row r="2237" ht="14.25" customHeight="1">
      <c r="A2237" s="2" t="s">
        <v>173</v>
      </c>
      <c r="B2237" s="2" t="s">
        <v>174</v>
      </c>
      <c r="C2237" s="2">
        <v>2014.0</v>
      </c>
      <c r="D2237" s="9">
        <v>1930.7184</v>
      </c>
      <c r="E2237" s="10" t="str">
        <f t="array" ref="E2237">IFS(D2237&lt;=$G$3,'calculated data '!$A$3,D2237&lt;=$G$4,'calculated data '!$A$4,D2237&lt;=$G$6,'calculated data '!$A$5,D2237&gt;=$G$6,'calculated data '!$A$6)</f>
        <v>Low Demand Tier</v>
      </c>
      <c r="F2237" s="10">
        <f t="shared" si="1"/>
        <v>-0.6120658397</v>
      </c>
    </row>
    <row r="2238" ht="14.25" customHeight="1">
      <c r="A2238" s="2" t="s">
        <v>173</v>
      </c>
      <c r="B2238" s="2" t="s">
        <v>174</v>
      </c>
      <c r="C2238" s="2">
        <v>2020.0</v>
      </c>
      <c r="D2238" s="9">
        <v>1930.7478</v>
      </c>
      <c r="E2238" s="10" t="str">
        <f t="array" ref="E2238">IFS(D2238&lt;=$G$3,'calculated data '!$A$3,D2238&lt;=$G$4,'calculated data '!$A$4,D2238&lt;=$G$6,'calculated data '!$A$5,D2238&gt;=$G$6,'calculated data '!$A$6)</f>
        <v>Low Demand Tier</v>
      </c>
      <c r="F2238" s="10">
        <f t="shared" si="1"/>
        <v>-0.6120650615</v>
      </c>
    </row>
    <row r="2239" ht="14.25" customHeight="1">
      <c r="A2239" s="2" t="s">
        <v>137</v>
      </c>
      <c r="B2239" s="2" t="s">
        <v>138</v>
      </c>
      <c r="C2239" s="2">
        <v>1983.0</v>
      </c>
      <c r="D2239" s="9">
        <v>1930.808</v>
      </c>
      <c r="E2239" s="10" t="str">
        <f t="array" ref="E2239">IFS(D2239&lt;=$G$3,'calculated data '!$A$3,D2239&lt;=$G$4,'calculated data '!$A$4,D2239&lt;=$G$6,'calculated data '!$A$5,D2239&gt;=$G$6,'calculated data '!$A$6)</f>
        <v>Low Demand Tier</v>
      </c>
      <c r="F2239" s="10">
        <f t="shared" si="1"/>
        <v>-0.612063468</v>
      </c>
    </row>
    <row r="2240" ht="14.25" customHeight="1">
      <c r="A2240" s="2" t="s">
        <v>123</v>
      </c>
      <c r="B2240" s="2" t="s">
        <v>124</v>
      </c>
      <c r="C2240" s="2">
        <v>2007.0</v>
      </c>
      <c r="D2240" s="9">
        <v>1933.7859</v>
      </c>
      <c r="E2240" s="10" t="str">
        <f t="array" ref="E2240">IFS(D2240&lt;=$G$3,'calculated data '!$A$3,D2240&lt;=$G$4,'calculated data '!$A$4,D2240&lt;=$G$6,'calculated data '!$A$5,D2240&gt;=$G$6,'calculated data '!$A$6)</f>
        <v>Low Demand Tier</v>
      </c>
      <c r="F2240" s="10">
        <f t="shared" si="1"/>
        <v>-0.6119846438</v>
      </c>
    </row>
    <row r="2241" ht="14.25" customHeight="1">
      <c r="A2241" s="2" t="s">
        <v>181</v>
      </c>
      <c r="B2241" s="2" t="s">
        <v>182</v>
      </c>
      <c r="C2241" s="2">
        <v>1982.0</v>
      </c>
      <c r="D2241" s="9">
        <v>1935.0015</v>
      </c>
      <c r="E2241" s="10" t="str">
        <f t="array" ref="E2241">IFS(D2241&lt;=$G$3,'calculated data '!$A$3,D2241&lt;=$G$4,'calculated data '!$A$4,D2241&lt;=$G$6,'calculated data '!$A$5,D2241&gt;=$G$6,'calculated data '!$A$6)</f>
        <v>Low Demand Tier</v>
      </c>
      <c r="F2241" s="10">
        <f t="shared" si="1"/>
        <v>-0.6119524671</v>
      </c>
    </row>
    <row r="2242" ht="14.25" customHeight="1">
      <c r="A2242" s="2" t="s">
        <v>129</v>
      </c>
      <c r="B2242" s="2" t="s">
        <v>130</v>
      </c>
      <c r="C2242" s="2">
        <v>1979.0</v>
      </c>
      <c r="D2242" s="9">
        <v>1937.0983</v>
      </c>
      <c r="E2242" s="10" t="str">
        <f t="array" ref="E2242">IFS(D2242&lt;=$G$3,'calculated data '!$A$3,D2242&lt;=$G$4,'calculated data '!$A$4,D2242&lt;=$G$6,'calculated data '!$A$5,D2242&gt;=$G$6,'calculated data '!$A$6)</f>
        <v>Low Demand Tier</v>
      </c>
      <c r="F2242" s="10">
        <f t="shared" si="1"/>
        <v>-0.6118969653</v>
      </c>
    </row>
    <row r="2243" ht="14.25" customHeight="1">
      <c r="A2243" s="2" t="s">
        <v>205</v>
      </c>
      <c r="B2243" s="2" t="s">
        <v>206</v>
      </c>
      <c r="C2243" s="2">
        <v>1969.0</v>
      </c>
      <c r="D2243" s="9">
        <v>1939.1375</v>
      </c>
      <c r="E2243" s="10" t="str">
        <f t="array" ref="E2243">IFS(D2243&lt;=$G$3,'calculated data '!$A$3,D2243&lt;=$G$4,'calculated data '!$A$4,D2243&lt;=$G$6,'calculated data '!$A$5,D2243&gt;=$G$6,'calculated data '!$A$6)</f>
        <v>Low Demand Tier</v>
      </c>
      <c r="F2243" s="10">
        <f t="shared" si="1"/>
        <v>-0.6118429882</v>
      </c>
    </row>
    <row r="2244" ht="14.25" customHeight="1">
      <c r="A2244" s="2" t="s">
        <v>131</v>
      </c>
      <c r="B2244" s="2" t="s">
        <v>132</v>
      </c>
      <c r="C2244" s="2">
        <v>2023.0</v>
      </c>
      <c r="D2244" s="9">
        <v>1940.1028</v>
      </c>
      <c r="E2244" s="10" t="str">
        <f t="array" ref="E2244">IFS(D2244&lt;=$G$3,'calculated data '!$A$3,D2244&lt;=$G$4,'calculated data '!$A$4,D2244&lt;=$G$6,'calculated data '!$A$5,D2244&gt;=$G$6,'calculated data '!$A$6)</f>
        <v>Low Demand Tier</v>
      </c>
      <c r="F2244" s="10">
        <f t="shared" si="1"/>
        <v>-0.611817437</v>
      </c>
    </row>
    <row r="2245" ht="14.25" customHeight="1">
      <c r="A2245" s="2" t="s">
        <v>187</v>
      </c>
      <c r="B2245" s="2" t="s">
        <v>188</v>
      </c>
      <c r="C2245" s="2">
        <v>1993.0</v>
      </c>
      <c r="D2245" s="9">
        <v>1940.1245</v>
      </c>
      <c r="E2245" s="10" t="str">
        <f t="array" ref="E2245">IFS(D2245&lt;=$G$3,'calculated data '!$A$3,D2245&lt;=$G$4,'calculated data '!$A$4,D2245&lt;=$G$6,'calculated data '!$A$5,D2245&gt;=$G$6,'calculated data '!$A$6)</f>
        <v>Low Demand Tier</v>
      </c>
      <c r="F2245" s="10">
        <f t="shared" si="1"/>
        <v>-0.6118168626</v>
      </c>
    </row>
    <row r="2246" ht="14.25" customHeight="1">
      <c r="A2246" s="2" t="s">
        <v>169</v>
      </c>
      <c r="B2246" s="2" t="s">
        <v>170</v>
      </c>
      <c r="C2246" s="2">
        <v>2001.0</v>
      </c>
      <c r="D2246" s="9">
        <v>1940.3823</v>
      </c>
      <c r="E2246" s="10" t="str">
        <f t="array" ref="E2246">IFS(D2246&lt;=$G$3,'calculated data '!$A$3,D2246&lt;=$G$4,'calculated data '!$A$4,D2246&lt;=$G$6,'calculated data '!$A$5,D2246&gt;=$G$6,'calculated data '!$A$6)</f>
        <v>Low Demand Tier</v>
      </c>
      <c r="F2246" s="10">
        <f t="shared" si="1"/>
        <v>-0.6118100387</v>
      </c>
    </row>
    <row r="2247" ht="14.25" customHeight="1">
      <c r="A2247" s="2" t="s">
        <v>207</v>
      </c>
      <c r="B2247" s="2" t="s">
        <v>208</v>
      </c>
      <c r="C2247" s="2">
        <v>1965.0</v>
      </c>
      <c r="D2247" s="9">
        <v>1944.84</v>
      </c>
      <c r="E2247" s="10" t="str">
        <f t="array" ref="E2247">IFS(D2247&lt;=$G$3,'calculated data '!$A$3,D2247&lt;=$G$4,'calculated data '!$A$4,D2247&lt;=$G$6,'calculated data '!$A$5,D2247&gt;=$G$6,'calculated data '!$A$6)</f>
        <v>Low Demand Tier</v>
      </c>
      <c r="F2247" s="10">
        <f t="shared" si="1"/>
        <v>-0.6116920445</v>
      </c>
    </row>
    <row r="2248" ht="14.25" customHeight="1">
      <c r="A2248" s="2" t="s">
        <v>195</v>
      </c>
      <c r="B2248" s="2" t="s">
        <v>196</v>
      </c>
      <c r="C2248" s="2">
        <v>1992.0</v>
      </c>
      <c r="D2248" s="9">
        <v>1945.5593</v>
      </c>
      <c r="E2248" s="10" t="str">
        <f t="array" ref="E2248">IFS(D2248&lt;=$G$3,'calculated data '!$A$3,D2248&lt;=$G$4,'calculated data '!$A$4,D2248&lt;=$G$6,'calculated data '!$A$5,D2248&gt;=$G$6,'calculated data '!$A$6)</f>
        <v>Low Demand Tier</v>
      </c>
      <c r="F2248" s="10">
        <f t="shared" si="1"/>
        <v>-0.6116730048</v>
      </c>
    </row>
    <row r="2249" ht="14.25" customHeight="1">
      <c r="A2249" s="2" t="s">
        <v>189</v>
      </c>
      <c r="B2249" s="2" t="s">
        <v>190</v>
      </c>
      <c r="C2249" s="2">
        <v>1984.0</v>
      </c>
      <c r="D2249" s="9">
        <v>1945.8916</v>
      </c>
      <c r="E2249" s="10" t="str">
        <f t="array" ref="E2249">IFS(D2249&lt;=$G$3,'calculated data '!$A$3,D2249&lt;=$G$4,'calculated data '!$A$4,D2249&lt;=$G$6,'calculated data '!$A$5,D2249&gt;=$G$6,'calculated data '!$A$6)</f>
        <v>Low Demand Tier</v>
      </c>
      <c r="F2249" s="10">
        <f t="shared" si="1"/>
        <v>-0.6116642089</v>
      </c>
    </row>
    <row r="2250" ht="14.25" customHeight="1">
      <c r="A2250" s="2" t="s">
        <v>167</v>
      </c>
      <c r="B2250" s="2" t="s">
        <v>168</v>
      </c>
      <c r="C2250" s="2">
        <v>2003.0</v>
      </c>
      <c r="D2250" s="9">
        <v>1946.9711</v>
      </c>
      <c r="E2250" s="10" t="str">
        <f t="array" ref="E2250">IFS(D2250&lt;=$G$3,'calculated data '!$A$3,D2250&lt;=$G$4,'calculated data '!$A$4,D2250&lt;=$G$6,'calculated data '!$A$5,D2250&gt;=$G$6,'calculated data '!$A$6)</f>
        <v>Low Demand Tier</v>
      </c>
      <c r="F2250" s="10">
        <f t="shared" si="1"/>
        <v>-0.6116356348</v>
      </c>
    </row>
    <row r="2251" ht="14.25" customHeight="1">
      <c r="A2251" s="2" t="s">
        <v>125</v>
      </c>
      <c r="B2251" s="2" t="s">
        <v>126</v>
      </c>
      <c r="C2251" s="2">
        <v>2009.0</v>
      </c>
      <c r="D2251" s="9">
        <v>1947.0193</v>
      </c>
      <c r="E2251" s="10" t="str">
        <f t="array" ref="E2251">IFS(D2251&lt;=$G$3,'calculated data '!$A$3,D2251&lt;=$G$4,'calculated data '!$A$4,D2251&lt;=$G$6,'calculated data '!$A$5,D2251&gt;=$G$6,'calculated data '!$A$6)</f>
        <v>Low Demand Tier</v>
      </c>
      <c r="F2251" s="10">
        <f t="shared" si="1"/>
        <v>-0.611634359</v>
      </c>
    </row>
    <row r="2252" ht="14.25" customHeight="1">
      <c r="A2252" s="2" t="s">
        <v>209</v>
      </c>
      <c r="B2252" s="2" t="s">
        <v>210</v>
      </c>
      <c r="C2252" s="2">
        <v>1981.0</v>
      </c>
      <c r="D2252" s="9">
        <v>1947.3024</v>
      </c>
      <c r="E2252" s="10" t="str">
        <f t="array" ref="E2252">IFS(D2252&lt;=$G$3,'calculated data '!$A$3,D2252&lt;=$G$4,'calculated data '!$A$4,D2252&lt;=$G$6,'calculated data '!$A$5,D2252&gt;=$G$6,'calculated data '!$A$6)</f>
        <v>Low Demand Tier</v>
      </c>
      <c r="F2252" s="10">
        <f t="shared" si="1"/>
        <v>-0.6116268654</v>
      </c>
    </row>
    <row r="2253" ht="14.25" customHeight="1">
      <c r="A2253" s="2" t="s">
        <v>167</v>
      </c>
      <c r="B2253" s="2" t="s">
        <v>168</v>
      </c>
      <c r="C2253" s="2">
        <v>1987.0</v>
      </c>
      <c r="D2253" s="9">
        <v>1947.9224</v>
      </c>
      <c r="E2253" s="10" t="str">
        <f t="array" ref="E2253">IFS(D2253&lt;=$G$3,'calculated data '!$A$3,D2253&lt;=$G$4,'calculated data '!$A$4,D2253&lt;=$G$6,'calculated data '!$A$5,D2253&gt;=$G$6,'calculated data '!$A$6)</f>
        <v>Low Demand Tier</v>
      </c>
      <c r="F2253" s="10">
        <f t="shared" si="1"/>
        <v>-0.6116104541</v>
      </c>
    </row>
    <row r="2254" ht="14.25" customHeight="1">
      <c r="A2254" s="2" t="s">
        <v>21</v>
      </c>
      <c r="B2254" s="2" t="s">
        <v>22</v>
      </c>
      <c r="C2254" s="2">
        <v>2013.0</v>
      </c>
      <c r="D2254" s="9">
        <v>1948.2887</v>
      </c>
      <c r="E2254" s="10" t="str">
        <f t="array" ref="E2254">IFS(D2254&lt;=$G$3,'calculated data '!$A$3,D2254&lt;=$G$4,'calculated data '!$A$4,D2254&lt;=$G$6,'calculated data '!$A$5,D2254&gt;=$G$6,'calculated data '!$A$6)</f>
        <v>Low Demand Tier</v>
      </c>
      <c r="F2254" s="10">
        <f t="shared" si="1"/>
        <v>-0.6116007582</v>
      </c>
    </row>
    <row r="2255" ht="14.25" customHeight="1">
      <c r="A2255" s="2" t="s">
        <v>209</v>
      </c>
      <c r="B2255" s="2" t="s">
        <v>210</v>
      </c>
      <c r="C2255" s="2">
        <v>1982.0</v>
      </c>
      <c r="D2255" s="9">
        <v>1948.9478</v>
      </c>
      <c r="E2255" s="10" t="str">
        <f t="array" ref="E2255">IFS(D2255&lt;=$G$3,'calculated data '!$A$3,D2255&lt;=$G$4,'calculated data '!$A$4,D2255&lt;=$G$6,'calculated data '!$A$5,D2255&gt;=$G$6,'calculated data '!$A$6)</f>
        <v>Low Demand Tier</v>
      </c>
      <c r="F2255" s="10">
        <f t="shared" si="1"/>
        <v>-0.611583312</v>
      </c>
    </row>
    <row r="2256" ht="14.25" customHeight="1">
      <c r="A2256" s="2" t="s">
        <v>183</v>
      </c>
      <c r="B2256" s="2" t="s">
        <v>184</v>
      </c>
      <c r="C2256" s="2">
        <v>1969.0</v>
      </c>
      <c r="D2256" s="9">
        <v>1950.8945</v>
      </c>
      <c r="E2256" s="10" t="str">
        <f t="array" ref="E2256">IFS(D2256&lt;=$G$3,'calculated data '!$A$3,D2256&lt;=$G$4,'calculated data '!$A$4,D2256&lt;=$G$6,'calculated data '!$A$5,D2256&gt;=$G$6,'calculated data '!$A$6)</f>
        <v>Low Demand Tier</v>
      </c>
      <c r="F2256" s="10">
        <f t="shared" si="1"/>
        <v>-0.6115317834</v>
      </c>
    </row>
    <row r="2257" ht="14.25" customHeight="1">
      <c r="A2257" s="2" t="s">
        <v>189</v>
      </c>
      <c r="B2257" s="2" t="s">
        <v>190</v>
      </c>
      <c r="C2257" s="2">
        <v>1981.0</v>
      </c>
      <c r="D2257" s="9">
        <v>1951.4921</v>
      </c>
      <c r="E2257" s="10" t="str">
        <f t="array" ref="E2257">IFS(D2257&lt;=$G$3,'calculated data '!$A$3,D2257&lt;=$G$4,'calculated data '!$A$4,D2257&lt;=$G$6,'calculated data '!$A$5,D2257&gt;=$G$6,'calculated data '!$A$6)</f>
        <v>Low Demand Tier</v>
      </c>
      <c r="F2257" s="10">
        <f t="shared" si="1"/>
        <v>-0.611515965</v>
      </c>
    </row>
    <row r="2258" ht="14.25" customHeight="1">
      <c r="A2258" s="2" t="s">
        <v>83</v>
      </c>
      <c r="B2258" s="2" t="s">
        <v>84</v>
      </c>
      <c r="C2258" s="2">
        <v>2009.0</v>
      </c>
      <c r="D2258" s="9">
        <v>1952.9684</v>
      </c>
      <c r="E2258" s="10" t="str">
        <f t="array" ref="E2258">IFS(D2258&lt;=$G$3,'calculated data '!$A$3,D2258&lt;=$G$4,'calculated data '!$A$4,D2258&lt;=$G$6,'calculated data '!$A$5,D2258&gt;=$G$6,'calculated data '!$A$6)</f>
        <v>Low Demand Tier</v>
      </c>
      <c r="F2258" s="10">
        <f t="shared" si="1"/>
        <v>-0.6114768878</v>
      </c>
    </row>
    <row r="2259" ht="14.25" customHeight="1">
      <c r="A2259" s="2" t="s">
        <v>145</v>
      </c>
      <c r="B2259" s="2" t="s">
        <v>146</v>
      </c>
      <c r="C2259" s="2">
        <v>1990.0</v>
      </c>
      <c r="D2259" s="9">
        <v>1953.6335</v>
      </c>
      <c r="E2259" s="10" t="str">
        <f t="array" ref="E2259">IFS(D2259&lt;=$G$3,'calculated data '!$A$3,D2259&lt;=$G$4,'calculated data '!$A$4,D2259&lt;=$G$6,'calculated data '!$A$5,D2259&gt;=$G$6,'calculated data '!$A$6)</f>
        <v>Low Demand Tier</v>
      </c>
      <c r="F2259" s="10">
        <f t="shared" si="1"/>
        <v>-0.6114592827</v>
      </c>
    </row>
    <row r="2260" ht="14.25" customHeight="1">
      <c r="A2260" s="2" t="s">
        <v>187</v>
      </c>
      <c r="B2260" s="2" t="s">
        <v>188</v>
      </c>
      <c r="C2260" s="2">
        <v>1987.0</v>
      </c>
      <c r="D2260" s="9">
        <v>1953.6411</v>
      </c>
      <c r="E2260" s="10" t="str">
        <f t="array" ref="E2260">IFS(D2260&lt;=$G$3,'calculated data '!$A$3,D2260&lt;=$G$4,'calculated data '!$A$4,D2260&lt;=$G$6,'calculated data '!$A$5,D2260&gt;=$G$6,'calculated data '!$A$6)</f>
        <v>Low Demand Tier</v>
      </c>
      <c r="F2260" s="10">
        <f t="shared" si="1"/>
        <v>-0.6114590816</v>
      </c>
    </row>
    <row r="2261" ht="14.25" customHeight="1">
      <c r="A2261" s="2" t="s">
        <v>133</v>
      </c>
      <c r="B2261" s="2" t="s">
        <v>134</v>
      </c>
      <c r="C2261" s="2">
        <v>1997.0</v>
      </c>
      <c r="D2261" s="9">
        <v>1954.8937</v>
      </c>
      <c r="E2261" s="10" t="str">
        <f t="array" ref="E2261">IFS(D2261&lt;=$G$3,'calculated data '!$A$3,D2261&lt;=$G$4,'calculated data '!$A$4,D2261&lt;=$G$6,'calculated data '!$A$5,D2261&gt;=$G$6,'calculated data '!$A$6)</f>
        <v>Low Demand Tier</v>
      </c>
      <c r="F2261" s="10">
        <f t="shared" si="1"/>
        <v>-0.6114259255</v>
      </c>
    </row>
    <row r="2262" ht="14.25" customHeight="1">
      <c r="A2262" s="2" t="s">
        <v>179</v>
      </c>
      <c r="B2262" s="2" t="s">
        <v>180</v>
      </c>
      <c r="C2262" s="2">
        <v>2017.0</v>
      </c>
      <c r="D2262" s="9">
        <v>1958.4329</v>
      </c>
      <c r="E2262" s="10" t="str">
        <f t="array" ref="E2262">IFS(D2262&lt;=$G$3,'calculated data '!$A$3,D2262&lt;=$G$4,'calculated data '!$A$4,D2262&lt;=$G$6,'calculated data '!$A$5,D2262&gt;=$G$6,'calculated data '!$A$6)</f>
        <v>Low Demand Tier</v>
      </c>
      <c r="F2262" s="10">
        <f t="shared" si="1"/>
        <v>-0.6113322438</v>
      </c>
    </row>
    <row r="2263" ht="14.25" customHeight="1">
      <c r="A2263" s="2" t="s">
        <v>177</v>
      </c>
      <c r="B2263" s="2" t="s">
        <v>178</v>
      </c>
      <c r="C2263" s="2">
        <v>1999.0</v>
      </c>
      <c r="D2263" s="9">
        <v>1958.5328</v>
      </c>
      <c r="E2263" s="10" t="str">
        <f t="array" ref="E2263">IFS(D2263&lt;=$G$3,'calculated data '!$A$3,D2263&lt;=$G$4,'calculated data '!$A$4,D2263&lt;=$G$6,'calculated data '!$A$5,D2263&gt;=$G$6,'calculated data '!$A$6)</f>
        <v>Low Demand Tier</v>
      </c>
      <c r="F2263" s="10">
        <f t="shared" si="1"/>
        <v>-0.6113295995</v>
      </c>
    </row>
    <row r="2264" ht="14.25" customHeight="1">
      <c r="A2264" s="2" t="s">
        <v>195</v>
      </c>
      <c r="B2264" s="2" t="s">
        <v>196</v>
      </c>
      <c r="C2264" s="2">
        <v>1993.0</v>
      </c>
      <c r="D2264" s="9">
        <v>1959.9769</v>
      </c>
      <c r="E2264" s="10" t="str">
        <f t="array" ref="E2264">IFS(D2264&lt;=$G$3,'calculated data '!$A$3,D2264&lt;=$G$4,'calculated data '!$A$4,D2264&lt;=$G$6,'calculated data '!$A$5,D2264&gt;=$G$6,'calculated data '!$A$6)</f>
        <v>Low Demand Tier</v>
      </c>
      <c r="F2264" s="10">
        <f t="shared" si="1"/>
        <v>-0.6112913745</v>
      </c>
    </row>
    <row r="2265" ht="14.25" customHeight="1">
      <c r="A2265" s="2" t="s">
        <v>187</v>
      </c>
      <c r="B2265" s="2" t="s">
        <v>188</v>
      </c>
      <c r="C2265" s="2">
        <v>1985.0</v>
      </c>
      <c r="D2265" s="9">
        <v>1960.2373</v>
      </c>
      <c r="E2265" s="10" t="str">
        <f t="array" ref="E2265">IFS(D2265&lt;=$G$3,'calculated data '!$A$3,D2265&lt;=$G$4,'calculated data '!$A$4,D2265&lt;=$G$6,'calculated data '!$A$5,D2265&gt;=$G$6,'calculated data '!$A$6)</f>
        <v>Low Demand Tier</v>
      </c>
      <c r="F2265" s="10">
        <f t="shared" si="1"/>
        <v>-0.6112844818</v>
      </c>
    </row>
    <row r="2266" ht="14.25" customHeight="1">
      <c r="A2266" s="2" t="s">
        <v>167</v>
      </c>
      <c r="B2266" s="2" t="s">
        <v>168</v>
      </c>
      <c r="C2266" s="2">
        <v>2004.0</v>
      </c>
      <c r="D2266" s="9">
        <v>1961.0071</v>
      </c>
      <c r="E2266" s="10" t="str">
        <f t="array" ref="E2266">IFS(D2266&lt;=$G$3,'calculated data '!$A$3,D2266&lt;=$G$4,'calculated data '!$A$4,D2266&lt;=$G$6,'calculated data '!$A$5,D2266&gt;=$G$6,'calculated data '!$A$6)</f>
        <v>Low Demand Tier</v>
      </c>
      <c r="F2266" s="10">
        <f t="shared" si="1"/>
        <v>-0.6112641054</v>
      </c>
    </row>
    <row r="2267" ht="14.25" customHeight="1">
      <c r="A2267" s="2" t="s">
        <v>131</v>
      </c>
      <c r="B2267" s="2" t="s">
        <v>132</v>
      </c>
      <c r="C2267" s="2">
        <v>2020.0</v>
      </c>
      <c r="D2267" s="9">
        <v>1961.2268</v>
      </c>
      <c r="E2267" s="10" t="str">
        <f t="array" ref="E2267">IFS(D2267&lt;=$G$3,'calculated data '!$A$3,D2267&lt;=$G$4,'calculated data '!$A$4,D2267&lt;=$G$6,'calculated data '!$A$5,D2267&gt;=$G$6,'calculated data '!$A$6)</f>
        <v>Low Demand Tier</v>
      </c>
      <c r="F2267" s="10">
        <f t="shared" si="1"/>
        <v>-0.61125829</v>
      </c>
    </row>
    <row r="2268" ht="14.25" customHeight="1">
      <c r="A2268" s="2" t="s">
        <v>193</v>
      </c>
      <c r="B2268" s="2" t="s">
        <v>194</v>
      </c>
      <c r="C2268" s="2">
        <v>1966.0</v>
      </c>
      <c r="D2268" s="9">
        <v>1961.7568</v>
      </c>
      <c r="E2268" s="10" t="str">
        <f t="array" ref="E2268">IFS(D2268&lt;=$G$3,'calculated data '!$A$3,D2268&lt;=$G$4,'calculated data '!$A$4,D2268&lt;=$G$6,'calculated data '!$A$5,D2268&gt;=$G$6,'calculated data '!$A$6)</f>
        <v>Low Demand Tier</v>
      </c>
      <c r="F2268" s="10">
        <f t="shared" si="1"/>
        <v>-0.611244261</v>
      </c>
    </row>
    <row r="2269" ht="14.25" customHeight="1">
      <c r="A2269" s="2" t="s">
        <v>201</v>
      </c>
      <c r="B2269" s="2" t="s">
        <v>202</v>
      </c>
      <c r="C2269" s="2">
        <v>2021.0</v>
      </c>
      <c r="D2269" s="9">
        <v>1962.0958</v>
      </c>
      <c r="E2269" s="10" t="str">
        <f t="array" ref="E2269">IFS(D2269&lt;=$G$3,'calculated data '!$A$3,D2269&lt;=$G$4,'calculated data '!$A$4,D2269&lt;=$G$6,'calculated data '!$A$5,D2269&gt;=$G$6,'calculated data '!$A$6)</f>
        <v>Low Demand Tier</v>
      </c>
      <c r="F2269" s="10">
        <f t="shared" si="1"/>
        <v>-0.6112352878</v>
      </c>
    </row>
    <row r="2270" ht="14.25" customHeight="1">
      <c r="A2270" s="2" t="s">
        <v>175</v>
      </c>
      <c r="B2270" s="2" t="s">
        <v>176</v>
      </c>
      <c r="C2270" s="2">
        <v>1985.0</v>
      </c>
      <c r="D2270" s="9">
        <v>1962.2557</v>
      </c>
      <c r="E2270" s="10" t="str">
        <f t="array" ref="E2270">IFS(D2270&lt;=$G$3,'calculated data '!$A$3,D2270&lt;=$G$4,'calculated data '!$A$4,D2270&lt;=$G$6,'calculated data '!$A$5,D2270&gt;=$G$6,'calculated data '!$A$6)</f>
        <v>Low Demand Tier</v>
      </c>
      <c r="F2270" s="10">
        <f t="shared" si="1"/>
        <v>-0.6112310552</v>
      </c>
    </row>
    <row r="2271" ht="14.25" customHeight="1">
      <c r="A2271" s="2" t="s">
        <v>179</v>
      </c>
      <c r="B2271" s="2" t="s">
        <v>180</v>
      </c>
      <c r="C2271" s="2">
        <v>2019.0</v>
      </c>
      <c r="D2271" s="9">
        <v>1962.2683</v>
      </c>
      <c r="E2271" s="10" t="str">
        <f t="array" ref="E2271">IFS(D2271&lt;=$G$3,'calculated data '!$A$3,D2271&lt;=$G$4,'calculated data '!$A$4,D2271&lt;=$G$6,'calculated data '!$A$5,D2271&gt;=$G$6,'calculated data '!$A$6)</f>
        <v>Low Demand Tier</v>
      </c>
      <c r="F2271" s="10">
        <f t="shared" si="1"/>
        <v>-0.6112307217</v>
      </c>
    </row>
    <row r="2272" ht="14.25" customHeight="1">
      <c r="A2272" s="2" t="s">
        <v>137</v>
      </c>
      <c r="B2272" s="2" t="s">
        <v>138</v>
      </c>
      <c r="C2272" s="2">
        <v>1982.0</v>
      </c>
      <c r="D2272" s="9">
        <v>1962.5161</v>
      </c>
      <c r="E2272" s="10" t="str">
        <f t="array" ref="E2272">IFS(D2272&lt;=$G$3,'calculated data '!$A$3,D2272&lt;=$G$4,'calculated data '!$A$4,D2272&lt;=$G$6,'calculated data '!$A$5,D2272&gt;=$G$6,'calculated data '!$A$6)</f>
        <v>Low Demand Tier</v>
      </c>
      <c r="F2272" s="10">
        <f t="shared" si="1"/>
        <v>-0.6112241625</v>
      </c>
    </row>
    <row r="2273" ht="14.25" customHeight="1">
      <c r="A2273" s="2" t="s">
        <v>173</v>
      </c>
      <c r="B2273" s="2" t="s">
        <v>174</v>
      </c>
      <c r="C2273" s="2">
        <v>2018.0</v>
      </c>
      <c r="D2273" s="9">
        <v>1962.9421</v>
      </c>
      <c r="E2273" s="10" t="str">
        <f t="array" ref="E2273">IFS(D2273&lt;=$G$3,'calculated data '!$A$3,D2273&lt;=$G$4,'calculated data '!$A$4,D2273&lt;=$G$6,'calculated data '!$A$5,D2273&gt;=$G$6,'calculated data '!$A$6)</f>
        <v>Low Demand Tier</v>
      </c>
      <c r="F2273" s="10">
        <f t="shared" si="1"/>
        <v>-0.6112128864</v>
      </c>
    </row>
    <row r="2274" ht="14.25" customHeight="1">
      <c r="A2274" s="2" t="s">
        <v>85</v>
      </c>
      <c r="B2274" s="2" t="s">
        <v>86</v>
      </c>
      <c r="C2274" s="2">
        <v>2021.0</v>
      </c>
      <c r="D2274" s="9">
        <v>1966.5519</v>
      </c>
      <c r="E2274" s="10" t="str">
        <f t="array" ref="E2274">IFS(D2274&lt;=$G$3,'calculated data '!$A$3,D2274&lt;=$G$4,'calculated data '!$A$4,D2274&lt;=$G$6,'calculated data '!$A$5,D2274&gt;=$G$6,'calculated data '!$A$6)</f>
        <v>Low Demand Tier</v>
      </c>
      <c r="F2274" s="10">
        <f t="shared" si="1"/>
        <v>-0.6111173359</v>
      </c>
    </row>
    <row r="2275" ht="14.25" customHeight="1">
      <c r="A2275" s="2" t="s">
        <v>181</v>
      </c>
      <c r="B2275" s="2" t="s">
        <v>182</v>
      </c>
      <c r="C2275" s="2">
        <v>1988.0</v>
      </c>
      <c r="D2275" s="9">
        <v>1967.9668</v>
      </c>
      <c r="E2275" s="10" t="str">
        <f t="array" ref="E2275">IFS(D2275&lt;=$G$3,'calculated data '!$A$3,D2275&lt;=$G$4,'calculated data '!$A$4,D2275&lt;=$G$6,'calculated data '!$A$5,D2275&gt;=$G$6,'calculated data '!$A$6)</f>
        <v>Low Demand Tier</v>
      </c>
      <c r="F2275" s="10">
        <f t="shared" si="1"/>
        <v>-0.6110798838</v>
      </c>
    </row>
    <row r="2276" ht="14.25" customHeight="1">
      <c r="A2276" s="2" t="s">
        <v>181</v>
      </c>
      <c r="B2276" s="2" t="s">
        <v>182</v>
      </c>
      <c r="C2276" s="2">
        <v>1987.0</v>
      </c>
      <c r="D2276" s="9">
        <v>1968.4692</v>
      </c>
      <c r="E2276" s="10" t="str">
        <f t="array" ref="E2276">IFS(D2276&lt;=$G$3,'calculated data '!$A$3,D2276&lt;=$G$4,'calculated data '!$A$4,D2276&lt;=$G$6,'calculated data '!$A$5,D2276&gt;=$G$6,'calculated data '!$A$6)</f>
        <v>Low Demand Tier</v>
      </c>
      <c r="F2276" s="10">
        <f t="shared" si="1"/>
        <v>-0.6110665854</v>
      </c>
    </row>
    <row r="2277" ht="14.25" customHeight="1">
      <c r="A2277" s="2" t="s">
        <v>167</v>
      </c>
      <c r="B2277" s="2" t="s">
        <v>168</v>
      </c>
      <c r="C2277" s="2">
        <v>2008.0</v>
      </c>
      <c r="D2277" s="9">
        <v>1969.0131</v>
      </c>
      <c r="E2277" s="10" t="str">
        <f t="array" ref="E2277">IFS(D2277&lt;=$G$3,'calculated data '!$A$3,D2277&lt;=$G$4,'calculated data '!$A$4,D2277&lt;=$G$6,'calculated data '!$A$5,D2277&gt;=$G$6,'calculated data '!$A$6)</f>
        <v>Low Demand Tier</v>
      </c>
      <c r="F2277" s="10">
        <f t="shared" si="1"/>
        <v>-0.6110521885</v>
      </c>
    </row>
    <row r="2278" ht="14.25" customHeight="1">
      <c r="A2278" s="2" t="s">
        <v>181</v>
      </c>
      <c r="B2278" s="2" t="s">
        <v>182</v>
      </c>
      <c r="C2278" s="2">
        <v>1980.0</v>
      </c>
      <c r="D2278" s="9">
        <v>1969.7747</v>
      </c>
      <c r="E2278" s="10" t="str">
        <f t="array" ref="E2278">IFS(D2278&lt;=$G$3,'calculated data '!$A$3,D2278&lt;=$G$4,'calculated data '!$A$4,D2278&lt;=$G$6,'calculated data '!$A$5,D2278&gt;=$G$6,'calculated data '!$A$6)</f>
        <v>Low Demand Tier</v>
      </c>
      <c r="F2278" s="10">
        <f t="shared" si="1"/>
        <v>-0.6110320292</v>
      </c>
    </row>
    <row r="2279" ht="14.25" customHeight="1">
      <c r="A2279" s="2" t="s">
        <v>137</v>
      </c>
      <c r="B2279" s="2" t="s">
        <v>138</v>
      </c>
      <c r="C2279" s="2">
        <v>2002.0</v>
      </c>
      <c r="D2279" s="9">
        <v>1970.8567</v>
      </c>
      <c r="E2279" s="10" t="str">
        <f t="array" ref="E2279">IFS(D2279&lt;=$G$3,'calculated data '!$A$3,D2279&lt;=$G$4,'calculated data '!$A$4,D2279&lt;=$G$6,'calculated data '!$A$5,D2279&gt;=$G$6,'calculated data '!$A$6)</f>
        <v>Low Demand Tier</v>
      </c>
      <c r="F2279" s="10">
        <f t="shared" si="1"/>
        <v>-0.6110033889</v>
      </c>
    </row>
    <row r="2280" ht="14.25" customHeight="1">
      <c r="A2280" s="2" t="s">
        <v>181</v>
      </c>
      <c r="B2280" s="2" t="s">
        <v>182</v>
      </c>
      <c r="C2280" s="2">
        <v>1986.0</v>
      </c>
      <c r="D2280" s="9">
        <v>1971.5691</v>
      </c>
      <c r="E2280" s="10" t="str">
        <f t="array" ref="E2280">IFS(D2280&lt;=$G$3,'calculated data '!$A$3,D2280&lt;=$G$4,'calculated data '!$A$4,D2280&lt;=$G$6,'calculated data '!$A$5,D2280&gt;=$G$6,'calculated data '!$A$6)</f>
        <v>Low Demand Tier</v>
      </c>
      <c r="F2280" s="10">
        <f t="shared" si="1"/>
        <v>-0.6109845319</v>
      </c>
    </row>
    <row r="2281" ht="14.25" customHeight="1">
      <c r="A2281" s="2" t="s">
        <v>173</v>
      </c>
      <c r="B2281" s="2" t="s">
        <v>174</v>
      </c>
      <c r="C2281" s="2">
        <v>1986.0</v>
      </c>
      <c r="D2281" s="9">
        <v>1975.5999</v>
      </c>
      <c r="E2281" s="10" t="str">
        <f t="array" ref="E2281">IFS(D2281&lt;=$G$3,'calculated data '!$A$3,D2281&lt;=$G$4,'calculated data '!$A$4,D2281&lt;=$G$6,'calculated data '!$A$5,D2281&gt;=$G$6,'calculated data '!$A$6)</f>
        <v>Low Demand Tier</v>
      </c>
      <c r="F2281" s="10">
        <f t="shared" si="1"/>
        <v>-0.6108778376</v>
      </c>
    </row>
    <row r="2282" ht="14.25" customHeight="1">
      <c r="A2282" s="2" t="s">
        <v>131</v>
      </c>
      <c r="B2282" s="2" t="s">
        <v>132</v>
      </c>
      <c r="C2282" s="2">
        <v>2022.0</v>
      </c>
      <c r="D2282" s="9">
        <v>1976.4607</v>
      </c>
      <c r="E2282" s="10" t="str">
        <f t="array" ref="E2282">IFS(D2282&lt;=$G$3,'calculated data '!$A$3,D2282&lt;=$G$4,'calculated data '!$A$4,D2282&lt;=$G$6,'calculated data '!$A$5,D2282&gt;=$G$6,'calculated data '!$A$6)</f>
        <v>Low Demand Tier</v>
      </c>
      <c r="F2282" s="10">
        <f t="shared" si="1"/>
        <v>-0.6108550524</v>
      </c>
    </row>
    <row r="2283" ht="14.25" customHeight="1">
      <c r="A2283" s="2" t="s">
        <v>211</v>
      </c>
      <c r="B2283" s="2" t="s">
        <v>212</v>
      </c>
      <c r="C2283" s="2">
        <v>1982.0</v>
      </c>
      <c r="D2283" s="9">
        <v>1977.5355</v>
      </c>
      <c r="E2283" s="10" t="str">
        <f t="array" ref="E2283">IFS(D2283&lt;=$G$3,'calculated data '!$A$3,D2283&lt;=$G$4,'calculated data '!$A$4,D2283&lt;=$G$6,'calculated data '!$A$5,D2283&gt;=$G$6,'calculated data '!$A$6)</f>
        <v>Low Demand Tier</v>
      </c>
      <c r="F2283" s="10">
        <f t="shared" si="1"/>
        <v>-0.6108266027</v>
      </c>
    </row>
    <row r="2284" ht="14.25" customHeight="1">
      <c r="A2284" s="2" t="s">
        <v>173</v>
      </c>
      <c r="B2284" s="2" t="s">
        <v>174</v>
      </c>
      <c r="C2284" s="2">
        <v>1985.0</v>
      </c>
      <c r="D2284" s="9">
        <v>1978.5883</v>
      </c>
      <c r="E2284" s="10" t="str">
        <f t="array" ref="E2284">IFS(D2284&lt;=$G$3,'calculated data '!$A$3,D2284&lt;=$G$4,'calculated data '!$A$4,D2284&lt;=$G$6,'calculated data '!$A$5,D2284&gt;=$G$6,'calculated data '!$A$6)</f>
        <v>Low Demand Tier</v>
      </c>
      <c r="F2284" s="10">
        <f t="shared" si="1"/>
        <v>-0.6107987354</v>
      </c>
    </row>
    <row r="2285" ht="14.25" customHeight="1">
      <c r="A2285" s="2" t="s">
        <v>195</v>
      </c>
      <c r="B2285" s="2" t="s">
        <v>196</v>
      </c>
      <c r="C2285" s="2">
        <v>1994.0</v>
      </c>
      <c r="D2285" s="9">
        <v>1978.8668</v>
      </c>
      <c r="E2285" s="10" t="str">
        <f t="array" ref="E2285">IFS(D2285&lt;=$G$3,'calculated data '!$A$3,D2285&lt;=$G$4,'calculated data '!$A$4,D2285&lt;=$G$6,'calculated data '!$A$5,D2285&gt;=$G$6,'calculated data '!$A$6)</f>
        <v>Low Demand Tier</v>
      </c>
      <c r="F2285" s="10">
        <f t="shared" si="1"/>
        <v>-0.6107913636</v>
      </c>
    </row>
    <row r="2286" ht="14.25" customHeight="1">
      <c r="A2286" s="2" t="s">
        <v>51</v>
      </c>
      <c r="B2286" s="2" t="s">
        <v>52</v>
      </c>
      <c r="C2286" s="2">
        <v>1996.0</v>
      </c>
      <c r="D2286" s="9">
        <v>1979.485</v>
      </c>
      <c r="E2286" s="10" t="str">
        <f t="array" ref="E2286">IFS(D2286&lt;=$G$3,'calculated data '!$A$3,D2286&lt;=$G$4,'calculated data '!$A$4,D2286&lt;=$G$6,'calculated data '!$A$5,D2286&gt;=$G$6,'calculated data '!$A$6)</f>
        <v>Low Demand Tier</v>
      </c>
      <c r="F2286" s="10">
        <f t="shared" si="1"/>
        <v>-0.610775</v>
      </c>
    </row>
    <row r="2287" ht="14.25" customHeight="1">
      <c r="A2287" s="2" t="s">
        <v>157</v>
      </c>
      <c r="B2287" s="2" t="s">
        <v>158</v>
      </c>
      <c r="C2287" s="2">
        <v>2002.0</v>
      </c>
      <c r="D2287" s="9">
        <v>1980.8828</v>
      </c>
      <c r="E2287" s="10" t="str">
        <f t="array" ref="E2287">IFS(D2287&lt;=$G$3,'calculated data '!$A$3,D2287&lt;=$G$4,'calculated data '!$A$4,D2287&lt;=$G$6,'calculated data '!$A$5,D2287&gt;=$G$6,'calculated data '!$A$6)</f>
        <v>Low Demand Tier</v>
      </c>
      <c r="F2287" s="10">
        <f t="shared" si="1"/>
        <v>-0.6107380005</v>
      </c>
    </row>
    <row r="2288" ht="14.25" customHeight="1">
      <c r="A2288" s="2" t="s">
        <v>93</v>
      </c>
      <c r="B2288" s="2" t="s">
        <v>94</v>
      </c>
      <c r="C2288" s="2">
        <v>2009.0</v>
      </c>
      <c r="D2288" s="9">
        <v>1981.5402</v>
      </c>
      <c r="E2288" s="10" t="str">
        <f t="array" ref="E2288">IFS(D2288&lt;=$G$3,'calculated data '!$A$3,D2288&lt;=$G$4,'calculated data '!$A$4,D2288&lt;=$G$6,'calculated data '!$A$5,D2288&gt;=$G$6,'calculated data '!$A$6)</f>
        <v>Low Demand Tier</v>
      </c>
      <c r="F2288" s="10">
        <f t="shared" si="1"/>
        <v>-0.6107205993</v>
      </c>
    </row>
    <row r="2289" ht="14.25" customHeight="1">
      <c r="A2289" s="2" t="s">
        <v>181</v>
      </c>
      <c r="B2289" s="2" t="s">
        <v>182</v>
      </c>
      <c r="C2289" s="2">
        <v>2001.0</v>
      </c>
      <c r="D2289" s="9">
        <v>1982.5068</v>
      </c>
      <c r="E2289" s="10" t="str">
        <f t="array" ref="E2289">IFS(D2289&lt;=$G$3,'calculated data '!$A$3,D2289&lt;=$G$4,'calculated data '!$A$4,D2289&lt;=$G$6,'calculated data '!$A$5,D2289&gt;=$G$6,'calculated data '!$A$6)</f>
        <v>Low Demand Tier</v>
      </c>
      <c r="F2289" s="10">
        <f t="shared" si="1"/>
        <v>-0.6106950137</v>
      </c>
    </row>
    <row r="2290" ht="14.25" customHeight="1">
      <c r="A2290" s="2" t="s">
        <v>179</v>
      </c>
      <c r="B2290" s="2" t="s">
        <v>180</v>
      </c>
      <c r="C2290" s="2">
        <v>1991.0</v>
      </c>
      <c r="D2290" s="9">
        <v>1982.5493</v>
      </c>
      <c r="E2290" s="10" t="str">
        <f t="array" ref="E2290">IFS(D2290&lt;=$G$3,'calculated data '!$A$3,D2290&lt;=$G$4,'calculated data '!$A$4,D2290&lt;=$G$6,'calculated data '!$A$5,D2290&gt;=$G$6,'calculated data '!$A$6)</f>
        <v>Low Demand Tier</v>
      </c>
      <c r="F2290" s="10">
        <f t="shared" si="1"/>
        <v>-0.6106938887</v>
      </c>
    </row>
    <row r="2291" ht="14.25" customHeight="1">
      <c r="A2291" s="2" t="s">
        <v>131</v>
      </c>
      <c r="B2291" s="2" t="s">
        <v>132</v>
      </c>
      <c r="C2291" s="2">
        <v>2024.0</v>
      </c>
      <c r="D2291" s="9">
        <v>1982.7366</v>
      </c>
      <c r="E2291" s="10" t="str">
        <f t="array" ref="E2291">IFS(D2291&lt;=$G$3,'calculated data '!$A$3,D2291&lt;=$G$4,'calculated data '!$A$4,D2291&lt;=$G$6,'calculated data '!$A$5,D2291&gt;=$G$6,'calculated data '!$A$6)</f>
        <v>Low Demand Tier</v>
      </c>
      <c r="F2291" s="10">
        <f t="shared" si="1"/>
        <v>-0.6106889309</v>
      </c>
    </row>
    <row r="2292" ht="14.25" customHeight="1">
      <c r="A2292" s="2" t="s">
        <v>199</v>
      </c>
      <c r="B2292" s="2" t="s">
        <v>200</v>
      </c>
      <c r="C2292" s="2">
        <v>1991.0</v>
      </c>
      <c r="D2292" s="9">
        <v>1985.9208</v>
      </c>
      <c r="E2292" s="10" t="str">
        <f t="array" ref="E2292">IFS(D2292&lt;=$G$3,'calculated data '!$A$3,D2292&lt;=$G$4,'calculated data '!$A$4,D2292&lt;=$G$6,'calculated data '!$A$5,D2292&gt;=$G$6,'calculated data '!$A$6)</f>
        <v>Low Demand Tier</v>
      </c>
      <c r="F2292" s="10">
        <f t="shared" si="1"/>
        <v>-0.6106046459</v>
      </c>
    </row>
    <row r="2293" ht="14.25" customHeight="1">
      <c r="A2293" s="2" t="s">
        <v>179</v>
      </c>
      <c r="B2293" s="2" t="s">
        <v>180</v>
      </c>
      <c r="C2293" s="2">
        <v>2022.0</v>
      </c>
      <c r="D2293" s="9">
        <v>1986.8015</v>
      </c>
      <c r="E2293" s="10" t="str">
        <f t="array" ref="E2293">IFS(D2293&lt;=$G$3,'calculated data '!$A$3,D2293&lt;=$G$4,'calculated data '!$A$4,D2293&lt;=$G$6,'calculated data '!$A$5,D2293&gt;=$G$6,'calculated data '!$A$6)</f>
        <v>Low Demand Tier</v>
      </c>
      <c r="F2293" s="10">
        <f t="shared" si="1"/>
        <v>-0.610581334</v>
      </c>
    </row>
    <row r="2294" ht="14.25" customHeight="1">
      <c r="A2294" s="2" t="s">
        <v>167</v>
      </c>
      <c r="B2294" s="2" t="s">
        <v>168</v>
      </c>
      <c r="C2294" s="2">
        <v>2012.0</v>
      </c>
      <c r="D2294" s="9">
        <v>1987.3389</v>
      </c>
      <c r="E2294" s="10" t="str">
        <f t="array" ref="E2294">IFS(D2294&lt;=$G$3,'calculated data '!$A$3,D2294&lt;=$G$4,'calculated data '!$A$4,D2294&lt;=$G$6,'calculated data '!$A$5,D2294&gt;=$G$6,'calculated data '!$A$6)</f>
        <v>Low Demand Tier</v>
      </c>
      <c r="F2294" s="10">
        <f t="shared" si="1"/>
        <v>-0.6105671092</v>
      </c>
    </row>
    <row r="2295" ht="14.25" customHeight="1">
      <c r="A2295" s="2" t="s">
        <v>201</v>
      </c>
      <c r="B2295" s="2" t="s">
        <v>202</v>
      </c>
      <c r="C2295" s="2">
        <v>2022.0</v>
      </c>
      <c r="D2295" s="9">
        <v>1987.7819</v>
      </c>
      <c r="E2295" s="10" t="str">
        <f t="array" ref="E2295">IFS(D2295&lt;=$G$3,'calculated data '!$A$3,D2295&lt;=$G$4,'calculated data '!$A$4,D2295&lt;=$G$6,'calculated data '!$A$5,D2295&gt;=$G$6,'calculated data '!$A$6)</f>
        <v>Low Demand Tier</v>
      </c>
      <c r="F2295" s="10">
        <f t="shared" si="1"/>
        <v>-0.6105553831</v>
      </c>
    </row>
    <row r="2296" ht="14.25" customHeight="1">
      <c r="A2296" s="2" t="s">
        <v>189</v>
      </c>
      <c r="B2296" s="2" t="s">
        <v>190</v>
      </c>
      <c r="C2296" s="2">
        <v>1983.0</v>
      </c>
      <c r="D2296" s="9">
        <v>1989.7365</v>
      </c>
      <c r="E2296" s="10" t="str">
        <f t="array" ref="E2296">IFS(D2296&lt;=$G$3,'calculated data '!$A$3,D2296&lt;=$G$4,'calculated data '!$A$4,D2296&lt;=$G$6,'calculated data '!$A$5,D2296&gt;=$G$6,'calculated data '!$A$6)</f>
        <v>Low Demand Tier</v>
      </c>
      <c r="F2296" s="10">
        <f t="shared" si="1"/>
        <v>-0.6105036453</v>
      </c>
    </row>
    <row r="2297" ht="14.25" customHeight="1">
      <c r="A2297" s="2" t="s">
        <v>97</v>
      </c>
      <c r="B2297" s="2" t="s">
        <v>98</v>
      </c>
      <c r="C2297" s="2">
        <v>2015.0</v>
      </c>
      <c r="D2297" s="9">
        <v>1990.9137</v>
      </c>
      <c r="E2297" s="10" t="str">
        <f t="array" ref="E2297">IFS(D2297&lt;=$G$3,'calculated data '!$A$3,D2297&lt;=$G$4,'calculated data '!$A$4,D2297&lt;=$G$6,'calculated data '!$A$5,D2297&gt;=$G$6,'calculated data '!$A$6)</f>
        <v>Low Demand Tier</v>
      </c>
      <c r="F2297" s="10">
        <f t="shared" si="1"/>
        <v>-0.6104724851</v>
      </c>
    </row>
    <row r="2298" ht="14.25" customHeight="1">
      <c r="A2298" s="2" t="s">
        <v>155</v>
      </c>
      <c r="B2298" s="2" t="s">
        <v>156</v>
      </c>
      <c r="C2298" s="2">
        <v>1987.0</v>
      </c>
      <c r="D2298" s="9">
        <v>1992.6716</v>
      </c>
      <c r="E2298" s="10" t="str">
        <f t="array" ref="E2298">IFS(D2298&lt;=$G$3,'calculated data '!$A$3,D2298&lt;=$G$4,'calculated data '!$A$4,D2298&lt;=$G$6,'calculated data '!$A$5,D2298&gt;=$G$6,'calculated data '!$A$6)</f>
        <v>Low Demand Tier</v>
      </c>
      <c r="F2298" s="10">
        <f t="shared" si="1"/>
        <v>-0.6104259539</v>
      </c>
    </row>
    <row r="2299" ht="14.25" customHeight="1">
      <c r="A2299" s="2" t="s">
        <v>155</v>
      </c>
      <c r="B2299" s="2" t="s">
        <v>156</v>
      </c>
      <c r="C2299" s="2">
        <v>1989.0</v>
      </c>
      <c r="D2299" s="9">
        <v>1993.6906</v>
      </c>
      <c r="E2299" s="10" t="str">
        <f t="array" ref="E2299">IFS(D2299&lt;=$G$3,'calculated data '!$A$3,D2299&lt;=$G$4,'calculated data '!$A$4,D2299&lt;=$G$6,'calculated data '!$A$5,D2299&gt;=$G$6,'calculated data '!$A$6)</f>
        <v>Low Demand Tier</v>
      </c>
      <c r="F2299" s="10">
        <f t="shared" si="1"/>
        <v>-0.6103989813</v>
      </c>
    </row>
    <row r="2300" ht="14.25" customHeight="1">
      <c r="A2300" s="2" t="s">
        <v>167</v>
      </c>
      <c r="B2300" s="2" t="s">
        <v>168</v>
      </c>
      <c r="C2300" s="2">
        <v>1985.0</v>
      </c>
      <c r="D2300" s="9">
        <v>1994.2407</v>
      </c>
      <c r="E2300" s="10" t="str">
        <f t="array" ref="E2300">IFS(D2300&lt;=$G$3,'calculated data '!$A$3,D2300&lt;=$G$4,'calculated data '!$A$4,D2300&lt;=$G$6,'calculated data '!$A$5,D2300&gt;=$G$6,'calculated data '!$A$6)</f>
        <v>Low Demand Tier</v>
      </c>
      <c r="F2300" s="10">
        <f t="shared" si="1"/>
        <v>-0.6103844203</v>
      </c>
    </row>
    <row r="2301" ht="14.25" customHeight="1">
      <c r="A2301" s="2" t="s">
        <v>137</v>
      </c>
      <c r="B2301" s="2" t="s">
        <v>138</v>
      </c>
      <c r="C2301" s="2">
        <v>1981.0</v>
      </c>
      <c r="D2301" s="9">
        <v>1994.3842</v>
      </c>
      <c r="E2301" s="10" t="str">
        <f t="array" ref="E2301">IFS(D2301&lt;=$G$3,'calculated data '!$A$3,D2301&lt;=$G$4,'calculated data '!$A$4,D2301&lt;=$G$6,'calculated data '!$A$5,D2301&gt;=$G$6,'calculated data '!$A$6)</f>
        <v>Low Demand Tier</v>
      </c>
      <c r="F2301" s="10">
        <f t="shared" si="1"/>
        <v>-0.6103806218</v>
      </c>
    </row>
    <row r="2302" ht="14.25" customHeight="1">
      <c r="A2302" s="2" t="s">
        <v>159</v>
      </c>
      <c r="B2302" s="2" t="s">
        <v>160</v>
      </c>
      <c r="C2302" s="2">
        <v>1972.0</v>
      </c>
      <c r="D2302" s="9">
        <v>1994.8044</v>
      </c>
      <c r="E2302" s="10" t="str">
        <f t="array" ref="E2302">IFS(D2302&lt;=$G$3,'calculated data '!$A$3,D2302&lt;=$G$4,'calculated data '!$A$4,D2302&lt;=$G$6,'calculated data '!$A$5,D2302&gt;=$G$6,'calculated data '!$A$6)</f>
        <v>Low Demand Tier</v>
      </c>
      <c r="F2302" s="10">
        <f t="shared" si="1"/>
        <v>-0.6103694993</v>
      </c>
    </row>
    <row r="2303" ht="14.25" customHeight="1">
      <c r="A2303" s="2" t="s">
        <v>93</v>
      </c>
      <c r="B2303" s="2" t="s">
        <v>94</v>
      </c>
      <c r="C2303" s="2">
        <v>2011.0</v>
      </c>
      <c r="D2303" s="9">
        <v>1994.9542</v>
      </c>
      <c r="E2303" s="10" t="str">
        <f t="array" ref="E2303">IFS(D2303&lt;=$G$3,'calculated data '!$A$3,D2303&lt;=$G$4,'calculated data '!$A$4,D2303&lt;=$G$6,'calculated data '!$A$5,D2303&gt;=$G$6,'calculated data '!$A$6)</f>
        <v>Low Demand Tier</v>
      </c>
      <c r="F2303" s="10">
        <f t="shared" si="1"/>
        <v>-0.6103655341</v>
      </c>
    </row>
    <row r="2304" ht="14.25" customHeight="1">
      <c r="A2304" s="2" t="s">
        <v>155</v>
      </c>
      <c r="B2304" s="2" t="s">
        <v>156</v>
      </c>
      <c r="C2304" s="2">
        <v>1986.0</v>
      </c>
      <c r="D2304" s="9">
        <v>1994.9954</v>
      </c>
      <c r="E2304" s="10" t="str">
        <f t="array" ref="E2304">IFS(D2304&lt;=$G$3,'calculated data '!$A$3,D2304&lt;=$G$4,'calculated data '!$A$4,D2304&lt;=$G$6,'calculated data '!$A$5,D2304&gt;=$G$6,'calculated data '!$A$6)</f>
        <v>Low Demand Tier</v>
      </c>
      <c r="F2304" s="10">
        <f t="shared" si="1"/>
        <v>-0.6103644435</v>
      </c>
    </row>
    <row r="2305" ht="14.25" customHeight="1">
      <c r="A2305" s="2" t="s">
        <v>171</v>
      </c>
      <c r="B2305" s="2" t="s">
        <v>172</v>
      </c>
      <c r="C2305" s="2">
        <v>2000.0</v>
      </c>
      <c r="D2305" s="9">
        <v>1996.683</v>
      </c>
      <c r="E2305" s="10" t="str">
        <f t="array" ref="E2305">IFS(D2305&lt;=$G$3,'calculated data '!$A$3,D2305&lt;=$G$4,'calculated data '!$A$4,D2305&lt;=$G$6,'calculated data '!$A$5,D2305&gt;=$G$6,'calculated data '!$A$6)</f>
        <v>Low Demand Tier</v>
      </c>
      <c r="F2305" s="10">
        <f t="shared" si="1"/>
        <v>-0.6103197732</v>
      </c>
    </row>
    <row r="2306" ht="14.25" customHeight="1">
      <c r="A2306" s="2" t="s">
        <v>195</v>
      </c>
      <c r="B2306" s="2" t="s">
        <v>196</v>
      </c>
      <c r="C2306" s="2">
        <v>1995.0</v>
      </c>
      <c r="D2306" s="9">
        <v>1997.4972</v>
      </c>
      <c r="E2306" s="10" t="str">
        <f t="array" ref="E2306">IFS(D2306&lt;=$G$3,'calculated data '!$A$3,D2306&lt;=$G$4,'calculated data '!$A$4,D2306&lt;=$G$6,'calculated data '!$A$5,D2306&gt;=$G$6,'calculated data '!$A$6)</f>
        <v>Low Demand Tier</v>
      </c>
      <c r="F2306" s="10">
        <f t="shared" si="1"/>
        <v>-0.6102982215</v>
      </c>
    </row>
    <row r="2307" ht="14.25" customHeight="1">
      <c r="A2307" s="2" t="s">
        <v>181</v>
      </c>
      <c r="B2307" s="2" t="s">
        <v>182</v>
      </c>
      <c r="C2307" s="2">
        <v>1983.0</v>
      </c>
      <c r="D2307" s="9">
        <v>2001.53</v>
      </c>
      <c r="E2307" s="10" t="str">
        <f t="array" ref="E2307">IFS(D2307&lt;=$G$3,'calculated data '!$A$3,D2307&lt;=$G$4,'calculated data '!$A$4,D2307&lt;=$G$6,'calculated data '!$A$5,D2307&gt;=$G$6,'calculated data '!$A$6)</f>
        <v>Low Demand Tier</v>
      </c>
      <c r="F2307" s="10">
        <f t="shared" si="1"/>
        <v>-0.6101914743</v>
      </c>
    </row>
    <row r="2308" ht="14.25" customHeight="1">
      <c r="A2308" s="2" t="s">
        <v>187</v>
      </c>
      <c r="B2308" s="2" t="s">
        <v>188</v>
      </c>
      <c r="C2308" s="2">
        <v>1992.0</v>
      </c>
      <c r="D2308" s="9">
        <v>2003.4595</v>
      </c>
      <c r="E2308" s="10" t="str">
        <f t="array" ref="E2308">IFS(D2308&lt;=$G$3,'calculated data '!$A$3,D2308&lt;=$G$4,'calculated data '!$A$4,D2308&lt;=$G$6,'calculated data '!$A$5,D2308&gt;=$G$6,'calculated data '!$A$6)</f>
        <v>Low Demand Tier</v>
      </c>
      <c r="F2308" s="10">
        <f t="shared" si="1"/>
        <v>-0.6101404009</v>
      </c>
    </row>
    <row r="2309" ht="14.25" customHeight="1">
      <c r="A2309" s="2" t="s">
        <v>93</v>
      </c>
      <c r="B2309" s="2" t="s">
        <v>94</v>
      </c>
      <c r="C2309" s="2">
        <v>2015.0</v>
      </c>
      <c r="D2309" s="9">
        <v>2004.1119</v>
      </c>
      <c r="E2309" s="10" t="str">
        <f t="array" ref="E2309">IFS(D2309&lt;=$G$3,'calculated data '!$A$3,D2309&lt;=$G$4,'calculated data '!$A$4,D2309&lt;=$G$6,'calculated data '!$A$5,D2309&gt;=$G$6,'calculated data '!$A$6)</f>
        <v>Low Demand Tier</v>
      </c>
      <c r="F2309" s="10">
        <f t="shared" si="1"/>
        <v>-0.610123132</v>
      </c>
    </row>
    <row r="2310" ht="14.25" customHeight="1">
      <c r="A2310" s="2" t="s">
        <v>209</v>
      </c>
      <c r="B2310" s="2" t="s">
        <v>210</v>
      </c>
      <c r="C2310" s="2">
        <v>1983.0</v>
      </c>
      <c r="D2310" s="9">
        <v>2006.7821</v>
      </c>
      <c r="E2310" s="10" t="str">
        <f t="array" ref="E2310">IFS(D2310&lt;=$G$3,'calculated data '!$A$3,D2310&lt;=$G$4,'calculated data '!$A$4,D2310&lt;=$G$6,'calculated data '!$A$5,D2310&gt;=$G$6,'calculated data '!$A$6)</f>
        <v>Low Demand Tier</v>
      </c>
      <c r="F2310" s="10">
        <f t="shared" si="1"/>
        <v>-0.6100524525</v>
      </c>
    </row>
    <row r="2311" ht="14.25" customHeight="1">
      <c r="A2311" s="2" t="s">
        <v>137</v>
      </c>
      <c r="B2311" s="2" t="s">
        <v>138</v>
      </c>
      <c r="C2311" s="2">
        <v>2003.0</v>
      </c>
      <c r="D2311" s="9">
        <v>2007.5004</v>
      </c>
      <c r="E2311" s="10" t="str">
        <f t="array" ref="E2311">IFS(D2311&lt;=$G$3,'calculated data '!$A$3,D2311&lt;=$G$4,'calculated data '!$A$4,D2311&lt;=$G$6,'calculated data '!$A$5,D2311&gt;=$G$6,'calculated data '!$A$6)</f>
        <v>Low Demand Tier</v>
      </c>
      <c r="F2311" s="10">
        <f t="shared" si="1"/>
        <v>-0.6100334393</v>
      </c>
    </row>
    <row r="2312" ht="14.25" customHeight="1">
      <c r="A2312" s="2" t="s">
        <v>21</v>
      </c>
      <c r="B2312" s="2" t="s">
        <v>22</v>
      </c>
      <c r="C2312" s="2">
        <v>2014.0</v>
      </c>
      <c r="D2312" s="9">
        <v>2007.905</v>
      </c>
      <c r="E2312" s="10" t="str">
        <f t="array" ref="E2312">IFS(D2312&lt;=$G$3,'calculated data '!$A$3,D2312&lt;=$G$4,'calculated data '!$A$4,D2312&lt;=$G$6,'calculated data '!$A$5,D2312&gt;=$G$6,'calculated data '!$A$6)</f>
        <v>Low Demand Tier</v>
      </c>
      <c r="F2312" s="10">
        <f t="shared" si="1"/>
        <v>-0.6100227296</v>
      </c>
    </row>
    <row r="2313" ht="14.25" customHeight="1">
      <c r="A2313" s="2" t="s">
        <v>173</v>
      </c>
      <c r="B2313" s="2" t="s">
        <v>174</v>
      </c>
      <c r="C2313" s="2">
        <v>2017.0</v>
      </c>
      <c r="D2313" s="9">
        <v>2008.1346</v>
      </c>
      <c r="E2313" s="10" t="str">
        <f t="array" ref="E2313">IFS(D2313&lt;=$G$3,'calculated data '!$A$3,D2313&lt;=$G$4,'calculated data '!$A$4,D2313&lt;=$G$6,'calculated data '!$A$5,D2313&gt;=$G$6,'calculated data '!$A$6)</f>
        <v>Low Demand Tier</v>
      </c>
      <c r="F2313" s="10">
        <f t="shared" si="1"/>
        <v>-0.6100166522</v>
      </c>
    </row>
    <row r="2314" ht="14.25" customHeight="1">
      <c r="A2314" s="2" t="s">
        <v>187</v>
      </c>
      <c r="B2314" s="2" t="s">
        <v>188</v>
      </c>
      <c r="C2314" s="2">
        <v>2016.0</v>
      </c>
      <c r="D2314" s="9">
        <v>2009.2228</v>
      </c>
      <c r="E2314" s="10" t="str">
        <f t="array" ref="E2314">IFS(D2314&lt;=$G$3,'calculated data '!$A$3,D2314&lt;=$G$4,'calculated data '!$A$4,D2314&lt;=$G$6,'calculated data '!$A$5,D2314&gt;=$G$6,'calculated data '!$A$6)</f>
        <v>Low Demand Tier</v>
      </c>
      <c r="F2314" s="10">
        <f t="shared" si="1"/>
        <v>-0.6099878478</v>
      </c>
    </row>
    <row r="2315" ht="14.25" customHeight="1">
      <c r="A2315" s="2" t="s">
        <v>167</v>
      </c>
      <c r="B2315" s="2" t="s">
        <v>168</v>
      </c>
      <c r="C2315" s="2">
        <v>1990.0</v>
      </c>
      <c r="D2315" s="9">
        <v>2012.1342</v>
      </c>
      <c r="E2315" s="10" t="str">
        <f t="array" ref="E2315">IFS(D2315&lt;=$G$3,'calculated data '!$A$3,D2315&lt;=$G$4,'calculated data '!$A$4,D2315&lt;=$G$6,'calculated data '!$A$5,D2315&gt;=$G$6,'calculated data '!$A$6)</f>
        <v>Low Demand Tier</v>
      </c>
      <c r="F2315" s="10">
        <f t="shared" si="1"/>
        <v>-0.6099107838</v>
      </c>
    </row>
    <row r="2316" ht="14.25" customHeight="1">
      <c r="A2316" s="2" t="s">
        <v>169</v>
      </c>
      <c r="B2316" s="2" t="s">
        <v>170</v>
      </c>
      <c r="C2316" s="2">
        <v>1990.0</v>
      </c>
      <c r="D2316" s="9">
        <v>2013.3123</v>
      </c>
      <c r="E2316" s="10" t="str">
        <f t="array" ref="E2316">IFS(D2316&lt;=$G$3,'calculated data '!$A$3,D2316&lt;=$G$4,'calculated data '!$A$4,D2316&lt;=$G$6,'calculated data '!$A$5,D2316&gt;=$G$6,'calculated data '!$A$6)</f>
        <v>Low Demand Tier</v>
      </c>
      <c r="F2316" s="10">
        <f t="shared" si="1"/>
        <v>-0.6098795998</v>
      </c>
    </row>
    <row r="2317" ht="14.25" customHeight="1">
      <c r="A2317" s="2" t="s">
        <v>99</v>
      </c>
      <c r="B2317" s="2" t="s">
        <v>100</v>
      </c>
      <c r="C2317" s="2">
        <v>1993.0</v>
      </c>
      <c r="D2317" s="9">
        <v>2015.2084</v>
      </c>
      <c r="E2317" s="10" t="str">
        <f t="array" ref="E2317">IFS(D2317&lt;=$G$3,'calculated data '!$A$3,D2317&lt;=$G$4,'calculated data '!$A$4,D2317&lt;=$G$6,'calculated data '!$A$5,D2317&gt;=$G$6,'calculated data '!$A$6)</f>
        <v>Low Demand Tier</v>
      </c>
      <c r="F2317" s="10">
        <f t="shared" si="1"/>
        <v>-0.6098294105</v>
      </c>
    </row>
    <row r="2318" ht="14.25" customHeight="1">
      <c r="A2318" s="2" t="s">
        <v>165</v>
      </c>
      <c r="B2318" s="2" t="s">
        <v>166</v>
      </c>
      <c r="C2318" s="2">
        <v>1986.0</v>
      </c>
      <c r="D2318" s="9">
        <v>2015.5586</v>
      </c>
      <c r="E2318" s="10" t="str">
        <f t="array" ref="E2318">IFS(D2318&lt;=$G$3,'calculated data '!$A$3,D2318&lt;=$G$4,'calculated data '!$A$4,D2318&lt;=$G$6,'calculated data '!$A$5,D2318&gt;=$G$6,'calculated data '!$A$6)</f>
        <v>Low Demand Tier</v>
      </c>
      <c r="F2318" s="10">
        <f t="shared" si="1"/>
        <v>-0.6098201408</v>
      </c>
    </row>
    <row r="2319" ht="14.25" customHeight="1">
      <c r="A2319" s="2" t="s">
        <v>145</v>
      </c>
      <c r="B2319" s="2" t="s">
        <v>146</v>
      </c>
      <c r="C2319" s="2">
        <v>1981.0</v>
      </c>
      <c r="D2319" s="9">
        <v>2017.6072</v>
      </c>
      <c r="E2319" s="10" t="str">
        <f t="array" ref="E2319">IFS(D2319&lt;=$G$3,'calculated data '!$A$3,D2319&lt;=$G$4,'calculated data '!$A$4,D2319&lt;=$G$6,'calculated data '!$A$5,D2319&gt;=$G$6,'calculated data '!$A$6)</f>
        <v>Low Demand Tier</v>
      </c>
      <c r="F2319" s="10">
        <f t="shared" si="1"/>
        <v>-0.6097659148</v>
      </c>
    </row>
    <row r="2320" ht="14.25" customHeight="1">
      <c r="A2320" s="2" t="s">
        <v>123</v>
      </c>
      <c r="B2320" s="2" t="s">
        <v>124</v>
      </c>
      <c r="C2320" s="2">
        <v>2011.0</v>
      </c>
      <c r="D2320" s="9">
        <v>2017.89</v>
      </c>
      <c r="E2320" s="10" t="str">
        <f t="array" ref="E2320">IFS(D2320&lt;=$G$3,'calculated data '!$A$3,D2320&lt;=$G$4,'calculated data '!$A$4,D2320&lt;=$G$6,'calculated data '!$A$5,D2320&gt;=$G$6,'calculated data '!$A$6)</f>
        <v>Low Demand Tier</v>
      </c>
      <c r="F2320" s="10">
        <f t="shared" si="1"/>
        <v>-0.6097584292</v>
      </c>
    </row>
    <row r="2321" ht="14.25" customHeight="1">
      <c r="A2321" s="2" t="s">
        <v>195</v>
      </c>
      <c r="B2321" s="2" t="s">
        <v>196</v>
      </c>
      <c r="C2321" s="2">
        <v>1996.0</v>
      </c>
      <c r="D2321" s="9">
        <v>2018.3367</v>
      </c>
      <c r="E2321" s="10" t="str">
        <f t="array" ref="E2321">IFS(D2321&lt;=$G$3,'calculated data '!$A$3,D2321&lt;=$G$4,'calculated data '!$A$4,D2321&lt;=$G$6,'calculated data '!$A$5,D2321&gt;=$G$6,'calculated data '!$A$6)</f>
        <v>Low Demand Tier</v>
      </c>
      <c r="F2321" s="10">
        <f t="shared" si="1"/>
        <v>-0.6097466051</v>
      </c>
    </row>
    <row r="2322" ht="14.25" customHeight="1">
      <c r="A2322" s="2" t="s">
        <v>199</v>
      </c>
      <c r="B2322" s="2" t="s">
        <v>200</v>
      </c>
      <c r="C2322" s="2">
        <v>1989.0</v>
      </c>
      <c r="D2322" s="9">
        <v>2018.4404</v>
      </c>
      <c r="E2322" s="10" t="str">
        <f t="array" ref="E2322">IFS(D2322&lt;=$G$3,'calculated data '!$A$3,D2322&lt;=$G$4,'calculated data '!$A$4,D2322&lt;=$G$6,'calculated data '!$A$5,D2322&gt;=$G$6,'calculated data '!$A$6)</f>
        <v>Low Demand Tier</v>
      </c>
      <c r="F2322" s="10">
        <f t="shared" si="1"/>
        <v>-0.6097438602</v>
      </c>
    </row>
    <row r="2323" ht="14.25" customHeight="1">
      <c r="A2323" s="2" t="s">
        <v>179</v>
      </c>
      <c r="B2323" s="2" t="s">
        <v>180</v>
      </c>
      <c r="C2323" s="2">
        <v>2020.0</v>
      </c>
      <c r="D2323" s="9">
        <v>2019.7283</v>
      </c>
      <c r="E2323" s="10" t="str">
        <f t="array" ref="E2323">IFS(D2323&lt;=$G$3,'calculated data '!$A$3,D2323&lt;=$G$4,'calculated data '!$A$4,D2323&lt;=$G$6,'calculated data '!$A$5,D2323&gt;=$G$6,'calculated data '!$A$6)</f>
        <v>Low Demand Tier</v>
      </c>
      <c r="F2323" s="10">
        <f t="shared" si="1"/>
        <v>-0.6097097698</v>
      </c>
    </row>
    <row r="2324" ht="14.25" customHeight="1">
      <c r="A2324" s="2" t="s">
        <v>201</v>
      </c>
      <c r="B2324" s="2" t="s">
        <v>202</v>
      </c>
      <c r="C2324" s="2">
        <v>2023.0</v>
      </c>
      <c r="D2324" s="9">
        <v>2020.2874</v>
      </c>
      <c r="E2324" s="10" t="str">
        <f t="array" ref="E2324">IFS(D2324&lt;=$G$3,'calculated data '!$A$3,D2324&lt;=$G$4,'calculated data '!$A$4,D2324&lt;=$G$6,'calculated data '!$A$5,D2324&gt;=$G$6,'calculated data '!$A$6)</f>
        <v>Low Demand Tier</v>
      </c>
      <c r="F2324" s="10">
        <f t="shared" si="1"/>
        <v>-0.6096949706</v>
      </c>
    </row>
    <row r="2325" ht="14.25" customHeight="1">
      <c r="A2325" s="2" t="s">
        <v>201</v>
      </c>
      <c r="B2325" s="2" t="s">
        <v>202</v>
      </c>
      <c r="C2325" s="2">
        <v>2019.0</v>
      </c>
      <c r="D2325" s="9">
        <v>2020.4435</v>
      </c>
      <c r="E2325" s="10" t="str">
        <f t="array" ref="E2325">IFS(D2325&lt;=$G$3,'calculated data '!$A$3,D2325&lt;=$G$4,'calculated data '!$A$4,D2325&lt;=$G$6,'calculated data '!$A$5,D2325&gt;=$G$6,'calculated data '!$A$6)</f>
        <v>Low Demand Tier</v>
      </c>
      <c r="F2325" s="10">
        <f t="shared" si="1"/>
        <v>-0.6096908387</v>
      </c>
    </row>
    <row r="2326" ht="14.25" customHeight="1">
      <c r="A2326" s="2" t="s">
        <v>209</v>
      </c>
      <c r="B2326" s="2" t="s">
        <v>210</v>
      </c>
      <c r="C2326" s="2">
        <v>1984.0</v>
      </c>
      <c r="D2326" s="9">
        <v>2021.1777</v>
      </c>
      <c r="E2326" s="10" t="str">
        <f t="array" ref="E2326">IFS(D2326&lt;=$G$3,'calculated data '!$A$3,D2326&lt;=$G$4,'calculated data '!$A$4,D2326&lt;=$G$6,'calculated data '!$A$5,D2326&gt;=$G$6,'calculated data '!$A$6)</f>
        <v>Low Demand Tier</v>
      </c>
      <c r="F2326" s="10">
        <f t="shared" si="1"/>
        <v>-0.6096714046</v>
      </c>
    </row>
    <row r="2327" ht="14.25" customHeight="1">
      <c r="A2327" s="2" t="s">
        <v>167</v>
      </c>
      <c r="B2327" s="2" t="s">
        <v>168</v>
      </c>
      <c r="C2327" s="2">
        <v>2011.0</v>
      </c>
      <c r="D2327" s="9">
        <v>2022.9473</v>
      </c>
      <c r="E2327" s="10" t="str">
        <f t="array" ref="E2327">IFS(D2327&lt;=$G$3,'calculated data '!$A$3,D2327&lt;=$G$4,'calculated data '!$A$4,D2327&lt;=$G$6,'calculated data '!$A$5,D2327&gt;=$G$6,'calculated data '!$A$6)</f>
        <v>Low Demand Tier</v>
      </c>
      <c r="F2327" s="10">
        <f t="shared" si="1"/>
        <v>-0.6096245637</v>
      </c>
    </row>
    <row r="2328" ht="14.25" customHeight="1">
      <c r="A2328" s="2" t="s">
        <v>167</v>
      </c>
      <c r="B2328" s="2" t="s">
        <v>168</v>
      </c>
      <c r="C2328" s="2">
        <v>1988.0</v>
      </c>
      <c r="D2328" s="9">
        <v>2024.1106</v>
      </c>
      <c r="E2328" s="10" t="str">
        <f t="array" ref="E2328">IFS(D2328&lt;=$G$3,'calculated data '!$A$3,D2328&lt;=$G$4,'calculated data '!$A$4,D2328&lt;=$G$6,'calculated data '!$A$5,D2328&gt;=$G$6,'calculated data '!$A$6)</f>
        <v>Low Demand Tier</v>
      </c>
      <c r="F2328" s="10">
        <f t="shared" si="1"/>
        <v>-0.6095937714</v>
      </c>
    </row>
    <row r="2329" ht="14.25" customHeight="1">
      <c r="A2329" s="2" t="s">
        <v>155</v>
      </c>
      <c r="B2329" s="2" t="s">
        <v>156</v>
      </c>
      <c r="C2329" s="2">
        <v>1990.0</v>
      </c>
      <c r="D2329" s="9">
        <v>2026.3307</v>
      </c>
      <c r="E2329" s="10" t="str">
        <f t="array" ref="E2329">IFS(D2329&lt;=$G$3,'calculated data '!$A$3,D2329&lt;=$G$4,'calculated data '!$A$4,D2329&lt;=$G$6,'calculated data '!$A$5,D2329&gt;=$G$6,'calculated data '!$A$6)</f>
        <v>Low Demand Tier</v>
      </c>
      <c r="F2329" s="10">
        <f t="shared" si="1"/>
        <v>-0.6095350059</v>
      </c>
    </row>
    <row r="2330" ht="14.25" customHeight="1">
      <c r="A2330" s="2" t="s">
        <v>199</v>
      </c>
      <c r="B2330" s="2" t="s">
        <v>200</v>
      </c>
      <c r="C2330" s="2">
        <v>1988.0</v>
      </c>
      <c r="D2330" s="9">
        <v>2027.139</v>
      </c>
      <c r="E2330" s="10" t="str">
        <f t="array" ref="E2330">IFS(D2330&lt;=$G$3,'calculated data '!$A$3,D2330&lt;=$G$4,'calculated data '!$A$4,D2330&lt;=$G$6,'calculated data '!$A$5,D2330&gt;=$G$6,'calculated data '!$A$6)</f>
        <v>Low Demand Tier</v>
      </c>
      <c r="F2330" s="10">
        <f t="shared" si="1"/>
        <v>-0.6095136104</v>
      </c>
    </row>
    <row r="2331" ht="14.25" customHeight="1">
      <c r="A2331" s="2" t="s">
        <v>173</v>
      </c>
      <c r="B2331" s="2" t="s">
        <v>174</v>
      </c>
      <c r="C2331" s="2">
        <v>1989.0</v>
      </c>
      <c r="D2331" s="9">
        <v>2028.7623</v>
      </c>
      <c r="E2331" s="10" t="str">
        <f t="array" ref="E2331">IFS(D2331&lt;=$G$3,'calculated data '!$A$3,D2331&lt;=$G$4,'calculated data '!$A$4,D2331&lt;=$G$6,'calculated data '!$A$5,D2331&gt;=$G$6,'calculated data '!$A$6)</f>
        <v>Low Demand Tier</v>
      </c>
      <c r="F2331" s="10">
        <f t="shared" si="1"/>
        <v>-0.6094706421</v>
      </c>
    </row>
    <row r="2332" ht="14.25" customHeight="1">
      <c r="A2332" s="2" t="s">
        <v>117</v>
      </c>
      <c r="B2332" s="2" t="s">
        <v>118</v>
      </c>
      <c r="C2332" s="2">
        <v>1994.0</v>
      </c>
      <c r="D2332" s="9">
        <v>2029.2084</v>
      </c>
      <c r="E2332" s="10" t="str">
        <f t="array" ref="E2332">IFS(D2332&lt;=$G$3,'calculated data '!$A$3,D2332&lt;=$G$4,'calculated data '!$A$4,D2332&lt;=$G$6,'calculated data '!$A$5,D2332&gt;=$G$6,'calculated data '!$A$6)</f>
        <v>Low Demand Tier</v>
      </c>
      <c r="F2332" s="10">
        <f t="shared" si="1"/>
        <v>-0.6094588339</v>
      </c>
    </row>
    <row r="2333" ht="14.25" customHeight="1">
      <c r="A2333" s="2" t="s">
        <v>137</v>
      </c>
      <c r="B2333" s="2" t="s">
        <v>138</v>
      </c>
      <c r="C2333" s="2">
        <v>1980.0</v>
      </c>
      <c r="D2333" s="9">
        <v>2031.4625</v>
      </c>
      <c r="E2333" s="10" t="str">
        <f t="array" ref="E2333">IFS(D2333&lt;=$G$3,'calculated data '!$A$3,D2333&lt;=$G$4,'calculated data '!$A$4,D2333&lt;=$G$6,'calculated data '!$A$5,D2333&gt;=$G$6,'calculated data '!$A$6)</f>
        <v>Low Demand Tier</v>
      </c>
      <c r="F2333" s="10">
        <f t="shared" si="1"/>
        <v>-0.6093991685</v>
      </c>
    </row>
    <row r="2334" ht="14.25" customHeight="1">
      <c r="A2334" s="2" t="s">
        <v>211</v>
      </c>
      <c r="B2334" s="2" t="s">
        <v>212</v>
      </c>
      <c r="C2334" s="2">
        <v>1983.0</v>
      </c>
      <c r="D2334" s="9">
        <v>2033.5569</v>
      </c>
      <c r="E2334" s="10" t="str">
        <f t="array" ref="E2334">IFS(D2334&lt;=$G$3,'calculated data '!$A$3,D2334&lt;=$G$4,'calculated data '!$A$4,D2334&lt;=$G$6,'calculated data '!$A$5,D2334&gt;=$G$6,'calculated data '!$A$6)</f>
        <v>Low Demand Tier</v>
      </c>
      <c r="F2334" s="10">
        <f t="shared" si="1"/>
        <v>-0.6093437302</v>
      </c>
    </row>
    <row r="2335" ht="14.25" customHeight="1">
      <c r="A2335" s="2" t="s">
        <v>167</v>
      </c>
      <c r="B2335" s="2" t="s">
        <v>168</v>
      </c>
      <c r="C2335" s="2">
        <v>1997.0</v>
      </c>
      <c r="D2335" s="9">
        <v>2034.072</v>
      </c>
      <c r="E2335" s="10" t="str">
        <f t="array" ref="E2335">IFS(D2335&lt;=$G$3,'calculated data '!$A$3,D2335&lt;=$G$4,'calculated data '!$A$4,D2335&lt;=$G$6,'calculated data '!$A$5,D2335&gt;=$G$6,'calculated data '!$A$6)</f>
        <v>Low Demand Tier</v>
      </c>
      <c r="F2335" s="10">
        <f t="shared" si="1"/>
        <v>-0.6093300957</v>
      </c>
    </row>
    <row r="2336" ht="14.25" customHeight="1">
      <c r="A2336" s="2" t="s">
        <v>129</v>
      </c>
      <c r="B2336" s="2" t="s">
        <v>130</v>
      </c>
      <c r="C2336" s="2">
        <v>1980.0</v>
      </c>
      <c r="D2336" s="9">
        <v>2035.0972</v>
      </c>
      <c r="E2336" s="10" t="str">
        <f t="array" ref="E2336">IFS(D2336&lt;=$G$3,'calculated data '!$A$3,D2336&lt;=$G$4,'calculated data '!$A$4,D2336&lt;=$G$6,'calculated data '!$A$5,D2336&gt;=$G$6,'calculated data '!$A$6)</f>
        <v>Low Demand Tier</v>
      </c>
      <c r="F2336" s="10">
        <f t="shared" si="1"/>
        <v>-0.6093029589</v>
      </c>
    </row>
    <row r="2337" ht="14.25" customHeight="1">
      <c r="A2337" s="2" t="s">
        <v>171</v>
      </c>
      <c r="B2337" s="2" t="s">
        <v>172</v>
      </c>
      <c r="C2337" s="2">
        <v>2012.0</v>
      </c>
      <c r="D2337" s="9">
        <v>2036.7338</v>
      </c>
      <c r="E2337" s="10" t="str">
        <f t="array" ref="E2337">IFS(D2337&lt;=$G$3,'calculated data '!$A$3,D2337&lt;=$G$4,'calculated data '!$A$4,D2337&lt;=$G$6,'calculated data '!$A$5,D2337&gt;=$G$6,'calculated data '!$A$6)</f>
        <v>Low Demand Tier</v>
      </c>
      <c r="F2337" s="10">
        <f t="shared" si="1"/>
        <v>-0.6092596385</v>
      </c>
    </row>
    <row r="2338" ht="14.25" customHeight="1">
      <c r="A2338" s="2" t="s">
        <v>175</v>
      </c>
      <c r="B2338" s="2" t="s">
        <v>176</v>
      </c>
      <c r="C2338" s="2">
        <v>1986.0</v>
      </c>
      <c r="D2338" s="9">
        <v>2036.9617</v>
      </c>
      <c r="E2338" s="10" t="str">
        <f t="array" ref="E2338">IFS(D2338&lt;=$G$3,'calculated data '!$A$3,D2338&lt;=$G$4,'calculated data '!$A$4,D2338&lt;=$G$6,'calculated data '!$A$5,D2338&gt;=$G$6,'calculated data '!$A$6)</f>
        <v>Low Demand Tier</v>
      </c>
      <c r="F2338" s="10">
        <f t="shared" si="1"/>
        <v>-0.609253606</v>
      </c>
    </row>
    <row r="2339" ht="14.25" customHeight="1">
      <c r="A2339" s="2" t="s">
        <v>195</v>
      </c>
      <c r="B2339" s="2" t="s">
        <v>196</v>
      </c>
      <c r="C2339" s="2">
        <v>1997.0</v>
      </c>
      <c r="D2339" s="9">
        <v>2037.1339</v>
      </c>
      <c r="E2339" s="10" t="str">
        <f t="array" ref="E2339">IFS(D2339&lt;=$G$3,'calculated data '!$A$3,D2339&lt;=$G$4,'calculated data '!$A$4,D2339&lt;=$G$6,'calculated data '!$A$5,D2339&gt;=$G$6,'calculated data '!$A$6)</f>
        <v>Low Demand Tier</v>
      </c>
      <c r="F2339" s="10">
        <f t="shared" si="1"/>
        <v>-0.6092490479</v>
      </c>
    </row>
    <row r="2340" ht="14.25" customHeight="1">
      <c r="A2340" s="2" t="s">
        <v>173</v>
      </c>
      <c r="B2340" s="2" t="s">
        <v>174</v>
      </c>
      <c r="C2340" s="2">
        <v>2019.0</v>
      </c>
      <c r="D2340" s="9">
        <v>2037.2399</v>
      </c>
      <c r="E2340" s="10" t="str">
        <f t="array" ref="E2340">IFS(D2340&lt;=$G$3,'calculated data '!$A$3,D2340&lt;=$G$4,'calculated data '!$A$4,D2340&lt;=$G$6,'calculated data '!$A$5,D2340&gt;=$G$6,'calculated data '!$A$6)</f>
        <v>Low Demand Tier</v>
      </c>
      <c r="F2340" s="10">
        <f t="shared" si="1"/>
        <v>-0.6092462421</v>
      </c>
    </row>
    <row r="2341" ht="14.25" customHeight="1">
      <c r="A2341" s="2" t="s">
        <v>139</v>
      </c>
      <c r="B2341" s="2" t="s">
        <v>140</v>
      </c>
      <c r="C2341" s="2">
        <v>1996.0</v>
      </c>
      <c r="D2341" s="9">
        <v>2038.0273</v>
      </c>
      <c r="E2341" s="10" t="str">
        <f t="array" ref="E2341">IFS(D2341&lt;=$G$3,'calculated data '!$A$3,D2341&lt;=$G$4,'calculated data '!$A$4,D2341&lt;=$G$6,'calculated data '!$A$5,D2341&gt;=$G$6,'calculated data '!$A$6)</f>
        <v>Low Demand Tier</v>
      </c>
      <c r="F2341" s="10">
        <f t="shared" si="1"/>
        <v>-0.6092253999</v>
      </c>
    </row>
    <row r="2342" ht="14.25" customHeight="1">
      <c r="A2342" s="2" t="s">
        <v>181</v>
      </c>
      <c r="B2342" s="2" t="s">
        <v>182</v>
      </c>
      <c r="C2342" s="2">
        <v>2002.0</v>
      </c>
      <c r="D2342" s="9">
        <v>2038.0302</v>
      </c>
      <c r="E2342" s="10" t="str">
        <f t="array" ref="E2342">IFS(D2342&lt;=$G$3,'calculated data '!$A$3,D2342&lt;=$G$4,'calculated data '!$A$4,D2342&lt;=$G$6,'calculated data '!$A$5,D2342&gt;=$G$6,'calculated data '!$A$6)</f>
        <v>Low Demand Tier</v>
      </c>
      <c r="F2342" s="10">
        <f t="shared" si="1"/>
        <v>-0.6092253231</v>
      </c>
    </row>
    <row r="2343" ht="14.25" customHeight="1">
      <c r="A2343" s="2" t="s">
        <v>211</v>
      </c>
      <c r="B2343" s="2" t="s">
        <v>212</v>
      </c>
      <c r="C2343" s="2">
        <v>1981.0</v>
      </c>
      <c r="D2343" s="9">
        <v>2039.0524</v>
      </c>
      <c r="E2343" s="10" t="str">
        <f t="array" ref="E2343">IFS(D2343&lt;=$G$3,'calculated data '!$A$3,D2343&lt;=$G$4,'calculated data '!$A$4,D2343&lt;=$G$6,'calculated data '!$A$5,D2343&gt;=$G$6,'calculated data '!$A$6)</f>
        <v>Low Demand Tier</v>
      </c>
      <c r="F2343" s="10">
        <f t="shared" si="1"/>
        <v>-0.6091982657</v>
      </c>
    </row>
    <row r="2344" ht="14.25" customHeight="1">
      <c r="A2344" s="2" t="s">
        <v>169</v>
      </c>
      <c r="B2344" s="2" t="s">
        <v>170</v>
      </c>
      <c r="C2344" s="2">
        <v>2002.0</v>
      </c>
      <c r="D2344" s="9">
        <v>2040.2915</v>
      </c>
      <c r="E2344" s="10" t="str">
        <f t="array" ref="E2344">IFS(D2344&lt;=$G$3,'calculated data '!$A$3,D2344&lt;=$G$4,'calculated data '!$A$4,D2344&lt;=$G$6,'calculated data '!$A$5,D2344&gt;=$G$6,'calculated data '!$A$6)</f>
        <v>Low Demand Tier</v>
      </c>
      <c r="F2344" s="10">
        <f t="shared" si="1"/>
        <v>-0.609165467</v>
      </c>
    </row>
    <row r="2345" ht="14.25" customHeight="1">
      <c r="A2345" s="2" t="s">
        <v>213</v>
      </c>
      <c r="B2345" s="2" t="s">
        <v>214</v>
      </c>
      <c r="C2345" s="2">
        <v>1991.0</v>
      </c>
      <c r="D2345" s="9">
        <v>2041.5607</v>
      </c>
      <c r="E2345" s="10" t="str">
        <f t="array" ref="E2345">IFS(D2345&lt;=$G$3,'calculated data '!$A$3,D2345&lt;=$G$4,'calculated data '!$A$4,D2345&lt;=$G$6,'calculated data '!$A$5,D2345&gt;=$G$6,'calculated data '!$A$6)</f>
        <v>Low Demand Tier</v>
      </c>
      <c r="F2345" s="10">
        <f t="shared" si="1"/>
        <v>-0.6091318716</v>
      </c>
    </row>
    <row r="2346" ht="14.25" customHeight="1">
      <c r="A2346" s="2" t="s">
        <v>145</v>
      </c>
      <c r="B2346" s="2" t="s">
        <v>146</v>
      </c>
      <c r="C2346" s="2">
        <v>2006.0</v>
      </c>
      <c r="D2346" s="9">
        <v>2043.876</v>
      </c>
      <c r="E2346" s="10" t="str">
        <f t="array" ref="E2346">IFS(D2346&lt;=$G$3,'calculated data '!$A$3,D2346&lt;=$G$4,'calculated data '!$A$4,D2346&lt;=$G$6,'calculated data '!$A$5,D2346&gt;=$G$6,'calculated data '!$A$6)</f>
        <v>Low Demand Tier</v>
      </c>
      <c r="F2346" s="10">
        <f t="shared" si="1"/>
        <v>-0.6090705862</v>
      </c>
    </row>
    <row r="2347" ht="14.25" customHeight="1">
      <c r="A2347" s="2" t="s">
        <v>79</v>
      </c>
      <c r="B2347" s="2" t="s">
        <v>80</v>
      </c>
      <c r="C2347" s="2">
        <v>2015.0</v>
      </c>
      <c r="D2347" s="9">
        <v>2045.9786</v>
      </c>
      <c r="E2347" s="10" t="str">
        <f t="array" ref="E2347">IFS(D2347&lt;=$G$3,'calculated data '!$A$3,D2347&lt;=$G$4,'calculated data '!$A$4,D2347&lt;=$G$6,'calculated data '!$A$5,D2347&gt;=$G$6,'calculated data '!$A$6)</f>
        <v>Low Demand Tier</v>
      </c>
      <c r="F2347" s="10">
        <f t="shared" si="1"/>
        <v>-0.6090149309</v>
      </c>
    </row>
    <row r="2348" ht="14.25" customHeight="1">
      <c r="A2348" s="2" t="s">
        <v>169</v>
      </c>
      <c r="B2348" s="2" t="s">
        <v>170</v>
      </c>
      <c r="C2348" s="2">
        <v>1991.0</v>
      </c>
      <c r="D2348" s="9">
        <v>2046.6364</v>
      </c>
      <c r="E2348" s="10" t="str">
        <f t="array" ref="E2348">IFS(D2348&lt;=$G$3,'calculated data '!$A$3,D2348&lt;=$G$4,'calculated data '!$A$4,D2348&lt;=$G$6,'calculated data '!$A$5,D2348&gt;=$G$6,'calculated data '!$A$6)</f>
        <v>Low Demand Tier</v>
      </c>
      <c r="F2348" s="10">
        <f t="shared" si="1"/>
        <v>-0.6089975191</v>
      </c>
    </row>
    <row r="2349" ht="14.25" customHeight="1">
      <c r="A2349" s="2" t="s">
        <v>169</v>
      </c>
      <c r="B2349" s="2" t="s">
        <v>170</v>
      </c>
      <c r="C2349" s="2">
        <v>1988.0</v>
      </c>
      <c r="D2349" s="9">
        <v>2047.1084</v>
      </c>
      <c r="E2349" s="10" t="str">
        <f t="array" ref="E2349">IFS(D2349&lt;=$G$3,'calculated data '!$A$3,D2349&lt;=$G$4,'calculated data '!$A$4,D2349&lt;=$G$6,'calculated data '!$A$5,D2349&gt;=$G$6,'calculated data '!$A$6)</f>
        <v>Low Demand Tier</v>
      </c>
      <c r="F2349" s="10">
        <f t="shared" si="1"/>
        <v>-0.6089850254</v>
      </c>
    </row>
    <row r="2350" ht="14.25" customHeight="1">
      <c r="A2350" s="2" t="s">
        <v>161</v>
      </c>
      <c r="B2350" s="2" t="s">
        <v>162</v>
      </c>
      <c r="C2350" s="2">
        <v>2000.0</v>
      </c>
      <c r="D2350" s="9">
        <v>2050.1506</v>
      </c>
      <c r="E2350" s="10" t="str">
        <f t="array" ref="E2350">IFS(D2350&lt;=$G$3,'calculated data '!$A$3,D2350&lt;=$G$4,'calculated data '!$A$4,D2350&lt;=$G$6,'calculated data '!$A$5,D2350&gt;=$G$6,'calculated data '!$A$6)</f>
        <v>Low Demand Tier</v>
      </c>
      <c r="F2350" s="10">
        <f t="shared" si="1"/>
        <v>-0.6089044991</v>
      </c>
    </row>
    <row r="2351" ht="14.25" customHeight="1">
      <c r="A2351" s="2" t="s">
        <v>139</v>
      </c>
      <c r="B2351" s="2" t="s">
        <v>140</v>
      </c>
      <c r="C2351" s="2">
        <v>1997.0</v>
      </c>
      <c r="D2351" s="9">
        <v>2054.3054</v>
      </c>
      <c r="E2351" s="10" t="str">
        <f t="array" ref="E2351">IFS(D2351&lt;=$G$3,'calculated data '!$A$3,D2351&lt;=$G$4,'calculated data '!$A$4,D2351&lt;=$G$6,'calculated data '!$A$5,D2351&gt;=$G$6,'calculated data '!$A$6)</f>
        <v>Low Demand Tier</v>
      </c>
      <c r="F2351" s="10">
        <f t="shared" si="1"/>
        <v>-0.6087945226</v>
      </c>
    </row>
    <row r="2352" ht="14.25" customHeight="1">
      <c r="A2352" s="2" t="s">
        <v>171</v>
      </c>
      <c r="B2352" s="2" t="s">
        <v>172</v>
      </c>
      <c r="C2352" s="2">
        <v>2003.0</v>
      </c>
      <c r="D2352" s="9">
        <v>2055.5518</v>
      </c>
      <c r="E2352" s="10" t="str">
        <f t="array" ref="E2352">IFS(D2352&lt;=$G$3,'calculated data '!$A$3,D2352&lt;=$G$4,'calculated data '!$A$4,D2352&lt;=$G$6,'calculated data '!$A$5,D2352&gt;=$G$6,'calculated data '!$A$6)</f>
        <v>Low Demand Tier</v>
      </c>
      <c r="F2352" s="10">
        <f t="shared" si="1"/>
        <v>-0.6087615307</v>
      </c>
    </row>
    <row r="2353" ht="14.25" customHeight="1">
      <c r="A2353" s="2" t="s">
        <v>195</v>
      </c>
      <c r="B2353" s="2" t="s">
        <v>196</v>
      </c>
      <c r="C2353" s="2">
        <v>1998.0</v>
      </c>
      <c r="D2353" s="9">
        <v>2058.5461</v>
      </c>
      <c r="E2353" s="10" t="str">
        <f t="array" ref="E2353">IFS(D2353&lt;=$G$3,'calculated data '!$A$3,D2353&lt;=$G$4,'calculated data '!$A$4,D2353&lt;=$G$6,'calculated data '!$A$5,D2353&gt;=$G$6,'calculated data '!$A$6)</f>
        <v>Low Demand Tier</v>
      </c>
      <c r="F2353" s="10">
        <f t="shared" si="1"/>
        <v>-0.6086822723</v>
      </c>
    </row>
    <row r="2354" ht="14.25" customHeight="1">
      <c r="A2354" s="2" t="s">
        <v>187</v>
      </c>
      <c r="B2354" s="2" t="s">
        <v>188</v>
      </c>
      <c r="C2354" s="2">
        <v>1991.0</v>
      </c>
      <c r="D2354" s="9">
        <v>2059.9521</v>
      </c>
      <c r="E2354" s="10" t="str">
        <f t="array" ref="E2354">IFS(D2354&lt;=$G$3,'calculated data '!$A$3,D2354&lt;=$G$4,'calculated data '!$A$4,D2354&lt;=$G$6,'calculated data '!$A$5,D2354&gt;=$G$6,'calculated data '!$A$6)</f>
        <v>Low Demand Tier</v>
      </c>
      <c r="F2354" s="10">
        <f t="shared" si="1"/>
        <v>-0.6086450559</v>
      </c>
    </row>
    <row r="2355" ht="14.25" customHeight="1">
      <c r="A2355" s="2" t="s">
        <v>171</v>
      </c>
      <c r="B2355" s="2" t="s">
        <v>172</v>
      </c>
      <c r="C2355" s="2">
        <v>2013.0</v>
      </c>
      <c r="D2355" s="9">
        <v>2060.0261</v>
      </c>
      <c r="E2355" s="10" t="str">
        <f t="array" ref="E2355">IFS(D2355&lt;=$G$3,'calculated data '!$A$3,D2355&lt;=$G$4,'calculated data '!$A$4,D2355&lt;=$G$6,'calculated data '!$A$5,D2355&gt;=$G$6,'calculated data '!$A$6)</f>
        <v>Low Demand Tier</v>
      </c>
      <c r="F2355" s="10">
        <f t="shared" si="1"/>
        <v>-0.6086430971</v>
      </c>
    </row>
    <row r="2356" ht="14.25" customHeight="1">
      <c r="A2356" s="2" t="s">
        <v>155</v>
      </c>
      <c r="B2356" s="2" t="s">
        <v>156</v>
      </c>
      <c r="C2356" s="2">
        <v>1985.0</v>
      </c>
      <c r="D2356" s="9">
        <v>2060.1523</v>
      </c>
      <c r="E2356" s="10" t="str">
        <f t="array" ref="E2356">IFS(D2356&lt;=$G$3,'calculated data '!$A$3,D2356&lt;=$G$4,'calculated data '!$A$4,D2356&lt;=$G$6,'calculated data '!$A$5,D2356&gt;=$G$6,'calculated data '!$A$6)</f>
        <v>Low Demand Tier</v>
      </c>
      <c r="F2356" s="10">
        <f t="shared" si="1"/>
        <v>-0.6086397566</v>
      </c>
    </row>
    <row r="2357" ht="14.25" customHeight="1">
      <c r="A2357" s="2" t="s">
        <v>123</v>
      </c>
      <c r="B2357" s="2" t="s">
        <v>124</v>
      </c>
      <c r="C2357" s="2">
        <v>2008.0</v>
      </c>
      <c r="D2357" s="9">
        <v>2060.7393</v>
      </c>
      <c r="E2357" s="10" t="str">
        <f t="array" ref="E2357">IFS(D2357&lt;=$G$3,'calculated data '!$A$3,D2357&lt;=$G$4,'calculated data '!$A$4,D2357&lt;=$G$6,'calculated data '!$A$5,D2357&gt;=$G$6,'calculated data '!$A$6)</f>
        <v>Low Demand Tier</v>
      </c>
      <c r="F2357" s="10">
        <f t="shared" si="1"/>
        <v>-0.6086242189</v>
      </c>
    </row>
    <row r="2358" ht="14.25" customHeight="1">
      <c r="A2358" s="2" t="s">
        <v>171</v>
      </c>
      <c r="B2358" s="2" t="s">
        <v>172</v>
      </c>
      <c r="C2358" s="2">
        <v>2009.0</v>
      </c>
      <c r="D2358" s="9">
        <v>2062.0852</v>
      </c>
      <c r="E2358" s="10" t="str">
        <f t="array" ref="E2358">IFS(D2358&lt;=$G$3,'calculated data '!$A$3,D2358&lt;=$G$4,'calculated data '!$A$4,D2358&lt;=$G$6,'calculated data '!$A$5,D2358&gt;=$G$6,'calculated data '!$A$6)</f>
        <v>Low Demand Tier</v>
      </c>
      <c r="F2358" s="10">
        <f t="shared" si="1"/>
        <v>-0.6085885932</v>
      </c>
    </row>
    <row r="2359" ht="14.25" customHeight="1">
      <c r="A2359" s="2" t="s">
        <v>197</v>
      </c>
      <c r="B2359" s="2" t="s">
        <v>198</v>
      </c>
      <c r="C2359" s="2">
        <v>1965.0</v>
      </c>
      <c r="D2359" s="9">
        <v>2063.752</v>
      </c>
      <c r="E2359" s="10" t="str">
        <f t="array" ref="E2359">IFS(D2359&lt;=$G$3,'calculated data '!$A$3,D2359&lt;=$G$4,'calculated data '!$A$4,D2359&lt;=$G$6,'calculated data '!$A$5,D2359&gt;=$G$6,'calculated data '!$A$6)</f>
        <v>Low Demand Tier</v>
      </c>
      <c r="F2359" s="10">
        <f t="shared" si="1"/>
        <v>-0.6085444735</v>
      </c>
    </row>
    <row r="2360" ht="14.25" customHeight="1">
      <c r="A2360" s="2" t="s">
        <v>199</v>
      </c>
      <c r="B2360" s="2" t="s">
        <v>200</v>
      </c>
      <c r="C2360" s="2">
        <v>1985.0</v>
      </c>
      <c r="D2360" s="9">
        <v>2065.4084</v>
      </c>
      <c r="E2360" s="10" t="str">
        <f t="array" ref="E2360">IFS(D2360&lt;=$G$3,'calculated data '!$A$3,D2360&lt;=$G$4,'calculated data '!$A$4,D2360&lt;=$G$6,'calculated data '!$A$5,D2360&gt;=$G$6,'calculated data '!$A$6)</f>
        <v>Low Demand Tier</v>
      </c>
      <c r="F2360" s="10">
        <f t="shared" si="1"/>
        <v>-0.608500629</v>
      </c>
    </row>
    <row r="2361" ht="14.25" customHeight="1">
      <c r="A2361" s="2" t="s">
        <v>85</v>
      </c>
      <c r="B2361" s="2" t="s">
        <v>86</v>
      </c>
      <c r="C2361" s="2">
        <v>2022.0</v>
      </c>
      <c r="D2361" s="9">
        <v>2068.1792</v>
      </c>
      <c r="E2361" s="10" t="str">
        <f t="array" ref="E2361">IFS(D2361&lt;=$G$3,'calculated data '!$A$3,D2361&lt;=$G$4,'calculated data '!$A$4,D2361&lt;=$G$6,'calculated data '!$A$5,D2361&gt;=$G$6,'calculated data '!$A$6)</f>
        <v>Low Demand Tier</v>
      </c>
      <c r="F2361" s="10">
        <f t="shared" si="1"/>
        <v>-0.6084272866</v>
      </c>
    </row>
    <row r="2362" ht="14.25" customHeight="1">
      <c r="A2362" s="2" t="s">
        <v>201</v>
      </c>
      <c r="B2362" s="2" t="s">
        <v>202</v>
      </c>
      <c r="C2362" s="2">
        <v>2018.0</v>
      </c>
      <c r="D2362" s="9">
        <v>2069.0918</v>
      </c>
      <c r="E2362" s="10" t="str">
        <f t="array" ref="E2362">IFS(D2362&lt;=$G$3,'calculated data '!$A$3,D2362&lt;=$G$4,'calculated data '!$A$4,D2362&lt;=$G$6,'calculated data '!$A$5,D2362&gt;=$G$6,'calculated data '!$A$6)</f>
        <v>Low Demand Tier</v>
      </c>
      <c r="F2362" s="10">
        <f t="shared" si="1"/>
        <v>-0.6084031303</v>
      </c>
    </row>
    <row r="2363" ht="14.25" customHeight="1">
      <c r="A2363" s="2" t="s">
        <v>193</v>
      </c>
      <c r="B2363" s="2" t="s">
        <v>194</v>
      </c>
      <c r="C2363" s="2">
        <v>1967.0</v>
      </c>
      <c r="D2363" s="9">
        <v>2069.277</v>
      </c>
      <c r="E2363" s="10" t="str">
        <f t="array" ref="E2363">IFS(D2363&lt;=$G$3,'calculated data '!$A$3,D2363&lt;=$G$4,'calculated data '!$A$4,D2363&lt;=$G$6,'calculated data '!$A$5,D2363&gt;=$G$6,'calculated data '!$A$6)</f>
        <v>Low Demand Tier</v>
      </c>
      <c r="F2363" s="10">
        <f t="shared" si="1"/>
        <v>-0.6083982281</v>
      </c>
    </row>
    <row r="2364" ht="14.25" customHeight="1">
      <c r="A2364" s="2" t="s">
        <v>179</v>
      </c>
      <c r="B2364" s="2" t="s">
        <v>180</v>
      </c>
      <c r="C2364" s="2">
        <v>2018.0</v>
      </c>
      <c r="D2364" s="9">
        <v>2070.4695</v>
      </c>
      <c r="E2364" s="10" t="str">
        <f t="array" ref="E2364">IFS(D2364&lt;=$G$3,'calculated data '!$A$3,D2364&lt;=$G$4,'calculated data '!$A$4,D2364&lt;=$G$6,'calculated data '!$A$5,D2364&gt;=$G$6,'calculated data '!$A$6)</f>
        <v>Low Demand Tier</v>
      </c>
      <c r="F2364" s="10">
        <f t="shared" si="1"/>
        <v>-0.6083666629</v>
      </c>
    </row>
    <row r="2365" ht="14.25" customHeight="1">
      <c r="A2365" s="2" t="s">
        <v>161</v>
      </c>
      <c r="B2365" s="2" t="s">
        <v>162</v>
      </c>
      <c r="C2365" s="2">
        <v>2002.0</v>
      </c>
      <c r="D2365" s="9">
        <v>2072.4795</v>
      </c>
      <c r="E2365" s="10" t="str">
        <f t="array" ref="E2365">IFS(D2365&lt;=$G$3,'calculated data '!$A$3,D2365&lt;=$G$4,'calculated data '!$A$4,D2365&lt;=$G$6,'calculated data '!$A$5,D2365&gt;=$G$6,'calculated data '!$A$6)</f>
        <v>Low Demand Tier</v>
      </c>
      <c r="F2365" s="10">
        <f t="shared" si="1"/>
        <v>-0.6083134587</v>
      </c>
    </row>
    <row r="2366" ht="14.25" customHeight="1">
      <c r="A2366" s="2" t="s">
        <v>123</v>
      </c>
      <c r="B2366" s="2" t="s">
        <v>124</v>
      </c>
      <c r="C2366" s="2">
        <v>2009.0</v>
      </c>
      <c r="D2366" s="9">
        <v>2072.4907</v>
      </c>
      <c r="E2366" s="10" t="str">
        <f t="array" ref="E2366">IFS(D2366&lt;=$G$3,'calculated data '!$A$3,D2366&lt;=$G$4,'calculated data '!$A$4,D2366&lt;=$G$6,'calculated data '!$A$5,D2366&gt;=$G$6,'calculated data '!$A$6)</f>
        <v>Low Demand Tier</v>
      </c>
      <c r="F2366" s="10">
        <f t="shared" si="1"/>
        <v>-0.6083131622</v>
      </c>
    </row>
    <row r="2367" ht="14.25" customHeight="1">
      <c r="A2367" s="2" t="s">
        <v>209</v>
      </c>
      <c r="B2367" s="2" t="s">
        <v>210</v>
      </c>
      <c r="C2367" s="2">
        <v>1987.0</v>
      </c>
      <c r="D2367" s="9">
        <v>2073.6567</v>
      </c>
      <c r="E2367" s="10" t="str">
        <f t="array" ref="E2367">IFS(D2367&lt;=$G$3,'calculated data '!$A$3,D2367&lt;=$G$4,'calculated data '!$A$4,D2367&lt;=$G$6,'calculated data '!$A$5,D2367&gt;=$G$6,'calculated data '!$A$6)</f>
        <v>Low Demand Tier</v>
      </c>
      <c r="F2367" s="10">
        <f t="shared" si="1"/>
        <v>-0.6082822985</v>
      </c>
    </row>
    <row r="2368" ht="14.25" customHeight="1">
      <c r="A2368" s="2" t="s">
        <v>179</v>
      </c>
      <c r="B2368" s="2" t="s">
        <v>180</v>
      </c>
      <c r="C2368" s="2">
        <v>1992.0</v>
      </c>
      <c r="D2368" s="9">
        <v>2074.0085</v>
      </c>
      <c r="E2368" s="10" t="str">
        <f t="array" ref="E2368">IFS(D2368&lt;=$G$3,'calculated data '!$A$3,D2368&lt;=$G$4,'calculated data '!$A$4,D2368&lt;=$G$6,'calculated data '!$A$5,D2368&gt;=$G$6,'calculated data '!$A$6)</f>
        <v>Low Demand Tier</v>
      </c>
      <c r="F2368" s="10">
        <f t="shared" si="1"/>
        <v>-0.6082729865</v>
      </c>
    </row>
    <row r="2369" ht="14.25" customHeight="1">
      <c r="A2369" s="2" t="s">
        <v>209</v>
      </c>
      <c r="B2369" s="2" t="s">
        <v>210</v>
      </c>
      <c r="C2369" s="2">
        <v>1985.0</v>
      </c>
      <c r="D2369" s="9">
        <v>2077.3047</v>
      </c>
      <c r="E2369" s="10" t="str">
        <f t="array" ref="E2369">IFS(D2369&lt;=$G$3,'calculated data '!$A$3,D2369&lt;=$G$4,'calculated data '!$A$4,D2369&lt;=$G$6,'calculated data '!$A$5,D2369&gt;=$G$6,'calculated data '!$A$6)</f>
        <v>Low Demand Tier</v>
      </c>
      <c r="F2369" s="10">
        <f t="shared" si="1"/>
        <v>-0.6081857369</v>
      </c>
    </row>
    <row r="2370" ht="14.25" customHeight="1">
      <c r="A2370" s="2" t="s">
        <v>145</v>
      </c>
      <c r="B2370" s="2" t="s">
        <v>146</v>
      </c>
      <c r="C2370" s="2">
        <v>1985.0</v>
      </c>
      <c r="D2370" s="9">
        <v>2078.1953</v>
      </c>
      <c r="E2370" s="10" t="str">
        <f t="array" ref="E2370">IFS(D2370&lt;=$G$3,'calculated data '!$A$3,D2370&lt;=$G$4,'calculated data '!$A$4,D2370&lt;=$G$6,'calculated data '!$A$5,D2370&gt;=$G$6,'calculated data '!$A$6)</f>
        <v>Low Demand Tier</v>
      </c>
      <c r="F2370" s="10">
        <f t="shared" si="1"/>
        <v>-0.6081621629</v>
      </c>
    </row>
    <row r="2371" ht="14.25" customHeight="1">
      <c r="A2371" s="2" t="s">
        <v>113</v>
      </c>
      <c r="B2371" s="2" t="s">
        <v>114</v>
      </c>
      <c r="C2371" s="2">
        <v>2014.0</v>
      </c>
      <c r="D2371" s="9">
        <v>2079.9575</v>
      </c>
      <c r="E2371" s="10" t="str">
        <f t="array" ref="E2371">IFS(D2371&lt;=$G$3,'calculated data '!$A$3,D2371&lt;=$G$4,'calculated data '!$A$4,D2371&lt;=$G$6,'calculated data '!$A$5,D2371&gt;=$G$6,'calculated data '!$A$6)</f>
        <v>Low Demand Tier</v>
      </c>
      <c r="F2371" s="10">
        <f t="shared" si="1"/>
        <v>-0.6081155179</v>
      </c>
    </row>
    <row r="2372" ht="14.25" customHeight="1">
      <c r="A2372" s="2" t="s">
        <v>195</v>
      </c>
      <c r="B2372" s="2" t="s">
        <v>196</v>
      </c>
      <c r="C2372" s="2">
        <v>1999.0</v>
      </c>
      <c r="D2372" s="9">
        <v>2083.3071</v>
      </c>
      <c r="E2372" s="10" t="str">
        <f t="array" ref="E2372">IFS(D2372&lt;=$G$3,'calculated data '!$A$3,D2372&lt;=$G$4,'calculated data '!$A$4,D2372&lt;=$G$6,'calculated data '!$A$5,D2372&gt;=$G$6,'calculated data '!$A$6)</f>
        <v>Low Demand Tier</v>
      </c>
      <c r="F2372" s="10">
        <f t="shared" si="1"/>
        <v>-0.6080268548</v>
      </c>
    </row>
    <row r="2373" ht="14.25" customHeight="1">
      <c r="A2373" s="2" t="s">
        <v>181</v>
      </c>
      <c r="B2373" s="2" t="s">
        <v>182</v>
      </c>
      <c r="C2373" s="2">
        <v>1985.0</v>
      </c>
      <c r="D2373" s="9">
        <v>2084.2207</v>
      </c>
      <c r="E2373" s="10" t="str">
        <f t="array" ref="E2373">IFS(D2373&lt;=$G$3,'calculated data '!$A$3,D2373&lt;=$G$4,'calculated data '!$A$4,D2373&lt;=$G$6,'calculated data '!$A$5,D2373&gt;=$G$6,'calculated data '!$A$6)</f>
        <v>Low Demand Tier</v>
      </c>
      <c r="F2373" s="10">
        <f t="shared" si="1"/>
        <v>-0.6080026721</v>
      </c>
    </row>
    <row r="2374" ht="14.25" customHeight="1">
      <c r="A2374" s="2" t="s">
        <v>169</v>
      </c>
      <c r="B2374" s="2" t="s">
        <v>170</v>
      </c>
      <c r="C2374" s="2">
        <v>2003.0</v>
      </c>
      <c r="D2374" s="9">
        <v>2085.049</v>
      </c>
      <c r="E2374" s="10" t="str">
        <f t="array" ref="E2374">IFS(D2374&lt;=$G$3,'calculated data '!$A$3,D2374&lt;=$G$4,'calculated data '!$A$4,D2374&lt;=$G$6,'calculated data '!$A$5,D2374&gt;=$G$6,'calculated data '!$A$6)</f>
        <v>Low Demand Tier</v>
      </c>
      <c r="F2374" s="10">
        <f t="shared" si="1"/>
        <v>-0.6079807472</v>
      </c>
    </row>
    <row r="2375" ht="14.25" customHeight="1">
      <c r="A2375" s="2" t="s">
        <v>131</v>
      </c>
      <c r="B2375" s="2" t="s">
        <v>132</v>
      </c>
      <c r="C2375" s="2">
        <v>2019.0</v>
      </c>
      <c r="D2375" s="9">
        <v>2086.2754</v>
      </c>
      <c r="E2375" s="10" t="str">
        <f t="array" ref="E2375">IFS(D2375&lt;=$G$3,'calculated data '!$A$3,D2375&lt;=$G$4,'calculated data '!$A$4,D2375&lt;=$G$6,'calculated data '!$A$5,D2375&gt;=$G$6,'calculated data '!$A$6)</f>
        <v>Low Demand Tier</v>
      </c>
      <c r="F2375" s="10">
        <f t="shared" si="1"/>
        <v>-0.6079482847</v>
      </c>
    </row>
    <row r="2376" ht="14.25" customHeight="1">
      <c r="A2376" s="2" t="s">
        <v>167</v>
      </c>
      <c r="B2376" s="2" t="s">
        <v>168</v>
      </c>
      <c r="C2376" s="2">
        <v>1996.0</v>
      </c>
      <c r="D2376" s="9">
        <v>2086.6726</v>
      </c>
      <c r="E2376" s="10" t="str">
        <f t="array" ref="E2376">IFS(D2376&lt;=$G$3,'calculated data '!$A$3,D2376&lt;=$G$4,'calculated data '!$A$4,D2376&lt;=$G$6,'calculated data '!$A$5,D2376&gt;=$G$6,'calculated data '!$A$6)</f>
        <v>Low Demand Tier</v>
      </c>
      <c r="F2376" s="10">
        <f t="shared" si="1"/>
        <v>-0.6079377709</v>
      </c>
    </row>
    <row r="2377" ht="14.25" customHeight="1">
      <c r="A2377" s="2" t="s">
        <v>189</v>
      </c>
      <c r="B2377" s="2" t="s">
        <v>190</v>
      </c>
      <c r="C2377" s="2">
        <v>1988.0</v>
      </c>
      <c r="D2377" s="9">
        <v>2086.7444</v>
      </c>
      <c r="E2377" s="10" t="str">
        <f t="array" ref="E2377">IFS(D2377&lt;=$G$3,'calculated data '!$A$3,D2377&lt;=$G$4,'calculated data '!$A$4,D2377&lt;=$G$6,'calculated data '!$A$5,D2377&gt;=$G$6,'calculated data '!$A$6)</f>
        <v>Low Demand Tier</v>
      </c>
      <c r="F2377" s="10">
        <f t="shared" si="1"/>
        <v>-0.6079358704</v>
      </c>
    </row>
    <row r="2378" ht="14.25" customHeight="1">
      <c r="A2378" s="2" t="s">
        <v>167</v>
      </c>
      <c r="B2378" s="2" t="s">
        <v>168</v>
      </c>
      <c r="C2378" s="2">
        <v>1995.0</v>
      </c>
      <c r="D2378" s="9">
        <v>2088.3604</v>
      </c>
      <c r="E2378" s="10" t="str">
        <f t="array" ref="E2378">IFS(D2378&lt;=$G$3,'calculated data '!$A$3,D2378&lt;=$G$4,'calculated data '!$A$4,D2378&lt;=$G$6,'calculated data '!$A$5,D2378&gt;=$G$6,'calculated data '!$A$6)</f>
        <v>Low Demand Tier</v>
      </c>
      <c r="F2378" s="10">
        <f t="shared" si="1"/>
        <v>-0.6078930952</v>
      </c>
    </row>
    <row r="2379" ht="14.25" customHeight="1">
      <c r="A2379" s="2" t="s">
        <v>171</v>
      </c>
      <c r="B2379" s="2" t="s">
        <v>172</v>
      </c>
      <c r="C2379" s="2">
        <v>2010.0</v>
      </c>
      <c r="D2379" s="9">
        <v>2088.487</v>
      </c>
      <c r="E2379" s="10" t="str">
        <f t="array" ref="E2379">IFS(D2379&lt;=$G$3,'calculated data '!$A$3,D2379&lt;=$G$4,'calculated data '!$A$4,D2379&lt;=$G$6,'calculated data '!$A$5,D2379&gt;=$G$6,'calculated data '!$A$6)</f>
        <v>Low Demand Tier</v>
      </c>
      <c r="F2379" s="10">
        <f t="shared" si="1"/>
        <v>-0.6078897442</v>
      </c>
    </row>
    <row r="2380" ht="14.25" customHeight="1">
      <c r="A2380" s="2" t="s">
        <v>171</v>
      </c>
      <c r="B2380" s="2" t="s">
        <v>172</v>
      </c>
      <c r="C2380" s="2">
        <v>2006.0</v>
      </c>
      <c r="D2380" s="9">
        <v>2088.5112</v>
      </c>
      <c r="E2380" s="10" t="str">
        <f t="array" ref="E2380">IFS(D2380&lt;=$G$3,'calculated data '!$A$3,D2380&lt;=$G$4,'calculated data '!$A$4,D2380&lt;=$G$6,'calculated data '!$A$5,D2380&gt;=$G$6,'calculated data '!$A$6)</f>
        <v>Low Demand Tier</v>
      </c>
      <c r="F2380" s="10">
        <f t="shared" si="1"/>
        <v>-0.6078891036</v>
      </c>
    </row>
    <row r="2381" ht="14.25" customHeight="1">
      <c r="A2381" s="2" t="s">
        <v>137</v>
      </c>
      <c r="B2381" s="2" t="s">
        <v>138</v>
      </c>
      <c r="C2381" s="2">
        <v>2014.0</v>
      </c>
      <c r="D2381" s="9">
        <v>2094.6328</v>
      </c>
      <c r="E2381" s="10" t="str">
        <f t="array" ref="E2381">IFS(D2381&lt;=$G$3,'calculated data '!$A$3,D2381&lt;=$G$4,'calculated data '!$A$4,D2381&lt;=$G$6,'calculated data '!$A$5,D2381&gt;=$G$6,'calculated data '!$A$6)</f>
        <v>Low Demand Tier</v>
      </c>
      <c r="F2381" s="10">
        <f t="shared" si="1"/>
        <v>-0.6077270664</v>
      </c>
    </row>
    <row r="2382" ht="14.25" customHeight="1">
      <c r="A2382" s="2" t="s">
        <v>167</v>
      </c>
      <c r="B2382" s="2" t="s">
        <v>168</v>
      </c>
      <c r="C2382" s="2">
        <v>2005.0</v>
      </c>
      <c r="D2382" s="9">
        <v>2102.179</v>
      </c>
      <c r="E2382" s="10" t="str">
        <f t="array" ref="E2382">IFS(D2382&lt;=$G$3,'calculated data '!$A$3,D2382&lt;=$G$4,'calculated data '!$A$4,D2382&lt;=$G$6,'calculated data '!$A$5,D2382&gt;=$G$6,'calculated data '!$A$6)</f>
        <v>Low Demand Tier</v>
      </c>
      <c r="F2382" s="10">
        <f t="shared" si="1"/>
        <v>-0.6075273203</v>
      </c>
    </row>
    <row r="2383" ht="14.25" customHeight="1">
      <c r="A2383" s="2" t="s">
        <v>173</v>
      </c>
      <c r="B2383" s="2" t="s">
        <v>174</v>
      </c>
      <c r="C2383" s="2">
        <v>1987.0</v>
      </c>
      <c r="D2383" s="9">
        <v>2102.5347</v>
      </c>
      <c r="E2383" s="10" t="str">
        <f t="array" ref="E2383">IFS(D2383&lt;=$G$3,'calculated data '!$A$3,D2383&lt;=$G$4,'calculated data '!$A$4,D2383&lt;=$G$6,'calculated data '!$A$5,D2383&gt;=$G$6,'calculated data '!$A$6)</f>
        <v>Low Demand Tier</v>
      </c>
      <c r="F2383" s="10">
        <f t="shared" si="1"/>
        <v>-0.607517905</v>
      </c>
    </row>
    <row r="2384" ht="14.25" customHeight="1">
      <c r="A2384" s="2" t="s">
        <v>201</v>
      </c>
      <c r="B2384" s="2" t="s">
        <v>202</v>
      </c>
      <c r="C2384" s="2">
        <v>2024.0</v>
      </c>
      <c r="D2384" s="9">
        <v>2104.1511</v>
      </c>
      <c r="E2384" s="10" t="str">
        <f t="array" ref="E2384">IFS(D2384&lt;=$G$3,'calculated data '!$A$3,D2384&lt;=$G$4,'calculated data '!$A$4,D2384&lt;=$G$6,'calculated data '!$A$5,D2384&gt;=$G$6,'calculated data '!$A$6)</f>
        <v>Low Demand Tier</v>
      </c>
      <c r="F2384" s="10">
        <f t="shared" si="1"/>
        <v>-0.6074751193</v>
      </c>
    </row>
    <row r="2385" ht="14.25" customHeight="1">
      <c r="A2385" s="2" t="s">
        <v>179</v>
      </c>
      <c r="B2385" s="2" t="s">
        <v>180</v>
      </c>
      <c r="C2385" s="2">
        <v>2021.0</v>
      </c>
      <c r="D2385" s="9">
        <v>2106.3325</v>
      </c>
      <c r="E2385" s="10" t="str">
        <f t="array" ref="E2385">IFS(D2385&lt;=$G$3,'calculated data '!$A$3,D2385&lt;=$G$4,'calculated data '!$A$4,D2385&lt;=$G$6,'calculated data '!$A$5,D2385&gt;=$G$6,'calculated data '!$A$6)</f>
        <v>Low Demand Tier</v>
      </c>
      <c r="F2385" s="10">
        <f t="shared" si="1"/>
        <v>-0.6074173782</v>
      </c>
    </row>
    <row r="2386" ht="14.25" customHeight="1">
      <c r="A2386" s="2" t="s">
        <v>137</v>
      </c>
      <c r="B2386" s="2" t="s">
        <v>138</v>
      </c>
      <c r="C2386" s="2">
        <v>2004.0</v>
      </c>
      <c r="D2386" s="9">
        <v>2107.5488</v>
      </c>
      <c r="E2386" s="10" t="str">
        <f t="array" ref="E2386">IFS(D2386&lt;=$G$3,'calculated data '!$A$3,D2386&lt;=$G$4,'calculated data '!$A$4,D2386&lt;=$G$6,'calculated data '!$A$5,D2386&gt;=$G$6,'calculated data '!$A$6)</f>
        <v>Low Demand Tier</v>
      </c>
      <c r="F2386" s="10">
        <f t="shared" si="1"/>
        <v>-0.6073851831</v>
      </c>
    </row>
    <row r="2387" ht="14.25" customHeight="1">
      <c r="A2387" s="2" t="s">
        <v>87</v>
      </c>
      <c r="B2387" s="2" t="s">
        <v>88</v>
      </c>
      <c r="C2387" s="2">
        <v>2022.0</v>
      </c>
      <c r="D2387" s="9">
        <v>2108.4802</v>
      </c>
      <c r="E2387" s="10" t="str">
        <f t="array" ref="E2387">IFS(D2387&lt;=$G$3,'calculated data '!$A$3,D2387&lt;=$G$4,'calculated data '!$A$4,D2387&lt;=$G$6,'calculated data '!$A$5,D2387&gt;=$G$6,'calculated data '!$A$6)</f>
        <v>Low Demand Tier</v>
      </c>
      <c r="F2387" s="10">
        <f t="shared" si="1"/>
        <v>-0.6073605291</v>
      </c>
    </row>
    <row r="2388" ht="14.25" customHeight="1">
      <c r="A2388" s="2" t="s">
        <v>211</v>
      </c>
      <c r="B2388" s="2" t="s">
        <v>212</v>
      </c>
      <c r="C2388" s="2">
        <v>1984.0</v>
      </c>
      <c r="D2388" s="9">
        <v>2108.5144</v>
      </c>
      <c r="E2388" s="10" t="str">
        <f t="array" ref="E2388">IFS(D2388&lt;=$G$3,'calculated data '!$A$3,D2388&lt;=$G$4,'calculated data '!$A$4,D2388&lt;=$G$6,'calculated data '!$A$5,D2388&gt;=$G$6,'calculated data '!$A$6)</f>
        <v>Low Demand Tier</v>
      </c>
      <c r="F2388" s="10">
        <f t="shared" si="1"/>
        <v>-0.6073596239</v>
      </c>
    </row>
    <row r="2389" ht="14.25" customHeight="1">
      <c r="A2389" s="2" t="s">
        <v>135</v>
      </c>
      <c r="B2389" s="2" t="s">
        <v>136</v>
      </c>
      <c r="C2389" s="2">
        <v>2012.0</v>
      </c>
      <c r="D2389" s="9">
        <v>2108.6604</v>
      </c>
      <c r="E2389" s="10" t="str">
        <f t="array" ref="E2389">IFS(D2389&lt;=$G$3,'calculated data '!$A$3,D2389&lt;=$G$4,'calculated data '!$A$4,D2389&lt;=$G$6,'calculated data '!$A$5,D2389&gt;=$G$6,'calculated data '!$A$6)</f>
        <v>Low Demand Tier</v>
      </c>
      <c r="F2389" s="10">
        <f t="shared" si="1"/>
        <v>-0.6073557593</v>
      </c>
    </row>
    <row r="2390" ht="14.25" customHeight="1">
      <c r="A2390" s="2" t="s">
        <v>135</v>
      </c>
      <c r="B2390" s="2" t="s">
        <v>136</v>
      </c>
      <c r="C2390" s="2">
        <v>2011.0</v>
      </c>
      <c r="D2390" s="9">
        <v>2109.0232</v>
      </c>
      <c r="E2390" s="10" t="str">
        <f t="array" ref="E2390">IFS(D2390&lt;=$G$3,'calculated data '!$A$3,D2390&lt;=$G$4,'calculated data '!$A$4,D2390&lt;=$G$6,'calculated data '!$A$5,D2390&gt;=$G$6,'calculated data '!$A$6)</f>
        <v>Low Demand Tier</v>
      </c>
      <c r="F2390" s="10">
        <f t="shared" si="1"/>
        <v>-0.6073461561</v>
      </c>
    </row>
    <row r="2391" ht="14.25" customHeight="1">
      <c r="A2391" s="2" t="s">
        <v>173</v>
      </c>
      <c r="B2391" s="2" t="s">
        <v>174</v>
      </c>
      <c r="C2391" s="2">
        <v>1988.0</v>
      </c>
      <c r="D2391" s="9">
        <v>2109.1155</v>
      </c>
      <c r="E2391" s="10" t="str">
        <f t="array" ref="E2391">IFS(D2391&lt;=$G$3,'calculated data '!$A$3,D2391&lt;=$G$4,'calculated data '!$A$4,D2391&lt;=$G$6,'calculated data '!$A$5,D2391&gt;=$G$6,'calculated data '!$A$6)</f>
        <v>Low Demand Tier</v>
      </c>
      <c r="F2391" s="10">
        <f t="shared" si="1"/>
        <v>-0.6073437129</v>
      </c>
    </row>
    <row r="2392" ht="14.25" customHeight="1">
      <c r="A2392" s="2" t="s">
        <v>165</v>
      </c>
      <c r="B2392" s="2" t="s">
        <v>166</v>
      </c>
      <c r="C2392" s="2">
        <v>1987.0</v>
      </c>
      <c r="D2392" s="9">
        <v>2111.5022</v>
      </c>
      <c r="E2392" s="10" t="str">
        <f t="array" ref="E2392">IFS(D2392&lt;=$G$3,'calculated data '!$A$3,D2392&lt;=$G$4,'calculated data '!$A$4,D2392&lt;=$G$6,'calculated data '!$A$5,D2392&gt;=$G$6,'calculated data '!$A$6)</f>
        <v>Low Demand Tier</v>
      </c>
      <c r="F2392" s="10">
        <f t="shared" si="1"/>
        <v>-0.6072805376</v>
      </c>
    </row>
    <row r="2393" ht="14.25" customHeight="1">
      <c r="A2393" s="2" t="s">
        <v>133</v>
      </c>
      <c r="B2393" s="2" t="s">
        <v>134</v>
      </c>
      <c r="C2393" s="2">
        <v>1999.0</v>
      </c>
      <c r="D2393" s="9">
        <v>2111.6633</v>
      </c>
      <c r="E2393" s="10" t="str">
        <f t="array" ref="E2393">IFS(D2393&lt;=$G$3,'calculated data '!$A$3,D2393&lt;=$G$4,'calculated data '!$A$4,D2393&lt;=$G$6,'calculated data '!$A$5,D2393&gt;=$G$6,'calculated data '!$A$6)</f>
        <v>Low Demand Tier</v>
      </c>
      <c r="F2393" s="10">
        <f t="shared" si="1"/>
        <v>-0.6072762733</v>
      </c>
    </row>
    <row r="2394" ht="14.25" customHeight="1">
      <c r="A2394" s="2" t="s">
        <v>173</v>
      </c>
      <c r="B2394" s="2" t="s">
        <v>174</v>
      </c>
      <c r="C2394" s="2">
        <v>1983.0</v>
      </c>
      <c r="D2394" s="9">
        <v>2112.5347</v>
      </c>
      <c r="E2394" s="10" t="str">
        <f t="array" ref="E2394">IFS(D2394&lt;=$G$3,'calculated data '!$A$3,D2394&lt;=$G$4,'calculated data '!$A$4,D2394&lt;=$G$6,'calculated data '!$A$5,D2394&gt;=$G$6,'calculated data '!$A$6)</f>
        <v>Low Demand Tier</v>
      </c>
      <c r="F2394" s="10">
        <f t="shared" si="1"/>
        <v>-0.6072532075</v>
      </c>
    </row>
    <row r="2395" ht="14.25" customHeight="1">
      <c r="A2395" s="2" t="s">
        <v>171</v>
      </c>
      <c r="B2395" s="2" t="s">
        <v>172</v>
      </c>
      <c r="C2395" s="2">
        <v>2002.0</v>
      </c>
      <c r="D2395" s="9">
        <v>2114.22</v>
      </c>
      <c r="E2395" s="10" t="str">
        <f t="array" ref="E2395">IFS(D2395&lt;=$G$3,'calculated data '!$A$3,D2395&lt;=$G$4,'calculated data '!$A$4,D2395&lt;=$G$6,'calculated data '!$A$5,D2395&gt;=$G$6,'calculated data '!$A$6)</f>
        <v>Low Demand Tier</v>
      </c>
      <c r="F2395" s="10">
        <f t="shared" si="1"/>
        <v>-0.6072085981</v>
      </c>
    </row>
    <row r="2396" ht="14.25" customHeight="1">
      <c r="A2396" s="2" t="s">
        <v>137</v>
      </c>
      <c r="B2396" s="2" t="s">
        <v>138</v>
      </c>
      <c r="C2396" s="2">
        <v>2013.0</v>
      </c>
      <c r="D2396" s="9">
        <v>2114.5674</v>
      </c>
      <c r="E2396" s="10" t="str">
        <f t="array" ref="E2396">IFS(D2396&lt;=$G$3,'calculated data '!$A$3,D2396&lt;=$G$4,'calculated data '!$A$4,D2396&lt;=$G$6,'calculated data '!$A$5,D2396&gt;=$G$6,'calculated data '!$A$6)</f>
        <v>Low Demand Tier</v>
      </c>
      <c r="F2396" s="10">
        <f t="shared" si="1"/>
        <v>-0.6071994025</v>
      </c>
    </row>
    <row r="2397" ht="14.25" customHeight="1">
      <c r="A2397" s="2" t="s">
        <v>173</v>
      </c>
      <c r="B2397" s="2" t="s">
        <v>174</v>
      </c>
      <c r="C2397" s="2">
        <v>2016.0</v>
      </c>
      <c r="D2397" s="9">
        <v>2114.603</v>
      </c>
      <c r="E2397" s="10" t="str">
        <f t="array" ref="E2397">IFS(D2397&lt;=$G$3,'calculated data '!$A$3,D2397&lt;=$G$4,'calculated data '!$A$4,D2397&lt;=$G$6,'calculated data '!$A$5,D2397&gt;=$G$6,'calculated data '!$A$6)</f>
        <v>Low Demand Tier</v>
      </c>
      <c r="F2397" s="10">
        <f t="shared" si="1"/>
        <v>-0.6071984602</v>
      </c>
    </row>
    <row r="2398" ht="14.25" customHeight="1">
      <c r="A2398" s="2" t="s">
        <v>199</v>
      </c>
      <c r="B2398" s="2" t="s">
        <v>200</v>
      </c>
      <c r="C2398" s="2">
        <v>1990.0</v>
      </c>
      <c r="D2398" s="9">
        <v>2114.9731</v>
      </c>
      <c r="E2398" s="10" t="str">
        <f t="array" ref="E2398">IFS(D2398&lt;=$G$3,'calculated data '!$A$3,D2398&lt;=$G$4,'calculated data '!$A$4,D2398&lt;=$G$6,'calculated data '!$A$5,D2398&gt;=$G$6,'calculated data '!$A$6)</f>
        <v>Low Demand Tier</v>
      </c>
      <c r="F2398" s="10">
        <f t="shared" si="1"/>
        <v>-0.6071886637</v>
      </c>
    </row>
    <row r="2399" ht="14.25" customHeight="1">
      <c r="A2399" s="2" t="s">
        <v>133</v>
      </c>
      <c r="B2399" s="2" t="s">
        <v>134</v>
      </c>
      <c r="C2399" s="2">
        <v>1969.0</v>
      </c>
      <c r="D2399" s="9">
        <v>2115.056</v>
      </c>
      <c r="E2399" s="10" t="str">
        <f t="array" ref="E2399">IFS(D2399&lt;=$G$3,'calculated data '!$A$3,D2399&lt;=$G$4,'calculated data '!$A$4,D2399&lt;=$G$6,'calculated data '!$A$5,D2399&gt;=$G$6,'calculated data '!$A$6)</f>
        <v>Low Demand Tier</v>
      </c>
      <c r="F2399" s="10">
        <f t="shared" si="1"/>
        <v>-0.6071864694</v>
      </c>
    </row>
    <row r="2400" ht="14.25" customHeight="1">
      <c r="A2400" s="2" t="s">
        <v>169</v>
      </c>
      <c r="B2400" s="2" t="s">
        <v>170</v>
      </c>
      <c r="C2400" s="2">
        <v>2006.0</v>
      </c>
      <c r="D2400" s="9">
        <v>2115.7986</v>
      </c>
      <c r="E2400" s="10" t="str">
        <f t="array" ref="E2400">IFS(D2400&lt;=$G$3,'calculated data '!$A$3,D2400&lt;=$G$4,'calculated data '!$A$4,D2400&lt;=$G$6,'calculated data '!$A$5,D2400&gt;=$G$6,'calculated data '!$A$6)</f>
        <v>Low Demand Tier</v>
      </c>
      <c r="F2400" s="10">
        <f t="shared" si="1"/>
        <v>-0.6071668129</v>
      </c>
    </row>
    <row r="2401" ht="14.25" customHeight="1">
      <c r="A2401" s="2" t="s">
        <v>123</v>
      </c>
      <c r="B2401" s="2" t="s">
        <v>124</v>
      </c>
      <c r="C2401" s="2">
        <v>2019.0</v>
      </c>
      <c r="D2401" s="9">
        <v>2116.5122</v>
      </c>
      <c r="E2401" s="10" t="str">
        <f t="array" ref="E2401">IFS(D2401&lt;=$G$3,'calculated data '!$A$3,D2401&lt;=$G$4,'calculated data '!$A$4,D2401&lt;=$G$6,'calculated data '!$A$5,D2401&gt;=$G$6,'calculated data '!$A$6)</f>
        <v>Low Demand Tier</v>
      </c>
      <c r="F2401" s="10">
        <f t="shared" si="1"/>
        <v>-0.6071479241</v>
      </c>
    </row>
    <row r="2402" ht="14.25" customHeight="1">
      <c r="A2402" s="2" t="s">
        <v>195</v>
      </c>
      <c r="B2402" s="2" t="s">
        <v>196</v>
      </c>
      <c r="C2402" s="2">
        <v>1980.0</v>
      </c>
      <c r="D2402" s="9">
        <v>2116.7473</v>
      </c>
      <c r="E2402" s="10" t="str">
        <f t="array" ref="E2402">IFS(D2402&lt;=$G$3,'calculated data '!$A$3,D2402&lt;=$G$4,'calculated data '!$A$4,D2402&lt;=$G$6,'calculated data '!$A$5,D2402&gt;=$G$6,'calculated data '!$A$6)</f>
        <v>Low Demand Tier</v>
      </c>
      <c r="F2402" s="10">
        <f t="shared" si="1"/>
        <v>-0.6071417011</v>
      </c>
    </row>
    <row r="2403" ht="14.25" customHeight="1">
      <c r="A2403" s="2" t="s">
        <v>167</v>
      </c>
      <c r="B2403" s="2" t="s">
        <v>168</v>
      </c>
      <c r="C2403" s="2">
        <v>1993.0</v>
      </c>
      <c r="D2403" s="9">
        <v>2117.968</v>
      </c>
      <c r="E2403" s="10" t="str">
        <f t="array" ref="E2403">IFS(D2403&lt;=$G$3,'calculated data '!$A$3,D2403&lt;=$G$4,'calculated data '!$A$4,D2403&lt;=$G$6,'calculated data '!$A$5,D2403&gt;=$G$6,'calculated data '!$A$6)</f>
        <v>Low Demand Tier</v>
      </c>
      <c r="F2403" s="10">
        <f t="shared" si="1"/>
        <v>-0.6071093894</v>
      </c>
    </row>
    <row r="2404" ht="14.25" customHeight="1">
      <c r="A2404" s="2" t="s">
        <v>137</v>
      </c>
      <c r="B2404" s="2" t="s">
        <v>138</v>
      </c>
      <c r="C2404" s="2">
        <v>2012.0</v>
      </c>
      <c r="D2404" s="9">
        <v>2119.3635</v>
      </c>
      <c r="E2404" s="10" t="str">
        <f t="array" ref="E2404">IFS(D2404&lt;=$G$3,'calculated data '!$A$3,D2404&lt;=$G$4,'calculated data '!$A$4,D2404&lt;=$G$6,'calculated data '!$A$5,D2404&gt;=$G$6,'calculated data '!$A$6)</f>
        <v>Low Demand Tier</v>
      </c>
      <c r="F2404" s="10">
        <f t="shared" si="1"/>
        <v>-0.6070724509</v>
      </c>
    </row>
    <row r="2405" ht="14.25" customHeight="1">
      <c r="A2405" s="2" t="s">
        <v>201</v>
      </c>
      <c r="B2405" s="2" t="s">
        <v>202</v>
      </c>
      <c r="C2405" s="2">
        <v>2017.0</v>
      </c>
      <c r="D2405" s="9">
        <v>2121.2942</v>
      </c>
      <c r="E2405" s="10" t="str">
        <f t="array" ref="E2405">IFS(D2405&lt;=$G$3,'calculated data '!$A$3,D2405&lt;=$G$4,'calculated data '!$A$4,D2405&lt;=$G$6,'calculated data '!$A$5,D2405&gt;=$G$6,'calculated data '!$A$6)</f>
        <v>Low Demand Tier</v>
      </c>
      <c r="F2405" s="10">
        <f t="shared" si="1"/>
        <v>-0.6070213458</v>
      </c>
    </row>
    <row r="2406" ht="14.25" customHeight="1">
      <c r="A2406" s="2" t="s">
        <v>133</v>
      </c>
      <c r="B2406" s="2" t="s">
        <v>134</v>
      </c>
      <c r="C2406" s="2">
        <v>1998.0</v>
      </c>
      <c r="D2406" s="9">
        <v>2123.4805</v>
      </c>
      <c r="E2406" s="10" t="str">
        <f t="array" ref="E2406">IFS(D2406&lt;=$G$3,'calculated data '!$A$3,D2406&lt;=$G$4,'calculated data '!$A$4,D2406&lt;=$G$6,'calculated data '!$A$5,D2406&gt;=$G$6,'calculated data '!$A$6)</f>
        <v>Low Demand Tier</v>
      </c>
      <c r="F2406" s="10">
        <f t="shared" si="1"/>
        <v>-0.6069634749</v>
      </c>
    </row>
    <row r="2407" ht="14.25" customHeight="1">
      <c r="A2407" s="2" t="s">
        <v>129</v>
      </c>
      <c r="B2407" s="2" t="s">
        <v>130</v>
      </c>
      <c r="C2407" s="2">
        <v>1982.0</v>
      </c>
      <c r="D2407" s="9">
        <v>2123.5144</v>
      </c>
      <c r="E2407" s="10" t="str">
        <f t="array" ref="E2407">IFS(D2407&lt;=$G$3,'calculated data '!$A$3,D2407&lt;=$G$4,'calculated data '!$A$4,D2407&lt;=$G$6,'calculated data '!$A$5,D2407&gt;=$G$6,'calculated data '!$A$6)</f>
        <v>Low Demand Tier</v>
      </c>
      <c r="F2407" s="10">
        <f t="shared" si="1"/>
        <v>-0.6069625776</v>
      </c>
    </row>
    <row r="2408" ht="14.25" customHeight="1">
      <c r="A2408" s="2" t="s">
        <v>139</v>
      </c>
      <c r="B2408" s="2" t="s">
        <v>140</v>
      </c>
      <c r="C2408" s="2">
        <v>1998.0</v>
      </c>
      <c r="D2408" s="9">
        <v>2123.7947</v>
      </c>
      <c r="E2408" s="10" t="str">
        <f t="array" ref="E2408">IFS(D2408&lt;=$G$3,'calculated data '!$A$3,D2408&lt;=$G$4,'calculated data '!$A$4,D2408&lt;=$G$6,'calculated data '!$A$5,D2408&gt;=$G$6,'calculated data '!$A$6)</f>
        <v>Low Demand Tier</v>
      </c>
      <c r="F2408" s="10">
        <f t="shared" si="1"/>
        <v>-0.6069551581</v>
      </c>
    </row>
    <row r="2409" ht="14.25" customHeight="1">
      <c r="A2409" s="2" t="s">
        <v>171</v>
      </c>
      <c r="B2409" s="2" t="s">
        <v>172</v>
      </c>
      <c r="C2409" s="2">
        <v>2001.0</v>
      </c>
      <c r="D2409" s="9">
        <v>2123.8513</v>
      </c>
      <c r="E2409" s="10" t="str">
        <f t="array" ref="E2409">IFS(D2409&lt;=$G$3,'calculated data '!$A$3,D2409&lt;=$G$4,'calculated data '!$A$4,D2409&lt;=$G$6,'calculated data '!$A$5,D2409&gt;=$G$6,'calculated data '!$A$6)</f>
        <v>Low Demand Tier</v>
      </c>
      <c r="F2409" s="10">
        <f t="shared" si="1"/>
        <v>-0.60695366</v>
      </c>
    </row>
    <row r="2410" ht="14.25" customHeight="1">
      <c r="A2410" s="2" t="s">
        <v>187</v>
      </c>
      <c r="B2410" s="2" t="s">
        <v>188</v>
      </c>
      <c r="C2410" s="2">
        <v>1990.0</v>
      </c>
      <c r="D2410" s="9">
        <v>2123.9355</v>
      </c>
      <c r="E2410" s="10" t="str">
        <f t="array" ref="E2410">IFS(D2410&lt;=$G$3,'calculated data '!$A$3,D2410&lt;=$G$4,'calculated data '!$A$4,D2410&lt;=$G$6,'calculated data '!$A$5,D2410&gt;=$G$6,'calculated data '!$A$6)</f>
        <v>Low Demand Tier</v>
      </c>
      <c r="F2410" s="10">
        <f t="shared" si="1"/>
        <v>-0.6069514312</v>
      </c>
    </row>
    <row r="2411" ht="14.25" customHeight="1">
      <c r="A2411" s="2" t="s">
        <v>167</v>
      </c>
      <c r="B2411" s="2" t="s">
        <v>168</v>
      </c>
      <c r="C2411" s="2">
        <v>1992.0</v>
      </c>
      <c r="D2411" s="9">
        <v>2130.5764</v>
      </c>
      <c r="E2411" s="10" t="str">
        <f t="array" ref="E2411">IFS(D2411&lt;=$G$3,'calculated data '!$A$3,D2411&lt;=$G$4,'calculated data '!$A$4,D2411&lt;=$G$6,'calculated data '!$A$5,D2411&gt;=$G$6,'calculated data '!$A$6)</f>
        <v>Low Demand Tier</v>
      </c>
      <c r="F2411" s="10">
        <f t="shared" si="1"/>
        <v>-0.6067756482</v>
      </c>
    </row>
    <row r="2412" ht="14.25" customHeight="1">
      <c r="A2412" s="2" t="s">
        <v>167</v>
      </c>
      <c r="B2412" s="2" t="s">
        <v>168</v>
      </c>
      <c r="C2412" s="2">
        <v>1991.0</v>
      </c>
      <c r="D2412" s="9">
        <v>2131.258</v>
      </c>
      <c r="E2412" s="10" t="str">
        <f t="array" ref="E2412">IFS(D2412&lt;=$G$3,'calculated data '!$A$3,D2412&lt;=$G$4,'calculated data '!$A$4,D2412&lt;=$G$6,'calculated data '!$A$5,D2412&gt;=$G$6,'calculated data '!$A$6)</f>
        <v>Low Demand Tier</v>
      </c>
      <c r="F2412" s="10">
        <f t="shared" si="1"/>
        <v>-0.6067576064</v>
      </c>
    </row>
    <row r="2413" ht="14.25" customHeight="1">
      <c r="A2413" s="2" t="s">
        <v>207</v>
      </c>
      <c r="B2413" s="2" t="s">
        <v>208</v>
      </c>
      <c r="C2413" s="2">
        <v>1967.0</v>
      </c>
      <c r="D2413" s="9">
        <v>2131.4692</v>
      </c>
      <c r="E2413" s="10" t="str">
        <f t="array" ref="E2413">IFS(D2413&lt;=$G$3,'calculated data '!$A$3,D2413&lt;=$G$4,'calculated data '!$A$4,D2413&lt;=$G$6,'calculated data '!$A$5,D2413&gt;=$G$6,'calculated data '!$A$6)</f>
        <v>Low Demand Tier</v>
      </c>
      <c r="F2413" s="10">
        <f t="shared" si="1"/>
        <v>-0.606752016</v>
      </c>
    </row>
    <row r="2414" ht="14.25" customHeight="1">
      <c r="A2414" s="2" t="s">
        <v>129</v>
      </c>
      <c r="B2414" s="2" t="s">
        <v>130</v>
      </c>
      <c r="C2414" s="2">
        <v>1981.0</v>
      </c>
      <c r="D2414" s="9">
        <v>2132.5361</v>
      </c>
      <c r="E2414" s="10" t="str">
        <f t="array" ref="E2414">IFS(D2414&lt;=$G$3,'calculated data '!$A$3,D2414&lt;=$G$4,'calculated data '!$A$4,D2414&lt;=$G$6,'calculated data '!$A$5,D2414&gt;=$G$6,'calculated data '!$A$6)</f>
        <v>Low Demand Tier</v>
      </c>
      <c r="F2414" s="10">
        <f t="shared" si="1"/>
        <v>-0.6067237755</v>
      </c>
    </row>
    <row r="2415" ht="14.25" customHeight="1">
      <c r="A2415" s="2" t="s">
        <v>201</v>
      </c>
      <c r="B2415" s="2" t="s">
        <v>202</v>
      </c>
      <c r="C2415" s="2">
        <v>2016.0</v>
      </c>
      <c r="D2415" s="9">
        <v>2132.6816</v>
      </c>
      <c r="E2415" s="10" t="str">
        <f t="array" ref="E2415">IFS(D2415&lt;=$G$3,'calculated data '!$A$3,D2415&lt;=$G$4,'calculated data '!$A$4,D2415&lt;=$G$6,'calculated data '!$A$5,D2415&gt;=$G$6,'calculated data '!$A$6)</f>
        <v>Low Demand Tier</v>
      </c>
      <c r="F2415" s="10">
        <f t="shared" si="1"/>
        <v>-0.6067199241</v>
      </c>
    </row>
    <row r="2416" ht="14.25" customHeight="1">
      <c r="A2416" s="2" t="s">
        <v>199</v>
      </c>
      <c r="B2416" s="2" t="s">
        <v>200</v>
      </c>
      <c r="C2416" s="2">
        <v>1982.0</v>
      </c>
      <c r="D2416" s="9">
        <v>2133.2678</v>
      </c>
      <c r="E2416" s="10" t="str">
        <f t="array" ref="E2416">IFS(D2416&lt;=$G$3,'calculated data '!$A$3,D2416&lt;=$G$4,'calculated data '!$A$4,D2416&lt;=$G$6,'calculated data '!$A$5,D2416&gt;=$G$6,'calculated data '!$A$6)</f>
        <v>Low Demand Tier</v>
      </c>
      <c r="F2416" s="10">
        <f t="shared" si="1"/>
        <v>-0.6067044075</v>
      </c>
    </row>
    <row r="2417" ht="14.25" customHeight="1">
      <c r="A2417" s="2" t="s">
        <v>173</v>
      </c>
      <c r="B2417" s="2" t="s">
        <v>174</v>
      </c>
      <c r="C2417" s="2">
        <v>1982.0</v>
      </c>
      <c r="D2417" s="9">
        <v>2134.97</v>
      </c>
      <c r="E2417" s="10" t="str">
        <f t="array" ref="E2417">IFS(D2417&lt;=$G$3,'calculated data '!$A$3,D2417&lt;=$G$4,'calculated data '!$A$4,D2417&lt;=$G$6,'calculated data '!$A$5,D2417&gt;=$G$6,'calculated data '!$A$6)</f>
        <v>Low Demand Tier</v>
      </c>
      <c r="F2417" s="10">
        <f t="shared" si="1"/>
        <v>-0.6066593507</v>
      </c>
    </row>
    <row r="2418" ht="14.25" customHeight="1">
      <c r="A2418" s="2" t="s">
        <v>117</v>
      </c>
      <c r="B2418" s="2" t="s">
        <v>118</v>
      </c>
      <c r="C2418" s="2">
        <v>1997.0</v>
      </c>
      <c r="D2418" s="9">
        <v>2135.2583</v>
      </c>
      <c r="E2418" s="10" t="str">
        <f t="array" ref="E2418">IFS(D2418&lt;=$G$3,'calculated data '!$A$3,D2418&lt;=$G$4,'calculated data '!$A$4,D2418&lt;=$G$6,'calculated data '!$A$5,D2418&gt;=$G$6,'calculated data '!$A$6)</f>
        <v>Low Demand Tier</v>
      </c>
      <c r="F2418" s="10">
        <f t="shared" si="1"/>
        <v>-0.6066517195</v>
      </c>
    </row>
    <row r="2419" ht="14.25" customHeight="1">
      <c r="A2419" s="2" t="s">
        <v>171</v>
      </c>
      <c r="B2419" s="2" t="s">
        <v>172</v>
      </c>
      <c r="C2419" s="2">
        <v>2004.0</v>
      </c>
      <c r="D2419" s="9">
        <v>2135.9048</v>
      </c>
      <c r="E2419" s="10" t="str">
        <f t="array" ref="E2419">IFS(D2419&lt;=$G$3,'calculated data '!$A$3,D2419&lt;=$G$4,'calculated data '!$A$4,D2419&lt;=$G$6,'calculated data '!$A$5,D2419&gt;=$G$6,'calculated data '!$A$6)</f>
        <v>Low Demand Tier</v>
      </c>
      <c r="F2419" s="10">
        <f t="shared" si="1"/>
        <v>-0.6066346068</v>
      </c>
    </row>
    <row r="2420" ht="14.25" customHeight="1">
      <c r="A2420" s="2" t="s">
        <v>215</v>
      </c>
      <c r="B2420" s="2" t="s">
        <v>216</v>
      </c>
      <c r="C2420" s="2">
        <v>2020.0</v>
      </c>
      <c r="D2420" s="9">
        <v>2136.0334</v>
      </c>
      <c r="E2420" s="10" t="str">
        <f t="array" ref="E2420">IFS(D2420&lt;=$G$3,'calculated data '!$A$3,D2420&lt;=$G$4,'calculated data '!$A$4,D2420&lt;=$G$6,'calculated data '!$A$5,D2420&gt;=$G$6,'calculated data '!$A$6)</f>
        <v>Low Demand Tier</v>
      </c>
      <c r="F2420" s="10">
        <f t="shared" si="1"/>
        <v>-0.6066312028</v>
      </c>
    </row>
    <row r="2421" ht="14.25" customHeight="1">
      <c r="A2421" s="2" t="s">
        <v>167</v>
      </c>
      <c r="B2421" s="2" t="s">
        <v>168</v>
      </c>
      <c r="C2421" s="2">
        <v>1989.0</v>
      </c>
      <c r="D2421" s="9">
        <v>2136.253</v>
      </c>
      <c r="E2421" s="10" t="str">
        <f t="array" ref="E2421">IFS(D2421&lt;=$G$3,'calculated data '!$A$3,D2421&lt;=$G$4,'calculated data '!$A$4,D2421&lt;=$G$6,'calculated data '!$A$5,D2421&gt;=$G$6,'calculated data '!$A$6)</f>
        <v>Low Demand Tier</v>
      </c>
      <c r="F2421" s="10">
        <f t="shared" si="1"/>
        <v>-0.60662539</v>
      </c>
    </row>
    <row r="2422" ht="14.25" customHeight="1">
      <c r="A2422" s="2" t="s">
        <v>117</v>
      </c>
      <c r="B2422" s="2" t="s">
        <v>118</v>
      </c>
      <c r="C2422" s="2">
        <v>1996.0</v>
      </c>
      <c r="D2422" s="9">
        <v>2136.5227</v>
      </c>
      <c r="E2422" s="10" t="str">
        <f t="array" ref="E2422">IFS(D2422&lt;=$G$3,'calculated data '!$A$3,D2422&lt;=$G$4,'calculated data '!$A$4,D2422&lt;=$G$6,'calculated data '!$A$5,D2422&gt;=$G$6,'calculated data '!$A$6)</f>
        <v>Low Demand Tier</v>
      </c>
      <c r="F2422" s="10">
        <f t="shared" si="1"/>
        <v>-0.6066182512</v>
      </c>
    </row>
    <row r="2423" ht="14.25" customHeight="1">
      <c r="A2423" s="2" t="s">
        <v>217</v>
      </c>
      <c r="B2423" s="2" t="s">
        <v>218</v>
      </c>
      <c r="C2423" s="2">
        <v>1965.0</v>
      </c>
      <c r="D2423" s="9">
        <v>2136.5786</v>
      </c>
      <c r="E2423" s="10" t="str">
        <f t="array" ref="E2423">IFS(D2423&lt;=$G$3,'calculated data '!$A$3,D2423&lt;=$G$4,'calculated data '!$A$4,D2423&lt;=$G$6,'calculated data '!$A$5,D2423&gt;=$G$6,'calculated data '!$A$6)</f>
        <v>Low Demand Tier</v>
      </c>
      <c r="F2423" s="10">
        <f t="shared" si="1"/>
        <v>-0.6066167715</v>
      </c>
    </row>
    <row r="2424" ht="14.25" customHeight="1">
      <c r="A2424" s="2" t="s">
        <v>97</v>
      </c>
      <c r="B2424" s="2" t="s">
        <v>98</v>
      </c>
      <c r="C2424" s="2">
        <v>2016.0</v>
      </c>
      <c r="D2424" s="9">
        <v>2136.813</v>
      </c>
      <c r="E2424" s="10" t="str">
        <f t="array" ref="E2424">IFS(D2424&lt;=$G$3,'calculated data '!$A$3,D2424&lt;=$G$4,'calculated data '!$A$4,D2424&lt;=$G$6,'calculated data '!$A$5,D2424&gt;=$G$6,'calculated data '!$A$6)</f>
        <v>Low Demand Tier</v>
      </c>
      <c r="F2424" s="10">
        <f t="shared" si="1"/>
        <v>-0.606610567</v>
      </c>
    </row>
    <row r="2425" ht="14.25" customHeight="1">
      <c r="A2425" s="2" t="s">
        <v>171</v>
      </c>
      <c r="B2425" s="2" t="s">
        <v>172</v>
      </c>
      <c r="C2425" s="2">
        <v>2011.0</v>
      </c>
      <c r="D2425" s="9">
        <v>2137.0337</v>
      </c>
      <c r="E2425" s="10" t="str">
        <f t="array" ref="E2425">IFS(D2425&lt;=$G$3,'calculated data '!$A$3,D2425&lt;=$G$4,'calculated data '!$A$4,D2425&lt;=$G$6,'calculated data '!$A$5,D2425&gt;=$G$6,'calculated data '!$A$6)</f>
        <v>Low Demand Tier</v>
      </c>
      <c r="F2425" s="10">
        <f t="shared" si="1"/>
        <v>-0.6066047251</v>
      </c>
    </row>
    <row r="2426" ht="14.25" customHeight="1">
      <c r="A2426" s="2" t="s">
        <v>157</v>
      </c>
      <c r="B2426" s="2" t="s">
        <v>158</v>
      </c>
      <c r="C2426" s="2">
        <v>1993.0</v>
      </c>
      <c r="D2426" s="9">
        <v>2138.9797</v>
      </c>
      <c r="E2426" s="10" t="str">
        <f t="array" ref="E2426">IFS(D2426&lt;=$G$3,'calculated data '!$A$3,D2426&lt;=$G$4,'calculated data '!$A$4,D2426&lt;=$G$6,'calculated data '!$A$5,D2426&gt;=$G$6,'calculated data '!$A$6)</f>
        <v>Low Demand Tier</v>
      </c>
      <c r="F2426" s="10">
        <f t="shared" si="1"/>
        <v>-0.606553215</v>
      </c>
    </row>
    <row r="2427" ht="14.25" customHeight="1">
      <c r="A2427" s="2" t="s">
        <v>217</v>
      </c>
      <c r="B2427" s="2" t="s">
        <v>218</v>
      </c>
      <c r="C2427" s="2">
        <v>1967.0</v>
      </c>
      <c r="D2427" s="9">
        <v>2140.3796</v>
      </c>
      <c r="E2427" s="10" t="str">
        <f t="array" ref="E2427">IFS(D2427&lt;=$G$3,'calculated data '!$A$3,D2427&lt;=$G$4,'calculated data '!$A$4,D2427&lt;=$G$6,'calculated data '!$A$5,D2427&gt;=$G$6,'calculated data '!$A$6)</f>
        <v>Low Demand Tier</v>
      </c>
      <c r="F2427" s="10">
        <f t="shared" si="1"/>
        <v>-0.60651616</v>
      </c>
    </row>
    <row r="2428" ht="14.25" customHeight="1">
      <c r="A2428" s="2" t="s">
        <v>219</v>
      </c>
      <c r="B2428" s="2" t="s">
        <v>220</v>
      </c>
      <c r="C2428" s="2">
        <v>1999.0</v>
      </c>
      <c r="D2428" s="9">
        <v>2142.958</v>
      </c>
      <c r="E2428" s="10" t="str">
        <f t="array" ref="E2428">IFS(D2428&lt;=$G$3,'calculated data '!$A$3,D2428&lt;=$G$4,'calculated data '!$A$4,D2428&lt;=$G$6,'calculated data '!$A$5,D2428&gt;=$G$6,'calculated data '!$A$6)</f>
        <v>Low Demand Tier</v>
      </c>
      <c r="F2428" s="10">
        <f t="shared" si="1"/>
        <v>-0.6064479104</v>
      </c>
    </row>
    <row r="2429" ht="14.25" customHeight="1">
      <c r="A2429" s="2" t="s">
        <v>209</v>
      </c>
      <c r="B2429" s="2" t="s">
        <v>210</v>
      </c>
      <c r="C2429" s="2">
        <v>1989.0</v>
      </c>
      <c r="D2429" s="9">
        <v>2144.9434</v>
      </c>
      <c r="E2429" s="10" t="str">
        <f t="array" ref="E2429">IFS(D2429&lt;=$G$3,'calculated data '!$A$3,D2429&lt;=$G$4,'calculated data '!$A$4,D2429&lt;=$G$6,'calculated data '!$A$5,D2429&gt;=$G$6,'calculated data '!$A$6)</f>
        <v>Low Demand Tier</v>
      </c>
      <c r="F2429" s="10">
        <f t="shared" si="1"/>
        <v>-0.6063953573</v>
      </c>
    </row>
    <row r="2430" ht="14.25" customHeight="1">
      <c r="A2430" s="2" t="s">
        <v>157</v>
      </c>
      <c r="B2430" s="2" t="s">
        <v>158</v>
      </c>
      <c r="C2430" s="2">
        <v>1990.0</v>
      </c>
      <c r="D2430" s="9">
        <v>2146.1685</v>
      </c>
      <c r="E2430" s="10" t="str">
        <f t="array" ref="E2430">IFS(D2430&lt;=$G$3,'calculated data '!$A$3,D2430&lt;=$G$4,'calculated data '!$A$4,D2430&lt;=$G$6,'calculated data '!$A$5,D2430&gt;=$G$6,'calculated data '!$A$6)</f>
        <v>Low Demand Tier</v>
      </c>
      <c r="F2430" s="10">
        <f t="shared" si="1"/>
        <v>-0.6063629292</v>
      </c>
    </row>
    <row r="2431" ht="14.25" customHeight="1">
      <c r="A2431" s="2" t="s">
        <v>151</v>
      </c>
      <c r="B2431" s="2" t="s">
        <v>152</v>
      </c>
      <c r="C2431" s="2">
        <v>1985.0</v>
      </c>
      <c r="D2431" s="9">
        <v>2147.0947</v>
      </c>
      <c r="E2431" s="10" t="str">
        <f t="array" ref="E2431">IFS(D2431&lt;=$G$3,'calculated data '!$A$3,D2431&lt;=$G$4,'calculated data '!$A$4,D2431&lt;=$G$6,'calculated data '!$A$5,D2431&gt;=$G$6,'calculated data '!$A$6)</f>
        <v>Low Demand Tier</v>
      </c>
      <c r="F2431" s="10">
        <f t="shared" si="1"/>
        <v>-0.6063384129</v>
      </c>
    </row>
    <row r="2432" ht="14.25" customHeight="1">
      <c r="A2432" s="2" t="s">
        <v>157</v>
      </c>
      <c r="B2432" s="2" t="s">
        <v>158</v>
      </c>
      <c r="C2432" s="2">
        <v>2003.0</v>
      </c>
      <c r="D2432" s="9">
        <v>2147.572</v>
      </c>
      <c r="E2432" s="10" t="str">
        <f t="array" ref="E2432">IFS(D2432&lt;=$G$3,'calculated data '!$A$3,D2432&lt;=$G$4,'calculated data '!$A$4,D2432&lt;=$G$6,'calculated data '!$A$5,D2432&gt;=$G$6,'calculated data '!$A$6)</f>
        <v>Low Demand Tier</v>
      </c>
      <c r="F2432" s="10">
        <f t="shared" si="1"/>
        <v>-0.6063257789</v>
      </c>
    </row>
    <row r="2433" ht="14.25" customHeight="1">
      <c r="A2433" s="2" t="s">
        <v>155</v>
      </c>
      <c r="B2433" s="2" t="s">
        <v>156</v>
      </c>
      <c r="C2433" s="2">
        <v>1981.0</v>
      </c>
      <c r="D2433" s="9">
        <v>2151.0967</v>
      </c>
      <c r="E2433" s="10" t="str">
        <f t="array" ref="E2433">IFS(D2433&lt;=$G$3,'calculated data '!$A$3,D2433&lt;=$G$4,'calculated data '!$A$4,D2433&lt;=$G$6,'calculated data '!$A$5,D2433&gt;=$G$6,'calculated data '!$A$6)</f>
        <v>Low Demand Tier</v>
      </c>
      <c r="F2433" s="10">
        <f t="shared" si="1"/>
        <v>-0.606232481</v>
      </c>
    </row>
    <row r="2434" ht="14.25" customHeight="1">
      <c r="A2434" s="2" t="s">
        <v>133</v>
      </c>
      <c r="B2434" s="2" t="s">
        <v>134</v>
      </c>
      <c r="C2434" s="2">
        <v>1970.0</v>
      </c>
      <c r="D2434" s="9">
        <v>2157.1738</v>
      </c>
      <c r="E2434" s="10" t="str">
        <f t="array" ref="E2434">IFS(D2434&lt;=$G$3,'calculated data '!$A$3,D2434&lt;=$G$4,'calculated data '!$A$4,D2434&lt;=$G$6,'calculated data '!$A$5,D2434&gt;=$G$6,'calculated data '!$A$6)</f>
        <v>Low Demand Tier</v>
      </c>
      <c r="F2434" s="10">
        <f t="shared" si="1"/>
        <v>-0.6060716217</v>
      </c>
    </row>
    <row r="2435" ht="14.25" customHeight="1">
      <c r="A2435" s="2" t="s">
        <v>135</v>
      </c>
      <c r="B2435" s="2" t="s">
        <v>136</v>
      </c>
      <c r="C2435" s="2">
        <v>2014.0</v>
      </c>
      <c r="D2435" s="9">
        <v>2158.4722</v>
      </c>
      <c r="E2435" s="10" t="str">
        <f t="array" ref="E2435">IFS(D2435&lt;=$G$3,'calculated data '!$A$3,D2435&lt;=$G$4,'calculated data '!$A$4,D2435&lt;=$G$6,'calculated data '!$A$5,D2435&gt;=$G$6,'calculated data '!$A$6)</f>
        <v>Low Demand Tier</v>
      </c>
      <c r="F2435" s="10">
        <f t="shared" si="1"/>
        <v>-0.6060372534</v>
      </c>
    </row>
    <row r="2436" ht="14.25" customHeight="1">
      <c r="A2436" s="2" t="s">
        <v>123</v>
      </c>
      <c r="B2436" s="2" t="s">
        <v>124</v>
      </c>
      <c r="C2436" s="2">
        <v>2010.0</v>
      </c>
      <c r="D2436" s="9">
        <v>2158.8325</v>
      </c>
      <c r="E2436" s="10" t="str">
        <f t="array" ref="E2436">IFS(D2436&lt;=$G$3,'calculated data '!$A$3,D2436&lt;=$G$4,'calculated data '!$A$4,D2436&lt;=$G$6,'calculated data '!$A$5,D2436&gt;=$G$6,'calculated data '!$A$6)</f>
        <v>Low Demand Tier</v>
      </c>
      <c r="F2436" s="10">
        <f t="shared" si="1"/>
        <v>-0.6060277163</v>
      </c>
    </row>
    <row r="2437" ht="14.25" customHeight="1">
      <c r="A2437" s="2" t="s">
        <v>199</v>
      </c>
      <c r="B2437" s="2" t="s">
        <v>200</v>
      </c>
      <c r="C2437" s="2">
        <v>1981.0</v>
      </c>
      <c r="D2437" s="9">
        <v>2159.3408</v>
      </c>
      <c r="E2437" s="10" t="str">
        <f t="array" ref="E2437">IFS(D2437&lt;=$G$3,'calculated data '!$A$3,D2437&lt;=$G$4,'calculated data '!$A$4,D2437&lt;=$G$6,'calculated data '!$A$5,D2437&gt;=$G$6,'calculated data '!$A$6)</f>
        <v>Low Demand Tier</v>
      </c>
      <c r="F2437" s="10">
        <f t="shared" si="1"/>
        <v>-0.6060142617</v>
      </c>
    </row>
    <row r="2438" ht="14.25" customHeight="1">
      <c r="A2438" s="2" t="s">
        <v>123</v>
      </c>
      <c r="B2438" s="2" t="s">
        <v>124</v>
      </c>
      <c r="C2438" s="2">
        <v>2018.0</v>
      </c>
      <c r="D2438" s="9">
        <v>2160.1746</v>
      </c>
      <c r="E2438" s="10" t="str">
        <f t="array" ref="E2438">IFS(D2438&lt;=$G$3,'calculated data '!$A$3,D2438&lt;=$G$4,'calculated data '!$A$4,D2438&lt;=$G$6,'calculated data '!$A$5,D2438&gt;=$G$6,'calculated data '!$A$6)</f>
        <v>Low Demand Tier</v>
      </c>
      <c r="F2438" s="10">
        <f t="shared" si="1"/>
        <v>-0.6059921912</v>
      </c>
    </row>
    <row r="2439" ht="14.25" customHeight="1">
      <c r="A2439" s="2" t="s">
        <v>51</v>
      </c>
      <c r="B2439" s="2" t="s">
        <v>52</v>
      </c>
      <c r="C2439" s="2">
        <v>1998.0</v>
      </c>
      <c r="D2439" s="9">
        <v>2160.2185</v>
      </c>
      <c r="E2439" s="10" t="str">
        <f t="array" ref="E2439">IFS(D2439&lt;=$G$3,'calculated data '!$A$3,D2439&lt;=$G$4,'calculated data '!$A$4,D2439&lt;=$G$6,'calculated data '!$A$5,D2439&gt;=$G$6,'calculated data '!$A$6)</f>
        <v>Low Demand Tier</v>
      </c>
      <c r="F2439" s="10">
        <f t="shared" si="1"/>
        <v>-0.6059910292</v>
      </c>
    </row>
    <row r="2440" ht="14.25" customHeight="1">
      <c r="A2440" s="2" t="s">
        <v>83</v>
      </c>
      <c r="B2440" s="2" t="s">
        <v>84</v>
      </c>
      <c r="C2440" s="2">
        <v>2010.0</v>
      </c>
      <c r="D2440" s="9">
        <v>2160.704</v>
      </c>
      <c r="E2440" s="10" t="str">
        <f t="array" ref="E2440">IFS(D2440&lt;=$G$3,'calculated data '!$A$3,D2440&lt;=$G$4,'calculated data '!$A$4,D2440&lt;=$G$6,'calculated data '!$A$5,D2440&gt;=$G$6,'calculated data '!$A$6)</f>
        <v>Low Demand Tier</v>
      </c>
      <c r="F2440" s="10">
        <f t="shared" si="1"/>
        <v>-0.6059781782</v>
      </c>
    </row>
    <row r="2441" ht="14.25" customHeight="1">
      <c r="A2441" s="2" t="s">
        <v>175</v>
      </c>
      <c r="B2441" s="2" t="s">
        <v>176</v>
      </c>
      <c r="C2441" s="2">
        <v>1987.0</v>
      </c>
      <c r="D2441" s="9">
        <v>2163.039</v>
      </c>
      <c r="E2441" s="10" t="str">
        <f t="array" ref="E2441">IFS(D2441&lt;=$G$3,'calculated data '!$A$3,D2441&lt;=$G$4,'calculated data '!$A$4,D2441&lt;=$G$6,'calculated data '!$A$5,D2441&gt;=$G$6,'calculated data '!$A$6)</f>
        <v>Low Demand Tier</v>
      </c>
      <c r="F2441" s="10">
        <f t="shared" si="1"/>
        <v>-0.6059163713</v>
      </c>
    </row>
    <row r="2442" ht="14.25" customHeight="1">
      <c r="A2442" s="2" t="s">
        <v>155</v>
      </c>
      <c r="B2442" s="2" t="s">
        <v>156</v>
      </c>
      <c r="C2442" s="2">
        <v>1980.0</v>
      </c>
      <c r="D2442" s="9">
        <v>2163.0847</v>
      </c>
      <c r="E2442" s="10" t="str">
        <f t="array" ref="E2442">IFS(D2442&lt;=$G$3,'calculated data '!$A$3,D2442&lt;=$G$4,'calculated data '!$A$4,D2442&lt;=$G$6,'calculated data '!$A$5,D2442&gt;=$G$6,'calculated data '!$A$6)</f>
        <v>Low Demand Tier</v>
      </c>
      <c r="F2442" s="10">
        <f t="shared" si="1"/>
        <v>-0.6059151616</v>
      </c>
    </row>
    <row r="2443" ht="14.25" customHeight="1">
      <c r="A2443" s="2" t="s">
        <v>189</v>
      </c>
      <c r="B2443" s="2" t="s">
        <v>190</v>
      </c>
      <c r="C2443" s="2">
        <v>1980.0</v>
      </c>
      <c r="D2443" s="9">
        <v>2166.6418</v>
      </c>
      <c r="E2443" s="10" t="str">
        <f t="array" ref="E2443">IFS(D2443&lt;=$G$3,'calculated data '!$A$3,D2443&lt;=$G$4,'calculated data '!$A$4,D2443&lt;=$G$6,'calculated data '!$A$5,D2443&gt;=$G$6,'calculated data '!$A$6)</f>
        <v>Low Demand Tier</v>
      </c>
      <c r="F2443" s="10">
        <f t="shared" si="1"/>
        <v>-0.6058210061</v>
      </c>
    </row>
    <row r="2444" ht="14.25" customHeight="1">
      <c r="A2444" s="2" t="s">
        <v>187</v>
      </c>
      <c r="B2444" s="2" t="s">
        <v>188</v>
      </c>
      <c r="C2444" s="2">
        <v>2015.0</v>
      </c>
      <c r="D2444" s="9">
        <v>2167.244</v>
      </c>
      <c r="E2444" s="10" t="str">
        <f t="array" ref="E2444">IFS(D2444&lt;=$G$3,'calculated data '!$A$3,D2444&lt;=$G$4,'calculated data '!$A$4,D2444&lt;=$G$6,'calculated data '!$A$5,D2444&gt;=$G$6,'calculated data '!$A$6)</f>
        <v>Low Demand Tier</v>
      </c>
      <c r="F2444" s="10">
        <f t="shared" si="1"/>
        <v>-0.605805066</v>
      </c>
    </row>
    <row r="2445" ht="14.25" customHeight="1">
      <c r="A2445" s="2" t="s">
        <v>209</v>
      </c>
      <c r="B2445" s="2" t="s">
        <v>210</v>
      </c>
      <c r="C2445" s="2">
        <v>1986.0</v>
      </c>
      <c r="D2445" s="9">
        <v>2168.0999</v>
      </c>
      <c r="E2445" s="10" t="str">
        <f t="array" ref="E2445">IFS(D2445&lt;=$G$3,'calculated data '!$A$3,D2445&lt;=$G$4,'calculated data '!$A$4,D2445&lt;=$G$6,'calculated data '!$A$5,D2445&gt;=$G$6,'calculated data '!$A$6)</f>
        <v>Low Demand Tier</v>
      </c>
      <c r="F2445" s="10">
        <f t="shared" si="1"/>
        <v>-0.6057824105</v>
      </c>
    </row>
    <row r="2446" ht="14.25" customHeight="1">
      <c r="A2446" s="2" t="s">
        <v>187</v>
      </c>
      <c r="B2446" s="2" t="s">
        <v>188</v>
      </c>
      <c r="C2446" s="2">
        <v>1982.0</v>
      </c>
      <c r="D2446" s="9">
        <v>2169.5771</v>
      </c>
      <c r="E2446" s="10" t="str">
        <f t="array" ref="E2446">IFS(D2446&lt;=$G$3,'calculated data '!$A$3,D2446&lt;=$G$4,'calculated data '!$A$4,D2446&lt;=$G$6,'calculated data '!$A$5,D2446&gt;=$G$6,'calculated data '!$A$6)</f>
        <v>Low Demand Tier</v>
      </c>
      <c r="F2446" s="10">
        <f t="shared" si="1"/>
        <v>-0.6057433094</v>
      </c>
    </row>
    <row r="2447" ht="14.25" customHeight="1">
      <c r="A2447" s="2" t="s">
        <v>171</v>
      </c>
      <c r="B2447" s="2" t="s">
        <v>172</v>
      </c>
      <c r="C2447" s="2">
        <v>2005.0</v>
      </c>
      <c r="D2447" s="9">
        <v>2171.303</v>
      </c>
      <c r="E2447" s="10" t="str">
        <f t="array" ref="E2447">IFS(D2447&lt;=$G$3,'calculated data '!$A$3,D2447&lt;=$G$4,'calculated data '!$A$4,D2447&lt;=$G$6,'calculated data '!$A$5,D2447&gt;=$G$6,'calculated data '!$A$6)</f>
        <v>Low Demand Tier</v>
      </c>
      <c r="F2447" s="10">
        <f t="shared" si="1"/>
        <v>-0.6056976253</v>
      </c>
    </row>
    <row r="2448" ht="14.25" customHeight="1">
      <c r="A2448" s="2" t="s">
        <v>93</v>
      </c>
      <c r="B2448" s="2" t="s">
        <v>94</v>
      </c>
      <c r="C2448" s="2">
        <v>2024.0</v>
      </c>
      <c r="D2448" s="9">
        <v>2171.8225</v>
      </c>
      <c r="E2448" s="10" t="str">
        <f t="array" ref="E2448">IFS(D2448&lt;=$G$3,'calculated data '!$A$3,D2448&lt;=$G$4,'calculated data '!$A$4,D2448&lt;=$G$6,'calculated data '!$A$5,D2448&gt;=$G$6,'calculated data '!$A$6)</f>
        <v>Low Demand Tier</v>
      </c>
      <c r="F2448" s="10">
        <f t="shared" si="1"/>
        <v>-0.6056838742</v>
      </c>
    </row>
    <row r="2449" ht="14.25" customHeight="1">
      <c r="A2449" s="2" t="s">
        <v>51</v>
      </c>
      <c r="B2449" s="2" t="s">
        <v>52</v>
      </c>
      <c r="C2449" s="2">
        <v>1999.0</v>
      </c>
      <c r="D2449" s="9">
        <v>2173.0085</v>
      </c>
      <c r="E2449" s="10" t="str">
        <f t="array" ref="E2449">IFS(D2449&lt;=$G$3,'calculated data '!$A$3,D2449&lt;=$G$4,'calculated data '!$A$4,D2449&lt;=$G$6,'calculated data '!$A$5,D2449&gt;=$G$6,'calculated data '!$A$6)</f>
        <v>Low Demand Tier</v>
      </c>
      <c r="F2449" s="10">
        <f t="shared" si="1"/>
        <v>-0.6056524811</v>
      </c>
    </row>
    <row r="2450" ht="14.25" customHeight="1">
      <c r="A2450" s="2" t="s">
        <v>93</v>
      </c>
      <c r="B2450" s="2" t="s">
        <v>94</v>
      </c>
      <c r="C2450" s="2">
        <v>2023.0</v>
      </c>
      <c r="D2450" s="9">
        <v>2174.9902</v>
      </c>
      <c r="E2450" s="10" t="str">
        <f t="array" ref="E2450">IFS(D2450&lt;=$G$3,'calculated data '!$A$3,D2450&lt;=$G$4,'calculated data '!$A$4,D2450&lt;=$G$6,'calculated data '!$A$5,D2450&gt;=$G$6,'calculated data '!$A$6)</f>
        <v>Low Demand Tier</v>
      </c>
      <c r="F2450" s="10">
        <f t="shared" si="1"/>
        <v>-0.605600026</v>
      </c>
    </row>
    <row r="2451" ht="14.25" customHeight="1">
      <c r="A2451" s="2" t="s">
        <v>109</v>
      </c>
      <c r="B2451" s="2" t="s">
        <v>110</v>
      </c>
      <c r="C2451" s="2">
        <v>1988.0</v>
      </c>
      <c r="D2451" s="9">
        <v>2175.64</v>
      </c>
      <c r="E2451" s="10" t="str">
        <f t="array" ref="E2451">IFS(D2451&lt;=$G$3,'calculated data '!$A$3,D2451&lt;=$G$4,'calculated data '!$A$4,D2451&lt;=$G$6,'calculated data '!$A$5,D2451&gt;=$G$6,'calculated data '!$A$6)</f>
        <v>Low Demand Tier</v>
      </c>
      <c r="F2451" s="10">
        <f t="shared" si="1"/>
        <v>-0.605582826</v>
      </c>
    </row>
    <row r="2452" ht="14.25" customHeight="1">
      <c r="A2452" s="2" t="s">
        <v>169</v>
      </c>
      <c r="B2452" s="2" t="s">
        <v>170</v>
      </c>
      <c r="C2452" s="2">
        <v>1985.0</v>
      </c>
      <c r="D2452" s="9">
        <v>2175.7485</v>
      </c>
      <c r="E2452" s="10" t="str">
        <f t="array" ref="E2452">IFS(D2452&lt;=$G$3,'calculated data '!$A$3,D2452&lt;=$G$4,'calculated data '!$A$4,D2452&lt;=$G$6,'calculated data '!$A$5,D2452&gt;=$G$6,'calculated data '!$A$6)</f>
        <v>Low Demand Tier</v>
      </c>
      <c r="F2452" s="10">
        <f t="shared" si="1"/>
        <v>-0.605579954</v>
      </c>
    </row>
    <row r="2453" ht="14.25" customHeight="1">
      <c r="A2453" s="2" t="s">
        <v>217</v>
      </c>
      <c r="B2453" s="2" t="s">
        <v>218</v>
      </c>
      <c r="C2453" s="2">
        <v>1966.0</v>
      </c>
      <c r="D2453" s="9">
        <v>2176.435</v>
      </c>
      <c r="E2453" s="10" t="str">
        <f t="array" ref="E2453">IFS(D2453&lt;=$G$3,'calculated data '!$A$3,D2453&lt;=$G$4,'calculated data '!$A$4,D2453&lt;=$G$6,'calculated data '!$A$5,D2453&gt;=$G$6,'calculated data '!$A$6)</f>
        <v>Low Demand Tier</v>
      </c>
      <c r="F2453" s="10">
        <f t="shared" si="1"/>
        <v>-0.6055617825</v>
      </c>
    </row>
    <row r="2454" ht="14.25" customHeight="1">
      <c r="A2454" s="2" t="s">
        <v>135</v>
      </c>
      <c r="B2454" s="2" t="s">
        <v>136</v>
      </c>
      <c r="C2454" s="2">
        <v>2013.0</v>
      </c>
      <c r="D2454" s="9">
        <v>2177.4734</v>
      </c>
      <c r="E2454" s="10" t="str">
        <f t="array" ref="E2454">IFS(D2454&lt;=$G$3,'calculated data '!$A$3,D2454&lt;=$G$4,'calculated data '!$A$4,D2454&lt;=$G$6,'calculated data '!$A$5,D2454&gt;=$G$6,'calculated data '!$A$6)</f>
        <v>Low Demand Tier</v>
      </c>
      <c r="F2454" s="10">
        <f t="shared" si="1"/>
        <v>-0.6055342963</v>
      </c>
    </row>
    <row r="2455" ht="14.25" customHeight="1">
      <c r="A2455" s="2" t="s">
        <v>137</v>
      </c>
      <c r="B2455" s="2" t="s">
        <v>138</v>
      </c>
      <c r="C2455" s="2">
        <v>2011.0</v>
      </c>
      <c r="D2455" s="9">
        <v>2178.5393</v>
      </c>
      <c r="E2455" s="10" t="str">
        <f t="array" ref="E2455">IFS(D2455&lt;=$G$3,'calculated data '!$A$3,D2455&lt;=$G$4,'calculated data '!$A$4,D2455&lt;=$G$6,'calculated data '!$A$5,D2455&gt;=$G$6,'calculated data '!$A$6)</f>
        <v>Low Demand Tier</v>
      </c>
      <c r="F2455" s="10">
        <f t="shared" si="1"/>
        <v>-0.6055060822</v>
      </c>
    </row>
    <row r="2456" ht="14.25" customHeight="1">
      <c r="A2456" s="2" t="s">
        <v>143</v>
      </c>
      <c r="B2456" s="2" t="s">
        <v>144</v>
      </c>
      <c r="C2456" s="2">
        <v>2002.0</v>
      </c>
      <c r="D2456" s="9">
        <v>2179.7395</v>
      </c>
      <c r="E2456" s="10" t="str">
        <f t="array" ref="E2456">IFS(D2456&lt;=$G$3,'calculated data '!$A$3,D2456&lt;=$G$4,'calculated data '!$A$4,D2456&lt;=$G$6,'calculated data '!$A$5,D2456&gt;=$G$6,'calculated data '!$A$6)</f>
        <v>Low Demand Tier</v>
      </c>
      <c r="F2456" s="10">
        <f t="shared" si="1"/>
        <v>-0.6054743132</v>
      </c>
    </row>
    <row r="2457" ht="14.25" customHeight="1">
      <c r="A2457" s="2" t="s">
        <v>217</v>
      </c>
      <c r="B2457" s="2" t="s">
        <v>218</v>
      </c>
      <c r="C2457" s="2">
        <v>1969.0</v>
      </c>
      <c r="D2457" s="9">
        <v>2180.5283</v>
      </c>
      <c r="E2457" s="10" t="str">
        <f t="array" ref="E2457">IFS(D2457&lt;=$G$3,'calculated data '!$A$3,D2457&lt;=$G$4,'calculated data '!$A$4,D2457&lt;=$G$6,'calculated data '!$A$5,D2457&gt;=$G$6,'calculated data '!$A$6)</f>
        <v>Low Demand Tier</v>
      </c>
      <c r="F2457" s="10">
        <f t="shared" si="1"/>
        <v>-0.6054534339</v>
      </c>
    </row>
    <row r="2458" ht="14.25" customHeight="1">
      <c r="A2458" s="2" t="s">
        <v>123</v>
      </c>
      <c r="B2458" s="2" t="s">
        <v>124</v>
      </c>
      <c r="C2458" s="2">
        <v>2017.0</v>
      </c>
      <c r="D2458" s="9">
        <v>2182.0051</v>
      </c>
      <c r="E2458" s="10" t="str">
        <f t="array" ref="E2458">IFS(D2458&lt;=$G$3,'calculated data '!$A$3,D2458&lt;=$G$4,'calculated data '!$A$4,D2458&lt;=$G$6,'calculated data '!$A$5,D2458&gt;=$G$6,'calculated data '!$A$6)</f>
        <v>Low Demand Tier</v>
      </c>
      <c r="F2458" s="10">
        <f t="shared" si="1"/>
        <v>-0.6054143434</v>
      </c>
    </row>
    <row r="2459" ht="14.25" customHeight="1">
      <c r="A2459" s="2" t="s">
        <v>157</v>
      </c>
      <c r="B2459" s="2" t="s">
        <v>158</v>
      </c>
      <c r="C2459" s="2">
        <v>1992.0</v>
      </c>
      <c r="D2459" s="9">
        <v>2183.4475</v>
      </c>
      <c r="E2459" s="10" t="str">
        <f t="array" ref="E2459">IFS(D2459&lt;=$G$3,'calculated data '!$A$3,D2459&lt;=$G$4,'calculated data '!$A$4,D2459&lt;=$G$6,'calculated data '!$A$5,D2459&gt;=$G$6,'calculated data '!$A$6)</f>
        <v>Low Demand Tier</v>
      </c>
      <c r="F2459" s="10">
        <f t="shared" si="1"/>
        <v>-0.6053761634</v>
      </c>
    </row>
    <row r="2460" ht="14.25" customHeight="1">
      <c r="A2460" s="2" t="s">
        <v>181</v>
      </c>
      <c r="B2460" s="2" t="s">
        <v>182</v>
      </c>
      <c r="C2460" s="2">
        <v>2003.0</v>
      </c>
      <c r="D2460" s="9">
        <v>2187.9653</v>
      </c>
      <c r="E2460" s="10" t="str">
        <f t="array" ref="E2460">IFS(D2460&lt;=$G$3,'calculated data '!$A$3,D2460&lt;=$G$4,'calculated data '!$A$4,D2460&lt;=$G$6,'calculated data '!$A$5,D2460&gt;=$G$6,'calculated data '!$A$6)</f>
        <v>Low Demand Tier</v>
      </c>
      <c r="F2460" s="10">
        <f t="shared" si="1"/>
        <v>-0.6052565783</v>
      </c>
    </row>
    <row r="2461" ht="14.25" customHeight="1">
      <c r="A2461" s="2" t="s">
        <v>197</v>
      </c>
      <c r="B2461" s="2" t="s">
        <v>198</v>
      </c>
      <c r="C2461" s="2">
        <v>1966.0</v>
      </c>
      <c r="D2461" s="9">
        <v>2189.249</v>
      </c>
      <c r="E2461" s="10" t="str">
        <f t="array" ref="E2461">IFS(D2461&lt;=$G$3,'calculated data '!$A$3,D2461&lt;=$G$4,'calculated data '!$A$4,D2461&lt;=$G$6,'calculated data '!$A$5,D2461&gt;=$G$6,'calculated data '!$A$6)</f>
        <v>Low Demand Tier</v>
      </c>
      <c r="F2461" s="10">
        <f t="shared" si="1"/>
        <v>-0.6052225991</v>
      </c>
    </row>
    <row r="2462" ht="14.25" customHeight="1">
      <c r="A2462" s="2" t="s">
        <v>129</v>
      </c>
      <c r="B2462" s="2" t="s">
        <v>130</v>
      </c>
      <c r="C2462" s="2">
        <v>1983.0</v>
      </c>
      <c r="D2462" s="9">
        <v>2190.6067</v>
      </c>
      <c r="E2462" s="10" t="str">
        <f t="array" ref="E2462">IFS(D2462&lt;=$G$3,'calculated data '!$A$3,D2462&lt;=$G$4,'calculated data '!$A$4,D2462&lt;=$G$6,'calculated data '!$A$5,D2462&gt;=$G$6,'calculated data '!$A$6)</f>
        <v>Low Demand Tier</v>
      </c>
      <c r="F2462" s="10">
        <f t="shared" si="1"/>
        <v>-0.6051866611</v>
      </c>
    </row>
    <row r="2463" ht="14.25" customHeight="1">
      <c r="A2463" s="2" t="s">
        <v>169</v>
      </c>
      <c r="B2463" s="2" t="s">
        <v>170</v>
      </c>
      <c r="C2463" s="2">
        <v>2004.0</v>
      </c>
      <c r="D2463" s="9">
        <v>2190.6438</v>
      </c>
      <c r="E2463" s="10" t="str">
        <f t="array" ref="E2463">IFS(D2463&lt;=$G$3,'calculated data '!$A$3,D2463&lt;=$G$4,'calculated data '!$A$4,D2463&lt;=$G$6,'calculated data '!$A$5,D2463&gt;=$G$6,'calculated data '!$A$6)</f>
        <v>Low Demand Tier</v>
      </c>
      <c r="F2463" s="10">
        <f t="shared" si="1"/>
        <v>-0.6051856791</v>
      </c>
    </row>
    <row r="2464" ht="14.25" customHeight="1">
      <c r="A2464" s="2" t="s">
        <v>187</v>
      </c>
      <c r="B2464" s="2" t="s">
        <v>188</v>
      </c>
      <c r="C2464" s="2">
        <v>1989.0</v>
      </c>
      <c r="D2464" s="9">
        <v>2191.0662</v>
      </c>
      <c r="E2464" s="10" t="str">
        <f t="array" ref="E2464">IFS(D2464&lt;=$G$3,'calculated data '!$A$3,D2464&lt;=$G$4,'calculated data '!$A$4,D2464&lt;=$G$6,'calculated data '!$A$5,D2464&gt;=$G$6,'calculated data '!$A$6)</f>
        <v>Low Demand Tier</v>
      </c>
      <c r="F2464" s="10">
        <f t="shared" si="1"/>
        <v>-0.6051744983</v>
      </c>
    </row>
    <row r="2465" ht="14.25" customHeight="1">
      <c r="A2465" s="2" t="s">
        <v>217</v>
      </c>
      <c r="B2465" s="2" t="s">
        <v>218</v>
      </c>
      <c r="C2465" s="2">
        <v>1968.0</v>
      </c>
      <c r="D2465" s="9">
        <v>2192.9998</v>
      </c>
      <c r="E2465" s="10" t="str">
        <f t="array" ref="E2465">IFS(D2465&lt;=$G$3,'calculated data '!$A$3,D2465&lt;=$G$4,'calculated data '!$A$4,D2465&lt;=$G$6,'calculated data '!$A$5,D2465&gt;=$G$6,'calculated data '!$A$6)</f>
        <v>Low Demand Tier</v>
      </c>
      <c r="F2465" s="10">
        <f t="shared" si="1"/>
        <v>-0.6051233164</v>
      </c>
    </row>
    <row r="2466" ht="14.25" customHeight="1">
      <c r="A2466" s="2" t="s">
        <v>137</v>
      </c>
      <c r="B2466" s="2" t="s">
        <v>138</v>
      </c>
      <c r="C2466" s="2">
        <v>2015.0</v>
      </c>
      <c r="D2466" s="9">
        <v>2193.6045</v>
      </c>
      <c r="E2466" s="10" t="str">
        <f t="array" ref="E2466">IFS(D2466&lt;=$G$3,'calculated data '!$A$3,D2466&lt;=$G$4,'calculated data '!$A$4,D2466&lt;=$G$6,'calculated data '!$A$5,D2466&gt;=$G$6,'calculated data '!$A$6)</f>
        <v>Low Demand Tier</v>
      </c>
      <c r="F2466" s="10">
        <f t="shared" si="1"/>
        <v>-0.6051073101</v>
      </c>
    </row>
    <row r="2467" ht="14.25" customHeight="1">
      <c r="A2467" s="2" t="s">
        <v>155</v>
      </c>
      <c r="B2467" s="2" t="s">
        <v>156</v>
      </c>
      <c r="C2467" s="2">
        <v>1982.0</v>
      </c>
      <c r="D2467" s="9">
        <v>2194.317</v>
      </c>
      <c r="E2467" s="10" t="str">
        <f t="array" ref="E2467">IFS(D2467&lt;=$G$3,'calculated data '!$A$3,D2467&lt;=$G$4,'calculated data '!$A$4,D2467&lt;=$G$6,'calculated data '!$A$5,D2467&gt;=$G$6,'calculated data '!$A$6)</f>
        <v>Low Demand Tier</v>
      </c>
      <c r="F2467" s="10">
        <f t="shared" si="1"/>
        <v>-0.6050884504</v>
      </c>
    </row>
    <row r="2468" ht="14.25" customHeight="1">
      <c r="A2468" s="2" t="s">
        <v>97</v>
      </c>
      <c r="B2468" s="2" t="s">
        <v>98</v>
      </c>
      <c r="C2468" s="2">
        <v>2017.0</v>
      </c>
      <c r="D2468" s="9">
        <v>2194.4648</v>
      </c>
      <c r="E2468" s="10" t="str">
        <f t="array" ref="E2468">IFS(D2468&lt;=$G$3,'calculated data '!$A$3,D2468&lt;=$G$4,'calculated data '!$A$4,D2468&lt;=$G$6,'calculated data '!$A$5,D2468&gt;=$G$6,'calculated data '!$A$6)</f>
        <v>Low Demand Tier</v>
      </c>
      <c r="F2468" s="10">
        <f t="shared" si="1"/>
        <v>-0.6050845382</v>
      </c>
    </row>
    <row r="2469" ht="14.25" customHeight="1">
      <c r="A2469" s="2" t="s">
        <v>167</v>
      </c>
      <c r="B2469" s="2" t="s">
        <v>168</v>
      </c>
      <c r="C2469" s="2">
        <v>2023.0</v>
      </c>
      <c r="D2469" s="9">
        <v>2194.584</v>
      </c>
      <c r="E2469" s="10" t="str">
        <f t="array" ref="E2469">IFS(D2469&lt;=$G$3,'calculated data '!$A$3,D2469&lt;=$G$4,'calculated data '!$A$4,D2469&lt;=$G$6,'calculated data '!$A$5,D2469&gt;=$G$6,'calculated data '!$A$6)</f>
        <v>Low Demand Tier</v>
      </c>
      <c r="F2469" s="10">
        <f t="shared" si="1"/>
        <v>-0.605081383</v>
      </c>
    </row>
    <row r="2470" ht="14.25" customHeight="1">
      <c r="A2470" s="2" t="s">
        <v>201</v>
      </c>
      <c r="B2470" s="2" t="s">
        <v>202</v>
      </c>
      <c r="C2470" s="2">
        <v>2015.0</v>
      </c>
      <c r="D2470" s="9">
        <v>2196.5261</v>
      </c>
      <c r="E2470" s="10" t="str">
        <f t="array" ref="E2470">IFS(D2470&lt;=$G$3,'calculated data '!$A$3,D2470&lt;=$G$4,'calculated data '!$A$4,D2470&lt;=$G$6,'calculated data '!$A$5,D2470&gt;=$G$6,'calculated data '!$A$6)</f>
        <v>Low Demand Tier</v>
      </c>
      <c r="F2470" s="10">
        <f t="shared" si="1"/>
        <v>-0.6050299761</v>
      </c>
    </row>
    <row r="2471" ht="14.25" customHeight="1">
      <c r="A2471" s="2" t="s">
        <v>117</v>
      </c>
      <c r="B2471" s="2" t="s">
        <v>118</v>
      </c>
      <c r="C2471" s="2">
        <v>1995.0</v>
      </c>
      <c r="D2471" s="9">
        <v>2196.8184</v>
      </c>
      <c r="E2471" s="10" t="str">
        <f t="array" ref="E2471">IFS(D2471&lt;=$G$3,'calculated data '!$A$3,D2471&lt;=$G$4,'calculated data '!$A$4,D2471&lt;=$G$6,'calculated data '!$A$5,D2471&gt;=$G$6,'calculated data '!$A$6)</f>
        <v>Low Demand Tier</v>
      </c>
      <c r="F2471" s="10">
        <f t="shared" si="1"/>
        <v>-0.605022239</v>
      </c>
    </row>
    <row r="2472" ht="14.25" customHeight="1">
      <c r="A2472" s="2" t="s">
        <v>179</v>
      </c>
      <c r="B2472" s="2" t="s">
        <v>180</v>
      </c>
      <c r="C2472" s="2">
        <v>1990.0</v>
      </c>
      <c r="D2472" s="9">
        <v>2197.7937</v>
      </c>
      <c r="E2472" s="10" t="str">
        <f t="array" ref="E2472">IFS(D2472&lt;=$G$3,'calculated data '!$A$3,D2472&lt;=$G$4,'calculated data '!$A$4,D2472&lt;=$G$6,'calculated data '!$A$5,D2472&gt;=$G$6,'calculated data '!$A$6)</f>
        <v>Low Demand Tier</v>
      </c>
      <c r="F2472" s="10">
        <f t="shared" si="1"/>
        <v>-0.604996423</v>
      </c>
    </row>
    <row r="2473" ht="14.25" customHeight="1">
      <c r="A2473" s="2" t="s">
        <v>93</v>
      </c>
      <c r="B2473" s="2" t="s">
        <v>94</v>
      </c>
      <c r="C2473" s="2">
        <v>2010.0</v>
      </c>
      <c r="D2473" s="9">
        <v>2198.4844</v>
      </c>
      <c r="E2473" s="10" t="str">
        <f t="array" ref="E2473">IFS(D2473&lt;=$G$3,'calculated data '!$A$3,D2473&lt;=$G$4,'calculated data '!$A$4,D2473&lt;=$G$6,'calculated data '!$A$5,D2473&gt;=$G$6,'calculated data '!$A$6)</f>
        <v>Low Demand Tier</v>
      </c>
      <c r="F2473" s="10">
        <f t="shared" si="1"/>
        <v>-0.6049781404</v>
      </c>
    </row>
    <row r="2474" ht="14.25" customHeight="1">
      <c r="A2474" s="2" t="s">
        <v>199</v>
      </c>
      <c r="B2474" s="2" t="s">
        <v>200</v>
      </c>
      <c r="C2474" s="2">
        <v>1983.0</v>
      </c>
      <c r="D2474" s="9">
        <v>2201.4285</v>
      </c>
      <c r="E2474" s="10" t="str">
        <f t="array" ref="E2474">IFS(D2474&lt;=$G$3,'calculated data '!$A$3,D2474&lt;=$G$4,'calculated data '!$A$4,D2474&lt;=$G$6,'calculated data '!$A$5,D2474&gt;=$G$6,'calculated data '!$A$6)</f>
        <v>Low Demand Tier</v>
      </c>
      <c r="F2474" s="10">
        <f t="shared" si="1"/>
        <v>-0.6049002108</v>
      </c>
    </row>
    <row r="2475" ht="14.25" customHeight="1">
      <c r="A2475" s="2" t="s">
        <v>113</v>
      </c>
      <c r="B2475" s="2" t="s">
        <v>114</v>
      </c>
      <c r="C2475" s="2">
        <v>2016.0</v>
      </c>
      <c r="D2475" s="9">
        <v>2201.666</v>
      </c>
      <c r="E2475" s="10" t="str">
        <f t="array" ref="E2475">IFS(D2475&lt;=$G$3,'calculated data '!$A$3,D2475&lt;=$G$4,'calculated data '!$A$4,D2475&lt;=$G$6,'calculated data '!$A$5,D2475&gt;=$G$6,'calculated data '!$A$6)</f>
        <v>Low Demand Tier</v>
      </c>
      <c r="F2475" s="10">
        <f t="shared" si="1"/>
        <v>-0.6048939242</v>
      </c>
    </row>
    <row r="2476" ht="14.25" customHeight="1">
      <c r="A2476" s="2" t="s">
        <v>213</v>
      </c>
      <c r="B2476" s="2" t="s">
        <v>214</v>
      </c>
      <c r="C2476" s="2">
        <v>1990.0</v>
      </c>
      <c r="D2476" s="9">
        <v>2206.9414</v>
      </c>
      <c r="E2476" s="10" t="str">
        <f t="array" ref="E2476">IFS(D2476&lt;=$G$3,'calculated data '!$A$3,D2476&lt;=$G$4,'calculated data '!$A$4,D2476&lt;=$G$6,'calculated data '!$A$5,D2476&gt;=$G$6,'calculated data '!$A$6)</f>
        <v>Low Demand Tier</v>
      </c>
      <c r="F2476" s="10">
        <f t="shared" si="1"/>
        <v>-0.6047542857</v>
      </c>
    </row>
    <row r="2477" ht="14.25" customHeight="1">
      <c r="A2477" s="2" t="s">
        <v>151</v>
      </c>
      <c r="B2477" s="2" t="s">
        <v>152</v>
      </c>
      <c r="C2477" s="2">
        <v>1986.0</v>
      </c>
      <c r="D2477" s="9">
        <v>2207.7583</v>
      </c>
      <c r="E2477" s="10" t="str">
        <f t="array" ref="E2477">IFS(D2477&lt;=$G$3,'calculated data '!$A$3,D2477&lt;=$G$4,'calculated data '!$A$4,D2477&lt;=$G$6,'calculated data '!$A$5,D2477&gt;=$G$6,'calculated data '!$A$6)</f>
        <v>Low Demand Tier</v>
      </c>
      <c r="F2477" s="10">
        <f t="shared" si="1"/>
        <v>-0.6047326626</v>
      </c>
    </row>
    <row r="2478" ht="14.25" customHeight="1">
      <c r="A2478" s="2" t="s">
        <v>171</v>
      </c>
      <c r="B2478" s="2" t="s">
        <v>172</v>
      </c>
      <c r="C2478" s="2">
        <v>2008.0</v>
      </c>
      <c r="D2478" s="9">
        <v>2208.4417</v>
      </c>
      <c r="E2478" s="10" t="str">
        <f t="array" ref="E2478">IFS(D2478&lt;=$G$3,'calculated data '!$A$3,D2478&lt;=$G$4,'calculated data '!$A$4,D2478&lt;=$G$6,'calculated data '!$A$5,D2478&gt;=$G$6,'calculated data '!$A$6)</f>
        <v>Low Demand Tier</v>
      </c>
      <c r="F2478" s="10">
        <f t="shared" si="1"/>
        <v>-0.6047145731</v>
      </c>
    </row>
    <row r="2479" ht="14.25" customHeight="1">
      <c r="A2479" s="2" t="s">
        <v>211</v>
      </c>
      <c r="B2479" s="2" t="s">
        <v>212</v>
      </c>
      <c r="C2479" s="2">
        <v>1980.0</v>
      </c>
      <c r="D2479" s="9">
        <v>2208.569</v>
      </c>
      <c r="E2479" s="10" t="str">
        <f t="array" ref="E2479">IFS(D2479&lt;=$G$3,'calculated data '!$A$3,D2479&lt;=$G$4,'calculated data '!$A$4,D2479&lt;=$G$6,'calculated data '!$A$5,D2479&gt;=$G$6,'calculated data '!$A$6)</f>
        <v>Low Demand Tier</v>
      </c>
      <c r="F2479" s="10">
        <f t="shared" si="1"/>
        <v>-0.6047112035</v>
      </c>
    </row>
    <row r="2480" ht="14.25" customHeight="1">
      <c r="A2480" s="2" t="s">
        <v>219</v>
      </c>
      <c r="B2480" s="2" t="s">
        <v>220</v>
      </c>
      <c r="C2480" s="2">
        <v>1998.0</v>
      </c>
      <c r="D2480" s="9">
        <v>2208.9685</v>
      </c>
      <c r="E2480" s="10" t="str">
        <f t="array" ref="E2480">IFS(D2480&lt;=$G$3,'calculated data '!$A$3,D2480&lt;=$G$4,'calculated data '!$A$4,D2480&lt;=$G$6,'calculated data '!$A$5,D2480&gt;=$G$6,'calculated data '!$A$6)</f>
        <v>Low Demand Tier</v>
      </c>
      <c r="F2480" s="10">
        <f t="shared" si="1"/>
        <v>-0.6047006289</v>
      </c>
    </row>
    <row r="2481" ht="14.25" customHeight="1">
      <c r="A2481" s="2" t="s">
        <v>209</v>
      </c>
      <c r="B2481" s="2" t="s">
        <v>210</v>
      </c>
      <c r="C2481" s="2">
        <v>1990.0</v>
      </c>
      <c r="D2481" s="9">
        <v>2210.895</v>
      </c>
      <c r="E2481" s="10" t="str">
        <f t="array" ref="E2481">IFS(D2481&lt;=$G$3,'calculated data '!$A$3,D2481&lt;=$G$4,'calculated data '!$A$4,D2481&lt;=$G$6,'calculated data '!$A$5,D2481&gt;=$G$6,'calculated data '!$A$6)</f>
        <v>Low Demand Tier</v>
      </c>
      <c r="F2481" s="10">
        <f t="shared" si="1"/>
        <v>-0.6046496349</v>
      </c>
    </row>
    <row r="2482" ht="14.25" customHeight="1">
      <c r="A2482" s="2" t="s">
        <v>171</v>
      </c>
      <c r="B2482" s="2" t="s">
        <v>172</v>
      </c>
      <c r="C2482" s="2">
        <v>2007.0</v>
      </c>
      <c r="D2482" s="9">
        <v>2212.3674</v>
      </c>
      <c r="E2482" s="10" t="str">
        <f t="array" ref="E2482">IFS(D2482&lt;=$G$3,'calculated data '!$A$3,D2482&lt;=$G$4,'calculated data '!$A$4,D2482&lt;=$G$6,'calculated data '!$A$5,D2482&gt;=$G$6,'calculated data '!$A$6)</f>
        <v>Low Demand Tier</v>
      </c>
      <c r="F2482" s="10">
        <f t="shared" si="1"/>
        <v>-0.6046106608</v>
      </c>
    </row>
    <row r="2483" ht="14.25" customHeight="1">
      <c r="A2483" s="2" t="s">
        <v>167</v>
      </c>
      <c r="B2483" s="2" t="s">
        <v>168</v>
      </c>
      <c r="C2483" s="2">
        <v>2024.0</v>
      </c>
      <c r="D2483" s="9">
        <v>2212.9424</v>
      </c>
      <c r="E2483" s="10" t="str">
        <f t="array" ref="E2483">IFS(D2483&lt;=$G$3,'calculated data '!$A$3,D2483&lt;=$G$4,'calculated data '!$A$4,D2483&lt;=$G$6,'calculated data '!$A$5,D2483&gt;=$G$6,'calculated data '!$A$6)</f>
        <v>Low Demand Tier</v>
      </c>
      <c r="F2483" s="10">
        <f t="shared" si="1"/>
        <v>-0.6045954407</v>
      </c>
    </row>
    <row r="2484" ht="14.25" customHeight="1">
      <c r="A2484" s="2" t="s">
        <v>181</v>
      </c>
      <c r="B2484" s="2" t="s">
        <v>182</v>
      </c>
      <c r="C2484" s="2">
        <v>2006.0</v>
      </c>
      <c r="D2484" s="9">
        <v>2215.2373</v>
      </c>
      <c r="E2484" s="10" t="str">
        <f t="array" ref="E2484">IFS(D2484&lt;=$G$3,'calculated data '!$A$3,D2484&lt;=$G$4,'calculated data '!$A$4,D2484&lt;=$G$6,'calculated data '!$A$5,D2484&gt;=$G$6,'calculated data '!$A$6)</f>
        <v>Low Demand Tier</v>
      </c>
      <c r="F2484" s="10">
        <f t="shared" si="1"/>
        <v>-0.6045346953</v>
      </c>
    </row>
    <row r="2485" ht="14.25" customHeight="1">
      <c r="A2485" s="2" t="s">
        <v>209</v>
      </c>
      <c r="B2485" s="2" t="s">
        <v>210</v>
      </c>
      <c r="C2485" s="2">
        <v>1988.0</v>
      </c>
      <c r="D2485" s="9">
        <v>2218.0276</v>
      </c>
      <c r="E2485" s="10" t="str">
        <f t="array" ref="E2485">IFS(D2485&lt;=$G$3,'calculated data '!$A$3,D2485&lt;=$G$4,'calculated data '!$A$4,D2485&lt;=$G$6,'calculated data '!$A$5,D2485&gt;=$G$6,'calculated data '!$A$6)</f>
        <v>Low Demand Tier</v>
      </c>
      <c r="F2485" s="10">
        <f t="shared" si="1"/>
        <v>-0.6044608367</v>
      </c>
    </row>
    <row r="2486" ht="14.25" customHeight="1">
      <c r="A2486" s="2" t="s">
        <v>207</v>
      </c>
      <c r="B2486" s="2" t="s">
        <v>208</v>
      </c>
      <c r="C2486" s="2">
        <v>1968.0</v>
      </c>
      <c r="D2486" s="9">
        <v>2219.9998</v>
      </c>
      <c r="E2486" s="10" t="str">
        <f t="array" ref="E2486">IFS(D2486&lt;=$G$3,'calculated data '!$A$3,D2486&lt;=$G$4,'calculated data '!$A$4,D2486&lt;=$G$6,'calculated data '!$A$5,D2486&gt;=$G$6,'calculated data '!$A$6)</f>
        <v>Low Demand Tier</v>
      </c>
      <c r="F2486" s="10">
        <f t="shared" si="1"/>
        <v>-0.6044086331</v>
      </c>
    </row>
    <row r="2487" ht="14.25" customHeight="1">
      <c r="A2487" s="2" t="s">
        <v>157</v>
      </c>
      <c r="B2487" s="2" t="s">
        <v>158</v>
      </c>
      <c r="C2487" s="2">
        <v>1991.0</v>
      </c>
      <c r="D2487" s="9">
        <v>2220.0906</v>
      </c>
      <c r="E2487" s="10" t="str">
        <f t="array" ref="E2487">IFS(D2487&lt;=$G$3,'calculated data '!$A$3,D2487&lt;=$G$4,'calculated data '!$A$4,D2487&lt;=$G$6,'calculated data '!$A$5,D2487&gt;=$G$6,'calculated data '!$A$6)</f>
        <v>Low Demand Tier</v>
      </c>
      <c r="F2487" s="10">
        <f t="shared" si="1"/>
        <v>-0.6044062297</v>
      </c>
    </row>
    <row r="2488" ht="14.25" customHeight="1">
      <c r="A2488" s="2" t="s">
        <v>171</v>
      </c>
      <c r="B2488" s="2" t="s">
        <v>172</v>
      </c>
      <c r="C2488" s="2">
        <v>2014.0</v>
      </c>
      <c r="D2488" s="9">
        <v>2220.1155</v>
      </c>
      <c r="E2488" s="10" t="str">
        <f t="array" ref="E2488">IFS(D2488&lt;=$G$3,'calculated data '!$A$3,D2488&lt;=$G$4,'calculated data '!$A$4,D2488&lt;=$G$6,'calculated data '!$A$5,D2488&gt;=$G$6,'calculated data '!$A$6)</f>
        <v>Low Demand Tier</v>
      </c>
      <c r="F2488" s="10">
        <f t="shared" si="1"/>
        <v>-0.6044055706</v>
      </c>
    </row>
    <row r="2489" ht="14.25" customHeight="1">
      <c r="A2489" s="2" t="s">
        <v>179</v>
      </c>
      <c r="B2489" s="2" t="s">
        <v>180</v>
      </c>
      <c r="C2489" s="2">
        <v>1989.0</v>
      </c>
      <c r="D2489" s="9">
        <v>2222.6414</v>
      </c>
      <c r="E2489" s="10" t="str">
        <f t="array" ref="E2489">IFS(D2489&lt;=$G$3,'calculated data '!$A$3,D2489&lt;=$G$4,'calculated data '!$A$4,D2489&lt;=$G$6,'calculated data '!$A$5,D2489&gt;=$G$6,'calculated data '!$A$6)</f>
        <v>Low Demand Tier</v>
      </c>
      <c r="F2489" s="10">
        <f t="shared" si="1"/>
        <v>-0.6043387106</v>
      </c>
    </row>
    <row r="2490" ht="14.25" customHeight="1">
      <c r="A2490" s="2" t="s">
        <v>145</v>
      </c>
      <c r="B2490" s="2" t="s">
        <v>146</v>
      </c>
      <c r="C2490" s="2">
        <v>1987.0</v>
      </c>
      <c r="D2490" s="9">
        <v>2222.7402</v>
      </c>
      <c r="E2490" s="10" t="str">
        <f t="array" ref="E2490">IFS(D2490&lt;=$G$3,'calculated data '!$A$3,D2490&lt;=$G$4,'calculated data '!$A$4,D2490&lt;=$G$6,'calculated data '!$A$5,D2490&gt;=$G$6,'calculated data '!$A$6)</f>
        <v>Low Demand Tier</v>
      </c>
      <c r="F2490" s="10">
        <f t="shared" si="1"/>
        <v>-0.6043360954</v>
      </c>
    </row>
    <row r="2491" ht="14.25" customHeight="1">
      <c r="A2491" s="2" t="s">
        <v>209</v>
      </c>
      <c r="B2491" s="2" t="s">
        <v>210</v>
      </c>
      <c r="C2491" s="2">
        <v>1980.0</v>
      </c>
      <c r="D2491" s="9">
        <v>2224.9087</v>
      </c>
      <c r="E2491" s="10" t="str">
        <f t="array" ref="E2491">IFS(D2491&lt;=$G$3,'calculated data '!$A$3,D2491&lt;=$G$4,'calculated data '!$A$4,D2491&lt;=$G$6,'calculated data '!$A$5,D2491&gt;=$G$6,'calculated data '!$A$6)</f>
        <v>Low Demand Tier</v>
      </c>
      <c r="F2491" s="10">
        <f t="shared" si="1"/>
        <v>-0.6042786957</v>
      </c>
    </row>
    <row r="2492" ht="14.25" customHeight="1">
      <c r="A2492" s="2" t="s">
        <v>175</v>
      </c>
      <c r="B2492" s="2" t="s">
        <v>176</v>
      </c>
      <c r="C2492" s="2">
        <v>1988.0</v>
      </c>
      <c r="D2492" s="9">
        <v>2225.8667</v>
      </c>
      <c r="E2492" s="10" t="str">
        <f t="array" ref="E2492">IFS(D2492&lt;=$G$3,'calculated data '!$A$3,D2492&lt;=$G$4,'calculated data '!$A$4,D2492&lt;=$G$6,'calculated data '!$A$5,D2492&gt;=$G$6,'calculated data '!$A$6)</f>
        <v>Low Demand Tier</v>
      </c>
      <c r="F2492" s="10">
        <f t="shared" si="1"/>
        <v>-0.6042533377</v>
      </c>
    </row>
    <row r="2493" ht="14.25" customHeight="1">
      <c r="A2493" s="2" t="s">
        <v>161</v>
      </c>
      <c r="B2493" s="2" t="s">
        <v>162</v>
      </c>
      <c r="C2493" s="2">
        <v>2001.0</v>
      </c>
      <c r="D2493" s="9">
        <v>2226.5974</v>
      </c>
      <c r="E2493" s="10" t="str">
        <f t="array" ref="E2493">IFS(D2493&lt;=$G$3,'calculated data '!$A$3,D2493&lt;=$G$4,'calculated data '!$A$4,D2493&lt;=$G$6,'calculated data '!$A$5,D2493&gt;=$G$6,'calculated data '!$A$6)</f>
        <v>Low Demand Tier</v>
      </c>
      <c r="F2493" s="10">
        <f t="shared" si="1"/>
        <v>-0.6042339963</v>
      </c>
    </row>
    <row r="2494" ht="14.25" customHeight="1">
      <c r="A2494" s="2" t="s">
        <v>169</v>
      </c>
      <c r="B2494" s="2" t="s">
        <v>170</v>
      </c>
      <c r="C2494" s="2">
        <v>2005.0</v>
      </c>
      <c r="D2494" s="9">
        <v>2229.57</v>
      </c>
      <c r="E2494" s="10" t="str">
        <f t="array" ref="E2494">IFS(D2494&lt;=$G$3,'calculated data '!$A$3,D2494&lt;=$G$4,'calculated data '!$A$4,D2494&lt;=$G$6,'calculated data '!$A$5,D2494&gt;=$G$6,'calculated data '!$A$6)</f>
        <v>Low Demand Tier</v>
      </c>
      <c r="F2494" s="10">
        <f t="shared" si="1"/>
        <v>-0.6041553123</v>
      </c>
    </row>
    <row r="2495" ht="14.25" customHeight="1">
      <c r="A2495" s="2" t="s">
        <v>159</v>
      </c>
      <c r="B2495" s="2" t="s">
        <v>160</v>
      </c>
      <c r="C2495" s="2">
        <v>1973.0</v>
      </c>
      <c r="D2495" s="9">
        <v>2230.9722</v>
      </c>
      <c r="E2495" s="10" t="str">
        <f t="array" ref="E2495">IFS(D2495&lt;=$G$3,'calculated data '!$A$3,D2495&lt;=$G$4,'calculated data '!$A$4,D2495&lt;=$G$6,'calculated data '!$A$5,D2495&gt;=$G$6,'calculated data '!$A$6)</f>
        <v>Low Demand Tier</v>
      </c>
      <c r="F2495" s="10">
        <f t="shared" si="1"/>
        <v>-0.6041181964</v>
      </c>
    </row>
    <row r="2496" ht="14.25" customHeight="1">
      <c r="A2496" s="2" t="s">
        <v>155</v>
      </c>
      <c r="B2496" s="2" t="s">
        <v>156</v>
      </c>
      <c r="C2496" s="2">
        <v>1988.0</v>
      </c>
      <c r="D2496" s="9">
        <v>2234.7717</v>
      </c>
      <c r="E2496" s="10" t="str">
        <f t="array" ref="E2496">IFS(D2496&lt;=$G$3,'calculated data '!$A$3,D2496&lt;=$G$4,'calculated data '!$A$4,D2496&lt;=$G$6,'calculated data '!$A$5,D2496&gt;=$G$6,'calculated data '!$A$6)</f>
        <v>Low Demand Tier</v>
      </c>
      <c r="F2496" s="10">
        <f t="shared" si="1"/>
        <v>-0.6040176246</v>
      </c>
    </row>
    <row r="2497" ht="14.25" customHeight="1">
      <c r="A2497" s="2" t="s">
        <v>117</v>
      </c>
      <c r="B2497" s="2" t="s">
        <v>118</v>
      </c>
      <c r="C2497" s="2">
        <v>1998.0</v>
      </c>
      <c r="D2497" s="9">
        <v>2238.1387</v>
      </c>
      <c r="E2497" s="10" t="str">
        <f t="array" ref="E2497">IFS(D2497&lt;=$G$3,'calculated data '!$A$3,D2497&lt;=$G$4,'calculated data '!$A$4,D2497&lt;=$G$6,'calculated data '!$A$5,D2497&gt;=$G$6,'calculated data '!$A$6)</f>
        <v>Low Demand Tier</v>
      </c>
      <c r="F2497" s="10">
        <f t="shared" si="1"/>
        <v>-0.6039285009</v>
      </c>
    </row>
    <row r="2498" ht="14.25" customHeight="1">
      <c r="A2498" s="2" t="s">
        <v>173</v>
      </c>
      <c r="B2498" s="2" t="s">
        <v>174</v>
      </c>
      <c r="C2498" s="2">
        <v>2021.0</v>
      </c>
      <c r="D2498" s="9">
        <v>2238.9692</v>
      </c>
      <c r="E2498" s="10" t="str">
        <f t="array" ref="E2498">IFS(D2498&lt;=$G$3,'calculated data '!$A$3,D2498&lt;=$G$4,'calculated data '!$A$4,D2498&lt;=$G$6,'calculated data '!$A$5,D2498&gt;=$G$6,'calculated data '!$A$6)</f>
        <v>Low Demand Tier</v>
      </c>
      <c r="F2498" s="10">
        <f t="shared" si="1"/>
        <v>-0.6039065178</v>
      </c>
    </row>
    <row r="2499" ht="14.25" customHeight="1">
      <c r="A2499" s="2" t="s">
        <v>197</v>
      </c>
      <c r="B2499" s="2" t="s">
        <v>198</v>
      </c>
      <c r="C2499" s="2">
        <v>1969.0</v>
      </c>
      <c r="D2499" s="9">
        <v>2243.5825</v>
      </c>
      <c r="E2499" s="10" t="str">
        <f t="array" ref="E2499">IFS(D2499&lt;=$G$3,'calculated data '!$A$3,D2499&lt;=$G$4,'calculated data '!$A$4,D2499&lt;=$G$6,'calculated data '!$A$5,D2499&gt;=$G$6,'calculated data '!$A$6)</f>
        <v>Low Demand Tier</v>
      </c>
      <c r="F2499" s="10">
        <f t="shared" si="1"/>
        <v>-0.6037844049</v>
      </c>
    </row>
    <row r="2500" ht="14.25" customHeight="1">
      <c r="A2500" s="2" t="s">
        <v>123</v>
      </c>
      <c r="B2500" s="2" t="s">
        <v>124</v>
      </c>
      <c r="C2500" s="2">
        <v>2016.0</v>
      </c>
      <c r="D2500" s="9">
        <v>2243.9683</v>
      </c>
      <c r="E2500" s="10" t="str">
        <f t="array" ref="E2500">IFS(D2500&lt;=$G$3,'calculated data '!$A$3,D2500&lt;=$G$4,'calculated data '!$A$4,D2500&lt;=$G$6,'calculated data '!$A$5,D2500&gt;=$G$6,'calculated data '!$A$6)</f>
        <v>Low Demand Tier</v>
      </c>
      <c r="F2500" s="10">
        <f t="shared" si="1"/>
        <v>-0.6037741929</v>
      </c>
    </row>
    <row r="2501" ht="14.25" customHeight="1">
      <c r="A2501" s="2" t="s">
        <v>165</v>
      </c>
      <c r="B2501" s="2" t="s">
        <v>166</v>
      </c>
      <c r="C2501" s="2">
        <v>1988.0</v>
      </c>
      <c r="D2501" s="9">
        <v>2244.0415</v>
      </c>
      <c r="E2501" s="10" t="str">
        <f t="array" ref="E2501">IFS(D2501&lt;=$G$3,'calculated data '!$A$3,D2501&lt;=$G$4,'calculated data '!$A$4,D2501&lt;=$G$6,'calculated data '!$A$5,D2501&gt;=$G$6,'calculated data '!$A$6)</f>
        <v>Low Demand Tier</v>
      </c>
      <c r="F2501" s="10">
        <f t="shared" si="1"/>
        <v>-0.6037722553</v>
      </c>
    </row>
    <row r="2502" ht="14.25" customHeight="1">
      <c r="A2502" s="2" t="s">
        <v>139</v>
      </c>
      <c r="B2502" s="2" t="s">
        <v>140</v>
      </c>
      <c r="C2502" s="2">
        <v>1999.0</v>
      </c>
      <c r="D2502" s="9">
        <v>2245.327</v>
      </c>
      <c r="E2502" s="10" t="str">
        <f t="array" ref="E2502">IFS(D2502&lt;=$G$3,'calculated data '!$A$3,D2502&lt;=$G$4,'calculated data '!$A$4,D2502&lt;=$G$6,'calculated data '!$A$5,D2502&gt;=$G$6,'calculated data '!$A$6)</f>
        <v>Low Demand Tier</v>
      </c>
      <c r="F2502" s="10">
        <f t="shared" si="1"/>
        <v>-0.6037382284</v>
      </c>
    </row>
    <row r="2503" ht="14.25" customHeight="1">
      <c r="A2503" s="2" t="s">
        <v>169</v>
      </c>
      <c r="B2503" s="2" t="s">
        <v>170</v>
      </c>
      <c r="C2503" s="2">
        <v>1984.0</v>
      </c>
      <c r="D2503" s="9">
        <v>2246.6765</v>
      </c>
      <c r="E2503" s="10" t="str">
        <f t="array" ref="E2503">IFS(D2503&lt;=$G$3,'calculated data '!$A$3,D2503&lt;=$G$4,'calculated data '!$A$4,D2503&lt;=$G$6,'calculated data '!$A$5,D2503&gt;=$G$6,'calculated data '!$A$6)</f>
        <v>Low Demand Tier</v>
      </c>
      <c r="F2503" s="10">
        <f t="shared" si="1"/>
        <v>-0.6037025075</v>
      </c>
    </row>
    <row r="2504" ht="14.25" customHeight="1">
      <c r="A2504" s="2" t="s">
        <v>191</v>
      </c>
      <c r="B2504" s="2" t="s">
        <v>192</v>
      </c>
      <c r="C2504" s="2">
        <v>1986.0</v>
      </c>
      <c r="D2504" s="9">
        <v>2246.7139</v>
      </c>
      <c r="E2504" s="10" t="str">
        <f t="array" ref="E2504">IFS(D2504&lt;=$G$3,'calculated data '!$A$3,D2504&lt;=$G$4,'calculated data '!$A$4,D2504&lt;=$G$6,'calculated data '!$A$5,D2504&gt;=$G$6,'calculated data '!$A$6)</f>
        <v>Low Demand Tier</v>
      </c>
      <c r="F2504" s="10">
        <f t="shared" si="1"/>
        <v>-0.6037015175</v>
      </c>
    </row>
    <row r="2505" ht="14.25" customHeight="1">
      <c r="A2505" s="2" t="s">
        <v>51</v>
      </c>
      <c r="B2505" s="2" t="s">
        <v>52</v>
      </c>
      <c r="C2505" s="2">
        <v>1997.0</v>
      </c>
      <c r="D2505" s="9">
        <v>2248.1418</v>
      </c>
      <c r="E2505" s="10" t="str">
        <f t="array" ref="E2505">IFS(D2505&lt;=$G$3,'calculated data '!$A$3,D2505&lt;=$G$4,'calculated data '!$A$4,D2505&lt;=$G$6,'calculated data '!$A$5,D2505&gt;=$G$6,'calculated data '!$A$6)</f>
        <v>Low Demand Tier</v>
      </c>
      <c r="F2505" s="10">
        <f t="shared" si="1"/>
        <v>-0.6036637214</v>
      </c>
    </row>
    <row r="2506" ht="14.25" customHeight="1">
      <c r="A2506" s="2" t="s">
        <v>199</v>
      </c>
      <c r="B2506" s="2" t="s">
        <v>200</v>
      </c>
      <c r="C2506" s="2">
        <v>1992.0</v>
      </c>
      <c r="D2506" s="9">
        <v>2252.7795</v>
      </c>
      <c r="E2506" s="10" t="str">
        <f t="array" ref="E2506">IFS(D2506&lt;=$G$3,'calculated data '!$A$3,D2506&lt;=$G$4,'calculated data '!$A$4,D2506&lt;=$G$6,'calculated data '!$A$5,D2506&gt;=$G$6,'calculated data '!$A$6)</f>
        <v>Low Demand Tier</v>
      </c>
      <c r="F2506" s="10">
        <f t="shared" si="1"/>
        <v>-0.6035409626</v>
      </c>
    </row>
    <row r="2507" ht="14.25" customHeight="1">
      <c r="A2507" s="2" t="s">
        <v>155</v>
      </c>
      <c r="B2507" s="2" t="s">
        <v>156</v>
      </c>
      <c r="C2507" s="2">
        <v>1983.0</v>
      </c>
      <c r="D2507" s="9">
        <v>2255.4402</v>
      </c>
      <c r="E2507" s="10" t="str">
        <f t="array" ref="E2507">IFS(D2507&lt;=$G$3,'calculated data '!$A$3,D2507&lt;=$G$4,'calculated data '!$A$4,D2507&lt;=$G$6,'calculated data '!$A$5,D2507&gt;=$G$6,'calculated data '!$A$6)</f>
        <v>Low Demand Tier</v>
      </c>
      <c r="F2507" s="10">
        <f t="shared" si="1"/>
        <v>-0.6034705345</v>
      </c>
    </row>
    <row r="2508" ht="14.25" customHeight="1">
      <c r="A2508" s="2" t="s">
        <v>167</v>
      </c>
      <c r="B2508" s="2" t="s">
        <v>168</v>
      </c>
      <c r="C2508" s="2">
        <v>2020.0</v>
      </c>
      <c r="D2508" s="9">
        <v>2256.092</v>
      </c>
      <c r="E2508" s="10" t="str">
        <f t="array" ref="E2508">IFS(D2508&lt;=$G$3,'calculated data '!$A$3,D2508&lt;=$G$4,'calculated data '!$A$4,D2508&lt;=$G$6,'calculated data '!$A$5,D2508&gt;=$G$6,'calculated data '!$A$6)</f>
        <v>Low Demand Tier</v>
      </c>
      <c r="F2508" s="10">
        <f t="shared" si="1"/>
        <v>-0.6034532816</v>
      </c>
    </row>
    <row r="2509" ht="14.25" customHeight="1">
      <c r="A2509" s="2" t="s">
        <v>187</v>
      </c>
      <c r="B2509" s="2" t="s">
        <v>188</v>
      </c>
      <c r="C2509" s="2">
        <v>1984.0</v>
      </c>
      <c r="D2509" s="9">
        <v>2258.297</v>
      </c>
      <c r="E2509" s="10" t="str">
        <f t="array" ref="E2509">IFS(D2509&lt;=$G$3,'calculated data '!$A$3,D2509&lt;=$G$4,'calculated data '!$A$4,D2509&lt;=$G$6,'calculated data '!$A$5,D2509&gt;=$G$6,'calculated data '!$A$6)</f>
        <v>Low Demand Tier</v>
      </c>
      <c r="F2509" s="10">
        <f t="shared" si="1"/>
        <v>-0.6033949158</v>
      </c>
    </row>
    <row r="2510" ht="14.25" customHeight="1">
      <c r="A2510" s="2" t="s">
        <v>201</v>
      </c>
      <c r="B2510" s="2" t="s">
        <v>202</v>
      </c>
      <c r="C2510" s="2">
        <v>2014.0</v>
      </c>
      <c r="D2510" s="9">
        <v>2261.8472</v>
      </c>
      <c r="E2510" s="10" t="str">
        <f t="array" ref="E2510">IFS(D2510&lt;=$G$3,'calculated data '!$A$3,D2510&lt;=$G$4,'calculated data '!$A$4,D2510&lt;=$G$6,'calculated data '!$A$5,D2510&gt;=$G$6,'calculated data '!$A$6)</f>
        <v>Low Demand Tier</v>
      </c>
      <c r="F2510" s="10">
        <f t="shared" si="1"/>
        <v>-0.6033009428</v>
      </c>
    </row>
    <row r="2511" ht="14.25" customHeight="1">
      <c r="A2511" s="2" t="s">
        <v>83</v>
      </c>
      <c r="B2511" s="2" t="s">
        <v>84</v>
      </c>
      <c r="C2511" s="2">
        <v>2011.0</v>
      </c>
      <c r="D2511" s="9">
        <v>2263.1633</v>
      </c>
      <c r="E2511" s="10" t="str">
        <f t="array" ref="E2511">IFS(D2511&lt;=$G$3,'calculated data '!$A$3,D2511&lt;=$G$4,'calculated data '!$A$4,D2511&lt;=$G$6,'calculated data '!$A$5,D2511&gt;=$G$6,'calculated data '!$A$6)</f>
        <v>Low Demand Tier</v>
      </c>
      <c r="F2511" s="10">
        <f t="shared" si="1"/>
        <v>-0.603266106</v>
      </c>
    </row>
    <row r="2512" ht="14.25" customHeight="1">
      <c r="A2512" s="2" t="s">
        <v>151</v>
      </c>
      <c r="B2512" s="2" t="s">
        <v>152</v>
      </c>
      <c r="C2512" s="2">
        <v>1987.0</v>
      </c>
      <c r="D2512" s="9">
        <v>2265.7617</v>
      </c>
      <c r="E2512" s="10" t="str">
        <f t="array" ref="E2512">IFS(D2512&lt;=$G$3,'calculated data '!$A$3,D2512&lt;=$G$4,'calculated data '!$A$4,D2512&lt;=$G$6,'calculated data '!$A$5,D2512&gt;=$G$6,'calculated data '!$A$6)</f>
        <v>Low Demand Tier</v>
      </c>
      <c r="F2512" s="10">
        <f t="shared" si="1"/>
        <v>-0.603197327</v>
      </c>
    </row>
    <row r="2513" ht="14.25" customHeight="1">
      <c r="A2513" s="2" t="s">
        <v>187</v>
      </c>
      <c r="B2513" s="2" t="s">
        <v>188</v>
      </c>
      <c r="C2513" s="2">
        <v>1988.0</v>
      </c>
      <c r="D2513" s="9">
        <v>2266.9397</v>
      </c>
      <c r="E2513" s="10" t="str">
        <f t="array" ref="E2513">IFS(D2513&lt;=$G$3,'calculated data '!$A$3,D2513&lt;=$G$4,'calculated data '!$A$4,D2513&lt;=$G$6,'calculated data '!$A$5,D2513&gt;=$G$6,'calculated data '!$A$6)</f>
        <v>Low Demand Tier</v>
      </c>
      <c r="F2513" s="10">
        <f t="shared" si="1"/>
        <v>-0.6031661456</v>
      </c>
    </row>
    <row r="2514" ht="14.25" customHeight="1">
      <c r="A2514" s="2" t="s">
        <v>213</v>
      </c>
      <c r="B2514" s="2" t="s">
        <v>214</v>
      </c>
      <c r="C2514" s="2">
        <v>1984.0</v>
      </c>
      <c r="D2514" s="9">
        <v>2268.5315</v>
      </c>
      <c r="E2514" s="10" t="str">
        <f t="array" ref="E2514">IFS(D2514&lt;=$G$3,'calculated data '!$A$3,D2514&lt;=$G$4,'calculated data '!$A$4,D2514&lt;=$G$6,'calculated data '!$A$5,D2514&gt;=$G$6,'calculated data '!$A$6)</f>
        <v>Low Demand Tier</v>
      </c>
      <c r="F2514" s="10">
        <f t="shared" si="1"/>
        <v>-0.6031240111</v>
      </c>
    </row>
    <row r="2515" ht="14.25" customHeight="1">
      <c r="A2515" s="2" t="s">
        <v>183</v>
      </c>
      <c r="B2515" s="2" t="s">
        <v>184</v>
      </c>
      <c r="C2515" s="2">
        <v>1970.0</v>
      </c>
      <c r="D2515" s="9">
        <v>2271.2517</v>
      </c>
      <c r="E2515" s="10" t="str">
        <f t="array" ref="E2515">IFS(D2515&lt;=$G$3,'calculated data '!$A$3,D2515&lt;=$G$4,'calculated data '!$A$4,D2515&lt;=$G$6,'calculated data '!$A$5,D2515&gt;=$G$6,'calculated data '!$A$6)</f>
        <v>Low Demand Tier</v>
      </c>
      <c r="F2515" s="10">
        <f t="shared" si="1"/>
        <v>-0.6030520081</v>
      </c>
    </row>
    <row r="2516" ht="14.25" customHeight="1">
      <c r="A2516" s="2" t="s">
        <v>173</v>
      </c>
      <c r="B2516" s="2" t="s">
        <v>174</v>
      </c>
      <c r="C2516" s="2">
        <v>1980.0</v>
      </c>
      <c r="D2516" s="9">
        <v>2272.2532</v>
      </c>
      <c r="E2516" s="10" t="str">
        <f t="array" ref="E2516">IFS(D2516&lt;=$G$3,'calculated data '!$A$3,D2516&lt;=$G$4,'calculated data '!$A$4,D2516&lt;=$G$6,'calculated data '!$A$5,D2516&gt;=$G$6,'calculated data '!$A$6)</f>
        <v>Low Demand Tier</v>
      </c>
      <c r="F2516" s="10">
        <f t="shared" si="1"/>
        <v>-0.6030254986</v>
      </c>
    </row>
    <row r="2517" ht="14.25" customHeight="1">
      <c r="A2517" s="2" t="s">
        <v>155</v>
      </c>
      <c r="B2517" s="2" t="s">
        <v>156</v>
      </c>
      <c r="C2517" s="2">
        <v>1984.0</v>
      </c>
      <c r="D2517" s="9">
        <v>2278.295</v>
      </c>
      <c r="E2517" s="10" t="str">
        <f t="array" ref="E2517">IFS(D2517&lt;=$G$3,'calculated data '!$A$3,D2517&lt;=$G$4,'calculated data '!$A$4,D2517&lt;=$G$6,'calculated data '!$A$5,D2517&gt;=$G$6,'calculated data '!$A$6)</f>
        <v>Low Demand Tier</v>
      </c>
      <c r="F2517" s="10">
        <f t="shared" si="1"/>
        <v>-0.6028655737</v>
      </c>
    </row>
    <row r="2518" ht="14.25" customHeight="1">
      <c r="A2518" s="2" t="s">
        <v>167</v>
      </c>
      <c r="B2518" s="2" t="s">
        <v>168</v>
      </c>
      <c r="C2518" s="2">
        <v>2017.0</v>
      </c>
      <c r="D2518" s="9">
        <v>2284.907</v>
      </c>
      <c r="E2518" s="10" t="str">
        <f t="array" ref="E2518">IFS(D2518&lt;=$G$3,'calculated data '!$A$3,D2518&lt;=$G$4,'calculated data '!$A$4,D2518&lt;=$G$6,'calculated data '!$A$5,D2518&gt;=$G$6,'calculated data '!$A$6)</f>
        <v>Low Demand Tier</v>
      </c>
      <c r="F2518" s="10">
        <f t="shared" si="1"/>
        <v>-0.6026905557</v>
      </c>
    </row>
    <row r="2519" ht="14.25" customHeight="1">
      <c r="A2519" s="2" t="s">
        <v>143</v>
      </c>
      <c r="B2519" s="2" t="s">
        <v>144</v>
      </c>
      <c r="C2519" s="2">
        <v>2003.0</v>
      </c>
      <c r="D2519" s="9">
        <v>2286.1047</v>
      </c>
      <c r="E2519" s="10" t="str">
        <f t="array" ref="E2519">IFS(D2519&lt;=$G$3,'calculated data '!$A$3,D2519&lt;=$G$4,'calculated data '!$A$4,D2519&lt;=$G$6,'calculated data '!$A$5,D2519&gt;=$G$6,'calculated data '!$A$6)</f>
        <v>Low Demand Tier</v>
      </c>
      <c r="F2519" s="10">
        <f t="shared" si="1"/>
        <v>-0.6026588529</v>
      </c>
    </row>
    <row r="2520" ht="14.25" customHeight="1">
      <c r="A2520" s="2" t="s">
        <v>217</v>
      </c>
      <c r="B2520" s="2" t="s">
        <v>218</v>
      </c>
      <c r="C2520" s="2">
        <v>1970.0</v>
      </c>
      <c r="D2520" s="9">
        <v>2286.3916</v>
      </c>
      <c r="E2520" s="10" t="str">
        <f t="array" ref="E2520">IFS(D2520&lt;=$G$3,'calculated data '!$A$3,D2520&lt;=$G$4,'calculated data '!$A$4,D2520&lt;=$G$6,'calculated data '!$A$5,D2520&gt;=$G$6,'calculated data '!$A$6)</f>
        <v>Low Demand Tier</v>
      </c>
      <c r="F2520" s="10">
        <f t="shared" si="1"/>
        <v>-0.6026512587</v>
      </c>
    </row>
    <row r="2521" ht="14.25" customHeight="1">
      <c r="A2521" s="2" t="s">
        <v>117</v>
      </c>
      <c r="B2521" s="2" t="s">
        <v>118</v>
      </c>
      <c r="C2521" s="2">
        <v>1999.0</v>
      </c>
      <c r="D2521" s="9">
        <v>2289.1348</v>
      </c>
      <c r="E2521" s="10" t="str">
        <f t="array" ref="E2521">IFS(D2521&lt;=$G$3,'calculated data '!$A$3,D2521&lt;=$G$4,'calculated data '!$A$4,D2521&lt;=$G$6,'calculated data '!$A$5,D2521&gt;=$G$6,'calculated data '!$A$6)</f>
        <v>Low Demand Tier</v>
      </c>
      <c r="F2521" s="10">
        <f t="shared" si="1"/>
        <v>-0.6025786469</v>
      </c>
    </row>
    <row r="2522" ht="14.25" customHeight="1">
      <c r="A2522" s="2" t="s">
        <v>213</v>
      </c>
      <c r="B2522" s="2" t="s">
        <v>214</v>
      </c>
      <c r="C2522" s="2">
        <v>1993.0</v>
      </c>
      <c r="D2522" s="9">
        <v>2289.9355</v>
      </c>
      <c r="E2522" s="10" t="str">
        <f t="array" ref="E2522">IFS(D2522&lt;=$G$3,'calculated data '!$A$3,D2522&lt;=$G$4,'calculated data '!$A$4,D2522&lt;=$G$6,'calculated data '!$A$5,D2522&gt;=$G$6,'calculated data '!$A$6)</f>
        <v>Low Demand Tier</v>
      </c>
      <c r="F2522" s="10">
        <f t="shared" si="1"/>
        <v>-0.6025574525</v>
      </c>
    </row>
    <row r="2523" ht="14.25" customHeight="1">
      <c r="A2523" s="2" t="s">
        <v>141</v>
      </c>
      <c r="B2523" s="2" t="s">
        <v>142</v>
      </c>
      <c r="C2523" s="2">
        <v>1972.0</v>
      </c>
      <c r="D2523" s="9">
        <v>2294.651</v>
      </c>
      <c r="E2523" s="10" t="str">
        <f t="array" ref="E2523">IFS(D2523&lt;=$G$3,'calculated data '!$A$3,D2523&lt;=$G$4,'calculated data '!$A$4,D2523&lt;=$G$6,'calculated data '!$A$5,D2523&gt;=$G$6,'calculated data '!$A$6)</f>
        <v>Low Demand Tier</v>
      </c>
      <c r="F2523" s="10">
        <f t="shared" si="1"/>
        <v>-0.6024326344</v>
      </c>
    </row>
    <row r="2524" ht="14.25" customHeight="1">
      <c r="A2524" s="2" t="s">
        <v>171</v>
      </c>
      <c r="B2524" s="2" t="s">
        <v>172</v>
      </c>
      <c r="C2524" s="2">
        <v>2020.0</v>
      </c>
      <c r="D2524" s="9">
        <v>2295.8994</v>
      </c>
      <c r="E2524" s="10" t="str">
        <f t="array" ref="E2524">IFS(D2524&lt;=$G$3,'calculated data '!$A$3,D2524&lt;=$G$4,'calculated data '!$A$4,D2524&lt;=$G$6,'calculated data '!$A$5,D2524&gt;=$G$6,'calculated data '!$A$6)</f>
        <v>Low Demand Tier</v>
      </c>
      <c r="F2524" s="10">
        <f t="shared" si="1"/>
        <v>-0.6023995896</v>
      </c>
    </row>
    <row r="2525" ht="14.25" customHeight="1">
      <c r="A2525" s="2" t="s">
        <v>175</v>
      </c>
      <c r="B2525" s="2" t="s">
        <v>176</v>
      </c>
      <c r="C2525" s="2">
        <v>1989.0</v>
      </c>
      <c r="D2525" s="9">
        <v>2297.8376</v>
      </c>
      <c r="E2525" s="10" t="str">
        <f t="array" ref="E2525">IFS(D2525&lt;=$G$3,'calculated data '!$A$3,D2525&lt;=$G$4,'calculated data '!$A$4,D2525&lt;=$G$6,'calculated data '!$A$5,D2525&gt;=$G$6,'calculated data '!$A$6)</f>
        <v>Low Demand Tier</v>
      </c>
      <c r="F2525" s="10">
        <f t="shared" si="1"/>
        <v>-0.6023482859</v>
      </c>
    </row>
    <row r="2526" ht="14.25" customHeight="1">
      <c r="A2526" s="2" t="s">
        <v>181</v>
      </c>
      <c r="B2526" s="2" t="s">
        <v>182</v>
      </c>
      <c r="C2526" s="2">
        <v>2004.0</v>
      </c>
      <c r="D2526" s="9">
        <v>2298.0054</v>
      </c>
      <c r="E2526" s="10" t="str">
        <f t="array" ref="E2526">IFS(D2526&lt;=$G$3,'calculated data '!$A$3,D2526&lt;=$G$4,'calculated data '!$A$4,D2526&lt;=$G$6,'calculated data '!$A$5,D2526&gt;=$G$6,'calculated data '!$A$6)</f>
        <v>Low Demand Tier</v>
      </c>
      <c r="F2526" s="10">
        <f t="shared" si="1"/>
        <v>-0.6023438443</v>
      </c>
    </row>
    <row r="2527" ht="14.25" customHeight="1">
      <c r="A2527" s="2" t="s">
        <v>169</v>
      </c>
      <c r="B2527" s="2" t="s">
        <v>170</v>
      </c>
      <c r="C2527" s="2">
        <v>1989.0</v>
      </c>
      <c r="D2527" s="9">
        <v>2300.9727</v>
      </c>
      <c r="E2527" s="10" t="str">
        <f t="array" ref="E2527">IFS(D2527&lt;=$G$3,'calculated data '!$A$3,D2527&lt;=$G$4,'calculated data '!$A$4,D2527&lt;=$G$6,'calculated data '!$A$5,D2527&gt;=$G$6,'calculated data '!$A$6)</f>
        <v>Low Demand Tier</v>
      </c>
      <c r="F2527" s="10">
        <f t="shared" si="1"/>
        <v>-0.6022653006</v>
      </c>
    </row>
    <row r="2528" ht="14.25" customHeight="1">
      <c r="A2528" s="2" t="s">
        <v>137</v>
      </c>
      <c r="B2528" s="2" t="s">
        <v>138</v>
      </c>
      <c r="C2528" s="2">
        <v>2016.0</v>
      </c>
      <c r="D2528" s="9">
        <v>2312.025</v>
      </c>
      <c r="E2528" s="10" t="str">
        <f t="array" ref="E2528">IFS(D2528&lt;=$G$3,'calculated data '!$A$3,D2528&lt;=$G$4,'calculated data '!$A$4,D2528&lt;=$G$6,'calculated data '!$A$5,D2528&gt;=$G$6,'calculated data '!$A$6)</f>
        <v>Low Demand Tier</v>
      </c>
      <c r="F2528" s="10">
        <f t="shared" si="1"/>
        <v>-0.601972749</v>
      </c>
    </row>
    <row r="2529" ht="14.25" customHeight="1">
      <c r="A2529" s="2" t="s">
        <v>207</v>
      </c>
      <c r="B2529" s="2" t="s">
        <v>208</v>
      </c>
      <c r="C2529" s="2">
        <v>1966.0</v>
      </c>
      <c r="D2529" s="9">
        <v>2314.3477</v>
      </c>
      <c r="E2529" s="10" t="str">
        <f t="array" ref="E2529">IFS(D2529&lt;=$G$3,'calculated data '!$A$3,D2529&lt;=$G$4,'calculated data '!$A$4,D2529&lt;=$G$6,'calculated data '!$A$5,D2529&gt;=$G$6,'calculated data '!$A$6)</f>
        <v>Low Demand Tier</v>
      </c>
      <c r="F2529" s="10">
        <f t="shared" si="1"/>
        <v>-0.6019112677</v>
      </c>
    </row>
    <row r="2530" ht="14.25" customHeight="1">
      <c r="A2530" s="2" t="s">
        <v>159</v>
      </c>
      <c r="B2530" s="2" t="s">
        <v>160</v>
      </c>
      <c r="C2530" s="2">
        <v>1974.0</v>
      </c>
      <c r="D2530" s="9">
        <v>2319.4993</v>
      </c>
      <c r="E2530" s="10" t="str">
        <f t="array" ref="E2530">IFS(D2530&lt;=$G$3,'calculated data '!$A$3,D2530&lt;=$G$4,'calculated data '!$A$4,D2530&lt;=$G$6,'calculated data '!$A$5,D2530&gt;=$G$6,'calculated data '!$A$6)</f>
        <v>Low Demand Tier</v>
      </c>
      <c r="F2530" s="10">
        <f t="shared" si="1"/>
        <v>-0.6017749061</v>
      </c>
    </row>
    <row r="2531" ht="14.25" customHeight="1">
      <c r="A2531" s="2" t="s">
        <v>219</v>
      </c>
      <c r="B2531" s="2" t="s">
        <v>220</v>
      </c>
      <c r="C2531" s="2">
        <v>1994.0</v>
      </c>
      <c r="D2531" s="9">
        <v>2325.1794</v>
      </c>
      <c r="E2531" s="10" t="str">
        <f t="array" ref="E2531">IFS(D2531&lt;=$G$3,'calculated data '!$A$3,D2531&lt;=$G$4,'calculated data '!$A$4,D2531&lt;=$G$6,'calculated data '!$A$5,D2531&gt;=$G$6,'calculated data '!$A$6)</f>
        <v>Low Demand Tier</v>
      </c>
      <c r="F2531" s="10">
        <f t="shared" si="1"/>
        <v>-0.6016245553</v>
      </c>
    </row>
    <row r="2532" ht="14.25" customHeight="1">
      <c r="A2532" s="2" t="s">
        <v>211</v>
      </c>
      <c r="B2532" s="2" t="s">
        <v>212</v>
      </c>
      <c r="C2532" s="2">
        <v>1985.0</v>
      </c>
      <c r="D2532" s="9">
        <v>2326.1035</v>
      </c>
      <c r="E2532" s="10" t="str">
        <f t="array" ref="E2532">IFS(D2532&lt;=$G$3,'calculated data '!$A$3,D2532&lt;=$G$4,'calculated data '!$A$4,D2532&lt;=$G$6,'calculated data '!$A$5,D2532&gt;=$G$6,'calculated data '!$A$6)</f>
        <v>Low Demand Tier</v>
      </c>
      <c r="F2532" s="10">
        <f t="shared" si="1"/>
        <v>-0.6016000946</v>
      </c>
    </row>
    <row r="2533" ht="14.25" customHeight="1">
      <c r="A2533" s="2" t="s">
        <v>181</v>
      </c>
      <c r="B2533" s="2" t="s">
        <v>182</v>
      </c>
      <c r="C2533" s="2">
        <v>2020.0</v>
      </c>
      <c r="D2533" s="9">
        <v>2326.4043</v>
      </c>
      <c r="E2533" s="10" t="str">
        <f t="array" ref="E2533">IFS(D2533&lt;=$G$3,'calculated data '!$A$3,D2533&lt;=$G$4,'calculated data '!$A$4,D2533&lt;=$G$6,'calculated data '!$A$5,D2533&gt;=$G$6,'calculated data '!$A$6)</f>
        <v>Low Demand Tier</v>
      </c>
      <c r="F2533" s="10">
        <f t="shared" si="1"/>
        <v>-0.6015921325</v>
      </c>
    </row>
    <row r="2534" ht="14.25" customHeight="1">
      <c r="A2534" s="2" t="s">
        <v>187</v>
      </c>
      <c r="B2534" s="2" t="s">
        <v>188</v>
      </c>
      <c r="C2534" s="2">
        <v>1983.0</v>
      </c>
      <c r="D2534" s="9">
        <v>2329.6643</v>
      </c>
      <c r="E2534" s="10" t="str">
        <f t="array" ref="E2534">IFS(D2534&lt;=$G$3,'calculated data '!$A$3,D2534&lt;=$G$4,'calculated data '!$A$4,D2534&lt;=$G$6,'calculated data '!$A$5,D2534&gt;=$G$6,'calculated data '!$A$6)</f>
        <v>Low Demand Tier</v>
      </c>
      <c r="F2534" s="10">
        <f t="shared" si="1"/>
        <v>-0.6015058411</v>
      </c>
    </row>
    <row r="2535" ht="14.25" customHeight="1">
      <c r="A2535" s="2" t="s">
        <v>169</v>
      </c>
      <c r="B2535" s="2" t="s">
        <v>170</v>
      </c>
      <c r="C2535" s="2">
        <v>2007.0</v>
      </c>
      <c r="D2535" s="9">
        <v>2330.3518</v>
      </c>
      <c r="E2535" s="10" t="str">
        <f t="array" ref="E2535">IFS(D2535&lt;=$G$3,'calculated data '!$A$3,D2535&lt;=$G$4,'calculated data '!$A$4,D2535&lt;=$G$6,'calculated data '!$A$5,D2535&gt;=$G$6,'calculated data '!$A$6)</f>
        <v>Low Demand Tier</v>
      </c>
      <c r="F2535" s="10">
        <f t="shared" si="1"/>
        <v>-0.6014876431</v>
      </c>
    </row>
    <row r="2536" ht="14.25" customHeight="1">
      <c r="A2536" s="2" t="s">
        <v>219</v>
      </c>
      <c r="B2536" s="2" t="s">
        <v>220</v>
      </c>
      <c r="C2536" s="2">
        <v>1997.0</v>
      </c>
      <c r="D2536" s="9">
        <v>2330.8098</v>
      </c>
      <c r="E2536" s="10" t="str">
        <f t="array" ref="E2536">IFS(D2536&lt;=$G$3,'calculated data '!$A$3,D2536&lt;=$G$4,'calculated data '!$A$4,D2536&lt;=$G$6,'calculated data '!$A$5,D2536&gt;=$G$6,'calculated data '!$A$6)</f>
        <v>Low Demand Tier</v>
      </c>
      <c r="F2536" s="10">
        <f t="shared" si="1"/>
        <v>-0.60147552</v>
      </c>
    </row>
    <row r="2537" ht="14.25" customHeight="1">
      <c r="A2537" s="2" t="s">
        <v>215</v>
      </c>
      <c r="B2537" s="2" t="s">
        <v>216</v>
      </c>
      <c r="C2537" s="2">
        <v>2021.0</v>
      </c>
      <c r="D2537" s="9">
        <v>2334.0188</v>
      </c>
      <c r="E2537" s="10" t="str">
        <f t="array" ref="E2537">IFS(D2537&lt;=$G$3,'calculated data '!$A$3,D2537&lt;=$G$4,'calculated data '!$A$4,D2537&lt;=$G$6,'calculated data '!$A$5,D2537&gt;=$G$6,'calculated data '!$A$6)</f>
        <v>Low Demand Tier</v>
      </c>
      <c r="F2537" s="10">
        <f t="shared" si="1"/>
        <v>-0.6013905786</v>
      </c>
    </row>
    <row r="2538" ht="14.25" customHeight="1">
      <c r="A2538" s="2" t="s">
        <v>213</v>
      </c>
      <c r="B2538" s="2" t="s">
        <v>214</v>
      </c>
      <c r="C2538" s="2">
        <v>1992.0</v>
      </c>
      <c r="D2538" s="9">
        <v>2336.5574</v>
      </c>
      <c r="E2538" s="10" t="str">
        <f t="array" ref="E2538">IFS(D2538&lt;=$G$3,'calculated data '!$A$3,D2538&lt;=$G$4,'calculated data '!$A$4,D2538&lt;=$G$6,'calculated data '!$A$5,D2538&gt;=$G$6,'calculated data '!$A$6)</f>
        <v>Low Demand Tier</v>
      </c>
      <c r="F2538" s="10">
        <f t="shared" si="1"/>
        <v>-0.6013233825</v>
      </c>
    </row>
    <row r="2539" ht="14.25" customHeight="1">
      <c r="A2539" s="2" t="s">
        <v>201</v>
      </c>
      <c r="B2539" s="2" t="s">
        <v>202</v>
      </c>
      <c r="C2539" s="2">
        <v>2013.0</v>
      </c>
      <c r="D2539" s="9">
        <v>2336.783</v>
      </c>
      <c r="E2539" s="10" t="str">
        <f t="array" ref="E2539">IFS(D2539&lt;=$G$3,'calculated data '!$A$3,D2539&lt;=$G$4,'calculated data '!$A$4,D2539&lt;=$G$6,'calculated data '!$A$5,D2539&gt;=$G$6,'calculated data '!$A$6)</f>
        <v>Low Demand Tier</v>
      </c>
      <c r="F2539" s="10">
        <f t="shared" si="1"/>
        <v>-0.6013174109</v>
      </c>
    </row>
    <row r="2540" ht="14.25" customHeight="1">
      <c r="A2540" s="2" t="s">
        <v>159</v>
      </c>
      <c r="B2540" s="2" t="s">
        <v>160</v>
      </c>
      <c r="C2540" s="2">
        <v>1975.0</v>
      </c>
      <c r="D2540" s="9">
        <v>2339.3572</v>
      </c>
      <c r="E2540" s="10" t="str">
        <f t="array" ref="E2540">IFS(D2540&lt;=$G$3,'calculated data '!$A$3,D2540&lt;=$G$4,'calculated data '!$A$4,D2540&lt;=$G$6,'calculated data '!$A$5,D2540&gt;=$G$6,'calculated data '!$A$6)</f>
        <v>Low Demand Tier</v>
      </c>
      <c r="F2540" s="10">
        <f t="shared" si="1"/>
        <v>-0.6012492725</v>
      </c>
    </row>
    <row r="2541" ht="14.25" customHeight="1">
      <c r="A2541" s="2" t="s">
        <v>151</v>
      </c>
      <c r="B2541" s="2" t="s">
        <v>152</v>
      </c>
      <c r="C2541" s="2">
        <v>1988.0</v>
      </c>
      <c r="D2541" s="9">
        <v>2341.2275</v>
      </c>
      <c r="E2541" s="10" t="str">
        <f t="array" ref="E2541">IFS(D2541&lt;=$G$3,'calculated data '!$A$3,D2541&lt;=$G$4,'calculated data '!$A$4,D2541&lt;=$G$6,'calculated data '!$A$5,D2541&gt;=$G$6,'calculated data '!$A$6)</f>
        <v>Low Demand Tier</v>
      </c>
      <c r="F2541" s="10">
        <f t="shared" si="1"/>
        <v>-0.6011997661</v>
      </c>
    </row>
    <row r="2542" ht="14.25" customHeight="1">
      <c r="A2542" s="2" t="s">
        <v>171</v>
      </c>
      <c r="B2542" s="2" t="s">
        <v>172</v>
      </c>
      <c r="C2542" s="2">
        <v>2016.0</v>
      </c>
      <c r="D2542" s="9">
        <v>2342.3403</v>
      </c>
      <c r="E2542" s="10" t="str">
        <f t="array" ref="E2542">IFS(D2542&lt;=$G$3,'calculated data '!$A$3,D2542&lt;=$G$4,'calculated data '!$A$4,D2542&lt;=$G$6,'calculated data '!$A$5,D2542&gt;=$G$6,'calculated data '!$A$6)</f>
        <v>Low Demand Tier</v>
      </c>
      <c r="F2542" s="10">
        <f t="shared" si="1"/>
        <v>-0.6011703105</v>
      </c>
    </row>
    <row r="2543" ht="14.25" customHeight="1">
      <c r="A2543" s="2" t="s">
        <v>175</v>
      </c>
      <c r="B2543" s="2" t="s">
        <v>176</v>
      </c>
      <c r="C2543" s="2">
        <v>1990.0</v>
      </c>
      <c r="D2543" s="9">
        <v>2342.9175</v>
      </c>
      <c r="E2543" s="10" t="str">
        <f t="array" ref="E2543">IFS(D2543&lt;=$G$3,'calculated data '!$A$3,D2543&lt;=$G$4,'calculated data '!$A$4,D2543&lt;=$G$6,'calculated data '!$A$5,D2543&gt;=$G$6,'calculated data '!$A$6)</f>
        <v>Low Demand Tier</v>
      </c>
      <c r="F2543" s="10">
        <f t="shared" si="1"/>
        <v>-0.6011550322</v>
      </c>
    </row>
    <row r="2544" ht="14.25" customHeight="1">
      <c r="A2544" s="2" t="s">
        <v>139</v>
      </c>
      <c r="B2544" s="2" t="s">
        <v>140</v>
      </c>
      <c r="C2544" s="2">
        <v>2001.0</v>
      </c>
      <c r="D2544" s="9">
        <v>2346.0134</v>
      </c>
      <c r="E2544" s="10" t="str">
        <f t="array" ref="E2544">IFS(D2544&lt;=$G$3,'calculated data '!$A$3,D2544&lt;=$G$4,'calculated data '!$A$4,D2544&lt;=$G$6,'calculated data '!$A$5,D2544&gt;=$G$6,'calculated data '!$A$6)</f>
        <v>Low Demand Tier</v>
      </c>
      <c r="F2544" s="10">
        <f t="shared" si="1"/>
        <v>-0.6010730845</v>
      </c>
    </row>
    <row r="2545" ht="14.25" customHeight="1">
      <c r="A2545" s="2" t="s">
        <v>199</v>
      </c>
      <c r="B2545" s="2" t="s">
        <v>200</v>
      </c>
      <c r="C2545" s="2">
        <v>1993.0</v>
      </c>
      <c r="D2545" s="9">
        <v>2347.6404</v>
      </c>
      <c r="E2545" s="10" t="str">
        <f t="array" ref="E2545">IFS(D2545&lt;=$G$3,'calculated data '!$A$3,D2545&lt;=$G$4,'calculated data '!$A$4,D2545&lt;=$G$6,'calculated data '!$A$5,D2545&gt;=$G$6,'calculated data '!$A$6)</f>
        <v>Low Demand Tier</v>
      </c>
      <c r="F2545" s="10">
        <f t="shared" si="1"/>
        <v>-0.6010300182</v>
      </c>
    </row>
    <row r="2546" ht="14.25" customHeight="1">
      <c r="A2546" s="2" t="s">
        <v>209</v>
      </c>
      <c r="B2546" s="2" t="s">
        <v>210</v>
      </c>
      <c r="C2546" s="2">
        <v>1991.0</v>
      </c>
      <c r="D2546" s="9">
        <v>2354.288</v>
      </c>
      <c r="E2546" s="10" t="str">
        <f t="array" ref="E2546">IFS(D2546&lt;=$G$3,'calculated data '!$A$3,D2546&lt;=$G$4,'calculated data '!$A$4,D2546&lt;=$G$6,'calculated data '!$A$5,D2546&gt;=$G$6,'calculated data '!$A$6)</f>
        <v>Low Demand Tier</v>
      </c>
      <c r="F2546" s="10">
        <f t="shared" si="1"/>
        <v>-0.6008540579</v>
      </c>
    </row>
    <row r="2547" ht="14.25" customHeight="1">
      <c r="A2547" s="2" t="s">
        <v>213</v>
      </c>
      <c r="B2547" s="2" t="s">
        <v>214</v>
      </c>
      <c r="C2547" s="2">
        <v>1994.0</v>
      </c>
      <c r="D2547" s="9">
        <v>2357.6055</v>
      </c>
      <c r="E2547" s="10" t="str">
        <f t="array" ref="E2547">IFS(D2547&lt;=$G$3,'calculated data '!$A$3,D2547&lt;=$G$4,'calculated data '!$A$4,D2547&lt;=$G$6,'calculated data '!$A$5,D2547&gt;=$G$6,'calculated data '!$A$6)</f>
        <v>Low Demand Tier</v>
      </c>
      <c r="F2547" s="10">
        <f t="shared" si="1"/>
        <v>-0.6007662445</v>
      </c>
    </row>
    <row r="2548" ht="14.25" customHeight="1">
      <c r="A2548" s="2" t="s">
        <v>129</v>
      </c>
      <c r="B2548" s="2" t="s">
        <v>130</v>
      </c>
      <c r="C2548" s="2">
        <v>1984.0</v>
      </c>
      <c r="D2548" s="9">
        <v>2358.3782</v>
      </c>
      <c r="E2548" s="10" t="str">
        <f t="array" ref="E2548">IFS(D2548&lt;=$G$3,'calculated data '!$A$3,D2548&lt;=$G$4,'calculated data '!$A$4,D2548&lt;=$G$6,'calculated data '!$A$5,D2548&gt;=$G$6,'calculated data '!$A$6)</f>
        <v>Low Demand Tier</v>
      </c>
      <c r="F2548" s="10">
        <f t="shared" si="1"/>
        <v>-0.6007457913</v>
      </c>
    </row>
    <row r="2549" ht="14.25" customHeight="1">
      <c r="A2549" s="2" t="s">
        <v>51</v>
      </c>
      <c r="B2549" s="2" t="s">
        <v>52</v>
      </c>
      <c r="C2549" s="2">
        <v>2000.0</v>
      </c>
      <c r="D2549" s="9">
        <v>2358.4924</v>
      </c>
      <c r="E2549" s="10" t="str">
        <f t="array" ref="E2549">IFS(D2549&lt;=$G$3,'calculated data '!$A$3,D2549&lt;=$G$4,'calculated data '!$A$4,D2549&lt;=$G$6,'calculated data '!$A$5,D2549&gt;=$G$6,'calculated data '!$A$6)</f>
        <v>Low Demand Tier</v>
      </c>
      <c r="F2549" s="10">
        <f t="shared" si="1"/>
        <v>-0.6007427685</v>
      </c>
    </row>
    <row r="2550" ht="14.25" customHeight="1">
      <c r="A2550" s="2" t="s">
        <v>167</v>
      </c>
      <c r="B2550" s="2" t="s">
        <v>168</v>
      </c>
      <c r="C2550" s="2">
        <v>2022.0</v>
      </c>
      <c r="D2550" s="9">
        <v>2363.2092</v>
      </c>
      <c r="E2550" s="10" t="str">
        <f t="array" ref="E2550">IFS(D2550&lt;=$G$3,'calculated data '!$A$3,D2550&lt;=$G$4,'calculated data '!$A$4,D2550&lt;=$G$6,'calculated data '!$A$5,D2550&gt;=$G$6,'calculated data '!$A$6)</f>
        <v>Low Demand Tier</v>
      </c>
      <c r="F2550" s="10">
        <f t="shared" si="1"/>
        <v>-0.600617916</v>
      </c>
    </row>
    <row r="2551" ht="14.25" customHeight="1">
      <c r="A2551" s="2" t="s">
        <v>193</v>
      </c>
      <c r="B2551" s="2" t="s">
        <v>194</v>
      </c>
      <c r="C2551" s="2">
        <v>1968.0</v>
      </c>
      <c r="D2551" s="9">
        <v>2365.1038</v>
      </c>
      <c r="E2551" s="10" t="str">
        <f t="array" ref="E2551">IFS(D2551&lt;=$G$3,'calculated data '!$A$3,D2551&lt;=$G$4,'calculated data '!$A$4,D2551&lt;=$G$6,'calculated data '!$A$5,D2551&gt;=$G$6,'calculated data '!$A$6)</f>
        <v>Low Demand Tier</v>
      </c>
      <c r="F2551" s="10">
        <f t="shared" si="1"/>
        <v>-0.6005677664</v>
      </c>
    </row>
    <row r="2552" ht="14.25" customHeight="1">
      <c r="A2552" s="2" t="s">
        <v>173</v>
      </c>
      <c r="B2552" s="2" t="s">
        <v>174</v>
      </c>
      <c r="C2552" s="2">
        <v>1981.0</v>
      </c>
      <c r="D2552" s="9">
        <v>2366.3591</v>
      </c>
      <c r="E2552" s="10" t="str">
        <f t="array" ref="E2552">IFS(D2552&lt;=$G$3,'calculated data '!$A$3,D2552&lt;=$G$4,'calculated data '!$A$4,D2552&lt;=$G$6,'calculated data '!$A$5,D2552&gt;=$G$6,'calculated data '!$A$6)</f>
        <v>Low Demand Tier</v>
      </c>
      <c r="F2552" s="10">
        <f t="shared" si="1"/>
        <v>-0.6005345389</v>
      </c>
    </row>
    <row r="2553" ht="14.25" customHeight="1">
      <c r="A2553" s="2" t="s">
        <v>141</v>
      </c>
      <c r="B2553" s="2" t="s">
        <v>142</v>
      </c>
      <c r="C2553" s="2">
        <v>1973.0</v>
      </c>
      <c r="D2553" s="9">
        <v>2367.4941</v>
      </c>
      <c r="E2553" s="10" t="str">
        <f t="array" ref="E2553">IFS(D2553&lt;=$G$3,'calculated data '!$A$3,D2553&lt;=$G$4,'calculated data '!$A$4,D2553&lt;=$G$6,'calculated data '!$A$5,D2553&gt;=$G$6,'calculated data '!$A$6)</f>
        <v>Low Demand Tier</v>
      </c>
      <c r="F2553" s="10">
        <f t="shared" si="1"/>
        <v>-0.6005044957</v>
      </c>
    </row>
    <row r="2554" ht="14.25" customHeight="1">
      <c r="A2554" s="2" t="s">
        <v>211</v>
      </c>
      <c r="B2554" s="2" t="s">
        <v>212</v>
      </c>
      <c r="C2554" s="2">
        <v>1986.0</v>
      </c>
      <c r="D2554" s="9">
        <v>2370.8237</v>
      </c>
      <c r="E2554" s="10" t="str">
        <f t="array" ref="E2554">IFS(D2554&lt;=$G$3,'calculated data '!$A$3,D2554&lt;=$G$4,'calculated data '!$A$4,D2554&lt;=$G$6,'calculated data '!$A$5,D2554&gt;=$G$6,'calculated data '!$A$6)</f>
        <v>Low Demand Tier</v>
      </c>
      <c r="F2554" s="10">
        <f t="shared" si="1"/>
        <v>-0.600416362</v>
      </c>
    </row>
    <row r="2555" ht="14.25" customHeight="1">
      <c r="A2555" s="2" t="s">
        <v>93</v>
      </c>
      <c r="B2555" s="2" t="s">
        <v>94</v>
      </c>
      <c r="C2555" s="2">
        <v>2019.0</v>
      </c>
      <c r="D2555" s="9">
        <v>2371.6765</v>
      </c>
      <c r="E2555" s="10" t="str">
        <f t="array" ref="E2555">IFS(D2555&lt;=$G$3,'calculated data '!$A$3,D2555&lt;=$G$4,'calculated data '!$A$4,D2555&lt;=$G$6,'calculated data '!$A$5,D2555&gt;=$G$6,'calculated data '!$A$6)</f>
        <v>Low Demand Tier</v>
      </c>
      <c r="F2555" s="10">
        <f t="shared" si="1"/>
        <v>-0.6003937886</v>
      </c>
    </row>
    <row r="2556" ht="14.25" customHeight="1">
      <c r="A2556" s="2" t="s">
        <v>109</v>
      </c>
      <c r="B2556" s="2" t="s">
        <v>110</v>
      </c>
      <c r="C2556" s="2">
        <v>1986.0</v>
      </c>
      <c r="D2556" s="9">
        <v>2371.911</v>
      </c>
      <c r="E2556" s="10" t="str">
        <f t="array" ref="E2556">IFS(D2556&lt;=$G$3,'calculated data '!$A$3,D2556&lt;=$G$4,'calculated data '!$A$4,D2556&lt;=$G$6,'calculated data '!$A$5,D2556&gt;=$G$6,'calculated data '!$A$6)</f>
        <v>Low Demand Tier</v>
      </c>
      <c r="F2556" s="10">
        <f t="shared" si="1"/>
        <v>-0.6003875815</v>
      </c>
    </row>
    <row r="2557" ht="14.25" customHeight="1">
      <c r="A2557" s="2" t="s">
        <v>161</v>
      </c>
      <c r="B2557" s="2" t="s">
        <v>162</v>
      </c>
      <c r="C2557" s="2">
        <v>2003.0</v>
      </c>
      <c r="D2557" s="9">
        <v>2372.7124</v>
      </c>
      <c r="E2557" s="10" t="str">
        <f t="array" ref="E2557">IFS(D2557&lt;=$G$3,'calculated data '!$A$3,D2557&lt;=$G$4,'calculated data '!$A$4,D2557&lt;=$G$6,'calculated data '!$A$5,D2557&gt;=$G$6,'calculated data '!$A$6)</f>
        <v>Low Demand Tier</v>
      </c>
      <c r="F2557" s="10">
        <f t="shared" si="1"/>
        <v>-0.6003663686</v>
      </c>
    </row>
    <row r="2558" ht="14.25" customHeight="1">
      <c r="A2558" s="2" t="s">
        <v>93</v>
      </c>
      <c r="B2558" s="2" t="s">
        <v>94</v>
      </c>
      <c r="C2558" s="2">
        <v>2016.0</v>
      </c>
      <c r="D2558" s="9">
        <v>2373.231</v>
      </c>
      <c r="E2558" s="10" t="str">
        <f t="array" ref="E2558">IFS(D2558&lt;=$G$3,'calculated data '!$A$3,D2558&lt;=$G$4,'calculated data '!$A$4,D2558&lt;=$G$6,'calculated data '!$A$5,D2558&gt;=$G$6,'calculated data '!$A$6)</f>
        <v>Low Demand Tier</v>
      </c>
      <c r="F2558" s="10">
        <f t="shared" si="1"/>
        <v>-0.6003526414</v>
      </c>
    </row>
    <row r="2559" ht="14.25" customHeight="1">
      <c r="A2559" s="2" t="s">
        <v>205</v>
      </c>
      <c r="B2559" s="2" t="s">
        <v>206</v>
      </c>
      <c r="C2559" s="2">
        <v>1971.0</v>
      </c>
      <c r="D2559" s="9">
        <v>2373.8513</v>
      </c>
      <c r="E2559" s="10" t="str">
        <f t="array" ref="E2559">IFS(D2559&lt;=$G$3,'calculated data '!$A$3,D2559&lt;=$G$4,'calculated data '!$A$4,D2559&lt;=$G$6,'calculated data '!$A$5,D2559&gt;=$G$6,'calculated data '!$A$6)</f>
        <v>Low Demand Tier</v>
      </c>
      <c r="F2559" s="10">
        <f t="shared" si="1"/>
        <v>-0.6003362222</v>
      </c>
    </row>
    <row r="2560" ht="14.25" customHeight="1">
      <c r="A2560" s="2" t="s">
        <v>219</v>
      </c>
      <c r="B2560" s="2" t="s">
        <v>220</v>
      </c>
      <c r="C2560" s="2">
        <v>1983.0</v>
      </c>
      <c r="D2560" s="9">
        <v>2374.7932</v>
      </c>
      <c r="E2560" s="10" t="str">
        <f t="array" ref="E2560">IFS(D2560&lt;=$G$3,'calculated data '!$A$3,D2560&lt;=$G$4,'calculated data '!$A$4,D2560&lt;=$G$6,'calculated data '!$A$5,D2560&gt;=$G$6,'calculated data '!$A$6)</f>
        <v>Low Demand Tier</v>
      </c>
      <c r="F2560" s="10">
        <f t="shared" si="1"/>
        <v>-0.6003112904</v>
      </c>
    </row>
    <row r="2561" ht="14.25" customHeight="1">
      <c r="A2561" s="2" t="s">
        <v>205</v>
      </c>
      <c r="B2561" s="2" t="s">
        <v>206</v>
      </c>
      <c r="C2561" s="2">
        <v>1970.0</v>
      </c>
      <c r="D2561" s="9">
        <v>2375.6748</v>
      </c>
      <c r="E2561" s="10" t="str">
        <f t="array" ref="E2561">IFS(D2561&lt;=$G$3,'calculated data '!$A$3,D2561&lt;=$G$4,'calculated data '!$A$4,D2561&lt;=$G$6,'calculated data '!$A$5,D2561&gt;=$G$6,'calculated data '!$A$6)</f>
        <v>Low Demand Tier</v>
      </c>
      <c r="F2561" s="10">
        <f t="shared" si="1"/>
        <v>-0.6002879546</v>
      </c>
    </row>
    <row r="2562" ht="14.25" customHeight="1">
      <c r="A2562" s="2" t="s">
        <v>141</v>
      </c>
      <c r="B2562" s="2" t="s">
        <v>142</v>
      </c>
      <c r="C2562" s="2">
        <v>1974.0</v>
      </c>
      <c r="D2562" s="9">
        <v>2376.668</v>
      </c>
      <c r="E2562" s="10" t="str">
        <f t="array" ref="E2562">IFS(D2562&lt;=$G$3,'calculated data '!$A$3,D2562&lt;=$G$4,'calculated data '!$A$4,D2562&lt;=$G$6,'calculated data '!$A$5,D2562&gt;=$G$6,'calculated data '!$A$6)</f>
        <v>Low Demand Tier</v>
      </c>
      <c r="F2562" s="10">
        <f t="shared" si="1"/>
        <v>-0.6002616649</v>
      </c>
    </row>
    <row r="2563" ht="14.25" customHeight="1">
      <c r="A2563" s="2" t="s">
        <v>215</v>
      </c>
      <c r="B2563" s="2" t="s">
        <v>216</v>
      </c>
      <c r="C2563" s="2">
        <v>2009.0</v>
      </c>
      <c r="D2563" s="9">
        <v>2379.0295</v>
      </c>
      <c r="E2563" s="10" t="str">
        <f t="array" ref="E2563">IFS(D2563&lt;=$G$3,'calculated data '!$A$3,D2563&lt;=$G$4,'calculated data '!$A$4,D2563&lt;=$G$6,'calculated data '!$A$5,D2563&gt;=$G$6,'calculated data '!$A$6)</f>
        <v>Low Demand Tier</v>
      </c>
      <c r="F2563" s="10">
        <f t="shared" si="1"/>
        <v>-0.6001991566</v>
      </c>
    </row>
    <row r="2564" ht="14.25" customHeight="1">
      <c r="A2564" s="2" t="s">
        <v>113</v>
      </c>
      <c r="B2564" s="2" t="s">
        <v>114</v>
      </c>
      <c r="C2564" s="2">
        <v>2023.0</v>
      </c>
      <c r="D2564" s="9">
        <v>2383.6958</v>
      </c>
      <c r="E2564" s="10" t="str">
        <f t="array" ref="E2564">IFS(D2564&lt;=$G$3,'calculated data '!$A$3,D2564&lt;=$G$4,'calculated data '!$A$4,D2564&lt;=$G$6,'calculated data '!$A$5,D2564&gt;=$G$6,'calculated data '!$A$6)</f>
        <v>Low Demand Tier</v>
      </c>
      <c r="F2564" s="10">
        <f t="shared" si="1"/>
        <v>-0.6000756408</v>
      </c>
    </row>
    <row r="2565" ht="14.25" customHeight="1">
      <c r="A2565" s="2" t="s">
        <v>167</v>
      </c>
      <c r="B2565" s="2" t="s">
        <v>168</v>
      </c>
      <c r="C2565" s="2">
        <v>2018.0</v>
      </c>
      <c r="D2565" s="9">
        <v>2383.9285</v>
      </c>
      <c r="E2565" s="10" t="str">
        <f t="array" ref="E2565">IFS(D2565&lt;=$G$3,'calculated data '!$A$3,D2565&lt;=$G$4,'calculated data '!$A$4,D2565&lt;=$G$6,'calculated data '!$A$5,D2565&gt;=$G$6,'calculated data '!$A$6)</f>
        <v>Low Demand Tier</v>
      </c>
      <c r="F2565" s="10">
        <f t="shared" si="1"/>
        <v>-0.6000694812</v>
      </c>
    </row>
    <row r="2566" ht="14.25" customHeight="1">
      <c r="A2566" s="2" t="s">
        <v>139</v>
      </c>
      <c r="B2566" s="2" t="s">
        <v>140</v>
      </c>
      <c r="C2566" s="2">
        <v>2004.0</v>
      </c>
      <c r="D2566" s="9">
        <v>2384.9563</v>
      </c>
      <c r="E2566" s="10" t="str">
        <f t="array" ref="E2566">IFS(D2566&lt;=$G$3,'calculated data '!$A$3,D2566&lt;=$G$4,'calculated data '!$A$4,D2566&lt;=$G$6,'calculated data '!$A$5,D2566&gt;=$G$6,'calculated data '!$A$6)</f>
        <v>Low Demand Tier</v>
      </c>
      <c r="F2566" s="10">
        <f t="shared" si="1"/>
        <v>-0.6000422756</v>
      </c>
    </row>
    <row r="2567" ht="14.25" customHeight="1">
      <c r="A2567" s="2" t="s">
        <v>205</v>
      </c>
      <c r="B2567" s="2" t="s">
        <v>206</v>
      </c>
      <c r="C2567" s="2">
        <v>1973.0</v>
      </c>
      <c r="D2567" s="9">
        <v>2384.999</v>
      </c>
      <c r="E2567" s="10" t="str">
        <f t="array" ref="E2567">IFS(D2567&lt;=$G$3,'calculated data '!$A$3,D2567&lt;=$G$4,'calculated data '!$A$4,D2567&lt;=$G$6,'calculated data '!$A$5,D2567&gt;=$G$6,'calculated data '!$A$6)</f>
        <v>Low Demand Tier</v>
      </c>
      <c r="F2567" s="10">
        <f t="shared" si="1"/>
        <v>-0.6000411454</v>
      </c>
    </row>
    <row r="2568" ht="14.25" customHeight="1">
      <c r="A2568" s="2" t="s">
        <v>213</v>
      </c>
      <c r="B2568" s="2" t="s">
        <v>214</v>
      </c>
      <c r="C2568" s="2">
        <v>1989.0</v>
      </c>
      <c r="D2568" s="9">
        <v>2386.382</v>
      </c>
      <c r="E2568" s="10" t="str">
        <f t="array" ref="E2568">IFS(D2568&lt;=$G$3,'calculated data '!$A$3,D2568&lt;=$G$4,'calculated data '!$A$4,D2568&lt;=$G$6,'calculated data '!$A$5,D2568&gt;=$G$6,'calculated data '!$A$6)</f>
        <v>Low Demand Tier</v>
      </c>
      <c r="F2568" s="10">
        <f t="shared" si="1"/>
        <v>-0.6000045377</v>
      </c>
    </row>
    <row r="2569" ht="14.25" customHeight="1">
      <c r="A2569" s="2" t="s">
        <v>165</v>
      </c>
      <c r="B2569" s="2" t="s">
        <v>166</v>
      </c>
      <c r="C2569" s="2">
        <v>1989.0</v>
      </c>
      <c r="D2569" s="9">
        <v>2387.802</v>
      </c>
      <c r="E2569" s="10" t="str">
        <f t="array" ref="E2569">IFS(D2569&lt;=$G$3,'calculated data '!$A$3,D2569&lt;=$G$4,'calculated data '!$A$4,D2569&lt;=$G$6,'calculated data '!$A$5,D2569&gt;=$G$6,'calculated data '!$A$6)</f>
        <v>Low Demand Tier</v>
      </c>
      <c r="F2569" s="10">
        <f t="shared" si="1"/>
        <v>-0.5999669507</v>
      </c>
    </row>
    <row r="2570" ht="14.25" customHeight="1">
      <c r="A2570" s="2" t="s">
        <v>167</v>
      </c>
      <c r="B2570" s="2" t="s">
        <v>168</v>
      </c>
      <c r="C2570" s="2">
        <v>2021.0</v>
      </c>
      <c r="D2570" s="9">
        <v>2388.635</v>
      </c>
      <c r="E2570" s="10" t="str">
        <f t="array" ref="E2570">IFS(D2570&lt;=$G$3,'calculated data '!$A$3,D2570&lt;=$G$4,'calculated data '!$A$4,D2570&lt;=$G$6,'calculated data '!$A$5,D2570&gt;=$G$6,'calculated data '!$A$6)</f>
        <v>Low Demand Tier</v>
      </c>
      <c r="F2570" s="10">
        <f t="shared" si="1"/>
        <v>-0.5999449014</v>
      </c>
    </row>
    <row r="2571" ht="14.25" customHeight="1">
      <c r="A2571" s="2" t="s">
        <v>179</v>
      </c>
      <c r="B2571" s="2" t="s">
        <v>180</v>
      </c>
      <c r="C2571" s="2">
        <v>2024.0</v>
      </c>
      <c r="D2571" s="9">
        <v>2391.3735</v>
      </c>
      <c r="E2571" s="10" t="str">
        <f t="array" ref="E2571">IFS(D2571&lt;=$G$3,'calculated data '!$A$3,D2571&lt;=$G$4,'calculated data '!$A$4,D2571&lt;=$G$6,'calculated data '!$A$5,D2571&gt;=$G$6,'calculated data '!$A$6)</f>
        <v>Low Demand Tier</v>
      </c>
      <c r="F2571" s="10">
        <f t="shared" si="1"/>
        <v>-0.5998724139</v>
      </c>
    </row>
    <row r="2572" ht="14.25" customHeight="1">
      <c r="A2572" s="2" t="s">
        <v>217</v>
      </c>
      <c r="B2572" s="2" t="s">
        <v>218</v>
      </c>
      <c r="C2572" s="2">
        <v>1971.0</v>
      </c>
      <c r="D2572" s="9">
        <v>2391.559</v>
      </c>
      <c r="E2572" s="10" t="str">
        <f t="array" ref="E2572">IFS(D2572&lt;=$G$3,'calculated data '!$A$3,D2572&lt;=$G$4,'calculated data '!$A$4,D2572&lt;=$G$6,'calculated data '!$A$5,D2572&gt;=$G$6,'calculated data '!$A$6)</f>
        <v>Low Demand Tier</v>
      </c>
      <c r="F2572" s="10">
        <f t="shared" si="1"/>
        <v>-0.5998675038</v>
      </c>
    </row>
    <row r="2573" ht="14.25" customHeight="1">
      <c r="A2573" s="2" t="s">
        <v>21</v>
      </c>
      <c r="B2573" s="2" t="s">
        <v>22</v>
      </c>
      <c r="C2573" s="2">
        <v>2016.0</v>
      </c>
      <c r="D2573" s="9">
        <v>2393.7778</v>
      </c>
      <c r="E2573" s="10" t="str">
        <f t="array" ref="E2573">IFS(D2573&lt;=$G$3,'calculated data '!$A$3,D2573&lt;=$G$4,'calculated data '!$A$4,D2573&lt;=$G$6,'calculated data '!$A$5,D2573&gt;=$G$6,'calculated data '!$A$6)</f>
        <v>Low Demand Tier</v>
      </c>
      <c r="F2573" s="10">
        <f t="shared" si="1"/>
        <v>-0.5998087727</v>
      </c>
    </row>
    <row r="2574" ht="14.25" customHeight="1">
      <c r="A2574" s="2" t="s">
        <v>157</v>
      </c>
      <c r="B2574" s="2" t="s">
        <v>158</v>
      </c>
      <c r="C2574" s="2">
        <v>2004.0</v>
      </c>
      <c r="D2574" s="9">
        <v>2394.5562</v>
      </c>
      <c r="E2574" s="10" t="str">
        <f t="array" ref="E2574">IFS(D2574&lt;=$G$3,'calculated data '!$A$3,D2574&lt;=$G$4,'calculated data '!$A$4,D2574&lt;=$G$6,'calculated data '!$A$5,D2574&gt;=$G$6,'calculated data '!$A$6)</f>
        <v>Low Demand Tier</v>
      </c>
      <c r="F2574" s="10">
        <f t="shared" si="1"/>
        <v>-0.5997881687</v>
      </c>
    </row>
    <row r="2575" ht="14.25" customHeight="1">
      <c r="A2575" s="2" t="s">
        <v>219</v>
      </c>
      <c r="B2575" s="2" t="s">
        <v>220</v>
      </c>
      <c r="C2575" s="2">
        <v>2000.0</v>
      </c>
      <c r="D2575" s="9">
        <v>2395.11</v>
      </c>
      <c r="E2575" s="10" t="str">
        <f t="array" ref="E2575">IFS(D2575&lt;=$G$3,'calculated data '!$A$3,D2575&lt;=$G$4,'calculated data '!$A$4,D2575&lt;=$G$6,'calculated data '!$A$5,D2575&gt;=$G$6,'calculated data '!$A$6)</f>
        <v>Low Demand Tier</v>
      </c>
      <c r="F2575" s="10">
        <f t="shared" si="1"/>
        <v>-0.5997735097</v>
      </c>
    </row>
    <row r="2576" ht="14.25" customHeight="1">
      <c r="A2576" s="2" t="s">
        <v>187</v>
      </c>
      <c r="B2576" s="2" t="s">
        <v>188</v>
      </c>
      <c r="C2576" s="2">
        <v>2000.0</v>
      </c>
      <c r="D2576" s="9">
        <v>2397.984</v>
      </c>
      <c r="E2576" s="10" t="str">
        <f t="array" ref="E2576">IFS(D2576&lt;=$G$3,'calculated data '!$A$3,D2576&lt;=$G$4,'calculated data '!$A$4,D2576&lt;=$G$6,'calculated data '!$A$5,D2576&gt;=$G$6,'calculated data '!$A$6)</f>
        <v>Low Demand Tier</v>
      </c>
      <c r="F2576" s="10">
        <f t="shared" si="1"/>
        <v>-0.5996974357</v>
      </c>
    </row>
    <row r="2577" ht="14.25" customHeight="1">
      <c r="A2577" s="2" t="s">
        <v>175</v>
      </c>
      <c r="B2577" s="2" t="s">
        <v>176</v>
      </c>
      <c r="C2577" s="2">
        <v>1991.0</v>
      </c>
      <c r="D2577" s="9">
        <v>2398.8079</v>
      </c>
      <c r="E2577" s="10" t="str">
        <f t="array" ref="E2577">IFS(D2577&lt;=$G$3,'calculated data '!$A$3,D2577&lt;=$G$4,'calculated data '!$A$4,D2577&lt;=$G$6,'calculated data '!$A$5,D2577&gt;=$G$6,'calculated data '!$A$6)</f>
        <v>Low Demand Tier</v>
      </c>
      <c r="F2577" s="10">
        <f t="shared" si="1"/>
        <v>-0.5996756272</v>
      </c>
    </row>
    <row r="2578" ht="14.25" customHeight="1">
      <c r="A2578" s="2" t="s">
        <v>219</v>
      </c>
      <c r="B2578" s="2" t="s">
        <v>220</v>
      </c>
      <c r="C2578" s="2">
        <v>1982.0</v>
      </c>
      <c r="D2578" s="9">
        <v>2400.7314</v>
      </c>
      <c r="E2578" s="10" t="str">
        <f t="array" ref="E2578">IFS(D2578&lt;=$G$3,'calculated data '!$A$3,D2578&lt;=$G$4,'calculated data '!$A$4,D2578&lt;=$G$6,'calculated data '!$A$5,D2578&gt;=$G$6,'calculated data '!$A$6)</f>
        <v>Low Demand Tier</v>
      </c>
      <c r="F2578" s="10">
        <f t="shared" si="1"/>
        <v>-0.5996247127</v>
      </c>
    </row>
    <row r="2579" ht="14.25" customHeight="1">
      <c r="A2579" s="2" t="s">
        <v>215</v>
      </c>
      <c r="B2579" s="2" t="s">
        <v>216</v>
      </c>
      <c r="C2579" s="2">
        <v>2008.0</v>
      </c>
      <c r="D2579" s="9">
        <v>2401.123</v>
      </c>
      <c r="E2579" s="10" t="str">
        <f t="array" ref="E2579">IFS(D2579&lt;=$G$3,'calculated data '!$A$3,D2579&lt;=$G$4,'calculated data '!$A$4,D2579&lt;=$G$6,'calculated data '!$A$5,D2579&gt;=$G$6,'calculated data '!$A$6)</f>
        <v>Low Demand Tier</v>
      </c>
      <c r="F2579" s="10">
        <f t="shared" si="1"/>
        <v>-0.5996143471</v>
      </c>
    </row>
    <row r="2580" ht="14.25" customHeight="1">
      <c r="A2580" s="2" t="s">
        <v>213</v>
      </c>
      <c r="B2580" s="2" t="s">
        <v>214</v>
      </c>
      <c r="C2580" s="2">
        <v>1988.0</v>
      </c>
      <c r="D2580" s="9">
        <v>2401.3022</v>
      </c>
      <c r="E2580" s="10" t="str">
        <f t="array" ref="E2580">IFS(D2580&lt;=$G$3,'calculated data '!$A$3,D2580&lt;=$G$4,'calculated data '!$A$4,D2580&lt;=$G$6,'calculated data '!$A$5,D2580&gt;=$G$6,'calculated data '!$A$6)</f>
        <v>Low Demand Tier</v>
      </c>
      <c r="F2580" s="10">
        <f t="shared" si="1"/>
        <v>-0.5996096037</v>
      </c>
    </row>
    <row r="2581" ht="14.25" customHeight="1">
      <c r="A2581" s="2" t="s">
        <v>137</v>
      </c>
      <c r="B2581" s="2" t="s">
        <v>138</v>
      </c>
      <c r="C2581" s="2">
        <v>2010.0</v>
      </c>
      <c r="D2581" s="9">
        <v>2402.1426</v>
      </c>
      <c r="E2581" s="10" t="str">
        <f t="array" ref="E2581">IFS(D2581&lt;=$G$3,'calculated data '!$A$3,D2581&lt;=$G$4,'calculated data '!$A$4,D2581&lt;=$G$6,'calculated data '!$A$5,D2581&gt;=$G$6,'calculated data '!$A$6)</f>
        <v>Low Demand Tier</v>
      </c>
      <c r="F2581" s="10">
        <f t="shared" si="1"/>
        <v>-0.5995873586</v>
      </c>
    </row>
    <row r="2582" ht="14.25" customHeight="1">
      <c r="A2582" s="2" t="s">
        <v>135</v>
      </c>
      <c r="B2582" s="2" t="s">
        <v>136</v>
      </c>
      <c r="C2582" s="2">
        <v>2018.0</v>
      </c>
      <c r="D2582" s="9">
        <v>2403.126</v>
      </c>
      <c r="E2582" s="10" t="str">
        <f t="array" ref="E2582">IFS(D2582&lt;=$G$3,'calculated data '!$A$3,D2582&lt;=$G$4,'calculated data '!$A$4,D2582&lt;=$G$6,'calculated data '!$A$5,D2582&gt;=$G$6,'calculated data '!$A$6)</f>
        <v>Low Demand Tier</v>
      </c>
      <c r="F2582" s="10">
        <f t="shared" si="1"/>
        <v>-0.5995613282</v>
      </c>
    </row>
    <row r="2583" ht="14.25" customHeight="1">
      <c r="A2583" s="2" t="s">
        <v>157</v>
      </c>
      <c r="B2583" s="2" t="s">
        <v>158</v>
      </c>
      <c r="C2583" s="2">
        <v>1999.0</v>
      </c>
      <c r="D2583" s="9">
        <v>2403.5513</v>
      </c>
      <c r="E2583" s="10" t="str">
        <f t="array" ref="E2583">IFS(D2583&lt;=$G$3,'calculated data '!$A$3,D2583&lt;=$G$4,'calculated data '!$A$4,D2583&lt;=$G$6,'calculated data '!$A$5,D2583&gt;=$G$6,'calculated data '!$A$6)</f>
        <v>Low Demand Tier</v>
      </c>
      <c r="F2583" s="10">
        <f t="shared" si="1"/>
        <v>-0.5995500706</v>
      </c>
    </row>
    <row r="2584" ht="14.25" customHeight="1">
      <c r="A2584" s="2" t="s">
        <v>21</v>
      </c>
      <c r="B2584" s="2" t="s">
        <v>22</v>
      </c>
      <c r="C2584" s="2">
        <v>2015.0</v>
      </c>
      <c r="D2584" s="9">
        <v>2403.7517</v>
      </c>
      <c r="E2584" s="10" t="str">
        <f t="array" ref="E2584">IFS(D2584&lt;=$G$3,'calculated data '!$A$3,D2584&lt;=$G$4,'calculated data '!$A$4,D2584&lt;=$G$6,'calculated data '!$A$5,D2584&gt;=$G$6,'calculated data '!$A$6)</f>
        <v>Low Demand Tier</v>
      </c>
      <c r="F2584" s="10">
        <f t="shared" si="1"/>
        <v>-0.5995447661</v>
      </c>
    </row>
    <row r="2585" ht="14.25" customHeight="1">
      <c r="A2585" s="2" t="s">
        <v>219</v>
      </c>
      <c r="B2585" s="2" t="s">
        <v>220</v>
      </c>
      <c r="C2585" s="2">
        <v>2013.0</v>
      </c>
      <c r="D2585" s="9">
        <v>2406.3684</v>
      </c>
      <c r="E2585" s="10" t="str">
        <f t="array" ref="E2585">IFS(D2585&lt;=$G$3,'calculated data '!$A$3,D2585&lt;=$G$4,'calculated data '!$A$4,D2585&lt;=$G$6,'calculated data '!$A$5,D2585&gt;=$G$6,'calculated data '!$A$6)</f>
        <v>Low Demand Tier</v>
      </c>
      <c r="F2585" s="10">
        <f t="shared" si="1"/>
        <v>-0.5994755027</v>
      </c>
    </row>
    <row r="2586" ht="14.25" customHeight="1">
      <c r="A2586" s="2" t="s">
        <v>133</v>
      </c>
      <c r="B2586" s="2" t="s">
        <v>134</v>
      </c>
      <c r="C2586" s="2">
        <v>2000.0</v>
      </c>
      <c r="D2586" s="9">
        <v>2406.5215</v>
      </c>
      <c r="E2586" s="10" t="str">
        <f t="array" ref="E2586">IFS(D2586&lt;=$G$3,'calculated data '!$A$3,D2586&lt;=$G$4,'calculated data '!$A$4,D2586&lt;=$G$6,'calculated data '!$A$5,D2586&gt;=$G$6,'calculated data '!$A$6)</f>
        <v>Low Demand Tier</v>
      </c>
      <c r="F2586" s="10">
        <f t="shared" si="1"/>
        <v>-0.5994714502</v>
      </c>
    </row>
    <row r="2587" ht="14.25" customHeight="1">
      <c r="A2587" s="2" t="s">
        <v>171</v>
      </c>
      <c r="B2587" s="2" t="s">
        <v>172</v>
      </c>
      <c r="C2587" s="2">
        <v>2017.0</v>
      </c>
      <c r="D2587" s="9">
        <v>2407.79</v>
      </c>
      <c r="E2587" s="10" t="str">
        <f t="array" ref="E2587">IFS(D2587&lt;=$G$3,'calculated data '!$A$3,D2587&lt;=$G$4,'calculated data '!$A$4,D2587&lt;=$G$6,'calculated data '!$A$5,D2587&gt;=$G$6,'calculated data '!$A$6)</f>
        <v>Low Demand Tier</v>
      </c>
      <c r="F2587" s="10">
        <f t="shared" si="1"/>
        <v>-0.5994378733</v>
      </c>
    </row>
    <row r="2588" ht="14.25" customHeight="1">
      <c r="A2588" s="2" t="s">
        <v>189</v>
      </c>
      <c r="B2588" s="2" t="s">
        <v>190</v>
      </c>
      <c r="C2588" s="2">
        <v>1989.0</v>
      </c>
      <c r="D2588" s="9">
        <v>2409.2783</v>
      </c>
      <c r="E2588" s="10" t="str">
        <f t="array" ref="E2588">IFS(D2588&lt;=$G$3,'calculated data '!$A$3,D2588&lt;=$G$4,'calculated data '!$A$4,D2588&lt;=$G$6,'calculated data '!$A$5,D2588&gt;=$G$6,'calculated data '!$A$6)</f>
        <v>Low Demand Tier</v>
      </c>
      <c r="F2588" s="10">
        <f t="shared" si="1"/>
        <v>-0.5993984784</v>
      </c>
    </row>
    <row r="2589" ht="14.25" customHeight="1">
      <c r="A2589" s="2" t="s">
        <v>213</v>
      </c>
      <c r="B2589" s="2" t="s">
        <v>214</v>
      </c>
      <c r="C2589" s="2">
        <v>1987.0</v>
      </c>
      <c r="D2589" s="9">
        <v>2409.5254</v>
      </c>
      <c r="E2589" s="10" t="str">
        <f t="array" ref="E2589">IFS(D2589&lt;=$G$3,'calculated data '!$A$3,D2589&lt;=$G$4,'calculated data '!$A$4,D2589&lt;=$G$6,'calculated data '!$A$5,D2589&gt;=$G$6,'calculated data '!$A$6)</f>
        <v>Low Demand Tier</v>
      </c>
      <c r="F2589" s="10">
        <f t="shared" si="1"/>
        <v>-0.5993919377</v>
      </c>
    </row>
    <row r="2590" ht="14.25" customHeight="1">
      <c r="A2590" s="2" t="s">
        <v>219</v>
      </c>
      <c r="B2590" s="2" t="s">
        <v>220</v>
      </c>
      <c r="C2590" s="2">
        <v>2012.0</v>
      </c>
      <c r="D2590" s="9">
        <v>2409.8506</v>
      </c>
      <c r="E2590" s="10" t="str">
        <f t="array" ref="E2590">IFS(D2590&lt;=$G$3,'calculated data '!$A$3,D2590&lt;=$G$4,'calculated data '!$A$4,D2590&lt;=$G$6,'calculated data '!$A$5,D2590&gt;=$G$6,'calculated data '!$A$6)</f>
        <v>Low Demand Tier</v>
      </c>
      <c r="F2590" s="10">
        <f t="shared" si="1"/>
        <v>-0.5993833297</v>
      </c>
    </row>
    <row r="2591" ht="14.25" customHeight="1">
      <c r="A2591" s="2" t="s">
        <v>143</v>
      </c>
      <c r="B2591" s="2" t="s">
        <v>144</v>
      </c>
      <c r="C2591" s="2">
        <v>2001.0</v>
      </c>
      <c r="D2591" s="9">
        <v>2412.219</v>
      </c>
      <c r="E2591" s="10" t="str">
        <f t="array" ref="E2591">IFS(D2591&lt;=$G$3,'calculated data '!$A$3,D2591&lt;=$G$4,'calculated data '!$A$4,D2591&lt;=$G$6,'calculated data '!$A$5,D2591&gt;=$G$6,'calculated data '!$A$6)</f>
        <v>Low Demand Tier</v>
      </c>
      <c r="F2591" s="10">
        <f t="shared" si="1"/>
        <v>-0.5993206388</v>
      </c>
    </row>
    <row r="2592" ht="14.25" customHeight="1">
      <c r="A2592" s="2" t="s">
        <v>213</v>
      </c>
      <c r="B2592" s="2" t="s">
        <v>214</v>
      </c>
      <c r="C2592" s="2">
        <v>1986.0</v>
      </c>
      <c r="D2592" s="9">
        <v>2413.0732</v>
      </c>
      <c r="E2592" s="10" t="str">
        <f t="array" ref="E2592">IFS(D2592&lt;=$G$3,'calculated data '!$A$3,D2592&lt;=$G$4,'calculated data '!$A$4,D2592&lt;=$G$6,'calculated data '!$A$5,D2592&gt;=$G$6,'calculated data '!$A$6)</f>
        <v>Low Demand Tier</v>
      </c>
      <c r="F2592" s="10">
        <f t="shared" si="1"/>
        <v>-0.5992980283</v>
      </c>
    </row>
    <row r="2593" ht="14.25" customHeight="1">
      <c r="A2593" s="2" t="s">
        <v>137</v>
      </c>
      <c r="B2593" s="2" t="s">
        <v>138</v>
      </c>
      <c r="C2593" s="2">
        <v>2022.0</v>
      </c>
      <c r="D2593" s="9">
        <v>2414.8672</v>
      </c>
      <c r="E2593" s="10" t="str">
        <f t="array" ref="E2593">IFS(D2593&lt;=$G$3,'calculated data '!$A$3,D2593&lt;=$G$4,'calculated data '!$A$4,D2593&lt;=$G$6,'calculated data '!$A$5,D2593&gt;=$G$6,'calculated data '!$A$6)</f>
        <v>Low Demand Tier</v>
      </c>
      <c r="F2593" s="10">
        <f t="shared" si="1"/>
        <v>-0.5992505416</v>
      </c>
    </row>
    <row r="2594" ht="14.25" customHeight="1">
      <c r="A2594" s="2" t="s">
        <v>157</v>
      </c>
      <c r="B2594" s="2" t="s">
        <v>158</v>
      </c>
      <c r="C2594" s="2">
        <v>1998.0</v>
      </c>
      <c r="D2594" s="9">
        <v>2418.2175</v>
      </c>
      <c r="E2594" s="10" t="str">
        <f t="array" ref="E2594">IFS(D2594&lt;=$G$3,'calculated data '!$A$3,D2594&lt;=$G$4,'calculated data '!$A$4,D2594&lt;=$G$6,'calculated data '!$A$5,D2594&gt;=$G$6,'calculated data '!$A$6)</f>
        <v>Low Demand Tier</v>
      </c>
      <c r="F2594" s="10">
        <f t="shared" si="1"/>
        <v>-0.59916186</v>
      </c>
    </row>
    <row r="2595" ht="14.25" customHeight="1">
      <c r="A2595" s="2" t="s">
        <v>137</v>
      </c>
      <c r="B2595" s="2" t="s">
        <v>138</v>
      </c>
      <c r="C2595" s="2">
        <v>2023.0</v>
      </c>
      <c r="D2595" s="9">
        <v>2421.104</v>
      </c>
      <c r="E2595" s="10" t="str">
        <f t="array" ref="E2595">IFS(D2595&lt;=$G$3,'calculated data '!$A$3,D2595&lt;=$G$4,'calculated data '!$A$4,D2595&lt;=$G$6,'calculated data '!$A$5,D2595&gt;=$G$6,'calculated data '!$A$6)</f>
        <v>Low Demand Tier</v>
      </c>
      <c r="F2595" s="10">
        <f t="shared" si="1"/>
        <v>-0.599085455</v>
      </c>
    </row>
    <row r="2596" ht="14.25" customHeight="1">
      <c r="A2596" s="2" t="s">
        <v>167</v>
      </c>
      <c r="B2596" s="2" t="s">
        <v>168</v>
      </c>
      <c r="C2596" s="2">
        <v>2016.0</v>
      </c>
      <c r="D2596" s="9">
        <v>2421.6807</v>
      </c>
      <c r="E2596" s="10" t="str">
        <f t="array" ref="E2596">IFS(D2596&lt;=$G$3,'calculated data '!$A$3,D2596&lt;=$G$4,'calculated data '!$A$4,D2596&lt;=$G$6,'calculated data '!$A$5,D2596&gt;=$G$6,'calculated data '!$A$6)</f>
        <v>Low Demand Tier</v>
      </c>
      <c r="F2596" s="10">
        <f t="shared" si="1"/>
        <v>-0.5990701899</v>
      </c>
    </row>
    <row r="2597" ht="14.25" customHeight="1">
      <c r="A2597" s="2" t="s">
        <v>183</v>
      </c>
      <c r="B2597" s="2" t="s">
        <v>184</v>
      </c>
      <c r="C2597" s="2">
        <v>1971.0</v>
      </c>
      <c r="D2597" s="9">
        <v>2424.3132</v>
      </c>
      <c r="E2597" s="10" t="str">
        <f t="array" ref="E2597">IFS(D2597&lt;=$G$3,'calculated data '!$A$3,D2597&lt;=$G$4,'calculated data '!$A$4,D2597&lt;=$G$6,'calculated data '!$A$5,D2597&gt;=$G$6,'calculated data '!$A$6)</f>
        <v>Low Demand Tier</v>
      </c>
      <c r="F2597" s="10">
        <f t="shared" si="1"/>
        <v>-0.5990005083</v>
      </c>
    </row>
    <row r="2598" ht="14.25" customHeight="1">
      <c r="A2598" s="2" t="s">
        <v>137</v>
      </c>
      <c r="B2598" s="2" t="s">
        <v>138</v>
      </c>
      <c r="C2598" s="2">
        <v>2021.0</v>
      </c>
      <c r="D2598" s="9">
        <v>2424.5933</v>
      </c>
      <c r="E2598" s="10" t="str">
        <f t="array" ref="E2598">IFS(D2598&lt;=$G$3,'calculated data '!$A$3,D2598&lt;=$G$4,'calculated data '!$A$4,D2598&lt;=$G$6,'calculated data '!$A$5,D2598&gt;=$G$6,'calculated data '!$A$6)</f>
        <v>Low Demand Tier</v>
      </c>
      <c r="F2598" s="10">
        <f t="shared" si="1"/>
        <v>-0.5989930941</v>
      </c>
    </row>
    <row r="2599" ht="14.25" customHeight="1">
      <c r="A2599" s="2" t="s">
        <v>93</v>
      </c>
      <c r="B2599" s="2" t="s">
        <v>94</v>
      </c>
      <c r="C2599" s="2">
        <v>2020.0</v>
      </c>
      <c r="D2599" s="9">
        <v>2427.8132</v>
      </c>
      <c r="E2599" s="10" t="str">
        <f t="array" ref="E2599">IFS(D2599&lt;=$G$3,'calculated data '!$A$3,D2599&lt;=$G$4,'calculated data '!$A$4,D2599&lt;=$G$6,'calculated data '!$A$5,D2599&gt;=$G$6,'calculated data '!$A$6)</f>
        <v>Low Demand Tier</v>
      </c>
      <c r="F2599" s="10">
        <f t="shared" si="1"/>
        <v>-0.5989078642</v>
      </c>
    </row>
    <row r="2600" ht="14.25" customHeight="1">
      <c r="A2600" s="2" t="s">
        <v>201</v>
      </c>
      <c r="B2600" s="2" t="s">
        <v>202</v>
      </c>
      <c r="C2600" s="2">
        <v>2012.0</v>
      </c>
      <c r="D2600" s="9">
        <v>2430.333</v>
      </c>
      <c r="E2600" s="10" t="str">
        <f t="array" ref="E2600">IFS(D2600&lt;=$G$3,'calculated data '!$A$3,D2600&lt;=$G$4,'calculated data '!$A$4,D2600&lt;=$G$6,'calculated data '!$A$5,D2600&gt;=$G$6,'calculated data '!$A$6)</f>
        <v>Low Demand Tier</v>
      </c>
      <c r="F2600" s="10">
        <f t="shared" si="1"/>
        <v>-0.5988411657</v>
      </c>
    </row>
    <row r="2601" ht="14.25" customHeight="1">
      <c r="A2601" s="2" t="s">
        <v>127</v>
      </c>
      <c r="B2601" s="2" t="s">
        <v>128</v>
      </c>
      <c r="C2601" s="2">
        <v>2001.0</v>
      </c>
      <c r="D2601" s="9">
        <v>2431.702</v>
      </c>
      <c r="E2601" s="10" t="str">
        <f t="array" ref="E2601">IFS(D2601&lt;=$G$3,'calculated data '!$A$3,D2601&lt;=$G$4,'calculated data '!$A$4,D2601&lt;=$G$6,'calculated data '!$A$5,D2601&gt;=$G$6,'calculated data '!$A$6)</f>
        <v>Low Demand Tier</v>
      </c>
      <c r="F2601" s="10">
        <f t="shared" si="1"/>
        <v>-0.5988049286</v>
      </c>
    </row>
    <row r="2602" ht="14.25" customHeight="1">
      <c r="A2602" s="2" t="s">
        <v>151</v>
      </c>
      <c r="B2602" s="2" t="s">
        <v>152</v>
      </c>
      <c r="C2602" s="2">
        <v>1989.0</v>
      </c>
      <c r="D2602" s="9">
        <v>2435.947</v>
      </c>
      <c r="E2602" s="10" t="str">
        <f t="array" ref="E2602">IFS(D2602&lt;=$G$3,'calculated data '!$A$3,D2602&lt;=$G$4,'calculated data '!$A$4,D2602&lt;=$G$6,'calculated data '!$A$5,D2602&gt;=$G$6,'calculated data '!$A$6)</f>
        <v>Low Demand Tier</v>
      </c>
      <c r="F2602" s="10">
        <f t="shared" si="1"/>
        <v>-0.5986925645</v>
      </c>
    </row>
    <row r="2603" ht="14.25" customHeight="1">
      <c r="A2603" s="2" t="s">
        <v>207</v>
      </c>
      <c r="B2603" s="2" t="s">
        <v>208</v>
      </c>
      <c r="C2603" s="2">
        <v>1969.0</v>
      </c>
      <c r="D2603" s="9">
        <v>2436.3918</v>
      </c>
      <c r="E2603" s="10" t="str">
        <f t="array" ref="E2603">IFS(D2603&lt;=$G$3,'calculated data '!$A$3,D2603&lt;=$G$4,'calculated data '!$A$4,D2603&lt;=$G$6,'calculated data '!$A$5,D2603&gt;=$G$6,'calculated data '!$A$6)</f>
        <v>Low Demand Tier</v>
      </c>
      <c r="F2603" s="10">
        <f t="shared" si="1"/>
        <v>-0.5986807908</v>
      </c>
    </row>
    <row r="2604" ht="14.25" customHeight="1">
      <c r="A2604" s="2" t="s">
        <v>175</v>
      </c>
      <c r="B2604" s="2" t="s">
        <v>176</v>
      </c>
      <c r="C2604" s="2">
        <v>1992.0</v>
      </c>
      <c r="D2604" s="9">
        <v>2437.1597</v>
      </c>
      <c r="E2604" s="10" t="str">
        <f t="array" ref="E2604">IFS(D2604&lt;=$G$3,'calculated data '!$A$3,D2604&lt;=$G$4,'calculated data '!$A$4,D2604&lt;=$G$6,'calculated data '!$A$5,D2604&gt;=$G$6,'calculated data '!$A$6)</f>
        <v>Low Demand Tier</v>
      </c>
      <c r="F2604" s="10">
        <f t="shared" si="1"/>
        <v>-0.5986604646</v>
      </c>
    </row>
    <row r="2605" ht="14.25" customHeight="1">
      <c r="A2605" s="2" t="s">
        <v>139</v>
      </c>
      <c r="B2605" s="2" t="s">
        <v>140</v>
      </c>
      <c r="C2605" s="2">
        <v>2002.0</v>
      </c>
      <c r="D2605" s="9">
        <v>2439.579</v>
      </c>
      <c r="E2605" s="10" t="str">
        <f t="array" ref="E2605">IFS(D2605&lt;=$G$3,'calculated data '!$A$3,D2605&lt;=$G$4,'calculated data '!$A$4,D2605&lt;=$G$6,'calculated data '!$A$5,D2605&gt;=$G$6,'calculated data '!$A$6)</f>
        <v>Low Demand Tier</v>
      </c>
      <c r="F2605" s="10">
        <f t="shared" si="1"/>
        <v>-0.5985964264</v>
      </c>
    </row>
    <row r="2606" ht="14.25" customHeight="1">
      <c r="A2606" s="2" t="s">
        <v>189</v>
      </c>
      <c r="B2606" s="2" t="s">
        <v>190</v>
      </c>
      <c r="C2606" s="2">
        <v>1993.0</v>
      </c>
      <c r="D2606" s="9">
        <v>2440.8154</v>
      </c>
      <c r="E2606" s="10" t="str">
        <f t="array" ref="E2606">IFS(D2606&lt;=$G$3,'calculated data '!$A$3,D2606&lt;=$G$4,'calculated data '!$A$4,D2606&lt;=$G$6,'calculated data '!$A$5,D2606&gt;=$G$6,'calculated data '!$A$6)</f>
        <v>Low Demand Tier</v>
      </c>
      <c r="F2606" s="10">
        <f t="shared" si="1"/>
        <v>-0.5985636992</v>
      </c>
    </row>
    <row r="2607" ht="14.25" customHeight="1">
      <c r="A2607" s="2" t="s">
        <v>139</v>
      </c>
      <c r="B2607" s="2" t="s">
        <v>140</v>
      </c>
      <c r="C2607" s="2">
        <v>2003.0</v>
      </c>
      <c r="D2607" s="9">
        <v>2443.153</v>
      </c>
      <c r="E2607" s="10" t="str">
        <f t="array" ref="E2607">IFS(D2607&lt;=$G$3,'calculated data '!$A$3,D2607&lt;=$G$4,'calculated data '!$A$4,D2607&lt;=$G$6,'calculated data '!$A$5,D2607&gt;=$G$6,'calculated data '!$A$6)</f>
        <v>Low Demand Tier</v>
      </c>
      <c r="F2607" s="10">
        <f t="shared" si="1"/>
        <v>-0.5985018235</v>
      </c>
    </row>
    <row r="2608" ht="14.25" customHeight="1">
      <c r="A2608" s="2" t="s">
        <v>129</v>
      </c>
      <c r="B2608" s="2" t="s">
        <v>130</v>
      </c>
      <c r="C2608" s="2">
        <v>1985.0</v>
      </c>
      <c r="D2608" s="9">
        <v>2443.8174</v>
      </c>
      <c r="E2608" s="10" t="str">
        <f t="array" ref="E2608">IFS(D2608&lt;=$G$3,'calculated data '!$A$3,D2608&lt;=$G$4,'calculated data '!$A$4,D2608&lt;=$G$6,'calculated data '!$A$5,D2608&gt;=$G$6,'calculated data '!$A$6)</f>
        <v>Low Demand Tier</v>
      </c>
      <c r="F2608" s="10">
        <f t="shared" si="1"/>
        <v>-0.598484237</v>
      </c>
    </row>
    <row r="2609" ht="14.25" customHeight="1">
      <c r="A2609" s="2" t="s">
        <v>205</v>
      </c>
      <c r="B2609" s="2" t="s">
        <v>206</v>
      </c>
      <c r="C2609" s="2">
        <v>1967.0</v>
      </c>
      <c r="D2609" s="9">
        <v>2445.4973</v>
      </c>
      <c r="E2609" s="10" t="str">
        <f t="array" ref="E2609">IFS(D2609&lt;=$G$3,'calculated data '!$A$3,D2609&lt;=$G$4,'calculated data '!$A$4,D2609&lt;=$G$6,'calculated data '!$A$5,D2609&gt;=$G$6,'calculated data '!$A$6)</f>
        <v>Low Demand Tier</v>
      </c>
      <c r="F2609" s="10">
        <f t="shared" si="1"/>
        <v>-0.5984397704</v>
      </c>
    </row>
    <row r="2610" ht="14.25" customHeight="1">
      <c r="A2610" s="2" t="s">
        <v>93</v>
      </c>
      <c r="B2610" s="2" t="s">
        <v>94</v>
      </c>
      <c r="C2610" s="2">
        <v>2017.0</v>
      </c>
      <c r="D2610" s="9">
        <v>2445.9111</v>
      </c>
      <c r="E2610" s="10" t="str">
        <f t="array" ref="E2610">IFS(D2610&lt;=$G$3,'calculated data '!$A$3,D2610&lt;=$G$4,'calculated data '!$A$4,D2610&lt;=$G$6,'calculated data '!$A$5,D2610&gt;=$G$6,'calculated data '!$A$6)</f>
        <v>Low Demand Tier</v>
      </c>
      <c r="F2610" s="10">
        <f t="shared" si="1"/>
        <v>-0.5984288173</v>
      </c>
    </row>
    <row r="2611" ht="14.25" customHeight="1">
      <c r="A2611" s="2" t="s">
        <v>167</v>
      </c>
      <c r="B2611" s="2" t="s">
        <v>168</v>
      </c>
      <c r="C2611" s="2">
        <v>2019.0</v>
      </c>
      <c r="D2611" s="9">
        <v>2446.2432</v>
      </c>
      <c r="E2611" s="10" t="str">
        <f t="array" ref="E2611">IFS(D2611&lt;=$G$3,'calculated data '!$A$3,D2611&lt;=$G$4,'calculated data '!$A$4,D2611&lt;=$G$6,'calculated data '!$A$5,D2611&gt;=$G$6,'calculated data '!$A$6)</f>
        <v>Low Demand Tier</v>
      </c>
      <c r="F2611" s="10">
        <f t="shared" si="1"/>
        <v>-0.5984200267</v>
      </c>
    </row>
    <row r="2612" ht="14.25" customHeight="1">
      <c r="A2612" s="2" t="s">
        <v>139</v>
      </c>
      <c r="B2612" s="2" t="s">
        <v>140</v>
      </c>
      <c r="C2612" s="2">
        <v>2000.0</v>
      </c>
      <c r="D2612" s="9">
        <v>2450.0278</v>
      </c>
      <c r="E2612" s="10" t="str">
        <f t="array" ref="E2612">IFS(D2612&lt;=$G$3,'calculated data '!$A$3,D2612&lt;=$G$4,'calculated data '!$A$4,D2612&lt;=$G$6,'calculated data '!$A$5,D2612&gt;=$G$6,'calculated data '!$A$6)</f>
        <v>Low Demand Tier</v>
      </c>
      <c r="F2612" s="10">
        <f t="shared" si="1"/>
        <v>-0.5983198492</v>
      </c>
    </row>
    <row r="2613" ht="14.25" customHeight="1">
      <c r="A2613" s="2" t="s">
        <v>219</v>
      </c>
      <c r="B2613" s="2" t="s">
        <v>220</v>
      </c>
      <c r="C2613" s="2">
        <v>1981.0</v>
      </c>
      <c r="D2613" s="9">
        <v>2453.1238</v>
      </c>
      <c r="E2613" s="10" t="str">
        <f t="array" ref="E2613">IFS(D2613&lt;=$G$3,'calculated data '!$A$3,D2613&lt;=$G$4,'calculated data '!$A$4,D2613&lt;=$G$6,'calculated data '!$A$5,D2613&gt;=$G$6,'calculated data '!$A$6)</f>
        <v>Low Demand Tier</v>
      </c>
      <c r="F2613" s="10">
        <f t="shared" si="1"/>
        <v>-0.5982378989</v>
      </c>
    </row>
    <row r="2614" ht="14.25" customHeight="1">
      <c r="A2614" s="2" t="s">
        <v>193</v>
      </c>
      <c r="B2614" s="2" t="s">
        <v>194</v>
      </c>
      <c r="C2614" s="2">
        <v>1970.0</v>
      </c>
      <c r="D2614" s="9">
        <v>2454.15</v>
      </c>
      <c r="E2614" s="10" t="str">
        <f t="array" ref="E2614">IFS(D2614&lt;=$G$3,'calculated data '!$A$3,D2614&lt;=$G$4,'calculated data '!$A$4,D2614&lt;=$G$6,'calculated data '!$A$5,D2614&gt;=$G$6,'calculated data '!$A$6)</f>
        <v>Low Demand Tier</v>
      </c>
      <c r="F2614" s="10">
        <f t="shared" si="1"/>
        <v>-0.5982107356</v>
      </c>
    </row>
    <row r="2615" ht="14.25" customHeight="1">
      <c r="A2615" s="2" t="s">
        <v>217</v>
      </c>
      <c r="B2615" s="2" t="s">
        <v>218</v>
      </c>
      <c r="C2615" s="2">
        <v>1972.0</v>
      </c>
      <c r="D2615" s="9">
        <v>2455.1543</v>
      </c>
      <c r="E2615" s="10" t="str">
        <f t="array" ref="E2615">IFS(D2615&lt;=$G$3,'calculated data '!$A$3,D2615&lt;=$G$4,'calculated data '!$A$4,D2615&lt;=$G$6,'calculated data '!$A$5,D2615&gt;=$G$6,'calculated data '!$A$6)</f>
        <v>Low Demand Tier</v>
      </c>
      <c r="F2615" s="10">
        <f t="shared" si="1"/>
        <v>-0.5981841521</v>
      </c>
    </row>
    <row r="2616" ht="14.25" customHeight="1">
      <c r="A2616" s="2" t="s">
        <v>157</v>
      </c>
      <c r="B2616" s="2" t="s">
        <v>158</v>
      </c>
      <c r="C2616" s="2">
        <v>1997.0</v>
      </c>
      <c r="D2616" s="9">
        <v>2457.2668</v>
      </c>
      <c r="E2616" s="10" t="str">
        <f t="array" ref="E2616">IFS(D2616&lt;=$G$3,'calculated data '!$A$3,D2616&lt;=$G$4,'calculated data '!$A$4,D2616&lt;=$G$6,'calculated data '!$A$5,D2616&gt;=$G$6,'calculated data '!$A$6)</f>
        <v>Low Demand Tier</v>
      </c>
      <c r="F2616" s="10">
        <f t="shared" si="1"/>
        <v>-0.5981282347</v>
      </c>
    </row>
    <row r="2617" ht="14.25" customHeight="1">
      <c r="A2617" s="2" t="s">
        <v>135</v>
      </c>
      <c r="B2617" s="2" t="s">
        <v>136</v>
      </c>
      <c r="C2617" s="2">
        <v>2017.0</v>
      </c>
      <c r="D2617" s="9">
        <v>2457.8662</v>
      </c>
      <c r="E2617" s="10" t="str">
        <f t="array" ref="E2617">IFS(D2617&lt;=$G$3,'calculated data '!$A$3,D2617&lt;=$G$4,'calculated data '!$A$4,D2617&lt;=$G$6,'calculated data '!$A$5,D2617&gt;=$G$6,'calculated data '!$A$6)</f>
        <v>Low Demand Tier</v>
      </c>
      <c r="F2617" s="10">
        <f t="shared" si="1"/>
        <v>-0.5981123687</v>
      </c>
    </row>
    <row r="2618" ht="14.25" customHeight="1">
      <c r="A2618" s="2" t="s">
        <v>179</v>
      </c>
      <c r="B2618" s="2" t="s">
        <v>180</v>
      </c>
      <c r="C2618" s="2">
        <v>2023.0</v>
      </c>
      <c r="D2618" s="9">
        <v>2458.7996</v>
      </c>
      <c r="E2618" s="10" t="str">
        <f t="array" ref="E2618">IFS(D2618&lt;=$G$3,'calculated data '!$A$3,D2618&lt;=$G$4,'calculated data '!$A$4,D2618&lt;=$G$6,'calculated data '!$A$5,D2618&gt;=$G$6,'calculated data '!$A$6)</f>
        <v>Low Demand Tier</v>
      </c>
      <c r="F2618" s="10">
        <f t="shared" si="1"/>
        <v>-0.5980876619</v>
      </c>
    </row>
    <row r="2619" ht="14.25" customHeight="1">
      <c r="A2619" s="2" t="s">
        <v>167</v>
      </c>
      <c r="B2619" s="2" t="s">
        <v>168</v>
      </c>
      <c r="C2619" s="2">
        <v>2015.0</v>
      </c>
      <c r="D2619" s="9">
        <v>2458.8655</v>
      </c>
      <c r="E2619" s="10" t="str">
        <f t="array" ref="E2619">IFS(D2619&lt;=$G$3,'calculated data '!$A$3,D2619&lt;=$G$4,'calculated data '!$A$4,D2619&lt;=$G$6,'calculated data '!$A$5,D2619&gt;=$G$6,'calculated data '!$A$6)</f>
        <v>Low Demand Tier</v>
      </c>
      <c r="F2619" s="10">
        <f t="shared" si="1"/>
        <v>-0.5980859175</v>
      </c>
    </row>
    <row r="2620" ht="14.25" customHeight="1">
      <c r="A2620" s="2" t="s">
        <v>187</v>
      </c>
      <c r="B2620" s="2" t="s">
        <v>188</v>
      </c>
      <c r="C2620" s="2">
        <v>2014.0</v>
      </c>
      <c r="D2620" s="9">
        <v>2459.1924</v>
      </c>
      <c r="E2620" s="10" t="str">
        <f t="array" ref="E2620">IFS(D2620&lt;=$G$3,'calculated data '!$A$3,D2620&lt;=$G$4,'calculated data '!$A$4,D2620&lt;=$G$6,'calculated data '!$A$5,D2620&gt;=$G$6,'calculated data '!$A$6)</f>
        <v>Low Demand Tier</v>
      </c>
      <c r="F2620" s="10">
        <f t="shared" si="1"/>
        <v>-0.5980772646</v>
      </c>
    </row>
    <row r="2621" ht="14.25" customHeight="1">
      <c r="A2621" s="2" t="s">
        <v>187</v>
      </c>
      <c r="B2621" s="2" t="s">
        <v>188</v>
      </c>
      <c r="C2621" s="2">
        <v>2001.0</v>
      </c>
      <c r="D2621" s="9">
        <v>2459.8313</v>
      </c>
      <c r="E2621" s="10" t="str">
        <f t="array" ref="E2621">IFS(D2621&lt;=$G$3,'calculated data '!$A$3,D2621&lt;=$G$4,'calculated data '!$A$4,D2621&lt;=$G$6,'calculated data '!$A$5,D2621&gt;=$G$6,'calculated data '!$A$6)</f>
        <v>Low Demand Tier</v>
      </c>
      <c r="F2621" s="10">
        <f t="shared" si="1"/>
        <v>-0.598060353</v>
      </c>
    </row>
    <row r="2622" ht="14.25" customHeight="1">
      <c r="A2622" s="2" t="s">
        <v>219</v>
      </c>
      <c r="B2622" s="2" t="s">
        <v>220</v>
      </c>
      <c r="C2622" s="2">
        <v>1995.0</v>
      </c>
      <c r="D2622" s="9">
        <v>2460.0354</v>
      </c>
      <c r="E2622" s="10" t="str">
        <f t="array" ref="E2622">IFS(D2622&lt;=$G$3,'calculated data '!$A$3,D2622&lt;=$G$4,'calculated data '!$A$4,D2622&lt;=$G$6,'calculated data '!$A$5,D2622&gt;=$G$6,'calculated data '!$A$6)</f>
        <v>Low Demand Tier</v>
      </c>
      <c r="F2622" s="10">
        <f t="shared" si="1"/>
        <v>-0.5980549506</v>
      </c>
    </row>
    <row r="2623" ht="14.25" customHeight="1">
      <c r="A2623" s="2" t="s">
        <v>213</v>
      </c>
      <c r="B2623" s="2" t="s">
        <v>214</v>
      </c>
      <c r="C2623" s="2">
        <v>1983.0</v>
      </c>
      <c r="D2623" s="9">
        <v>2460.6487</v>
      </c>
      <c r="E2623" s="10" t="str">
        <f t="array" ref="E2623">IFS(D2623&lt;=$G$3,'calculated data '!$A$3,D2623&lt;=$G$4,'calculated data '!$A$4,D2623&lt;=$G$6,'calculated data '!$A$5,D2623&gt;=$G$6,'calculated data '!$A$6)</f>
        <v>Low Demand Tier</v>
      </c>
      <c r="F2623" s="10">
        <f t="shared" si="1"/>
        <v>-0.5980387167</v>
      </c>
    </row>
    <row r="2624" ht="14.25" customHeight="1">
      <c r="A2624" s="2" t="s">
        <v>219</v>
      </c>
      <c r="B2624" s="2" t="s">
        <v>220</v>
      </c>
      <c r="C2624" s="2">
        <v>1996.0</v>
      </c>
      <c r="D2624" s="9">
        <v>2461.5854</v>
      </c>
      <c r="E2624" s="10" t="str">
        <f t="array" ref="E2624">IFS(D2624&lt;=$G$3,'calculated data '!$A$3,D2624&lt;=$G$4,'calculated data '!$A$4,D2624&lt;=$G$6,'calculated data '!$A$5,D2624&gt;=$G$6,'calculated data '!$A$6)</f>
        <v>Low Demand Tier</v>
      </c>
      <c r="F2624" s="10">
        <f t="shared" si="1"/>
        <v>-0.5980139224</v>
      </c>
    </row>
    <row r="2625" ht="14.25" customHeight="1">
      <c r="A2625" s="2" t="s">
        <v>161</v>
      </c>
      <c r="B2625" s="2" t="s">
        <v>162</v>
      </c>
      <c r="C2625" s="2">
        <v>2013.0</v>
      </c>
      <c r="D2625" s="9">
        <v>2464.2986</v>
      </c>
      <c r="E2625" s="10" t="str">
        <f t="array" ref="E2625">IFS(D2625&lt;=$G$3,'calculated data '!$A$3,D2625&lt;=$G$4,'calculated data '!$A$4,D2625&lt;=$G$6,'calculated data '!$A$5,D2625&gt;=$G$6,'calculated data '!$A$6)</f>
        <v>Low Demand Tier</v>
      </c>
      <c r="F2625" s="10">
        <f t="shared" si="1"/>
        <v>-0.5979421047</v>
      </c>
    </row>
    <row r="2626" ht="14.25" customHeight="1">
      <c r="A2626" s="2" t="s">
        <v>137</v>
      </c>
      <c r="B2626" s="2" t="s">
        <v>138</v>
      </c>
      <c r="C2626" s="2">
        <v>2009.0</v>
      </c>
      <c r="D2626" s="9">
        <v>2466.2083</v>
      </c>
      <c r="E2626" s="10" t="str">
        <f t="array" ref="E2626">IFS(D2626&lt;=$G$3,'calculated data '!$A$3,D2626&lt;=$G$4,'calculated data '!$A$4,D2626&lt;=$G$6,'calculated data '!$A$5,D2626&gt;=$G$6,'calculated data '!$A$6)</f>
        <v>Low Demand Tier</v>
      </c>
      <c r="F2626" s="10">
        <f t="shared" si="1"/>
        <v>-0.5978915554</v>
      </c>
    </row>
    <row r="2627" ht="14.25" customHeight="1">
      <c r="A2627" s="2" t="s">
        <v>177</v>
      </c>
      <c r="B2627" s="2" t="s">
        <v>178</v>
      </c>
      <c r="C2627" s="2">
        <v>1994.0</v>
      </c>
      <c r="D2627" s="9">
        <v>2466.6086</v>
      </c>
      <c r="E2627" s="10" t="str">
        <f t="array" ref="E2627">IFS(D2627&lt;=$G$3,'calculated data '!$A$3,D2627&lt;=$G$4,'calculated data '!$A$4,D2627&lt;=$G$6,'calculated data '!$A$5,D2627&gt;=$G$6,'calculated data '!$A$6)</f>
        <v>Low Demand Tier</v>
      </c>
      <c r="F2627" s="10">
        <f t="shared" si="1"/>
        <v>-0.5978809596</v>
      </c>
    </row>
    <row r="2628" ht="14.25" customHeight="1">
      <c r="A2628" s="2" t="s">
        <v>137</v>
      </c>
      <c r="B2628" s="2" t="s">
        <v>138</v>
      </c>
      <c r="C2628" s="2">
        <v>2020.0</v>
      </c>
      <c r="D2628" s="9">
        <v>2468.371</v>
      </c>
      <c r="E2628" s="10" t="str">
        <f t="array" ref="E2628">IFS(D2628&lt;=$G$3,'calculated data '!$A$3,D2628&lt;=$G$4,'calculated data '!$A$4,D2628&lt;=$G$6,'calculated data '!$A$5,D2628&gt;=$G$6,'calculated data '!$A$6)</f>
        <v>Low Demand Tier</v>
      </c>
      <c r="F2628" s="10">
        <f t="shared" si="1"/>
        <v>-0.5978343093</v>
      </c>
    </row>
    <row r="2629" ht="14.25" customHeight="1">
      <c r="A2629" s="2" t="s">
        <v>21</v>
      </c>
      <c r="B2629" s="2" t="s">
        <v>22</v>
      </c>
      <c r="C2629" s="2">
        <v>2017.0</v>
      </c>
      <c r="D2629" s="9">
        <v>2471.5776</v>
      </c>
      <c r="E2629" s="10" t="str">
        <f t="array" ref="E2629">IFS(D2629&lt;=$G$3,'calculated data '!$A$3,D2629&lt;=$G$4,'calculated data '!$A$4,D2629&lt;=$G$6,'calculated data '!$A$5,D2629&gt;=$G$6,'calculated data '!$A$6)</f>
        <v>Low Demand Tier</v>
      </c>
      <c r="F2629" s="10">
        <f t="shared" si="1"/>
        <v>-0.5977494314</v>
      </c>
    </row>
    <row r="2630" ht="14.25" customHeight="1">
      <c r="A2630" s="2" t="s">
        <v>179</v>
      </c>
      <c r="B2630" s="2" t="s">
        <v>180</v>
      </c>
      <c r="C2630" s="2">
        <v>1987.0</v>
      </c>
      <c r="D2630" s="9">
        <v>2473.4148</v>
      </c>
      <c r="E2630" s="10" t="str">
        <f t="array" ref="E2630">IFS(D2630&lt;=$G$3,'calculated data '!$A$3,D2630&lt;=$G$4,'calculated data '!$A$4,D2630&lt;=$G$6,'calculated data '!$A$5,D2630&gt;=$G$6,'calculated data '!$A$6)</f>
        <v>Low Demand Tier</v>
      </c>
      <c r="F2630" s="10">
        <f t="shared" si="1"/>
        <v>-0.5977008012</v>
      </c>
    </row>
    <row r="2631" ht="14.25" customHeight="1">
      <c r="A2631" s="2" t="s">
        <v>169</v>
      </c>
      <c r="B2631" s="2" t="s">
        <v>170</v>
      </c>
      <c r="C2631" s="2">
        <v>2013.0</v>
      </c>
      <c r="D2631" s="9">
        <v>2473.5334</v>
      </c>
      <c r="E2631" s="10" t="str">
        <f t="array" ref="E2631">IFS(D2631&lt;=$G$3,'calculated data '!$A$3,D2631&lt;=$G$4,'calculated data '!$A$4,D2631&lt;=$G$6,'calculated data '!$A$5,D2631&gt;=$G$6,'calculated data '!$A$6)</f>
        <v>Low Demand Tier</v>
      </c>
      <c r="F2631" s="10">
        <f t="shared" si="1"/>
        <v>-0.5976976619</v>
      </c>
    </row>
    <row r="2632" ht="14.25" customHeight="1">
      <c r="A2632" s="2" t="s">
        <v>193</v>
      </c>
      <c r="B2632" s="2" t="s">
        <v>194</v>
      </c>
      <c r="C2632" s="2">
        <v>1969.0</v>
      </c>
      <c r="D2632" s="9">
        <v>2479.0684</v>
      </c>
      <c r="E2632" s="10" t="str">
        <f t="array" ref="E2632">IFS(D2632&lt;=$G$3,'calculated data '!$A$3,D2632&lt;=$G$4,'calculated data '!$A$4,D2632&lt;=$G$6,'calculated data '!$A$5,D2632&gt;=$G$6,'calculated data '!$A$6)</f>
        <v>Low Demand Tier</v>
      </c>
      <c r="F2632" s="10">
        <f t="shared" si="1"/>
        <v>-0.5975511518</v>
      </c>
    </row>
    <row r="2633" ht="14.25" customHeight="1">
      <c r="A2633" s="2" t="s">
        <v>145</v>
      </c>
      <c r="B2633" s="2" t="s">
        <v>146</v>
      </c>
      <c r="C2633" s="2">
        <v>2007.0</v>
      </c>
      <c r="D2633" s="9">
        <v>2483.396</v>
      </c>
      <c r="E2633" s="10" t="str">
        <f t="array" ref="E2633">IFS(D2633&lt;=$G$3,'calculated data '!$A$3,D2633&lt;=$G$4,'calculated data '!$A$4,D2633&lt;=$G$6,'calculated data '!$A$5,D2633&gt;=$G$6,'calculated data '!$A$6)</f>
        <v>Low Demand Tier</v>
      </c>
      <c r="F2633" s="10">
        <f t="shared" si="1"/>
        <v>-0.5974366013</v>
      </c>
    </row>
    <row r="2634" ht="14.25" customHeight="1">
      <c r="A2634" s="2" t="s">
        <v>159</v>
      </c>
      <c r="B2634" s="2" t="s">
        <v>160</v>
      </c>
      <c r="C2634" s="2">
        <v>1976.0</v>
      </c>
      <c r="D2634" s="9">
        <v>2485.816</v>
      </c>
      <c r="E2634" s="10" t="str">
        <f t="array" ref="E2634">IFS(D2634&lt;=$G$3,'calculated data '!$A$3,D2634&lt;=$G$4,'calculated data '!$A$4,D2634&lt;=$G$6,'calculated data '!$A$5,D2634&gt;=$G$6,'calculated data '!$A$6)</f>
        <v>Low Demand Tier</v>
      </c>
      <c r="F2634" s="10">
        <f t="shared" si="1"/>
        <v>-0.5973725445</v>
      </c>
    </row>
    <row r="2635" ht="14.25" customHeight="1">
      <c r="A2635" s="2" t="s">
        <v>203</v>
      </c>
      <c r="B2635" s="2" t="s">
        <v>204</v>
      </c>
      <c r="C2635" s="2">
        <v>1985.0</v>
      </c>
      <c r="D2635" s="9">
        <v>2487.4792</v>
      </c>
      <c r="E2635" s="10" t="str">
        <f t="array" ref="E2635">IFS(D2635&lt;=$G$3,'calculated data '!$A$3,D2635&lt;=$G$4,'calculated data '!$A$4,D2635&lt;=$G$6,'calculated data '!$A$5,D2635&gt;=$G$6,'calculated data '!$A$6)</f>
        <v>Low Demand Tier</v>
      </c>
      <c r="F2635" s="10">
        <f t="shared" si="1"/>
        <v>-0.59732852</v>
      </c>
    </row>
    <row r="2636" ht="14.25" customHeight="1">
      <c r="A2636" s="2" t="s">
        <v>171</v>
      </c>
      <c r="B2636" s="2" t="s">
        <v>172</v>
      </c>
      <c r="C2636" s="2">
        <v>2018.0</v>
      </c>
      <c r="D2636" s="9">
        <v>2492.8872</v>
      </c>
      <c r="E2636" s="10" t="str">
        <f t="array" ref="E2636">IFS(D2636&lt;=$G$3,'calculated data '!$A$3,D2636&lt;=$G$4,'calculated data '!$A$4,D2636&lt;=$G$6,'calculated data '!$A$5,D2636&gt;=$G$6,'calculated data '!$A$6)</f>
        <v>Low Demand Tier</v>
      </c>
      <c r="F2636" s="10">
        <f t="shared" si="1"/>
        <v>-0.5971853716</v>
      </c>
    </row>
    <row r="2637" ht="14.25" customHeight="1">
      <c r="A2637" s="2" t="s">
        <v>113</v>
      </c>
      <c r="B2637" s="2" t="s">
        <v>114</v>
      </c>
      <c r="C2637" s="2">
        <v>2022.0</v>
      </c>
      <c r="D2637" s="9">
        <v>2493.025</v>
      </c>
      <c r="E2637" s="10" t="str">
        <f t="array" ref="E2637">IFS(D2637&lt;=$G$3,'calculated data '!$A$3,D2637&lt;=$G$4,'calculated data '!$A$4,D2637&lt;=$G$6,'calculated data '!$A$5,D2637&gt;=$G$6,'calculated data '!$A$6)</f>
        <v>Low Demand Tier</v>
      </c>
      <c r="F2637" s="10">
        <f t="shared" si="1"/>
        <v>-0.5971817241</v>
      </c>
    </row>
    <row r="2638" ht="14.25" customHeight="1">
      <c r="A2638" s="2" t="s">
        <v>187</v>
      </c>
      <c r="B2638" s="2" t="s">
        <v>188</v>
      </c>
      <c r="C2638" s="2">
        <v>2002.0</v>
      </c>
      <c r="D2638" s="9">
        <v>2494.55</v>
      </c>
      <c r="E2638" s="10" t="str">
        <f t="array" ref="E2638">IFS(D2638&lt;=$G$3,'calculated data '!$A$3,D2638&lt;=$G$4,'calculated data '!$A$4,D2638&lt;=$G$6,'calculated data '!$A$5,D2638&gt;=$G$6,'calculated data '!$A$6)</f>
        <v>Low Demand Tier</v>
      </c>
      <c r="F2638" s="10">
        <f t="shared" si="1"/>
        <v>-0.5971413577</v>
      </c>
    </row>
    <row r="2639" ht="14.25" customHeight="1">
      <c r="A2639" s="2" t="s">
        <v>219</v>
      </c>
      <c r="B2639" s="2" t="s">
        <v>220</v>
      </c>
      <c r="C2639" s="2">
        <v>2014.0</v>
      </c>
      <c r="D2639" s="9">
        <v>2494.8643</v>
      </c>
      <c r="E2639" s="10" t="str">
        <f t="array" ref="E2639">IFS(D2639&lt;=$G$3,'calculated data '!$A$3,D2639&lt;=$G$4,'calculated data '!$A$4,D2639&lt;=$G$6,'calculated data '!$A$5,D2639&gt;=$G$6,'calculated data '!$A$6)</f>
        <v>Low Demand Tier</v>
      </c>
      <c r="F2639" s="10">
        <f t="shared" si="1"/>
        <v>-0.5971330382</v>
      </c>
    </row>
    <row r="2640" ht="14.25" customHeight="1">
      <c r="A2640" s="2" t="s">
        <v>161</v>
      </c>
      <c r="B2640" s="2" t="s">
        <v>162</v>
      </c>
      <c r="C2640" s="2">
        <v>2016.0</v>
      </c>
      <c r="D2640" s="9">
        <v>2495.0405</v>
      </c>
      <c r="E2640" s="10" t="str">
        <f t="array" ref="E2640">IFS(D2640&lt;=$G$3,'calculated data '!$A$3,D2640&lt;=$G$4,'calculated data '!$A$4,D2640&lt;=$G$6,'calculated data '!$A$5,D2640&gt;=$G$6,'calculated data '!$A$6)</f>
        <v>Low Demand Tier</v>
      </c>
      <c r="F2640" s="10">
        <f t="shared" si="1"/>
        <v>-0.5971283743</v>
      </c>
    </row>
    <row r="2641" ht="14.25" customHeight="1">
      <c r="A2641" s="2" t="s">
        <v>187</v>
      </c>
      <c r="B2641" s="2" t="s">
        <v>188</v>
      </c>
      <c r="C2641" s="2">
        <v>1981.0</v>
      </c>
      <c r="D2641" s="9">
        <v>2495.1516</v>
      </c>
      <c r="E2641" s="10" t="str">
        <f t="array" ref="E2641">IFS(D2641&lt;=$G$3,'calculated data '!$A$3,D2641&lt;=$G$4,'calculated data '!$A$4,D2641&lt;=$G$6,'calculated data '!$A$5,D2641&gt;=$G$6,'calculated data '!$A$6)</f>
        <v>Low Demand Tier</v>
      </c>
      <c r="F2641" s="10">
        <f t="shared" si="1"/>
        <v>-0.5971254335</v>
      </c>
    </row>
    <row r="2642" ht="14.25" customHeight="1">
      <c r="A2642" s="2" t="s">
        <v>157</v>
      </c>
      <c r="B2642" s="2" t="s">
        <v>158</v>
      </c>
      <c r="C2642" s="2">
        <v>2005.0</v>
      </c>
      <c r="D2642" s="9">
        <v>2497.804</v>
      </c>
      <c r="E2642" s="10" t="str">
        <f t="array" ref="E2642">IFS(D2642&lt;=$G$3,'calculated data '!$A$3,D2642&lt;=$G$4,'calculated data '!$A$4,D2642&lt;=$G$6,'calculated data '!$A$5,D2642&gt;=$G$6,'calculated data '!$A$6)</f>
        <v>Low Demand Tier</v>
      </c>
      <c r="F2642" s="10">
        <f t="shared" si="1"/>
        <v>-0.5970552251</v>
      </c>
    </row>
    <row r="2643" ht="14.25" customHeight="1">
      <c r="A2643" s="2" t="s">
        <v>157</v>
      </c>
      <c r="B2643" s="2" t="s">
        <v>158</v>
      </c>
      <c r="C2643" s="2">
        <v>1996.0</v>
      </c>
      <c r="D2643" s="9">
        <v>2498.5754</v>
      </c>
      <c r="E2643" s="10" t="str">
        <f t="array" ref="E2643">IFS(D2643&lt;=$G$3,'calculated data '!$A$3,D2643&lt;=$G$4,'calculated data '!$A$4,D2643&lt;=$G$6,'calculated data '!$A$5,D2643&gt;=$G$6,'calculated data '!$A$6)</f>
        <v>Low Demand Tier</v>
      </c>
      <c r="F2643" s="10">
        <f t="shared" si="1"/>
        <v>-0.5970348064</v>
      </c>
    </row>
    <row r="2644" ht="14.25" customHeight="1">
      <c r="A2644" s="2" t="s">
        <v>171</v>
      </c>
      <c r="B2644" s="2" t="s">
        <v>172</v>
      </c>
      <c r="C2644" s="2">
        <v>2015.0</v>
      </c>
      <c r="D2644" s="9">
        <v>2501.007</v>
      </c>
      <c r="E2644" s="10" t="str">
        <f t="array" ref="E2644">IFS(D2644&lt;=$G$3,'calculated data '!$A$3,D2644&lt;=$G$4,'calculated data '!$A$4,D2644&lt;=$G$6,'calculated data '!$A$5,D2644&gt;=$G$6,'calculated data '!$A$6)</f>
        <v>Low Demand Tier</v>
      </c>
      <c r="F2644" s="10">
        <f t="shared" si="1"/>
        <v>-0.5969704425</v>
      </c>
    </row>
    <row r="2645" ht="14.25" customHeight="1">
      <c r="A2645" s="2" t="s">
        <v>167</v>
      </c>
      <c r="B2645" s="2" t="s">
        <v>168</v>
      </c>
      <c r="C2645" s="2">
        <v>2013.0</v>
      </c>
      <c r="D2645" s="9">
        <v>2503.9155</v>
      </c>
      <c r="E2645" s="10" t="str">
        <f t="array" ref="E2645">IFS(D2645&lt;=$G$3,'calculated data '!$A$3,D2645&lt;=$G$4,'calculated data '!$A$4,D2645&lt;=$G$6,'calculated data '!$A$5,D2645&gt;=$G$6,'calculated data '!$A$6)</f>
        <v>Low Demand Tier</v>
      </c>
      <c r="F2645" s="10">
        <f t="shared" si="1"/>
        <v>-0.5968934552</v>
      </c>
    </row>
    <row r="2646" ht="14.25" customHeight="1">
      <c r="A2646" s="2" t="s">
        <v>79</v>
      </c>
      <c r="B2646" s="2" t="s">
        <v>80</v>
      </c>
      <c r="C2646" s="2">
        <v>2016.0</v>
      </c>
      <c r="D2646" s="9">
        <v>2504.2217</v>
      </c>
      <c r="E2646" s="10" t="str">
        <f t="array" ref="E2646">IFS(D2646&lt;=$G$3,'calculated data '!$A$3,D2646&lt;=$G$4,'calculated data '!$A$4,D2646&lt;=$G$6,'calculated data '!$A$5,D2646&gt;=$G$6,'calculated data '!$A$6)</f>
        <v>Low Demand Tier</v>
      </c>
      <c r="F2646" s="10">
        <f t="shared" si="1"/>
        <v>-0.5968853502</v>
      </c>
    </row>
    <row r="2647" ht="14.25" customHeight="1">
      <c r="A2647" s="2" t="s">
        <v>161</v>
      </c>
      <c r="B2647" s="2" t="s">
        <v>162</v>
      </c>
      <c r="C2647" s="2">
        <v>2008.0</v>
      </c>
      <c r="D2647" s="9">
        <v>2505.3093</v>
      </c>
      <c r="E2647" s="10" t="str">
        <f t="array" ref="E2647">IFS(D2647&lt;=$G$3,'calculated data '!$A$3,D2647&lt;=$G$4,'calculated data '!$A$4,D2647&lt;=$G$6,'calculated data '!$A$5,D2647&gt;=$G$6,'calculated data '!$A$6)</f>
        <v>Low Demand Tier</v>
      </c>
      <c r="F2647" s="10">
        <f t="shared" si="1"/>
        <v>-0.5968565617</v>
      </c>
    </row>
    <row r="2648" ht="14.25" customHeight="1">
      <c r="A2648" s="2" t="s">
        <v>213</v>
      </c>
      <c r="B2648" s="2" t="s">
        <v>214</v>
      </c>
      <c r="C2648" s="2">
        <v>1995.0</v>
      </c>
      <c r="D2648" s="9">
        <v>2505.5374</v>
      </c>
      <c r="E2648" s="10" t="str">
        <f t="array" ref="E2648">IFS(D2648&lt;=$G$3,'calculated data '!$A$3,D2648&lt;=$G$4,'calculated data '!$A$4,D2648&lt;=$G$6,'calculated data '!$A$5,D2648&gt;=$G$6,'calculated data '!$A$6)</f>
        <v>Low Demand Tier</v>
      </c>
      <c r="F2648" s="10">
        <f t="shared" si="1"/>
        <v>-0.596850524</v>
      </c>
    </row>
    <row r="2649" ht="14.25" customHeight="1">
      <c r="A2649" s="2" t="s">
        <v>65</v>
      </c>
      <c r="B2649" s="2" t="s">
        <v>66</v>
      </c>
      <c r="C2649" s="2">
        <v>1990.0</v>
      </c>
      <c r="D2649" s="9">
        <v>2506.8667</v>
      </c>
      <c r="E2649" s="10" t="str">
        <f t="array" ref="E2649">IFS(D2649&lt;=$G$3,'calculated data '!$A$3,D2649&lt;=$G$4,'calculated data '!$A$4,D2649&lt;=$G$6,'calculated data '!$A$5,D2649&gt;=$G$6,'calculated data '!$A$6)</f>
        <v>Low Demand Tier</v>
      </c>
      <c r="F2649" s="10">
        <f t="shared" si="1"/>
        <v>-0.5968153377</v>
      </c>
    </row>
    <row r="2650" ht="14.25" customHeight="1">
      <c r="A2650" s="2" t="s">
        <v>221</v>
      </c>
      <c r="B2650" s="2" t="s">
        <v>222</v>
      </c>
      <c r="C2650" s="2">
        <v>1965.0</v>
      </c>
      <c r="D2650" s="9">
        <v>2507.373</v>
      </c>
      <c r="E2650" s="10" t="str">
        <f t="array" ref="E2650">IFS(D2650&lt;=$G$3,'calculated data '!$A$3,D2650&lt;=$G$4,'calculated data '!$A$4,D2650&lt;=$G$6,'calculated data '!$A$5,D2650&gt;=$G$6,'calculated data '!$A$6)</f>
        <v>Low Demand Tier</v>
      </c>
      <c r="F2650" s="10">
        <f t="shared" si="1"/>
        <v>-0.5968019361</v>
      </c>
    </row>
    <row r="2651" ht="14.25" customHeight="1">
      <c r="A2651" s="2" t="s">
        <v>203</v>
      </c>
      <c r="B2651" s="2" t="s">
        <v>204</v>
      </c>
      <c r="C2651" s="2">
        <v>1984.0</v>
      </c>
      <c r="D2651" s="9">
        <v>2510.119</v>
      </c>
      <c r="E2651" s="10" t="str">
        <f t="array" ref="E2651">IFS(D2651&lt;=$G$3,'calculated data '!$A$3,D2651&lt;=$G$4,'calculated data '!$A$4,D2651&lt;=$G$6,'calculated data '!$A$5,D2651&gt;=$G$6,'calculated data '!$A$6)</f>
        <v>Low Demand Tier</v>
      </c>
      <c r="F2651" s="10">
        <f t="shared" si="1"/>
        <v>-0.5967292501</v>
      </c>
    </row>
    <row r="2652" ht="14.25" customHeight="1">
      <c r="A2652" s="2" t="s">
        <v>213</v>
      </c>
      <c r="B2652" s="2" t="s">
        <v>214</v>
      </c>
      <c r="C2652" s="2">
        <v>1982.0</v>
      </c>
      <c r="D2652" s="9">
        <v>2510.7913</v>
      </c>
      <c r="E2652" s="10" t="str">
        <f t="array" ref="E2652">IFS(D2652&lt;=$G$3,'calculated data '!$A$3,D2652&lt;=$G$4,'calculated data '!$A$4,D2652&lt;=$G$6,'calculated data '!$A$5,D2652&gt;=$G$6,'calculated data '!$A$6)</f>
        <v>Low Demand Tier</v>
      </c>
      <c r="F2652" s="10">
        <f t="shared" si="1"/>
        <v>-0.5967114545</v>
      </c>
    </row>
    <row r="2653" ht="14.25" customHeight="1">
      <c r="A2653" s="2" t="s">
        <v>165</v>
      </c>
      <c r="B2653" s="2" t="s">
        <v>166</v>
      </c>
      <c r="C2653" s="2">
        <v>1990.0</v>
      </c>
      <c r="D2653" s="9">
        <v>2510.983</v>
      </c>
      <c r="E2653" s="10" t="str">
        <f t="array" ref="E2653">IFS(D2653&lt;=$G$3,'calculated data '!$A$3,D2653&lt;=$G$4,'calculated data '!$A$4,D2653&lt;=$G$6,'calculated data '!$A$5,D2653&gt;=$G$6,'calculated data '!$A$6)</f>
        <v>Low Demand Tier</v>
      </c>
      <c r="F2653" s="10">
        <f t="shared" si="1"/>
        <v>-0.5967063803</v>
      </c>
    </row>
    <row r="2654" ht="14.25" customHeight="1">
      <c r="A2654" s="2" t="s">
        <v>181</v>
      </c>
      <c r="B2654" s="2" t="s">
        <v>182</v>
      </c>
      <c r="C2654" s="2">
        <v>2007.0</v>
      </c>
      <c r="D2654" s="9">
        <v>2511.339</v>
      </c>
      <c r="E2654" s="10" t="str">
        <f t="array" ref="E2654">IFS(D2654&lt;=$G$3,'calculated data '!$A$3,D2654&lt;=$G$4,'calculated data '!$A$4,D2654&lt;=$G$6,'calculated data '!$A$5,D2654&gt;=$G$6,'calculated data '!$A$6)</f>
        <v>Low Demand Tier</v>
      </c>
      <c r="F2654" s="10">
        <f t="shared" si="1"/>
        <v>-0.596696957</v>
      </c>
    </row>
    <row r="2655" ht="14.25" customHeight="1">
      <c r="A2655" s="2" t="s">
        <v>135</v>
      </c>
      <c r="B2655" s="2" t="s">
        <v>136</v>
      </c>
      <c r="C2655" s="2">
        <v>2016.0</v>
      </c>
      <c r="D2655" s="9">
        <v>2512.5312</v>
      </c>
      <c r="E2655" s="10" t="str">
        <f t="array" ref="E2655">IFS(D2655&lt;=$G$3,'calculated data '!$A$3,D2655&lt;=$G$4,'calculated data '!$A$4,D2655&lt;=$G$6,'calculated data '!$A$5,D2655&gt;=$G$6,'calculated data '!$A$6)</f>
        <v>Low Demand Tier</v>
      </c>
      <c r="F2655" s="10">
        <f t="shared" si="1"/>
        <v>-0.5966653998</v>
      </c>
    </row>
    <row r="2656" ht="14.25" customHeight="1">
      <c r="A2656" s="2" t="s">
        <v>219</v>
      </c>
      <c r="B2656" s="2" t="s">
        <v>220</v>
      </c>
      <c r="C2656" s="2">
        <v>1980.0</v>
      </c>
      <c r="D2656" s="9">
        <v>2512.6348</v>
      </c>
      <c r="E2656" s="10" t="str">
        <f t="array" ref="E2656">IFS(D2656&lt;=$G$3,'calculated data '!$A$3,D2656&lt;=$G$4,'calculated data '!$A$4,D2656&lt;=$G$6,'calculated data '!$A$5,D2656&gt;=$G$6,'calculated data '!$A$6)</f>
        <v>Low Demand Tier</v>
      </c>
      <c r="F2656" s="10">
        <f t="shared" si="1"/>
        <v>-0.5966626575</v>
      </c>
    </row>
    <row r="2657" ht="14.25" customHeight="1">
      <c r="A2657" s="2" t="s">
        <v>201</v>
      </c>
      <c r="B2657" s="2" t="s">
        <v>202</v>
      </c>
      <c r="C2657" s="2">
        <v>2011.0</v>
      </c>
      <c r="D2657" s="9">
        <v>2514.576</v>
      </c>
      <c r="E2657" s="10" t="str">
        <f t="array" ref="E2657">IFS(D2657&lt;=$G$3,'calculated data '!$A$3,D2657&lt;=$G$4,'calculated data '!$A$4,D2657&lt;=$G$6,'calculated data '!$A$5,D2657&gt;=$G$6,'calculated data '!$A$6)</f>
        <v>Low Demand Tier</v>
      </c>
      <c r="F2657" s="10">
        <f t="shared" si="1"/>
        <v>-0.5966112745</v>
      </c>
    </row>
    <row r="2658" ht="14.25" customHeight="1">
      <c r="A2658" s="2" t="s">
        <v>135</v>
      </c>
      <c r="B2658" s="2" t="s">
        <v>136</v>
      </c>
      <c r="C2658" s="2">
        <v>2015.0</v>
      </c>
      <c r="D2658" s="9">
        <v>2515.0815</v>
      </c>
      <c r="E2658" s="10" t="str">
        <f t="array" ref="E2658">IFS(D2658&lt;=$G$3,'calculated data '!$A$3,D2658&lt;=$G$4,'calculated data '!$A$4,D2658&lt;=$G$6,'calculated data '!$A$5,D2658&gt;=$G$6,'calculated data '!$A$6)</f>
        <v>Low Demand Tier</v>
      </c>
      <c r="F2658" s="10">
        <f t="shared" si="1"/>
        <v>-0.596597894</v>
      </c>
    </row>
    <row r="2659" ht="14.25" customHeight="1">
      <c r="A2659" s="2" t="s">
        <v>203</v>
      </c>
      <c r="B2659" s="2" t="s">
        <v>204</v>
      </c>
      <c r="C2659" s="2">
        <v>1983.0</v>
      </c>
      <c r="D2659" s="9">
        <v>2517.8906</v>
      </c>
      <c r="E2659" s="10" t="str">
        <f t="array" ref="E2659">IFS(D2659&lt;=$G$3,'calculated data '!$A$3,D2659&lt;=$G$4,'calculated data '!$A$4,D2659&lt;=$G$6,'calculated data '!$A$5,D2659&gt;=$G$6,'calculated data '!$A$6)</f>
        <v>Low Demand Tier</v>
      </c>
      <c r="F2659" s="10">
        <f t="shared" si="1"/>
        <v>-0.5965235378</v>
      </c>
    </row>
    <row r="2660" ht="14.25" customHeight="1">
      <c r="A2660" s="2" t="s">
        <v>219</v>
      </c>
      <c r="B2660" s="2" t="s">
        <v>220</v>
      </c>
      <c r="C2660" s="2">
        <v>1991.0</v>
      </c>
      <c r="D2660" s="9">
        <v>2517.9133</v>
      </c>
      <c r="E2660" s="10" t="str">
        <f t="array" ref="E2660">IFS(D2660&lt;=$G$3,'calculated data '!$A$3,D2660&lt;=$G$4,'calculated data '!$A$4,D2660&lt;=$G$6,'calculated data '!$A$5,D2660&gt;=$G$6,'calculated data '!$A$6)</f>
        <v>Low Demand Tier</v>
      </c>
      <c r="F2660" s="10">
        <f t="shared" si="1"/>
        <v>-0.596522937</v>
      </c>
    </row>
    <row r="2661" ht="14.25" customHeight="1">
      <c r="A2661" s="2" t="s">
        <v>205</v>
      </c>
      <c r="B2661" s="2" t="s">
        <v>206</v>
      </c>
      <c r="C2661" s="2">
        <v>1968.0</v>
      </c>
      <c r="D2661" s="9">
        <v>2522.7068</v>
      </c>
      <c r="E2661" s="10" t="str">
        <f t="array" ref="E2661">IFS(D2661&lt;=$G$3,'calculated data '!$A$3,D2661&lt;=$G$4,'calculated data '!$A$4,D2661&lt;=$G$6,'calculated data '!$A$5,D2661&gt;=$G$6,'calculated data '!$A$6)</f>
        <v>Low Demand Tier</v>
      </c>
      <c r="F2661" s="10">
        <f t="shared" si="1"/>
        <v>-0.5963960542</v>
      </c>
    </row>
    <row r="2662" ht="14.25" customHeight="1">
      <c r="A2662" s="2" t="s">
        <v>161</v>
      </c>
      <c r="B2662" s="2" t="s">
        <v>162</v>
      </c>
      <c r="C2662" s="2">
        <v>2015.0</v>
      </c>
      <c r="D2662" s="9">
        <v>2523.6882</v>
      </c>
      <c r="E2662" s="10" t="str">
        <f t="array" ref="E2662">IFS(D2662&lt;=$G$3,'calculated data '!$A$3,D2662&lt;=$G$4,'calculated data '!$A$4,D2662&lt;=$G$6,'calculated data '!$A$5,D2662&gt;=$G$6,'calculated data '!$A$6)</f>
        <v>Low Demand Tier</v>
      </c>
      <c r="F2662" s="10">
        <f t="shared" si="1"/>
        <v>-0.5963700768</v>
      </c>
    </row>
    <row r="2663" ht="14.25" customHeight="1">
      <c r="A2663" s="2" t="s">
        <v>151</v>
      </c>
      <c r="B2663" s="2" t="s">
        <v>152</v>
      </c>
      <c r="C2663" s="2">
        <v>1990.0</v>
      </c>
      <c r="D2663" s="9">
        <v>2524.472</v>
      </c>
      <c r="E2663" s="10" t="str">
        <f t="array" ref="E2663">IFS(D2663&lt;=$G$3,'calculated data '!$A$3,D2663&lt;=$G$4,'calculated data '!$A$4,D2663&lt;=$G$6,'calculated data '!$A$5,D2663&gt;=$G$6,'calculated data '!$A$6)</f>
        <v>Low Demand Tier</v>
      </c>
      <c r="F2663" s="10">
        <f t="shared" si="1"/>
        <v>-0.5963493298</v>
      </c>
    </row>
    <row r="2664" ht="14.25" customHeight="1">
      <c r="A2664" s="2" t="s">
        <v>189</v>
      </c>
      <c r="B2664" s="2" t="s">
        <v>190</v>
      </c>
      <c r="C2664" s="2">
        <v>1991.0</v>
      </c>
      <c r="D2664" s="9">
        <v>2526.3528</v>
      </c>
      <c r="E2664" s="10" t="str">
        <f t="array" ref="E2664">IFS(D2664&lt;=$G$3,'calculated data '!$A$3,D2664&lt;=$G$4,'calculated data '!$A$4,D2664&lt;=$G$6,'calculated data '!$A$5,D2664&gt;=$G$6,'calculated data '!$A$6)</f>
        <v>Low Demand Tier</v>
      </c>
      <c r="F2664" s="10">
        <f t="shared" si="1"/>
        <v>-0.5962995455</v>
      </c>
    </row>
    <row r="2665" ht="14.25" customHeight="1">
      <c r="A2665" s="2" t="s">
        <v>141</v>
      </c>
      <c r="B2665" s="2" t="s">
        <v>142</v>
      </c>
      <c r="C2665" s="2">
        <v>1975.0</v>
      </c>
      <c r="D2665" s="9">
        <v>2527.2468</v>
      </c>
      <c r="E2665" s="10" t="str">
        <f t="array" ref="E2665">IFS(D2665&lt;=$G$3,'calculated data '!$A$3,D2665&lt;=$G$4,'calculated data '!$A$4,D2665&lt;=$G$6,'calculated data '!$A$5,D2665&gt;=$G$6,'calculated data '!$A$6)</f>
        <v>Low Demand Tier</v>
      </c>
      <c r="F2665" s="10">
        <f t="shared" si="1"/>
        <v>-0.5962758815</v>
      </c>
    </row>
    <row r="2666" ht="14.25" customHeight="1">
      <c r="A2666" s="2" t="s">
        <v>213</v>
      </c>
      <c r="B2666" s="2" t="s">
        <v>214</v>
      </c>
      <c r="C2666" s="2">
        <v>1985.0</v>
      </c>
      <c r="D2666" s="9">
        <v>2528.4866</v>
      </c>
      <c r="E2666" s="10" t="str">
        <f t="array" ref="E2666">IFS(D2666&lt;=$G$3,'calculated data '!$A$3,D2666&lt;=$G$4,'calculated data '!$A$4,D2666&lt;=$G$6,'calculated data '!$A$5,D2666&gt;=$G$6,'calculated data '!$A$6)</f>
        <v>Low Demand Tier</v>
      </c>
      <c r="F2666" s="10">
        <f t="shared" si="1"/>
        <v>-0.5962430643</v>
      </c>
    </row>
    <row r="2667" ht="14.25" customHeight="1">
      <c r="A2667" s="2" t="s">
        <v>219</v>
      </c>
      <c r="B2667" s="2" t="s">
        <v>220</v>
      </c>
      <c r="C2667" s="2">
        <v>1993.0</v>
      </c>
      <c r="D2667" s="9">
        <v>2528.719</v>
      </c>
      <c r="E2667" s="10" t="str">
        <f t="array" ref="E2667">IFS(D2667&lt;=$G$3,'calculated data '!$A$3,D2667&lt;=$G$4,'calculated data '!$A$4,D2667&lt;=$G$6,'calculated data '!$A$5,D2667&gt;=$G$6,'calculated data '!$A$6)</f>
        <v>Low Demand Tier</v>
      </c>
      <c r="F2667" s="10">
        <f t="shared" si="1"/>
        <v>-0.5962369128</v>
      </c>
    </row>
    <row r="2668" ht="14.25" customHeight="1">
      <c r="A2668" s="2" t="s">
        <v>189</v>
      </c>
      <c r="B2668" s="2" t="s">
        <v>190</v>
      </c>
      <c r="C2668" s="2">
        <v>1994.0</v>
      </c>
      <c r="D2668" s="9">
        <v>2529.6497</v>
      </c>
      <c r="E2668" s="10" t="str">
        <f t="array" ref="E2668">IFS(D2668&lt;=$G$3,'calculated data '!$A$3,D2668&lt;=$G$4,'calculated data '!$A$4,D2668&lt;=$G$6,'calculated data '!$A$5,D2668&gt;=$G$6,'calculated data '!$A$6)</f>
        <v>Low Demand Tier</v>
      </c>
      <c r="F2668" s="10">
        <f t="shared" si="1"/>
        <v>-0.5962122774</v>
      </c>
    </row>
    <row r="2669" ht="14.25" customHeight="1">
      <c r="A2669" s="2" t="s">
        <v>181</v>
      </c>
      <c r="B2669" s="2" t="s">
        <v>182</v>
      </c>
      <c r="C2669" s="2">
        <v>2021.0</v>
      </c>
      <c r="D2669" s="9">
        <v>2529.961</v>
      </c>
      <c r="E2669" s="10" t="str">
        <f t="array" ref="E2669">IFS(D2669&lt;=$G$3,'calculated data '!$A$3,D2669&lt;=$G$4,'calculated data '!$A$4,D2669&lt;=$G$6,'calculated data '!$A$5,D2669&gt;=$G$6,'calculated data '!$A$6)</f>
        <v>Low Demand Tier</v>
      </c>
      <c r="F2669" s="10">
        <f t="shared" si="1"/>
        <v>-0.5962040373</v>
      </c>
    </row>
    <row r="2670" ht="14.25" customHeight="1">
      <c r="A2670" s="2" t="s">
        <v>157</v>
      </c>
      <c r="B2670" s="2" t="s">
        <v>158</v>
      </c>
      <c r="C2670" s="2">
        <v>1995.0</v>
      </c>
      <c r="D2670" s="9">
        <v>2530.6726</v>
      </c>
      <c r="E2670" s="10" t="str">
        <f t="array" ref="E2670">IFS(D2670&lt;=$G$3,'calculated data '!$A$3,D2670&lt;=$G$4,'calculated data '!$A$4,D2670&lt;=$G$6,'calculated data '!$A$5,D2670&gt;=$G$6,'calculated data '!$A$6)</f>
        <v>Low Demand Tier</v>
      </c>
      <c r="F2670" s="10">
        <f t="shared" si="1"/>
        <v>-0.5961852015</v>
      </c>
    </row>
    <row r="2671" ht="14.25" customHeight="1">
      <c r="A2671" s="2" t="s">
        <v>203</v>
      </c>
      <c r="B2671" s="2" t="s">
        <v>204</v>
      </c>
      <c r="C2671" s="2">
        <v>1982.0</v>
      </c>
      <c r="D2671" s="9">
        <v>2532.934</v>
      </c>
      <c r="E2671" s="10" t="str">
        <f t="array" ref="E2671">IFS(D2671&lt;=$G$3,'calculated data '!$A$3,D2671&lt;=$G$4,'calculated data '!$A$4,D2671&lt;=$G$6,'calculated data '!$A$5,D2671&gt;=$G$6,'calculated data '!$A$6)</f>
        <v>Low Demand Tier</v>
      </c>
      <c r="F2671" s="10">
        <f t="shared" si="1"/>
        <v>-0.5961253428</v>
      </c>
    </row>
    <row r="2672" ht="14.25" customHeight="1">
      <c r="A2672" s="2" t="s">
        <v>179</v>
      </c>
      <c r="B2672" s="2" t="s">
        <v>180</v>
      </c>
      <c r="C2672" s="2">
        <v>1986.0</v>
      </c>
      <c r="D2672" s="9">
        <v>2535.0469</v>
      </c>
      <c r="E2672" s="10" t="str">
        <f t="array" ref="E2672">IFS(D2672&lt;=$G$3,'calculated data '!$A$3,D2672&lt;=$G$4,'calculated data '!$A$4,D2672&lt;=$G$6,'calculated data '!$A$5,D2672&gt;=$G$6,'calculated data '!$A$6)</f>
        <v>Low Demand Tier</v>
      </c>
      <c r="F2672" s="10">
        <f t="shared" si="1"/>
        <v>-0.5960694148</v>
      </c>
    </row>
    <row r="2673" ht="14.25" customHeight="1">
      <c r="A2673" s="2" t="s">
        <v>151</v>
      </c>
      <c r="B2673" s="2" t="s">
        <v>152</v>
      </c>
      <c r="C2673" s="2">
        <v>1991.0</v>
      </c>
      <c r="D2673" s="9">
        <v>2535.8677</v>
      </c>
      <c r="E2673" s="10" t="str">
        <f t="array" ref="E2673">IFS(D2673&lt;=$G$3,'calculated data '!$A$3,D2673&lt;=$G$4,'calculated data '!$A$4,D2673&lt;=$G$6,'calculated data '!$A$5,D2673&gt;=$G$6,'calculated data '!$A$6)</f>
        <v>Low Demand Tier</v>
      </c>
      <c r="F2673" s="10">
        <f t="shared" si="1"/>
        <v>-0.5960476885</v>
      </c>
    </row>
    <row r="2674" ht="14.25" customHeight="1">
      <c r="A2674" s="2" t="s">
        <v>219</v>
      </c>
      <c r="B2674" s="2" t="s">
        <v>220</v>
      </c>
      <c r="C2674" s="2">
        <v>2010.0</v>
      </c>
      <c r="D2674" s="9">
        <v>2536.6453</v>
      </c>
      <c r="E2674" s="10" t="str">
        <f t="array" ref="E2674">IFS(D2674&lt;=$G$3,'calculated data '!$A$3,D2674&lt;=$G$4,'calculated data '!$A$4,D2674&lt;=$G$6,'calculated data '!$A$5,D2674&gt;=$G$6,'calculated data '!$A$6)</f>
        <v>Low Demand Tier</v>
      </c>
      <c r="F2674" s="10">
        <f t="shared" si="1"/>
        <v>-0.5960271056</v>
      </c>
    </row>
    <row r="2675" ht="14.25" customHeight="1">
      <c r="A2675" s="2" t="s">
        <v>129</v>
      </c>
      <c r="B2675" s="2" t="s">
        <v>130</v>
      </c>
      <c r="C2675" s="2">
        <v>1986.0</v>
      </c>
      <c r="D2675" s="9">
        <v>2540.3696</v>
      </c>
      <c r="E2675" s="10" t="str">
        <f t="array" ref="E2675">IFS(D2675&lt;=$G$3,'calculated data '!$A$3,D2675&lt;=$G$4,'calculated data '!$A$4,D2675&lt;=$G$6,'calculated data '!$A$5,D2675&gt;=$G$6,'calculated data '!$A$6)</f>
        <v>Low Demand Tier</v>
      </c>
      <c r="F2675" s="10">
        <f t="shared" si="1"/>
        <v>-0.5959285243</v>
      </c>
    </row>
    <row r="2676" ht="14.25" customHeight="1">
      <c r="A2676" s="2" t="s">
        <v>203</v>
      </c>
      <c r="B2676" s="2" t="s">
        <v>204</v>
      </c>
      <c r="C2676" s="2">
        <v>1981.0</v>
      </c>
      <c r="D2676" s="9">
        <v>2541.901</v>
      </c>
      <c r="E2676" s="10" t="str">
        <f t="array" ref="E2676">IFS(D2676&lt;=$G$3,'calculated data '!$A$3,D2676&lt;=$G$4,'calculated data '!$A$4,D2676&lt;=$G$6,'calculated data '!$A$5,D2676&gt;=$G$6,'calculated data '!$A$6)</f>
        <v>Low Demand Tier</v>
      </c>
      <c r="F2676" s="10">
        <f t="shared" si="1"/>
        <v>-0.5958879885</v>
      </c>
    </row>
    <row r="2677" ht="14.25" customHeight="1">
      <c r="A2677" s="2" t="s">
        <v>169</v>
      </c>
      <c r="B2677" s="2" t="s">
        <v>170</v>
      </c>
      <c r="C2677" s="2">
        <v>2016.0</v>
      </c>
      <c r="D2677" s="9">
        <v>2542.3948</v>
      </c>
      <c r="E2677" s="10" t="str">
        <f t="array" ref="E2677">IFS(D2677&lt;=$G$3,'calculated data '!$A$3,D2677&lt;=$G$4,'calculated data '!$A$4,D2677&lt;=$G$6,'calculated data '!$A$5,D2677&gt;=$G$6,'calculated data '!$A$6)</f>
        <v>Low Demand Tier</v>
      </c>
      <c r="F2677" s="10">
        <f t="shared" si="1"/>
        <v>-0.5958749178</v>
      </c>
    </row>
    <row r="2678" ht="14.25" customHeight="1">
      <c r="A2678" s="2" t="s">
        <v>189</v>
      </c>
      <c r="B2678" s="2" t="s">
        <v>190</v>
      </c>
      <c r="C2678" s="2">
        <v>1992.0</v>
      </c>
      <c r="D2678" s="9">
        <v>2543.5461</v>
      </c>
      <c r="E2678" s="10" t="str">
        <f t="array" ref="E2678">IFS(D2678&lt;=$G$3,'calculated data '!$A$3,D2678&lt;=$G$4,'calculated data '!$A$4,D2678&lt;=$G$6,'calculated data '!$A$5,D2678&gt;=$G$6,'calculated data '!$A$6)</f>
        <v>Low Demand Tier</v>
      </c>
      <c r="F2678" s="10">
        <f t="shared" si="1"/>
        <v>-0.5958444431</v>
      </c>
    </row>
    <row r="2679" ht="14.25" customHeight="1">
      <c r="A2679" s="2" t="s">
        <v>83</v>
      </c>
      <c r="B2679" s="2" t="s">
        <v>84</v>
      </c>
      <c r="C2679" s="2">
        <v>2012.0</v>
      </c>
      <c r="D2679" s="9">
        <v>2548.289</v>
      </c>
      <c r="E2679" s="10" t="str">
        <f t="array" ref="E2679">IFS(D2679&lt;=$G$3,'calculated data '!$A$3,D2679&lt;=$G$4,'calculated data '!$A$4,D2679&lt;=$G$6,'calculated data '!$A$5,D2679&gt;=$G$6,'calculated data '!$A$6)</f>
        <v>Low Demand Tier</v>
      </c>
      <c r="F2679" s="10">
        <f t="shared" si="1"/>
        <v>-0.5957188997</v>
      </c>
    </row>
    <row r="2680" ht="14.25" customHeight="1">
      <c r="A2680" s="2" t="s">
        <v>157</v>
      </c>
      <c r="B2680" s="2" t="s">
        <v>158</v>
      </c>
      <c r="C2680" s="2">
        <v>2006.0</v>
      </c>
      <c r="D2680" s="9">
        <v>2549.8406</v>
      </c>
      <c r="E2680" s="10" t="str">
        <f t="array" ref="E2680">IFS(D2680&lt;=$G$3,'calculated data '!$A$3,D2680&lt;=$G$4,'calculated data '!$A$4,D2680&lt;=$G$6,'calculated data '!$A$5,D2680&gt;=$G$6,'calculated data '!$A$6)</f>
        <v>Low Demand Tier</v>
      </c>
      <c r="F2680" s="10">
        <f t="shared" si="1"/>
        <v>-0.5956778293</v>
      </c>
    </row>
    <row r="2681" ht="14.25" customHeight="1">
      <c r="A2681" s="2" t="s">
        <v>179</v>
      </c>
      <c r="B2681" s="2" t="s">
        <v>180</v>
      </c>
      <c r="C2681" s="2">
        <v>1988.0</v>
      </c>
      <c r="D2681" s="9">
        <v>2550.027</v>
      </c>
      <c r="E2681" s="10" t="str">
        <f t="array" ref="E2681">IFS(D2681&lt;=$G$3,'calculated data '!$A$3,D2681&lt;=$G$4,'calculated data '!$A$4,D2681&lt;=$G$6,'calculated data '!$A$5,D2681&gt;=$G$6,'calculated data '!$A$6)</f>
        <v>Low Demand Tier</v>
      </c>
      <c r="F2681" s="10">
        <f t="shared" si="1"/>
        <v>-0.5956728953</v>
      </c>
    </row>
    <row r="2682" ht="14.25" customHeight="1">
      <c r="A2682" s="2" t="s">
        <v>137</v>
      </c>
      <c r="B2682" s="2" t="s">
        <v>138</v>
      </c>
      <c r="C2682" s="2">
        <v>2019.0</v>
      </c>
      <c r="D2682" s="9">
        <v>2550.4968</v>
      </c>
      <c r="E2682" s="10" t="str">
        <f t="array" ref="E2682">IFS(D2682&lt;=$G$3,'calculated data '!$A$3,D2682&lt;=$G$4,'calculated data '!$A$4,D2682&lt;=$G$6,'calculated data '!$A$5,D2682&gt;=$G$6,'calculated data '!$A$6)</f>
        <v>Low Demand Tier</v>
      </c>
      <c r="F2682" s="10">
        <f t="shared" si="1"/>
        <v>-0.5956604598</v>
      </c>
    </row>
    <row r="2683" ht="14.25" customHeight="1">
      <c r="A2683" s="2" t="s">
        <v>169</v>
      </c>
      <c r="B2683" s="2" t="s">
        <v>170</v>
      </c>
      <c r="C2683" s="2">
        <v>2010.0</v>
      </c>
      <c r="D2683" s="9">
        <v>2552.8572</v>
      </c>
      <c r="E2683" s="10" t="str">
        <f t="array" ref="E2683">IFS(D2683&lt;=$G$3,'calculated data '!$A$3,D2683&lt;=$G$4,'calculated data '!$A$4,D2683&lt;=$G$6,'calculated data '!$A$5,D2683&gt;=$G$6,'calculated data '!$A$6)</f>
        <v>Low Demand Tier</v>
      </c>
      <c r="F2683" s="10">
        <f t="shared" si="1"/>
        <v>-0.5955979806</v>
      </c>
    </row>
    <row r="2684" ht="14.25" customHeight="1">
      <c r="A2684" s="2" t="s">
        <v>177</v>
      </c>
      <c r="B2684" s="2" t="s">
        <v>178</v>
      </c>
      <c r="C2684" s="2">
        <v>2012.0</v>
      </c>
      <c r="D2684" s="9">
        <v>2553.6023</v>
      </c>
      <c r="E2684" s="10" t="str">
        <f t="array" ref="E2684">IFS(D2684&lt;=$G$3,'calculated data '!$A$3,D2684&lt;=$G$4,'calculated data '!$A$4,D2684&lt;=$G$6,'calculated data '!$A$5,D2684&gt;=$G$6,'calculated data '!$A$6)</f>
        <v>Low Demand Tier</v>
      </c>
      <c r="F2684" s="10">
        <f t="shared" si="1"/>
        <v>-0.595578258</v>
      </c>
    </row>
    <row r="2685" ht="14.25" customHeight="1">
      <c r="A2685" s="2" t="s">
        <v>223</v>
      </c>
      <c r="B2685" s="2" t="s">
        <v>224</v>
      </c>
      <c r="C2685" s="2">
        <v>1981.0</v>
      </c>
      <c r="D2685" s="9">
        <v>2554.017</v>
      </c>
      <c r="E2685" s="10" t="str">
        <f t="array" ref="E2685">IFS(D2685&lt;=$G$3,'calculated data '!$A$3,D2685&lt;=$G$4,'calculated data '!$A$4,D2685&lt;=$G$6,'calculated data '!$A$5,D2685&gt;=$G$6,'calculated data '!$A$6)</f>
        <v>Low Demand Tier</v>
      </c>
      <c r="F2685" s="10">
        <f t="shared" si="1"/>
        <v>-0.595567281</v>
      </c>
    </row>
    <row r="2686" ht="14.25" customHeight="1">
      <c r="A2686" s="2" t="s">
        <v>215</v>
      </c>
      <c r="B2686" s="2" t="s">
        <v>216</v>
      </c>
      <c r="C2686" s="2">
        <v>2019.0</v>
      </c>
      <c r="D2686" s="9">
        <v>2556.0027</v>
      </c>
      <c r="E2686" s="10" t="str">
        <f t="array" ref="E2686">IFS(D2686&lt;=$G$3,'calculated data '!$A$3,D2686&lt;=$G$4,'calculated data '!$A$4,D2686&lt;=$G$6,'calculated data '!$A$5,D2686&gt;=$G$6,'calculated data '!$A$6)</f>
        <v>Low Demand Tier</v>
      </c>
      <c r="F2686" s="10">
        <f t="shared" si="1"/>
        <v>-0.59551472</v>
      </c>
    </row>
    <row r="2687" ht="14.25" customHeight="1">
      <c r="A2687" s="2" t="s">
        <v>171</v>
      </c>
      <c r="B2687" s="2" t="s">
        <v>172</v>
      </c>
      <c r="C2687" s="2">
        <v>2019.0</v>
      </c>
      <c r="D2687" s="9">
        <v>2556.1016</v>
      </c>
      <c r="E2687" s="10" t="str">
        <f t="array" ref="E2687">IFS(D2687&lt;=$G$3,'calculated data '!$A$3,D2687&lt;=$G$4,'calculated data '!$A$4,D2687&lt;=$G$6,'calculated data '!$A$5,D2687&gt;=$G$6,'calculated data '!$A$6)</f>
        <v>Low Demand Tier</v>
      </c>
      <c r="F2687" s="10">
        <f t="shared" si="1"/>
        <v>-0.5955121022</v>
      </c>
    </row>
    <row r="2688" ht="14.25" customHeight="1">
      <c r="A2688" s="2" t="s">
        <v>135</v>
      </c>
      <c r="B2688" s="2" t="s">
        <v>136</v>
      </c>
      <c r="C2688" s="2">
        <v>2019.0</v>
      </c>
      <c r="D2688" s="9">
        <v>2559.0237</v>
      </c>
      <c r="E2688" s="10" t="str">
        <f t="array" ref="E2688">IFS(D2688&lt;=$G$3,'calculated data '!$A$3,D2688&lt;=$G$4,'calculated data '!$A$4,D2688&lt;=$G$6,'calculated data '!$A$5,D2688&gt;=$G$6,'calculated data '!$A$6)</f>
        <v>Low Demand Tier</v>
      </c>
      <c r="F2688" s="10">
        <f t="shared" si="1"/>
        <v>-0.5954347549</v>
      </c>
    </row>
    <row r="2689" ht="14.25" customHeight="1">
      <c r="A2689" s="2" t="s">
        <v>187</v>
      </c>
      <c r="B2689" s="2" t="s">
        <v>188</v>
      </c>
      <c r="C2689" s="2">
        <v>2003.0</v>
      </c>
      <c r="D2689" s="9">
        <v>2559.692</v>
      </c>
      <c r="E2689" s="10" t="str">
        <f t="array" ref="E2689">IFS(D2689&lt;=$G$3,'calculated data '!$A$3,D2689&lt;=$G$4,'calculated data '!$A$4,D2689&lt;=$G$6,'calculated data '!$A$5,D2689&gt;=$G$6,'calculated data '!$A$6)</f>
        <v>Low Demand Tier</v>
      </c>
      <c r="F2689" s="10">
        <f t="shared" si="1"/>
        <v>-0.5954170652</v>
      </c>
    </row>
    <row r="2690" ht="14.25" customHeight="1">
      <c r="A2690" s="2" t="s">
        <v>177</v>
      </c>
      <c r="B2690" s="2" t="s">
        <v>178</v>
      </c>
      <c r="C2690" s="2">
        <v>1997.0</v>
      </c>
      <c r="D2690" s="9">
        <v>2564.887</v>
      </c>
      <c r="E2690" s="10" t="str">
        <f t="array" ref="E2690">IFS(D2690&lt;=$G$3,'calculated data '!$A$3,D2690&lt;=$G$4,'calculated data '!$A$4,D2690&lt;=$G$6,'calculated data '!$A$5,D2690&gt;=$G$6,'calculated data '!$A$6)</f>
        <v>Low Demand Tier</v>
      </c>
      <c r="F2690" s="10">
        <f t="shared" si="1"/>
        <v>-0.5952795548</v>
      </c>
    </row>
    <row r="2691" ht="14.25" customHeight="1">
      <c r="A2691" s="2" t="s">
        <v>177</v>
      </c>
      <c r="B2691" s="2" t="s">
        <v>178</v>
      </c>
      <c r="C2691" s="2">
        <v>1996.0</v>
      </c>
      <c r="D2691" s="9">
        <v>2566.4658</v>
      </c>
      <c r="E2691" s="10" t="str">
        <f t="array" ref="E2691">IFS(D2691&lt;=$G$3,'calculated data '!$A$3,D2691&lt;=$G$4,'calculated data '!$A$4,D2691&lt;=$G$6,'calculated data '!$A$5,D2691&gt;=$G$6,'calculated data '!$A$6)</f>
        <v>Low Demand Tier</v>
      </c>
      <c r="F2691" s="10">
        <f t="shared" si="1"/>
        <v>-0.5952377644</v>
      </c>
    </row>
    <row r="2692" ht="14.25" customHeight="1">
      <c r="A2692" s="2" t="s">
        <v>65</v>
      </c>
      <c r="B2692" s="2" t="s">
        <v>66</v>
      </c>
      <c r="C2692" s="2">
        <v>1989.0</v>
      </c>
      <c r="D2692" s="9">
        <v>2569.3418</v>
      </c>
      <c r="E2692" s="10" t="str">
        <f t="array" ref="E2692">IFS(D2692&lt;=$G$3,'calculated data '!$A$3,D2692&lt;=$G$4,'calculated data '!$A$4,D2692&lt;=$G$6,'calculated data '!$A$5,D2692&gt;=$G$6,'calculated data '!$A$6)</f>
        <v>Low Demand Tier</v>
      </c>
      <c r="F2692" s="10">
        <f t="shared" si="1"/>
        <v>-0.5951616374</v>
      </c>
    </row>
    <row r="2693" ht="14.25" customHeight="1">
      <c r="A2693" s="2" t="s">
        <v>219</v>
      </c>
      <c r="B2693" s="2" t="s">
        <v>220</v>
      </c>
      <c r="C2693" s="2">
        <v>2011.0</v>
      </c>
      <c r="D2693" s="9">
        <v>2569.3591</v>
      </c>
      <c r="E2693" s="10" t="str">
        <f t="array" ref="E2693">IFS(D2693&lt;=$G$3,'calculated data '!$A$3,D2693&lt;=$G$4,'calculated data '!$A$4,D2693&lt;=$G$6,'calculated data '!$A$5,D2693&gt;=$G$6,'calculated data '!$A$6)</f>
        <v>Low Demand Tier</v>
      </c>
      <c r="F2693" s="10">
        <f t="shared" si="1"/>
        <v>-0.5951611794</v>
      </c>
    </row>
    <row r="2694" ht="14.25" customHeight="1">
      <c r="A2694" s="2" t="s">
        <v>137</v>
      </c>
      <c r="B2694" s="2" t="s">
        <v>138</v>
      </c>
      <c r="C2694" s="2">
        <v>2018.0</v>
      </c>
      <c r="D2694" s="9">
        <v>2569.6995</v>
      </c>
      <c r="E2694" s="10" t="str">
        <f t="array" ref="E2694">IFS(D2694&lt;=$G$3,'calculated data '!$A$3,D2694&lt;=$G$4,'calculated data '!$A$4,D2694&lt;=$G$6,'calculated data '!$A$5,D2694&gt;=$G$6,'calculated data '!$A$6)</f>
        <v>Low Demand Tier</v>
      </c>
      <c r="F2694" s="10">
        <f t="shared" si="1"/>
        <v>-0.5951521691</v>
      </c>
    </row>
    <row r="2695" ht="14.25" customHeight="1">
      <c r="A2695" s="2" t="s">
        <v>213</v>
      </c>
      <c r="B2695" s="2" t="s">
        <v>214</v>
      </c>
      <c r="C2695" s="2">
        <v>1981.0</v>
      </c>
      <c r="D2695" s="9">
        <v>2570.7314</v>
      </c>
      <c r="E2695" s="10" t="str">
        <f t="array" ref="E2695">IFS(D2695&lt;=$G$3,'calculated data '!$A$3,D2695&lt;=$G$4,'calculated data '!$A$4,D2695&lt;=$G$6,'calculated data '!$A$5,D2695&gt;=$G$6,'calculated data '!$A$6)</f>
        <v>Low Demand Tier</v>
      </c>
      <c r="F2695" s="10">
        <f t="shared" si="1"/>
        <v>-0.595124855</v>
      </c>
    </row>
    <row r="2696" ht="14.25" customHeight="1">
      <c r="A2696" s="2" t="s">
        <v>157</v>
      </c>
      <c r="B2696" s="2" t="s">
        <v>158</v>
      </c>
      <c r="C2696" s="2">
        <v>2022.0</v>
      </c>
      <c r="D2696" s="9">
        <v>2571.2017</v>
      </c>
      <c r="E2696" s="10" t="str">
        <f t="array" ref="E2696">IFS(D2696&lt;=$G$3,'calculated data '!$A$3,D2696&lt;=$G$4,'calculated data '!$A$4,D2696&lt;=$G$6,'calculated data '!$A$5,D2696&gt;=$G$6,'calculated data '!$A$6)</f>
        <v>Low Demand Tier</v>
      </c>
      <c r="F2696" s="10">
        <f t="shared" si="1"/>
        <v>-0.5951124063</v>
      </c>
    </row>
    <row r="2697" ht="14.25" customHeight="1">
      <c r="A2697" s="2" t="s">
        <v>157</v>
      </c>
      <c r="B2697" s="2" t="s">
        <v>158</v>
      </c>
      <c r="C2697" s="2">
        <v>2007.0</v>
      </c>
      <c r="D2697" s="9">
        <v>2571.557</v>
      </c>
      <c r="E2697" s="10" t="str">
        <f t="array" ref="E2697">IFS(D2697&lt;=$G$3,'calculated data '!$A$3,D2697&lt;=$G$4,'calculated data '!$A$4,D2697&lt;=$G$6,'calculated data '!$A$5,D2697&gt;=$G$6,'calculated data '!$A$6)</f>
        <v>Low Demand Tier</v>
      </c>
      <c r="F2697" s="10">
        <f t="shared" si="1"/>
        <v>-0.5951030016</v>
      </c>
    </row>
    <row r="2698" ht="14.25" customHeight="1">
      <c r="A2698" s="2" t="s">
        <v>157</v>
      </c>
      <c r="B2698" s="2" t="s">
        <v>158</v>
      </c>
      <c r="C2698" s="2">
        <v>1994.0</v>
      </c>
      <c r="D2698" s="9">
        <v>2571.851</v>
      </c>
      <c r="E2698" s="10" t="str">
        <f t="array" ref="E2698">IFS(D2698&lt;=$G$3,'calculated data '!$A$3,D2698&lt;=$G$4,'calculated data '!$A$4,D2698&lt;=$G$6,'calculated data '!$A$5,D2698&gt;=$G$6,'calculated data '!$A$6)</f>
        <v>Low Demand Tier</v>
      </c>
      <c r="F2698" s="10">
        <f t="shared" si="1"/>
        <v>-0.5950952195</v>
      </c>
    </row>
    <row r="2699" ht="14.25" customHeight="1">
      <c r="A2699" s="2" t="s">
        <v>199</v>
      </c>
      <c r="B2699" s="2" t="s">
        <v>200</v>
      </c>
      <c r="C2699" s="2">
        <v>1994.0</v>
      </c>
      <c r="D2699" s="9">
        <v>2572.545</v>
      </c>
      <c r="E2699" s="10" t="str">
        <f t="array" ref="E2699">IFS(D2699&lt;=$G$3,'calculated data '!$A$3,D2699&lt;=$G$4,'calculated data '!$A$4,D2699&lt;=$G$6,'calculated data '!$A$5,D2699&gt;=$G$6,'calculated data '!$A$6)</f>
        <v>Low Demand Tier</v>
      </c>
      <c r="F2699" s="10">
        <f t="shared" si="1"/>
        <v>-0.5950768495</v>
      </c>
    </row>
    <row r="2700" ht="14.25" customHeight="1">
      <c r="A2700" s="2" t="s">
        <v>113</v>
      </c>
      <c r="B2700" s="2" t="s">
        <v>114</v>
      </c>
      <c r="C2700" s="2">
        <v>2024.0</v>
      </c>
      <c r="D2700" s="9">
        <v>2573.659</v>
      </c>
      <c r="E2700" s="10" t="str">
        <f t="array" ref="E2700">IFS(D2700&lt;=$G$3,'calculated data '!$A$3,D2700&lt;=$G$4,'calculated data '!$A$4,D2700&lt;=$G$6,'calculated data '!$A$5,D2700&gt;=$G$6,'calculated data '!$A$6)</f>
        <v>Low Demand Tier</v>
      </c>
      <c r="F2700" s="10">
        <f t="shared" si="1"/>
        <v>-0.5950473622</v>
      </c>
    </row>
    <row r="2701" ht="14.25" customHeight="1">
      <c r="A2701" s="2" t="s">
        <v>219</v>
      </c>
      <c r="B2701" s="2" t="s">
        <v>220</v>
      </c>
      <c r="C2701" s="2">
        <v>1992.0</v>
      </c>
      <c r="D2701" s="9">
        <v>2576.6426</v>
      </c>
      <c r="E2701" s="10" t="str">
        <f t="array" ref="E2701">IFS(D2701&lt;=$G$3,'calculated data '!$A$3,D2701&lt;=$G$4,'calculated data '!$A$4,D2701&lt;=$G$6,'calculated data '!$A$5,D2701&gt;=$G$6,'calculated data '!$A$6)</f>
        <v>Low Demand Tier</v>
      </c>
      <c r="F2701" s="10">
        <f t="shared" si="1"/>
        <v>-0.594968387</v>
      </c>
    </row>
    <row r="2702" ht="14.25" customHeight="1">
      <c r="A2702" s="2" t="s">
        <v>137</v>
      </c>
      <c r="B2702" s="2" t="s">
        <v>138</v>
      </c>
      <c r="C2702" s="2">
        <v>2017.0</v>
      </c>
      <c r="D2702" s="9">
        <v>2577.6243</v>
      </c>
      <c r="E2702" s="10" t="str">
        <f t="array" ref="E2702">IFS(D2702&lt;=$G$3,'calculated data '!$A$3,D2702&lt;=$G$4,'calculated data '!$A$4,D2702&lt;=$G$6,'calculated data '!$A$5,D2702&gt;=$G$6,'calculated data '!$A$6)</f>
        <v>Low Demand Tier</v>
      </c>
      <c r="F2702" s="10">
        <f t="shared" si="1"/>
        <v>-0.5949424017</v>
      </c>
    </row>
    <row r="2703" ht="14.25" customHeight="1">
      <c r="A2703" s="2" t="s">
        <v>173</v>
      </c>
      <c r="B2703" s="2" t="s">
        <v>174</v>
      </c>
      <c r="C2703" s="2">
        <v>2022.0</v>
      </c>
      <c r="D2703" s="9">
        <v>2579.7683</v>
      </c>
      <c r="E2703" s="10" t="str">
        <f t="array" ref="E2703">IFS(D2703&lt;=$G$3,'calculated data '!$A$3,D2703&lt;=$G$4,'calculated data '!$A$4,D2703&lt;=$G$6,'calculated data '!$A$5,D2703&gt;=$G$6,'calculated data '!$A$6)</f>
        <v>Low Demand Tier</v>
      </c>
      <c r="F2703" s="10">
        <f t="shared" si="1"/>
        <v>-0.5948856505</v>
      </c>
    </row>
    <row r="2704" ht="14.25" customHeight="1">
      <c r="A2704" s="2" t="s">
        <v>223</v>
      </c>
      <c r="B2704" s="2" t="s">
        <v>224</v>
      </c>
      <c r="C2704" s="2">
        <v>1980.0</v>
      </c>
      <c r="D2704" s="9">
        <v>2581.9207</v>
      </c>
      <c r="E2704" s="10" t="str">
        <f t="array" ref="E2704">IFS(D2704&lt;=$G$3,'calculated data '!$A$3,D2704&lt;=$G$4,'calculated data '!$A$4,D2704&lt;=$G$6,'calculated data '!$A$5,D2704&gt;=$G$6,'calculated data '!$A$6)</f>
        <v>Low Demand Tier</v>
      </c>
      <c r="F2704" s="10">
        <f t="shared" si="1"/>
        <v>-0.594828677</v>
      </c>
    </row>
    <row r="2705" ht="14.25" customHeight="1">
      <c r="A2705" s="2" t="s">
        <v>165</v>
      </c>
      <c r="B2705" s="2" t="s">
        <v>166</v>
      </c>
      <c r="C2705" s="2">
        <v>1991.0</v>
      </c>
      <c r="D2705" s="9">
        <v>2583.7092</v>
      </c>
      <c r="E2705" s="10" t="str">
        <f t="array" ref="E2705">IFS(D2705&lt;=$G$3,'calculated data '!$A$3,D2705&lt;=$G$4,'calculated data '!$A$4,D2705&lt;=$G$6,'calculated data '!$A$5,D2705&gt;=$G$6,'calculated data '!$A$6)</f>
        <v>Low Demand Tier</v>
      </c>
      <c r="F2705" s="10">
        <f t="shared" si="1"/>
        <v>-0.5947813359</v>
      </c>
    </row>
    <row r="2706" ht="14.25" customHeight="1">
      <c r="A2706" s="2" t="s">
        <v>207</v>
      </c>
      <c r="B2706" s="2" t="s">
        <v>208</v>
      </c>
      <c r="C2706" s="2">
        <v>1970.0</v>
      </c>
      <c r="D2706" s="9">
        <v>2584.4866</v>
      </c>
      <c r="E2706" s="10" t="str">
        <f t="array" ref="E2706">IFS(D2706&lt;=$G$3,'calculated data '!$A$3,D2706&lt;=$G$4,'calculated data '!$A$4,D2706&lt;=$G$6,'calculated data '!$A$5,D2706&gt;=$G$6,'calculated data '!$A$6)</f>
        <v>Low Demand Tier</v>
      </c>
      <c r="F2706" s="10">
        <f t="shared" si="1"/>
        <v>-0.5947607583</v>
      </c>
    </row>
    <row r="2707" ht="14.25" customHeight="1">
      <c r="A2707" s="2" t="s">
        <v>163</v>
      </c>
      <c r="B2707" s="2" t="s">
        <v>164</v>
      </c>
      <c r="C2707" s="2">
        <v>1987.0</v>
      </c>
      <c r="D2707" s="9">
        <v>2584.5645</v>
      </c>
      <c r="E2707" s="10" t="str">
        <f t="array" ref="E2707">IFS(D2707&lt;=$G$3,'calculated data '!$A$3,D2707&lt;=$G$4,'calculated data '!$A$4,D2707&lt;=$G$6,'calculated data '!$A$5,D2707&gt;=$G$6,'calculated data '!$A$6)</f>
        <v>Low Demand Tier</v>
      </c>
      <c r="F2707" s="10">
        <f t="shared" si="1"/>
        <v>-0.5947586963</v>
      </c>
    </row>
    <row r="2708" ht="14.25" customHeight="1">
      <c r="A2708" s="2" t="s">
        <v>223</v>
      </c>
      <c r="B2708" s="2" t="s">
        <v>224</v>
      </c>
      <c r="C2708" s="2">
        <v>1988.0</v>
      </c>
      <c r="D2708" s="9">
        <v>2585.5305</v>
      </c>
      <c r="E2708" s="10" t="str">
        <f t="array" ref="E2708">IFS(D2708&lt;=$G$3,'calculated data '!$A$3,D2708&lt;=$G$4,'calculated data '!$A$4,D2708&lt;=$G$6,'calculated data '!$A$5,D2708&gt;=$G$6,'calculated data '!$A$6)</f>
        <v>Low Demand Tier</v>
      </c>
      <c r="F2708" s="10">
        <f t="shared" si="1"/>
        <v>-0.5947331265</v>
      </c>
    </row>
    <row r="2709" ht="14.25" customHeight="1">
      <c r="A2709" s="2" t="s">
        <v>193</v>
      </c>
      <c r="B2709" s="2" t="s">
        <v>194</v>
      </c>
      <c r="C2709" s="2">
        <v>1971.0</v>
      </c>
      <c r="D2709" s="9">
        <v>2586.452</v>
      </c>
      <c r="E2709" s="10" t="str">
        <f t="array" ref="E2709">IFS(D2709&lt;=$G$3,'calculated data '!$A$3,D2709&lt;=$G$4,'calculated data '!$A$4,D2709&lt;=$G$6,'calculated data '!$A$5,D2709&gt;=$G$6,'calculated data '!$A$6)</f>
        <v>Low Demand Tier</v>
      </c>
      <c r="F2709" s="10">
        <f t="shared" si="1"/>
        <v>-0.5947087346</v>
      </c>
    </row>
    <row r="2710" ht="14.25" customHeight="1">
      <c r="A2710" s="2" t="s">
        <v>171</v>
      </c>
      <c r="B2710" s="2" t="s">
        <v>172</v>
      </c>
      <c r="C2710" s="2">
        <v>2021.0</v>
      </c>
      <c r="D2710" s="9">
        <v>2586.9448</v>
      </c>
      <c r="E2710" s="10" t="str">
        <f t="array" ref="E2710">IFS(D2710&lt;=$G$3,'calculated data '!$A$3,D2710&lt;=$G$4,'calculated data '!$A$4,D2710&lt;=$G$6,'calculated data '!$A$5,D2710&gt;=$G$6,'calculated data '!$A$6)</f>
        <v>Low Demand Tier</v>
      </c>
      <c r="F2710" s="10">
        <f t="shared" si="1"/>
        <v>-0.5946956903</v>
      </c>
    </row>
    <row r="2711" ht="14.25" customHeight="1">
      <c r="A2711" s="2" t="s">
        <v>151</v>
      </c>
      <c r="B2711" s="2" t="s">
        <v>152</v>
      </c>
      <c r="C2711" s="2">
        <v>1992.0</v>
      </c>
      <c r="D2711" s="9">
        <v>2587.7197</v>
      </c>
      <c r="E2711" s="10" t="str">
        <f t="array" ref="E2711">IFS(D2711&lt;=$G$3,'calculated data '!$A$3,D2711&lt;=$G$4,'calculated data '!$A$4,D2711&lt;=$G$6,'calculated data '!$A$5,D2711&gt;=$G$6,'calculated data '!$A$6)</f>
        <v>Low Demand Tier</v>
      </c>
      <c r="F2711" s="10">
        <f t="shared" si="1"/>
        <v>-0.5946751789</v>
      </c>
    </row>
    <row r="2712" ht="14.25" customHeight="1">
      <c r="A2712" s="2" t="s">
        <v>223</v>
      </c>
      <c r="B2712" s="2" t="s">
        <v>224</v>
      </c>
      <c r="C2712" s="2">
        <v>1987.0</v>
      </c>
      <c r="D2712" s="9">
        <v>2589.355</v>
      </c>
      <c r="E2712" s="10" t="str">
        <f t="array" ref="E2712">IFS(D2712&lt;=$G$3,'calculated data '!$A$3,D2712&lt;=$G$4,'calculated data '!$A$4,D2712&lt;=$G$6,'calculated data '!$A$5,D2712&gt;=$G$6,'calculated data '!$A$6)</f>
        <v>Low Demand Tier</v>
      </c>
      <c r="F2712" s="10">
        <f t="shared" si="1"/>
        <v>-0.594631893</v>
      </c>
    </row>
    <row r="2713" ht="14.25" customHeight="1">
      <c r="A2713" s="2" t="s">
        <v>179</v>
      </c>
      <c r="B2713" s="2" t="s">
        <v>180</v>
      </c>
      <c r="C2713" s="2">
        <v>1985.0</v>
      </c>
      <c r="D2713" s="9">
        <v>2589.9238</v>
      </c>
      <c r="E2713" s="10" t="str">
        <f t="array" ref="E2713">IFS(D2713&lt;=$G$3,'calculated data '!$A$3,D2713&lt;=$G$4,'calculated data '!$A$4,D2713&lt;=$G$6,'calculated data '!$A$5,D2713&gt;=$G$6,'calculated data '!$A$6)</f>
        <v>Low Demand Tier</v>
      </c>
      <c r="F2713" s="10">
        <f t="shared" si="1"/>
        <v>-0.594616837</v>
      </c>
    </row>
    <row r="2714" ht="14.25" customHeight="1">
      <c r="A2714" s="2" t="s">
        <v>185</v>
      </c>
      <c r="B2714" s="2" t="s">
        <v>186</v>
      </c>
      <c r="C2714" s="2">
        <v>1991.0</v>
      </c>
      <c r="D2714" s="9">
        <v>2592.0837</v>
      </c>
      <c r="E2714" s="10" t="str">
        <f t="array" ref="E2714">IFS(D2714&lt;=$G$3,'calculated data '!$A$3,D2714&lt;=$G$4,'calculated data '!$A$4,D2714&lt;=$G$6,'calculated data '!$A$5,D2714&gt;=$G$6,'calculated data '!$A$6)</f>
        <v>Low Demand Tier</v>
      </c>
      <c r="F2714" s="10">
        <f t="shared" si="1"/>
        <v>-0.5945596649</v>
      </c>
    </row>
    <row r="2715" ht="14.25" customHeight="1">
      <c r="A2715" s="2" t="s">
        <v>225</v>
      </c>
      <c r="B2715" s="2" t="s">
        <v>226</v>
      </c>
      <c r="C2715" s="2">
        <v>1987.0</v>
      </c>
      <c r="D2715" s="9">
        <v>2593.108</v>
      </c>
      <c r="E2715" s="10" t="str">
        <f t="array" ref="E2715">IFS(D2715&lt;=$G$3,'calculated data '!$A$3,D2715&lt;=$G$4,'calculated data '!$A$4,D2715&lt;=$G$6,'calculated data '!$A$5,D2715&gt;=$G$6,'calculated data '!$A$6)</f>
        <v>Low Demand Tier</v>
      </c>
      <c r="F2715" s="10">
        <f t="shared" si="1"/>
        <v>-0.594532552</v>
      </c>
    </row>
    <row r="2716" ht="14.25" customHeight="1">
      <c r="A2716" s="2" t="s">
        <v>191</v>
      </c>
      <c r="B2716" s="2" t="s">
        <v>192</v>
      </c>
      <c r="C2716" s="2">
        <v>1982.0</v>
      </c>
      <c r="D2716" s="9">
        <v>2594.6523</v>
      </c>
      <c r="E2716" s="10" t="str">
        <f t="array" ref="E2716">IFS(D2716&lt;=$G$3,'calculated data '!$A$3,D2716&lt;=$G$4,'calculated data '!$A$4,D2716&lt;=$G$6,'calculated data '!$A$5,D2716&gt;=$G$6,'calculated data '!$A$6)</f>
        <v>Low Demand Tier</v>
      </c>
      <c r="F2716" s="10">
        <f t="shared" si="1"/>
        <v>-0.5944916747</v>
      </c>
    </row>
    <row r="2717" ht="14.25" customHeight="1">
      <c r="A2717" s="2" t="s">
        <v>217</v>
      </c>
      <c r="B2717" s="2" t="s">
        <v>218</v>
      </c>
      <c r="C2717" s="2">
        <v>1973.0</v>
      </c>
      <c r="D2717" s="9">
        <v>2595.4402</v>
      </c>
      <c r="E2717" s="10" t="str">
        <f t="array" ref="E2717">IFS(D2717&lt;=$G$3,'calculated data '!$A$3,D2717&lt;=$G$4,'calculated data '!$A$4,D2717&lt;=$G$6,'calculated data '!$A$5,D2717&gt;=$G$6,'calculated data '!$A$6)</f>
        <v>Low Demand Tier</v>
      </c>
      <c r="F2717" s="10">
        <f t="shared" si="1"/>
        <v>-0.5944708192</v>
      </c>
    </row>
    <row r="2718" ht="14.25" customHeight="1">
      <c r="A2718" s="2" t="s">
        <v>151</v>
      </c>
      <c r="B2718" s="2" t="s">
        <v>152</v>
      </c>
      <c r="C2718" s="2">
        <v>1993.0</v>
      </c>
      <c r="D2718" s="9">
        <v>2597.1643</v>
      </c>
      <c r="E2718" s="10" t="str">
        <f t="array" ref="E2718">IFS(D2718&lt;=$G$3,'calculated data '!$A$3,D2718&lt;=$G$4,'calculated data '!$A$4,D2718&lt;=$G$6,'calculated data '!$A$5,D2718&gt;=$G$6,'calculated data '!$A$6)</f>
        <v>Low Demand Tier</v>
      </c>
      <c r="F2718" s="10">
        <f t="shared" si="1"/>
        <v>-0.5944251827</v>
      </c>
    </row>
    <row r="2719" ht="14.25" customHeight="1">
      <c r="A2719" s="2" t="s">
        <v>191</v>
      </c>
      <c r="B2719" s="2" t="s">
        <v>192</v>
      </c>
      <c r="C2719" s="2">
        <v>1981.0</v>
      </c>
      <c r="D2719" s="9">
        <v>2597.6882</v>
      </c>
      <c r="E2719" s="10" t="str">
        <f t="array" ref="E2719">IFS(D2719&lt;=$G$3,'calculated data '!$A$3,D2719&lt;=$G$4,'calculated data '!$A$4,D2719&lt;=$G$6,'calculated data '!$A$5,D2719&gt;=$G$6,'calculated data '!$A$6)</f>
        <v>Low Demand Tier</v>
      </c>
      <c r="F2719" s="10">
        <f t="shared" si="1"/>
        <v>-0.5944113152</v>
      </c>
    </row>
    <row r="2720" ht="14.25" customHeight="1">
      <c r="A2720" s="2" t="s">
        <v>205</v>
      </c>
      <c r="B2720" s="2" t="s">
        <v>206</v>
      </c>
      <c r="C2720" s="2">
        <v>1972.0</v>
      </c>
      <c r="D2720" s="9">
        <v>2597.7014</v>
      </c>
      <c r="E2720" s="10" t="str">
        <f t="array" ref="E2720">IFS(D2720&lt;=$G$3,'calculated data '!$A$3,D2720&lt;=$G$4,'calculated data '!$A$4,D2720&lt;=$G$6,'calculated data '!$A$5,D2720&gt;=$G$6,'calculated data '!$A$6)</f>
        <v>Low Demand Tier</v>
      </c>
      <c r="F2720" s="10">
        <f t="shared" si="1"/>
        <v>-0.5944109658</v>
      </c>
    </row>
    <row r="2721" ht="14.25" customHeight="1">
      <c r="A2721" s="2" t="s">
        <v>215</v>
      </c>
      <c r="B2721" s="2" t="s">
        <v>216</v>
      </c>
      <c r="C2721" s="2">
        <v>2017.0</v>
      </c>
      <c r="D2721" s="9">
        <v>2598.589</v>
      </c>
      <c r="E2721" s="10" t="str">
        <f t="array" ref="E2721">IFS(D2721&lt;=$G$3,'calculated data '!$A$3,D2721&lt;=$G$4,'calculated data '!$A$4,D2721&lt;=$G$6,'calculated data '!$A$5,D2721&gt;=$G$6,'calculated data '!$A$6)</f>
        <v>Low Demand Tier</v>
      </c>
      <c r="F2721" s="10">
        <f t="shared" si="1"/>
        <v>-0.5943874713</v>
      </c>
    </row>
    <row r="2722" ht="14.25" customHeight="1">
      <c r="A2722" s="2" t="s">
        <v>161</v>
      </c>
      <c r="B2722" s="2" t="s">
        <v>162</v>
      </c>
      <c r="C2722" s="2">
        <v>2007.0</v>
      </c>
      <c r="D2722" s="9">
        <v>2605.2793</v>
      </c>
      <c r="E2722" s="10" t="str">
        <f t="array" ref="E2722">IFS(D2722&lt;=$G$3,'calculated data '!$A$3,D2722&lt;=$G$4,'calculated data '!$A$4,D2722&lt;=$G$6,'calculated data '!$A$5,D2722&gt;=$G$6,'calculated data '!$A$6)</f>
        <v>Low Demand Tier</v>
      </c>
      <c r="F2722" s="10">
        <f t="shared" si="1"/>
        <v>-0.5942103807</v>
      </c>
    </row>
    <row r="2723" ht="14.25" customHeight="1">
      <c r="A2723" s="2" t="s">
        <v>141</v>
      </c>
      <c r="B2723" s="2" t="s">
        <v>142</v>
      </c>
      <c r="C2723" s="2">
        <v>1976.0</v>
      </c>
      <c r="D2723" s="9">
        <v>2605.6287</v>
      </c>
      <c r="E2723" s="10" t="str">
        <f t="array" ref="E2723">IFS(D2723&lt;=$G$3,'calculated data '!$A$3,D2723&lt;=$G$4,'calculated data '!$A$4,D2723&lt;=$G$6,'calculated data '!$A$5,D2723&gt;=$G$6,'calculated data '!$A$6)</f>
        <v>Low Demand Tier</v>
      </c>
      <c r="F2723" s="10">
        <f t="shared" si="1"/>
        <v>-0.5942011322</v>
      </c>
    </row>
    <row r="2724" ht="14.25" customHeight="1">
      <c r="A2724" s="2" t="s">
        <v>201</v>
      </c>
      <c r="B2724" s="2" t="s">
        <v>202</v>
      </c>
      <c r="C2724" s="2">
        <v>2010.0</v>
      </c>
      <c r="D2724" s="9">
        <v>2608.9119</v>
      </c>
      <c r="E2724" s="10" t="str">
        <f t="array" ref="E2724">IFS(D2724&lt;=$G$3,'calculated data '!$A$3,D2724&lt;=$G$4,'calculated data '!$A$4,D2724&lt;=$G$6,'calculated data '!$A$5,D2724&gt;=$G$6,'calculated data '!$A$6)</f>
        <v>Low Demand Tier</v>
      </c>
      <c r="F2724" s="10">
        <f t="shared" si="1"/>
        <v>-0.5941142267</v>
      </c>
    </row>
    <row r="2725" ht="14.25" customHeight="1">
      <c r="A2725" s="2" t="s">
        <v>51</v>
      </c>
      <c r="B2725" s="2" t="s">
        <v>52</v>
      </c>
      <c r="C2725" s="2">
        <v>2001.0</v>
      </c>
      <c r="D2725" s="9">
        <v>2609.0227</v>
      </c>
      <c r="E2725" s="10" t="str">
        <f t="array" ref="E2725">IFS(D2725&lt;=$G$3,'calculated data '!$A$3,D2725&lt;=$G$4,'calculated data '!$A$4,D2725&lt;=$G$6,'calculated data '!$A$5,D2725&gt;=$G$6,'calculated data '!$A$6)</f>
        <v>Low Demand Tier</v>
      </c>
      <c r="F2725" s="10">
        <f t="shared" si="1"/>
        <v>-0.5941112938</v>
      </c>
    </row>
    <row r="2726" ht="14.25" customHeight="1">
      <c r="A2726" s="2" t="s">
        <v>161</v>
      </c>
      <c r="B2726" s="2" t="s">
        <v>162</v>
      </c>
      <c r="C2726" s="2">
        <v>2012.0</v>
      </c>
      <c r="D2726" s="9">
        <v>2610.5874</v>
      </c>
      <c r="E2726" s="10" t="str">
        <f t="array" ref="E2726">IFS(D2726&lt;=$G$3,'calculated data '!$A$3,D2726&lt;=$G$4,'calculated data '!$A$4,D2726&lt;=$G$6,'calculated data '!$A$5,D2726&gt;=$G$6,'calculated data '!$A$6)</f>
        <v>Low Demand Tier</v>
      </c>
      <c r="F2726" s="10">
        <f t="shared" si="1"/>
        <v>-0.5940698766</v>
      </c>
    </row>
    <row r="2727" ht="14.25" customHeight="1">
      <c r="A2727" s="2" t="s">
        <v>223</v>
      </c>
      <c r="B2727" s="2" t="s">
        <v>224</v>
      </c>
      <c r="C2727" s="2">
        <v>1986.0</v>
      </c>
      <c r="D2727" s="9">
        <v>2610.625</v>
      </c>
      <c r="E2727" s="10" t="str">
        <f t="array" ref="E2727">IFS(D2727&lt;=$G$3,'calculated data '!$A$3,D2727&lt;=$G$4,'calculated data '!$A$4,D2727&lt;=$G$6,'calculated data '!$A$5,D2727&gt;=$G$6,'calculated data '!$A$6)</f>
        <v>Low Demand Tier</v>
      </c>
      <c r="F2727" s="10">
        <f t="shared" si="1"/>
        <v>-0.5940688814</v>
      </c>
    </row>
    <row r="2728" ht="14.25" customHeight="1">
      <c r="A2728" s="2" t="s">
        <v>213</v>
      </c>
      <c r="B2728" s="2" t="s">
        <v>214</v>
      </c>
      <c r="C2728" s="2">
        <v>1996.0</v>
      </c>
      <c r="D2728" s="9">
        <v>2611.5842</v>
      </c>
      <c r="E2728" s="10" t="str">
        <f t="array" ref="E2728">IFS(D2728&lt;=$G$3,'calculated data '!$A$3,D2728&lt;=$G$4,'calculated data '!$A$4,D2728&lt;=$G$6,'calculated data '!$A$5,D2728&gt;=$G$6,'calculated data '!$A$6)</f>
        <v>Low Demand Tier</v>
      </c>
      <c r="F2728" s="10">
        <f t="shared" si="1"/>
        <v>-0.5940434916</v>
      </c>
    </row>
    <row r="2729" ht="14.25" customHeight="1">
      <c r="A2729" s="2" t="s">
        <v>173</v>
      </c>
      <c r="B2729" s="2" t="s">
        <v>174</v>
      </c>
      <c r="C2729" s="2">
        <v>2024.0</v>
      </c>
      <c r="D2729" s="9">
        <v>2612.0803</v>
      </c>
      <c r="E2729" s="10" t="str">
        <f t="array" ref="E2729">IFS(D2729&lt;=$G$3,'calculated data '!$A$3,D2729&lt;=$G$4,'calculated data '!$A$4,D2729&lt;=$G$6,'calculated data '!$A$5,D2729&gt;=$G$6,'calculated data '!$A$6)</f>
        <v>Low Demand Tier</v>
      </c>
      <c r="F2729" s="10">
        <f t="shared" si="1"/>
        <v>-0.5940303599</v>
      </c>
    </row>
    <row r="2730" ht="14.25" customHeight="1">
      <c r="A2730" s="2" t="s">
        <v>79</v>
      </c>
      <c r="B2730" s="2" t="s">
        <v>80</v>
      </c>
      <c r="C2730" s="2">
        <v>2017.0</v>
      </c>
      <c r="D2730" s="9">
        <v>2612.837</v>
      </c>
      <c r="E2730" s="10" t="str">
        <f t="array" ref="E2730">IFS(D2730&lt;=$G$3,'calculated data '!$A$3,D2730&lt;=$G$4,'calculated data '!$A$4,D2730&lt;=$G$6,'calculated data '!$A$5,D2730&gt;=$G$6,'calculated data '!$A$6)</f>
        <v>Low Demand Tier</v>
      </c>
      <c r="F2730" s="10">
        <f t="shared" si="1"/>
        <v>-0.5940103303</v>
      </c>
    </row>
    <row r="2731" ht="14.25" customHeight="1">
      <c r="A2731" s="2" t="s">
        <v>183</v>
      </c>
      <c r="B2731" s="2" t="s">
        <v>184</v>
      </c>
      <c r="C2731" s="2">
        <v>1972.0</v>
      </c>
      <c r="D2731" s="9">
        <v>2615.595</v>
      </c>
      <c r="E2731" s="10" t="str">
        <f t="array" ref="E2731">IFS(D2731&lt;=$G$3,'calculated data '!$A$3,D2731&lt;=$G$4,'calculated data '!$A$4,D2731&lt;=$G$6,'calculated data '!$A$5,D2731&gt;=$G$6,'calculated data '!$A$6)</f>
        <v>Low Demand Tier</v>
      </c>
      <c r="F2731" s="10">
        <f t="shared" si="1"/>
        <v>-0.5939373267</v>
      </c>
    </row>
    <row r="2732" ht="14.25" customHeight="1">
      <c r="A2732" s="2" t="s">
        <v>93</v>
      </c>
      <c r="B2732" s="2" t="s">
        <v>94</v>
      </c>
      <c r="C2732" s="2">
        <v>2018.0</v>
      </c>
      <c r="D2732" s="9">
        <v>2616.5405</v>
      </c>
      <c r="E2732" s="10" t="str">
        <f t="array" ref="E2732">IFS(D2732&lt;=$G$3,'calculated data '!$A$3,D2732&lt;=$G$4,'calculated data '!$A$4,D2732&lt;=$G$6,'calculated data '!$A$5,D2732&gt;=$G$6,'calculated data '!$A$6)</f>
        <v>Low Demand Tier</v>
      </c>
      <c r="F2732" s="10">
        <f t="shared" si="1"/>
        <v>-0.5939122995</v>
      </c>
    </row>
    <row r="2733" ht="14.25" customHeight="1">
      <c r="A2733" s="2" t="s">
        <v>21</v>
      </c>
      <c r="B2733" s="2" t="s">
        <v>22</v>
      </c>
      <c r="C2733" s="2">
        <v>2018.0</v>
      </c>
      <c r="D2733" s="9">
        <v>2620.8313</v>
      </c>
      <c r="E2733" s="10" t="str">
        <f t="array" ref="E2733">IFS(D2733&lt;=$G$3,'calculated data '!$A$3,D2733&lt;=$G$4,'calculated data '!$A$4,D2733&lt;=$G$6,'calculated data '!$A$5,D2733&gt;=$G$6,'calculated data '!$A$6)</f>
        <v>Low Demand Tier</v>
      </c>
      <c r="F2733" s="10">
        <f t="shared" si="1"/>
        <v>-0.5937987231</v>
      </c>
    </row>
    <row r="2734" ht="14.25" customHeight="1">
      <c r="A2734" s="2" t="s">
        <v>189</v>
      </c>
      <c r="B2734" s="2" t="s">
        <v>190</v>
      </c>
      <c r="C2734" s="2">
        <v>1990.0</v>
      </c>
      <c r="D2734" s="9">
        <v>2620.8872</v>
      </c>
      <c r="E2734" s="10" t="str">
        <f t="array" ref="E2734">IFS(D2734&lt;=$G$3,'calculated data '!$A$3,D2734&lt;=$G$4,'calculated data '!$A$4,D2734&lt;=$G$6,'calculated data '!$A$5,D2734&gt;=$G$6,'calculated data '!$A$6)</f>
        <v>Low Demand Tier</v>
      </c>
      <c r="F2734" s="10">
        <f t="shared" si="1"/>
        <v>-0.5937972435</v>
      </c>
    </row>
    <row r="2735" ht="14.25" customHeight="1">
      <c r="A2735" s="2" t="s">
        <v>57</v>
      </c>
      <c r="B2735" s="2" t="s">
        <v>58</v>
      </c>
      <c r="C2735" s="2">
        <v>1890.0</v>
      </c>
      <c r="D2735" s="9">
        <v>2624.7761</v>
      </c>
      <c r="E2735" s="10" t="str">
        <f t="array" ref="E2735">IFS(D2735&lt;=$G$3,'calculated data '!$A$3,D2735&lt;=$G$4,'calculated data '!$A$4,D2735&lt;=$G$6,'calculated data '!$A$5,D2735&gt;=$G$6,'calculated data '!$A$6)</f>
        <v>Low Demand Tier</v>
      </c>
      <c r="F2735" s="10">
        <f t="shared" si="1"/>
        <v>-0.5936943053</v>
      </c>
    </row>
    <row r="2736" ht="14.25" customHeight="1">
      <c r="A2736" s="2" t="s">
        <v>175</v>
      </c>
      <c r="B2736" s="2" t="s">
        <v>176</v>
      </c>
      <c r="C2736" s="2">
        <v>1993.0</v>
      </c>
      <c r="D2736" s="9">
        <v>2625.3193</v>
      </c>
      <c r="E2736" s="10" t="str">
        <f t="array" ref="E2736">IFS(D2736&lt;=$G$3,'calculated data '!$A$3,D2736&lt;=$G$4,'calculated data '!$A$4,D2736&lt;=$G$6,'calculated data '!$A$5,D2736&gt;=$G$6,'calculated data '!$A$6)</f>
        <v>Low Demand Tier</v>
      </c>
      <c r="F2736" s="10">
        <f t="shared" si="1"/>
        <v>-0.5936799269</v>
      </c>
    </row>
    <row r="2737" ht="14.25" customHeight="1">
      <c r="A2737" s="2" t="s">
        <v>219</v>
      </c>
      <c r="B2737" s="2" t="s">
        <v>220</v>
      </c>
      <c r="C2737" s="2">
        <v>1990.0</v>
      </c>
      <c r="D2737" s="9">
        <v>2630.9028</v>
      </c>
      <c r="E2737" s="10" t="str">
        <f t="array" ref="E2737">IFS(D2737&lt;=$G$3,'calculated data '!$A$3,D2737&lt;=$G$4,'calculated data '!$A$4,D2737&lt;=$G$6,'calculated data '!$A$5,D2737&gt;=$G$6,'calculated data '!$A$6)</f>
        <v>Low Demand Tier</v>
      </c>
      <c r="F2737" s="10">
        <f t="shared" si="1"/>
        <v>-0.593532133</v>
      </c>
    </row>
    <row r="2738" ht="14.25" customHeight="1">
      <c r="A2738" s="2" t="s">
        <v>129</v>
      </c>
      <c r="B2738" s="2" t="s">
        <v>130</v>
      </c>
      <c r="C2738" s="2">
        <v>1987.0</v>
      </c>
      <c r="D2738" s="9">
        <v>2631.1074</v>
      </c>
      <c r="E2738" s="10" t="str">
        <f t="array" ref="E2738">IFS(D2738&lt;=$G$3,'calculated data '!$A$3,D2738&lt;=$G$4,'calculated data '!$A$4,D2738&lt;=$G$6,'calculated data '!$A$5,D2738&gt;=$G$6,'calculated data '!$A$6)</f>
        <v>Low Demand Tier</v>
      </c>
      <c r="F2738" s="10">
        <f t="shared" si="1"/>
        <v>-0.5935267173</v>
      </c>
    </row>
    <row r="2739" ht="14.25" customHeight="1">
      <c r="A2739" s="2" t="s">
        <v>137</v>
      </c>
      <c r="B2739" s="2" t="s">
        <v>138</v>
      </c>
      <c r="C2739" s="2">
        <v>2007.0</v>
      </c>
      <c r="D2739" s="9">
        <v>2632.721</v>
      </c>
      <c r="E2739" s="10" t="str">
        <f t="array" ref="E2739">IFS(D2739&lt;=$G$3,'calculated data '!$A$3,D2739&lt;=$G$4,'calculated data '!$A$4,D2739&lt;=$G$6,'calculated data '!$A$5,D2739&gt;=$G$6,'calculated data '!$A$6)</f>
        <v>Low Demand Tier</v>
      </c>
      <c r="F2739" s="10">
        <f t="shared" si="1"/>
        <v>-0.5934840057</v>
      </c>
    </row>
    <row r="2740" ht="14.25" customHeight="1">
      <c r="A2740" s="2" t="s">
        <v>205</v>
      </c>
      <c r="B2740" s="2" t="s">
        <v>206</v>
      </c>
      <c r="C2740" s="2">
        <v>1974.0</v>
      </c>
      <c r="D2740" s="9">
        <v>2635.4587</v>
      </c>
      <c r="E2740" s="10" t="str">
        <f t="array" ref="E2740">IFS(D2740&lt;=$G$3,'calculated data '!$A$3,D2740&lt;=$G$4,'calculated data '!$A$4,D2740&lt;=$G$6,'calculated data '!$A$5,D2740&gt;=$G$6,'calculated data '!$A$6)</f>
        <v>Low Demand Tier</v>
      </c>
      <c r="F2740" s="10">
        <f t="shared" si="1"/>
        <v>-0.5934115395</v>
      </c>
    </row>
    <row r="2741" ht="14.25" customHeight="1">
      <c r="A2741" s="2" t="s">
        <v>177</v>
      </c>
      <c r="B2741" s="2" t="s">
        <v>178</v>
      </c>
      <c r="C2741" s="2">
        <v>1995.0</v>
      </c>
      <c r="D2741" s="9">
        <v>2638.6394</v>
      </c>
      <c r="E2741" s="10" t="str">
        <f t="array" ref="E2741">IFS(D2741&lt;=$G$3,'calculated data '!$A$3,D2741&lt;=$G$4,'calculated data '!$A$4,D2741&lt;=$G$6,'calculated data '!$A$5,D2741&gt;=$G$6,'calculated data '!$A$6)</f>
        <v>Low Demand Tier</v>
      </c>
      <c r="F2741" s="10">
        <f t="shared" si="1"/>
        <v>-0.5933273472</v>
      </c>
    </row>
    <row r="2742" ht="14.25" customHeight="1">
      <c r="A2742" s="2" t="s">
        <v>217</v>
      </c>
      <c r="B2742" s="2" t="s">
        <v>218</v>
      </c>
      <c r="C2742" s="2">
        <v>1974.0</v>
      </c>
      <c r="D2742" s="9">
        <v>2639.7852</v>
      </c>
      <c r="E2742" s="10" t="str">
        <f t="array" ref="E2742">IFS(D2742&lt;=$G$3,'calculated data '!$A$3,D2742&lt;=$G$4,'calculated data '!$A$4,D2742&lt;=$G$6,'calculated data '!$A$5,D2742&gt;=$G$6,'calculated data '!$A$6)</f>
        <v>Low Demand Tier</v>
      </c>
      <c r="F2742" s="10">
        <f t="shared" si="1"/>
        <v>-0.5932970181</v>
      </c>
    </row>
    <row r="2743" ht="14.25" customHeight="1">
      <c r="A2743" s="2" t="s">
        <v>219</v>
      </c>
      <c r="B2743" s="2" t="s">
        <v>220</v>
      </c>
      <c r="C2743" s="2">
        <v>1985.0</v>
      </c>
      <c r="D2743" s="9">
        <v>2646.6824</v>
      </c>
      <c r="E2743" s="10" t="str">
        <f t="array" ref="E2743">IFS(D2743&lt;=$G$3,'calculated data '!$A$3,D2743&lt;=$G$4,'calculated data '!$A$4,D2743&lt;=$G$6,'calculated data '!$A$5,D2743&gt;=$G$6,'calculated data '!$A$6)</f>
        <v>Low Demand Tier</v>
      </c>
      <c r="F2743" s="10">
        <f t="shared" si="1"/>
        <v>-0.593114451</v>
      </c>
    </row>
    <row r="2744" ht="14.25" customHeight="1">
      <c r="A2744" s="2" t="s">
        <v>171</v>
      </c>
      <c r="B2744" s="2" t="s">
        <v>172</v>
      </c>
      <c r="C2744" s="2">
        <v>2022.0</v>
      </c>
      <c r="D2744" s="9">
        <v>2651.3901</v>
      </c>
      <c r="E2744" s="10" t="str">
        <f t="array" ref="E2744">IFS(D2744&lt;=$G$3,'calculated data '!$A$3,D2744&lt;=$G$4,'calculated data '!$A$4,D2744&lt;=$G$6,'calculated data '!$A$5,D2744&gt;=$G$6,'calculated data '!$A$6)</f>
        <v>Low Demand Tier</v>
      </c>
      <c r="F2744" s="10">
        <f t="shared" si="1"/>
        <v>-0.5929898393</v>
      </c>
    </row>
    <row r="2745" ht="14.25" customHeight="1">
      <c r="A2745" s="2" t="s">
        <v>209</v>
      </c>
      <c r="B2745" s="2" t="s">
        <v>210</v>
      </c>
      <c r="C2745" s="2">
        <v>1992.0</v>
      </c>
      <c r="D2745" s="9">
        <v>2651.5862</v>
      </c>
      <c r="E2745" s="10" t="str">
        <f t="array" ref="E2745">IFS(D2745&lt;=$G$3,'calculated data '!$A$3,D2745&lt;=$G$4,'calculated data '!$A$4,D2745&lt;=$G$6,'calculated data '!$A$5,D2745&gt;=$G$6,'calculated data '!$A$6)</f>
        <v>Low Demand Tier</v>
      </c>
      <c r="F2745" s="10">
        <f t="shared" si="1"/>
        <v>-0.5929846486</v>
      </c>
    </row>
    <row r="2746" ht="14.25" customHeight="1">
      <c r="A2746" s="2" t="s">
        <v>133</v>
      </c>
      <c r="B2746" s="2" t="s">
        <v>134</v>
      </c>
      <c r="C2746" s="2">
        <v>2001.0</v>
      </c>
      <c r="D2746" s="9">
        <v>2651.7825</v>
      </c>
      <c r="E2746" s="10" t="str">
        <f t="array" ref="E2746">IFS(D2746&lt;=$G$3,'calculated data '!$A$3,D2746&lt;=$G$4,'calculated data '!$A$4,D2746&lt;=$G$6,'calculated data '!$A$5,D2746&gt;=$G$6,'calculated data '!$A$6)</f>
        <v>Low Demand Tier</v>
      </c>
      <c r="F2746" s="10">
        <f t="shared" si="1"/>
        <v>-0.5929794526</v>
      </c>
    </row>
    <row r="2747" ht="14.25" customHeight="1">
      <c r="A2747" s="2" t="s">
        <v>215</v>
      </c>
      <c r="B2747" s="2" t="s">
        <v>216</v>
      </c>
      <c r="C2747" s="2">
        <v>2010.0</v>
      </c>
      <c r="D2747" s="9">
        <v>2653.3333</v>
      </c>
      <c r="E2747" s="10" t="str">
        <f t="array" ref="E2747">IFS(D2747&lt;=$G$3,'calculated data '!$A$3,D2747&lt;=$G$4,'calculated data '!$A$4,D2747&lt;=$G$6,'calculated data '!$A$5,D2747&gt;=$G$6,'calculated data '!$A$6)</f>
        <v>Low Demand Tier</v>
      </c>
      <c r="F2747" s="10">
        <f t="shared" si="1"/>
        <v>-0.5929384033</v>
      </c>
    </row>
    <row r="2748" ht="14.25" customHeight="1">
      <c r="A2748" s="2" t="s">
        <v>213</v>
      </c>
      <c r="B2748" s="2" t="s">
        <v>214</v>
      </c>
      <c r="C2748" s="2">
        <v>1980.0</v>
      </c>
      <c r="D2748" s="9">
        <v>2653.5022</v>
      </c>
      <c r="E2748" s="10" t="str">
        <f t="array" ref="E2748">IFS(D2748&lt;=$G$3,'calculated data '!$A$3,D2748&lt;=$G$4,'calculated data '!$A$4,D2748&lt;=$G$6,'calculated data '!$A$5,D2748&gt;=$G$6,'calculated data '!$A$6)</f>
        <v>Low Demand Tier</v>
      </c>
      <c r="F2748" s="10">
        <f t="shared" si="1"/>
        <v>-0.5929339325</v>
      </c>
    </row>
    <row r="2749" ht="14.25" customHeight="1">
      <c r="A2749" s="2" t="s">
        <v>175</v>
      </c>
      <c r="B2749" s="2" t="s">
        <v>176</v>
      </c>
      <c r="C2749" s="2">
        <v>1994.0</v>
      </c>
      <c r="D2749" s="9">
        <v>2656.7683</v>
      </c>
      <c r="E2749" s="10" t="str">
        <f t="array" ref="E2749">IFS(D2749&lt;=$G$3,'calculated data '!$A$3,D2749&lt;=$G$4,'calculated data '!$A$4,D2749&lt;=$G$6,'calculated data '!$A$5,D2749&gt;=$G$6,'calculated data '!$A$6)</f>
        <v>Low Demand Tier</v>
      </c>
      <c r="F2749" s="10">
        <f t="shared" si="1"/>
        <v>-0.5928474797</v>
      </c>
    </row>
    <row r="2750" ht="14.25" customHeight="1">
      <c r="A2750" s="2" t="s">
        <v>169</v>
      </c>
      <c r="B2750" s="2" t="s">
        <v>170</v>
      </c>
      <c r="C2750" s="2">
        <v>2009.0</v>
      </c>
      <c r="D2750" s="9">
        <v>2656.9438</v>
      </c>
      <c r="E2750" s="10" t="str">
        <f t="array" ref="E2750">IFS(D2750&lt;=$G$3,'calculated data '!$A$3,D2750&lt;=$G$4,'calculated data '!$A$4,D2750&lt;=$G$6,'calculated data '!$A$5,D2750&gt;=$G$6,'calculated data '!$A$6)</f>
        <v>Low Demand Tier</v>
      </c>
      <c r="F2750" s="10">
        <f t="shared" si="1"/>
        <v>-0.5928428343</v>
      </c>
    </row>
    <row r="2751" ht="14.25" customHeight="1">
      <c r="A2751" s="2" t="s">
        <v>169</v>
      </c>
      <c r="B2751" s="2" t="s">
        <v>170</v>
      </c>
      <c r="C2751" s="2">
        <v>2011.0</v>
      </c>
      <c r="D2751" s="9">
        <v>2658.1934</v>
      </c>
      <c r="E2751" s="10" t="str">
        <f t="array" ref="E2751">IFS(D2751&lt;=$G$3,'calculated data '!$A$3,D2751&lt;=$G$4,'calculated data '!$A$4,D2751&lt;=$G$6,'calculated data '!$A$5,D2751&gt;=$G$6,'calculated data '!$A$6)</f>
        <v>Low Demand Tier</v>
      </c>
      <c r="F2751" s="10">
        <f t="shared" si="1"/>
        <v>-0.5928097577</v>
      </c>
    </row>
    <row r="2752" ht="14.25" customHeight="1">
      <c r="A2752" s="2" t="s">
        <v>167</v>
      </c>
      <c r="B2752" s="2" t="s">
        <v>168</v>
      </c>
      <c r="C2752" s="2">
        <v>2014.0</v>
      </c>
      <c r="D2752" s="9">
        <v>2658.4219</v>
      </c>
      <c r="E2752" s="10" t="str">
        <f t="array" ref="E2752">IFS(D2752&lt;=$G$3,'calculated data '!$A$3,D2752&lt;=$G$4,'calculated data '!$A$4,D2752&lt;=$G$6,'calculated data '!$A$5,D2752&gt;=$G$6,'calculated data '!$A$6)</f>
        <v>Low Demand Tier</v>
      </c>
      <c r="F2752" s="10">
        <f t="shared" si="1"/>
        <v>-0.5928037093</v>
      </c>
    </row>
    <row r="2753" ht="14.25" customHeight="1">
      <c r="A2753" s="2" t="s">
        <v>199</v>
      </c>
      <c r="B2753" s="2" t="s">
        <v>200</v>
      </c>
      <c r="C2753" s="2">
        <v>1980.0</v>
      </c>
      <c r="D2753" s="9">
        <v>2658.7495</v>
      </c>
      <c r="E2753" s="10" t="str">
        <f t="array" ref="E2753">IFS(D2753&lt;=$G$3,'calculated data '!$A$3,D2753&lt;=$G$4,'calculated data '!$A$4,D2753&lt;=$G$6,'calculated data '!$A$5,D2753&gt;=$G$6,'calculated data '!$A$6)</f>
        <v>Low Demand Tier</v>
      </c>
      <c r="F2753" s="10">
        <f t="shared" si="1"/>
        <v>-0.5927950378</v>
      </c>
    </row>
    <row r="2754" ht="14.25" customHeight="1">
      <c r="A2754" s="2" t="s">
        <v>181</v>
      </c>
      <c r="B2754" s="2" t="s">
        <v>182</v>
      </c>
      <c r="C2754" s="2">
        <v>2024.0</v>
      </c>
      <c r="D2754" s="9">
        <v>2659.693</v>
      </c>
      <c r="E2754" s="10" t="str">
        <f t="array" ref="E2754">IFS(D2754&lt;=$G$3,'calculated data '!$A$3,D2754&lt;=$G$4,'calculated data '!$A$4,D2754&lt;=$G$6,'calculated data '!$A$5,D2754&gt;=$G$6,'calculated data '!$A$6)</f>
        <v>Low Demand Tier</v>
      </c>
      <c r="F2754" s="10">
        <f t="shared" si="1"/>
        <v>-0.5927700636</v>
      </c>
    </row>
    <row r="2755" ht="14.25" customHeight="1">
      <c r="A2755" s="2" t="s">
        <v>219</v>
      </c>
      <c r="B2755" s="2" t="s">
        <v>220</v>
      </c>
      <c r="C2755" s="2">
        <v>1988.0</v>
      </c>
      <c r="D2755" s="9">
        <v>2660.7874</v>
      </c>
      <c r="E2755" s="10" t="str">
        <f t="array" ref="E2755">IFS(D2755&lt;=$G$3,'calculated data '!$A$3,D2755&lt;=$G$4,'calculated data '!$A$4,D2755&lt;=$G$6,'calculated data '!$A$5,D2755&gt;=$G$6,'calculated data '!$A$6)</f>
        <v>Low Demand Tier</v>
      </c>
      <c r="F2755" s="10">
        <f t="shared" si="1"/>
        <v>-0.5927410951</v>
      </c>
    </row>
    <row r="2756" ht="14.25" customHeight="1">
      <c r="A2756" s="2" t="s">
        <v>151</v>
      </c>
      <c r="B2756" s="2" t="s">
        <v>152</v>
      </c>
      <c r="C2756" s="2">
        <v>1994.0</v>
      </c>
      <c r="D2756" s="9">
        <v>2662.9048</v>
      </c>
      <c r="E2756" s="10" t="str">
        <f t="array" ref="E2756">IFS(D2756&lt;=$G$3,'calculated data '!$A$3,D2756&lt;=$G$4,'calculated data '!$A$4,D2756&lt;=$G$6,'calculated data '!$A$5,D2756&gt;=$G$6,'calculated data '!$A$6)</f>
        <v>Low Demand Tier</v>
      </c>
      <c r="F2756" s="10">
        <f t="shared" si="1"/>
        <v>-0.5926850481</v>
      </c>
    </row>
    <row r="2757" ht="14.25" customHeight="1">
      <c r="A2757" s="2" t="s">
        <v>219</v>
      </c>
      <c r="B2757" s="2" t="s">
        <v>220</v>
      </c>
      <c r="C2757" s="2">
        <v>1989.0</v>
      </c>
      <c r="D2757" s="9">
        <v>2665.0337</v>
      </c>
      <c r="E2757" s="10" t="str">
        <f t="array" ref="E2757">IFS(D2757&lt;=$G$3,'calculated data '!$A$3,D2757&lt;=$G$4,'calculated data '!$A$4,D2757&lt;=$G$6,'calculated data '!$A$5,D2757&gt;=$G$6,'calculated data '!$A$6)</f>
        <v>Low Demand Tier</v>
      </c>
      <c r="F2757" s="10">
        <f t="shared" si="1"/>
        <v>-0.5926286966</v>
      </c>
    </row>
    <row r="2758" ht="14.25" customHeight="1">
      <c r="A2758" s="2" t="s">
        <v>161</v>
      </c>
      <c r="B2758" s="2" t="s">
        <v>162</v>
      </c>
      <c r="C2758" s="2">
        <v>1991.0</v>
      </c>
      <c r="D2758" s="9">
        <v>2665.187</v>
      </c>
      <c r="E2758" s="10" t="str">
        <f t="array" ref="E2758">IFS(D2758&lt;=$G$3,'calculated data '!$A$3,D2758&lt;=$G$4,'calculated data '!$A$4,D2758&lt;=$G$6,'calculated data '!$A$5,D2758&gt;=$G$6,'calculated data '!$A$6)</f>
        <v>Low Demand Tier</v>
      </c>
      <c r="F2758" s="10">
        <f t="shared" si="1"/>
        <v>-0.5926246388</v>
      </c>
    </row>
    <row r="2759" ht="14.25" customHeight="1">
      <c r="A2759" s="2" t="s">
        <v>185</v>
      </c>
      <c r="B2759" s="2" t="s">
        <v>186</v>
      </c>
      <c r="C2759" s="2">
        <v>1993.0</v>
      </c>
      <c r="D2759" s="9">
        <v>2668.8882</v>
      </c>
      <c r="E2759" s="10" t="str">
        <f t="array" ref="E2759">IFS(D2759&lt;=$G$3,'calculated data '!$A$3,D2759&lt;=$G$4,'calculated data '!$A$4,D2759&lt;=$G$6,'calculated data '!$A$5,D2759&gt;=$G$6,'calculated data '!$A$6)</f>
        <v>Low Demand Tier</v>
      </c>
      <c r="F2759" s="10">
        <f t="shared" si="1"/>
        <v>-0.592526669</v>
      </c>
    </row>
    <row r="2760" ht="14.25" customHeight="1">
      <c r="A2760" s="2" t="s">
        <v>193</v>
      </c>
      <c r="B2760" s="2" t="s">
        <v>194</v>
      </c>
      <c r="C2760" s="2">
        <v>1974.0</v>
      </c>
      <c r="D2760" s="9">
        <v>2669.937</v>
      </c>
      <c r="E2760" s="10" t="str">
        <f t="array" ref="E2760">IFS(D2760&lt;=$G$3,'calculated data '!$A$3,D2760&lt;=$G$4,'calculated data '!$A$4,D2760&lt;=$G$6,'calculated data '!$A$5,D2760&gt;=$G$6,'calculated data '!$A$6)</f>
        <v>Low Demand Tier</v>
      </c>
      <c r="F2760" s="10">
        <f t="shared" si="1"/>
        <v>-0.5924989075</v>
      </c>
    </row>
    <row r="2761" ht="14.25" customHeight="1">
      <c r="A2761" s="2" t="s">
        <v>209</v>
      </c>
      <c r="B2761" s="2" t="s">
        <v>210</v>
      </c>
      <c r="C2761" s="2">
        <v>1993.0</v>
      </c>
      <c r="D2761" s="9">
        <v>2670.2434</v>
      </c>
      <c r="E2761" s="10" t="str">
        <f t="array" ref="E2761">IFS(D2761&lt;=$G$3,'calculated data '!$A$3,D2761&lt;=$G$4,'calculated data '!$A$4,D2761&lt;=$G$6,'calculated data '!$A$5,D2761&gt;=$G$6,'calculated data '!$A$6)</f>
        <v>Low Demand Tier</v>
      </c>
      <c r="F2761" s="10">
        <f t="shared" si="1"/>
        <v>-0.5924907972</v>
      </c>
    </row>
    <row r="2762" ht="14.25" customHeight="1">
      <c r="A2762" s="2" t="s">
        <v>219</v>
      </c>
      <c r="B2762" s="2" t="s">
        <v>220</v>
      </c>
      <c r="C2762" s="2">
        <v>1986.0</v>
      </c>
      <c r="D2762" s="9">
        <v>2670.9932</v>
      </c>
      <c r="E2762" s="10" t="str">
        <f t="array" ref="E2762">IFS(D2762&lt;=$G$3,'calculated data '!$A$3,D2762&lt;=$G$4,'calculated data '!$A$4,D2762&lt;=$G$6,'calculated data '!$A$5,D2762&gt;=$G$6,'calculated data '!$A$6)</f>
        <v>Low Demand Tier</v>
      </c>
      <c r="F2762" s="10">
        <f t="shared" si="1"/>
        <v>-0.5924709501</v>
      </c>
    </row>
    <row r="2763" ht="14.25" customHeight="1">
      <c r="A2763" s="2" t="s">
        <v>227</v>
      </c>
      <c r="B2763" s="2" t="s">
        <v>228</v>
      </c>
      <c r="C2763" s="2">
        <v>1965.0</v>
      </c>
      <c r="D2763" s="9">
        <v>2671.7192</v>
      </c>
      <c r="E2763" s="10" t="str">
        <f t="array" ref="E2763">IFS(D2763&lt;=$G$3,'calculated data '!$A$3,D2763&lt;=$G$4,'calculated data '!$A$4,D2763&lt;=$G$6,'calculated data '!$A$5,D2763&gt;=$G$6,'calculated data '!$A$6)</f>
        <v>Low Demand Tier</v>
      </c>
      <c r="F2763" s="10">
        <f t="shared" si="1"/>
        <v>-0.5924517331</v>
      </c>
    </row>
    <row r="2764" ht="14.25" customHeight="1">
      <c r="A2764" s="2" t="s">
        <v>193</v>
      </c>
      <c r="B2764" s="2" t="s">
        <v>194</v>
      </c>
      <c r="C2764" s="2">
        <v>1972.0</v>
      </c>
      <c r="D2764" s="9">
        <v>2672.4739</v>
      </c>
      <c r="E2764" s="10" t="str">
        <f t="array" ref="E2764">IFS(D2764&lt;=$G$3,'calculated data '!$A$3,D2764&lt;=$G$4,'calculated data '!$A$4,D2764&lt;=$G$6,'calculated data '!$A$5,D2764&gt;=$G$6,'calculated data '!$A$6)</f>
        <v>Low Demand Tier</v>
      </c>
      <c r="F2764" s="10">
        <f t="shared" si="1"/>
        <v>-0.5924317564</v>
      </c>
    </row>
    <row r="2765" ht="14.25" customHeight="1">
      <c r="A2765" s="2" t="s">
        <v>137</v>
      </c>
      <c r="B2765" s="2" t="s">
        <v>138</v>
      </c>
      <c r="C2765" s="2">
        <v>2024.0</v>
      </c>
      <c r="D2765" s="9">
        <v>2672.9912</v>
      </c>
      <c r="E2765" s="10" t="str">
        <f t="array" ref="E2765">IFS(D2765&lt;=$G$3,'calculated data '!$A$3,D2765&lt;=$G$4,'calculated data '!$A$4,D2765&lt;=$G$6,'calculated data '!$A$5,D2765&gt;=$G$6,'calculated data '!$A$6)</f>
        <v>Low Demand Tier</v>
      </c>
      <c r="F2765" s="10">
        <f t="shared" si="1"/>
        <v>-0.5924180636</v>
      </c>
    </row>
    <row r="2766" ht="14.25" customHeight="1">
      <c r="A2766" s="2" t="s">
        <v>187</v>
      </c>
      <c r="B2766" s="2" t="s">
        <v>188</v>
      </c>
      <c r="C2766" s="2">
        <v>2004.0</v>
      </c>
      <c r="D2766" s="9">
        <v>2673.966</v>
      </c>
      <c r="E2766" s="10" t="str">
        <f t="array" ref="E2766">IFS(D2766&lt;=$G$3,'calculated data '!$A$3,D2766&lt;=$G$4,'calculated data '!$A$4,D2766&lt;=$G$6,'calculated data '!$A$5,D2766&gt;=$G$6,'calculated data '!$A$6)</f>
        <v>Low Demand Tier</v>
      </c>
      <c r="F2766" s="10">
        <f t="shared" si="1"/>
        <v>-0.5923922609</v>
      </c>
    </row>
    <row r="2767" ht="14.25" customHeight="1">
      <c r="A2767" s="2" t="s">
        <v>165</v>
      </c>
      <c r="B2767" s="2" t="s">
        <v>166</v>
      </c>
      <c r="C2767" s="2">
        <v>1992.0</v>
      </c>
      <c r="D2767" s="9">
        <v>2676.4353</v>
      </c>
      <c r="E2767" s="10" t="str">
        <f t="array" ref="E2767">IFS(D2767&lt;=$G$3,'calculated data '!$A$3,D2767&lt;=$G$4,'calculated data '!$A$4,D2767&lt;=$G$6,'calculated data '!$A$5,D2767&gt;=$G$6,'calculated data '!$A$6)</f>
        <v>Low Demand Tier</v>
      </c>
      <c r="F2767" s="10">
        <f t="shared" si="1"/>
        <v>-0.5923268991</v>
      </c>
    </row>
    <row r="2768" ht="14.25" customHeight="1">
      <c r="A2768" s="2" t="s">
        <v>229</v>
      </c>
      <c r="B2768" s="2" t="s">
        <v>230</v>
      </c>
      <c r="C2768" s="2">
        <v>1965.0</v>
      </c>
      <c r="D2768" s="9">
        <v>2687.6382</v>
      </c>
      <c r="E2768" s="10" t="str">
        <f t="array" ref="E2768">IFS(D2768&lt;=$G$3,'calculated data '!$A$3,D2768&lt;=$G$4,'calculated data '!$A$4,D2768&lt;=$G$6,'calculated data '!$A$5,D2768&gt;=$G$6,'calculated data '!$A$6)</f>
        <v>Low Demand Tier</v>
      </c>
      <c r="F2768" s="10">
        <f t="shared" si="1"/>
        <v>-0.5920303611</v>
      </c>
    </row>
    <row r="2769" ht="14.25" customHeight="1">
      <c r="A2769" s="2" t="s">
        <v>165</v>
      </c>
      <c r="B2769" s="2" t="s">
        <v>166</v>
      </c>
      <c r="C2769" s="2">
        <v>1993.0</v>
      </c>
      <c r="D2769" s="9">
        <v>2688.1577</v>
      </c>
      <c r="E2769" s="10" t="str">
        <f t="array" ref="E2769">IFS(D2769&lt;=$G$3,'calculated data '!$A$3,D2769&lt;=$G$4,'calculated data '!$A$4,D2769&lt;=$G$6,'calculated data '!$A$5,D2769&gt;=$G$6,'calculated data '!$A$6)</f>
        <v>Low Demand Tier</v>
      </c>
      <c r="F2769" s="10">
        <f t="shared" si="1"/>
        <v>-0.5920166101</v>
      </c>
    </row>
    <row r="2770" ht="14.25" customHeight="1">
      <c r="A2770" s="2" t="s">
        <v>219</v>
      </c>
      <c r="B2770" s="2" t="s">
        <v>220</v>
      </c>
      <c r="C2770" s="2">
        <v>2001.0</v>
      </c>
      <c r="D2770" s="9">
        <v>2688.359</v>
      </c>
      <c r="E2770" s="10" t="str">
        <f t="array" ref="E2770">IFS(D2770&lt;=$G$3,'calculated data '!$A$3,D2770&lt;=$G$4,'calculated data '!$A$4,D2770&lt;=$G$6,'calculated data '!$A$5,D2770&gt;=$G$6,'calculated data '!$A$6)</f>
        <v>Low Demand Tier</v>
      </c>
      <c r="F2770" s="10">
        <f t="shared" si="1"/>
        <v>-0.5920112817</v>
      </c>
    </row>
    <row r="2771" ht="14.25" customHeight="1">
      <c r="A2771" s="2" t="s">
        <v>191</v>
      </c>
      <c r="B2771" s="2" t="s">
        <v>192</v>
      </c>
      <c r="C2771" s="2">
        <v>1983.0</v>
      </c>
      <c r="D2771" s="9">
        <v>2688.9773</v>
      </c>
      <c r="E2771" s="10" t="str">
        <f t="array" ref="E2771">IFS(D2771&lt;=$G$3,'calculated data '!$A$3,D2771&lt;=$G$4,'calculated data '!$A$4,D2771&lt;=$G$6,'calculated data '!$A$5,D2771&gt;=$G$6,'calculated data '!$A$6)</f>
        <v>Low Demand Tier</v>
      </c>
      <c r="F2771" s="10">
        <f t="shared" si="1"/>
        <v>-0.5919949155</v>
      </c>
    </row>
    <row r="2772" ht="14.25" customHeight="1">
      <c r="A2772" s="2" t="s">
        <v>181</v>
      </c>
      <c r="B2772" s="2" t="s">
        <v>182</v>
      </c>
      <c r="C2772" s="2">
        <v>2023.0</v>
      </c>
      <c r="D2772" s="9">
        <v>2690.1719</v>
      </c>
      <c r="E2772" s="10" t="str">
        <f t="array" ref="E2772">IFS(D2772&lt;=$G$3,'calculated data '!$A$3,D2772&lt;=$G$4,'calculated data '!$A$4,D2772&lt;=$G$6,'calculated data '!$A$5,D2772&gt;=$G$6,'calculated data '!$A$6)</f>
        <v>Low Demand Tier</v>
      </c>
      <c r="F2772" s="10">
        <f t="shared" si="1"/>
        <v>-0.5919632947</v>
      </c>
    </row>
    <row r="2773" ht="14.25" customHeight="1">
      <c r="A2773" s="2" t="s">
        <v>177</v>
      </c>
      <c r="B2773" s="2" t="s">
        <v>178</v>
      </c>
      <c r="C2773" s="2">
        <v>1998.0</v>
      </c>
      <c r="D2773" s="9">
        <v>2691.0134</v>
      </c>
      <c r="E2773" s="10" t="str">
        <f t="array" ref="E2773">IFS(D2773&lt;=$G$3,'calculated data '!$A$3,D2773&lt;=$G$4,'calculated data '!$A$4,D2773&lt;=$G$6,'calculated data '!$A$5,D2773&gt;=$G$6,'calculated data '!$A$6)</f>
        <v>Low Demand Tier</v>
      </c>
      <c r="F2773" s="10">
        <f t="shared" si="1"/>
        <v>-0.5919410204</v>
      </c>
    </row>
    <row r="2774" ht="14.25" customHeight="1">
      <c r="A2774" s="2" t="s">
        <v>173</v>
      </c>
      <c r="B2774" s="2" t="s">
        <v>174</v>
      </c>
      <c r="C2774" s="2">
        <v>2023.0</v>
      </c>
      <c r="D2774" s="9">
        <v>2691.0317</v>
      </c>
      <c r="E2774" s="10" t="str">
        <f t="array" ref="E2774">IFS(D2774&lt;=$G$3,'calculated data '!$A$3,D2774&lt;=$G$4,'calculated data '!$A$4,D2774&lt;=$G$6,'calculated data '!$A$5,D2774&gt;=$G$6,'calculated data '!$A$6)</f>
        <v>Low Demand Tier</v>
      </c>
      <c r="F2774" s="10">
        <f t="shared" si="1"/>
        <v>-0.591940536</v>
      </c>
    </row>
    <row r="2775" ht="14.25" customHeight="1">
      <c r="A2775" s="2" t="s">
        <v>187</v>
      </c>
      <c r="B2775" s="2" t="s">
        <v>188</v>
      </c>
      <c r="C2775" s="2">
        <v>2005.0</v>
      </c>
      <c r="D2775" s="9">
        <v>2692.527</v>
      </c>
      <c r="E2775" s="10" t="str">
        <f t="array" ref="E2775">IFS(D2775&lt;=$G$3,'calculated data '!$A$3,D2775&lt;=$G$4,'calculated data '!$A$4,D2775&lt;=$G$6,'calculated data '!$A$5,D2775&gt;=$G$6,'calculated data '!$A$6)</f>
        <v>Low Demand Tier</v>
      </c>
      <c r="F2775" s="10">
        <f t="shared" si="1"/>
        <v>-0.5919009558</v>
      </c>
    </row>
    <row r="2776" ht="14.25" customHeight="1">
      <c r="A2776" s="2" t="s">
        <v>159</v>
      </c>
      <c r="B2776" s="2" t="s">
        <v>160</v>
      </c>
      <c r="C2776" s="2">
        <v>1977.0</v>
      </c>
      <c r="D2776" s="9">
        <v>2693.3042</v>
      </c>
      <c r="E2776" s="10" t="str">
        <f t="array" ref="E2776">IFS(D2776&lt;=$G$3,'calculated data '!$A$3,D2776&lt;=$G$4,'calculated data '!$A$4,D2776&lt;=$G$6,'calculated data '!$A$5,D2776&gt;=$G$6,'calculated data '!$A$6)</f>
        <v>Low Demand Tier</v>
      </c>
      <c r="F2776" s="10">
        <f t="shared" si="1"/>
        <v>-0.5918803835</v>
      </c>
    </row>
    <row r="2777" ht="14.25" customHeight="1">
      <c r="A2777" s="2" t="s">
        <v>213</v>
      </c>
      <c r="B2777" s="2" t="s">
        <v>214</v>
      </c>
      <c r="C2777" s="2">
        <v>1997.0</v>
      </c>
      <c r="D2777" s="9">
        <v>2693.424</v>
      </c>
      <c r="E2777" s="10" t="str">
        <f t="array" ref="E2777">IFS(D2777&lt;=$G$3,'calculated data '!$A$3,D2777&lt;=$G$4,'calculated data '!$A$4,D2777&lt;=$G$6,'calculated data '!$A$5,D2777&gt;=$G$6,'calculated data '!$A$6)</f>
        <v>Low Demand Tier</v>
      </c>
      <c r="F2777" s="10">
        <f t="shared" si="1"/>
        <v>-0.5918772124</v>
      </c>
    </row>
    <row r="2778" ht="14.25" customHeight="1">
      <c r="A2778" s="2" t="s">
        <v>225</v>
      </c>
      <c r="B2778" s="2" t="s">
        <v>226</v>
      </c>
      <c r="C2778" s="2">
        <v>1986.0</v>
      </c>
      <c r="D2778" s="9">
        <v>2694.3374</v>
      </c>
      <c r="E2778" s="10" t="str">
        <f t="array" ref="E2778">IFS(D2778&lt;=$G$3,'calculated data '!$A$3,D2778&lt;=$G$4,'calculated data '!$A$4,D2778&lt;=$G$6,'calculated data '!$A$5,D2778&gt;=$G$6,'calculated data '!$A$6)</f>
        <v>Low Demand Tier</v>
      </c>
      <c r="F2778" s="10">
        <f t="shared" si="1"/>
        <v>-0.591853035</v>
      </c>
    </row>
    <row r="2779" ht="14.25" customHeight="1">
      <c r="A2779" s="2" t="s">
        <v>231</v>
      </c>
      <c r="B2779" s="2" t="s">
        <v>232</v>
      </c>
      <c r="C2779" s="2">
        <v>1965.0</v>
      </c>
      <c r="D2779" s="9">
        <v>2694.46</v>
      </c>
      <c r="E2779" s="10" t="str">
        <f t="array" ref="E2779">IFS(D2779&lt;=$G$3,'calculated data '!$A$3,D2779&lt;=$G$4,'calculated data '!$A$4,D2779&lt;=$G$6,'calculated data '!$A$5,D2779&gt;=$G$6,'calculated data '!$A$6)</f>
        <v>Low Demand Tier</v>
      </c>
      <c r="F2779" s="10">
        <f t="shared" si="1"/>
        <v>-0.5918497898</v>
      </c>
    </row>
    <row r="2780" ht="14.25" customHeight="1">
      <c r="A2780" s="2" t="s">
        <v>65</v>
      </c>
      <c r="B2780" s="2" t="s">
        <v>66</v>
      </c>
      <c r="C2780" s="2">
        <v>1988.0</v>
      </c>
      <c r="D2780" s="9">
        <v>2697.882</v>
      </c>
      <c r="E2780" s="10" t="str">
        <f t="array" ref="E2780">IFS(D2780&lt;=$G$3,'calculated data '!$A$3,D2780&lt;=$G$4,'calculated data '!$A$4,D2780&lt;=$G$6,'calculated data '!$A$5,D2780&gt;=$G$6,'calculated data '!$A$6)</f>
        <v>Low Demand Tier</v>
      </c>
      <c r="F2780" s="10">
        <f t="shared" si="1"/>
        <v>-0.5917592103</v>
      </c>
    </row>
    <row r="2781" ht="14.25" customHeight="1">
      <c r="A2781" s="2" t="s">
        <v>191</v>
      </c>
      <c r="B2781" s="2" t="s">
        <v>192</v>
      </c>
      <c r="C2781" s="2">
        <v>1985.0</v>
      </c>
      <c r="D2781" s="9">
        <v>2698.161</v>
      </c>
      <c r="E2781" s="10" t="str">
        <f t="array" ref="E2781">IFS(D2781&lt;=$G$3,'calculated data '!$A$3,D2781&lt;=$G$4,'calculated data '!$A$4,D2781&lt;=$G$6,'calculated data '!$A$5,D2781&gt;=$G$6,'calculated data '!$A$6)</f>
        <v>Low Demand Tier</v>
      </c>
      <c r="F2781" s="10">
        <f t="shared" si="1"/>
        <v>-0.5917518252</v>
      </c>
    </row>
    <row r="2782" ht="14.25" customHeight="1">
      <c r="A2782" s="2" t="s">
        <v>225</v>
      </c>
      <c r="B2782" s="2" t="s">
        <v>226</v>
      </c>
      <c r="C2782" s="2">
        <v>1985.0</v>
      </c>
      <c r="D2782" s="9">
        <v>2698.5266</v>
      </c>
      <c r="E2782" s="10" t="str">
        <f t="array" ref="E2782">IFS(D2782&lt;=$G$3,'calculated data '!$A$3,D2782&lt;=$G$4,'calculated data '!$A$4,D2782&lt;=$G$6,'calculated data '!$A$5,D2782&gt;=$G$6,'calculated data '!$A$6)</f>
        <v>Low Demand Tier</v>
      </c>
      <c r="F2782" s="10">
        <f t="shared" si="1"/>
        <v>-0.5917421479</v>
      </c>
    </row>
    <row r="2783" ht="14.25" customHeight="1">
      <c r="A2783" s="2" t="s">
        <v>137</v>
      </c>
      <c r="B2783" s="2" t="s">
        <v>138</v>
      </c>
      <c r="C2783" s="2">
        <v>2005.0</v>
      </c>
      <c r="D2783" s="9">
        <v>2698.8474</v>
      </c>
      <c r="E2783" s="10" t="str">
        <f t="array" ref="E2783">IFS(D2783&lt;=$G$3,'calculated data '!$A$3,D2783&lt;=$G$4,'calculated data '!$A$4,D2783&lt;=$G$6,'calculated data '!$A$5,D2783&gt;=$G$6,'calculated data '!$A$6)</f>
        <v>Low Demand Tier</v>
      </c>
      <c r="F2783" s="10">
        <f t="shared" si="1"/>
        <v>-0.5917336564</v>
      </c>
    </row>
    <row r="2784" ht="14.25" customHeight="1">
      <c r="A2784" s="2" t="s">
        <v>171</v>
      </c>
      <c r="B2784" s="2" t="s">
        <v>172</v>
      </c>
      <c r="C2784" s="2">
        <v>2024.0</v>
      </c>
      <c r="D2784" s="9">
        <v>2700.0264</v>
      </c>
      <c r="E2784" s="10" t="str">
        <f t="array" ref="E2784">IFS(D2784&lt;=$G$3,'calculated data '!$A$3,D2784&lt;=$G$4,'calculated data '!$A$4,D2784&lt;=$G$6,'calculated data '!$A$5,D2784&gt;=$G$6,'calculated data '!$A$6)</f>
        <v>Low Demand Tier</v>
      </c>
      <c r="F2784" s="10">
        <f t="shared" si="1"/>
        <v>-0.5917024486</v>
      </c>
    </row>
    <row r="2785" ht="14.25" customHeight="1">
      <c r="A2785" s="2" t="s">
        <v>177</v>
      </c>
      <c r="B2785" s="2" t="s">
        <v>178</v>
      </c>
      <c r="C2785" s="2">
        <v>1993.0</v>
      </c>
      <c r="D2785" s="9">
        <v>2702.522</v>
      </c>
      <c r="E2785" s="10" t="str">
        <f t="array" ref="E2785">IFS(D2785&lt;=$G$3,'calculated data '!$A$3,D2785&lt;=$G$4,'calculated data '!$A$4,D2785&lt;=$G$6,'calculated data '!$A$5,D2785&gt;=$G$6,'calculated data '!$A$6)</f>
        <v>Low Demand Tier</v>
      </c>
      <c r="F2785" s="10">
        <f t="shared" si="1"/>
        <v>-0.5916363906</v>
      </c>
    </row>
    <row r="2786" ht="14.25" customHeight="1">
      <c r="A2786" s="2" t="s">
        <v>219</v>
      </c>
      <c r="B2786" s="2" t="s">
        <v>220</v>
      </c>
      <c r="C2786" s="2">
        <v>2008.0</v>
      </c>
      <c r="D2786" s="9">
        <v>2705.3557</v>
      </c>
      <c r="E2786" s="10" t="str">
        <f t="array" ref="E2786">IFS(D2786&lt;=$G$3,'calculated data '!$A$3,D2786&lt;=$G$4,'calculated data '!$A$4,D2786&lt;=$G$6,'calculated data '!$A$5,D2786&gt;=$G$6,'calculated data '!$A$6)</f>
        <v>Low Demand Tier</v>
      </c>
      <c r="F2786" s="10">
        <f t="shared" si="1"/>
        <v>-0.5915613833</v>
      </c>
    </row>
    <row r="2787" ht="14.25" customHeight="1">
      <c r="A2787" s="2" t="s">
        <v>201</v>
      </c>
      <c r="B2787" s="2" t="s">
        <v>202</v>
      </c>
      <c r="C2787" s="2">
        <v>2009.0</v>
      </c>
      <c r="D2787" s="9">
        <v>2706.4292</v>
      </c>
      <c r="E2787" s="10" t="str">
        <f t="array" ref="E2787">IFS(D2787&lt;=$G$3,'calculated data '!$A$3,D2787&lt;=$G$4,'calculated data '!$A$4,D2787&lt;=$G$6,'calculated data '!$A$5,D2787&gt;=$G$6,'calculated data '!$A$6)</f>
        <v>Low Demand Tier</v>
      </c>
      <c r="F2787" s="10">
        <f t="shared" si="1"/>
        <v>-0.591532968</v>
      </c>
    </row>
    <row r="2788" ht="14.25" customHeight="1">
      <c r="A2788" s="2" t="s">
        <v>219</v>
      </c>
      <c r="B2788" s="2" t="s">
        <v>220</v>
      </c>
      <c r="C2788" s="2">
        <v>1984.0</v>
      </c>
      <c r="D2788" s="9">
        <v>2708.1375</v>
      </c>
      <c r="E2788" s="10" t="str">
        <f t="array" ref="E2788">IFS(D2788&lt;=$G$3,'calculated data '!$A$3,D2788&lt;=$G$4,'calculated data '!$A$4,D2788&lt;=$G$6,'calculated data '!$A$5,D2788&gt;=$G$6,'calculated data '!$A$6)</f>
        <v>Low Demand Tier</v>
      </c>
      <c r="F2788" s="10">
        <f t="shared" si="1"/>
        <v>-0.5914877498</v>
      </c>
    </row>
    <row r="2789" ht="14.25" customHeight="1">
      <c r="A2789" s="2" t="s">
        <v>187</v>
      </c>
      <c r="B2789" s="2" t="s">
        <v>188</v>
      </c>
      <c r="C2789" s="2">
        <v>2013.0</v>
      </c>
      <c r="D2789" s="9">
        <v>2709.936</v>
      </c>
      <c r="E2789" s="10" t="str">
        <f t="array" ref="E2789">IFS(D2789&lt;=$G$3,'calculated data '!$A$3,D2789&lt;=$G$4,'calculated data '!$A$4,D2789&lt;=$G$6,'calculated data '!$A$5,D2789&gt;=$G$6,'calculated data '!$A$6)</f>
        <v>Low Demand Tier</v>
      </c>
      <c r="F2789" s="10">
        <f t="shared" si="1"/>
        <v>-0.5914401439</v>
      </c>
    </row>
    <row r="2790" ht="14.25" customHeight="1">
      <c r="A2790" s="2" t="s">
        <v>175</v>
      </c>
      <c r="B2790" s="2" t="s">
        <v>176</v>
      </c>
      <c r="C2790" s="2">
        <v>1997.0</v>
      </c>
      <c r="D2790" s="9">
        <v>2714.2834</v>
      </c>
      <c r="E2790" s="10" t="str">
        <f t="array" ref="E2790">IFS(D2790&lt;=$G$3,'calculated data '!$A$3,D2790&lt;=$G$4,'calculated data '!$A$4,D2790&lt;=$G$6,'calculated data '!$A$5,D2790&gt;=$G$6,'calculated data '!$A$6)</f>
        <v>Low Demand Tier</v>
      </c>
      <c r="F2790" s="10">
        <f t="shared" si="1"/>
        <v>-0.5913250693</v>
      </c>
    </row>
    <row r="2791" ht="14.25" customHeight="1">
      <c r="A2791" s="2" t="s">
        <v>161</v>
      </c>
      <c r="B2791" s="2" t="s">
        <v>162</v>
      </c>
      <c r="C2791" s="2">
        <v>2017.0</v>
      </c>
      <c r="D2791" s="9">
        <v>2717.1228</v>
      </c>
      <c r="E2791" s="10" t="str">
        <f t="array" ref="E2791">IFS(D2791&lt;=$G$3,'calculated data '!$A$3,D2791&lt;=$G$4,'calculated data '!$A$4,D2791&lt;=$G$6,'calculated data '!$A$5,D2791&gt;=$G$6,'calculated data '!$A$6)</f>
        <v>Low Demand Tier</v>
      </c>
      <c r="F2791" s="10">
        <f t="shared" si="1"/>
        <v>-0.5912499111</v>
      </c>
    </row>
    <row r="2792" ht="14.25" customHeight="1">
      <c r="A2792" s="2" t="s">
        <v>139</v>
      </c>
      <c r="B2792" s="2" t="s">
        <v>140</v>
      </c>
      <c r="C2792" s="2">
        <v>2008.0</v>
      </c>
      <c r="D2792" s="9">
        <v>2717.7405</v>
      </c>
      <c r="E2792" s="10" t="str">
        <f t="array" ref="E2792">IFS(D2792&lt;=$G$3,'calculated data '!$A$3,D2792&lt;=$G$4,'calculated data '!$A$4,D2792&lt;=$G$6,'calculated data '!$A$5,D2792&gt;=$G$6,'calculated data '!$A$6)</f>
        <v>Low Demand Tier</v>
      </c>
      <c r="F2792" s="10">
        <f t="shared" si="1"/>
        <v>-0.5912335607</v>
      </c>
    </row>
    <row r="2793" ht="14.25" customHeight="1">
      <c r="A2793" s="2" t="s">
        <v>217</v>
      </c>
      <c r="B2793" s="2" t="s">
        <v>218</v>
      </c>
      <c r="C2793" s="2">
        <v>1975.0</v>
      </c>
      <c r="D2793" s="9">
        <v>2720.316</v>
      </c>
      <c r="E2793" s="10" t="str">
        <f t="array" ref="E2793">IFS(D2793&lt;=$G$3,'calculated data '!$A$3,D2793&lt;=$G$4,'calculated data '!$A$4,D2793&lt;=$G$6,'calculated data '!$A$5,D2793&gt;=$G$6,'calculated data '!$A$6)</f>
        <v>Low Demand Tier</v>
      </c>
      <c r="F2793" s="10">
        <f t="shared" si="1"/>
        <v>-0.5911653879</v>
      </c>
    </row>
    <row r="2794" ht="14.25" customHeight="1">
      <c r="A2794" s="2" t="s">
        <v>191</v>
      </c>
      <c r="B2794" s="2" t="s">
        <v>192</v>
      </c>
      <c r="C2794" s="2">
        <v>1984.0</v>
      </c>
      <c r="D2794" s="9">
        <v>2721.2456</v>
      </c>
      <c r="E2794" s="10" t="str">
        <f t="array" ref="E2794">IFS(D2794&lt;=$G$3,'calculated data '!$A$3,D2794&lt;=$G$4,'calculated data '!$A$4,D2794&lt;=$G$6,'calculated data '!$A$5,D2794&gt;=$G$6,'calculated data '!$A$6)</f>
        <v>Low Demand Tier</v>
      </c>
      <c r="F2794" s="10">
        <f t="shared" si="1"/>
        <v>-0.5911407816</v>
      </c>
    </row>
    <row r="2795" ht="14.25" customHeight="1">
      <c r="A2795" s="2" t="s">
        <v>175</v>
      </c>
      <c r="B2795" s="2" t="s">
        <v>176</v>
      </c>
      <c r="C2795" s="2">
        <v>1995.0</v>
      </c>
      <c r="D2795" s="9">
        <v>2721.4963</v>
      </c>
      <c r="E2795" s="10" t="str">
        <f t="array" ref="E2795">IFS(D2795&lt;=$G$3,'calculated data '!$A$3,D2795&lt;=$G$4,'calculated data '!$A$4,D2795&lt;=$G$6,'calculated data '!$A$5,D2795&gt;=$G$6,'calculated data '!$A$6)</f>
        <v>Low Demand Tier</v>
      </c>
      <c r="F2795" s="10">
        <f t="shared" si="1"/>
        <v>-0.5911341457</v>
      </c>
    </row>
    <row r="2796" ht="14.25" customHeight="1">
      <c r="A2796" s="2" t="s">
        <v>129</v>
      </c>
      <c r="B2796" s="2" t="s">
        <v>130</v>
      </c>
      <c r="C2796" s="2">
        <v>1988.0</v>
      </c>
      <c r="D2796" s="9">
        <v>2722.8638</v>
      </c>
      <c r="E2796" s="10" t="str">
        <f t="array" ref="E2796">IFS(D2796&lt;=$G$3,'calculated data '!$A$3,D2796&lt;=$G$4,'calculated data '!$A$4,D2796&lt;=$G$6,'calculated data '!$A$5,D2796&gt;=$G$6,'calculated data '!$A$6)</f>
        <v>Low Demand Tier</v>
      </c>
      <c r="F2796" s="10">
        <f t="shared" si="1"/>
        <v>-0.5910979483</v>
      </c>
    </row>
    <row r="2797" ht="14.25" customHeight="1">
      <c r="A2797" s="2" t="s">
        <v>211</v>
      </c>
      <c r="B2797" s="2" t="s">
        <v>212</v>
      </c>
      <c r="C2797" s="2">
        <v>1991.0</v>
      </c>
      <c r="D2797" s="9">
        <v>2730.433</v>
      </c>
      <c r="E2797" s="10" t="str">
        <f t="array" ref="E2797">IFS(D2797&lt;=$G$3,'calculated data '!$A$3,D2797&lt;=$G$4,'calculated data '!$A$4,D2797&lt;=$G$6,'calculated data '!$A$5,D2797&gt;=$G$6,'calculated data '!$A$6)</f>
        <v>Low Demand Tier</v>
      </c>
      <c r="F2797" s="10">
        <f t="shared" si="1"/>
        <v>-0.5908975934</v>
      </c>
    </row>
    <row r="2798" ht="14.25" customHeight="1">
      <c r="A2798" s="2" t="s">
        <v>199</v>
      </c>
      <c r="B2798" s="2" t="s">
        <v>200</v>
      </c>
      <c r="C2798" s="2">
        <v>1995.0</v>
      </c>
      <c r="D2798" s="9">
        <v>2736.4705</v>
      </c>
      <c r="E2798" s="10" t="str">
        <f t="array" ref="E2798">IFS(D2798&lt;=$G$3,'calculated data '!$A$3,D2798&lt;=$G$4,'calculated data '!$A$4,D2798&lt;=$G$6,'calculated data '!$A$5,D2798&gt;=$G$6,'calculated data '!$A$6)</f>
        <v>Low Demand Tier</v>
      </c>
      <c r="F2798" s="10">
        <f t="shared" si="1"/>
        <v>-0.5907377823</v>
      </c>
    </row>
    <row r="2799" ht="14.25" customHeight="1">
      <c r="A2799" s="2" t="s">
        <v>139</v>
      </c>
      <c r="B2799" s="2" t="s">
        <v>140</v>
      </c>
      <c r="C2799" s="2">
        <v>2005.0</v>
      </c>
      <c r="D2799" s="9">
        <v>2736.6914</v>
      </c>
      <c r="E2799" s="10" t="str">
        <f t="array" ref="E2799">IFS(D2799&lt;=$G$3,'calculated data '!$A$3,D2799&lt;=$G$4,'calculated data '!$A$4,D2799&lt;=$G$6,'calculated data '!$A$5,D2799&gt;=$G$6,'calculated data '!$A$6)</f>
        <v>Low Demand Tier</v>
      </c>
      <c r="F2799" s="10">
        <f t="shared" si="1"/>
        <v>-0.5907319351</v>
      </c>
    </row>
    <row r="2800" ht="14.25" customHeight="1">
      <c r="A2800" s="2" t="s">
        <v>21</v>
      </c>
      <c r="B2800" s="2" t="s">
        <v>22</v>
      </c>
      <c r="C2800" s="2">
        <v>2020.0</v>
      </c>
      <c r="D2800" s="9">
        <v>2737.3225</v>
      </c>
      <c r="E2800" s="10" t="str">
        <f t="array" ref="E2800">IFS(D2800&lt;=$G$3,'calculated data '!$A$3,D2800&lt;=$G$4,'calculated data '!$A$4,D2800&lt;=$G$6,'calculated data '!$A$5,D2800&gt;=$G$6,'calculated data '!$A$6)</f>
        <v>Low Demand Tier</v>
      </c>
      <c r="F2800" s="10">
        <f t="shared" si="1"/>
        <v>-0.5907152301</v>
      </c>
    </row>
    <row r="2801" ht="14.25" customHeight="1">
      <c r="A2801" s="2" t="s">
        <v>145</v>
      </c>
      <c r="B2801" s="2" t="s">
        <v>146</v>
      </c>
      <c r="C2801" s="2">
        <v>2008.0</v>
      </c>
      <c r="D2801" s="9">
        <v>2739.223</v>
      </c>
      <c r="E2801" s="10" t="str">
        <f t="array" ref="E2801">IFS(D2801&lt;=$G$3,'calculated data '!$A$3,D2801&lt;=$G$4,'calculated data '!$A$4,D2801&lt;=$G$6,'calculated data '!$A$5,D2801&gt;=$G$6,'calculated data '!$A$6)</f>
        <v>Low Demand Tier</v>
      </c>
      <c r="F2801" s="10">
        <f t="shared" si="1"/>
        <v>-0.5906649243</v>
      </c>
    </row>
    <row r="2802" ht="14.25" customHeight="1">
      <c r="A2802" s="2" t="s">
        <v>181</v>
      </c>
      <c r="B2802" s="2" t="s">
        <v>182</v>
      </c>
      <c r="C2802" s="2">
        <v>2022.0</v>
      </c>
      <c r="D2802" s="9">
        <v>2739.3157</v>
      </c>
      <c r="E2802" s="10" t="str">
        <f t="array" ref="E2802">IFS(D2802&lt;=$G$3,'calculated data '!$A$3,D2802&lt;=$G$4,'calculated data '!$A$4,D2802&lt;=$G$6,'calculated data '!$A$5,D2802&gt;=$G$6,'calculated data '!$A$6)</f>
        <v>Low Demand Tier</v>
      </c>
      <c r="F2802" s="10">
        <f t="shared" si="1"/>
        <v>-0.5906624706</v>
      </c>
    </row>
    <row r="2803" ht="14.25" customHeight="1">
      <c r="A2803" s="2" t="s">
        <v>157</v>
      </c>
      <c r="B2803" s="2" t="s">
        <v>158</v>
      </c>
      <c r="C2803" s="2">
        <v>2008.0</v>
      </c>
      <c r="D2803" s="9">
        <v>2740.118</v>
      </c>
      <c r="E2803" s="10" t="str">
        <f t="array" ref="E2803">IFS(D2803&lt;=$G$3,'calculated data '!$A$3,D2803&lt;=$G$4,'calculated data '!$A$4,D2803&lt;=$G$6,'calculated data '!$A$5,D2803&gt;=$G$6,'calculated data '!$A$6)</f>
        <v>Low Demand Tier</v>
      </c>
      <c r="F2803" s="10">
        <f t="shared" si="1"/>
        <v>-0.5906412339</v>
      </c>
    </row>
    <row r="2804" ht="14.25" customHeight="1">
      <c r="A2804" s="2" t="s">
        <v>183</v>
      </c>
      <c r="B2804" s="2" t="s">
        <v>184</v>
      </c>
      <c r="C2804" s="2">
        <v>1973.0</v>
      </c>
      <c r="D2804" s="9">
        <v>2740.4978</v>
      </c>
      <c r="E2804" s="10" t="str">
        <f t="array" ref="E2804">IFS(D2804&lt;=$G$3,'calculated data '!$A$3,D2804&lt;=$G$4,'calculated data '!$A$4,D2804&lt;=$G$6,'calculated data '!$A$5,D2804&gt;=$G$6,'calculated data '!$A$6)</f>
        <v>Low Demand Tier</v>
      </c>
      <c r="F2804" s="10">
        <f t="shared" si="1"/>
        <v>-0.5906311807</v>
      </c>
    </row>
    <row r="2805" ht="14.25" customHeight="1">
      <c r="A2805" s="2" t="s">
        <v>219</v>
      </c>
      <c r="B2805" s="2" t="s">
        <v>220</v>
      </c>
      <c r="C2805" s="2">
        <v>2002.0</v>
      </c>
      <c r="D2805" s="9">
        <v>2743.2876</v>
      </c>
      <c r="E2805" s="10" t="str">
        <f t="array" ref="E2805">IFS(D2805&lt;=$G$3,'calculated data '!$A$3,D2805&lt;=$G$4,'calculated data '!$A$4,D2805&lt;=$G$6,'calculated data '!$A$5,D2805&gt;=$G$6,'calculated data '!$A$6)</f>
        <v>Low Demand Tier</v>
      </c>
      <c r="F2805" s="10">
        <f t="shared" si="1"/>
        <v>-0.5905573354</v>
      </c>
    </row>
    <row r="2806" ht="14.25" customHeight="1">
      <c r="A2806" s="2" t="s">
        <v>187</v>
      </c>
      <c r="B2806" s="2" t="s">
        <v>188</v>
      </c>
      <c r="C2806" s="2">
        <v>2006.0</v>
      </c>
      <c r="D2806" s="9">
        <v>2744.8518</v>
      </c>
      <c r="E2806" s="10" t="str">
        <f t="array" ref="E2806">IFS(D2806&lt;=$G$3,'calculated data '!$A$3,D2806&lt;=$G$4,'calculated data '!$A$4,D2806&lt;=$G$6,'calculated data '!$A$5,D2806&gt;=$G$6,'calculated data '!$A$6)</f>
        <v>Low Demand Tier</v>
      </c>
      <c r="F2806" s="10">
        <f t="shared" si="1"/>
        <v>-0.5905159314</v>
      </c>
    </row>
    <row r="2807" ht="14.25" customHeight="1">
      <c r="A2807" s="2" t="s">
        <v>171</v>
      </c>
      <c r="B2807" s="2" t="s">
        <v>172</v>
      </c>
      <c r="C2807" s="2">
        <v>2023.0</v>
      </c>
      <c r="D2807" s="9">
        <v>2745.6868</v>
      </c>
      <c r="E2807" s="10" t="str">
        <f t="array" ref="E2807">IFS(D2807&lt;=$G$3,'calculated data '!$A$3,D2807&lt;=$G$4,'calculated data '!$A$4,D2807&lt;=$G$6,'calculated data '!$A$5,D2807&gt;=$G$6,'calculated data '!$A$6)</f>
        <v>Low Demand Tier</v>
      </c>
      <c r="F2807" s="10">
        <f t="shared" si="1"/>
        <v>-0.5904938291</v>
      </c>
    </row>
    <row r="2808" ht="14.25" customHeight="1">
      <c r="A2808" s="2" t="s">
        <v>179</v>
      </c>
      <c r="B2808" s="2" t="s">
        <v>180</v>
      </c>
      <c r="C2808" s="2">
        <v>1984.0</v>
      </c>
      <c r="D2808" s="9">
        <v>2748.5713</v>
      </c>
      <c r="E2808" s="10" t="str">
        <f t="array" ref="E2808">IFS(D2808&lt;=$G$3,'calculated data '!$A$3,D2808&lt;=$G$4,'calculated data '!$A$4,D2808&lt;=$G$6,'calculated data '!$A$5,D2808&gt;=$G$6,'calculated data '!$A$6)</f>
        <v>Low Demand Tier</v>
      </c>
      <c r="F2808" s="10">
        <f t="shared" si="1"/>
        <v>-0.5904174771</v>
      </c>
    </row>
    <row r="2809" ht="14.25" customHeight="1">
      <c r="A2809" s="2" t="s">
        <v>161</v>
      </c>
      <c r="B2809" s="2" t="s">
        <v>162</v>
      </c>
      <c r="C2809" s="2">
        <v>2014.0</v>
      </c>
      <c r="D2809" s="9">
        <v>2750.5144</v>
      </c>
      <c r="E2809" s="10" t="str">
        <f t="array" ref="E2809">IFS(D2809&lt;=$G$3,'calculated data '!$A$3,D2809&lt;=$G$4,'calculated data '!$A$4,D2809&lt;=$G$6,'calculated data '!$A$5,D2809&gt;=$G$6,'calculated data '!$A$6)</f>
        <v>Low Demand Tier</v>
      </c>
      <c r="F2809" s="10">
        <f t="shared" si="1"/>
        <v>-0.5903660438</v>
      </c>
    </row>
    <row r="2810" ht="14.25" customHeight="1">
      <c r="A2810" s="2" t="s">
        <v>219</v>
      </c>
      <c r="B2810" s="2" t="s">
        <v>220</v>
      </c>
      <c r="C2810" s="2">
        <v>2021.0</v>
      </c>
      <c r="D2810" s="9">
        <v>2756.844</v>
      </c>
      <c r="E2810" s="10" t="str">
        <f t="array" ref="E2810">IFS(D2810&lt;=$G$3,'calculated data '!$A$3,D2810&lt;=$G$4,'calculated data '!$A$4,D2810&lt;=$G$6,'calculated data '!$A$5,D2810&gt;=$G$6,'calculated data '!$A$6)</f>
        <v>Low Demand Tier</v>
      </c>
      <c r="F2810" s="10">
        <f t="shared" si="1"/>
        <v>-0.5901985008</v>
      </c>
    </row>
    <row r="2811" ht="14.25" customHeight="1">
      <c r="A2811" s="2" t="s">
        <v>113</v>
      </c>
      <c r="B2811" s="2" t="s">
        <v>114</v>
      </c>
      <c r="C2811" s="2">
        <v>2021.0</v>
      </c>
      <c r="D2811" s="9">
        <v>2759.1848</v>
      </c>
      <c r="E2811" s="10" t="str">
        <f t="array" ref="E2811">IFS(D2811&lt;=$G$3,'calculated data '!$A$3,D2811&lt;=$G$4,'calculated data '!$A$4,D2811&lt;=$G$6,'calculated data '!$A$5,D2811&gt;=$G$6,'calculated data '!$A$6)</f>
        <v>Low Demand Tier</v>
      </c>
      <c r="F2811" s="10">
        <f t="shared" si="1"/>
        <v>-0.5901365404</v>
      </c>
    </row>
    <row r="2812" ht="14.25" customHeight="1">
      <c r="A2812" s="2" t="s">
        <v>189</v>
      </c>
      <c r="B2812" s="2" t="s">
        <v>190</v>
      </c>
      <c r="C2812" s="2">
        <v>1995.0</v>
      </c>
      <c r="D2812" s="9">
        <v>2761.003</v>
      </c>
      <c r="E2812" s="10" t="str">
        <f t="array" ref="E2812">IFS(D2812&lt;=$G$3,'calculated data '!$A$3,D2812&lt;=$G$4,'calculated data '!$A$4,D2812&lt;=$G$6,'calculated data '!$A$5,D2812&gt;=$G$6,'calculated data '!$A$6)</f>
        <v>Low Demand Tier</v>
      </c>
      <c r="F2812" s="10">
        <f t="shared" si="1"/>
        <v>-0.5900884131</v>
      </c>
    </row>
    <row r="2813" ht="14.25" customHeight="1">
      <c r="A2813" s="2" t="s">
        <v>165</v>
      </c>
      <c r="B2813" s="2" t="s">
        <v>166</v>
      </c>
      <c r="C2813" s="2">
        <v>1994.0</v>
      </c>
      <c r="D2813" s="9">
        <v>2763.2434</v>
      </c>
      <c r="E2813" s="10" t="str">
        <f t="array" ref="E2813">IFS(D2813&lt;=$G$3,'calculated data '!$A$3,D2813&lt;=$G$4,'calculated data '!$A$4,D2813&lt;=$G$6,'calculated data '!$A$5,D2813&gt;=$G$6,'calculated data '!$A$6)</f>
        <v>Low Demand Tier</v>
      </c>
      <c r="F2813" s="10">
        <f t="shared" si="1"/>
        <v>-0.5900291103</v>
      </c>
    </row>
    <row r="2814" ht="14.25" customHeight="1">
      <c r="A2814" s="2" t="s">
        <v>139</v>
      </c>
      <c r="B2814" s="2" t="s">
        <v>140</v>
      </c>
      <c r="C2814" s="2">
        <v>2009.0</v>
      </c>
      <c r="D2814" s="9">
        <v>2768.3955</v>
      </c>
      <c r="E2814" s="10" t="str">
        <f t="array" ref="E2814">IFS(D2814&lt;=$G$3,'calculated data '!$A$3,D2814&lt;=$G$4,'calculated data '!$A$4,D2814&lt;=$G$6,'calculated data '!$A$5,D2814&gt;=$G$6,'calculated data '!$A$6)</f>
        <v>Low Demand Tier</v>
      </c>
      <c r="F2814" s="10">
        <f t="shared" si="1"/>
        <v>-0.5898927355</v>
      </c>
    </row>
    <row r="2815" ht="14.25" customHeight="1">
      <c r="A2815" s="2" t="s">
        <v>151</v>
      </c>
      <c r="B2815" s="2" t="s">
        <v>152</v>
      </c>
      <c r="C2815" s="2">
        <v>1995.0</v>
      </c>
      <c r="D2815" s="9">
        <v>2771.394</v>
      </c>
      <c r="E2815" s="10" t="str">
        <f t="array" ref="E2815">IFS(D2815&lt;=$G$3,'calculated data '!$A$3,D2815&lt;=$G$4,'calculated data '!$A$4,D2815&lt;=$G$6,'calculated data '!$A$5,D2815&gt;=$G$6,'calculated data '!$A$6)</f>
        <v>Low Demand Tier</v>
      </c>
      <c r="F2815" s="10">
        <f t="shared" si="1"/>
        <v>-0.589813366</v>
      </c>
    </row>
    <row r="2816" ht="14.25" customHeight="1">
      <c r="A2816" s="2" t="s">
        <v>207</v>
      </c>
      <c r="B2816" s="2" t="s">
        <v>208</v>
      </c>
      <c r="C2816" s="2">
        <v>1971.0</v>
      </c>
      <c r="D2816" s="9">
        <v>2772.3396</v>
      </c>
      <c r="E2816" s="10" t="str">
        <f t="array" ref="E2816">IFS(D2816&lt;=$G$3,'calculated data '!$A$3,D2816&lt;=$G$4,'calculated data '!$A$4,D2816&lt;=$G$6,'calculated data '!$A$5,D2816&gt;=$G$6,'calculated data '!$A$6)</f>
        <v>Low Demand Tier</v>
      </c>
      <c r="F2816" s="10">
        <f t="shared" si="1"/>
        <v>-0.5897883362</v>
      </c>
    </row>
    <row r="2817" ht="14.25" customHeight="1">
      <c r="A2817" s="2" t="s">
        <v>199</v>
      </c>
      <c r="B2817" s="2" t="s">
        <v>200</v>
      </c>
      <c r="C2817" s="2">
        <v>1996.0</v>
      </c>
      <c r="D2817" s="9">
        <v>2773.6682</v>
      </c>
      <c r="E2817" s="10" t="str">
        <f t="array" ref="E2817">IFS(D2817&lt;=$G$3,'calculated data '!$A$3,D2817&lt;=$G$4,'calculated data '!$A$4,D2817&lt;=$G$6,'calculated data '!$A$5,D2817&gt;=$G$6,'calculated data '!$A$6)</f>
        <v>Low Demand Tier</v>
      </c>
      <c r="F2817" s="10">
        <f t="shared" si="1"/>
        <v>-0.5897531685</v>
      </c>
    </row>
    <row r="2818" ht="14.25" customHeight="1">
      <c r="A2818" s="2" t="s">
        <v>181</v>
      </c>
      <c r="B2818" s="2" t="s">
        <v>182</v>
      </c>
      <c r="C2818" s="2">
        <v>2017.0</v>
      </c>
      <c r="D2818" s="9">
        <v>2774.0947</v>
      </c>
      <c r="E2818" s="10" t="str">
        <f t="array" ref="E2818">IFS(D2818&lt;=$G$3,'calculated data '!$A$3,D2818&lt;=$G$4,'calculated data '!$A$4,D2818&lt;=$G$6,'calculated data '!$A$5,D2818&gt;=$G$6,'calculated data '!$A$6)</f>
        <v>Low Demand Tier</v>
      </c>
      <c r="F2818" s="10">
        <f t="shared" si="1"/>
        <v>-0.5897418791</v>
      </c>
    </row>
    <row r="2819" ht="14.25" customHeight="1">
      <c r="A2819" s="2" t="s">
        <v>175</v>
      </c>
      <c r="B2819" s="2" t="s">
        <v>176</v>
      </c>
      <c r="C2819" s="2">
        <v>1998.0</v>
      </c>
      <c r="D2819" s="9">
        <v>2775.9993</v>
      </c>
      <c r="E2819" s="10" t="str">
        <f t="array" ref="E2819">IFS(D2819&lt;=$G$3,'calculated data '!$A$3,D2819&lt;=$G$4,'calculated data '!$A$4,D2819&lt;=$G$6,'calculated data '!$A$5,D2819&gt;=$G$6,'calculated data '!$A$6)</f>
        <v>Low Demand Tier</v>
      </c>
      <c r="F2819" s="10">
        <f t="shared" si="1"/>
        <v>-0.5896914648</v>
      </c>
    </row>
    <row r="2820" ht="14.25" customHeight="1">
      <c r="A2820" s="2" t="s">
        <v>233</v>
      </c>
      <c r="B2820" s="2" t="s">
        <v>234</v>
      </c>
      <c r="C2820" s="2">
        <v>1965.0</v>
      </c>
      <c r="D2820" s="9">
        <v>2787.8696</v>
      </c>
      <c r="E2820" s="10" t="str">
        <f t="array" ref="E2820">IFS(D2820&lt;=$G$3,'calculated data '!$A$3,D2820&lt;=$G$4,'calculated data '!$A$4,D2820&lt;=$G$6,'calculated data '!$A$5,D2820&gt;=$G$6,'calculated data '!$A$6)</f>
        <v>Low Demand Tier</v>
      </c>
      <c r="F2820" s="10">
        <f t="shared" si="1"/>
        <v>-0.5893772609</v>
      </c>
    </row>
    <row r="2821" ht="14.25" customHeight="1">
      <c r="A2821" s="2" t="s">
        <v>169</v>
      </c>
      <c r="B2821" s="2" t="s">
        <v>170</v>
      </c>
      <c r="C2821" s="2">
        <v>2008.0</v>
      </c>
      <c r="D2821" s="9">
        <v>2789.6924</v>
      </c>
      <c r="E2821" s="10" t="str">
        <f t="array" ref="E2821">IFS(D2821&lt;=$G$3,'calculated data '!$A$3,D2821&lt;=$G$4,'calculated data '!$A$4,D2821&lt;=$G$6,'calculated data '!$A$5,D2821&gt;=$G$6,'calculated data '!$A$6)</f>
        <v>Low Demand Tier</v>
      </c>
      <c r="F2821" s="10">
        <f t="shared" si="1"/>
        <v>-0.5893290119</v>
      </c>
    </row>
    <row r="2822" ht="14.25" customHeight="1">
      <c r="A2822" s="2" t="s">
        <v>159</v>
      </c>
      <c r="B2822" s="2" t="s">
        <v>160</v>
      </c>
      <c r="C2822" s="2">
        <v>1978.0</v>
      </c>
      <c r="D2822" s="9">
        <v>2790.7712</v>
      </c>
      <c r="E2822" s="10" t="str">
        <f t="array" ref="E2822">IFS(D2822&lt;=$G$3,'calculated data '!$A$3,D2822&lt;=$G$4,'calculated data '!$A$4,D2822&lt;=$G$6,'calculated data '!$A$5,D2822&gt;=$G$6,'calculated data '!$A$6)</f>
        <v>Low Demand Tier</v>
      </c>
      <c r="F2822" s="10">
        <f t="shared" si="1"/>
        <v>-0.5893004563</v>
      </c>
    </row>
    <row r="2823" ht="14.25" customHeight="1">
      <c r="A2823" s="2" t="s">
        <v>193</v>
      </c>
      <c r="B2823" s="2" t="s">
        <v>194</v>
      </c>
      <c r="C2823" s="2">
        <v>1986.0</v>
      </c>
      <c r="D2823" s="9">
        <v>2792.624</v>
      </c>
      <c r="E2823" s="10" t="str">
        <f t="array" ref="E2823">IFS(D2823&lt;=$G$3,'calculated data '!$A$3,D2823&lt;=$G$4,'calculated data '!$A$4,D2823&lt;=$G$6,'calculated data '!$A$5,D2823&gt;=$G$6,'calculated data '!$A$6)</f>
        <v>Low Demand Tier</v>
      </c>
      <c r="F2823" s="10">
        <f t="shared" si="1"/>
        <v>-0.5892514132</v>
      </c>
    </row>
    <row r="2824" ht="14.25" customHeight="1">
      <c r="A2824" s="2" t="s">
        <v>169</v>
      </c>
      <c r="B2824" s="2" t="s">
        <v>170</v>
      </c>
      <c r="C2824" s="2">
        <v>2015.0</v>
      </c>
      <c r="D2824" s="9">
        <v>2800.819</v>
      </c>
      <c r="E2824" s="10" t="str">
        <f t="array" ref="E2824">IFS(D2824&lt;=$G$3,'calculated data '!$A$3,D2824&lt;=$G$4,'calculated data '!$A$4,D2824&lt;=$G$6,'calculated data '!$A$5,D2824&gt;=$G$6,'calculated data '!$A$6)</f>
        <v>Low Demand Tier</v>
      </c>
      <c r="F2824" s="10">
        <f t="shared" si="1"/>
        <v>-0.5890344935</v>
      </c>
    </row>
    <row r="2825" ht="14.25" customHeight="1">
      <c r="A2825" s="2" t="s">
        <v>201</v>
      </c>
      <c r="B2825" s="2" t="s">
        <v>202</v>
      </c>
      <c r="C2825" s="2">
        <v>2008.0</v>
      </c>
      <c r="D2825" s="9">
        <v>2806.8098</v>
      </c>
      <c r="E2825" s="10" t="str">
        <f t="array" ref="E2825">IFS(D2825&lt;=$G$3,'calculated data '!$A$3,D2825&lt;=$G$4,'calculated data '!$A$4,D2825&lt;=$G$6,'calculated data '!$A$5,D2825&gt;=$G$6,'calculated data '!$A$6)</f>
        <v>Low Demand Tier</v>
      </c>
      <c r="F2825" s="10">
        <f t="shared" si="1"/>
        <v>-0.5888759186</v>
      </c>
    </row>
    <row r="2826" ht="14.25" customHeight="1">
      <c r="A2826" s="2" t="s">
        <v>175</v>
      </c>
      <c r="B2826" s="2" t="s">
        <v>176</v>
      </c>
      <c r="C2826" s="2">
        <v>1996.0</v>
      </c>
      <c r="D2826" s="9">
        <v>2807.23</v>
      </c>
      <c r="E2826" s="10" t="str">
        <f t="array" ref="E2826">IFS(D2826&lt;=$G$3,'calculated data '!$A$3,D2826&lt;=$G$4,'calculated data '!$A$4,D2826&lt;=$G$6,'calculated data '!$A$5,D2826&gt;=$G$6,'calculated data '!$A$6)</f>
        <v>Low Demand Tier</v>
      </c>
      <c r="F2826" s="10">
        <f t="shared" si="1"/>
        <v>-0.588864796</v>
      </c>
    </row>
    <row r="2827" ht="14.25" customHeight="1">
      <c r="A2827" s="2" t="s">
        <v>151</v>
      </c>
      <c r="B2827" s="2" t="s">
        <v>152</v>
      </c>
      <c r="C2827" s="2">
        <v>1996.0</v>
      </c>
      <c r="D2827" s="9">
        <v>2808.0542</v>
      </c>
      <c r="E2827" s="10" t="str">
        <f t="array" ref="E2827">IFS(D2827&lt;=$G$3,'calculated data '!$A$3,D2827&lt;=$G$4,'calculated data '!$A$4,D2827&lt;=$G$6,'calculated data '!$A$5,D2827&gt;=$G$6,'calculated data '!$A$6)</f>
        <v>Low Demand Tier</v>
      </c>
      <c r="F2827" s="10">
        <f t="shared" si="1"/>
        <v>-0.5888429796</v>
      </c>
    </row>
    <row r="2828" ht="14.25" customHeight="1">
      <c r="A2828" s="2" t="s">
        <v>161</v>
      </c>
      <c r="B2828" s="2" t="s">
        <v>162</v>
      </c>
      <c r="C2828" s="2">
        <v>2010.0</v>
      </c>
      <c r="D2828" s="9">
        <v>2811.1926</v>
      </c>
      <c r="E2828" s="10" t="str">
        <f t="array" ref="E2828">IFS(D2828&lt;=$G$3,'calculated data '!$A$3,D2828&lt;=$G$4,'calculated data '!$A$4,D2828&lt;=$G$6,'calculated data '!$A$5,D2828&gt;=$G$6,'calculated data '!$A$6)</f>
        <v>Low Demand Tier</v>
      </c>
      <c r="F2828" s="10">
        <f t="shared" si="1"/>
        <v>-0.5887599069</v>
      </c>
    </row>
    <row r="2829" ht="14.25" customHeight="1">
      <c r="A2829" s="2" t="s">
        <v>197</v>
      </c>
      <c r="B2829" s="2" t="s">
        <v>198</v>
      </c>
      <c r="C2829" s="2">
        <v>1970.0</v>
      </c>
      <c r="D2829" s="9">
        <v>2811.4087</v>
      </c>
      <c r="E2829" s="10" t="str">
        <f t="array" ref="E2829">IFS(D2829&lt;=$G$3,'calculated data '!$A$3,D2829&lt;=$G$4,'calculated data '!$A$4,D2829&lt;=$G$6,'calculated data '!$A$5,D2829&gt;=$G$6,'calculated data '!$A$6)</f>
        <v>Low Demand Tier</v>
      </c>
      <c r="F2829" s="10">
        <f t="shared" si="1"/>
        <v>-0.5887541868</v>
      </c>
    </row>
    <row r="2830" ht="14.25" customHeight="1">
      <c r="A2830" s="2" t="s">
        <v>51</v>
      </c>
      <c r="B2830" s="2" t="s">
        <v>52</v>
      </c>
      <c r="C2830" s="2">
        <v>2002.0</v>
      </c>
      <c r="D2830" s="9">
        <v>2814.5886</v>
      </c>
      <c r="E2830" s="10" t="str">
        <f t="array" ref="E2830">IFS(D2830&lt;=$G$3,'calculated data '!$A$3,D2830&lt;=$G$4,'calculated data '!$A$4,D2830&lt;=$G$6,'calculated data '!$A$5,D2830&gt;=$G$6,'calculated data '!$A$6)</f>
        <v>Low Demand Tier</v>
      </c>
      <c r="F2830" s="10">
        <f t="shared" si="1"/>
        <v>-0.5886700157</v>
      </c>
    </row>
    <row r="2831" ht="14.25" customHeight="1">
      <c r="A2831" s="2" t="s">
        <v>83</v>
      </c>
      <c r="B2831" s="2" t="s">
        <v>84</v>
      </c>
      <c r="C2831" s="2">
        <v>2013.0</v>
      </c>
      <c r="D2831" s="9">
        <v>2815.8206</v>
      </c>
      <c r="E2831" s="10" t="str">
        <f t="array" ref="E2831">IFS(D2831&lt;=$G$3,'calculated data '!$A$3,D2831&lt;=$G$4,'calculated data '!$A$4,D2831&lt;=$G$6,'calculated data '!$A$5,D2831&gt;=$G$6,'calculated data '!$A$6)</f>
        <v>Target Market (Core IQR)</v>
      </c>
      <c r="F2831" s="10">
        <f t="shared" si="1"/>
        <v>-0.5886374049</v>
      </c>
    </row>
    <row r="2832" ht="14.25" customHeight="1">
      <c r="A2832" s="2" t="s">
        <v>181</v>
      </c>
      <c r="B2832" s="2" t="s">
        <v>182</v>
      </c>
      <c r="C2832" s="2">
        <v>2008.0</v>
      </c>
      <c r="D2832" s="9">
        <v>2818.649</v>
      </c>
      <c r="E2832" s="10" t="str">
        <f t="array" ref="E2832">IFS(D2832&lt;=$G$3,'calculated data '!$A$3,D2832&lt;=$G$4,'calculated data '!$A$4,D2832&lt;=$G$6,'calculated data '!$A$5,D2832&gt;=$G$6,'calculated data '!$A$6)</f>
        <v>Target Market (Core IQR)</v>
      </c>
      <c r="F2832" s="10">
        <f t="shared" si="1"/>
        <v>-0.5885625379</v>
      </c>
    </row>
    <row r="2833" ht="14.25" customHeight="1">
      <c r="A2833" s="2" t="s">
        <v>185</v>
      </c>
      <c r="B2833" s="2" t="s">
        <v>186</v>
      </c>
      <c r="C2833" s="2">
        <v>1989.0</v>
      </c>
      <c r="D2833" s="9">
        <v>2820.785</v>
      </c>
      <c r="E2833" s="10" t="str">
        <f t="array" ref="E2833">IFS(D2833&lt;=$G$3,'calculated data '!$A$3,D2833&lt;=$G$4,'calculated data '!$A$4,D2833&lt;=$G$6,'calculated data '!$A$5,D2833&gt;=$G$6,'calculated data '!$A$6)</f>
        <v>Target Market (Core IQR)</v>
      </c>
      <c r="F2833" s="10">
        <f t="shared" si="1"/>
        <v>-0.5885059985</v>
      </c>
    </row>
    <row r="2834" ht="14.25" customHeight="1">
      <c r="A2834" s="2" t="s">
        <v>187</v>
      </c>
      <c r="B2834" s="2" t="s">
        <v>188</v>
      </c>
      <c r="C2834" s="2">
        <v>2012.0</v>
      </c>
      <c r="D2834" s="9">
        <v>2822.114</v>
      </c>
      <c r="E2834" s="10" t="str">
        <f t="array" ref="E2834">IFS(D2834&lt;=$G$3,'calculated data '!$A$3,D2834&lt;=$G$4,'calculated data '!$A$4,D2834&lt;=$G$6,'calculated data '!$A$5,D2834&gt;=$G$6,'calculated data '!$A$6)</f>
        <v>Target Market (Core IQR)</v>
      </c>
      <c r="F2834" s="10">
        <f t="shared" si="1"/>
        <v>-0.5884708202</v>
      </c>
    </row>
    <row r="2835" ht="14.25" customHeight="1">
      <c r="A2835" s="2" t="s">
        <v>161</v>
      </c>
      <c r="B2835" s="2" t="s">
        <v>162</v>
      </c>
      <c r="C2835" s="2">
        <v>2009.0</v>
      </c>
      <c r="D2835" s="9">
        <v>2822.868</v>
      </c>
      <c r="E2835" s="10" t="str">
        <f t="array" ref="E2835">IFS(D2835&lt;=$G$3,'calculated data '!$A$3,D2835&lt;=$G$4,'calculated data '!$A$4,D2835&lt;=$G$6,'calculated data '!$A$5,D2835&gt;=$G$6,'calculated data '!$A$6)</f>
        <v>Target Market (Core IQR)</v>
      </c>
      <c r="F2835" s="10">
        <f t="shared" si="1"/>
        <v>-0.588450862</v>
      </c>
    </row>
    <row r="2836" ht="14.25" customHeight="1">
      <c r="A2836" s="2" t="s">
        <v>211</v>
      </c>
      <c r="B2836" s="2" t="s">
        <v>212</v>
      </c>
      <c r="C2836" s="2">
        <v>1988.0</v>
      </c>
      <c r="D2836" s="9">
        <v>2832.8613</v>
      </c>
      <c r="E2836" s="10" t="str">
        <f t="array" ref="E2836">IFS(D2836&lt;=$G$3,'calculated data '!$A$3,D2836&lt;=$G$4,'calculated data '!$A$4,D2836&lt;=$G$6,'calculated data '!$A$5,D2836&gt;=$G$6,'calculated data '!$A$6)</f>
        <v>Target Market (Core IQR)</v>
      </c>
      <c r="F2836" s="10">
        <f t="shared" si="1"/>
        <v>-0.5881863418</v>
      </c>
    </row>
    <row r="2837" ht="14.25" customHeight="1">
      <c r="A2837" s="2" t="s">
        <v>227</v>
      </c>
      <c r="B2837" s="2" t="s">
        <v>228</v>
      </c>
      <c r="C2837" s="2">
        <v>1966.0</v>
      </c>
      <c r="D2837" s="9">
        <v>2834.5745</v>
      </c>
      <c r="E2837" s="10" t="str">
        <f t="array" ref="E2837">IFS(D2837&lt;=$G$3,'calculated data '!$A$3,D2837&lt;=$G$4,'calculated data '!$A$4,D2837&lt;=$G$6,'calculated data '!$A$5,D2837&gt;=$G$6,'calculated data '!$A$6)</f>
        <v>Target Market (Core IQR)</v>
      </c>
      <c r="F2837" s="10">
        <f t="shared" si="1"/>
        <v>-0.5881409939</v>
      </c>
    </row>
    <row r="2838" ht="14.25" customHeight="1">
      <c r="A2838" s="2" t="s">
        <v>185</v>
      </c>
      <c r="B2838" s="2" t="s">
        <v>186</v>
      </c>
      <c r="C2838" s="2">
        <v>1990.0</v>
      </c>
      <c r="D2838" s="9">
        <v>2835.2449</v>
      </c>
      <c r="E2838" s="10" t="str">
        <f t="array" ref="E2838">IFS(D2838&lt;=$G$3,'calculated data '!$A$3,D2838&lt;=$G$4,'calculated data '!$A$4,D2838&lt;=$G$6,'calculated data '!$A$5,D2838&gt;=$G$6,'calculated data '!$A$6)</f>
        <v>Target Market (Core IQR)</v>
      </c>
      <c r="F2838" s="10">
        <f t="shared" si="1"/>
        <v>-0.5881232485</v>
      </c>
    </row>
    <row r="2839" ht="14.25" customHeight="1">
      <c r="A2839" s="2" t="s">
        <v>141</v>
      </c>
      <c r="B2839" s="2" t="s">
        <v>142</v>
      </c>
      <c r="C2839" s="2">
        <v>1977.0</v>
      </c>
      <c r="D2839" s="9">
        <v>2836.6448</v>
      </c>
      <c r="E2839" s="10" t="str">
        <f t="array" ref="E2839">IFS(D2839&lt;=$G$3,'calculated data '!$A$3,D2839&lt;=$G$4,'calculated data '!$A$4,D2839&lt;=$G$6,'calculated data '!$A$5,D2839&gt;=$G$6,'calculated data '!$A$6)</f>
        <v>Target Market (Core IQR)</v>
      </c>
      <c r="F2839" s="10">
        <f t="shared" si="1"/>
        <v>-0.5880861935</v>
      </c>
    </row>
    <row r="2840" ht="14.25" customHeight="1">
      <c r="A2840" s="2" t="s">
        <v>139</v>
      </c>
      <c r="B2840" s="2" t="s">
        <v>140</v>
      </c>
      <c r="C2840" s="2">
        <v>2006.0</v>
      </c>
      <c r="D2840" s="9">
        <v>2837.533</v>
      </c>
      <c r="E2840" s="10" t="str">
        <f t="array" ref="E2840">IFS(D2840&lt;=$G$3,'calculated data '!$A$3,D2840&lt;=$G$4,'calculated data '!$A$4,D2840&lt;=$G$6,'calculated data '!$A$5,D2840&gt;=$G$6,'calculated data '!$A$6)</f>
        <v>Target Market (Core IQR)</v>
      </c>
      <c r="F2840" s="10">
        <f t="shared" si="1"/>
        <v>-0.5880626831</v>
      </c>
    </row>
    <row r="2841" ht="14.25" customHeight="1">
      <c r="A2841" s="2" t="s">
        <v>235</v>
      </c>
      <c r="B2841" s="2" t="s">
        <v>236</v>
      </c>
      <c r="C2841" s="2">
        <v>2020.0</v>
      </c>
      <c r="D2841" s="9">
        <v>2837.7178</v>
      </c>
      <c r="E2841" s="10" t="str">
        <f t="array" ref="E2841">IFS(D2841&lt;=$G$3,'calculated data '!$A$3,D2841&lt;=$G$4,'calculated data '!$A$4,D2841&lt;=$G$6,'calculated data '!$A$5,D2841&gt;=$G$6,'calculated data '!$A$6)</f>
        <v>Target Market (Core IQR)</v>
      </c>
      <c r="F2841" s="10">
        <f t="shared" si="1"/>
        <v>-0.5880577915</v>
      </c>
    </row>
    <row r="2842" ht="14.25" customHeight="1">
      <c r="A2842" s="2" t="s">
        <v>193</v>
      </c>
      <c r="B2842" s="2" t="s">
        <v>194</v>
      </c>
      <c r="C2842" s="2">
        <v>1975.0</v>
      </c>
      <c r="D2842" s="9">
        <v>2838.0664</v>
      </c>
      <c r="E2842" s="10" t="str">
        <f t="array" ref="E2842">IFS(D2842&lt;=$G$3,'calculated data '!$A$3,D2842&lt;=$G$4,'calculated data '!$A$4,D2842&lt;=$G$6,'calculated data '!$A$5,D2842&gt;=$G$6,'calculated data '!$A$6)</f>
        <v>Target Market (Core IQR)</v>
      </c>
      <c r="F2842" s="10">
        <f t="shared" si="1"/>
        <v>-0.5880485641</v>
      </c>
    </row>
    <row r="2843" ht="14.25" customHeight="1">
      <c r="A2843" s="2" t="s">
        <v>219</v>
      </c>
      <c r="B2843" s="2" t="s">
        <v>220</v>
      </c>
      <c r="C2843" s="2">
        <v>2017.0</v>
      </c>
      <c r="D2843" s="9">
        <v>2848.7712</v>
      </c>
      <c r="E2843" s="10" t="str">
        <f t="array" ref="E2843">IFS(D2843&lt;=$G$3,'calculated data '!$A$3,D2843&lt;=$G$4,'calculated data '!$A$4,D2843&lt;=$G$6,'calculated data '!$A$5,D2843&gt;=$G$6,'calculated data '!$A$6)</f>
        <v>Target Market (Core IQR)</v>
      </c>
      <c r="F2843" s="10">
        <f t="shared" si="1"/>
        <v>-0.5877652108</v>
      </c>
    </row>
    <row r="2844" ht="14.25" customHeight="1">
      <c r="A2844" s="2" t="s">
        <v>139</v>
      </c>
      <c r="B2844" s="2" t="s">
        <v>140</v>
      </c>
      <c r="C2844" s="2">
        <v>2010.0</v>
      </c>
      <c r="D2844" s="9">
        <v>2848.836</v>
      </c>
      <c r="E2844" s="10" t="str">
        <f t="array" ref="E2844">IFS(D2844&lt;=$G$3,'calculated data '!$A$3,D2844&lt;=$G$4,'calculated data '!$A$4,D2844&lt;=$G$6,'calculated data '!$A$5,D2844&gt;=$G$6,'calculated data '!$A$6)</f>
        <v>Target Market (Core IQR)</v>
      </c>
      <c r="F2844" s="10">
        <f t="shared" si="1"/>
        <v>-0.5877634955</v>
      </c>
    </row>
    <row r="2845" ht="14.25" customHeight="1">
      <c r="A2845" s="2" t="s">
        <v>159</v>
      </c>
      <c r="B2845" s="2" t="s">
        <v>160</v>
      </c>
      <c r="C2845" s="2">
        <v>1981.0</v>
      </c>
      <c r="D2845" s="9">
        <v>2849.3943</v>
      </c>
      <c r="E2845" s="10" t="str">
        <f t="array" ref="E2845">IFS(D2845&lt;=$G$3,'calculated data '!$A$3,D2845&lt;=$G$4,'calculated data '!$A$4,D2845&lt;=$G$6,'calculated data '!$A$5,D2845&gt;=$G$6,'calculated data '!$A$6)</f>
        <v>Target Market (Core IQR)</v>
      </c>
      <c r="F2845" s="10">
        <f t="shared" si="1"/>
        <v>-0.5877487174</v>
      </c>
    </row>
    <row r="2846" ht="14.25" customHeight="1">
      <c r="A2846" s="2" t="s">
        <v>169</v>
      </c>
      <c r="B2846" s="2" t="s">
        <v>170</v>
      </c>
      <c r="C2846" s="2">
        <v>2012.0</v>
      </c>
      <c r="D2846" s="9">
        <v>2852.7375</v>
      </c>
      <c r="E2846" s="10" t="str">
        <f t="array" ref="E2846">IFS(D2846&lt;=$G$3,'calculated data '!$A$3,D2846&lt;=$G$4,'calculated data '!$A$4,D2846&lt;=$G$6,'calculated data '!$A$5,D2846&gt;=$G$6,'calculated data '!$A$6)</f>
        <v>Target Market (Core IQR)</v>
      </c>
      <c r="F2846" s="10">
        <f t="shared" si="1"/>
        <v>-0.5876602238</v>
      </c>
    </row>
    <row r="2847" ht="14.25" customHeight="1">
      <c r="A2847" s="2" t="s">
        <v>193</v>
      </c>
      <c r="B2847" s="2" t="s">
        <v>194</v>
      </c>
      <c r="C2847" s="2">
        <v>1976.0</v>
      </c>
      <c r="D2847" s="9">
        <v>2852.886</v>
      </c>
      <c r="E2847" s="10" t="str">
        <f t="array" ref="E2847">IFS(D2847&lt;=$G$3,'calculated data '!$A$3,D2847&lt;=$G$4,'calculated data '!$A$4,D2847&lt;=$G$6,'calculated data '!$A$5,D2847&gt;=$G$6,'calculated data '!$A$6)</f>
        <v>Target Market (Core IQR)</v>
      </c>
      <c r="F2847" s="10">
        <f t="shared" si="1"/>
        <v>-0.587656293</v>
      </c>
    </row>
    <row r="2848" ht="14.25" customHeight="1">
      <c r="A2848" s="2" t="s">
        <v>215</v>
      </c>
      <c r="B2848" s="2" t="s">
        <v>216</v>
      </c>
      <c r="C2848" s="2">
        <v>2018.0</v>
      </c>
      <c r="D2848" s="9">
        <v>2852.8955</v>
      </c>
      <c r="E2848" s="10" t="str">
        <f t="array" ref="E2848">IFS(D2848&lt;=$G$3,'calculated data '!$A$3,D2848&lt;=$G$4,'calculated data '!$A$4,D2848&lt;=$G$6,'calculated data '!$A$5,D2848&gt;=$G$6,'calculated data '!$A$6)</f>
        <v>Target Market (Core IQR)</v>
      </c>
      <c r="F2848" s="10">
        <f t="shared" si="1"/>
        <v>-0.5876560416</v>
      </c>
    </row>
    <row r="2849" ht="14.25" customHeight="1">
      <c r="A2849" s="2" t="s">
        <v>227</v>
      </c>
      <c r="B2849" s="2" t="s">
        <v>228</v>
      </c>
      <c r="C2849" s="2">
        <v>1967.0</v>
      </c>
      <c r="D2849" s="9">
        <v>2854.354</v>
      </c>
      <c r="E2849" s="10" t="str">
        <f t="array" ref="E2849">IFS(D2849&lt;=$G$3,'calculated data '!$A$3,D2849&lt;=$G$4,'calculated data '!$A$4,D2849&lt;=$G$6,'calculated data '!$A$5,D2849&gt;=$G$6,'calculated data '!$A$6)</f>
        <v>Target Market (Core IQR)</v>
      </c>
      <c r="F2849" s="10">
        <f t="shared" si="1"/>
        <v>-0.5876174354</v>
      </c>
    </row>
    <row r="2850" ht="14.25" customHeight="1">
      <c r="A2850" s="2" t="s">
        <v>205</v>
      </c>
      <c r="B2850" s="2" t="s">
        <v>206</v>
      </c>
      <c r="C2850" s="2">
        <v>1975.0</v>
      </c>
      <c r="D2850" s="9">
        <v>2855.1565</v>
      </c>
      <c r="E2850" s="10" t="str">
        <f t="array" ref="E2850">IFS(D2850&lt;=$G$3,'calculated data '!$A$3,D2850&lt;=$G$4,'calculated data '!$A$4,D2850&lt;=$G$6,'calculated data '!$A$5,D2850&gt;=$G$6,'calculated data '!$A$6)</f>
        <v>Target Market (Core IQR)</v>
      </c>
      <c r="F2850" s="10">
        <f t="shared" si="1"/>
        <v>-0.5875961935</v>
      </c>
    </row>
    <row r="2851" ht="14.25" customHeight="1">
      <c r="A2851" s="2" t="s">
        <v>217</v>
      </c>
      <c r="B2851" s="2" t="s">
        <v>218</v>
      </c>
      <c r="C2851" s="2">
        <v>1976.0</v>
      </c>
      <c r="D2851" s="9">
        <v>2863.0908</v>
      </c>
      <c r="E2851" s="10" t="str">
        <f t="array" ref="E2851">IFS(D2851&lt;=$G$3,'calculated data '!$A$3,D2851&lt;=$G$4,'calculated data '!$A$4,D2851&lt;=$G$6,'calculated data '!$A$5,D2851&gt;=$G$6,'calculated data '!$A$6)</f>
        <v>Target Market (Core IQR)</v>
      </c>
      <c r="F2851" s="10">
        <f t="shared" si="1"/>
        <v>-0.5873861745</v>
      </c>
    </row>
    <row r="2852" ht="14.25" customHeight="1">
      <c r="A2852" s="2" t="s">
        <v>203</v>
      </c>
      <c r="B2852" s="2" t="s">
        <v>204</v>
      </c>
      <c r="C2852" s="2">
        <v>1986.0</v>
      </c>
      <c r="D2852" s="9">
        <v>2863.8213</v>
      </c>
      <c r="E2852" s="10" t="str">
        <f t="array" ref="E2852">IFS(D2852&lt;=$G$3,'calculated data '!$A$3,D2852&lt;=$G$4,'calculated data '!$A$4,D2852&lt;=$G$6,'calculated data '!$A$5,D2852&gt;=$G$6,'calculated data '!$A$6)</f>
        <v>Target Market (Core IQR)</v>
      </c>
      <c r="F2852" s="10">
        <f t="shared" si="1"/>
        <v>-0.5873668384</v>
      </c>
    </row>
    <row r="2853" ht="14.25" customHeight="1">
      <c r="A2853" s="2" t="s">
        <v>157</v>
      </c>
      <c r="B2853" s="2" t="s">
        <v>158</v>
      </c>
      <c r="C2853" s="2">
        <v>2009.0</v>
      </c>
      <c r="D2853" s="9">
        <v>2863.8398</v>
      </c>
      <c r="E2853" s="10" t="str">
        <f t="array" ref="E2853">IFS(D2853&lt;=$G$3,'calculated data '!$A$3,D2853&lt;=$G$4,'calculated data '!$A$4,D2853&lt;=$G$6,'calculated data '!$A$5,D2853&gt;=$G$6,'calculated data '!$A$6)</f>
        <v>Target Market (Core IQR)</v>
      </c>
      <c r="F2853" s="10">
        <f t="shared" si="1"/>
        <v>-0.5873663487</v>
      </c>
    </row>
    <row r="2854" ht="14.25" customHeight="1">
      <c r="A2854" s="2" t="s">
        <v>219</v>
      </c>
      <c r="B2854" s="2" t="s">
        <v>220</v>
      </c>
      <c r="C2854" s="2">
        <v>2015.0</v>
      </c>
      <c r="D2854" s="9">
        <v>2863.9734</v>
      </c>
      <c r="E2854" s="10" t="str">
        <f t="array" ref="E2854">IFS(D2854&lt;=$G$3,'calculated data '!$A$3,D2854&lt;=$G$4,'calculated data '!$A$4,D2854&lt;=$G$6,'calculated data '!$A$5,D2854&gt;=$G$6,'calculated data '!$A$6)</f>
        <v>Target Market (Core IQR)</v>
      </c>
      <c r="F2854" s="10">
        <f t="shared" si="1"/>
        <v>-0.5873628123</v>
      </c>
    </row>
    <row r="2855" ht="14.25" customHeight="1">
      <c r="A2855" s="2" t="s">
        <v>215</v>
      </c>
      <c r="B2855" s="2" t="s">
        <v>216</v>
      </c>
      <c r="C2855" s="2">
        <v>2016.0</v>
      </c>
      <c r="D2855" s="9">
        <v>2865.785</v>
      </c>
      <c r="E2855" s="10" t="str">
        <f t="array" ref="E2855">IFS(D2855&lt;=$G$3,'calculated data '!$A$3,D2855&lt;=$G$4,'calculated data '!$A$4,D2855&lt;=$G$6,'calculated data '!$A$5,D2855&gt;=$G$6,'calculated data '!$A$6)</f>
        <v>Target Market (Core IQR)</v>
      </c>
      <c r="F2855" s="10">
        <f t="shared" si="1"/>
        <v>-0.5873148597</v>
      </c>
    </row>
    <row r="2856" ht="14.25" customHeight="1">
      <c r="A2856" s="2" t="s">
        <v>219</v>
      </c>
      <c r="B2856" s="2" t="s">
        <v>220</v>
      </c>
      <c r="C2856" s="2">
        <v>2020.0</v>
      </c>
      <c r="D2856" s="9">
        <v>2866.8633</v>
      </c>
      <c r="E2856" s="10" t="str">
        <f t="array" ref="E2856">IFS(D2856&lt;=$G$3,'calculated data '!$A$3,D2856&lt;=$G$4,'calculated data '!$A$4,D2856&lt;=$G$6,'calculated data '!$A$5,D2856&gt;=$G$6,'calculated data '!$A$6)</f>
        <v>Target Market (Core IQR)</v>
      </c>
      <c r="F2856" s="10">
        <f t="shared" si="1"/>
        <v>-0.5872863174</v>
      </c>
    </row>
    <row r="2857" ht="14.25" customHeight="1">
      <c r="A2857" s="2" t="s">
        <v>175</v>
      </c>
      <c r="B2857" s="2" t="s">
        <v>176</v>
      </c>
      <c r="C2857" s="2">
        <v>1999.0</v>
      </c>
      <c r="D2857" s="9">
        <v>2866.8792</v>
      </c>
      <c r="E2857" s="10" t="str">
        <f t="array" ref="E2857">IFS(D2857&lt;=$G$3,'calculated data '!$A$3,D2857&lt;=$G$4,'calculated data '!$A$4,D2857&lt;=$G$6,'calculated data '!$A$5,D2857&gt;=$G$6,'calculated data '!$A$6)</f>
        <v>Target Market (Core IQR)</v>
      </c>
      <c r="F2857" s="10">
        <f t="shared" si="1"/>
        <v>-0.5872858965</v>
      </c>
    </row>
    <row r="2858" ht="14.25" customHeight="1">
      <c r="A2858" s="2" t="s">
        <v>113</v>
      </c>
      <c r="B2858" s="2" t="s">
        <v>114</v>
      </c>
      <c r="C2858" s="2">
        <v>2017.0</v>
      </c>
      <c r="D2858" s="9">
        <v>2868.1602</v>
      </c>
      <c r="E2858" s="10" t="str">
        <f t="array" ref="E2858">IFS(D2858&lt;=$G$3,'calculated data '!$A$3,D2858&lt;=$G$4,'calculated data '!$A$4,D2858&lt;=$G$6,'calculated data '!$A$5,D2858&gt;=$G$6,'calculated data '!$A$6)</f>
        <v>Target Market (Core IQR)</v>
      </c>
      <c r="F2858" s="10">
        <f t="shared" si="1"/>
        <v>-0.5872519888</v>
      </c>
    </row>
    <row r="2859" ht="14.25" customHeight="1">
      <c r="A2859" s="2" t="s">
        <v>187</v>
      </c>
      <c r="B2859" s="2" t="s">
        <v>188</v>
      </c>
      <c r="C2859" s="2">
        <v>2008.0</v>
      </c>
      <c r="D2859" s="9">
        <v>2868.956</v>
      </c>
      <c r="E2859" s="10" t="str">
        <f t="array" ref="E2859">IFS(D2859&lt;=$G$3,'calculated data '!$A$3,D2859&lt;=$G$4,'calculated data '!$A$4,D2859&lt;=$G$6,'calculated data '!$A$5,D2859&gt;=$G$6,'calculated data '!$A$6)</f>
        <v>Target Market (Core IQR)</v>
      </c>
      <c r="F2859" s="10">
        <f t="shared" si="1"/>
        <v>-0.5872309241</v>
      </c>
    </row>
    <row r="2860" ht="14.25" customHeight="1">
      <c r="A2860" s="2" t="s">
        <v>151</v>
      </c>
      <c r="B2860" s="2" t="s">
        <v>152</v>
      </c>
      <c r="C2860" s="2">
        <v>1997.0</v>
      </c>
      <c r="D2860" s="9">
        <v>2869.8254</v>
      </c>
      <c r="E2860" s="10" t="str">
        <f t="array" ref="E2860">IFS(D2860&lt;=$G$3,'calculated data '!$A$3,D2860&lt;=$G$4,'calculated data '!$A$4,D2860&lt;=$G$6,'calculated data '!$A$5,D2860&gt;=$G$6,'calculated data '!$A$6)</f>
        <v>Target Market (Core IQR)</v>
      </c>
      <c r="F2860" s="10">
        <f t="shared" si="1"/>
        <v>-0.5872079113</v>
      </c>
    </row>
    <row r="2861" ht="14.25" customHeight="1">
      <c r="A2861" s="2" t="s">
        <v>219</v>
      </c>
      <c r="B2861" s="2" t="s">
        <v>220</v>
      </c>
      <c r="C2861" s="2">
        <v>2023.0</v>
      </c>
      <c r="D2861" s="9">
        <v>2873.5806</v>
      </c>
      <c r="E2861" s="10" t="str">
        <f t="array" ref="E2861">IFS(D2861&lt;=$G$3,'calculated data '!$A$3,D2861&lt;=$G$4,'calculated data '!$A$4,D2861&lt;=$G$6,'calculated data '!$A$5,D2861&gt;=$G$6,'calculated data '!$A$6)</f>
        <v>Target Market (Core IQR)</v>
      </c>
      <c r="F2861" s="10">
        <f t="shared" si="1"/>
        <v>-0.5871085121</v>
      </c>
    </row>
    <row r="2862" ht="14.25" customHeight="1">
      <c r="A2862" s="2" t="s">
        <v>187</v>
      </c>
      <c r="B2862" s="2" t="s">
        <v>188</v>
      </c>
      <c r="C2862" s="2">
        <v>2007.0</v>
      </c>
      <c r="D2862" s="9">
        <v>2875.8772</v>
      </c>
      <c r="E2862" s="10" t="str">
        <f t="array" ref="E2862">IFS(D2862&lt;=$G$3,'calculated data '!$A$3,D2862&lt;=$G$4,'calculated data '!$A$4,D2862&lt;=$G$6,'calculated data '!$A$5,D2862&gt;=$G$6,'calculated data '!$A$6)</f>
        <v>Target Market (Core IQR)</v>
      </c>
      <c r="F2862" s="10">
        <f t="shared" si="1"/>
        <v>-0.5870477217</v>
      </c>
    </row>
    <row r="2863" ht="14.25" customHeight="1">
      <c r="A2863" s="2" t="s">
        <v>157</v>
      </c>
      <c r="B2863" s="2" t="s">
        <v>158</v>
      </c>
      <c r="C2863" s="2">
        <v>2023.0</v>
      </c>
      <c r="D2863" s="9">
        <v>2879.2422</v>
      </c>
      <c r="E2863" s="10" t="str">
        <f t="array" ref="E2863">IFS(D2863&lt;=$G$3,'calculated data '!$A$3,D2863&lt;=$G$4,'calculated data '!$A$4,D2863&lt;=$G$6,'calculated data '!$A$5,D2863&gt;=$G$6,'calculated data '!$A$6)</f>
        <v>Target Market (Core IQR)</v>
      </c>
      <c r="F2863" s="10">
        <f t="shared" si="1"/>
        <v>-0.586958651</v>
      </c>
    </row>
    <row r="2864" ht="14.25" customHeight="1">
      <c r="A2864" s="2" t="s">
        <v>205</v>
      </c>
      <c r="B2864" s="2" t="s">
        <v>206</v>
      </c>
      <c r="C2864" s="2">
        <v>1965.0</v>
      </c>
      <c r="D2864" s="9">
        <v>2882.3733</v>
      </c>
      <c r="E2864" s="10" t="str">
        <f t="array" ref="E2864">IFS(D2864&lt;=$G$3,'calculated data '!$A$3,D2864&lt;=$G$4,'calculated data '!$A$4,D2864&lt;=$G$6,'calculated data '!$A$5,D2864&gt;=$G$6,'calculated data '!$A$6)</f>
        <v>Target Market (Core IQR)</v>
      </c>
      <c r="F2864" s="10">
        <f t="shared" si="1"/>
        <v>-0.5868757715</v>
      </c>
    </row>
    <row r="2865" ht="14.25" customHeight="1">
      <c r="A2865" s="2" t="s">
        <v>113</v>
      </c>
      <c r="B2865" s="2" t="s">
        <v>114</v>
      </c>
      <c r="C2865" s="2">
        <v>2019.0</v>
      </c>
      <c r="D2865" s="9">
        <v>2882.8687</v>
      </c>
      <c r="E2865" s="10" t="str">
        <f t="array" ref="E2865">IFS(D2865&lt;=$G$3,'calculated data '!$A$3,D2865&lt;=$G$4,'calculated data '!$A$4,D2865&lt;=$G$6,'calculated data '!$A$5,D2865&gt;=$G$6,'calculated data '!$A$6)</f>
        <v>Target Market (Core IQR)</v>
      </c>
      <c r="F2865" s="10">
        <f t="shared" si="1"/>
        <v>-0.5868626584</v>
      </c>
    </row>
    <row r="2866" ht="14.25" customHeight="1">
      <c r="A2866" s="2" t="s">
        <v>229</v>
      </c>
      <c r="B2866" s="2" t="s">
        <v>230</v>
      </c>
      <c r="C2866" s="2">
        <v>1966.0</v>
      </c>
      <c r="D2866" s="9">
        <v>2883.1772</v>
      </c>
      <c r="E2866" s="10" t="str">
        <f t="array" ref="E2866">IFS(D2866&lt;=$G$3,'calculated data '!$A$3,D2866&lt;=$G$4,'calculated data '!$A$4,D2866&lt;=$G$6,'calculated data '!$A$5,D2866&gt;=$G$6,'calculated data '!$A$6)</f>
        <v>Target Market (Core IQR)</v>
      </c>
      <c r="F2866" s="10">
        <f t="shared" si="1"/>
        <v>-0.5868544925</v>
      </c>
    </row>
    <row r="2867" ht="14.25" customHeight="1">
      <c r="A2867" s="2" t="s">
        <v>235</v>
      </c>
      <c r="B2867" s="2" t="s">
        <v>236</v>
      </c>
      <c r="C2867" s="2">
        <v>2011.0</v>
      </c>
      <c r="D2867" s="9">
        <v>2885.701</v>
      </c>
      <c r="E2867" s="10" t="str">
        <f t="array" ref="E2867">IFS(D2867&lt;=$G$3,'calculated data '!$A$3,D2867&lt;=$G$4,'calculated data '!$A$4,D2867&lt;=$G$6,'calculated data '!$A$5,D2867&gt;=$G$6,'calculated data '!$A$6)</f>
        <v>Target Market (Core IQR)</v>
      </c>
      <c r="F2867" s="10">
        <f t="shared" si="1"/>
        <v>-0.5867876881</v>
      </c>
    </row>
    <row r="2868" ht="14.25" customHeight="1">
      <c r="A2868" s="2" t="s">
        <v>169</v>
      </c>
      <c r="B2868" s="2" t="s">
        <v>170</v>
      </c>
      <c r="C2868" s="2">
        <v>2014.0</v>
      </c>
      <c r="D2868" s="9">
        <v>2886.7866</v>
      </c>
      <c r="E2868" s="10" t="str">
        <f t="array" ref="E2868">IFS(D2868&lt;=$G$3,'calculated data '!$A$3,D2868&lt;=$G$4,'calculated data '!$A$4,D2868&lt;=$G$6,'calculated data '!$A$5,D2868&gt;=$G$6,'calculated data '!$A$6)</f>
        <v>Target Market (Core IQR)</v>
      </c>
      <c r="F2868" s="10">
        <f t="shared" si="1"/>
        <v>-0.5867589526</v>
      </c>
    </row>
    <row r="2869" ht="14.25" customHeight="1">
      <c r="A2869" s="2" t="s">
        <v>177</v>
      </c>
      <c r="B2869" s="2" t="s">
        <v>178</v>
      </c>
      <c r="C2869" s="2">
        <v>1981.0</v>
      </c>
      <c r="D2869" s="9">
        <v>2886.9365</v>
      </c>
      <c r="E2869" s="10" t="str">
        <f t="array" ref="E2869">IFS(D2869&lt;=$G$3,'calculated data '!$A$3,D2869&lt;=$G$4,'calculated data '!$A$4,D2869&lt;=$G$6,'calculated data '!$A$5,D2869&gt;=$G$6,'calculated data '!$A$6)</f>
        <v>Target Market (Core IQR)</v>
      </c>
      <c r="F2869" s="10">
        <f t="shared" si="1"/>
        <v>-0.5867549848</v>
      </c>
    </row>
    <row r="2870" ht="14.25" customHeight="1">
      <c r="A2870" s="2" t="s">
        <v>137</v>
      </c>
      <c r="B2870" s="2" t="s">
        <v>138</v>
      </c>
      <c r="C2870" s="2">
        <v>2008.0</v>
      </c>
      <c r="D2870" s="9">
        <v>2887.03</v>
      </c>
      <c r="E2870" s="10" t="str">
        <f t="array" ref="E2870">IFS(D2870&lt;=$G$3,'calculated data '!$A$3,D2870&lt;=$G$4,'calculated data '!$A$4,D2870&lt;=$G$6,'calculated data '!$A$5,D2870&gt;=$G$6,'calculated data '!$A$6)</f>
        <v>Target Market (Core IQR)</v>
      </c>
      <c r="F2870" s="10">
        <f t="shared" si="1"/>
        <v>-0.5867525098</v>
      </c>
    </row>
    <row r="2871" ht="14.25" customHeight="1">
      <c r="A2871" s="2" t="s">
        <v>175</v>
      </c>
      <c r="B2871" s="2" t="s">
        <v>176</v>
      </c>
      <c r="C2871" s="2">
        <v>2001.0</v>
      </c>
      <c r="D2871" s="9">
        <v>2888.184</v>
      </c>
      <c r="E2871" s="10" t="str">
        <f t="array" ref="E2871">IFS(D2871&lt;=$G$3,'calculated data '!$A$3,D2871&lt;=$G$4,'calculated data '!$A$4,D2871&lt;=$G$6,'calculated data '!$A$5,D2871&gt;=$G$6,'calculated data '!$A$6)</f>
        <v>Target Market (Core IQR)</v>
      </c>
      <c r="F2871" s="10">
        <f t="shared" si="1"/>
        <v>-0.5867219638</v>
      </c>
    </row>
    <row r="2872" ht="14.25" customHeight="1">
      <c r="A2872" s="2" t="s">
        <v>51</v>
      </c>
      <c r="B2872" s="2" t="s">
        <v>52</v>
      </c>
      <c r="C2872" s="2">
        <v>2003.0</v>
      </c>
      <c r="D2872" s="9">
        <v>2888.316</v>
      </c>
      <c r="E2872" s="10" t="str">
        <f t="array" ref="E2872">IFS(D2872&lt;=$G$3,'calculated data '!$A$3,D2872&lt;=$G$4,'calculated data '!$A$4,D2872&lt;=$G$6,'calculated data '!$A$5,D2872&gt;=$G$6,'calculated data '!$A$6)</f>
        <v>Target Market (Core IQR)</v>
      </c>
      <c r="F2872" s="10">
        <f t="shared" si="1"/>
        <v>-0.5867184697</v>
      </c>
    </row>
    <row r="2873" ht="14.25" customHeight="1">
      <c r="A2873" s="2" t="s">
        <v>237</v>
      </c>
      <c r="B2873" s="2" t="s">
        <v>238</v>
      </c>
      <c r="C2873" s="2">
        <v>1981.0</v>
      </c>
      <c r="D2873" s="9">
        <v>2890.74</v>
      </c>
      <c r="E2873" s="10" t="str">
        <f t="array" ref="E2873">IFS(D2873&lt;=$G$3,'calculated data '!$A$3,D2873&lt;=$G$4,'calculated data '!$A$4,D2873&lt;=$G$6,'calculated data '!$A$5,D2873&gt;=$G$6,'calculated data '!$A$6)</f>
        <v>Target Market (Core IQR)</v>
      </c>
      <c r="F2873" s="10">
        <f t="shared" si="1"/>
        <v>-0.5866543071</v>
      </c>
    </row>
    <row r="2874" ht="14.25" customHeight="1">
      <c r="A2874" s="2" t="s">
        <v>159</v>
      </c>
      <c r="B2874" s="2" t="s">
        <v>160</v>
      </c>
      <c r="C2874" s="2">
        <v>1984.0</v>
      </c>
      <c r="D2874" s="9">
        <v>2893.7815</v>
      </c>
      <c r="E2874" s="10" t="str">
        <f t="array" ref="E2874">IFS(D2874&lt;=$G$3,'calculated data '!$A$3,D2874&lt;=$G$4,'calculated data '!$A$4,D2874&lt;=$G$6,'calculated data '!$A$5,D2874&gt;=$G$6,'calculated data '!$A$6)</f>
        <v>Target Market (Core IQR)</v>
      </c>
      <c r="F2874" s="10">
        <f t="shared" si="1"/>
        <v>-0.5865737993</v>
      </c>
    </row>
    <row r="2875" ht="14.25" customHeight="1">
      <c r="A2875" s="2" t="s">
        <v>233</v>
      </c>
      <c r="B2875" s="2" t="s">
        <v>234</v>
      </c>
      <c r="C2875" s="2">
        <v>1967.0</v>
      </c>
      <c r="D2875" s="9">
        <v>2894.7888</v>
      </c>
      <c r="E2875" s="10" t="str">
        <f t="array" ref="E2875">IFS(D2875&lt;=$G$3,'calculated data '!$A$3,D2875&lt;=$G$4,'calculated data '!$A$4,D2875&lt;=$G$6,'calculated data '!$A$5,D2875&gt;=$G$6,'calculated data '!$A$6)</f>
        <v>Target Market (Core IQR)</v>
      </c>
      <c r="F2875" s="10">
        <f t="shared" si="1"/>
        <v>-0.5865471363</v>
      </c>
    </row>
    <row r="2876" ht="14.25" customHeight="1">
      <c r="A2876" s="2" t="s">
        <v>193</v>
      </c>
      <c r="B2876" s="2" t="s">
        <v>194</v>
      </c>
      <c r="C2876" s="2">
        <v>1985.0</v>
      </c>
      <c r="D2876" s="9">
        <v>2896.2817</v>
      </c>
      <c r="E2876" s="10" t="str">
        <f t="array" ref="E2876">IFS(D2876&lt;=$G$3,'calculated data '!$A$3,D2876&lt;=$G$4,'calculated data '!$A$4,D2876&lt;=$G$6,'calculated data '!$A$5,D2876&gt;=$G$6,'calculated data '!$A$6)</f>
        <v>Target Market (Core IQR)</v>
      </c>
      <c r="F2876" s="10">
        <f t="shared" si="1"/>
        <v>-0.5865076196</v>
      </c>
    </row>
    <row r="2877" ht="14.25" customHeight="1">
      <c r="A2877" s="2" t="s">
        <v>235</v>
      </c>
      <c r="B2877" s="2" t="s">
        <v>236</v>
      </c>
      <c r="C2877" s="2">
        <v>2018.0</v>
      </c>
      <c r="D2877" s="9">
        <v>2898.561</v>
      </c>
      <c r="E2877" s="10" t="str">
        <f t="array" ref="E2877">IFS(D2877&lt;=$G$3,'calculated data '!$A$3,D2877&lt;=$G$4,'calculated data '!$A$4,D2877&lt;=$G$6,'calculated data '!$A$5,D2877&gt;=$G$6,'calculated data '!$A$6)</f>
        <v>Target Market (Core IQR)</v>
      </c>
      <c r="F2877" s="10">
        <f t="shared" si="1"/>
        <v>-0.5864472871</v>
      </c>
    </row>
    <row r="2878" ht="14.25" customHeight="1">
      <c r="A2878" s="2" t="s">
        <v>175</v>
      </c>
      <c r="B2878" s="2" t="s">
        <v>176</v>
      </c>
      <c r="C2878" s="2">
        <v>2000.0</v>
      </c>
      <c r="D2878" s="9">
        <v>2901.7805</v>
      </c>
      <c r="E2878" s="10" t="str">
        <f t="array" ref="E2878">IFS(D2878&lt;=$G$3,'calculated data '!$A$3,D2878&lt;=$G$4,'calculated data '!$A$4,D2878&lt;=$G$6,'calculated data '!$A$5,D2878&gt;=$G$6,'calculated data '!$A$6)</f>
        <v>Target Market (Core IQR)</v>
      </c>
      <c r="F2878" s="10">
        <f t="shared" si="1"/>
        <v>-0.5863620678</v>
      </c>
    </row>
    <row r="2879" ht="14.25" customHeight="1">
      <c r="A2879" s="2" t="s">
        <v>219</v>
      </c>
      <c r="B2879" s="2" t="s">
        <v>220</v>
      </c>
      <c r="C2879" s="2">
        <v>1987.0</v>
      </c>
      <c r="D2879" s="9">
        <v>2902.552</v>
      </c>
      <c r="E2879" s="10" t="str">
        <f t="array" ref="E2879">IFS(D2879&lt;=$G$3,'calculated data '!$A$3,D2879&lt;=$G$4,'calculated data '!$A$4,D2879&lt;=$G$6,'calculated data '!$A$5,D2879&gt;=$G$6,'calculated data '!$A$6)</f>
        <v>Target Market (Core IQR)</v>
      </c>
      <c r="F2879" s="10">
        <f t="shared" si="1"/>
        <v>-0.5863416464</v>
      </c>
    </row>
    <row r="2880" ht="14.25" customHeight="1">
      <c r="A2880" s="2" t="s">
        <v>159</v>
      </c>
      <c r="B2880" s="2" t="s">
        <v>160</v>
      </c>
      <c r="C2880" s="2">
        <v>1982.0</v>
      </c>
      <c r="D2880" s="9">
        <v>2905.9036</v>
      </c>
      <c r="E2880" s="10" t="str">
        <f t="array" ref="E2880">IFS(D2880&lt;=$G$3,'calculated data '!$A$3,D2880&lt;=$G$4,'calculated data '!$A$4,D2880&lt;=$G$6,'calculated data '!$A$5,D2880&gt;=$G$6,'calculated data '!$A$6)</f>
        <v>Target Market (Core IQR)</v>
      </c>
      <c r="F2880" s="10">
        <f t="shared" si="1"/>
        <v>-0.5862529304</v>
      </c>
    </row>
    <row r="2881" ht="14.25" customHeight="1">
      <c r="A2881" s="2" t="s">
        <v>159</v>
      </c>
      <c r="B2881" s="2" t="s">
        <v>160</v>
      </c>
      <c r="C2881" s="2">
        <v>1985.0</v>
      </c>
      <c r="D2881" s="9">
        <v>2910.0034</v>
      </c>
      <c r="E2881" s="10" t="str">
        <f t="array" ref="E2881">IFS(D2881&lt;=$G$3,'calculated data '!$A$3,D2881&lt;=$G$4,'calculated data '!$A$4,D2881&lt;=$G$6,'calculated data '!$A$5,D2881&gt;=$G$6,'calculated data '!$A$6)</f>
        <v>Target Market (Core IQR)</v>
      </c>
      <c r="F2881" s="10">
        <f t="shared" si="1"/>
        <v>-0.5861444097</v>
      </c>
    </row>
    <row r="2882" ht="14.25" customHeight="1">
      <c r="A2882" s="2" t="s">
        <v>175</v>
      </c>
      <c r="B2882" s="2" t="s">
        <v>176</v>
      </c>
      <c r="C2882" s="2">
        <v>2002.0</v>
      </c>
      <c r="D2882" s="9">
        <v>2911.4275</v>
      </c>
      <c r="E2882" s="10" t="str">
        <f t="array" ref="E2882">IFS(D2882&lt;=$G$3,'calculated data '!$A$3,D2882&lt;=$G$4,'calculated data '!$A$4,D2882&lt;=$G$6,'calculated data '!$A$5,D2882&gt;=$G$6,'calculated data '!$A$6)</f>
        <v>Target Market (Core IQR)</v>
      </c>
      <c r="F2882" s="10">
        <f t="shared" si="1"/>
        <v>-0.5861067141</v>
      </c>
    </row>
    <row r="2883" ht="14.25" customHeight="1">
      <c r="A2883" s="2" t="s">
        <v>201</v>
      </c>
      <c r="B2883" s="2" t="s">
        <v>202</v>
      </c>
      <c r="C2883" s="2">
        <v>2007.0</v>
      </c>
      <c r="D2883" s="9">
        <v>2913.6123</v>
      </c>
      <c r="E2883" s="10" t="str">
        <f t="array" ref="E2883">IFS(D2883&lt;=$G$3,'calculated data '!$A$3,D2883&lt;=$G$4,'calculated data '!$A$4,D2883&lt;=$G$6,'calculated data '!$A$5,D2883&gt;=$G$6,'calculated data '!$A$6)</f>
        <v>Target Market (Core IQR)</v>
      </c>
      <c r="F2883" s="10">
        <f t="shared" si="1"/>
        <v>-0.586048883</v>
      </c>
    </row>
    <row r="2884" ht="14.25" customHeight="1">
      <c r="A2884" s="2" t="s">
        <v>21</v>
      </c>
      <c r="B2884" s="2" t="s">
        <v>22</v>
      </c>
      <c r="C2884" s="2">
        <v>2019.0</v>
      </c>
      <c r="D2884" s="9">
        <v>2914.2588</v>
      </c>
      <c r="E2884" s="10" t="str">
        <f t="array" ref="E2884">IFS(D2884&lt;=$G$3,'calculated data '!$A$3,D2884&lt;=$G$4,'calculated data '!$A$4,D2884&lt;=$G$6,'calculated data '!$A$5,D2884&gt;=$G$6,'calculated data '!$A$6)</f>
        <v>Target Market (Core IQR)</v>
      </c>
      <c r="F2884" s="10">
        <f t="shared" si="1"/>
        <v>-0.5860317703</v>
      </c>
    </row>
    <row r="2885" ht="14.25" customHeight="1">
      <c r="A2885" s="2" t="s">
        <v>193</v>
      </c>
      <c r="B2885" s="2" t="s">
        <v>194</v>
      </c>
      <c r="C2885" s="2">
        <v>1973.0</v>
      </c>
      <c r="D2885" s="9">
        <v>2914.8286</v>
      </c>
      <c r="E2885" s="10" t="str">
        <f t="array" ref="E2885">IFS(D2885&lt;=$G$3,'calculated data '!$A$3,D2885&lt;=$G$4,'calculated data '!$A$4,D2885&lt;=$G$6,'calculated data '!$A$5,D2885&gt;=$G$6,'calculated data '!$A$6)</f>
        <v>Target Market (Core IQR)</v>
      </c>
      <c r="F2885" s="10">
        <f t="shared" si="1"/>
        <v>-0.5860166878</v>
      </c>
    </row>
    <row r="2886" ht="14.25" customHeight="1">
      <c r="A2886" s="2" t="s">
        <v>187</v>
      </c>
      <c r="B2886" s="2" t="s">
        <v>188</v>
      </c>
      <c r="C2886" s="2">
        <v>2009.0</v>
      </c>
      <c r="D2886" s="9">
        <v>2915.573</v>
      </c>
      <c r="E2886" s="10" t="str">
        <f t="array" ref="E2886">IFS(D2886&lt;=$G$3,'calculated data '!$A$3,D2886&lt;=$G$4,'calculated data '!$A$4,D2886&lt;=$G$6,'calculated data '!$A$5,D2886&gt;=$G$6,'calculated data '!$A$6)</f>
        <v>Target Market (Core IQR)</v>
      </c>
      <c r="F2886" s="10">
        <f t="shared" si="1"/>
        <v>-0.5859969837</v>
      </c>
    </row>
    <row r="2887" ht="14.25" customHeight="1">
      <c r="A2887" s="2" t="s">
        <v>159</v>
      </c>
      <c r="B2887" s="2" t="s">
        <v>160</v>
      </c>
      <c r="C2887" s="2">
        <v>1983.0</v>
      </c>
      <c r="D2887" s="9">
        <v>2916.7993</v>
      </c>
      <c r="E2887" s="10" t="str">
        <f t="array" ref="E2887">IFS(D2887&lt;=$G$3,'calculated data '!$A$3,D2887&lt;=$G$4,'calculated data '!$A$4,D2887&lt;=$G$6,'calculated data '!$A$5,D2887&gt;=$G$6,'calculated data '!$A$6)</f>
        <v>Target Market (Core IQR)</v>
      </c>
      <c r="F2887" s="10">
        <f t="shared" si="1"/>
        <v>-0.5859645239</v>
      </c>
    </row>
    <row r="2888" ht="14.25" customHeight="1">
      <c r="A2888" s="2" t="s">
        <v>133</v>
      </c>
      <c r="B2888" s="2" t="s">
        <v>134</v>
      </c>
      <c r="C2888" s="2">
        <v>2002.0</v>
      </c>
      <c r="D2888" s="9">
        <v>2917.733</v>
      </c>
      <c r="E2888" s="10" t="str">
        <f t="array" ref="E2888">IFS(D2888&lt;=$G$3,'calculated data '!$A$3,D2888&lt;=$G$4,'calculated data '!$A$4,D2888&lt;=$G$6,'calculated data '!$A$5,D2888&gt;=$G$6,'calculated data '!$A$6)</f>
        <v>Target Market (Core IQR)</v>
      </c>
      <c r="F2888" s="10">
        <f t="shared" si="1"/>
        <v>-0.5859398091</v>
      </c>
    </row>
    <row r="2889" ht="14.25" customHeight="1">
      <c r="A2889" s="2" t="s">
        <v>187</v>
      </c>
      <c r="B2889" s="2" t="s">
        <v>188</v>
      </c>
      <c r="C2889" s="2">
        <v>2011.0</v>
      </c>
      <c r="D2889" s="9">
        <v>2919.1504</v>
      </c>
      <c r="E2889" s="10" t="str">
        <f t="array" ref="E2889">IFS(D2889&lt;=$G$3,'calculated data '!$A$3,D2889&lt;=$G$4,'calculated data '!$A$4,D2889&lt;=$G$6,'calculated data '!$A$5,D2889&gt;=$G$6,'calculated data '!$A$6)</f>
        <v>Target Market (Core IQR)</v>
      </c>
      <c r="F2889" s="10">
        <f t="shared" si="1"/>
        <v>-0.5859022909</v>
      </c>
    </row>
    <row r="2890" ht="14.25" customHeight="1">
      <c r="A2890" s="2" t="s">
        <v>177</v>
      </c>
      <c r="B2890" s="2" t="s">
        <v>178</v>
      </c>
      <c r="C2890" s="2">
        <v>1983.0</v>
      </c>
      <c r="D2890" s="9">
        <v>2919.6086</v>
      </c>
      <c r="E2890" s="10" t="str">
        <f t="array" ref="E2890">IFS(D2890&lt;=$G$3,'calculated data '!$A$3,D2890&lt;=$G$4,'calculated data '!$A$4,D2890&lt;=$G$6,'calculated data '!$A$5,D2890&gt;=$G$6,'calculated data '!$A$6)</f>
        <v>Target Market (Core IQR)</v>
      </c>
      <c r="F2890" s="10">
        <f t="shared" si="1"/>
        <v>-0.5858901624</v>
      </c>
    </row>
    <row r="2891" ht="14.25" customHeight="1">
      <c r="A2891" s="2" t="s">
        <v>219</v>
      </c>
      <c r="B2891" s="2" t="s">
        <v>220</v>
      </c>
      <c r="C2891" s="2">
        <v>2009.0</v>
      </c>
      <c r="D2891" s="9">
        <v>2919.8728</v>
      </c>
      <c r="E2891" s="10" t="str">
        <f t="array" ref="E2891">IFS(D2891&lt;=$G$3,'calculated data '!$A$3,D2891&lt;=$G$4,'calculated data '!$A$4,D2891&lt;=$G$6,'calculated data '!$A$5,D2891&gt;=$G$6,'calculated data '!$A$6)</f>
        <v>Target Market (Core IQR)</v>
      </c>
      <c r="F2891" s="10">
        <f t="shared" si="1"/>
        <v>-0.5858831691</v>
      </c>
    </row>
    <row r="2892" ht="14.25" customHeight="1">
      <c r="A2892" s="2" t="s">
        <v>187</v>
      </c>
      <c r="B2892" s="2" t="s">
        <v>188</v>
      </c>
      <c r="C2892" s="2">
        <v>2010.0</v>
      </c>
      <c r="D2892" s="9">
        <v>2920.381</v>
      </c>
      <c r="E2892" s="10" t="str">
        <f t="array" ref="E2892">IFS(D2892&lt;=$G$3,'calculated data '!$A$3,D2892&lt;=$G$4,'calculated data '!$A$4,D2892&lt;=$G$6,'calculated data '!$A$5,D2892&gt;=$G$6,'calculated data '!$A$6)</f>
        <v>Target Market (Core IQR)</v>
      </c>
      <c r="F2892" s="10">
        <f t="shared" si="1"/>
        <v>-0.5858697172</v>
      </c>
    </row>
    <row r="2893" ht="14.25" customHeight="1">
      <c r="A2893" s="2" t="s">
        <v>223</v>
      </c>
      <c r="B2893" s="2" t="s">
        <v>224</v>
      </c>
      <c r="C2893" s="2">
        <v>1983.0</v>
      </c>
      <c r="D2893" s="9">
        <v>2924.661</v>
      </c>
      <c r="E2893" s="10" t="str">
        <f t="array" ref="E2893">IFS(D2893&lt;=$G$3,'calculated data '!$A$3,D2893&lt;=$G$4,'calculated data '!$A$4,D2893&lt;=$G$6,'calculated data '!$A$5,D2893&gt;=$G$6,'calculated data '!$A$6)</f>
        <v>Target Market (Core IQR)</v>
      </c>
      <c r="F2893" s="10">
        <f t="shared" si="1"/>
        <v>-0.5857564266</v>
      </c>
    </row>
    <row r="2894" ht="14.25" customHeight="1">
      <c r="A2894" s="2" t="s">
        <v>209</v>
      </c>
      <c r="B2894" s="2" t="s">
        <v>210</v>
      </c>
      <c r="C2894" s="2">
        <v>1994.0</v>
      </c>
      <c r="D2894" s="9">
        <v>2925.2793</v>
      </c>
      <c r="E2894" s="10" t="str">
        <f t="array" ref="E2894">IFS(D2894&lt;=$G$3,'calculated data '!$A$3,D2894&lt;=$G$4,'calculated data '!$A$4,D2894&lt;=$G$6,'calculated data '!$A$5,D2894&gt;=$G$6,'calculated data '!$A$6)</f>
        <v>Target Market (Core IQR)</v>
      </c>
      <c r="F2894" s="10">
        <f t="shared" si="1"/>
        <v>-0.5857400604</v>
      </c>
    </row>
    <row r="2895" ht="14.25" customHeight="1">
      <c r="A2895" s="2" t="s">
        <v>21</v>
      </c>
      <c r="B2895" s="2" t="s">
        <v>22</v>
      </c>
      <c r="C2895" s="2">
        <v>2021.0</v>
      </c>
      <c r="D2895" s="9">
        <v>2925.3691</v>
      </c>
      <c r="E2895" s="10" t="str">
        <f t="array" ref="E2895">IFS(D2895&lt;=$G$3,'calculated data '!$A$3,D2895&lt;=$G$4,'calculated data '!$A$4,D2895&lt;=$G$6,'calculated data '!$A$5,D2895&gt;=$G$6,'calculated data '!$A$6)</f>
        <v>Target Market (Core IQR)</v>
      </c>
      <c r="F2895" s="10">
        <f t="shared" si="1"/>
        <v>-0.5857376834</v>
      </c>
    </row>
    <row r="2896" ht="14.25" customHeight="1">
      <c r="A2896" s="2" t="s">
        <v>157</v>
      </c>
      <c r="B2896" s="2" t="s">
        <v>158</v>
      </c>
      <c r="C2896" s="2">
        <v>2020.0</v>
      </c>
      <c r="D2896" s="9">
        <v>2926.469</v>
      </c>
      <c r="E2896" s="10" t="str">
        <f t="array" ref="E2896">IFS(D2896&lt;=$G$3,'calculated data '!$A$3,D2896&lt;=$G$4,'calculated data '!$A$4,D2896&lt;=$G$6,'calculated data '!$A$5,D2896&gt;=$G$6,'calculated data '!$A$6)</f>
        <v>Target Market (Core IQR)</v>
      </c>
      <c r="F2896" s="10">
        <f t="shared" si="1"/>
        <v>-0.5857085693</v>
      </c>
    </row>
    <row r="2897" ht="14.25" customHeight="1">
      <c r="A2897" s="2" t="s">
        <v>151</v>
      </c>
      <c r="B2897" s="2" t="s">
        <v>152</v>
      </c>
      <c r="C2897" s="2">
        <v>1998.0</v>
      </c>
      <c r="D2897" s="9">
        <v>2928.1833</v>
      </c>
      <c r="E2897" s="10" t="str">
        <f t="array" ref="E2897">IFS(D2897&lt;=$G$3,'calculated data '!$A$3,D2897&lt;=$G$4,'calculated data '!$A$4,D2897&lt;=$G$6,'calculated data '!$A$5,D2897&gt;=$G$6,'calculated data '!$A$6)</f>
        <v>Target Market (Core IQR)</v>
      </c>
      <c r="F2897" s="10">
        <f t="shared" si="1"/>
        <v>-0.5856631922</v>
      </c>
    </row>
    <row r="2898" ht="14.25" customHeight="1">
      <c r="A2898" s="2" t="s">
        <v>223</v>
      </c>
      <c r="B2898" s="2" t="s">
        <v>224</v>
      </c>
      <c r="C2898" s="2">
        <v>1982.0</v>
      </c>
      <c r="D2898" s="9">
        <v>2928.6658</v>
      </c>
      <c r="E2898" s="10" t="str">
        <f t="array" ref="E2898">IFS(D2898&lt;=$G$3,'calculated data '!$A$3,D2898&lt;=$G$4,'calculated data '!$A$4,D2898&lt;=$G$6,'calculated data '!$A$5,D2898&gt;=$G$6,'calculated data '!$A$6)</f>
        <v>Target Market (Core IQR)</v>
      </c>
      <c r="F2898" s="10">
        <f t="shared" si="1"/>
        <v>-0.5856504206</v>
      </c>
    </row>
    <row r="2899" ht="14.25" customHeight="1">
      <c r="A2899" s="2" t="s">
        <v>217</v>
      </c>
      <c r="B2899" s="2" t="s">
        <v>218</v>
      </c>
      <c r="C2899" s="2">
        <v>1977.0</v>
      </c>
      <c r="D2899" s="9">
        <v>2929.7341</v>
      </c>
      <c r="E2899" s="10" t="str">
        <f t="array" ref="E2899">IFS(D2899&lt;=$G$3,'calculated data '!$A$3,D2899&lt;=$G$4,'calculated data '!$A$4,D2899&lt;=$G$6,'calculated data '!$A$5,D2899&gt;=$G$6,'calculated data '!$A$6)</f>
        <v>Target Market (Core IQR)</v>
      </c>
      <c r="F2899" s="10">
        <f t="shared" si="1"/>
        <v>-0.585622143</v>
      </c>
    </row>
    <row r="2900" ht="14.25" customHeight="1">
      <c r="A2900" s="2" t="s">
        <v>165</v>
      </c>
      <c r="B2900" s="2" t="s">
        <v>166</v>
      </c>
      <c r="C2900" s="2">
        <v>1995.0</v>
      </c>
      <c r="D2900" s="9">
        <v>2931.315</v>
      </c>
      <c r="E2900" s="10" t="str">
        <f t="array" ref="E2900">IFS(D2900&lt;=$G$3,'calculated data '!$A$3,D2900&lt;=$G$4,'calculated data '!$A$4,D2900&lt;=$G$6,'calculated data '!$A$5,D2900&gt;=$G$6,'calculated data '!$A$6)</f>
        <v>Target Market (Core IQR)</v>
      </c>
      <c r="F2900" s="10">
        <f t="shared" si="1"/>
        <v>-0.5855802969</v>
      </c>
    </row>
    <row r="2901" ht="14.25" customHeight="1">
      <c r="A2901" s="2" t="s">
        <v>225</v>
      </c>
      <c r="B2901" s="2" t="s">
        <v>226</v>
      </c>
      <c r="C2901" s="2">
        <v>1988.0</v>
      </c>
      <c r="D2901" s="9">
        <v>2932.0022</v>
      </c>
      <c r="E2901" s="10" t="str">
        <f t="array" ref="E2901">IFS(D2901&lt;=$G$3,'calculated data '!$A$3,D2901&lt;=$G$4,'calculated data '!$A$4,D2901&lt;=$G$6,'calculated data '!$A$5,D2901&gt;=$G$6,'calculated data '!$A$6)</f>
        <v>Target Market (Core IQR)</v>
      </c>
      <c r="F2901" s="10">
        <f t="shared" si="1"/>
        <v>-0.5855621069</v>
      </c>
    </row>
    <row r="2902" ht="14.25" customHeight="1">
      <c r="A2902" s="2" t="s">
        <v>159</v>
      </c>
      <c r="B2902" s="2" t="s">
        <v>160</v>
      </c>
      <c r="C2902" s="2">
        <v>1986.0</v>
      </c>
      <c r="D2902" s="9">
        <v>2932.4976</v>
      </c>
      <c r="E2902" s="10" t="str">
        <f t="array" ref="E2902">IFS(D2902&lt;=$G$3,'calculated data '!$A$3,D2902&lt;=$G$4,'calculated data '!$A$4,D2902&lt;=$G$6,'calculated data '!$A$5,D2902&gt;=$G$6,'calculated data '!$A$6)</f>
        <v>Target Market (Core IQR)</v>
      </c>
      <c r="F2902" s="10">
        <f t="shared" si="1"/>
        <v>-0.5855489938</v>
      </c>
    </row>
    <row r="2903" ht="14.25" customHeight="1">
      <c r="A2903" s="2" t="s">
        <v>177</v>
      </c>
      <c r="B2903" s="2" t="s">
        <v>178</v>
      </c>
      <c r="C2903" s="2">
        <v>1980.0</v>
      </c>
      <c r="D2903" s="9">
        <v>2932.5127</v>
      </c>
      <c r="E2903" s="10" t="str">
        <f t="array" ref="E2903">IFS(D2903&lt;=$G$3,'calculated data '!$A$3,D2903&lt;=$G$4,'calculated data '!$A$4,D2903&lt;=$G$6,'calculated data '!$A$5,D2903&gt;=$G$6,'calculated data '!$A$6)</f>
        <v>Target Market (Core IQR)</v>
      </c>
      <c r="F2903" s="10">
        <f t="shared" si="1"/>
        <v>-0.5855485941</v>
      </c>
    </row>
    <row r="2904" ht="14.25" customHeight="1">
      <c r="A2904" s="2" t="s">
        <v>139</v>
      </c>
      <c r="B2904" s="2" t="s">
        <v>140</v>
      </c>
      <c r="C2904" s="2">
        <v>2007.0</v>
      </c>
      <c r="D2904" s="9">
        <v>2937.357</v>
      </c>
      <c r="E2904" s="10" t="str">
        <f t="array" ref="E2904">IFS(D2904&lt;=$G$3,'calculated data '!$A$3,D2904&lt;=$G$4,'calculated data '!$A$4,D2904&lt;=$G$6,'calculated data '!$A$5,D2904&gt;=$G$6,'calculated data '!$A$6)</f>
        <v>Target Market (Core IQR)</v>
      </c>
      <c r="F2904" s="10">
        <f t="shared" si="1"/>
        <v>-0.5854203667</v>
      </c>
    </row>
    <row r="2905" ht="14.25" customHeight="1">
      <c r="A2905" s="2" t="s">
        <v>21</v>
      </c>
      <c r="B2905" s="2" t="s">
        <v>22</v>
      </c>
      <c r="C2905" s="2">
        <v>2024.0</v>
      </c>
      <c r="D2905" s="9">
        <v>2940.0825</v>
      </c>
      <c r="E2905" s="10" t="str">
        <f t="array" ref="E2905">IFS(D2905&lt;=$G$3,'calculated data '!$A$3,D2905&lt;=$G$4,'calculated data '!$A$4,D2905&lt;=$G$6,'calculated data '!$A$5,D2905&gt;=$G$6,'calculated data '!$A$6)</f>
        <v>Target Market (Core IQR)</v>
      </c>
      <c r="F2905" s="10">
        <f t="shared" si="1"/>
        <v>-0.5853482234</v>
      </c>
    </row>
    <row r="2906" ht="14.25" customHeight="1">
      <c r="A2906" s="2" t="s">
        <v>193</v>
      </c>
      <c r="B2906" s="2" t="s">
        <v>194</v>
      </c>
      <c r="C2906" s="2">
        <v>1987.0</v>
      </c>
      <c r="D2906" s="9">
        <v>2940.896</v>
      </c>
      <c r="E2906" s="10" t="str">
        <f t="array" ref="E2906">IFS(D2906&lt;=$G$3,'calculated data '!$A$3,D2906&lt;=$G$4,'calculated data '!$A$4,D2906&lt;=$G$6,'calculated data '!$A$5,D2906&gt;=$G$6,'calculated data '!$A$6)</f>
        <v>Target Market (Core IQR)</v>
      </c>
      <c r="F2906" s="10">
        <f t="shared" si="1"/>
        <v>-0.5853266902</v>
      </c>
    </row>
    <row r="2907" ht="14.25" customHeight="1">
      <c r="A2907" s="2" t="s">
        <v>189</v>
      </c>
      <c r="B2907" s="2" t="s">
        <v>190</v>
      </c>
      <c r="C2907" s="2">
        <v>1996.0</v>
      </c>
      <c r="D2907" s="9">
        <v>2942.957</v>
      </c>
      <c r="E2907" s="10" t="str">
        <f t="array" ref="E2907">IFS(D2907&lt;=$G$3,'calculated data '!$A$3,D2907&lt;=$G$4,'calculated data '!$A$4,D2907&lt;=$G$6,'calculated data '!$A$5,D2907&gt;=$G$6,'calculated data '!$A$6)</f>
        <v>Target Market (Core IQR)</v>
      </c>
      <c r="F2907" s="10">
        <f t="shared" si="1"/>
        <v>-0.5852721361</v>
      </c>
    </row>
    <row r="2908" ht="14.25" customHeight="1">
      <c r="A2908" s="2" t="s">
        <v>137</v>
      </c>
      <c r="B2908" s="2" t="s">
        <v>138</v>
      </c>
      <c r="C2908" s="2">
        <v>2006.0</v>
      </c>
      <c r="D2908" s="9">
        <v>2943.564</v>
      </c>
      <c r="E2908" s="10" t="str">
        <f t="array" ref="E2908">IFS(D2908&lt;=$G$3,'calculated data '!$A$3,D2908&lt;=$G$4,'calculated data '!$A$4,D2908&lt;=$G$6,'calculated data '!$A$5,D2908&gt;=$G$6,'calculated data '!$A$6)</f>
        <v>Target Market (Core IQR)</v>
      </c>
      <c r="F2908" s="10">
        <f t="shared" si="1"/>
        <v>-0.5852560689</v>
      </c>
    </row>
    <row r="2909" ht="14.25" customHeight="1">
      <c r="A2909" s="2" t="s">
        <v>229</v>
      </c>
      <c r="B2909" s="2" t="s">
        <v>230</v>
      </c>
      <c r="C2909" s="2">
        <v>1967.0</v>
      </c>
      <c r="D2909" s="9">
        <v>2944.6326</v>
      </c>
      <c r="E2909" s="10" t="str">
        <f t="array" ref="E2909">IFS(D2909&lt;=$G$3,'calculated data '!$A$3,D2909&lt;=$G$4,'calculated data '!$A$4,D2909&lt;=$G$6,'calculated data '!$A$5,D2909&gt;=$G$6,'calculated data '!$A$6)</f>
        <v>Target Market (Core IQR)</v>
      </c>
      <c r="F2909" s="10">
        <f t="shared" si="1"/>
        <v>-0.5852277834</v>
      </c>
    </row>
    <row r="2910" ht="14.25" customHeight="1">
      <c r="A2910" s="2" t="s">
        <v>211</v>
      </c>
      <c r="B2910" s="2" t="s">
        <v>212</v>
      </c>
      <c r="C2910" s="2">
        <v>1992.0</v>
      </c>
      <c r="D2910" s="9">
        <v>2945.8557</v>
      </c>
      <c r="E2910" s="10" t="str">
        <f t="array" ref="E2910">IFS(D2910&lt;=$G$3,'calculated data '!$A$3,D2910&lt;=$G$4,'calculated data '!$A$4,D2910&lt;=$G$6,'calculated data '!$A$5,D2910&gt;=$G$6,'calculated data '!$A$6)</f>
        <v>Target Market (Core IQR)</v>
      </c>
      <c r="F2910" s="10">
        <f t="shared" si="1"/>
        <v>-0.5851954082</v>
      </c>
    </row>
    <row r="2911" ht="14.25" customHeight="1">
      <c r="A2911" s="2" t="s">
        <v>159</v>
      </c>
      <c r="B2911" s="2" t="s">
        <v>160</v>
      </c>
      <c r="C2911" s="2">
        <v>1987.0</v>
      </c>
      <c r="D2911" s="9">
        <v>2947.4014</v>
      </c>
      <c r="E2911" s="10" t="str">
        <f t="array" ref="E2911">IFS(D2911&lt;=$G$3,'calculated data '!$A$3,D2911&lt;=$G$4,'calculated data '!$A$4,D2911&lt;=$G$6,'calculated data '!$A$5,D2911&gt;=$G$6,'calculated data '!$A$6)</f>
        <v>Target Market (Core IQR)</v>
      </c>
      <c r="F2911" s="10">
        <f t="shared" si="1"/>
        <v>-0.5851544939</v>
      </c>
    </row>
    <row r="2912" ht="14.25" customHeight="1">
      <c r="A2912" s="2" t="s">
        <v>179</v>
      </c>
      <c r="B2912" s="2" t="s">
        <v>180</v>
      </c>
      <c r="C2912" s="2">
        <v>1983.0</v>
      </c>
      <c r="D2912" s="9">
        <v>2950.522</v>
      </c>
      <c r="E2912" s="10" t="str">
        <f t="array" ref="E2912">IFS(D2912&lt;=$G$3,'calculated data '!$A$3,D2912&lt;=$G$4,'calculated data '!$A$4,D2912&lt;=$G$6,'calculated data '!$A$5,D2912&gt;=$G$6,'calculated data '!$A$6)</f>
        <v>Target Market (Core IQR)</v>
      </c>
      <c r="F2912" s="10">
        <f t="shared" si="1"/>
        <v>-0.5850718924</v>
      </c>
    </row>
    <row r="2913" ht="14.25" customHeight="1">
      <c r="A2913" s="2" t="s">
        <v>223</v>
      </c>
      <c r="B2913" s="2" t="s">
        <v>224</v>
      </c>
      <c r="C2913" s="2">
        <v>1985.0</v>
      </c>
      <c r="D2913" s="9">
        <v>2952.2068</v>
      </c>
      <c r="E2913" s="10" t="str">
        <f t="array" ref="E2913">IFS(D2913&lt;=$G$3,'calculated data '!$A$3,D2913&lt;=$G$4,'calculated data '!$A$4,D2913&lt;=$G$6,'calculated data '!$A$5,D2913&gt;=$G$6,'calculated data '!$A$6)</f>
        <v>Target Market (Core IQR)</v>
      </c>
      <c r="F2913" s="10">
        <f t="shared" si="1"/>
        <v>-0.5850272962</v>
      </c>
    </row>
    <row r="2914" ht="14.25" customHeight="1">
      <c r="A2914" s="2" t="s">
        <v>135</v>
      </c>
      <c r="B2914" s="2" t="s">
        <v>136</v>
      </c>
      <c r="C2914" s="2">
        <v>2020.0</v>
      </c>
      <c r="D2914" s="9">
        <v>2952.8743</v>
      </c>
      <c r="E2914" s="10" t="str">
        <f t="array" ref="E2914">IFS(D2914&lt;=$G$3,'calculated data '!$A$3,D2914&lt;=$G$4,'calculated data '!$A$4,D2914&lt;=$G$6,'calculated data '!$A$5,D2914&gt;=$G$6,'calculated data '!$A$6)</f>
        <v>Target Market (Core IQR)</v>
      </c>
      <c r="F2914" s="10">
        <f t="shared" si="1"/>
        <v>-0.5850096276</v>
      </c>
    </row>
    <row r="2915" ht="14.25" customHeight="1">
      <c r="A2915" s="2" t="s">
        <v>189</v>
      </c>
      <c r="B2915" s="2" t="s">
        <v>190</v>
      </c>
      <c r="C2915" s="2">
        <v>1997.0</v>
      </c>
      <c r="D2915" s="9">
        <v>2954.2744</v>
      </c>
      <c r="E2915" s="10" t="str">
        <f t="array" ref="E2915">IFS(D2915&lt;=$G$3,'calculated data '!$A$3,D2915&lt;=$G$4,'calculated data '!$A$4,D2915&lt;=$G$6,'calculated data '!$A$5,D2915&gt;=$G$6,'calculated data '!$A$6)</f>
        <v>Target Market (Core IQR)</v>
      </c>
      <c r="F2915" s="10">
        <f t="shared" si="1"/>
        <v>-0.5849725673</v>
      </c>
    </row>
    <row r="2916" ht="14.25" customHeight="1">
      <c r="A2916" s="2" t="s">
        <v>129</v>
      </c>
      <c r="B2916" s="2" t="s">
        <v>130</v>
      </c>
      <c r="C2916" s="2">
        <v>1989.0</v>
      </c>
      <c r="D2916" s="9">
        <v>2955.464</v>
      </c>
      <c r="E2916" s="10" t="str">
        <f t="array" ref="E2916">IFS(D2916&lt;=$G$3,'calculated data '!$A$3,D2916&lt;=$G$4,'calculated data '!$A$4,D2916&lt;=$G$6,'calculated data '!$A$5,D2916&gt;=$G$6,'calculated data '!$A$6)</f>
        <v>Target Market (Core IQR)</v>
      </c>
      <c r="F2916" s="10">
        <f t="shared" si="1"/>
        <v>-0.5849410789</v>
      </c>
    </row>
    <row r="2917" ht="14.25" customHeight="1">
      <c r="A2917" s="2" t="s">
        <v>205</v>
      </c>
      <c r="B2917" s="2" t="s">
        <v>206</v>
      </c>
      <c r="C2917" s="2">
        <v>1966.0</v>
      </c>
      <c r="D2917" s="9">
        <v>2957.6902</v>
      </c>
      <c r="E2917" s="10" t="str">
        <f t="array" ref="E2917">IFS(D2917&lt;=$G$3,'calculated data '!$A$3,D2917&lt;=$G$4,'calculated data '!$A$4,D2917&lt;=$G$6,'calculated data '!$A$5,D2917&gt;=$G$6,'calculated data '!$A$6)</f>
        <v>Target Market (Core IQR)</v>
      </c>
      <c r="F2917" s="10">
        <f t="shared" si="1"/>
        <v>-0.5848821519</v>
      </c>
    </row>
    <row r="2918" ht="14.25" customHeight="1">
      <c r="A2918" s="2" t="s">
        <v>83</v>
      </c>
      <c r="B2918" s="2" t="s">
        <v>84</v>
      </c>
      <c r="C2918" s="2">
        <v>2014.0</v>
      </c>
      <c r="D2918" s="9">
        <v>2958.908</v>
      </c>
      <c r="E2918" s="10" t="str">
        <f t="array" ref="E2918">IFS(D2918&lt;=$G$3,'calculated data '!$A$3,D2918&lt;=$G$4,'calculated data '!$A$4,D2918&lt;=$G$6,'calculated data '!$A$5,D2918&gt;=$G$6,'calculated data '!$A$6)</f>
        <v>Target Market (Core IQR)</v>
      </c>
      <c r="F2918" s="10">
        <f t="shared" si="1"/>
        <v>-0.5848499171</v>
      </c>
    </row>
    <row r="2919" ht="14.25" customHeight="1">
      <c r="A2919" s="2" t="s">
        <v>199</v>
      </c>
      <c r="B2919" s="2" t="s">
        <v>200</v>
      </c>
      <c r="C2919" s="2">
        <v>1997.0</v>
      </c>
      <c r="D2919" s="9">
        <v>2959.3618</v>
      </c>
      <c r="E2919" s="10" t="str">
        <f t="array" ref="E2919">IFS(D2919&lt;=$G$3,'calculated data '!$A$3,D2919&lt;=$G$4,'calculated data '!$A$4,D2919&lt;=$G$6,'calculated data '!$A$5,D2919&gt;=$G$6,'calculated data '!$A$6)</f>
        <v>Target Market (Core IQR)</v>
      </c>
      <c r="F2919" s="10">
        <f t="shared" si="1"/>
        <v>-0.5848379051</v>
      </c>
    </row>
    <row r="2920" ht="14.25" customHeight="1">
      <c r="A2920" s="2" t="s">
        <v>223</v>
      </c>
      <c r="B2920" s="2" t="s">
        <v>224</v>
      </c>
      <c r="C2920" s="2">
        <v>1992.0</v>
      </c>
      <c r="D2920" s="9">
        <v>2963.3743</v>
      </c>
      <c r="E2920" s="10" t="str">
        <f t="array" ref="E2920">IFS(D2920&lt;=$G$3,'calculated data '!$A$3,D2920&lt;=$G$4,'calculated data '!$A$4,D2920&lt;=$G$6,'calculated data '!$A$5,D2920&gt;=$G$6,'calculated data '!$A$6)</f>
        <v>Target Market (Core IQR)</v>
      </c>
      <c r="F2920" s="10">
        <f t="shared" si="1"/>
        <v>-0.5847316952</v>
      </c>
    </row>
    <row r="2921" ht="14.25" customHeight="1">
      <c r="A2921" s="2" t="s">
        <v>113</v>
      </c>
      <c r="B2921" s="2" t="s">
        <v>114</v>
      </c>
      <c r="C2921" s="2">
        <v>2020.0</v>
      </c>
      <c r="D2921" s="9">
        <v>2963.4949</v>
      </c>
      <c r="E2921" s="10" t="str">
        <f t="array" ref="E2921">IFS(D2921&lt;=$G$3,'calculated data '!$A$3,D2921&lt;=$G$4,'calculated data '!$A$4,D2921&lt;=$G$6,'calculated data '!$A$5,D2921&gt;=$G$6,'calculated data '!$A$6)</f>
        <v>Target Market (Core IQR)</v>
      </c>
      <c r="F2921" s="10">
        <f t="shared" si="1"/>
        <v>-0.584728503</v>
      </c>
    </row>
    <row r="2922" ht="14.25" customHeight="1">
      <c r="A2922" s="2" t="s">
        <v>217</v>
      </c>
      <c r="B2922" s="2" t="s">
        <v>218</v>
      </c>
      <c r="C2922" s="2">
        <v>1978.0</v>
      </c>
      <c r="D2922" s="9">
        <v>2963.8374</v>
      </c>
      <c r="E2922" s="10" t="str">
        <f t="array" ref="E2922">IFS(D2922&lt;=$G$3,'calculated data '!$A$3,D2922&lt;=$G$4,'calculated data '!$A$4,D2922&lt;=$G$6,'calculated data '!$A$5,D2922&gt;=$G$6,'calculated data '!$A$6)</f>
        <v>Target Market (Core IQR)</v>
      </c>
      <c r="F2922" s="10">
        <f t="shared" si="1"/>
        <v>-0.5847194371</v>
      </c>
    </row>
    <row r="2923" ht="14.25" customHeight="1">
      <c r="A2923" s="2" t="s">
        <v>239</v>
      </c>
      <c r="B2923" s="2" t="s">
        <v>240</v>
      </c>
      <c r="C2923" s="2">
        <v>1983.0</v>
      </c>
      <c r="D2923" s="9">
        <v>2967.7563</v>
      </c>
      <c r="E2923" s="10" t="str">
        <f t="array" ref="E2923">IFS(D2923&lt;=$G$3,'calculated data '!$A$3,D2923&lt;=$G$4,'calculated data '!$A$4,D2923&lt;=$G$6,'calculated data '!$A$5,D2923&gt;=$G$6,'calculated data '!$A$6)</f>
        <v>Target Market (Core IQR)</v>
      </c>
      <c r="F2923" s="10">
        <f t="shared" si="1"/>
        <v>-0.5846157048</v>
      </c>
    </row>
    <row r="2924" ht="14.25" customHeight="1">
      <c r="A2924" s="2" t="s">
        <v>233</v>
      </c>
      <c r="B2924" s="2" t="s">
        <v>234</v>
      </c>
      <c r="C2924" s="2">
        <v>1968.0</v>
      </c>
      <c r="D2924" s="9">
        <v>2968.3809</v>
      </c>
      <c r="E2924" s="10" t="str">
        <f t="array" ref="E2924">IFS(D2924&lt;=$G$3,'calculated data '!$A$3,D2924&lt;=$G$4,'calculated data '!$A$4,D2924&lt;=$G$6,'calculated data '!$A$5,D2924&gt;=$G$6,'calculated data '!$A$6)</f>
        <v>Target Market (Core IQR)</v>
      </c>
      <c r="F2924" s="10">
        <f t="shared" si="1"/>
        <v>-0.5845991718</v>
      </c>
    </row>
    <row r="2925" ht="14.25" customHeight="1">
      <c r="A2925" s="2" t="s">
        <v>233</v>
      </c>
      <c r="B2925" s="2" t="s">
        <v>234</v>
      </c>
      <c r="C2925" s="2">
        <v>1966.0</v>
      </c>
      <c r="D2925" s="9">
        <v>2968.7686</v>
      </c>
      <c r="E2925" s="10" t="str">
        <f t="array" ref="E2925">IFS(D2925&lt;=$G$3,'calculated data '!$A$3,D2925&lt;=$G$4,'calculated data '!$A$4,D2925&lt;=$G$6,'calculated data '!$A$5,D2925&gt;=$G$6,'calculated data '!$A$6)</f>
        <v>Target Market (Core IQR)</v>
      </c>
      <c r="F2925" s="10">
        <f t="shared" si="1"/>
        <v>-0.5845889095</v>
      </c>
    </row>
    <row r="2926" ht="14.25" customHeight="1">
      <c r="A2926" s="2" t="s">
        <v>157</v>
      </c>
      <c r="B2926" s="2" t="s">
        <v>158</v>
      </c>
      <c r="C2926" s="2">
        <v>2021.0</v>
      </c>
      <c r="D2926" s="9">
        <v>2968.9106</v>
      </c>
      <c r="E2926" s="10" t="str">
        <f t="array" ref="E2926">IFS(D2926&lt;=$G$3,'calculated data '!$A$3,D2926&lt;=$G$4,'calculated data '!$A$4,D2926&lt;=$G$6,'calculated data '!$A$5,D2926&gt;=$G$6,'calculated data '!$A$6)</f>
        <v>Target Market (Core IQR)</v>
      </c>
      <c r="F2926" s="10">
        <f t="shared" si="1"/>
        <v>-0.5845851508</v>
      </c>
    </row>
    <row r="2927" ht="14.25" customHeight="1">
      <c r="A2927" s="2" t="s">
        <v>211</v>
      </c>
      <c r="B2927" s="2" t="s">
        <v>212</v>
      </c>
      <c r="C2927" s="2">
        <v>1990.0</v>
      </c>
      <c r="D2927" s="9">
        <v>2968.9744</v>
      </c>
      <c r="E2927" s="10" t="str">
        <f t="array" ref="E2927">IFS(D2927&lt;=$G$3,'calculated data '!$A$3,D2927&lt;=$G$4,'calculated data '!$A$4,D2927&lt;=$G$6,'calculated data '!$A$5,D2927&gt;=$G$6,'calculated data '!$A$6)</f>
        <v>Target Market (Core IQR)</v>
      </c>
      <c r="F2927" s="10">
        <f t="shared" si="1"/>
        <v>-0.584583462</v>
      </c>
    </row>
    <row r="2928" ht="14.25" customHeight="1">
      <c r="A2928" s="2" t="s">
        <v>159</v>
      </c>
      <c r="B2928" s="2" t="s">
        <v>160</v>
      </c>
      <c r="C2928" s="2">
        <v>1980.0</v>
      </c>
      <c r="D2928" s="9">
        <v>2970.7527</v>
      </c>
      <c r="E2928" s="10" t="str">
        <f t="array" ref="E2928">IFS(D2928&lt;=$G$3,'calculated data '!$A$3,D2928&lt;=$G$4,'calculated data '!$A$4,D2928&lt;=$G$6,'calculated data '!$A$5,D2928&gt;=$G$6,'calculated data '!$A$6)</f>
        <v>Target Market (Core IQR)</v>
      </c>
      <c r="F2928" s="10">
        <f t="shared" si="1"/>
        <v>-0.5845363908</v>
      </c>
    </row>
    <row r="2929" ht="14.25" customHeight="1">
      <c r="A2929" s="2" t="s">
        <v>113</v>
      </c>
      <c r="B2929" s="2" t="s">
        <v>114</v>
      </c>
      <c r="C2929" s="2">
        <v>2018.0</v>
      </c>
      <c r="D2929" s="9">
        <v>2971.1077</v>
      </c>
      <c r="E2929" s="10" t="str">
        <f t="array" ref="E2929">IFS(D2929&lt;=$G$3,'calculated data '!$A$3,D2929&lt;=$G$4,'calculated data '!$A$4,D2929&lt;=$G$6,'calculated data '!$A$5,D2929&gt;=$G$6,'calculated data '!$A$6)</f>
        <v>Target Market (Core IQR)</v>
      </c>
      <c r="F2929" s="10">
        <f t="shared" si="1"/>
        <v>-0.5845269941</v>
      </c>
    </row>
    <row r="2930" ht="14.25" customHeight="1">
      <c r="A2930" s="2" t="s">
        <v>213</v>
      </c>
      <c r="B2930" s="2" t="s">
        <v>214</v>
      </c>
      <c r="C2930" s="2">
        <v>1998.0</v>
      </c>
      <c r="D2930" s="9">
        <v>2971.69</v>
      </c>
      <c r="E2930" s="10" t="str">
        <f t="array" ref="E2930">IFS(D2930&lt;=$G$3,'calculated data '!$A$3,D2930&lt;=$G$4,'calculated data '!$A$4,D2930&lt;=$G$6,'calculated data '!$A$5,D2930&gt;=$G$6,'calculated data '!$A$6)</f>
        <v>Target Market (Core IQR)</v>
      </c>
      <c r="F2930" s="10">
        <f t="shared" si="1"/>
        <v>-0.5845115807</v>
      </c>
    </row>
    <row r="2931" ht="14.25" customHeight="1">
      <c r="A2931" s="2" t="s">
        <v>151</v>
      </c>
      <c r="B2931" s="2" t="s">
        <v>152</v>
      </c>
      <c r="C2931" s="2">
        <v>1999.0</v>
      </c>
      <c r="D2931" s="9">
        <v>2973.951</v>
      </c>
      <c r="E2931" s="10" t="str">
        <f t="array" ref="E2931">IFS(D2931&lt;=$G$3,'calculated data '!$A$3,D2931&lt;=$G$4,'calculated data '!$A$4,D2931&lt;=$G$6,'calculated data '!$A$5,D2931&gt;=$G$6,'calculated data '!$A$6)</f>
        <v>Target Market (Core IQR)</v>
      </c>
      <c r="F2931" s="10">
        <f t="shared" si="1"/>
        <v>-0.5844517326</v>
      </c>
    </row>
    <row r="2932" ht="14.25" customHeight="1">
      <c r="A2932" s="2" t="s">
        <v>221</v>
      </c>
      <c r="B2932" s="2" t="s">
        <v>222</v>
      </c>
      <c r="C2932" s="2">
        <v>1966.0</v>
      </c>
      <c r="D2932" s="9">
        <v>2976.6218</v>
      </c>
      <c r="E2932" s="10" t="str">
        <f t="array" ref="E2932">IFS(D2932&lt;=$G$3,'calculated data '!$A$3,D2932&lt;=$G$4,'calculated data '!$A$4,D2932&lt;=$G$6,'calculated data '!$A$5,D2932&gt;=$G$6,'calculated data '!$A$6)</f>
        <v>Target Market (Core IQR)</v>
      </c>
      <c r="F2932" s="10">
        <f t="shared" si="1"/>
        <v>-0.5843810372</v>
      </c>
    </row>
    <row r="2933" ht="14.25" customHeight="1">
      <c r="A2933" s="2" t="s">
        <v>111</v>
      </c>
      <c r="B2933" s="2" t="s">
        <v>112</v>
      </c>
      <c r="C2933" s="2">
        <v>2000.0</v>
      </c>
      <c r="D2933" s="9">
        <v>2978.7566</v>
      </c>
      <c r="E2933" s="10" t="str">
        <f t="array" ref="E2933">IFS(D2933&lt;=$G$3,'calculated data '!$A$3,D2933&lt;=$G$4,'calculated data '!$A$4,D2933&lt;=$G$6,'calculated data '!$A$5,D2933&gt;=$G$6,'calculated data '!$A$6)</f>
        <v>Target Market (Core IQR)</v>
      </c>
      <c r="F2933" s="10">
        <f t="shared" si="1"/>
        <v>-0.5843245296</v>
      </c>
    </row>
    <row r="2934" ht="14.25" customHeight="1">
      <c r="A2934" s="2" t="s">
        <v>219</v>
      </c>
      <c r="B2934" s="2" t="s">
        <v>220</v>
      </c>
      <c r="C2934" s="2">
        <v>2016.0</v>
      </c>
      <c r="D2934" s="9">
        <v>2987.7195</v>
      </c>
      <c r="E2934" s="10" t="str">
        <f t="array" ref="E2934">IFS(D2934&lt;=$G$3,'calculated data '!$A$3,D2934&lt;=$G$4,'calculated data '!$A$4,D2934&lt;=$G$6,'calculated data '!$A$5,D2934&gt;=$G$6,'calculated data '!$A$6)</f>
        <v>Target Market (Core IQR)</v>
      </c>
      <c r="F2934" s="10">
        <f t="shared" si="1"/>
        <v>-0.5840872839</v>
      </c>
    </row>
    <row r="2935" ht="14.25" customHeight="1">
      <c r="A2935" s="2" t="s">
        <v>235</v>
      </c>
      <c r="B2935" s="2" t="s">
        <v>236</v>
      </c>
      <c r="C2935" s="2">
        <v>2017.0</v>
      </c>
      <c r="D2935" s="9">
        <v>2993.3027</v>
      </c>
      <c r="E2935" s="10" t="str">
        <f t="array" ref="E2935">IFS(D2935&lt;=$G$3,'calculated data '!$A$3,D2935&lt;=$G$4,'calculated data '!$A$4,D2935&lt;=$G$6,'calculated data '!$A$5,D2935&gt;=$G$6,'calculated data '!$A$6)</f>
        <v>Target Market (Core IQR)</v>
      </c>
      <c r="F2935" s="10">
        <f t="shared" si="1"/>
        <v>-0.5839394979</v>
      </c>
    </row>
    <row r="2936" ht="14.25" customHeight="1">
      <c r="A2936" s="2" t="s">
        <v>215</v>
      </c>
      <c r="B2936" s="2" t="s">
        <v>216</v>
      </c>
      <c r="C2936" s="2">
        <v>2011.0</v>
      </c>
      <c r="D2936" s="9">
        <v>2995.4365</v>
      </c>
      <c r="E2936" s="10" t="str">
        <f t="array" ref="E2936">IFS(D2936&lt;=$G$3,'calculated data '!$A$3,D2936&lt;=$G$4,'calculated data '!$A$4,D2936&lt;=$G$6,'calculated data '!$A$5,D2936&gt;=$G$6,'calculated data '!$A$6)</f>
        <v>Target Market (Core IQR)</v>
      </c>
      <c r="F2936" s="10">
        <f t="shared" si="1"/>
        <v>-0.5838830168</v>
      </c>
    </row>
    <row r="2937" ht="14.25" customHeight="1">
      <c r="A2937" s="2" t="s">
        <v>235</v>
      </c>
      <c r="B2937" s="2" t="s">
        <v>236</v>
      </c>
      <c r="C2937" s="2">
        <v>2022.0</v>
      </c>
      <c r="D2937" s="9">
        <v>2995.47</v>
      </c>
      <c r="E2937" s="10" t="str">
        <f t="array" ref="E2937">IFS(D2937&lt;=$G$3,'calculated data '!$A$3,D2937&lt;=$G$4,'calculated data '!$A$4,D2937&lt;=$G$6,'calculated data '!$A$5,D2937&gt;=$G$6,'calculated data '!$A$6)</f>
        <v>Target Market (Core IQR)</v>
      </c>
      <c r="F2937" s="10">
        <f t="shared" si="1"/>
        <v>-0.5838821301</v>
      </c>
    </row>
    <row r="2938" ht="14.25" customHeight="1">
      <c r="A2938" s="2" t="s">
        <v>141</v>
      </c>
      <c r="B2938" s="2" t="s">
        <v>142</v>
      </c>
      <c r="C2938" s="2">
        <v>1982.0</v>
      </c>
      <c r="D2938" s="9">
        <v>2996.457</v>
      </c>
      <c r="E2938" s="10" t="str">
        <f t="array" ref="E2938">IFS(D2938&lt;=$G$3,'calculated data '!$A$3,D2938&lt;=$G$4,'calculated data '!$A$4,D2938&lt;=$G$6,'calculated data '!$A$5,D2938&gt;=$G$6,'calculated data '!$A$6)</f>
        <v>Target Market (Core IQR)</v>
      </c>
      <c r="F2938" s="10">
        <f t="shared" si="1"/>
        <v>-0.5838560044</v>
      </c>
    </row>
    <row r="2939" ht="14.25" customHeight="1">
      <c r="A2939" s="2" t="s">
        <v>157</v>
      </c>
      <c r="B2939" s="2" t="s">
        <v>158</v>
      </c>
      <c r="C2939" s="2">
        <v>2018.0</v>
      </c>
      <c r="D2939" s="9">
        <v>2999.5603</v>
      </c>
      <c r="E2939" s="10" t="str">
        <f t="array" ref="E2939">IFS(D2939&lt;=$G$3,'calculated data '!$A$3,D2939&lt;=$G$4,'calculated data '!$A$4,D2939&lt;=$G$6,'calculated data '!$A$5,D2939&gt;=$G$6,'calculated data '!$A$6)</f>
        <v>Target Market (Core IQR)</v>
      </c>
      <c r="F2939" s="10">
        <f t="shared" si="1"/>
        <v>-0.5837738608</v>
      </c>
    </row>
    <row r="2940" ht="14.25" customHeight="1">
      <c r="A2940" s="2" t="s">
        <v>235</v>
      </c>
      <c r="B2940" s="2" t="s">
        <v>236</v>
      </c>
      <c r="C2940" s="2">
        <v>2023.0</v>
      </c>
      <c r="D2940" s="9">
        <v>2999.6667</v>
      </c>
      <c r="E2940" s="10" t="str">
        <f t="array" ref="E2940">IFS(D2940&lt;=$G$3,'calculated data '!$A$3,D2940&lt;=$G$4,'calculated data '!$A$4,D2940&lt;=$G$6,'calculated data '!$A$5,D2940&gt;=$G$6,'calculated data '!$A$6)</f>
        <v>Target Market (Core IQR)</v>
      </c>
      <c r="F2940" s="10">
        <f t="shared" si="1"/>
        <v>-0.5837710444</v>
      </c>
    </row>
    <row r="2941" ht="14.25" customHeight="1">
      <c r="A2941" s="2" t="s">
        <v>235</v>
      </c>
      <c r="B2941" s="2" t="s">
        <v>236</v>
      </c>
      <c r="C2941" s="2">
        <v>2024.0</v>
      </c>
      <c r="D2941" s="9">
        <v>3001.8767</v>
      </c>
      <c r="E2941" s="10" t="str">
        <f t="array" ref="E2941">IFS(D2941&lt;=$G$3,'calculated data '!$A$3,D2941&lt;=$G$4,'calculated data '!$A$4,D2941&lt;=$G$6,'calculated data '!$A$5,D2941&gt;=$G$6,'calculated data '!$A$6)</f>
        <v>Target Market (Core IQR)</v>
      </c>
      <c r="F2941" s="10">
        <f t="shared" si="1"/>
        <v>-0.5837125463</v>
      </c>
    </row>
    <row r="2942" ht="14.25" customHeight="1">
      <c r="A2942" s="2" t="s">
        <v>181</v>
      </c>
      <c r="B2942" s="2" t="s">
        <v>182</v>
      </c>
      <c r="C2942" s="2">
        <v>2018.0</v>
      </c>
      <c r="D2942" s="9">
        <v>3004.1716</v>
      </c>
      <c r="E2942" s="10" t="str">
        <f t="array" ref="E2942">IFS(D2942&lt;=$G$3,'calculated data '!$A$3,D2942&lt;=$G$4,'calculated data '!$A$4,D2942&lt;=$G$6,'calculated data '!$A$5,D2942&gt;=$G$6,'calculated data '!$A$6)</f>
        <v>Target Market (Core IQR)</v>
      </c>
      <c r="F2942" s="10">
        <f t="shared" si="1"/>
        <v>-0.5836518009</v>
      </c>
    </row>
    <row r="2943" ht="14.25" customHeight="1">
      <c r="A2943" s="2" t="s">
        <v>165</v>
      </c>
      <c r="B2943" s="2" t="s">
        <v>166</v>
      </c>
      <c r="C2943" s="2">
        <v>1996.0</v>
      </c>
      <c r="D2943" s="9">
        <v>3007.3672</v>
      </c>
      <c r="E2943" s="10" t="str">
        <f t="array" ref="E2943">IFS(D2943&lt;=$G$3,'calculated data '!$A$3,D2943&lt;=$G$4,'calculated data '!$A$4,D2943&lt;=$G$6,'calculated data '!$A$5,D2943&gt;=$G$6,'calculated data '!$A$6)</f>
        <v>Target Market (Core IQR)</v>
      </c>
      <c r="F2943" s="10">
        <f t="shared" si="1"/>
        <v>-0.5835672141</v>
      </c>
    </row>
    <row r="2944" ht="14.25" customHeight="1">
      <c r="A2944" s="2" t="s">
        <v>21</v>
      </c>
      <c r="B2944" s="2" t="s">
        <v>22</v>
      </c>
      <c r="C2944" s="2">
        <v>2022.0</v>
      </c>
      <c r="D2944" s="9">
        <v>3010.6267</v>
      </c>
      <c r="E2944" s="10" t="str">
        <f t="array" ref="E2944">IFS(D2944&lt;=$G$3,'calculated data '!$A$3,D2944&lt;=$G$4,'calculated data '!$A$4,D2944&lt;=$G$6,'calculated data '!$A$5,D2944&gt;=$G$6,'calculated data '!$A$6)</f>
        <v>Target Market (Core IQR)</v>
      </c>
      <c r="F2944" s="10">
        <f t="shared" si="1"/>
        <v>-0.583480936</v>
      </c>
    </row>
    <row r="2945" ht="14.25" customHeight="1">
      <c r="A2945" s="2" t="s">
        <v>141</v>
      </c>
      <c r="B2945" s="2" t="s">
        <v>142</v>
      </c>
      <c r="C2945" s="2">
        <v>1981.0</v>
      </c>
      <c r="D2945" s="9">
        <v>3013.961</v>
      </c>
      <c r="E2945" s="10" t="str">
        <f t="array" ref="E2945">IFS(D2945&lt;=$G$3,'calculated data '!$A$3,D2945&lt;=$G$4,'calculated data '!$A$4,D2945&lt;=$G$6,'calculated data '!$A$5,D2945&gt;=$G$6,'calculated data '!$A$6)</f>
        <v>Target Market (Core IQR)</v>
      </c>
      <c r="F2945" s="10">
        <f t="shared" si="1"/>
        <v>-0.5833926779</v>
      </c>
    </row>
    <row r="2946" ht="14.25" customHeight="1">
      <c r="A2946" s="2" t="s">
        <v>211</v>
      </c>
      <c r="B2946" s="2" t="s">
        <v>212</v>
      </c>
      <c r="C2946" s="2">
        <v>1987.0</v>
      </c>
      <c r="D2946" s="9">
        <v>3017.5916</v>
      </c>
      <c r="E2946" s="10" t="str">
        <f t="array" ref="E2946">IFS(D2946&lt;=$G$3,'calculated data '!$A$3,D2946&lt;=$G$4,'calculated data '!$A$4,D2946&lt;=$G$6,'calculated data '!$A$5,D2946&gt;=$G$6,'calculated data '!$A$6)</f>
        <v>Target Market (Core IQR)</v>
      </c>
      <c r="F2946" s="10">
        <f t="shared" si="1"/>
        <v>-0.5832965768</v>
      </c>
    </row>
    <row r="2947" ht="14.25" customHeight="1">
      <c r="A2947" s="2" t="s">
        <v>181</v>
      </c>
      <c r="B2947" s="2" t="s">
        <v>182</v>
      </c>
      <c r="C2947" s="2">
        <v>2019.0</v>
      </c>
      <c r="D2947" s="9">
        <v>3018.6736</v>
      </c>
      <c r="E2947" s="10" t="str">
        <f t="array" ref="E2947">IFS(D2947&lt;=$G$3,'calculated data '!$A$3,D2947&lt;=$G$4,'calculated data '!$A$4,D2947&lt;=$G$6,'calculated data '!$A$5,D2947&gt;=$G$6,'calculated data '!$A$6)</f>
        <v>Target Market (Core IQR)</v>
      </c>
      <c r="F2947" s="10">
        <f t="shared" si="1"/>
        <v>-0.5832679365</v>
      </c>
    </row>
    <row r="2948" ht="14.25" customHeight="1">
      <c r="A2948" s="2" t="s">
        <v>193</v>
      </c>
      <c r="B2948" s="2" t="s">
        <v>194</v>
      </c>
      <c r="C2948" s="2">
        <v>1977.0</v>
      </c>
      <c r="D2948" s="9">
        <v>3019.5464</v>
      </c>
      <c r="E2948" s="10" t="str">
        <f t="array" ref="E2948">IFS(D2948&lt;=$G$3,'calculated data '!$A$3,D2948&lt;=$G$4,'calculated data '!$A$4,D2948&lt;=$G$6,'calculated data '!$A$5,D2948&gt;=$G$6,'calculated data '!$A$6)</f>
        <v>Target Market (Core IQR)</v>
      </c>
      <c r="F2948" s="10">
        <f t="shared" si="1"/>
        <v>-0.5832448337</v>
      </c>
    </row>
    <row r="2949" ht="14.25" customHeight="1">
      <c r="A2949" s="2" t="s">
        <v>193</v>
      </c>
      <c r="B2949" s="2" t="s">
        <v>194</v>
      </c>
      <c r="C2949" s="2">
        <v>1984.0</v>
      </c>
      <c r="D2949" s="9">
        <v>3020.051</v>
      </c>
      <c r="E2949" s="10" t="str">
        <f t="array" ref="E2949">IFS(D2949&lt;=$G$3,'calculated data '!$A$3,D2949&lt;=$G$4,'calculated data '!$A$4,D2949&lt;=$G$6,'calculated data '!$A$5,D2949&gt;=$G$6,'calculated data '!$A$6)</f>
        <v>Target Market (Core IQR)</v>
      </c>
      <c r="F2949" s="10">
        <f t="shared" si="1"/>
        <v>-0.5832314771</v>
      </c>
    </row>
    <row r="2950" ht="14.25" customHeight="1">
      <c r="A2950" s="2" t="s">
        <v>141</v>
      </c>
      <c r="B2950" s="2" t="s">
        <v>142</v>
      </c>
      <c r="C2950" s="2">
        <v>1978.0</v>
      </c>
      <c r="D2950" s="9">
        <v>3021.6116</v>
      </c>
      <c r="E2950" s="10" t="str">
        <f t="array" ref="E2950">IFS(D2950&lt;=$G$3,'calculated data '!$A$3,D2950&lt;=$G$4,'calculated data '!$A$4,D2950&lt;=$G$6,'calculated data '!$A$5,D2950&gt;=$G$6,'calculated data '!$A$6)</f>
        <v>Target Market (Core IQR)</v>
      </c>
      <c r="F2950" s="10">
        <f t="shared" si="1"/>
        <v>-0.5831901684</v>
      </c>
    </row>
    <row r="2951" ht="14.25" customHeight="1">
      <c r="A2951" s="2" t="s">
        <v>231</v>
      </c>
      <c r="B2951" s="2" t="s">
        <v>232</v>
      </c>
      <c r="C2951" s="2">
        <v>1966.0</v>
      </c>
      <c r="D2951" s="9">
        <v>3023.7444</v>
      </c>
      <c r="E2951" s="10" t="str">
        <f t="array" ref="E2951">IFS(D2951&lt;=$G$3,'calculated data '!$A$3,D2951&lt;=$G$4,'calculated data '!$A$4,D2951&lt;=$G$6,'calculated data '!$A$5,D2951&gt;=$G$6,'calculated data '!$A$6)</f>
        <v>Target Market (Core IQR)</v>
      </c>
      <c r="F2951" s="10">
        <f t="shared" si="1"/>
        <v>-0.5831337137</v>
      </c>
    </row>
    <row r="2952" ht="14.25" customHeight="1">
      <c r="A2952" s="2" t="s">
        <v>207</v>
      </c>
      <c r="B2952" s="2" t="s">
        <v>208</v>
      </c>
      <c r="C2952" s="2">
        <v>1972.0</v>
      </c>
      <c r="D2952" s="9">
        <v>3027.5813</v>
      </c>
      <c r="E2952" s="10" t="str">
        <f t="array" ref="E2952">IFS(D2952&lt;=$G$3,'calculated data '!$A$3,D2952&lt;=$G$4,'calculated data '!$A$4,D2952&lt;=$G$6,'calculated data '!$A$5,D2952&gt;=$G$6,'calculated data '!$A$6)</f>
        <v>Target Market (Core IQR)</v>
      </c>
      <c r="F2952" s="10">
        <f t="shared" si="1"/>
        <v>-0.5830321519</v>
      </c>
    </row>
    <row r="2953" ht="14.25" customHeight="1">
      <c r="A2953" s="2" t="s">
        <v>189</v>
      </c>
      <c r="B2953" s="2" t="s">
        <v>190</v>
      </c>
      <c r="C2953" s="2">
        <v>2000.0</v>
      </c>
      <c r="D2953" s="9">
        <v>3028.2793</v>
      </c>
      <c r="E2953" s="10" t="str">
        <f t="array" ref="E2953">IFS(D2953&lt;=$G$3,'calculated data '!$A$3,D2953&lt;=$G$4,'calculated data '!$A$4,D2953&lt;=$G$6,'calculated data '!$A$5,D2953&gt;=$G$6,'calculated data '!$A$6)</f>
        <v>Target Market (Core IQR)</v>
      </c>
      <c r="F2953" s="10">
        <f t="shared" si="1"/>
        <v>-0.5830136761</v>
      </c>
    </row>
    <row r="2954" ht="14.25" customHeight="1">
      <c r="A2954" s="2" t="s">
        <v>201</v>
      </c>
      <c r="B2954" s="2" t="s">
        <v>202</v>
      </c>
      <c r="C2954" s="2">
        <v>2006.0</v>
      </c>
      <c r="D2954" s="9">
        <v>3031.063</v>
      </c>
      <c r="E2954" s="10" t="str">
        <f t="array" ref="E2954">IFS(D2954&lt;=$G$3,'calculated data '!$A$3,D2954&lt;=$G$4,'calculated data '!$A$4,D2954&lt;=$G$6,'calculated data '!$A$5,D2954&gt;=$G$6,'calculated data '!$A$6)</f>
        <v>Target Market (Core IQR)</v>
      </c>
      <c r="F2954" s="10">
        <f t="shared" si="1"/>
        <v>-0.5829399922</v>
      </c>
    </row>
    <row r="2955" ht="14.25" customHeight="1">
      <c r="A2955" s="2" t="s">
        <v>79</v>
      </c>
      <c r="B2955" s="2" t="s">
        <v>80</v>
      </c>
      <c r="C2955" s="2">
        <v>2018.0</v>
      </c>
      <c r="D2955" s="9">
        <v>3033.558</v>
      </c>
      <c r="E2955" s="10" t="str">
        <f t="array" ref="E2955">IFS(D2955&lt;=$G$3,'calculated data '!$A$3,D2955&lt;=$G$4,'calculated data '!$A$4,D2955&lt;=$G$6,'calculated data '!$A$5,D2955&gt;=$G$6,'calculated data '!$A$6)</f>
        <v>Target Market (Core IQR)</v>
      </c>
      <c r="F2955" s="10">
        <f t="shared" si="1"/>
        <v>-0.5828739502</v>
      </c>
    </row>
    <row r="2956" ht="14.25" customHeight="1">
      <c r="A2956" s="2" t="s">
        <v>159</v>
      </c>
      <c r="B2956" s="2" t="s">
        <v>160</v>
      </c>
      <c r="C2956" s="2">
        <v>1979.0</v>
      </c>
      <c r="D2956" s="9">
        <v>3033.7683</v>
      </c>
      <c r="E2956" s="10" t="str">
        <f t="array" ref="E2956">IFS(D2956&lt;=$G$3,'calculated data '!$A$3,D2956&lt;=$G$4,'calculated data '!$A$4,D2956&lt;=$G$6,'calculated data '!$A$5,D2956&gt;=$G$6,'calculated data '!$A$6)</f>
        <v>Target Market (Core IQR)</v>
      </c>
      <c r="F2956" s="10">
        <f t="shared" si="1"/>
        <v>-0.5828683836</v>
      </c>
    </row>
    <row r="2957" ht="14.25" customHeight="1">
      <c r="A2957" s="2" t="s">
        <v>21</v>
      </c>
      <c r="B2957" s="2" t="s">
        <v>22</v>
      </c>
      <c r="C2957" s="2">
        <v>2023.0</v>
      </c>
      <c r="D2957" s="9">
        <v>3037.8186</v>
      </c>
      <c r="E2957" s="10" t="str">
        <f t="array" ref="E2957">IFS(D2957&lt;=$G$3,'calculated data '!$A$3,D2957&lt;=$G$4,'calculated data '!$A$4,D2957&lt;=$G$6,'calculated data '!$A$5,D2957&gt;=$G$6,'calculated data '!$A$6)</f>
        <v>Target Market (Core IQR)</v>
      </c>
      <c r="F2957" s="10">
        <f t="shared" si="1"/>
        <v>-0.5827611732</v>
      </c>
    </row>
    <row r="2958" ht="14.25" customHeight="1">
      <c r="A2958" s="2" t="s">
        <v>177</v>
      </c>
      <c r="B2958" s="2" t="s">
        <v>178</v>
      </c>
      <c r="C2958" s="2">
        <v>2011.0</v>
      </c>
      <c r="D2958" s="9">
        <v>3038.0076</v>
      </c>
      <c r="E2958" s="10" t="str">
        <f t="array" ref="E2958">IFS(D2958&lt;=$G$3,'calculated data '!$A$3,D2958&lt;=$G$4,'calculated data '!$A$4,D2958&lt;=$G$6,'calculated data '!$A$5,D2958&gt;=$G$6,'calculated data '!$A$6)</f>
        <v>Target Market (Core IQR)</v>
      </c>
      <c r="F2958" s="10">
        <f t="shared" si="1"/>
        <v>-0.5827561704</v>
      </c>
    </row>
    <row r="2959" ht="14.25" customHeight="1">
      <c r="A2959" s="2" t="s">
        <v>175</v>
      </c>
      <c r="B2959" s="2" t="s">
        <v>176</v>
      </c>
      <c r="C2959" s="2">
        <v>2003.0</v>
      </c>
      <c r="D2959" s="9">
        <v>3038.6846</v>
      </c>
      <c r="E2959" s="10" t="str">
        <f t="array" ref="E2959">IFS(D2959&lt;=$G$3,'calculated data '!$A$3,D2959&lt;=$G$4,'calculated data '!$A$4,D2959&lt;=$G$6,'calculated data '!$A$5,D2959&gt;=$G$6,'calculated data '!$A$6)</f>
        <v>Target Market (Core IQR)</v>
      </c>
      <c r="F2959" s="10">
        <f t="shared" si="1"/>
        <v>-0.5827382504</v>
      </c>
    </row>
    <row r="2960" ht="14.25" customHeight="1">
      <c r="A2960" s="2" t="s">
        <v>219</v>
      </c>
      <c r="B2960" s="2" t="s">
        <v>220</v>
      </c>
      <c r="C2960" s="2">
        <v>2003.0</v>
      </c>
      <c r="D2960" s="9">
        <v>3039.9468</v>
      </c>
      <c r="E2960" s="10" t="str">
        <f t="array" ref="E2960">IFS(D2960&lt;=$G$3,'calculated data '!$A$3,D2960&lt;=$G$4,'calculated data '!$A$4,D2960&lt;=$G$6,'calculated data '!$A$5,D2960&gt;=$G$6,'calculated data '!$A$6)</f>
        <v>Target Market (Core IQR)</v>
      </c>
      <c r="F2960" s="10">
        <f t="shared" si="1"/>
        <v>-0.5827048402</v>
      </c>
    </row>
    <row r="2961" ht="14.25" customHeight="1">
      <c r="A2961" s="2" t="s">
        <v>219</v>
      </c>
      <c r="B2961" s="2" t="s">
        <v>220</v>
      </c>
      <c r="C2961" s="2">
        <v>2006.0</v>
      </c>
      <c r="D2961" s="9">
        <v>3042.3242</v>
      </c>
      <c r="E2961" s="10" t="str">
        <f t="array" ref="E2961">IFS(D2961&lt;=$G$3,'calculated data '!$A$3,D2961&lt;=$G$4,'calculated data '!$A$4,D2961&lt;=$G$6,'calculated data '!$A$5,D2961&gt;=$G$6,'calculated data '!$A$6)</f>
        <v>Target Market (Core IQR)</v>
      </c>
      <c r="F2961" s="10">
        <f t="shared" si="1"/>
        <v>-0.582641911</v>
      </c>
    </row>
    <row r="2962" ht="14.25" customHeight="1">
      <c r="A2962" s="2" t="s">
        <v>219</v>
      </c>
      <c r="B2962" s="2" t="s">
        <v>220</v>
      </c>
      <c r="C2962" s="2">
        <v>2005.0</v>
      </c>
      <c r="D2962" s="9">
        <v>3044.3965</v>
      </c>
      <c r="E2962" s="10" t="str">
        <f t="array" ref="E2962">IFS(D2962&lt;=$G$3,'calculated data '!$A$3,D2962&lt;=$G$4,'calculated data '!$A$4,D2962&lt;=$G$6,'calculated data '!$A$5,D2962&gt;=$G$6,'calculated data '!$A$6)</f>
        <v>Target Market (Core IQR)</v>
      </c>
      <c r="F2962" s="10">
        <f t="shared" si="1"/>
        <v>-0.5825870578</v>
      </c>
    </row>
    <row r="2963" ht="14.25" customHeight="1">
      <c r="A2963" s="2" t="s">
        <v>157</v>
      </c>
      <c r="B2963" s="2" t="s">
        <v>158</v>
      </c>
      <c r="C2963" s="2">
        <v>2010.0</v>
      </c>
      <c r="D2963" s="9">
        <v>3044.8926</v>
      </c>
      <c r="E2963" s="10" t="str">
        <f t="array" ref="E2963">IFS(D2963&lt;=$G$3,'calculated data '!$A$3,D2963&lt;=$G$4,'calculated data '!$A$4,D2963&lt;=$G$6,'calculated data '!$A$5,D2963&gt;=$G$6,'calculated data '!$A$6)</f>
        <v>Target Market (Core IQR)</v>
      </c>
      <c r="F2963" s="10">
        <f t="shared" si="1"/>
        <v>-0.5825739261</v>
      </c>
    </row>
    <row r="2964" ht="14.25" customHeight="1">
      <c r="A2964" s="2" t="s">
        <v>159</v>
      </c>
      <c r="B2964" s="2" t="s">
        <v>160</v>
      </c>
      <c r="C2964" s="2">
        <v>1988.0</v>
      </c>
      <c r="D2964" s="9">
        <v>3049.0847</v>
      </c>
      <c r="E2964" s="10" t="str">
        <f t="array" ref="E2964">IFS(D2964&lt;=$G$3,'calculated data '!$A$3,D2964&lt;=$G$4,'calculated data '!$A$4,D2964&lt;=$G$6,'calculated data '!$A$5,D2964&gt;=$G$6,'calculated data '!$A$6)</f>
        <v>Target Market (Core IQR)</v>
      </c>
      <c r="F2964" s="10">
        <f t="shared" si="1"/>
        <v>-0.5824629623</v>
      </c>
    </row>
    <row r="2965" ht="14.25" customHeight="1">
      <c r="A2965" s="2" t="s">
        <v>231</v>
      </c>
      <c r="B2965" s="2" t="s">
        <v>232</v>
      </c>
      <c r="C2965" s="2">
        <v>1967.0</v>
      </c>
      <c r="D2965" s="9">
        <v>3050.0195</v>
      </c>
      <c r="E2965" s="10" t="str">
        <f t="array" ref="E2965">IFS(D2965&lt;=$G$3,'calculated data '!$A$3,D2965&lt;=$G$4,'calculated data '!$A$4,D2965&lt;=$G$6,'calculated data '!$A$5,D2965&gt;=$G$6,'calculated data '!$A$6)</f>
        <v>Target Market (Core IQR)</v>
      </c>
      <c r="F2965" s="10">
        <f t="shared" si="1"/>
        <v>-0.5824382184</v>
      </c>
    </row>
    <row r="2966" ht="14.25" customHeight="1">
      <c r="A2966" s="2" t="s">
        <v>193</v>
      </c>
      <c r="B2966" s="2" t="s">
        <v>194</v>
      </c>
      <c r="C2966" s="2">
        <v>1978.0</v>
      </c>
      <c r="D2966" s="9">
        <v>3052.8726</v>
      </c>
      <c r="E2966" s="10" t="str">
        <f t="array" ref="E2966">IFS(D2966&lt;=$G$3,'calculated data '!$A$3,D2966&lt;=$G$4,'calculated data '!$A$4,D2966&lt;=$G$6,'calculated data '!$A$5,D2966&gt;=$G$6,'calculated data '!$A$6)</f>
        <v>Target Market (Core IQR)</v>
      </c>
      <c r="F2966" s="10">
        <f t="shared" si="1"/>
        <v>-0.5823626975</v>
      </c>
    </row>
    <row r="2967" ht="14.25" customHeight="1">
      <c r="A2967" s="2" t="s">
        <v>151</v>
      </c>
      <c r="B2967" s="2" t="s">
        <v>152</v>
      </c>
      <c r="C2967" s="2">
        <v>2000.0</v>
      </c>
      <c r="D2967" s="9">
        <v>3060.976</v>
      </c>
      <c r="E2967" s="10" t="str">
        <f t="array" ref="E2967">IFS(D2967&lt;=$G$3,'calculated data '!$A$3,D2967&lt;=$G$4,'calculated data '!$A$4,D2967&lt;=$G$6,'calculated data '!$A$5,D2967&gt;=$G$6,'calculated data '!$A$6)</f>
        <v>Target Market (Core IQR)</v>
      </c>
      <c r="F2967" s="10">
        <f t="shared" si="1"/>
        <v>-0.5821482025</v>
      </c>
    </row>
    <row r="2968" ht="14.25" customHeight="1">
      <c r="A2968" s="2" t="s">
        <v>135</v>
      </c>
      <c r="B2968" s="2" t="s">
        <v>136</v>
      </c>
      <c r="C2968" s="2">
        <v>2022.0</v>
      </c>
      <c r="D2968" s="9">
        <v>3061.5464</v>
      </c>
      <c r="E2968" s="10" t="str">
        <f t="array" ref="E2968">IFS(D2968&lt;=$G$3,'calculated data '!$A$3,D2968&lt;=$G$4,'calculated data '!$A$4,D2968&lt;=$G$6,'calculated data '!$A$5,D2968&gt;=$G$6,'calculated data '!$A$6)</f>
        <v>Target Market (Core IQR)</v>
      </c>
      <c r="F2968" s="10">
        <f t="shared" si="1"/>
        <v>-0.5821331042</v>
      </c>
    </row>
    <row r="2969" ht="14.25" customHeight="1">
      <c r="A2969" s="2" t="s">
        <v>191</v>
      </c>
      <c r="B2969" s="2" t="s">
        <v>192</v>
      </c>
      <c r="C2969" s="2">
        <v>1987.0</v>
      </c>
      <c r="D2969" s="9">
        <v>3063.8145</v>
      </c>
      <c r="E2969" s="10" t="str">
        <f t="array" ref="E2969">IFS(D2969&lt;=$G$3,'calculated data '!$A$3,D2969&lt;=$G$4,'calculated data '!$A$4,D2969&lt;=$G$6,'calculated data '!$A$5,D2969&gt;=$G$6,'calculated data '!$A$6)</f>
        <v>Target Market (Core IQR)</v>
      </c>
      <c r="F2969" s="10">
        <f t="shared" si="1"/>
        <v>-0.5820730682</v>
      </c>
    </row>
    <row r="2970" ht="14.25" customHeight="1">
      <c r="A2970" s="2" t="s">
        <v>177</v>
      </c>
      <c r="B2970" s="2" t="s">
        <v>178</v>
      </c>
      <c r="C2970" s="2">
        <v>2000.0</v>
      </c>
      <c r="D2970" s="9">
        <v>3064.4592</v>
      </c>
      <c r="E2970" s="10" t="str">
        <f t="array" ref="E2970">IFS(D2970&lt;=$G$3,'calculated data '!$A$3,D2970&lt;=$G$4,'calculated data '!$A$4,D2970&lt;=$G$6,'calculated data '!$A$5,D2970&gt;=$G$6,'calculated data '!$A$6)</f>
        <v>Target Market (Core IQR)</v>
      </c>
      <c r="F2970" s="10">
        <f t="shared" si="1"/>
        <v>-0.5820560031</v>
      </c>
    </row>
    <row r="2971" ht="14.25" customHeight="1">
      <c r="A2971" s="2" t="s">
        <v>151</v>
      </c>
      <c r="B2971" s="2" t="s">
        <v>152</v>
      </c>
      <c r="C2971" s="2">
        <v>2001.0</v>
      </c>
      <c r="D2971" s="9">
        <v>3069.4165</v>
      </c>
      <c r="E2971" s="10" t="str">
        <f t="array" ref="E2971">IFS(D2971&lt;=$G$3,'calculated data '!$A$3,D2971&lt;=$G$4,'calculated data '!$A$4,D2971&lt;=$G$6,'calculated data '!$A$5,D2971&gt;=$G$6,'calculated data '!$A$6)</f>
        <v>Target Market (Core IQR)</v>
      </c>
      <c r="F2971" s="10">
        <f t="shared" si="1"/>
        <v>-0.5819247846</v>
      </c>
    </row>
    <row r="2972" ht="14.25" customHeight="1">
      <c r="A2972" s="2" t="s">
        <v>51</v>
      </c>
      <c r="B2972" s="2" t="s">
        <v>52</v>
      </c>
      <c r="C2972" s="2">
        <v>2004.0</v>
      </c>
      <c r="D2972" s="9">
        <v>3077.2837</v>
      </c>
      <c r="E2972" s="10" t="str">
        <f t="array" ref="E2972">IFS(D2972&lt;=$G$3,'calculated data '!$A$3,D2972&lt;=$G$4,'calculated data '!$A$4,D2972&lt;=$G$6,'calculated data '!$A$5,D2972&gt;=$G$6,'calculated data '!$A$6)</f>
        <v>Target Market (Core IQR)</v>
      </c>
      <c r="F2972" s="10">
        <f t="shared" si="1"/>
        <v>-0.5817165418</v>
      </c>
    </row>
    <row r="2973" ht="14.25" customHeight="1">
      <c r="A2973" s="2" t="s">
        <v>157</v>
      </c>
      <c r="B2973" s="2" t="s">
        <v>158</v>
      </c>
      <c r="C2973" s="2">
        <v>2011.0</v>
      </c>
      <c r="D2973" s="9">
        <v>3077.946</v>
      </c>
      <c r="E2973" s="10" t="str">
        <f t="array" ref="E2973">IFS(D2973&lt;=$G$3,'calculated data '!$A$3,D2973&lt;=$G$4,'calculated data '!$A$4,D2973&lt;=$G$6,'calculated data '!$A$5,D2973&gt;=$G$6,'calculated data '!$A$6)</f>
        <v>Target Market (Core IQR)</v>
      </c>
      <c r="F2973" s="10">
        <f t="shared" si="1"/>
        <v>-0.5816990109</v>
      </c>
    </row>
    <row r="2974" ht="14.25" customHeight="1">
      <c r="A2974" s="2" t="s">
        <v>157</v>
      </c>
      <c r="B2974" s="2" t="s">
        <v>158</v>
      </c>
      <c r="C2974" s="2">
        <v>2014.0</v>
      </c>
      <c r="D2974" s="9">
        <v>3083.5852</v>
      </c>
      <c r="E2974" s="10" t="str">
        <f t="array" ref="E2974">IFS(D2974&lt;=$G$3,'calculated data '!$A$3,D2974&lt;=$G$4,'calculated data '!$A$4,D2974&lt;=$G$6,'calculated data '!$A$5,D2974&gt;=$G$6,'calculated data '!$A$6)</f>
        <v>Target Market (Core IQR)</v>
      </c>
      <c r="F2974" s="10">
        <f t="shared" si="1"/>
        <v>-0.5815497427</v>
      </c>
    </row>
    <row r="2975" ht="14.25" customHeight="1">
      <c r="A2975" s="2" t="s">
        <v>229</v>
      </c>
      <c r="B2975" s="2" t="s">
        <v>230</v>
      </c>
      <c r="C2975" s="2">
        <v>1968.0</v>
      </c>
      <c r="D2975" s="9">
        <v>3085.167</v>
      </c>
      <c r="E2975" s="10" t="str">
        <f t="array" ref="E2975">IFS(D2975&lt;=$G$3,'calculated data '!$A$3,D2975&lt;=$G$4,'calculated data '!$A$4,D2975&lt;=$G$6,'calculated data '!$A$5,D2975&gt;=$G$6,'calculated data '!$A$6)</f>
        <v>Target Market (Core IQR)</v>
      </c>
      <c r="F2975" s="10">
        <f t="shared" si="1"/>
        <v>-0.5815078728</v>
      </c>
    </row>
    <row r="2976" ht="14.25" customHeight="1">
      <c r="A2976" s="2" t="s">
        <v>151</v>
      </c>
      <c r="B2976" s="2" t="s">
        <v>152</v>
      </c>
      <c r="C2976" s="2">
        <v>2003.0</v>
      </c>
      <c r="D2976" s="9">
        <v>3088.135</v>
      </c>
      <c r="E2976" s="10" t="str">
        <f t="array" ref="E2976">IFS(D2976&lt;=$G$3,'calculated data '!$A$3,D2976&lt;=$G$4,'calculated data '!$A$4,D2976&lt;=$G$6,'calculated data '!$A$5,D2976&gt;=$G$6,'calculated data '!$A$6)</f>
        <v>Target Market (Core IQR)</v>
      </c>
      <c r="F2976" s="10">
        <f t="shared" si="1"/>
        <v>-0.5814293106</v>
      </c>
    </row>
    <row r="2977" ht="14.25" customHeight="1">
      <c r="A2977" s="2" t="s">
        <v>225</v>
      </c>
      <c r="B2977" s="2" t="s">
        <v>226</v>
      </c>
      <c r="C2977" s="2">
        <v>1984.0</v>
      </c>
      <c r="D2977" s="9">
        <v>3094.5684</v>
      </c>
      <c r="E2977" s="10" t="str">
        <f t="array" ref="E2977">IFS(D2977&lt;=$G$3,'calculated data '!$A$3,D2977&lt;=$G$4,'calculated data '!$A$4,D2977&lt;=$G$6,'calculated data '!$A$5,D2977&gt;=$G$6,'calculated data '!$A$6)</f>
        <v>Target Market (Core IQR)</v>
      </c>
      <c r="F2977" s="10">
        <f t="shared" si="1"/>
        <v>-0.5812590201</v>
      </c>
    </row>
    <row r="2978" ht="14.25" customHeight="1">
      <c r="A2978" s="2" t="s">
        <v>219</v>
      </c>
      <c r="B2978" s="2" t="s">
        <v>220</v>
      </c>
      <c r="C2978" s="2">
        <v>2024.0</v>
      </c>
      <c r="D2978" s="9">
        <v>3096.2354</v>
      </c>
      <c r="E2978" s="10" t="str">
        <f t="array" ref="E2978">IFS(D2978&lt;=$G$3,'calculated data '!$A$3,D2978&lt;=$G$4,'calculated data '!$A$4,D2978&lt;=$G$6,'calculated data '!$A$5,D2978&gt;=$G$6,'calculated data '!$A$6)</f>
        <v>Target Market (Core IQR)</v>
      </c>
      <c r="F2978" s="10">
        <f t="shared" si="1"/>
        <v>-0.581214895</v>
      </c>
    </row>
    <row r="2979" ht="14.25" customHeight="1">
      <c r="A2979" s="2" t="s">
        <v>183</v>
      </c>
      <c r="B2979" s="2" t="s">
        <v>184</v>
      </c>
      <c r="C2979" s="2">
        <v>1974.0</v>
      </c>
      <c r="D2979" s="9">
        <v>3096.288</v>
      </c>
      <c r="E2979" s="10" t="str">
        <f t="array" ref="E2979">IFS(D2979&lt;=$G$3,'calculated data '!$A$3,D2979&lt;=$G$4,'calculated data '!$A$4,D2979&lt;=$G$6,'calculated data '!$A$5,D2979&gt;=$G$6,'calculated data '!$A$6)</f>
        <v>Target Market (Core IQR)</v>
      </c>
      <c r="F2979" s="10">
        <f t="shared" si="1"/>
        <v>-0.5812135027</v>
      </c>
    </row>
    <row r="2980" ht="14.25" customHeight="1">
      <c r="A2980" s="2" t="s">
        <v>141</v>
      </c>
      <c r="B2980" s="2" t="s">
        <v>142</v>
      </c>
      <c r="C2980" s="2">
        <v>1979.0</v>
      </c>
      <c r="D2980" s="9">
        <v>3099.8762</v>
      </c>
      <c r="E2980" s="10" t="str">
        <f t="array" ref="E2980">IFS(D2980&lt;=$G$3,'calculated data '!$A$3,D2980&lt;=$G$4,'calculated data '!$A$4,D2980&lt;=$G$6,'calculated data '!$A$5,D2980&gt;=$G$6,'calculated data '!$A$6)</f>
        <v>Target Market (Core IQR)</v>
      </c>
      <c r="F2980" s="10">
        <f t="shared" si="1"/>
        <v>-0.5811185239</v>
      </c>
    </row>
    <row r="2981" ht="14.25" customHeight="1">
      <c r="A2981" s="2" t="s">
        <v>151</v>
      </c>
      <c r="B2981" s="2" t="s">
        <v>152</v>
      </c>
      <c r="C2981" s="2">
        <v>2002.0</v>
      </c>
      <c r="D2981" s="9">
        <v>3102.5593</v>
      </c>
      <c r="E2981" s="10" t="str">
        <f t="array" ref="E2981">IFS(D2981&lt;=$G$3,'calculated data '!$A$3,D2981&lt;=$G$4,'calculated data '!$A$4,D2981&lt;=$G$6,'calculated data '!$A$5,D2981&gt;=$G$6,'calculated data '!$A$6)</f>
        <v>Target Market (Core IQR)</v>
      </c>
      <c r="F2981" s="10">
        <f t="shared" si="1"/>
        <v>-0.581047503</v>
      </c>
    </row>
    <row r="2982" ht="14.25" customHeight="1">
      <c r="A2982" s="2" t="s">
        <v>211</v>
      </c>
      <c r="B2982" s="2" t="s">
        <v>212</v>
      </c>
      <c r="C2982" s="2">
        <v>1993.0</v>
      </c>
      <c r="D2982" s="9">
        <v>3103.677</v>
      </c>
      <c r="E2982" s="10" t="str">
        <f t="array" ref="E2982">IFS(D2982&lt;=$G$3,'calculated data '!$A$3,D2982&lt;=$G$4,'calculated data '!$A$4,D2982&lt;=$G$6,'calculated data '!$A$5,D2982&gt;=$G$6,'calculated data '!$A$6)</f>
        <v>Target Market (Core IQR)</v>
      </c>
      <c r="F2982" s="10">
        <f t="shared" si="1"/>
        <v>-0.5810179177</v>
      </c>
    </row>
    <row r="2983" ht="14.25" customHeight="1">
      <c r="A2983" s="2" t="s">
        <v>157</v>
      </c>
      <c r="B2983" s="2" t="s">
        <v>158</v>
      </c>
      <c r="C2983" s="2">
        <v>2019.0</v>
      </c>
      <c r="D2983" s="9">
        <v>3108.311</v>
      </c>
      <c r="E2983" s="10" t="str">
        <f t="array" ref="E2983">IFS(D2983&lt;=$G$3,'calculated data '!$A$3,D2983&lt;=$G$4,'calculated data '!$A$4,D2983&lt;=$G$6,'calculated data '!$A$5,D2983&gt;=$G$6,'calculated data '!$A$6)</f>
        <v>Target Market (Core IQR)</v>
      </c>
      <c r="F2983" s="10">
        <f t="shared" si="1"/>
        <v>-0.5808952569</v>
      </c>
    </row>
    <row r="2984" ht="14.25" customHeight="1">
      <c r="A2984" s="2" t="s">
        <v>161</v>
      </c>
      <c r="B2984" s="2" t="s">
        <v>162</v>
      </c>
      <c r="C2984" s="2">
        <v>1987.0</v>
      </c>
      <c r="D2984" s="9">
        <v>3108.756</v>
      </c>
      <c r="E2984" s="10" t="str">
        <f t="array" ref="E2984">IFS(D2984&lt;=$G$3,'calculated data '!$A$3,D2984&lt;=$G$4,'calculated data '!$A$4,D2984&lt;=$G$6,'calculated data '!$A$5,D2984&gt;=$G$6,'calculated data '!$A$6)</f>
        <v>Target Market (Core IQR)</v>
      </c>
      <c r="F2984" s="10">
        <f t="shared" si="1"/>
        <v>-0.5808834778</v>
      </c>
    </row>
    <row r="2985" ht="14.25" customHeight="1">
      <c r="A2985" s="2" t="s">
        <v>179</v>
      </c>
      <c r="B2985" s="2" t="s">
        <v>180</v>
      </c>
      <c r="C2985" s="2">
        <v>1982.0</v>
      </c>
      <c r="D2985" s="9">
        <v>3110.7935</v>
      </c>
      <c r="E2985" s="10" t="str">
        <f t="array" ref="E2985">IFS(D2985&lt;=$G$3,'calculated data '!$A$3,D2985&lt;=$G$4,'calculated data '!$A$4,D2985&lt;=$G$6,'calculated data '!$A$5,D2985&gt;=$G$6,'calculated data '!$A$6)</f>
        <v>Target Market (Core IQR)</v>
      </c>
      <c r="F2985" s="10">
        <f t="shared" si="1"/>
        <v>-0.5808295457</v>
      </c>
    </row>
    <row r="2986" ht="14.25" customHeight="1">
      <c r="A2986" s="2" t="s">
        <v>165</v>
      </c>
      <c r="B2986" s="2" t="s">
        <v>166</v>
      </c>
      <c r="C2986" s="2">
        <v>1997.0</v>
      </c>
      <c r="D2986" s="9">
        <v>3117.1455</v>
      </c>
      <c r="E2986" s="10" t="str">
        <f t="array" ref="E2986">IFS(D2986&lt;=$G$3,'calculated data '!$A$3,D2986&lt;=$G$4,'calculated data '!$A$4,D2986&lt;=$G$6,'calculated data '!$A$5,D2986&gt;=$G$6,'calculated data '!$A$6)</f>
        <v>Target Market (Core IQR)</v>
      </c>
      <c r="F2986" s="10">
        <f t="shared" si="1"/>
        <v>-0.5806614099</v>
      </c>
    </row>
    <row r="2987" ht="14.25" customHeight="1">
      <c r="A2987" s="2" t="s">
        <v>213</v>
      </c>
      <c r="B2987" s="2" t="s">
        <v>214</v>
      </c>
      <c r="C2987" s="2">
        <v>1999.0</v>
      </c>
      <c r="D2987" s="9">
        <v>3121.232</v>
      </c>
      <c r="E2987" s="10" t="str">
        <f t="array" ref="E2987">IFS(D2987&lt;=$G$3,'calculated data '!$A$3,D2987&lt;=$G$4,'calculated data '!$A$4,D2987&lt;=$G$6,'calculated data '!$A$5,D2987&gt;=$G$6,'calculated data '!$A$6)</f>
        <v>Target Market (Core IQR)</v>
      </c>
      <c r="F2987" s="10">
        <f t="shared" si="1"/>
        <v>-0.5805532412</v>
      </c>
    </row>
    <row r="2988" ht="14.25" customHeight="1">
      <c r="A2988" s="2" t="s">
        <v>239</v>
      </c>
      <c r="B2988" s="2" t="s">
        <v>240</v>
      </c>
      <c r="C2988" s="2">
        <v>1993.0</v>
      </c>
      <c r="D2988" s="9">
        <v>3123.9019</v>
      </c>
      <c r="E2988" s="10" t="str">
        <f t="array" ref="E2988">IFS(D2988&lt;=$G$3,'calculated data '!$A$3,D2988&lt;=$G$4,'calculated data '!$A$4,D2988&lt;=$G$6,'calculated data '!$A$5,D2988&gt;=$G$6,'calculated data '!$A$6)</f>
        <v>Target Market (Core IQR)</v>
      </c>
      <c r="F2988" s="10">
        <f t="shared" si="1"/>
        <v>-0.5804825696</v>
      </c>
    </row>
    <row r="2989" ht="14.25" customHeight="1">
      <c r="A2989" s="2" t="s">
        <v>193</v>
      </c>
      <c r="B2989" s="2" t="s">
        <v>194</v>
      </c>
      <c r="C2989" s="2">
        <v>1988.0</v>
      </c>
      <c r="D2989" s="9">
        <v>3124.9153</v>
      </c>
      <c r="E2989" s="10" t="str">
        <f t="array" ref="E2989">IFS(D2989&lt;=$G$3,'calculated data '!$A$3,D2989&lt;=$G$4,'calculated data '!$A$4,D2989&lt;=$G$6,'calculated data '!$A$5,D2989&gt;=$G$6,'calculated data '!$A$6)</f>
        <v>Target Market (Core IQR)</v>
      </c>
      <c r="F2989" s="10">
        <f t="shared" si="1"/>
        <v>-0.5804557452</v>
      </c>
    </row>
    <row r="2990" ht="14.25" customHeight="1">
      <c r="A2990" s="2" t="s">
        <v>215</v>
      </c>
      <c r="B2990" s="2" t="s">
        <v>216</v>
      </c>
      <c r="C2990" s="2">
        <v>2004.0</v>
      </c>
      <c r="D2990" s="9">
        <v>3125.5068</v>
      </c>
      <c r="E2990" s="10" t="str">
        <f t="array" ref="E2990">IFS(D2990&lt;=$G$3,'calculated data '!$A$3,D2990&lt;=$G$4,'calculated data '!$A$4,D2990&lt;=$G$6,'calculated data '!$A$5,D2990&gt;=$G$6,'calculated data '!$A$6)</f>
        <v>Target Market (Core IQR)</v>
      </c>
      <c r="F2990" s="10">
        <f t="shared" si="1"/>
        <v>-0.5804400883</v>
      </c>
    </row>
    <row r="2991" ht="14.25" customHeight="1">
      <c r="A2991" s="2" t="s">
        <v>139</v>
      </c>
      <c r="B2991" s="2" t="s">
        <v>140</v>
      </c>
      <c r="C2991" s="2">
        <v>2013.0</v>
      </c>
      <c r="D2991" s="9">
        <v>3128.6572</v>
      </c>
      <c r="E2991" s="10" t="str">
        <f t="array" ref="E2991">IFS(D2991&lt;=$G$3,'calculated data '!$A$3,D2991&lt;=$G$4,'calculated data '!$A$4,D2991&lt;=$G$6,'calculated data '!$A$5,D2991&gt;=$G$6,'calculated data '!$A$6)</f>
        <v>Target Market (Core IQR)</v>
      </c>
      <c r="F2991" s="10">
        <f t="shared" si="1"/>
        <v>-0.580356698</v>
      </c>
    </row>
    <row r="2992" ht="14.25" customHeight="1">
      <c r="A2992" s="2" t="s">
        <v>141</v>
      </c>
      <c r="B2992" s="2" t="s">
        <v>142</v>
      </c>
      <c r="C2992" s="2">
        <v>1980.0</v>
      </c>
      <c r="D2992" s="9">
        <v>3129.684</v>
      </c>
      <c r="E2992" s="10" t="str">
        <f t="array" ref="E2992">IFS(D2992&lt;=$G$3,'calculated data '!$A$3,D2992&lt;=$G$4,'calculated data '!$A$4,D2992&lt;=$G$6,'calculated data '!$A$5,D2992&gt;=$G$6,'calculated data '!$A$6)</f>
        <v>Target Market (Core IQR)</v>
      </c>
      <c r="F2992" s="10">
        <f t="shared" si="1"/>
        <v>-0.5803295189</v>
      </c>
    </row>
    <row r="2993" ht="14.25" customHeight="1">
      <c r="A2993" s="2" t="s">
        <v>157</v>
      </c>
      <c r="B2993" s="2" t="s">
        <v>158</v>
      </c>
      <c r="C2993" s="2">
        <v>2013.0</v>
      </c>
      <c r="D2993" s="9">
        <v>3131.0527</v>
      </c>
      <c r="E2993" s="10" t="str">
        <f t="array" ref="E2993">IFS(D2993&lt;=$G$3,'calculated data '!$A$3,D2993&lt;=$G$4,'calculated data '!$A$4,D2993&lt;=$G$6,'calculated data '!$A$5,D2993&gt;=$G$6,'calculated data '!$A$6)</f>
        <v>Target Market (Core IQR)</v>
      </c>
      <c r="F2993" s="10">
        <f t="shared" si="1"/>
        <v>-0.5802932898</v>
      </c>
    </row>
    <row r="2994" ht="14.25" customHeight="1">
      <c r="A2994" s="2" t="s">
        <v>177</v>
      </c>
      <c r="B2994" s="2" t="s">
        <v>178</v>
      </c>
      <c r="C2994" s="2">
        <v>2002.0</v>
      </c>
      <c r="D2994" s="9">
        <v>3133.1646</v>
      </c>
      <c r="E2994" s="10" t="str">
        <f t="array" ref="E2994">IFS(D2994&lt;=$G$3,'calculated data '!$A$3,D2994&lt;=$G$4,'calculated data '!$A$4,D2994&lt;=$G$6,'calculated data '!$A$5,D2994&gt;=$G$6,'calculated data '!$A$6)</f>
        <v>Target Market (Core IQR)</v>
      </c>
      <c r="F2994" s="10">
        <f t="shared" si="1"/>
        <v>-0.5802373883</v>
      </c>
    </row>
    <row r="2995" ht="14.25" customHeight="1">
      <c r="A2995" s="2" t="s">
        <v>133</v>
      </c>
      <c r="B2995" s="2" t="s">
        <v>134</v>
      </c>
      <c r="C2995" s="2">
        <v>2003.0</v>
      </c>
      <c r="D2995" s="9">
        <v>3133.5542</v>
      </c>
      <c r="E2995" s="10" t="str">
        <f t="array" ref="E2995">IFS(D2995&lt;=$G$3,'calculated data '!$A$3,D2995&lt;=$G$4,'calculated data '!$A$4,D2995&lt;=$G$6,'calculated data '!$A$5,D2995&gt;=$G$6,'calculated data '!$A$6)</f>
        <v>Target Market (Core IQR)</v>
      </c>
      <c r="F2995" s="10">
        <f t="shared" si="1"/>
        <v>-0.5802270757</v>
      </c>
    </row>
    <row r="2996" ht="14.25" customHeight="1">
      <c r="A2996" s="2" t="s">
        <v>181</v>
      </c>
      <c r="B2996" s="2" t="s">
        <v>182</v>
      </c>
      <c r="C2996" s="2">
        <v>2009.0</v>
      </c>
      <c r="D2996" s="9">
        <v>3137.7664</v>
      </c>
      <c r="E2996" s="10" t="str">
        <f t="array" ref="E2996">IFS(D2996&lt;=$G$3,'calculated data '!$A$3,D2996&lt;=$G$4,'calculated data '!$A$4,D2996&lt;=$G$6,'calculated data '!$A$5,D2996&gt;=$G$6,'calculated data '!$A$6)</f>
        <v>Target Market (Core IQR)</v>
      </c>
      <c r="F2996" s="10">
        <f t="shared" si="1"/>
        <v>-0.5801155798</v>
      </c>
    </row>
    <row r="2997" ht="14.25" customHeight="1">
      <c r="A2997" s="2" t="s">
        <v>157</v>
      </c>
      <c r="B2997" s="2" t="s">
        <v>158</v>
      </c>
      <c r="C2997" s="2">
        <v>2015.0</v>
      </c>
      <c r="D2997" s="9">
        <v>3139.2756</v>
      </c>
      <c r="E2997" s="10" t="str">
        <f t="array" ref="E2997">IFS(D2997&lt;=$G$3,'calculated data '!$A$3,D2997&lt;=$G$4,'calculated data '!$A$4,D2997&lt;=$G$6,'calculated data '!$A$5,D2997&gt;=$G$6,'calculated data '!$A$6)</f>
        <v>Target Market (Core IQR)</v>
      </c>
      <c r="F2997" s="10">
        <f t="shared" si="1"/>
        <v>-0.5800756316</v>
      </c>
    </row>
    <row r="2998" ht="14.25" customHeight="1">
      <c r="A2998" s="2" t="s">
        <v>217</v>
      </c>
      <c r="B2998" s="2" t="s">
        <v>218</v>
      </c>
      <c r="C2998" s="2">
        <v>1979.0</v>
      </c>
      <c r="D2998" s="9">
        <v>3139.508</v>
      </c>
      <c r="E2998" s="10" t="str">
        <f t="array" ref="E2998">IFS(D2998&lt;=$G$3,'calculated data '!$A$3,D2998&lt;=$G$4,'calculated data '!$A$4,D2998&lt;=$G$6,'calculated data '!$A$5,D2998&gt;=$G$6,'calculated data '!$A$6)</f>
        <v>Target Market (Core IQR)</v>
      </c>
      <c r="F2998" s="10">
        <f t="shared" si="1"/>
        <v>-0.5800694801</v>
      </c>
    </row>
    <row r="2999" ht="14.25" customHeight="1">
      <c r="A2999" s="2" t="s">
        <v>215</v>
      </c>
      <c r="B2999" s="2" t="s">
        <v>216</v>
      </c>
      <c r="C2999" s="2">
        <v>2007.0</v>
      </c>
      <c r="D2999" s="9">
        <v>3140.0872</v>
      </c>
      <c r="E2999" s="10" t="str">
        <f t="array" ref="E2999">IFS(D2999&lt;=$G$3,'calculated data '!$A$3,D2999&lt;=$G$4,'calculated data '!$A$4,D2999&lt;=$G$6,'calculated data '!$A$5,D2999&gt;=$G$6,'calculated data '!$A$6)</f>
        <v>Target Market (Core IQR)</v>
      </c>
      <c r="F2999" s="10">
        <f t="shared" si="1"/>
        <v>-0.5800541488</v>
      </c>
    </row>
    <row r="3000" ht="14.25" customHeight="1">
      <c r="A3000" s="2" t="s">
        <v>215</v>
      </c>
      <c r="B3000" s="2" t="s">
        <v>216</v>
      </c>
      <c r="C3000" s="2">
        <v>2014.0</v>
      </c>
      <c r="D3000" s="9">
        <v>3144.6667</v>
      </c>
      <c r="E3000" s="10" t="str">
        <f t="array" ref="E3000">IFS(D3000&lt;=$G$3,'calculated data '!$A$3,D3000&lt;=$G$4,'calculated data '!$A$4,D3000&lt;=$G$6,'calculated data '!$A$5,D3000&gt;=$G$6,'calculated data '!$A$6)</f>
        <v>Target Market (Core IQR)</v>
      </c>
      <c r="F3000" s="10">
        <f t="shared" si="1"/>
        <v>-0.5799329306</v>
      </c>
    </row>
    <row r="3001" ht="14.25" customHeight="1">
      <c r="A3001" s="2" t="s">
        <v>219</v>
      </c>
      <c r="B3001" s="2" t="s">
        <v>220</v>
      </c>
      <c r="C3001" s="2">
        <v>2019.0</v>
      </c>
      <c r="D3001" s="9">
        <v>3148.9868</v>
      </c>
      <c r="E3001" s="10" t="str">
        <f t="array" ref="E3001">IFS(D3001&lt;=$G$3,'calculated data '!$A$3,D3001&lt;=$G$4,'calculated data '!$A$4,D3001&lt;=$G$6,'calculated data '!$A$5,D3001&gt;=$G$6,'calculated data '!$A$6)</f>
        <v>Target Market (Core IQR)</v>
      </c>
      <c r="F3001" s="10">
        <f t="shared" si="1"/>
        <v>-0.5798185786</v>
      </c>
    </row>
    <row r="3002" ht="14.25" customHeight="1">
      <c r="A3002" s="2" t="s">
        <v>157</v>
      </c>
      <c r="B3002" s="2" t="s">
        <v>158</v>
      </c>
      <c r="C3002" s="2">
        <v>2024.0</v>
      </c>
      <c r="D3002" s="9">
        <v>3149.593</v>
      </c>
      <c r="E3002" s="10" t="str">
        <f t="array" ref="E3002">IFS(D3002&lt;=$G$3,'calculated data '!$A$3,D3002&lt;=$G$4,'calculated data '!$A$4,D3002&lt;=$G$6,'calculated data '!$A$5,D3002&gt;=$G$6,'calculated data '!$A$6)</f>
        <v>Target Market (Core IQR)</v>
      </c>
      <c r="F3002" s="10">
        <f t="shared" si="1"/>
        <v>-0.5798025326</v>
      </c>
    </row>
    <row r="3003" ht="14.25" customHeight="1">
      <c r="A3003" s="2" t="s">
        <v>179</v>
      </c>
      <c r="B3003" s="2" t="s">
        <v>180</v>
      </c>
      <c r="C3003" s="2">
        <v>1981.0</v>
      </c>
      <c r="D3003" s="9">
        <v>3152.0046</v>
      </c>
      <c r="E3003" s="10" t="str">
        <f t="array" ref="E3003">IFS(D3003&lt;=$G$3,'calculated data '!$A$3,D3003&lt;=$G$4,'calculated data '!$A$4,D3003&lt;=$G$6,'calculated data '!$A$5,D3003&gt;=$G$6,'calculated data '!$A$6)</f>
        <v>Target Market (Core IQR)</v>
      </c>
      <c r="F3003" s="10">
        <f t="shared" si="1"/>
        <v>-0.5797386982</v>
      </c>
    </row>
    <row r="3004" ht="14.25" customHeight="1">
      <c r="A3004" s="2" t="s">
        <v>201</v>
      </c>
      <c r="B3004" s="2" t="s">
        <v>202</v>
      </c>
      <c r="C3004" s="2">
        <v>2005.0</v>
      </c>
      <c r="D3004" s="9">
        <v>3155.9373</v>
      </c>
      <c r="E3004" s="10" t="str">
        <f t="array" ref="E3004">IFS(D3004&lt;=$G$3,'calculated data '!$A$3,D3004&lt;=$G$4,'calculated data '!$A$4,D3004&lt;=$G$6,'calculated data '!$A$5,D3004&gt;=$G$6,'calculated data '!$A$6)</f>
        <v>Target Market (Core IQR)</v>
      </c>
      <c r="F3004" s="10">
        <f t="shared" si="1"/>
        <v>-0.5796346006</v>
      </c>
    </row>
    <row r="3005" ht="14.25" customHeight="1">
      <c r="A3005" s="2" t="s">
        <v>135</v>
      </c>
      <c r="B3005" s="2" t="s">
        <v>136</v>
      </c>
      <c r="C3005" s="2">
        <v>2023.0</v>
      </c>
      <c r="D3005" s="9">
        <v>3158.5186</v>
      </c>
      <c r="E3005" s="10" t="str">
        <f t="array" ref="E3005">IFS(D3005&lt;=$G$3,'calculated data '!$A$3,D3005&lt;=$G$4,'calculated data '!$A$4,D3005&lt;=$G$6,'calculated data '!$A$5,D3005&gt;=$G$6,'calculated data '!$A$6)</f>
        <v>Target Market (Core IQR)</v>
      </c>
      <c r="F3005" s="10">
        <f t="shared" si="1"/>
        <v>-0.5795662742</v>
      </c>
    </row>
    <row r="3006" ht="14.25" customHeight="1">
      <c r="A3006" s="2" t="s">
        <v>135</v>
      </c>
      <c r="B3006" s="2" t="s">
        <v>136</v>
      </c>
      <c r="C3006" s="2">
        <v>2021.0</v>
      </c>
      <c r="D3006" s="9">
        <v>3169.9604</v>
      </c>
      <c r="E3006" s="10" t="str">
        <f t="array" ref="E3006">IFS(D3006&lt;=$G$3,'calculated data '!$A$3,D3006&lt;=$G$4,'calculated data '!$A$4,D3006&lt;=$G$6,'calculated data '!$A$5,D3006&gt;=$G$6,'calculated data '!$A$6)</f>
        <v>Target Market (Core IQR)</v>
      </c>
      <c r="F3006" s="10">
        <f t="shared" si="1"/>
        <v>-0.5792634126</v>
      </c>
    </row>
    <row r="3007" ht="14.25" customHeight="1">
      <c r="A3007" s="2" t="s">
        <v>219</v>
      </c>
      <c r="B3007" s="2" t="s">
        <v>220</v>
      </c>
      <c r="C3007" s="2">
        <v>2007.0</v>
      </c>
      <c r="D3007" s="9">
        <v>3176.21</v>
      </c>
      <c r="E3007" s="10" t="str">
        <f t="array" ref="E3007">IFS(D3007&lt;=$G$3,'calculated data '!$A$3,D3007&lt;=$G$4,'calculated data '!$A$4,D3007&lt;=$G$6,'calculated data '!$A$5,D3007&gt;=$G$6,'calculated data '!$A$6)</f>
        <v>Target Market (Core IQR)</v>
      </c>
      <c r="F3007" s="10">
        <f t="shared" si="1"/>
        <v>-0.5790979873</v>
      </c>
    </row>
    <row r="3008" ht="14.25" customHeight="1">
      <c r="A3008" s="2" t="s">
        <v>213</v>
      </c>
      <c r="B3008" s="2" t="s">
        <v>214</v>
      </c>
      <c r="C3008" s="2">
        <v>2000.0</v>
      </c>
      <c r="D3008" s="9">
        <v>3181.092</v>
      </c>
      <c r="E3008" s="10" t="str">
        <f t="array" ref="E3008">IFS(D3008&lt;=$G$3,'calculated data '!$A$3,D3008&lt;=$G$4,'calculated data '!$A$4,D3008&lt;=$G$6,'calculated data '!$A$5,D3008&gt;=$G$6,'calculated data '!$A$6)</f>
        <v>Target Market (Core IQR)</v>
      </c>
      <c r="F3008" s="10">
        <f t="shared" si="1"/>
        <v>-0.5789687619</v>
      </c>
    </row>
    <row r="3009" ht="14.25" customHeight="1">
      <c r="A3009" s="2" t="s">
        <v>215</v>
      </c>
      <c r="B3009" s="2" t="s">
        <v>216</v>
      </c>
      <c r="C3009" s="2">
        <v>2015.0</v>
      </c>
      <c r="D3009" s="9">
        <v>3187.191</v>
      </c>
      <c r="E3009" s="10" t="str">
        <f t="array" ref="E3009">IFS(D3009&lt;=$G$3,'calculated data '!$A$3,D3009&lt;=$G$4,'calculated data '!$A$4,D3009&lt;=$G$6,'calculated data '!$A$5,D3009&gt;=$G$6,'calculated data '!$A$6)</f>
        <v>Target Market (Core IQR)</v>
      </c>
      <c r="F3009" s="10">
        <f t="shared" si="1"/>
        <v>-0.5788073229</v>
      </c>
    </row>
    <row r="3010" ht="14.25" customHeight="1">
      <c r="A3010" s="2" t="s">
        <v>189</v>
      </c>
      <c r="B3010" s="2" t="s">
        <v>190</v>
      </c>
      <c r="C3010" s="2">
        <v>1998.0</v>
      </c>
      <c r="D3010" s="9">
        <v>3187.9868</v>
      </c>
      <c r="E3010" s="10" t="str">
        <f t="array" ref="E3010">IFS(D3010&lt;=$G$3,'calculated data '!$A$3,D3010&lt;=$G$4,'calculated data '!$A$4,D3010&lt;=$G$6,'calculated data '!$A$5,D3010&gt;=$G$6,'calculated data '!$A$6)</f>
        <v>Target Market (Core IQR)</v>
      </c>
      <c r="F3010" s="10">
        <f t="shared" si="1"/>
        <v>-0.5787862583</v>
      </c>
    </row>
    <row r="3011" ht="14.25" customHeight="1">
      <c r="A3011" s="2" t="s">
        <v>161</v>
      </c>
      <c r="B3011" s="2" t="s">
        <v>162</v>
      </c>
      <c r="C3011" s="2">
        <v>2019.0</v>
      </c>
      <c r="D3011" s="9">
        <v>3189.9355</v>
      </c>
      <c r="E3011" s="10" t="str">
        <f t="array" ref="E3011">IFS(D3011&lt;=$G$3,'calculated data '!$A$3,D3011&lt;=$G$4,'calculated data '!$A$4,D3011&lt;=$G$6,'calculated data '!$A$5,D3011&gt;=$G$6,'calculated data '!$A$6)</f>
        <v>Target Market (Core IQR)</v>
      </c>
      <c r="F3011" s="10">
        <f t="shared" si="1"/>
        <v>-0.5787346767</v>
      </c>
    </row>
    <row r="3012" ht="14.25" customHeight="1">
      <c r="A3012" s="2" t="s">
        <v>157</v>
      </c>
      <c r="B3012" s="2" t="s">
        <v>158</v>
      </c>
      <c r="C3012" s="2">
        <v>2012.0</v>
      </c>
      <c r="D3012" s="9">
        <v>3192.3015</v>
      </c>
      <c r="E3012" s="10" t="str">
        <f t="array" ref="E3012">IFS(D3012&lt;=$G$3,'calculated data '!$A$3,D3012&lt;=$G$4,'calculated data '!$A$4,D3012&lt;=$G$6,'calculated data '!$A$5,D3012&gt;=$G$6,'calculated data '!$A$6)</f>
        <v>Target Market (Core IQR)</v>
      </c>
      <c r="F3012" s="10">
        <f t="shared" si="1"/>
        <v>-0.5786720493</v>
      </c>
    </row>
    <row r="3013" ht="14.25" customHeight="1">
      <c r="A3013" s="2" t="s">
        <v>161</v>
      </c>
      <c r="B3013" s="2" t="s">
        <v>162</v>
      </c>
      <c r="C3013" s="2">
        <v>2011.0</v>
      </c>
      <c r="D3013" s="9">
        <v>3195.2383</v>
      </c>
      <c r="E3013" s="10" t="str">
        <f t="array" ref="E3013">IFS(D3013&lt;=$G$3,'calculated data '!$A$3,D3013&lt;=$G$4,'calculated data '!$A$4,D3013&lt;=$G$6,'calculated data '!$A$5,D3013&gt;=$G$6,'calculated data '!$A$6)</f>
        <v>Target Market (Core IQR)</v>
      </c>
      <c r="F3013" s="10">
        <f t="shared" si="1"/>
        <v>-0.5785943129</v>
      </c>
    </row>
    <row r="3014" ht="14.25" customHeight="1">
      <c r="A3014" s="2" t="s">
        <v>223</v>
      </c>
      <c r="B3014" s="2" t="s">
        <v>224</v>
      </c>
      <c r="C3014" s="2">
        <v>1997.0</v>
      </c>
      <c r="D3014" s="9">
        <v>3196.998</v>
      </c>
      <c r="E3014" s="10" t="str">
        <f t="array" ref="E3014">IFS(D3014&lt;=$G$3,'calculated data '!$A$3,D3014&lt;=$G$4,'calculated data '!$A$4,D3014&lt;=$G$6,'calculated data '!$A$5,D3014&gt;=$G$6,'calculated data '!$A$6)</f>
        <v>Target Market (Core IQR)</v>
      </c>
      <c r="F3014" s="10">
        <f t="shared" si="1"/>
        <v>-0.5785477341</v>
      </c>
    </row>
    <row r="3015" ht="14.25" customHeight="1">
      <c r="A3015" s="2" t="s">
        <v>235</v>
      </c>
      <c r="B3015" s="2" t="s">
        <v>236</v>
      </c>
      <c r="C3015" s="2">
        <v>2021.0</v>
      </c>
      <c r="D3015" s="9">
        <v>3197.3628</v>
      </c>
      <c r="E3015" s="10" t="str">
        <f t="array" ref="E3015">IFS(D3015&lt;=$G$3,'calculated data '!$A$3,D3015&lt;=$G$4,'calculated data '!$A$4,D3015&lt;=$G$6,'calculated data '!$A$5,D3015&gt;=$G$6,'calculated data '!$A$6)</f>
        <v>Target Market (Core IQR)</v>
      </c>
      <c r="F3015" s="10">
        <f t="shared" si="1"/>
        <v>-0.5785380779</v>
      </c>
    </row>
    <row r="3016" ht="14.25" customHeight="1">
      <c r="A3016" s="2" t="s">
        <v>177</v>
      </c>
      <c r="B3016" s="2" t="s">
        <v>178</v>
      </c>
      <c r="C3016" s="2">
        <v>2001.0</v>
      </c>
      <c r="D3016" s="9">
        <v>3199.4548</v>
      </c>
      <c r="E3016" s="10" t="str">
        <f t="array" ref="E3016">IFS(D3016&lt;=$G$3,'calculated data '!$A$3,D3016&lt;=$G$4,'calculated data '!$A$4,D3016&lt;=$G$6,'calculated data '!$A$5,D3016&gt;=$G$6,'calculated data '!$A$6)</f>
        <v>Target Market (Core IQR)</v>
      </c>
      <c r="F3016" s="10">
        <f t="shared" si="1"/>
        <v>-0.5784827032</v>
      </c>
    </row>
    <row r="3017" ht="14.25" customHeight="1">
      <c r="A3017" s="2" t="s">
        <v>157</v>
      </c>
      <c r="B3017" s="2" t="s">
        <v>158</v>
      </c>
      <c r="C3017" s="2">
        <v>2017.0</v>
      </c>
      <c r="D3017" s="9">
        <v>3200.026</v>
      </c>
      <c r="E3017" s="10" t="str">
        <f t="array" ref="E3017">IFS(D3017&lt;=$G$3,'calculated data '!$A$3,D3017&lt;=$G$4,'calculated data '!$A$4,D3017&lt;=$G$6,'calculated data '!$A$5,D3017&gt;=$G$6,'calculated data '!$A$6)</f>
        <v>Target Market (Core IQR)</v>
      </c>
      <c r="F3017" s="10">
        <f t="shared" si="1"/>
        <v>-0.5784675837</v>
      </c>
    </row>
    <row r="3018" ht="14.25" customHeight="1">
      <c r="A3018" s="2" t="s">
        <v>223</v>
      </c>
      <c r="B3018" s="2" t="s">
        <v>224</v>
      </c>
      <c r="C3018" s="2">
        <v>1998.0</v>
      </c>
      <c r="D3018" s="9">
        <v>3200.6426</v>
      </c>
      <c r="E3018" s="10" t="str">
        <f t="array" ref="E3018">IFS(D3018&lt;=$G$3,'calculated data '!$A$3,D3018&lt;=$G$4,'calculated data '!$A$4,D3018&lt;=$G$6,'calculated data '!$A$5,D3018&gt;=$G$6,'calculated data '!$A$6)</f>
        <v>Target Market (Core IQR)</v>
      </c>
      <c r="F3018" s="10">
        <f t="shared" si="1"/>
        <v>-0.5784512624</v>
      </c>
    </row>
    <row r="3019" ht="14.25" customHeight="1">
      <c r="A3019" s="2" t="s">
        <v>157</v>
      </c>
      <c r="B3019" s="2" t="s">
        <v>158</v>
      </c>
      <c r="C3019" s="2">
        <v>2016.0</v>
      </c>
      <c r="D3019" s="9">
        <v>3200.858</v>
      </c>
      <c r="E3019" s="10" t="str">
        <f t="array" ref="E3019">IFS(D3019&lt;=$G$3,'calculated data '!$A$3,D3019&lt;=$G$4,'calculated data '!$A$4,D3019&lt;=$G$6,'calculated data '!$A$5,D3019&gt;=$G$6,'calculated data '!$A$6)</f>
        <v>Target Market (Core IQR)</v>
      </c>
      <c r="F3019" s="10">
        <f t="shared" si="1"/>
        <v>-0.5784455608</v>
      </c>
    </row>
    <row r="3020" ht="14.25" customHeight="1">
      <c r="A3020" s="2" t="s">
        <v>193</v>
      </c>
      <c r="B3020" s="2" t="s">
        <v>194</v>
      </c>
      <c r="C3020" s="2">
        <v>1979.0</v>
      </c>
      <c r="D3020" s="9">
        <v>3203.0425</v>
      </c>
      <c r="E3020" s="10" t="str">
        <f t="array" ref="E3020">IFS(D3020&lt;=$G$3,'calculated data '!$A$3,D3020&lt;=$G$4,'calculated data '!$A$4,D3020&lt;=$G$6,'calculated data '!$A$5,D3020&gt;=$G$6,'calculated data '!$A$6)</f>
        <v>Target Market (Core IQR)</v>
      </c>
      <c r="F3020" s="10">
        <f t="shared" si="1"/>
        <v>-0.5783877377</v>
      </c>
    </row>
    <row r="3021" ht="14.25" customHeight="1">
      <c r="A3021" s="2" t="s">
        <v>223</v>
      </c>
      <c r="B3021" s="2" t="s">
        <v>224</v>
      </c>
      <c r="C3021" s="2">
        <v>1999.0</v>
      </c>
      <c r="D3021" s="9">
        <v>3204.2676</v>
      </c>
      <c r="E3021" s="10" t="str">
        <f t="array" ref="E3021">IFS(D3021&lt;=$G$3,'calculated data '!$A$3,D3021&lt;=$G$4,'calculated data '!$A$4,D3021&lt;=$G$6,'calculated data '!$A$5,D3021&gt;=$G$6,'calculated data '!$A$6)</f>
        <v>Target Market (Core IQR)</v>
      </c>
      <c r="F3021" s="10">
        <f t="shared" si="1"/>
        <v>-0.5783553096</v>
      </c>
    </row>
    <row r="3022" ht="14.25" customHeight="1">
      <c r="A3022" s="2" t="s">
        <v>239</v>
      </c>
      <c r="B3022" s="2" t="s">
        <v>240</v>
      </c>
      <c r="C3022" s="2">
        <v>1984.0</v>
      </c>
      <c r="D3022" s="9">
        <v>3204.471</v>
      </c>
      <c r="E3022" s="10" t="str">
        <f t="array" ref="E3022">IFS(D3022&lt;=$G$3,'calculated data '!$A$3,D3022&lt;=$G$4,'calculated data '!$A$4,D3022&lt;=$G$6,'calculated data '!$A$5,D3022&gt;=$G$6,'calculated data '!$A$6)</f>
        <v>Target Market (Core IQR)</v>
      </c>
      <c r="F3022" s="10">
        <f t="shared" si="1"/>
        <v>-0.5783499256</v>
      </c>
    </row>
    <row r="3023" ht="14.25" customHeight="1">
      <c r="A3023" s="2" t="s">
        <v>139</v>
      </c>
      <c r="B3023" s="2" t="s">
        <v>140</v>
      </c>
      <c r="C3023" s="2">
        <v>2011.0</v>
      </c>
      <c r="D3023" s="9">
        <v>3205.0903</v>
      </c>
      <c r="E3023" s="10" t="str">
        <f t="array" ref="E3023">IFS(D3023&lt;=$G$3,'calculated data '!$A$3,D3023&lt;=$G$4,'calculated data '!$A$4,D3023&lt;=$G$6,'calculated data '!$A$5,D3023&gt;=$G$6,'calculated data '!$A$6)</f>
        <v>Target Market (Core IQR)</v>
      </c>
      <c r="F3023" s="10">
        <f t="shared" si="1"/>
        <v>-0.5783335329</v>
      </c>
    </row>
    <row r="3024" ht="14.25" customHeight="1">
      <c r="A3024" s="2" t="s">
        <v>21</v>
      </c>
      <c r="B3024" s="2" t="s">
        <v>22</v>
      </c>
      <c r="C3024" s="2">
        <v>2025.0</v>
      </c>
      <c r="D3024" s="9">
        <v>3205.376</v>
      </c>
      <c r="E3024" s="10" t="str">
        <f t="array" ref="E3024">IFS(D3024&lt;=$G$3,'calculated data '!$A$3,D3024&lt;=$G$4,'calculated data '!$A$4,D3024&lt;=$G$6,'calculated data '!$A$5,D3024&gt;=$G$6,'calculated data '!$A$6)</f>
        <v>Target Market (Core IQR)</v>
      </c>
      <c r="F3024" s="10">
        <f t="shared" si="1"/>
        <v>-0.5783259705</v>
      </c>
    </row>
    <row r="3025" ht="14.25" customHeight="1">
      <c r="A3025" s="2" t="s">
        <v>185</v>
      </c>
      <c r="B3025" s="2" t="s">
        <v>186</v>
      </c>
      <c r="C3025" s="2">
        <v>1992.0</v>
      </c>
      <c r="D3025" s="9">
        <v>3208.7173</v>
      </c>
      <c r="E3025" s="10" t="str">
        <f t="array" ref="E3025">IFS(D3025&lt;=$G$3,'calculated data '!$A$3,D3025&lt;=$G$4,'calculated data '!$A$4,D3025&lt;=$G$6,'calculated data '!$A$5,D3025&gt;=$G$6,'calculated data '!$A$6)</f>
        <v>Target Market (Core IQR)</v>
      </c>
      <c r="F3025" s="10">
        <f t="shared" si="1"/>
        <v>-0.5782375271</v>
      </c>
    </row>
    <row r="3026" ht="14.25" customHeight="1">
      <c r="A3026" s="2" t="s">
        <v>177</v>
      </c>
      <c r="B3026" s="2" t="s">
        <v>178</v>
      </c>
      <c r="C3026" s="2">
        <v>2014.0</v>
      </c>
      <c r="D3026" s="9">
        <v>3208.7632</v>
      </c>
      <c r="E3026" s="10" t="str">
        <f t="array" ref="E3026">IFS(D3026&lt;=$G$3,'calculated data '!$A$3,D3026&lt;=$G$4,'calculated data '!$A$4,D3026&lt;=$G$6,'calculated data '!$A$5,D3026&gt;=$G$6,'calculated data '!$A$6)</f>
        <v>Target Market (Core IQR)</v>
      </c>
      <c r="F3026" s="10">
        <f t="shared" si="1"/>
        <v>-0.5782363122</v>
      </c>
    </row>
    <row r="3027" ht="14.25" customHeight="1">
      <c r="A3027" s="2" t="s">
        <v>223</v>
      </c>
      <c r="B3027" s="2" t="s">
        <v>224</v>
      </c>
      <c r="C3027" s="2">
        <v>1995.0</v>
      </c>
      <c r="D3027" s="9">
        <v>3211.3994</v>
      </c>
      <c r="E3027" s="10" t="str">
        <f t="array" ref="E3027">IFS(D3027&lt;=$G$3,'calculated data '!$A$3,D3027&lt;=$G$4,'calculated data '!$A$4,D3027&lt;=$G$6,'calculated data '!$A$5,D3027&gt;=$G$6,'calculated data '!$A$6)</f>
        <v>Target Market (Core IQR)</v>
      </c>
      <c r="F3027" s="10">
        <f t="shared" si="1"/>
        <v>-0.5781665326</v>
      </c>
    </row>
    <row r="3028" ht="14.25" customHeight="1">
      <c r="A3028" s="2" t="s">
        <v>163</v>
      </c>
      <c r="B3028" s="2" t="s">
        <v>164</v>
      </c>
      <c r="C3028" s="2">
        <v>1988.0</v>
      </c>
      <c r="D3028" s="9">
        <v>3212.6091</v>
      </c>
      <c r="E3028" s="10" t="str">
        <f t="array" ref="E3028">IFS(D3028&lt;=$G$3,'calculated data '!$A$3,D3028&lt;=$G$4,'calculated data '!$A$4,D3028&lt;=$G$6,'calculated data '!$A$5,D3028&gt;=$G$6,'calculated data '!$A$6)</f>
        <v>Target Market (Core IQR)</v>
      </c>
      <c r="F3028" s="10">
        <f t="shared" si="1"/>
        <v>-0.5781345122</v>
      </c>
    </row>
    <row r="3029" ht="14.25" customHeight="1">
      <c r="A3029" s="2" t="s">
        <v>223</v>
      </c>
      <c r="B3029" s="2" t="s">
        <v>224</v>
      </c>
      <c r="C3029" s="2">
        <v>1996.0</v>
      </c>
      <c r="D3029" s="9">
        <v>3215.0598</v>
      </c>
      <c r="E3029" s="10" t="str">
        <f t="array" ref="E3029">IFS(D3029&lt;=$G$3,'calculated data '!$A$3,D3029&lt;=$G$4,'calculated data '!$A$4,D3029&lt;=$G$6,'calculated data '!$A$5,D3029&gt;=$G$6,'calculated data '!$A$6)</f>
        <v>Target Market (Core IQR)</v>
      </c>
      <c r="F3029" s="10">
        <f t="shared" si="1"/>
        <v>-0.5780696427</v>
      </c>
    </row>
    <row r="3030" ht="14.25" customHeight="1">
      <c r="A3030" s="2" t="s">
        <v>225</v>
      </c>
      <c r="B3030" s="2" t="s">
        <v>226</v>
      </c>
      <c r="C3030" s="2">
        <v>1982.0</v>
      </c>
      <c r="D3030" s="9">
        <v>3217.9045</v>
      </c>
      <c r="E3030" s="10" t="str">
        <f t="array" ref="E3030">IFS(D3030&lt;=$G$3,'calculated data '!$A$3,D3030&lt;=$G$4,'calculated data '!$A$4,D3030&lt;=$G$6,'calculated data '!$A$5,D3030&gt;=$G$6,'calculated data '!$A$6)</f>
        <v>Target Market (Core IQR)</v>
      </c>
      <c r="F3030" s="10">
        <f t="shared" si="1"/>
        <v>-0.5779943442</v>
      </c>
    </row>
    <row r="3031" ht="14.25" customHeight="1">
      <c r="A3031" s="2" t="s">
        <v>109</v>
      </c>
      <c r="B3031" s="2" t="s">
        <v>110</v>
      </c>
      <c r="C3031" s="2">
        <v>1985.0</v>
      </c>
      <c r="D3031" s="9">
        <v>3221.5747</v>
      </c>
      <c r="E3031" s="10" t="str">
        <f t="array" ref="E3031">IFS(D3031&lt;=$G$3,'calculated data '!$A$3,D3031&lt;=$G$4,'calculated data '!$A$4,D3031&lt;=$G$6,'calculated data '!$A$5,D3031&gt;=$G$6,'calculated data '!$A$6)</f>
        <v>Target Market (Core IQR)</v>
      </c>
      <c r="F3031" s="10">
        <f t="shared" si="1"/>
        <v>-0.577897195</v>
      </c>
    </row>
    <row r="3032" ht="14.25" customHeight="1">
      <c r="A3032" s="2" t="s">
        <v>143</v>
      </c>
      <c r="B3032" s="2" t="s">
        <v>144</v>
      </c>
      <c r="C3032" s="2">
        <v>2010.0</v>
      </c>
      <c r="D3032" s="9">
        <v>3223.226</v>
      </c>
      <c r="E3032" s="10" t="str">
        <f t="array" ref="E3032">IFS(D3032&lt;=$G$3,'calculated data '!$A$3,D3032&lt;=$G$4,'calculated data '!$A$4,D3032&lt;=$G$6,'calculated data '!$A$5,D3032&gt;=$G$6,'calculated data '!$A$6)</f>
        <v>Target Market (Core IQR)</v>
      </c>
      <c r="F3032" s="10">
        <f t="shared" si="1"/>
        <v>-0.5778534855</v>
      </c>
    </row>
    <row r="3033" ht="14.25" customHeight="1">
      <c r="A3033" s="2" t="s">
        <v>237</v>
      </c>
      <c r="B3033" s="2" t="s">
        <v>238</v>
      </c>
      <c r="C3033" s="2">
        <v>1984.0</v>
      </c>
      <c r="D3033" s="9">
        <v>3224.7156</v>
      </c>
      <c r="E3033" s="10" t="str">
        <f t="array" ref="E3033">IFS(D3033&lt;=$G$3,'calculated data '!$A$3,D3033&lt;=$G$4,'calculated data '!$A$4,D3033&lt;=$G$6,'calculated data '!$A$5,D3033&gt;=$G$6,'calculated data '!$A$6)</f>
        <v>Target Market (Core IQR)</v>
      </c>
      <c r="F3033" s="10">
        <f t="shared" si="1"/>
        <v>-0.5778140561</v>
      </c>
    </row>
    <row r="3034" ht="14.25" customHeight="1">
      <c r="A3034" s="2" t="s">
        <v>165</v>
      </c>
      <c r="B3034" s="2" t="s">
        <v>166</v>
      </c>
      <c r="C3034" s="2">
        <v>1998.0</v>
      </c>
      <c r="D3034" s="9">
        <v>3225.484</v>
      </c>
      <c r="E3034" s="10" t="str">
        <f t="array" ref="E3034">IFS(D3034&lt;=$G$3,'calculated data '!$A$3,D3034&lt;=$G$4,'calculated data '!$A$4,D3034&lt;=$G$6,'calculated data '!$A$5,D3034&gt;=$G$6,'calculated data '!$A$6)</f>
        <v>Target Market (Core IQR)</v>
      </c>
      <c r="F3034" s="10">
        <f t="shared" si="1"/>
        <v>-0.5777937168</v>
      </c>
    </row>
    <row r="3035" ht="14.25" customHeight="1">
      <c r="A3035" s="2" t="s">
        <v>239</v>
      </c>
      <c r="B3035" s="2" t="s">
        <v>240</v>
      </c>
      <c r="C3035" s="2">
        <v>1992.0</v>
      </c>
      <c r="D3035" s="9">
        <v>3226.8396</v>
      </c>
      <c r="E3035" s="10" t="str">
        <f t="array" ref="E3035">IFS(D3035&lt;=$G$3,'calculated data '!$A$3,D3035&lt;=$G$4,'calculated data '!$A$4,D3035&lt;=$G$6,'calculated data '!$A$5,D3035&gt;=$G$6,'calculated data '!$A$6)</f>
        <v>Target Market (Core IQR)</v>
      </c>
      <c r="F3035" s="10">
        <f t="shared" si="1"/>
        <v>-0.5777578344</v>
      </c>
    </row>
    <row r="3036" ht="14.25" customHeight="1">
      <c r="A3036" s="2" t="s">
        <v>223</v>
      </c>
      <c r="B3036" s="2" t="s">
        <v>224</v>
      </c>
      <c r="C3036" s="2">
        <v>1994.0</v>
      </c>
      <c r="D3036" s="9">
        <v>3231.9216</v>
      </c>
      <c r="E3036" s="10" t="str">
        <f t="array" ref="E3036">IFS(D3036&lt;=$G$3,'calculated data '!$A$3,D3036&lt;=$G$4,'calculated data '!$A$4,D3036&lt;=$G$6,'calculated data '!$A$5,D3036&gt;=$G$6,'calculated data '!$A$6)</f>
        <v>Target Market (Core IQR)</v>
      </c>
      <c r="F3036" s="10">
        <f t="shared" si="1"/>
        <v>-0.5776233151</v>
      </c>
    </row>
    <row r="3037" ht="14.25" customHeight="1">
      <c r="A3037" s="2" t="s">
        <v>235</v>
      </c>
      <c r="B3037" s="2" t="s">
        <v>236</v>
      </c>
      <c r="C3037" s="2">
        <v>2019.0</v>
      </c>
      <c r="D3037" s="9">
        <v>3235.8066</v>
      </c>
      <c r="E3037" s="10" t="str">
        <f t="array" ref="E3037">IFS(D3037&lt;=$G$3,'calculated data '!$A$3,D3037&lt;=$G$4,'calculated data '!$A$4,D3037&lt;=$G$6,'calculated data '!$A$5,D3037&gt;=$G$6,'calculated data '!$A$6)</f>
        <v>Target Market (Core IQR)</v>
      </c>
      <c r="F3037" s="10">
        <f t="shared" si="1"/>
        <v>-0.5775204801</v>
      </c>
    </row>
    <row r="3038" ht="14.25" customHeight="1">
      <c r="A3038" s="2" t="s">
        <v>227</v>
      </c>
      <c r="B3038" s="2" t="s">
        <v>228</v>
      </c>
      <c r="C3038" s="2">
        <v>1968.0</v>
      </c>
      <c r="D3038" s="9">
        <v>3236.676</v>
      </c>
      <c r="E3038" s="10" t="str">
        <f t="array" ref="E3038">IFS(D3038&lt;=$G$3,'calculated data '!$A$3,D3038&lt;=$G$4,'calculated data '!$A$4,D3038&lt;=$G$6,'calculated data '!$A$5,D3038&gt;=$G$6,'calculated data '!$A$6)</f>
        <v>Target Market (Core IQR)</v>
      </c>
      <c r="F3038" s="10">
        <f t="shared" si="1"/>
        <v>-0.5774974673</v>
      </c>
    </row>
    <row r="3039" ht="14.25" customHeight="1">
      <c r="A3039" s="2" t="s">
        <v>141</v>
      </c>
      <c r="B3039" s="2" t="s">
        <v>142</v>
      </c>
      <c r="C3039" s="2">
        <v>1983.0</v>
      </c>
      <c r="D3039" s="9">
        <v>3244.0225</v>
      </c>
      <c r="E3039" s="10" t="str">
        <f t="array" ref="E3039">IFS(D3039&lt;=$G$3,'calculated data '!$A$3,D3039&lt;=$G$4,'calculated data '!$A$4,D3039&lt;=$G$6,'calculated data '!$A$5,D3039&gt;=$G$6,'calculated data '!$A$6)</f>
        <v>Target Market (Core IQR)</v>
      </c>
      <c r="F3039" s="10">
        <f t="shared" si="1"/>
        <v>-0.5773030073</v>
      </c>
    </row>
    <row r="3040" ht="14.25" customHeight="1">
      <c r="A3040" s="2" t="s">
        <v>129</v>
      </c>
      <c r="B3040" s="2" t="s">
        <v>130</v>
      </c>
      <c r="C3040" s="2">
        <v>1990.0</v>
      </c>
      <c r="D3040" s="9">
        <v>3245.3962</v>
      </c>
      <c r="E3040" s="10" t="str">
        <f t="array" ref="E3040">IFS(D3040&lt;=$G$3,'calculated data '!$A$3,D3040&lt;=$G$4,'calculated data '!$A$4,D3040&lt;=$G$6,'calculated data '!$A$5,D3040&gt;=$G$6,'calculated data '!$A$6)</f>
        <v>Target Market (Core IQR)</v>
      </c>
      <c r="F3040" s="10">
        <f t="shared" si="1"/>
        <v>-0.5772666458</v>
      </c>
    </row>
    <row r="3041" ht="14.25" customHeight="1">
      <c r="A3041" s="2" t="s">
        <v>215</v>
      </c>
      <c r="B3041" s="2" t="s">
        <v>216</v>
      </c>
      <c r="C3041" s="2">
        <v>2012.0</v>
      </c>
      <c r="D3041" s="9">
        <v>3245.7412</v>
      </c>
      <c r="E3041" s="10" t="str">
        <f t="array" ref="E3041">IFS(D3041&lt;=$G$3,'calculated data '!$A$3,D3041&lt;=$G$4,'calculated data '!$A$4,D3041&lt;=$G$6,'calculated data '!$A$5,D3041&gt;=$G$6,'calculated data '!$A$6)</f>
        <v>Target Market (Core IQR)</v>
      </c>
      <c r="F3041" s="10">
        <f t="shared" si="1"/>
        <v>-0.5772575137</v>
      </c>
    </row>
    <row r="3042" ht="14.25" customHeight="1">
      <c r="A3042" s="2" t="s">
        <v>213</v>
      </c>
      <c r="B3042" s="2" t="s">
        <v>214</v>
      </c>
      <c r="C3042" s="2">
        <v>2002.0</v>
      </c>
      <c r="D3042" s="9">
        <v>3245.8179</v>
      </c>
      <c r="E3042" s="10" t="str">
        <f t="array" ref="E3042">IFS(D3042&lt;=$G$3,'calculated data '!$A$3,D3042&lt;=$G$4,'calculated data '!$A$4,D3042&lt;=$G$6,'calculated data '!$A$5,D3042&gt;=$G$6,'calculated data '!$A$6)</f>
        <v>Target Market (Core IQR)</v>
      </c>
      <c r="F3042" s="10">
        <f t="shared" si="1"/>
        <v>-0.5772554835</v>
      </c>
    </row>
    <row r="3043" ht="14.25" customHeight="1">
      <c r="A3043" s="2" t="s">
        <v>193</v>
      </c>
      <c r="B3043" s="2" t="s">
        <v>194</v>
      </c>
      <c r="C3043" s="2">
        <v>1980.0</v>
      </c>
      <c r="D3043" s="9">
        <v>3249.0308</v>
      </c>
      <c r="E3043" s="10" t="str">
        <f t="array" ref="E3043">IFS(D3043&lt;=$G$3,'calculated data '!$A$3,D3043&lt;=$G$4,'calculated data '!$A$4,D3043&lt;=$G$6,'calculated data '!$A$5,D3043&gt;=$G$6,'calculated data '!$A$6)</f>
        <v>Target Market (Core IQR)</v>
      </c>
      <c r="F3043" s="10">
        <f t="shared" si="1"/>
        <v>-0.5771704388</v>
      </c>
    </row>
    <row r="3044" ht="14.25" customHeight="1">
      <c r="A3044" s="2" t="s">
        <v>219</v>
      </c>
      <c r="B3044" s="2" t="s">
        <v>220</v>
      </c>
      <c r="C3044" s="2">
        <v>2018.0</v>
      </c>
      <c r="D3044" s="9">
        <v>3249.43</v>
      </c>
      <c r="E3044" s="10" t="str">
        <f t="array" ref="E3044">IFS(D3044&lt;=$G$3,'calculated data '!$A$3,D3044&lt;=$G$4,'calculated data '!$A$4,D3044&lt;=$G$6,'calculated data '!$A$5,D3044&gt;=$G$6,'calculated data '!$A$6)</f>
        <v>Target Market (Core IQR)</v>
      </c>
      <c r="F3044" s="10">
        <f t="shared" si="1"/>
        <v>-0.5771598721</v>
      </c>
    </row>
    <row r="3045" ht="14.25" customHeight="1">
      <c r="A3045" s="2" t="s">
        <v>197</v>
      </c>
      <c r="B3045" s="2" t="s">
        <v>198</v>
      </c>
      <c r="C3045" s="2">
        <v>1971.0</v>
      </c>
      <c r="D3045" s="9">
        <v>3249.9968</v>
      </c>
      <c r="E3045" s="10" t="str">
        <f t="array" ref="E3045">IFS(D3045&lt;=$G$3,'calculated data '!$A$3,D3045&lt;=$G$4,'calculated data '!$A$4,D3045&lt;=$G$6,'calculated data '!$A$5,D3045&gt;=$G$6,'calculated data '!$A$6)</f>
        <v>Target Market (Core IQR)</v>
      </c>
      <c r="F3045" s="10">
        <f t="shared" si="1"/>
        <v>-0.577144869</v>
      </c>
    </row>
    <row r="3046" ht="14.25" customHeight="1">
      <c r="A3046" s="2" t="s">
        <v>151</v>
      </c>
      <c r="B3046" s="2" t="s">
        <v>152</v>
      </c>
      <c r="C3046" s="2">
        <v>2004.0</v>
      </c>
      <c r="D3046" s="9">
        <v>3250.2437</v>
      </c>
      <c r="E3046" s="10" t="str">
        <f t="array" ref="E3046">IFS(D3046&lt;=$G$3,'calculated data '!$A$3,D3046&lt;=$G$4,'calculated data '!$A$4,D3046&lt;=$G$6,'calculated data '!$A$5,D3046&gt;=$G$6,'calculated data '!$A$6)</f>
        <v>Target Market (Core IQR)</v>
      </c>
      <c r="F3046" s="10">
        <f t="shared" si="1"/>
        <v>-0.5771383337</v>
      </c>
    </row>
    <row r="3047" ht="14.25" customHeight="1">
      <c r="A3047" s="2" t="s">
        <v>145</v>
      </c>
      <c r="B3047" s="2" t="s">
        <v>146</v>
      </c>
      <c r="C3047" s="2">
        <v>2009.0</v>
      </c>
      <c r="D3047" s="9">
        <v>3250.6882</v>
      </c>
      <c r="E3047" s="10" t="str">
        <f t="array" ref="E3047">IFS(D3047&lt;=$G$3,'calculated data '!$A$3,D3047&lt;=$G$4,'calculated data '!$A$4,D3047&lt;=$G$6,'calculated data '!$A$5,D3047&gt;=$G$6,'calculated data '!$A$6)</f>
        <v>Target Market (Core IQR)</v>
      </c>
      <c r="F3047" s="10">
        <f t="shared" si="1"/>
        <v>-0.5771265679</v>
      </c>
    </row>
    <row r="3048" ht="14.25" customHeight="1">
      <c r="A3048" s="2" t="s">
        <v>223</v>
      </c>
      <c r="B3048" s="2" t="s">
        <v>224</v>
      </c>
      <c r="C3048" s="2">
        <v>1993.0</v>
      </c>
      <c r="D3048" s="9">
        <v>3257.9033</v>
      </c>
      <c r="E3048" s="10" t="str">
        <f t="array" ref="E3048">IFS(D3048&lt;=$G$3,'calculated data '!$A$3,D3048&lt;=$G$4,'calculated data '!$A$4,D3048&lt;=$G$6,'calculated data '!$A$5,D3048&gt;=$G$6,'calculated data '!$A$6)</f>
        <v>Target Market (Core IQR)</v>
      </c>
      <c r="F3048" s="10">
        <f t="shared" si="1"/>
        <v>-0.576935586</v>
      </c>
    </row>
    <row r="3049" ht="14.25" customHeight="1">
      <c r="A3049" s="2" t="s">
        <v>165</v>
      </c>
      <c r="B3049" s="2" t="s">
        <v>166</v>
      </c>
      <c r="C3049" s="2">
        <v>1999.0</v>
      </c>
      <c r="D3049" s="9">
        <v>3260.1199</v>
      </c>
      <c r="E3049" s="10" t="str">
        <f t="array" ref="E3049">IFS(D3049&lt;=$G$3,'calculated data '!$A$3,D3049&lt;=$G$4,'calculated data '!$A$4,D3049&lt;=$G$6,'calculated data '!$A$5,D3049&gt;=$G$6,'calculated data '!$A$6)</f>
        <v>Target Market (Core IQR)</v>
      </c>
      <c r="F3049" s="10">
        <f t="shared" si="1"/>
        <v>-0.5768769131</v>
      </c>
    </row>
    <row r="3050" ht="14.25" customHeight="1">
      <c r="A3050" s="2" t="s">
        <v>191</v>
      </c>
      <c r="B3050" s="2" t="s">
        <v>192</v>
      </c>
      <c r="C3050" s="2">
        <v>1988.0</v>
      </c>
      <c r="D3050" s="9">
        <v>3261.0752</v>
      </c>
      <c r="E3050" s="10" t="str">
        <f t="array" ref="E3050">IFS(D3050&lt;=$G$3,'calculated data '!$A$3,D3050&lt;=$G$4,'calculated data '!$A$4,D3050&lt;=$G$6,'calculated data '!$A$5,D3050&gt;=$G$6,'calculated data '!$A$6)</f>
        <v>Target Market (Core IQR)</v>
      </c>
      <c r="F3050" s="10">
        <f t="shared" si="1"/>
        <v>-0.5768516266</v>
      </c>
    </row>
    <row r="3051" ht="14.25" customHeight="1">
      <c r="A3051" s="2" t="s">
        <v>135</v>
      </c>
      <c r="B3051" s="2" t="s">
        <v>136</v>
      </c>
      <c r="C3051" s="2">
        <v>2024.0</v>
      </c>
      <c r="D3051" s="9">
        <v>3263.3418</v>
      </c>
      <c r="E3051" s="10" t="str">
        <f t="array" ref="E3051">IFS(D3051&lt;=$G$3,'calculated data '!$A$3,D3051&lt;=$G$4,'calculated data '!$A$4,D3051&lt;=$G$6,'calculated data '!$A$5,D3051&gt;=$G$6,'calculated data '!$A$6)</f>
        <v>Target Market (Core IQR)</v>
      </c>
      <c r="F3051" s="10">
        <f t="shared" si="1"/>
        <v>-0.5767916302</v>
      </c>
    </row>
    <row r="3052" ht="14.25" customHeight="1">
      <c r="A3052" s="2" t="s">
        <v>193</v>
      </c>
      <c r="B3052" s="2" t="s">
        <v>194</v>
      </c>
      <c r="C3052" s="2">
        <v>1982.0</v>
      </c>
      <c r="D3052" s="9">
        <v>3266.7407</v>
      </c>
      <c r="E3052" s="10" t="str">
        <f t="array" ref="E3052">IFS(D3052&lt;=$G$3,'calculated data '!$A$3,D3052&lt;=$G$4,'calculated data '!$A$4,D3052&lt;=$G$6,'calculated data '!$A$5,D3052&gt;=$G$6,'calculated data '!$A$6)</f>
        <v>Target Market (Core IQR)</v>
      </c>
      <c r="F3052" s="10">
        <f t="shared" si="1"/>
        <v>-0.5767016622</v>
      </c>
    </row>
    <row r="3053" ht="14.25" customHeight="1">
      <c r="A3053" s="2" t="s">
        <v>225</v>
      </c>
      <c r="B3053" s="2" t="s">
        <v>226</v>
      </c>
      <c r="C3053" s="2">
        <v>1991.0</v>
      </c>
      <c r="D3053" s="9">
        <v>3266.7805</v>
      </c>
      <c r="E3053" s="10" t="str">
        <f t="array" ref="E3053">IFS(D3053&lt;=$G$3,'calculated data '!$A$3,D3053&lt;=$G$4,'calculated data '!$A$4,D3053&lt;=$G$6,'calculated data '!$A$5,D3053&gt;=$G$6,'calculated data '!$A$6)</f>
        <v>Target Market (Core IQR)</v>
      </c>
      <c r="F3053" s="10">
        <f t="shared" si="1"/>
        <v>-0.5767006087</v>
      </c>
    </row>
    <row r="3054" ht="14.25" customHeight="1">
      <c r="A3054" s="2" t="s">
        <v>161</v>
      </c>
      <c r="B3054" s="2" t="s">
        <v>162</v>
      </c>
      <c r="C3054" s="2">
        <v>1990.0</v>
      </c>
      <c r="D3054" s="9">
        <v>3268.0398</v>
      </c>
      <c r="E3054" s="10" t="str">
        <f t="array" ref="E3054">IFS(D3054&lt;=$G$3,'calculated data '!$A$3,D3054&lt;=$G$4,'calculated data '!$A$4,D3054&lt;=$G$6,'calculated data '!$A$5,D3054&gt;=$G$6,'calculated data '!$A$6)</f>
        <v>Target Market (Core IQR)</v>
      </c>
      <c r="F3054" s="10">
        <f t="shared" si="1"/>
        <v>-0.5766672753</v>
      </c>
    </row>
    <row r="3055" ht="14.25" customHeight="1">
      <c r="A3055" s="2" t="s">
        <v>237</v>
      </c>
      <c r="B3055" s="2" t="s">
        <v>238</v>
      </c>
      <c r="C3055" s="2">
        <v>1983.0</v>
      </c>
      <c r="D3055" s="9">
        <v>3268.1084</v>
      </c>
      <c r="E3055" s="10" t="str">
        <f t="array" ref="E3055">IFS(D3055&lt;=$G$3,'calculated data '!$A$3,D3055&lt;=$G$4,'calculated data '!$A$4,D3055&lt;=$G$6,'calculated data '!$A$5,D3055&gt;=$G$6,'calculated data '!$A$6)</f>
        <v>Target Market (Core IQR)</v>
      </c>
      <c r="F3055" s="10">
        <f t="shared" si="1"/>
        <v>-0.5766654595</v>
      </c>
    </row>
    <row r="3056" ht="14.25" customHeight="1">
      <c r="A3056" s="2" t="s">
        <v>215</v>
      </c>
      <c r="B3056" s="2" t="s">
        <v>216</v>
      </c>
      <c r="C3056" s="2">
        <v>2006.0</v>
      </c>
      <c r="D3056" s="9">
        <v>3268.9485</v>
      </c>
      <c r="E3056" s="10" t="str">
        <f t="array" ref="E3056">IFS(D3056&lt;=$G$3,'calculated data '!$A$3,D3056&lt;=$G$4,'calculated data '!$A$4,D3056&lt;=$G$6,'calculated data '!$A$5,D3056&gt;=$G$6,'calculated data '!$A$6)</f>
        <v>Target Market (Core IQR)</v>
      </c>
      <c r="F3056" s="10">
        <f t="shared" si="1"/>
        <v>-0.5766432223</v>
      </c>
    </row>
    <row r="3057" ht="14.25" customHeight="1">
      <c r="A3057" s="2" t="s">
        <v>177</v>
      </c>
      <c r="B3057" s="2" t="s">
        <v>178</v>
      </c>
      <c r="C3057" s="2">
        <v>1982.0</v>
      </c>
      <c r="D3057" s="9">
        <v>3270.3298</v>
      </c>
      <c r="E3057" s="10" t="str">
        <f t="array" ref="E3057">IFS(D3057&lt;=$G$3,'calculated data '!$A$3,D3057&lt;=$G$4,'calculated data '!$A$4,D3057&lt;=$G$6,'calculated data '!$A$5,D3057&gt;=$G$6,'calculated data '!$A$6)</f>
        <v>Target Market (Core IQR)</v>
      </c>
      <c r="F3057" s="10">
        <f t="shared" si="1"/>
        <v>-0.5766066596</v>
      </c>
    </row>
    <row r="3058" ht="14.25" customHeight="1">
      <c r="A3058" s="2" t="s">
        <v>223</v>
      </c>
      <c r="B3058" s="2" t="s">
        <v>224</v>
      </c>
      <c r="C3058" s="2">
        <v>1991.0</v>
      </c>
      <c r="D3058" s="9">
        <v>3274.7002</v>
      </c>
      <c r="E3058" s="10" t="str">
        <f t="array" ref="E3058">IFS(D3058&lt;=$G$3,'calculated data '!$A$3,D3058&lt;=$G$4,'calculated data '!$A$4,D3058&lt;=$G$6,'calculated data '!$A$5,D3058&gt;=$G$6,'calculated data '!$A$6)</f>
        <v>Target Market (Core IQR)</v>
      </c>
      <c r="F3058" s="10">
        <f t="shared" si="1"/>
        <v>-0.5764909762</v>
      </c>
    </row>
    <row r="3059" ht="14.25" customHeight="1">
      <c r="A3059" s="2" t="s">
        <v>191</v>
      </c>
      <c r="B3059" s="2" t="s">
        <v>192</v>
      </c>
      <c r="C3059" s="2">
        <v>1989.0</v>
      </c>
      <c r="D3059" s="9">
        <v>3275.4463</v>
      </c>
      <c r="E3059" s="10" t="str">
        <f t="array" ref="E3059">IFS(D3059&lt;=$G$3,'calculated data '!$A$3,D3059&lt;=$G$4,'calculated data '!$A$4,D3059&lt;=$G$6,'calculated data '!$A$5,D3059&gt;=$G$6,'calculated data '!$A$6)</f>
        <v>Target Market (Core IQR)</v>
      </c>
      <c r="F3059" s="10">
        <f t="shared" si="1"/>
        <v>-0.5764712271</v>
      </c>
    </row>
    <row r="3060" ht="14.25" customHeight="1">
      <c r="A3060" s="2" t="s">
        <v>177</v>
      </c>
      <c r="B3060" s="2" t="s">
        <v>178</v>
      </c>
      <c r="C3060" s="2">
        <v>1988.0</v>
      </c>
      <c r="D3060" s="9">
        <v>3275.5022</v>
      </c>
      <c r="E3060" s="10" t="str">
        <f t="array" ref="E3060">IFS(D3060&lt;=$G$3,'calculated data '!$A$3,D3060&lt;=$G$4,'calculated data '!$A$4,D3060&lt;=$G$6,'calculated data '!$A$5,D3060&gt;=$G$6,'calculated data '!$A$6)</f>
        <v>Target Market (Core IQR)</v>
      </c>
      <c r="F3060" s="10">
        <f t="shared" si="1"/>
        <v>-0.5764697475</v>
      </c>
    </row>
    <row r="3061" ht="14.25" customHeight="1">
      <c r="A3061" s="2" t="s">
        <v>213</v>
      </c>
      <c r="B3061" s="2" t="s">
        <v>214</v>
      </c>
      <c r="C3061" s="2">
        <v>2001.0</v>
      </c>
      <c r="D3061" s="9">
        <v>3275.757</v>
      </c>
      <c r="E3061" s="10" t="str">
        <f t="array" ref="E3061">IFS(D3061&lt;=$G$3,'calculated data '!$A$3,D3061&lt;=$G$4,'calculated data '!$A$4,D3061&lt;=$G$6,'calculated data '!$A$5,D3061&gt;=$G$6,'calculated data '!$A$6)</f>
        <v>Target Market (Core IQR)</v>
      </c>
      <c r="F3061" s="10">
        <f t="shared" si="1"/>
        <v>-0.576463003</v>
      </c>
    </row>
    <row r="3062" ht="14.25" customHeight="1">
      <c r="A3062" s="2" t="s">
        <v>111</v>
      </c>
      <c r="B3062" s="2" t="s">
        <v>112</v>
      </c>
      <c r="C3062" s="2">
        <v>2001.0</v>
      </c>
      <c r="D3062" s="9">
        <v>3277.7612</v>
      </c>
      <c r="E3062" s="10" t="str">
        <f t="array" ref="E3062">IFS(D3062&lt;=$G$3,'calculated data '!$A$3,D3062&lt;=$G$4,'calculated data '!$A$4,D3062&lt;=$G$6,'calculated data '!$A$5,D3062&gt;=$G$6,'calculated data '!$A$6)</f>
        <v>Target Market (Core IQR)</v>
      </c>
      <c r="F3062" s="10">
        <f t="shared" si="1"/>
        <v>-0.5764099523</v>
      </c>
    </row>
    <row r="3063" ht="14.25" customHeight="1">
      <c r="A3063" s="2" t="s">
        <v>181</v>
      </c>
      <c r="B3063" s="2" t="s">
        <v>182</v>
      </c>
      <c r="C3063" s="2">
        <v>2010.0</v>
      </c>
      <c r="D3063" s="9">
        <v>3278.8967</v>
      </c>
      <c r="E3063" s="10" t="str">
        <f t="array" ref="E3063">IFS(D3063&lt;=$G$3,'calculated data '!$A$3,D3063&lt;=$G$4,'calculated data '!$A$4,D3063&lt;=$G$6,'calculated data '!$A$5,D3063&gt;=$G$6,'calculated data '!$A$6)</f>
        <v>Target Market (Core IQR)</v>
      </c>
      <c r="F3063" s="10">
        <f t="shared" si="1"/>
        <v>-0.5763798959</v>
      </c>
    </row>
    <row r="3064" ht="14.25" customHeight="1">
      <c r="A3064" s="2" t="s">
        <v>223</v>
      </c>
      <c r="B3064" s="2" t="s">
        <v>224</v>
      </c>
      <c r="C3064" s="2">
        <v>1990.0</v>
      </c>
      <c r="D3064" s="9">
        <v>3280.8406</v>
      </c>
      <c r="E3064" s="10" t="str">
        <f t="array" ref="E3064">IFS(D3064&lt;=$G$3,'calculated data '!$A$3,D3064&lt;=$G$4,'calculated data '!$A$4,D3064&lt;=$G$6,'calculated data '!$A$5,D3064&gt;=$G$6,'calculated data '!$A$6)</f>
        <v>Target Market (Core IQR)</v>
      </c>
      <c r="F3064" s="10">
        <f t="shared" si="1"/>
        <v>-0.5763284413</v>
      </c>
    </row>
    <row r="3065" ht="14.25" customHeight="1">
      <c r="A3065" s="2" t="s">
        <v>159</v>
      </c>
      <c r="B3065" s="2" t="s">
        <v>160</v>
      </c>
      <c r="C3065" s="2">
        <v>1989.0</v>
      </c>
      <c r="D3065" s="9">
        <v>3282.5713</v>
      </c>
      <c r="E3065" s="10" t="str">
        <f t="array" ref="E3065">IFS(D3065&lt;=$G$3,'calculated data '!$A$3,D3065&lt;=$G$4,'calculated data '!$A$4,D3065&lt;=$G$6,'calculated data '!$A$5,D3065&gt;=$G$6,'calculated data '!$A$6)</f>
        <v>Target Market (Core IQR)</v>
      </c>
      <c r="F3065" s="10">
        <f t="shared" si="1"/>
        <v>-0.5762826301</v>
      </c>
    </row>
    <row r="3066" ht="14.25" customHeight="1">
      <c r="A3066" s="2" t="s">
        <v>159</v>
      </c>
      <c r="B3066" s="2" t="s">
        <v>160</v>
      </c>
      <c r="C3066" s="2">
        <v>1991.0</v>
      </c>
      <c r="D3066" s="9">
        <v>3282.5715</v>
      </c>
      <c r="E3066" s="10" t="str">
        <f t="array" ref="E3066">IFS(D3066&lt;=$G$3,'calculated data '!$A$3,D3066&lt;=$G$4,'calculated data '!$A$4,D3066&lt;=$G$6,'calculated data '!$A$5,D3066&gt;=$G$6,'calculated data '!$A$6)</f>
        <v>Target Market (Core IQR)</v>
      </c>
      <c r="F3066" s="10">
        <f t="shared" si="1"/>
        <v>-0.5762826249</v>
      </c>
    </row>
    <row r="3067" ht="14.25" customHeight="1">
      <c r="A3067" s="2" t="s">
        <v>215</v>
      </c>
      <c r="B3067" s="2" t="s">
        <v>216</v>
      </c>
      <c r="C3067" s="2">
        <v>2023.0</v>
      </c>
      <c r="D3067" s="9">
        <v>3283.9172</v>
      </c>
      <c r="E3067" s="10" t="str">
        <f t="array" ref="E3067">IFS(D3067&lt;=$G$3,'calculated data '!$A$3,D3067&lt;=$G$4,'calculated data '!$A$4,D3067&lt;=$G$6,'calculated data '!$A$5,D3067&gt;=$G$6,'calculated data '!$A$6)</f>
        <v>Target Market (Core IQR)</v>
      </c>
      <c r="F3067" s="10">
        <f t="shared" si="1"/>
        <v>-0.5762470045</v>
      </c>
    </row>
    <row r="3068" ht="14.25" customHeight="1">
      <c r="A3068" s="2" t="s">
        <v>223</v>
      </c>
      <c r="B3068" s="2" t="s">
        <v>224</v>
      </c>
      <c r="C3068" s="2">
        <v>1989.0</v>
      </c>
      <c r="D3068" s="9">
        <v>3286.3223</v>
      </c>
      <c r="E3068" s="10" t="str">
        <f t="array" ref="E3068">IFS(D3068&lt;=$G$3,'calculated data '!$A$3,D3068&lt;=$G$4,'calculated data '!$A$4,D3068&lt;=$G$6,'calculated data '!$A$5,D3068&gt;=$G$6,'calculated data '!$A$6)</f>
        <v>Target Market (Core IQR)</v>
      </c>
      <c r="F3068" s="10">
        <f t="shared" si="1"/>
        <v>-0.5761833421</v>
      </c>
    </row>
    <row r="3069" ht="14.25" customHeight="1">
      <c r="A3069" s="2" t="s">
        <v>201</v>
      </c>
      <c r="B3069" s="2" t="s">
        <v>202</v>
      </c>
      <c r="C3069" s="2">
        <v>2004.0</v>
      </c>
      <c r="D3069" s="9">
        <v>3287.0186</v>
      </c>
      <c r="E3069" s="10" t="str">
        <f t="array" ref="E3069">IFS(D3069&lt;=$G$3,'calculated data '!$A$3,D3069&lt;=$G$4,'calculated data '!$A$4,D3069&lt;=$G$6,'calculated data '!$A$5,D3069&gt;=$G$6,'calculated data '!$A$6)</f>
        <v>Target Market (Core IQR)</v>
      </c>
      <c r="F3069" s="10">
        <f t="shared" si="1"/>
        <v>-0.5761649112</v>
      </c>
    </row>
    <row r="3070" ht="14.25" customHeight="1">
      <c r="A3070" s="2" t="s">
        <v>225</v>
      </c>
      <c r="B3070" s="2" t="s">
        <v>226</v>
      </c>
      <c r="C3070" s="2">
        <v>1983.0</v>
      </c>
      <c r="D3070" s="9">
        <v>3295.7524</v>
      </c>
      <c r="E3070" s="10" t="str">
        <f t="array" ref="E3070">IFS(D3070&lt;=$G$3,'calculated data '!$A$3,D3070&lt;=$G$4,'calculated data '!$A$4,D3070&lt;=$G$6,'calculated data '!$A$5,D3070&gt;=$G$6,'calculated data '!$A$6)</f>
        <v>Target Market (Core IQR)</v>
      </c>
      <c r="F3070" s="10">
        <f t="shared" si="1"/>
        <v>-0.5759337297</v>
      </c>
    </row>
    <row r="3071" ht="14.25" customHeight="1">
      <c r="A3071" s="2" t="s">
        <v>159</v>
      </c>
      <c r="B3071" s="2" t="s">
        <v>160</v>
      </c>
      <c r="C3071" s="2">
        <v>1990.0</v>
      </c>
      <c r="D3071" s="9">
        <v>3297.083</v>
      </c>
      <c r="E3071" s="10" t="str">
        <f t="array" ref="E3071">IFS(D3071&lt;=$G$3,'calculated data '!$A$3,D3071&lt;=$G$4,'calculated data '!$A$4,D3071&lt;=$G$6,'calculated data '!$A$5,D3071&gt;=$G$6,'calculated data '!$A$6)</f>
        <v>Target Market (Core IQR)</v>
      </c>
      <c r="F3071" s="10">
        <f t="shared" si="1"/>
        <v>-0.5758985091</v>
      </c>
    </row>
    <row r="3072" ht="14.25" customHeight="1">
      <c r="A3072" s="2" t="s">
        <v>225</v>
      </c>
      <c r="B3072" s="2" t="s">
        <v>226</v>
      </c>
      <c r="C3072" s="2">
        <v>1989.0</v>
      </c>
      <c r="D3072" s="9">
        <v>3297.1675</v>
      </c>
      <c r="E3072" s="10" t="str">
        <f t="array" ref="E3072">IFS(D3072&lt;=$G$3,'calculated data '!$A$3,D3072&lt;=$G$4,'calculated data '!$A$4,D3072&lt;=$G$6,'calculated data '!$A$5,D3072&gt;=$G$6,'calculated data '!$A$6)</f>
        <v>Target Market (Core IQR)</v>
      </c>
      <c r="F3072" s="10">
        <f t="shared" si="1"/>
        <v>-0.5758962724</v>
      </c>
    </row>
    <row r="3073" ht="14.25" customHeight="1">
      <c r="A3073" s="2" t="s">
        <v>143</v>
      </c>
      <c r="B3073" s="2" t="s">
        <v>144</v>
      </c>
      <c r="C3073" s="2">
        <v>2008.0</v>
      </c>
      <c r="D3073" s="9">
        <v>3298.3606</v>
      </c>
      <c r="E3073" s="10" t="str">
        <f t="array" ref="E3073">IFS(D3073&lt;=$G$3,'calculated data '!$A$3,D3073&lt;=$G$4,'calculated data '!$A$4,D3073&lt;=$G$6,'calculated data '!$A$5,D3073&gt;=$G$6,'calculated data '!$A$6)</f>
        <v>Target Market (Core IQR)</v>
      </c>
      <c r="F3073" s="10">
        <f t="shared" si="1"/>
        <v>-0.5758646913</v>
      </c>
    </row>
    <row r="3074" ht="14.25" customHeight="1">
      <c r="A3074" s="2" t="s">
        <v>181</v>
      </c>
      <c r="B3074" s="2" t="s">
        <v>182</v>
      </c>
      <c r="C3074" s="2">
        <v>2011.0</v>
      </c>
      <c r="D3074" s="9">
        <v>3298.733</v>
      </c>
      <c r="E3074" s="10" t="str">
        <f t="array" ref="E3074">IFS(D3074&lt;=$G$3,'calculated data '!$A$3,D3074&lt;=$G$4,'calculated data '!$A$4,D3074&lt;=$G$6,'calculated data '!$A$5,D3074&gt;=$G$6,'calculated data '!$A$6)</f>
        <v>Target Market (Core IQR)</v>
      </c>
      <c r="F3074" s="10">
        <f t="shared" si="1"/>
        <v>-0.575854834</v>
      </c>
    </row>
    <row r="3075" ht="14.25" customHeight="1">
      <c r="A3075" s="2" t="s">
        <v>217</v>
      </c>
      <c r="B3075" s="2" t="s">
        <v>218</v>
      </c>
      <c r="C3075" s="2">
        <v>1980.0</v>
      </c>
      <c r="D3075" s="9">
        <v>3299.5977</v>
      </c>
      <c r="E3075" s="10" t="str">
        <f t="array" ref="E3075">IFS(D3075&lt;=$G$3,'calculated data '!$A$3,D3075&lt;=$G$4,'calculated data '!$A$4,D3075&lt;=$G$6,'calculated data '!$A$5,D3075&gt;=$G$6,'calculated data '!$A$6)</f>
        <v>Target Market (Core IQR)</v>
      </c>
      <c r="F3075" s="10">
        <f t="shared" si="1"/>
        <v>-0.5758319456</v>
      </c>
    </row>
    <row r="3076" ht="14.25" customHeight="1">
      <c r="A3076" s="2" t="s">
        <v>191</v>
      </c>
      <c r="B3076" s="2" t="s">
        <v>192</v>
      </c>
      <c r="C3076" s="2">
        <v>1990.0</v>
      </c>
      <c r="D3076" s="9">
        <v>3300.2317</v>
      </c>
      <c r="E3076" s="10" t="str">
        <f t="array" ref="E3076">IFS(D3076&lt;=$G$3,'calculated data '!$A$3,D3076&lt;=$G$4,'calculated data '!$A$4,D3076&lt;=$G$6,'calculated data '!$A$5,D3076&gt;=$G$6,'calculated data '!$A$6)</f>
        <v>Target Market (Core IQR)</v>
      </c>
      <c r="F3076" s="10">
        <f t="shared" si="1"/>
        <v>-0.5758151638</v>
      </c>
    </row>
    <row r="3077" ht="14.25" customHeight="1">
      <c r="A3077" s="2" t="s">
        <v>177</v>
      </c>
      <c r="B3077" s="2" t="s">
        <v>178</v>
      </c>
      <c r="C3077" s="2">
        <v>1987.0</v>
      </c>
      <c r="D3077" s="9">
        <v>3301.447</v>
      </c>
      <c r="E3077" s="10" t="str">
        <f t="array" ref="E3077">IFS(D3077&lt;=$G$3,'calculated data '!$A$3,D3077&lt;=$G$4,'calculated data '!$A$4,D3077&lt;=$G$6,'calculated data '!$A$5,D3077&gt;=$G$6,'calculated data '!$A$6)</f>
        <v>Target Market (Core IQR)</v>
      </c>
      <c r="F3077" s="10">
        <f t="shared" si="1"/>
        <v>-0.5757829951</v>
      </c>
    </row>
    <row r="3078" ht="14.25" customHeight="1">
      <c r="A3078" s="2" t="s">
        <v>211</v>
      </c>
      <c r="B3078" s="2" t="s">
        <v>212</v>
      </c>
      <c r="C3078" s="2">
        <v>1996.0</v>
      </c>
      <c r="D3078" s="9">
        <v>3301.7007</v>
      </c>
      <c r="E3078" s="10" t="str">
        <f t="array" ref="E3078">IFS(D3078&lt;=$G$3,'calculated data '!$A$3,D3078&lt;=$G$4,'calculated data '!$A$4,D3078&lt;=$G$6,'calculated data '!$A$5,D3078&gt;=$G$6,'calculated data '!$A$6)</f>
        <v>Target Market (Core IQR)</v>
      </c>
      <c r="F3078" s="10">
        <f t="shared" si="1"/>
        <v>-0.5757762797</v>
      </c>
    </row>
    <row r="3079" ht="14.25" customHeight="1">
      <c r="A3079" s="2" t="s">
        <v>189</v>
      </c>
      <c r="B3079" s="2" t="s">
        <v>190</v>
      </c>
      <c r="C3079" s="2">
        <v>1999.0</v>
      </c>
      <c r="D3079" s="9">
        <v>3303.0022</v>
      </c>
      <c r="E3079" s="10" t="str">
        <f t="array" ref="E3079">IFS(D3079&lt;=$G$3,'calculated data '!$A$3,D3079&lt;=$G$4,'calculated data '!$A$4,D3079&lt;=$G$6,'calculated data '!$A$5,D3079&gt;=$G$6,'calculated data '!$A$6)</f>
        <v>Target Market (Core IQR)</v>
      </c>
      <c r="F3079" s="10">
        <f t="shared" si="1"/>
        <v>-0.5757418293</v>
      </c>
    </row>
    <row r="3080" ht="14.25" customHeight="1">
      <c r="A3080" s="2" t="s">
        <v>143</v>
      </c>
      <c r="B3080" s="2" t="s">
        <v>144</v>
      </c>
      <c r="C3080" s="2">
        <v>2009.0</v>
      </c>
      <c r="D3080" s="9">
        <v>3303.4807</v>
      </c>
      <c r="E3080" s="10" t="str">
        <f t="array" ref="E3080">IFS(D3080&lt;=$G$3,'calculated data '!$A$3,D3080&lt;=$G$4,'calculated data '!$A$4,D3080&lt;=$G$6,'calculated data '!$A$5,D3080&gt;=$G$6,'calculated data '!$A$6)</f>
        <v>Target Market (Core IQR)</v>
      </c>
      <c r="F3080" s="10">
        <f t="shared" si="1"/>
        <v>-0.5757291635</v>
      </c>
    </row>
    <row r="3081" ht="14.25" customHeight="1">
      <c r="A3081" s="2" t="s">
        <v>191</v>
      </c>
      <c r="B3081" s="2" t="s">
        <v>192</v>
      </c>
      <c r="C3081" s="2">
        <v>1993.0</v>
      </c>
      <c r="D3081" s="9">
        <v>3309.3076</v>
      </c>
      <c r="E3081" s="10" t="str">
        <f t="array" ref="E3081">IFS(D3081&lt;=$G$3,'calculated data '!$A$3,D3081&lt;=$G$4,'calculated data '!$A$4,D3081&lt;=$G$6,'calculated data '!$A$5,D3081&gt;=$G$6,'calculated data '!$A$6)</f>
        <v>Target Market (Core IQR)</v>
      </c>
      <c r="F3081" s="10">
        <f t="shared" si="1"/>
        <v>-0.5755749269</v>
      </c>
    </row>
    <row r="3082" ht="14.25" customHeight="1">
      <c r="A3082" s="2" t="s">
        <v>215</v>
      </c>
      <c r="B3082" s="2" t="s">
        <v>216</v>
      </c>
      <c r="C3082" s="2">
        <v>2013.0</v>
      </c>
      <c r="D3082" s="9">
        <v>3313.1604</v>
      </c>
      <c r="E3082" s="10" t="str">
        <f t="array" ref="E3082">IFS(D3082&lt;=$G$3,'calculated data '!$A$3,D3082&lt;=$G$4,'calculated data '!$A$4,D3082&lt;=$G$6,'calculated data '!$A$5,D3082&gt;=$G$6,'calculated data '!$A$6)</f>
        <v>Target Market (Core IQR)</v>
      </c>
      <c r="F3082" s="10">
        <f t="shared" si="1"/>
        <v>-0.5754729443</v>
      </c>
    </row>
    <row r="3083" ht="14.25" customHeight="1">
      <c r="A3083" s="2" t="s">
        <v>109</v>
      </c>
      <c r="B3083" s="2" t="s">
        <v>110</v>
      </c>
      <c r="C3083" s="2">
        <v>1984.0</v>
      </c>
      <c r="D3083" s="9">
        <v>3313.448</v>
      </c>
      <c r="E3083" s="10" t="str">
        <f t="array" ref="E3083">IFS(D3083&lt;=$G$3,'calculated data '!$A$3,D3083&lt;=$G$4,'calculated data '!$A$4,D3083&lt;=$G$6,'calculated data '!$A$5,D3083&gt;=$G$6,'calculated data '!$A$6)</f>
        <v>Target Market (Core IQR)</v>
      </c>
      <c r="F3083" s="10">
        <f t="shared" si="1"/>
        <v>-0.5754653316</v>
      </c>
    </row>
    <row r="3084" ht="14.25" customHeight="1">
      <c r="A3084" s="2" t="s">
        <v>191</v>
      </c>
      <c r="B3084" s="2" t="s">
        <v>192</v>
      </c>
      <c r="C3084" s="2">
        <v>1991.0</v>
      </c>
      <c r="D3084" s="9">
        <v>3315.6091</v>
      </c>
      <c r="E3084" s="10" t="str">
        <f t="array" ref="E3084">IFS(D3084&lt;=$G$3,'calculated data '!$A$3,D3084&lt;=$G$4,'calculated data '!$A$4,D3084&lt;=$G$6,'calculated data '!$A$5,D3084&gt;=$G$6,'calculated data '!$A$6)</f>
        <v>Target Market (Core IQR)</v>
      </c>
      <c r="F3084" s="10">
        <f t="shared" si="1"/>
        <v>-0.5754081278</v>
      </c>
    </row>
    <row r="3085" ht="14.25" customHeight="1">
      <c r="A3085" s="2" t="s">
        <v>233</v>
      </c>
      <c r="B3085" s="2" t="s">
        <v>234</v>
      </c>
      <c r="C3085" s="2">
        <v>1969.0</v>
      </c>
      <c r="D3085" s="9">
        <v>3316.9656</v>
      </c>
      <c r="E3085" s="10" t="str">
        <f t="array" ref="E3085">IFS(D3085&lt;=$G$3,'calculated data '!$A$3,D3085&lt;=$G$4,'calculated data '!$A$4,D3085&lt;=$G$6,'calculated data '!$A$5,D3085&gt;=$G$6,'calculated data '!$A$6)</f>
        <v>Target Market (Core IQR)</v>
      </c>
      <c r="F3085" s="10">
        <f t="shared" si="1"/>
        <v>-0.5753722216</v>
      </c>
    </row>
    <row r="3086" ht="14.25" customHeight="1">
      <c r="A3086" s="2" t="s">
        <v>191</v>
      </c>
      <c r="B3086" s="2" t="s">
        <v>192</v>
      </c>
      <c r="C3086" s="2">
        <v>1992.0</v>
      </c>
      <c r="D3086" s="9">
        <v>3321.4585</v>
      </c>
      <c r="E3086" s="10" t="str">
        <f t="array" ref="E3086">IFS(D3086&lt;=$G$3,'calculated data '!$A$3,D3086&lt;=$G$4,'calculated data '!$A$4,D3086&lt;=$G$6,'calculated data '!$A$5,D3086&gt;=$G$6,'calculated data '!$A$6)</f>
        <v>Target Market (Core IQR)</v>
      </c>
      <c r="F3086" s="10">
        <f t="shared" si="1"/>
        <v>-0.5752532956</v>
      </c>
    </row>
    <row r="3087" ht="14.25" customHeight="1">
      <c r="A3087" s="2" t="s">
        <v>215</v>
      </c>
      <c r="B3087" s="2" t="s">
        <v>216</v>
      </c>
      <c r="C3087" s="2">
        <v>2005.0</v>
      </c>
      <c r="D3087" s="9">
        <v>3325.6575</v>
      </c>
      <c r="E3087" s="10" t="str">
        <f t="array" ref="E3087">IFS(D3087&lt;=$G$3,'calculated data '!$A$3,D3087&lt;=$G$4,'calculated data '!$A$4,D3087&lt;=$G$6,'calculated data '!$A$5,D3087&gt;=$G$6,'calculated data '!$A$6)</f>
        <v>Target Market (Core IQR)</v>
      </c>
      <c r="F3087" s="10">
        <f t="shared" si="1"/>
        <v>-0.5751421492</v>
      </c>
    </row>
    <row r="3088" ht="14.25" customHeight="1">
      <c r="A3088" s="2" t="s">
        <v>175</v>
      </c>
      <c r="B3088" s="2" t="s">
        <v>176</v>
      </c>
      <c r="C3088" s="2">
        <v>2004.0</v>
      </c>
      <c r="D3088" s="9">
        <v>3328.0093</v>
      </c>
      <c r="E3088" s="10" t="str">
        <f t="array" ref="E3088">IFS(D3088&lt;=$G$3,'calculated data '!$A$3,D3088&lt;=$G$4,'calculated data '!$A$4,D3088&lt;=$G$6,'calculated data '!$A$5,D3088&gt;=$G$6,'calculated data '!$A$6)</f>
        <v>Target Market (Core IQR)</v>
      </c>
      <c r="F3088" s="10">
        <f t="shared" si="1"/>
        <v>-0.5750798976</v>
      </c>
    </row>
    <row r="3089" ht="14.25" customHeight="1">
      <c r="A3089" s="2" t="s">
        <v>181</v>
      </c>
      <c r="B3089" s="2" t="s">
        <v>182</v>
      </c>
      <c r="C3089" s="2">
        <v>2016.0</v>
      </c>
      <c r="D3089" s="9">
        <v>3330.9895</v>
      </c>
      <c r="E3089" s="10" t="str">
        <f t="array" ref="E3089">IFS(D3089&lt;=$G$3,'calculated data '!$A$3,D3089&lt;=$G$4,'calculated data '!$A$4,D3089&lt;=$G$6,'calculated data '!$A$5,D3089&gt;=$G$6,'calculated data '!$A$6)</f>
        <v>Target Market (Core IQR)</v>
      </c>
      <c r="F3089" s="10">
        <f t="shared" si="1"/>
        <v>-0.5750010125</v>
      </c>
    </row>
    <row r="3090" ht="14.25" customHeight="1">
      <c r="A3090" s="2" t="s">
        <v>175</v>
      </c>
      <c r="B3090" s="2" t="s">
        <v>176</v>
      </c>
      <c r="C3090" s="2">
        <v>2005.0</v>
      </c>
      <c r="D3090" s="9">
        <v>3333.3657</v>
      </c>
      <c r="E3090" s="10" t="str">
        <f t="array" ref="E3090">IFS(D3090&lt;=$G$3,'calculated data '!$A$3,D3090&lt;=$G$4,'calculated data '!$A$4,D3090&lt;=$G$6,'calculated data '!$A$5,D3090&gt;=$G$6,'calculated data '!$A$6)</f>
        <v>Target Market (Core IQR)</v>
      </c>
      <c r="F3090" s="10">
        <f t="shared" si="1"/>
        <v>-0.574938115</v>
      </c>
    </row>
    <row r="3091" ht="14.25" customHeight="1">
      <c r="A3091" s="2" t="s">
        <v>165</v>
      </c>
      <c r="B3091" s="2" t="s">
        <v>166</v>
      </c>
      <c r="C3091" s="2">
        <v>2001.0</v>
      </c>
      <c r="D3091" s="9">
        <v>3340.6677</v>
      </c>
      <c r="E3091" s="10" t="str">
        <f t="array" ref="E3091">IFS(D3091&lt;=$G$3,'calculated data '!$A$3,D3091&lt;=$G$4,'calculated data '!$A$4,D3091&lt;=$G$6,'calculated data '!$A$5,D3091&gt;=$G$6,'calculated data '!$A$6)</f>
        <v>Target Market (Core IQR)</v>
      </c>
      <c r="F3091" s="10">
        <f t="shared" si="1"/>
        <v>-0.5747448329</v>
      </c>
    </row>
    <row r="3092" ht="14.25" customHeight="1">
      <c r="A3092" s="2" t="s">
        <v>205</v>
      </c>
      <c r="B3092" s="2" t="s">
        <v>206</v>
      </c>
      <c r="C3092" s="2">
        <v>1976.0</v>
      </c>
      <c r="D3092" s="9">
        <v>3341.107</v>
      </c>
      <c r="E3092" s="10" t="str">
        <f t="array" ref="E3092">IFS(D3092&lt;=$G$3,'calculated data '!$A$3,D3092&lt;=$G$4,'calculated data '!$A$4,D3092&lt;=$G$6,'calculated data '!$A$5,D3092&gt;=$G$6,'calculated data '!$A$6)</f>
        <v>Target Market (Core IQR)</v>
      </c>
      <c r="F3092" s="10">
        <f t="shared" si="1"/>
        <v>-0.5747332047</v>
      </c>
    </row>
    <row r="3093" ht="14.25" customHeight="1">
      <c r="A3093" s="2" t="s">
        <v>219</v>
      </c>
      <c r="B3093" s="2" t="s">
        <v>220</v>
      </c>
      <c r="C3093" s="2">
        <v>2004.0</v>
      </c>
      <c r="D3093" s="9">
        <v>3341.1992</v>
      </c>
      <c r="E3093" s="10" t="str">
        <f t="array" ref="E3093">IFS(D3093&lt;=$G$3,'calculated data '!$A$3,D3093&lt;=$G$4,'calculated data '!$A$4,D3093&lt;=$G$6,'calculated data '!$A$5,D3093&gt;=$G$6,'calculated data '!$A$6)</f>
        <v>Target Market (Core IQR)</v>
      </c>
      <c r="F3093" s="10">
        <f t="shared" si="1"/>
        <v>-0.5747307642</v>
      </c>
    </row>
    <row r="3094" ht="14.25" customHeight="1">
      <c r="A3094" s="2" t="s">
        <v>151</v>
      </c>
      <c r="B3094" s="2" t="s">
        <v>152</v>
      </c>
      <c r="C3094" s="2">
        <v>2005.0</v>
      </c>
      <c r="D3094" s="9">
        <v>3347.1255</v>
      </c>
      <c r="E3094" s="10" t="str">
        <f t="array" ref="E3094">IFS(D3094&lt;=$G$3,'calculated data '!$A$3,D3094&lt;=$G$4,'calculated data '!$A$4,D3094&lt;=$G$6,'calculated data '!$A$5,D3094&gt;=$G$6,'calculated data '!$A$6)</f>
        <v>Target Market (Core IQR)</v>
      </c>
      <c r="F3094" s="10">
        <f t="shared" si="1"/>
        <v>-0.5745738966</v>
      </c>
    </row>
    <row r="3095" ht="14.25" customHeight="1">
      <c r="A3095" s="2" t="s">
        <v>193</v>
      </c>
      <c r="B3095" s="2" t="s">
        <v>194</v>
      </c>
      <c r="C3095" s="2">
        <v>1991.0</v>
      </c>
      <c r="D3095" s="9">
        <v>3347.3594</v>
      </c>
      <c r="E3095" s="10" t="str">
        <f t="array" ref="E3095">IFS(D3095&lt;=$G$3,'calculated data '!$A$3,D3095&lt;=$G$4,'calculated data '!$A$4,D3095&lt;=$G$6,'calculated data '!$A$5,D3095&gt;=$G$6,'calculated data '!$A$6)</f>
        <v>Target Market (Core IQR)</v>
      </c>
      <c r="F3095" s="10">
        <f t="shared" si="1"/>
        <v>-0.5745677053</v>
      </c>
    </row>
    <row r="3096" ht="14.25" customHeight="1">
      <c r="A3096" s="2" t="s">
        <v>161</v>
      </c>
      <c r="B3096" s="2" t="s">
        <v>162</v>
      </c>
      <c r="C3096" s="2">
        <v>1989.0</v>
      </c>
      <c r="D3096" s="9">
        <v>3350.9346</v>
      </c>
      <c r="E3096" s="10" t="str">
        <f t="array" ref="E3096">IFS(D3096&lt;=$G$3,'calculated data '!$A$3,D3096&lt;=$G$4,'calculated data '!$A$4,D3096&lt;=$G$6,'calculated data '!$A$5,D3096&gt;=$G$6,'calculated data '!$A$6)</f>
        <v>Target Market (Core IQR)</v>
      </c>
      <c r="F3096" s="10">
        <f t="shared" si="1"/>
        <v>-0.5744730706</v>
      </c>
    </row>
    <row r="3097" ht="14.25" customHeight="1">
      <c r="A3097" s="2" t="s">
        <v>193</v>
      </c>
      <c r="B3097" s="2" t="s">
        <v>194</v>
      </c>
      <c r="C3097" s="2">
        <v>1983.0</v>
      </c>
      <c r="D3097" s="9">
        <v>3357.554</v>
      </c>
      <c r="E3097" s="10" t="str">
        <f t="array" ref="E3097">IFS(D3097&lt;=$G$3,'calculated data '!$A$3,D3097&lt;=$G$4,'calculated data '!$A$4,D3097&lt;=$G$6,'calculated data '!$A$5,D3097&gt;=$G$6,'calculated data '!$A$6)</f>
        <v>Target Market (Core IQR)</v>
      </c>
      <c r="F3097" s="10">
        <f t="shared" si="1"/>
        <v>-0.5742978568</v>
      </c>
    </row>
    <row r="3098" ht="14.25" customHeight="1">
      <c r="A3098" s="2" t="s">
        <v>47</v>
      </c>
      <c r="B3098" s="2" t="s">
        <v>48</v>
      </c>
      <c r="C3098" s="2">
        <v>1997.0</v>
      </c>
      <c r="D3098" s="9">
        <v>3357.6943</v>
      </c>
      <c r="E3098" s="10" t="str">
        <f t="array" ref="E3098">IFS(D3098&lt;=$G$3,'calculated data '!$A$3,D3098&lt;=$G$4,'calculated data '!$A$4,D3098&lt;=$G$6,'calculated data '!$A$5,D3098&gt;=$G$6,'calculated data '!$A$6)</f>
        <v>Target Market (Core IQR)</v>
      </c>
      <c r="F3098" s="10">
        <f t="shared" si="1"/>
        <v>-0.574294143</v>
      </c>
    </row>
    <row r="3099" ht="14.25" customHeight="1">
      <c r="A3099" s="2" t="s">
        <v>221</v>
      </c>
      <c r="B3099" s="2" t="s">
        <v>222</v>
      </c>
      <c r="C3099" s="2">
        <v>1967.0</v>
      </c>
      <c r="D3099" s="9">
        <v>3358.4768</v>
      </c>
      <c r="E3099" s="10" t="str">
        <f t="array" ref="E3099">IFS(D3099&lt;=$G$3,'calculated data '!$A$3,D3099&lt;=$G$4,'calculated data '!$A$4,D3099&lt;=$G$6,'calculated data '!$A$5,D3099&gt;=$G$6,'calculated data '!$A$6)</f>
        <v>Target Market (Core IQR)</v>
      </c>
      <c r="F3099" s="10">
        <f t="shared" si="1"/>
        <v>-0.5742734305</v>
      </c>
    </row>
    <row r="3100" ht="14.25" customHeight="1">
      <c r="A3100" s="2" t="s">
        <v>235</v>
      </c>
      <c r="B3100" s="2" t="s">
        <v>236</v>
      </c>
      <c r="C3100" s="2">
        <v>2016.0</v>
      </c>
      <c r="D3100" s="9">
        <v>3361.599</v>
      </c>
      <c r="E3100" s="10" t="str">
        <f t="array" ref="E3100">IFS(D3100&lt;=$G$3,'calculated data '!$A$3,D3100&lt;=$G$4,'calculated data '!$A$4,D3100&lt;=$G$6,'calculated data '!$A$5,D3100&gt;=$G$6,'calculated data '!$A$6)</f>
        <v>Target Market (Core IQR)</v>
      </c>
      <c r="F3100" s="10">
        <f t="shared" si="1"/>
        <v>-0.5741907866</v>
      </c>
    </row>
    <row r="3101" ht="14.25" customHeight="1">
      <c r="A3101" s="2" t="s">
        <v>193</v>
      </c>
      <c r="B3101" s="2" t="s">
        <v>194</v>
      </c>
      <c r="C3101" s="2">
        <v>1981.0</v>
      </c>
      <c r="D3101" s="9">
        <v>3366.198</v>
      </c>
      <c r="E3101" s="10" t="str">
        <f t="array" ref="E3101">IFS(D3101&lt;=$G$3,'calculated data '!$A$3,D3101&lt;=$G$4,'calculated data '!$A$4,D3101&lt;=$G$6,'calculated data '!$A$5,D3101&gt;=$G$6,'calculated data '!$A$6)</f>
        <v>Target Market (Core IQR)</v>
      </c>
      <c r="F3101" s="10">
        <f t="shared" si="1"/>
        <v>-0.5740690522</v>
      </c>
    </row>
    <row r="3102" ht="14.25" customHeight="1">
      <c r="A3102" s="2" t="s">
        <v>177</v>
      </c>
      <c r="B3102" s="2" t="s">
        <v>178</v>
      </c>
      <c r="C3102" s="2">
        <v>1989.0</v>
      </c>
      <c r="D3102" s="9">
        <v>3366.5054</v>
      </c>
      <c r="E3102" s="10" t="str">
        <f t="array" ref="E3102">IFS(D3102&lt;=$G$3,'calculated data '!$A$3,D3102&lt;=$G$4,'calculated data '!$A$4,D3102&lt;=$G$6,'calculated data '!$A$5,D3102&gt;=$G$6,'calculated data '!$A$6)</f>
        <v>Target Market (Core IQR)</v>
      </c>
      <c r="F3102" s="10">
        <f t="shared" si="1"/>
        <v>-0.5740609154</v>
      </c>
    </row>
    <row r="3103" ht="14.25" customHeight="1">
      <c r="A3103" s="2" t="s">
        <v>145</v>
      </c>
      <c r="B3103" s="2" t="s">
        <v>146</v>
      </c>
      <c r="C3103" s="2">
        <v>2018.0</v>
      </c>
      <c r="D3103" s="9">
        <v>3369.3481</v>
      </c>
      <c r="E3103" s="10" t="str">
        <f t="array" ref="E3103">IFS(D3103&lt;=$G$3,'calculated data '!$A$3,D3103&lt;=$G$4,'calculated data '!$A$4,D3103&lt;=$G$6,'calculated data '!$A$5,D3103&gt;=$G$6,'calculated data '!$A$6)</f>
        <v>Target Market (Core IQR)</v>
      </c>
      <c r="F3103" s="10">
        <f t="shared" si="1"/>
        <v>-0.5739856699</v>
      </c>
    </row>
    <row r="3104" ht="14.25" customHeight="1">
      <c r="A3104" s="2" t="s">
        <v>241</v>
      </c>
      <c r="B3104" s="2" t="s">
        <v>242</v>
      </c>
      <c r="C3104" s="2">
        <v>1982.0</v>
      </c>
      <c r="D3104" s="9">
        <v>3370.3855</v>
      </c>
      <c r="E3104" s="10" t="str">
        <f t="array" ref="E3104">IFS(D3104&lt;=$G$3,'calculated data '!$A$3,D3104&lt;=$G$4,'calculated data '!$A$4,D3104&lt;=$G$6,'calculated data '!$A$5,D3104&gt;=$G$6,'calculated data '!$A$6)</f>
        <v>Target Market (Core IQR)</v>
      </c>
      <c r="F3104" s="10">
        <f t="shared" si="1"/>
        <v>-0.5739582101</v>
      </c>
    </row>
    <row r="3105" ht="14.25" customHeight="1">
      <c r="A3105" s="2" t="s">
        <v>193</v>
      </c>
      <c r="B3105" s="2" t="s">
        <v>194</v>
      </c>
      <c r="C3105" s="2">
        <v>1989.0</v>
      </c>
      <c r="D3105" s="9">
        <v>3373.0498</v>
      </c>
      <c r="E3105" s="10" t="str">
        <f t="array" ref="E3105">IFS(D3105&lt;=$G$3,'calculated data '!$A$3,D3105&lt;=$G$4,'calculated data '!$A$4,D3105&lt;=$G$6,'calculated data '!$A$5,D3105&gt;=$G$6,'calculated data '!$A$6)</f>
        <v>Target Market (Core IQR)</v>
      </c>
      <c r="F3105" s="10">
        <f t="shared" si="1"/>
        <v>-0.5738876868</v>
      </c>
    </row>
    <row r="3106" ht="14.25" customHeight="1">
      <c r="A3106" s="2" t="s">
        <v>177</v>
      </c>
      <c r="B3106" s="2" t="s">
        <v>178</v>
      </c>
      <c r="C3106" s="2">
        <v>1991.0</v>
      </c>
      <c r="D3106" s="9">
        <v>3374.9333</v>
      </c>
      <c r="E3106" s="10" t="str">
        <f t="array" ref="E3106">IFS(D3106&lt;=$G$3,'calculated data '!$A$3,D3106&lt;=$G$4,'calculated data '!$A$4,D3106&lt;=$G$6,'calculated data '!$A$5,D3106&gt;=$G$6,'calculated data '!$A$6)</f>
        <v>Target Market (Core IQR)</v>
      </c>
      <c r="F3106" s="10">
        <f t="shared" si="1"/>
        <v>-0.573837831</v>
      </c>
    </row>
    <row r="3107" ht="14.25" customHeight="1">
      <c r="A3107" s="2" t="s">
        <v>225</v>
      </c>
      <c r="B3107" s="2" t="s">
        <v>226</v>
      </c>
      <c r="C3107" s="2">
        <v>1993.0</v>
      </c>
      <c r="D3107" s="9">
        <v>3376.557</v>
      </c>
      <c r="E3107" s="10" t="str">
        <f t="array" ref="E3107">IFS(D3107&lt;=$G$3,'calculated data '!$A$3,D3107&lt;=$G$4,'calculated data '!$A$4,D3107&lt;=$G$6,'calculated data '!$A$5,D3107&gt;=$G$6,'calculated data '!$A$6)</f>
        <v>Target Market (Core IQR)</v>
      </c>
      <c r="F3107" s="10">
        <f t="shared" si="1"/>
        <v>-0.5737948521</v>
      </c>
    </row>
    <row r="3108" ht="14.25" customHeight="1">
      <c r="A3108" s="2" t="s">
        <v>165</v>
      </c>
      <c r="B3108" s="2" t="s">
        <v>166</v>
      </c>
      <c r="C3108" s="2">
        <v>2000.0</v>
      </c>
      <c r="D3108" s="9">
        <v>3378.6865</v>
      </c>
      <c r="E3108" s="10" t="str">
        <f t="array" ref="E3108">IFS(D3108&lt;=$G$3,'calculated data '!$A$3,D3108&lt;=$G$4,'calculated data '!$A$4,D3108&lt;=$G$6,'calculated data '!$A$5,D3108&gt;=$G$6,'calculated data '!$A$6)</f>
        <v>Target Market (Core IQR)</v>
      </c>
      <c r="F3108" s="10">
        <f t="shared" si="1"/>
        <v>-0.5737384847</v>
      </c>
    </row>
    <row r="3109" ht="14.25" customHeight="1">
      <c r="A3109" s="2" t="s">
        <v>175</v>
      </c>
      <c r="B3109" s="2" t="s">
        <v>176</v>
      </c>
      <c r="C3109" s="2">
        <v>2024.0</v>
      </c>
      <c r="D3109" s="9">
        <v>3382.1226</v>
      </c>
      <c r="E3109" s="10" t="str">
        <f t="array" ref="E3109">IFS(D3109&lt;=$G$3,'calculated data '!$A$3,D3109&lt;=$G$4,'calculated data '!$A$4,D3109&lt;=$G$6,'calculated data '!$A$5,D3109&gt;=$G$6,'calculated data '!$A$6)</f>
        <v>Target Market (Core IQR)</v>
      </c>
      <c r="F3109" s="10">
        <f t="shared" si="1"/>
        <v>-0.573647532</v>
      </c>
    </row>
    <row r="3110" ht="14.25" customHeight="1">
      <c r="A3110" s="2" t="s">
        <v>177</v>
      </c>
      <c r="B3110" s="2" t="s">
        <v>178</v>
      </c>
      <c r="C3110" s="2">
        <v>1990.0</v>
      </c>
      <c r="D3110" s="9">
        <v>3388.566</v>
      </c>
      <c r="E3110" s="10" t="str">
        <f t="array" ref="E3110">IFS(D3110&lt;=$G$3,'calculated data '!$A$3,D3110&lt;=$G$4,'calculated data '!$A$4,D3110&lt;=$G$6,'calculated data '!$A$5,D3110&gt;=$G$6,'calculated data '!$A$6)</f>
        <v>Target Market (Core IQR)</v>
      </c>
      <c r="F3110" s="10">
        <f t="shared" si="1"/>
        <v>-0.5734769768</v>
      </c>
    </row>
    <row r="3111" ht="14.25" customHeight="1">
      <c r="A3111" s="2" t="s">
        <v>189</v>
      </c>
      <c r="B3111" s="2" t="s">
        <v>190</v>
      </c>
      <c r="C3111" s="2">
        <v>2001.0</v>
      </c>
      <c r="D3111" s="9">
        <v>3388.7642</v>
      </c>
      <c r="E3111" s="10" t="str">
        <f t="array" ref="E3111">IFS(D3111&lt;=$G$3,'calculated data '!$A$3,D3111&lt;=$G$4,'calculated data '!$A$4,D3111&lt;=$G$6,'calculated data '!$A$5,D3111&gt;=$G$6,'calculated data '!$A$6)</f>
        <v>Target Market (Core IQR)</v>
      </c>
      <c r="F3111" s="10">
        <f t="shared" si="1"/>
        <v>-0.5734717305</v>
      </c>
    </row>
    <row r="3112" ht="14.25" customHeight="1">
      <c r="A3112" s="2" t="s">
        <v>161</v>
      </c>
      <c r="B3112" s="2" t="s">
        <v>162</v>
      </c>
      <c r="C3112" s="2">
        <v>2018.0</v>
      </c>
      <c r="D3112" s="9">
        <v>3390.2366</v>
      </c>
      <c r="E3112" s="10" t="str">
        <f t="array" ref="E3112">IFS(D3112&lt;=$G$3,'calculated data '!$A$3,D3112&lt;=$G$4,'calculated data '!$A$4,D3112&lt;=$G$6,'calculated data '!$A$5,D3112&gt;=$G$6,'calculated data '!$A$6)</f>
        <v>Target Market (Core IQR)</v>
      </c>
      <c r="F3112" s="10">
        <f t="shared" si="1"/>
        <v>-0.5734327565</v>
      </c>
    </row>
    <row r="3113" ht="14.25" customHeight="1">
      <c r="A3113" s="2" t="s">
        <v>47</v>
      </c>
      <c r="B3113" s="2" t="s">
        <v>48</v>
      </c>
      <c r="C3113" s="2">
        <v>1999.0</v>
      </c>
      <c r="D3113" s="9">
        <v>3390.3079</v>
      </c>
      <c r="E3113" s="10" t="str">
        <f t="array" ref="E3113">IFS(D3113&lt;=$G$3,'calculated data '!$A$3,D3113&lt;=$G$4,'calculated data '!$A$4,D3113&lt;=$G$6,'calculated data '!$A$5,D3113&gt;=$G$6,'calculated data '!$A$6)</f>
        <v>Target Market (Core IQR)</v>
      </c>
      <c r="F3113" s="10">
        <f t="shared" si="1"/>
        <v>-0.5734308692</v>
      </c>
    </row>
    <row r="3114" ht="14.25" customHeight="1">
      <c r="A3114" s="2" t="s">
        <v>139</v>
      </c>
      <c r="B3114" s="2" t="s">
        <v>140</v>
      </c>
      <c r="C3114" s="2">
        <v>2012.0</v>
      </c>
      <c r="D3114" s="9">
        <v>3397.5146</v>
      </c>
      <c r="E3114" s="10" t="str">
        <f t="array" ref="E3114">IFS(D3114&lt;=$G$3,'calculated data '!$A$3,D3114&lt;=$G$4,'calculated data '!$A$4,D3114&lt;=$G$6,'calculated data '!$A$5,D3114&gt;=$G$6,'calculated data '!$A$6)</f>
        <v>Target Market (Core IQR)</v>
      </c>
      <c r="F3114" s="10">
        <f t="shared" si="1"/>
        <v>-0.5732401096</v>
      </c>
    </row>
    <row r="3115" ht="14.25" customHeight="1">
      <c r="A3115" s="2" t="s">
        <v>143</v>
      </c>
      <c r="B3115" s="2" t="s">
        <v>144</v>
      </c>
      <c r="C3115" s="2">
        <v>2004.0</v>
      </c>
      <c r="D3115" s="9">
        <v>3399.8564</v>
      </c>
      <c r="E3115" s="10" t="str">
        <f t="array" ref="E3115">IFS(D3115&lt;=$G$3,'calculated data '!$A$3,D3115&lt;=$G$4,'calculated data '!$A$4,D3115&lt;=$G$6,'calculated data '!$A$5,D3115&gt;=$G$6,'calculated data '!$A$6)</f>
        <v>Target Market (Core IQR)</v>
      </c>
      <c r="F3115" s="10">
        <f t="shared" si="1"/>
        <v>-0.5731781228</v>
      </c>
    </row>
    <row r="3116" ht="14.25" customHeight="1">
      <c r="A3116" s="2" t="s">
        <v>175</v>
      </c>
      <c r="B3116" s="2" t="s">
        <v>176</v>
      </c>
      <c r="C3116" s="2">
        <v>2025.0</v>
      </c>
      <c r="D3116" s="9">
        <v>3400.3916</v>
      </c>
      <c r="E3116" s="10" t="str">
        <f t="array" ref="E3116">IFS(D3116&lt;=$G$3,'calculated data '!$A$3,D3116&lt;=$G$4,'calculated data '!$A$4,D3116&lt;=$G$6,'calculated data '!$A$5,D3116&gt;=$G$6,'calculated data '!$A$6)</f>
        <v>Target Market (Core IQR)</v>
      </c>
      <c r="F3116" s="10">
        <f t="shared" si="1"/>
        <v>-0.5731639562</v>
      </c>
    </row>
    <row r="3117" ht="14.25" customHeight="1">
      <c r="A3117" s="2" t="s">
        <v>199</v>
      </c>
      <c r="B3117" s="2" t="s">
        <v>200</v>
      </c>
      <c r="C3117" s="2">
        <v>1998.0</v>
      </c>
      <c r="D3117" s="9">
        <v>3402.141</v>
      </c>
      <c r="E3117" s="10" t="str">
        <f t="array" ref="E3117">IFS(D3117&lt;=$G$3,'calculated data '!$A$3,D3117&lt;=$G$4,'calculated data '!$A$4,D3117&lt;=$G$6,'calculated data '!$A$5,D3117&gt;=$G$6,'calculated data '!$A$6)</f>
        <v>Target Market (Core IQR)</v>
      </c>
      <c r="F3117" s="10">
        <f t="shared" si="1"/>
        <v>-0.57311765</v>
      </c>
    </row>
    <row r="3118" ht="14.25" customHeight="1">
      <c r="A3118" s="2" t="s">
        <v>213</v>
      </c>
      <c r="B3118" s="2" t="s">
        <v>214</v>
      </c>
      <c r="C3118" s="2">
        <v>2003.0</v>
      </c>
      <c r="D3118" s="9">
        <v>3403.2148</v>
      </c>
      <c r="E3118" s="10" t="str">
        <f t="array" ref="E3118">IFS(D3118&lt;=$G$3,'calculated data '!$A$3,D3118&lt;=$G$4,'calculated data '!$A$4,D3118&lt;=$G$6,'calculated data '!$A$5,D3118&gt;=$G$6,'calculated data '!$A$6)</f>
        <v>Target Market (Core IQR)</v>
      </c>
      <c r="F3118" s="10">
        <f t="shared" si="1"/>
        <v>-0.5730892268</v>
      </c>
    </row>
    <row r="3119" ht="14.25" customHeight="1">
      <c r="A3119" s="2" t="s">
        <v>177</v>
      </c>
      <c r="B3119" s="2" t="s">
        <v>178</v>
      </c>
      <c r="C3119" s="2">
        <v>1992.0</v>
      </c>
      <c r="D3119" s="9">
        <v>3405.5999</v>
      </c>
      <c r="E3119" s="10" t="str">
        <f t="array" ref="E3119">IFS(D3119&lt;=$G$3,'calculated data '!$A$3,D3119&lt;=$G$4,'calculated data '!$A$4,D3119&lt;=$G$6,'calculated data '!$A$5,D3119&gt;=$G$6,'calculated data '!$A$6)</f>
        <v>Target Market (Core IQR)</v>
      </c>
      <c r="F3119" s="10">
        <f t="shared" si="1"/>
        <v>-0.5730260937</v>
      </c>
    </row>
    <row r="3120" ht="14.25" customHeight="1">
      <c r="A3120" s="2" t="s">
        <v>165</v>
      </c>
      <c r="B3120" s="2" t="s">
        <v>166</v>
      </c>
      <c r="C3120" s="2">
        <v>2002.0</v>
      </c>
      <c r="D3120" s="9">
        <v>3406.8403</v>
      </c>
      <c r="E3120" s="10" t="str">
        <f t="array" ref="E3120">IFS(D3120&lt;=$G$3,'calculated data '!$A$3,D3120&lt;=$G$4,'calculated data '!$A$4,D3120&lt;=$G$6,'calculated data '!$A$5,D3120&gt;=$G$6,'calculated data '!$A$6)</f>
        <v>Target Market (Core IQR)</v>
      </c>
      <c r="F3120" s="10">
        <f t="shared" si="1"/>
        <v>-0.5729932607</v>
      </c>
    </row>
    <row r="3121" ht="14.25" customHeight="1">
      <c r="A3121" s="2" t="s">
        <v>175</v>
      </c>
      <c r="B3121" s="2" t="s">
        <v>176</v>
      </c>
      <c r="C3121" s="2">
        <v>2012.0</v>
      </c>
      <c r="D3121" s="9">
        <v>3414.254</v>
      </c>
      <c r="E3121" s="10" t="str">
        <f t="array" ref="E3121">IFS(D3121&lt;=$G$3,'calculated data '!$A$3,D3121&lt;=$G$4,'calculated data '!$A$4,D3121&lt;=$G$6,'calculated data '!$A$5,D3121&gt;=$G$6,'calculated data '!$A$6)</f>
        <v>Target Market (Core IQR)</v>
      </c>
      <c r="F3121" s="10">
        <f t="shared" si="1"/>
        <v>-0.5727970219</v>
      </c>
    </row>
    <row r="3122" ht="14.25" customHeight="1">
      <c r="A3122" s="2" t="s">
        <v>225</v>
      </c>
      <c r="B3122" s="2" t="s">
        <v>226</v>
      </c>
      <c r="C3122" s="2">
        <v>1980.0</v>
      </c>
      <c r="D3122" s="9">
        <v>3414.2634</v>
      </c>
      <c r="E3122" s="10" t="str">
        <f t="array" ref="E3122">IFS(D3122&lt;=$G$3,'calculated data '!$A$3,D3122&lt;=$G$4,'calculated data '!$A$4,D3122&lt;=$G$6,'calculated data '!$A$5,D3122&gt;=$G$6,'calculated data '!$A$6)</f>
        <v>Target Market (Core IQR)</v>
      </c>
      <c r="F3122" s="10">
        <f t="shared" si="1"/>
        <v>-0.5727967731</v>
      </c>
    </row>
    <row r="3123" ht="14.25" customHeight="1">
      <c r="A3123" s="2" t="s">
        <v>193</v>
      </c>
      <c r="B3123" s="2" t="s">
        <v>194</v>
      </c>
      <c r="C3123" s="2">
        <v>1990.0</v>
      </c>
      <c r="D3123" s="9">
        <v>3415.7688</v>
      </c>
      <c r="E3123" s="10" t="str">
        <f t="array" ref="E3123">IFS(D3123&lt;=$G$3,'calculated data '!$A$3,D3123&lt;=$G$4,'calculated data '!$A$4,D3123&lt;=$G$6,'calculated data '!$A$5,D3123&gt;=$G$6,'calculated data '!$A$6)</f>
        <v>Target Market (Core IQR)</v>
      </c>
      <c r="F3123" s="10">
        <f t="shared" si="1"/>
        <v>-0.5727569255</v>
      </c>
    </row>
    <row r="3124" ht="14.25" customHeight="1">
      <c r="A3124" s="2" t="s">
        <v>175</v>
      </c>
      <c r="B3124" s="2" t="s">
        <v>176</v>
      </c>
      <c r="C3124" s="2">
        <v>2014.0</v>
      </c>
      <c r="D3124" s="9">
        <v>3416.5312</v>
      </c>
      <c r="E3124" s="10" t="str">
        <f t="array" ref="E3124">IFS(D3124&lt;=$G$3,'calculated data '!$A$3,D3124&lt;=$G$4,'calculated data '!$A$4,D3124&lt;=$G$6,'calculated data '!$A$5,D3124&gt;=$G$6,'calculated data '!$A$6)</f>
        <v>Target Market (Core IQR)</v>
      </c>
      <c r="F3124" s="10">
        <f t="shared" si="1"/>
        <v>-0.572736745</v>
      </c>
    </row>
    <row r="3125" ht="14.25" customHeight="1">
      <c r="A3125" s="2" t="s">
        <v>143</v>
      </c>
      <c r="B3125" s="2" t="s">
        <v>144</v>
      </c>
      <c r="C3125" s="2">
        <v>2012.0</v>
      </c>
      <c r="D3125" s="9">
        <v>3416.7866</v>
      </c>
      <c r="E3125" s="10" t="str">
        <f t="array" ref="E3125">IFS(D3125&lt;=$G$3,'calculated data '!$A$3,D3125&lt;=$G$4,'calculated data '!$A$4,D3125&lt;=$G$6,'calculated data '!$A$5,D3125&gt;=$G$6,'calculated data '!$A$6)</f>
        <v>Target Market (Core IQR)</v>
      </c>
      <c r="F3125" s="10">
        <f t="shared" si="1"/>
        <v>-0.5727299846</v>
      </c>
    </row>
    <row r="3126" ht="14.25" customHeight="1">
      <c r="A3126" s="2" t="s">
        <v>181</v>
      </c>
      <c r="B3126" s="2" t="s">
        <v>182</v>
      </c>
      <c r="C3126" s="2">
        <v>2012.0</v>
      </c>
      <c r="D3126" s="9">
        <v>3419.7034</v>
      </c>
      <c r="E3126" s="10" t="str">
        <f t="array" ref="E3126">IFS(D3126&lt;=$G$3,'calculated data '!$A$3,D3126&lt;=$G$4,'calculated data '!$A$4,D3126&lt;=$G$6,'calculated data '!$A$5,D3126&gt;=$G$6,'calculated data '!$A$6)</f>
        <v>Target Market (Core IQR)</v>
      </c>
      <c r="F3126" s="10">
        <f t="shared" si="1"/>
        <v>-0.5726527776</v>
      </c>
    </row>
    <row r="3127" ht="14.25" customHeight="1">
      <c r="A3127" s="2" t="s">
        <v>197</v>
      </c>
      <c r="B3127" s="2" t="s">
        <v>198</v>
      </c>
      <c r="C3127" s="2">
        <v>1972.0</v>
      </c>
      <c r="D3127" s="9">
        <v>3420.664</v>
      </c>
      <c r="E3127" s="10" t="str">
        <f t="array" ref="E3127">IFS(D3127&lt;=$G$3,'calculated data '!$A$3,D3127&lt;=$G$4,'calculated data '!$A$4,D3127&lt;=$G$6,'calculated data '!$A$5,D3127&gt;=$G$6,'calculated data '!$A$6)</f>
        <v>Target Market (Core IQR)</v>
      </c>
      <c r="F3127" s="10">
        <f t="shared" si="1"/>
        <v>-0.5726273508</v>
      </c>
    </row>
    <row r="3128" ht="14.25" customHeight="1">
      <c r="A3128" s="2" t="s">
        <v>175</v>
      </c>
      <c r="B3128" s="2" t="s">
        <v>176</v>
      </c>
      <c r="C3128" s="2">
        <v>2013.0</v>
      </c>
      <c r="D3128" s="9">
        <v>3422.073</v>
      </c>
      <c r="E3128" s="10" t="str">
        <f t="array" ref="E3128">IFS(D3128&lt;=$G$3,'calculated data '!$A$3,D3128&lt;=$G$4,'calculated data '!$A$4,D3128&lt;=$G$6,'calculated data '!$A$5,D3128&gt;=$G$6,'calculated data '!$A$6)</f>
        <v>Target Market (Core IQR)</v>
      </c>
      <c r="F3128" s="10">
        <f t="shared" si="1"/>
        <v>-0.5725900549</v>
      </c>
    </row>
    <row r="3129" ht="14.25" customHeight="1">
      <c r="A3129" s="2" t="s">
        <v>239</v>
      </c>
      <c r="B3129" s="2" t="s">
        <v>240</v>
      </c>
      <c r="C3129" s="2">
        <v>1991.0</v>
      </c>
      <c r="D3129" s="9">
        <v>3426.7012</v>
      </c>
      <c r="E3129" s="10" t="str">
        <f t="array" ref="E3129">IFS(D3129&lt;=$G$3,'calculated data '!$A$3,D3129&lt;=$G$4,'calculated data '!$A$4,D3129&lt;=$G$6,'calculated data '!$A$5,D3129&gt;=$G$6,'calculated data '!$A$6)</f>
        <v>Target Market (Core IQR)</v>
      </c>
      <c r="F3129" s="10">
        <f t="shared" si="1"/>
        <v>-0.5724675476</v>
      </c>
    </row>
    <row r="3130" ht="14.25" customHeight="1">
      <c r="A3130" s="2" t="s">
        <v>201</v>
      </c>
      <c r="B3130" s="2" t="s">
        <v>202</v>
      </c>
      <c r="C3130" s="2">
        <v>2003.0</v>
      </c>
      <c r="D3130" s="9">
        <v>3428.3499</v>
      </c>
      <c r="E3130" s="10" t="str">
        <f t="array" ref="E3130">IFS(D3130&lt;=$G$3,'calculated data '!$A$3,D3130&lt;=$G$4,'calculated data '!$A$4,D3130&lt;=$G$6,'calculated data '!$A$5,D3130&gt;=$G$6,'calculated data '!$A$6)</f>
        <v>Target Market (Core IQR)</v>
      </c>
      <c r="F3130" s="10">
        <f t="shared" si="1"/>
        <v>-0.5724239069</v>
      </c>
    </row>
    <row r="3131" ht="14.25" customHeight="1">
      <c r="A3131" s="2" t="s">
        <v>211</v>
      </c>
      <c r="B3131" s="2" t="s">
        <v>212</v>
      </c>
      <c r="C3131" s="2">
        <v>1994.0</v>
      </c>
      <c r="D3131" s="9">
        <v>3430.8613</v>
      </c>
      <c r="E3131" s="10" t="str">
        <f t="array" ref="E3131">IFS(D3131&lt;=$G$3,'calculated data '!$A$3,D3131&lt;=$G$4,'calculated data '!$A$4,D3131&lt;=$G$6,'calculated data '!$A$5,D3131&gt;=$G$6,'calculated data '!$A$6)</f>
        <v>Target Market (Core IQR)</v>
      </c>
      <c r="F3131" s="10">
        <f t="shared" si="1"/>
        <v>-0.5723574308</v>
      </c>
    </row>
    <row r="3132" ht="14.25" customHeight="1">
      <c r="A3132" s="2" t="s">
        <v>225</v>
      </c>
      <c r="B3132" s="2" t="s">
        <v>226</v>
      </c>
      <c r="C3132" s="2">
        <v>1990.0</v>
      </c>
      <c r="D3132" s="9">
        <v>3435.8167</v>
      </c>
      <c r="E3132" s="10" t="str">
        <f t="array" ref="E3132">IFS(D3132&lt;=$G$3,'calculated data '!$A$3,D3132&lt;=$G$4,'calculated data '!$A$4,D3132&lt;=$G$6,'calculated data '!$A$5,D3132&gt;=$G$6,'calculated data '!$A$6)</f>
        <v>Target Market (Core IQR)</v>
      </c>
      <c r="F3132" s="10">
        <f t="shared" si="1"/>
        <v>-0.5722262626</v>
      </c>
    </row>
    <row r="3133" ht="14.25" customHeight="1">
      <c r="A3133" s="2" t="s">
        <v>243</v>
      </c>
      <c r="B3133" s="2" t="s">
        <v>244</v>
      </c>
      <c r="C3133" s="2">
        <v>1992.0</v>
      </c>
      <c r="D3133" s="9">
        <v>3436.2827</v>
      </c>
      <c r="E3133" s="10" t="str">
        <f t="array" ref="E3133">IFS(D3133&lt;=$G$3,'calculated data '!$A$3,D3133&lt;=$G$4,'calculated data '!$A$4,D3133&lt;=$G$6,'calculated data '!$A$5,D3133&gt;=$G$6,'calculated data '!$A$6)</f>
        <v>Target Market (Core IQR)</v>
      </c>
      <c r="F3133" s="10">
        <f t="shared" si="1"/>
        <v>-0.5722139277</v>
      </c>
    </row>
    <row r="3134" ht="14.25" customHeight="1">
      <c r="A3134" s="2" t="s">
        <v>219</v>
      </c>
      <c r="B3134" s="2" t="s">
        <v>220</v>
      </c>
      <c r="C3134" s="2">
        <v>2022.0</v>
      </c>
      <c r="D3134" s="9">
        <v>3436.5632</v>
      </c>
      <c r="E3134" s="10" t="str">
        <f t="array" ref="E3134">IFS(D3134&lt;=$G$3,'calculated data '!$A$3,D3134&lt;=$G$4,'calculated data '!$A$4,D3134&lt;=$G$6,'calculated data '!$A$5,D3134&gt;=$G$6,'calculated data '!$A$6)</f>
        <v>Target Market (Core IQR)</v>
      </c>
      <c r="F3134" s="10">
        <f t="shared" si="1"/>
        <v>-0.5722065029</v>
      </c>
    </row>
    <row r="3135" ht="14.25" customHeight="1">
      <c r="A3135" s="2" t="s">
        <v>199</v>
      </c>
      <c r="B3135" s="2" t="s">
        <v>200</v>
      </c>
      <c r="C3135" s="2">
        <v>2004.0</v>
      </c>
      <c r="D3135" s="9">
        <v>3438.836</v>
      </c>
      <c r="E3135" s="10" t="str">
        <f t="array" ref="E3135">IFS(D3135&lt;=$G$3,'calculated data '!$A$3,D3135&lt;=$G$4,'calculated data '!$A$4,D3135&lt;=$G$6,'calculated data '!$A$5,D3135&gt;=$G$6,'calculated data '!$A$6)</f>
        <v>Target Market (Core IQR)</v>
      </c>
      <c r="F3135" s="10">
        <f t="shared" si="1"/>
        <v>-0.5721463425</v>
      </c>
    </row>
    <row r="3136" ht="14.25" customHeight="1">
      <c r="A3136" s="2" t="s">
        <v>175</v>
      </c>
      <c r="B3136" s="2" t="s">
        <v>176</v>
      </c>
      <c r="C3136" s="2">
        <v>2011.0</v>
      </c>
      <c r="D3136" s="9">
        <v>3440.4883</v>
      </c>
      <c r="E3136" s="10" t="str">
        <f t="array" ref="E3136">IFS(D3136&lt;=$G$3,'calculated data '!$A$3,D3136&lt;=$G$4,'calculated data '!$A$4,D3136&lt;=$G$6,'calculated data '!$A$5,D3136&gt;=$G$6,'calculated data '!$A$6)</f>
        <v>Target Market (Core IQR)</v>
      </c>
      <c r="F3136" s="10">
        <f t="shared" si="1"/>
        <v>-0.5721026065</v>
      </c>
    </row>
    <row r="3137" ht="14.25" customHeight="1">
      <c r="A3137" s="2" t="s">
        <v>231</v>
      </c>
      <c r="B3137" s="2" t="s">
        <v>232</v>
      </c>
      <c r="C3137" s="2">
        <v>1968.0</v>
      </c>
      <c r="D3137" s="9">
        <v>3441.5466</v>
      </c>
      <c r="E3137" s="10" t="str">
        <f t="array" ref="E3137">IFS(D3137&lt;=$G$3,'calculated data '!$A$3,D3137&lt;=$G$4,'calculated data '!$A$4,D3137&lt;=$G$6,'calculated data '!$A$5,D3137&gt;=$G$6,'calculated data '!$A$6)</f>
        <v>Target Market (Core IQR)</v>
      </c>
      <c r="F3137" s="10">
        <f t="shared" si="1"/>
        <v>-0.5720745936</v>
      </c>
    </row>
    <row r="3138" ht="14.25" customHeight="1">
      <c r="A3138" s="2" t="s">
        <v>189</v>
      </c>
      <c r="B3138" s="2" t="s">
        <v>190</v>
      </c>
      <c r="C3138" s="2">
        <v>2002.0</v>
      </c>
      <c r="D3138" s="9">
        <v>3444.2815</v>
      </c>
      <c r="E3138" s="10" t="str">
        <f t="array" ref="E3138">IFS(D3138&lt;=$G$3,'calculated data '!$A$3,D3138&lt;=$G$4,'calculated data '!$A$4,D3138&lt;=$G$6,'calculated data '!$A$5,D3138&gt;=$G$6,'calculated data '!$A$6)</f>
        <v>Target Market (Core IQR)</v>
      </c>
      <c r="F3138" s="10">
        <f t="shared" si="1"/>
        <v>-0.5720022014</v>
      </c>
    </row>
    <row r="3139" ht="14.25" customHeight="1">
      <c r="A3139" s="2" t="s">
        <v>151</v>
      </c>
      <c r="B3139" s="2" t="s">
        <v>152</v>
      </c>
      <c r="C3139" s="2">
        <v>2006.0</v>
      </c>
      <c r="D3139" s="9">
        <v>3446.6946</v>
      </c>
      <c r="E3139" s="10" t="str">
        <f t="array" ref="E3139">IFS(D3139&lt;=$G$3,'calculated data '!$A$3,D3139&lt;=$G$4,'calculated data '!$A$4,D3139&lt;=$G$6,'calculated data '!$A$5,D3139&gt;=$G$6,'calculated data '!$A$6)</f>
        <v>Target Market (Core IQR)</v>
      </c>
      <c r="F3139" s="10">
        <f t="shared" si="1"/>
        <v>-0.5719383273</v>
      </c>
    </row>
    <row r="3140" ht="14.25" customHeight="1">
      <c r="A3140" s="2" t="s">
        <v>239</v>
      </c>
      <c r="B3140" s="2" t="s">
        <v>240</v>
      </c>
      <c r="C3140" s="2">
        <v>1982.0</v>
      </c>
      <c r="D3140" s="9">
        <v>3447.8113</v>
      </c>
      <c r="E3140" s="10" t="str">
        <f t="array" ref="E3140">IFS(D3140&lt;=$G$3,'calculated data '!$A$3,D3140&lt;=$G$4,'calculated data '!$A$4,D3140&lt;=$G$6,'calculated data '!$A$5,D3140&gt;=$G$6,'calculated data '!$A$6)</f>
        <v>Target Market (Core IQR)</v>
      </c>
      <c r="F3140" s="10">
        <f t="shared" si="1"/>
        <v>-0.5719087685</v>
      </c>
    </row>
    <row r="3141" ht="14.25" customHeight="1">
      <c r="A3141" s="2" t="s">
        <v>111</v>
      </c>
      <c r="B3141" s="2" t="s">
        <v>112</v>
      </c>
      <c r="C3141" s="2">
        <v>2003.0</v>
      </c>
      <c r="D3141" s="9">
        <v>3449.6936</v>
      </c>
      <c r="E3141" s="10" t="str">
        <f t="array" ref="E3141">IFS(D3141&lt;=$G$3,'calculated data '!$A$3,D3141&lt;=$G$4,'calculated data '!$A$4,D3141&lt;=$G$6,'calculated data '!$A$5,D3141&gt;=$G$6,'calculated data '!$A$6)</f>
        <v>Target Market (Core IQR)</v>
      </c>
      <c r="F3141" s="10">
        <f t="shared" si="1"/>
        <v>-0.5718589445</v>
      </c>
    </row>
    <row r="3142" ht="14.25" customHeight="1">
      <c r="A3142" s="2" t="s">
        <v>175</v>
      </c>
      <c r="B3142" s="2" t="s">
        <v>176</v>
      </c>
      <c r="C3142" s="2">
        <v>2023.0</v>
      </c>
      <c r="D3142" s="9">
        <v>3450.4475</v>
      </c>
      <c r="E3142" s="10" t="str">
        <f t="array" ref="E3142">IFS(D3142&lt;=$G$3,'calculated data '!$A$3,D3142&lt;=$G$4,'calculated data '!$A$4,D3142&lt;=$G$6,'calculated data '!$A$5,D3142&gt;=$G$6,'calculated data '!$A$6)</f>
        <v>Target Market (Core IQR)</v>
      </c>
      <c r="F3142" s="10">
        <f t="shared" si="1"/>
        <v>-0.5718389889</v>
      </c>
    </row>
    <row r="3143" ht="14.25" customHeight="1">
      <c r="A3143" s="2" t="s">
        <v>145</v>
      </c>
      <c r="B3143" s="2" t="s">
        <v>146</v>
      </c>
      <c r="C3143" s="2">
        <v>2019.0</v>
      </c>
      <c r="D3143" s="9">
        <v>3451.4683</v>
      </c>
      <c r="E3143" s="10" t="str">
        <f t="array" ref="E3143">IFS(D3143&lt;=$G$3,'calculated data '!$A$3,D3143&lt;=$G$4,'calculated data '!$A$4,D3143&lt;=$G$6,'calculated data '!$A$5,D3143&gt;=$G$6,'calculated data '!$A$6)</f>
        <v>Target Market (Core IQR)</v>
      </c>
      <c r="F3143" s="10">
        <f t="shared" si="1"/>
        <v>-0.5718119686</v>
      </c>
    </row>
    <row r="3144" ht="14.25" customHeight="1">
      <c r="A3144" s="2" t="s">
        <v>245</v>
      </c>
      <c r="B3144" s="2" t="s">
        <v>246</v>
      </c>
      <c r="C3144" s="2">
        <v>2011.0</v>
      </c>
      <c r="D3144" s="9">
        <v>3452.9734</v>
      </c>
      <c r="E3144" s="10" t="str">
        <f t="array" ref="E3144">IFS(D3144&lt;=$G$3,'calculated data '!$A$3,D3144&lt;=$G$4,'calculated data '!$A$4,D3144&lt;=$G$6,'calculated data '!$A$5,D3144&gt;=$G$6,'calculated data '!$A$6)</f>
        <v>Target Market (Core IQR)</v>
      </c>
      <c r="F3144" s="10">
        <f t="shared" si="1"/>
        <v>-0.571772129</v>
      </c>
    </row>
    <row r="3145" ht="14.25" customHeight="1">
      <c r="A3145" s="2" t="s">
        <v>129</v>
      </c>
      <c r="B3145" s="2" t="s">
        <v>130</v>
      </c>
      <c r="C3145" s="2">
        <v>1991.0</v>
      </c>
      <c r="D3145" s="9">
        <v>3458.4067</v>
      </c>
      <c r="E3145" s="10" t="str">
        <f t="array" ref="E3145">IFS(D3145&lt;=$G$3,'calculated data '!$A$3,D3145&lt;=$G$4,'calculated data '!$A$4,D3145&lt;=$G$6,'calculated data '!$A$5,D3145&gt;=$G$6,'calculated data '!$A$6)</f>
        <v>Target Market (Core IQR)</v>
      </c>
      <c r="F3145" s="10">
        <f t="shared" si="1"/>
        <v>-0.5716283109</v>
      </c>
    </row>
    <row r="3146" ht="14.25" customHeight="1">
      <c r="A3146" s="2" t="s">
        <v>227</v>
      </c>
      <c r="B3146" s="2" t="s">
        <v>228</v>
      </c>
      <c r="C3146" s="2">
        <v>1969.0</v>
      </c>
      <c r="D3146" s="9">
        <v>3458.8792</v>
      </c>
      <c r="E3146" s="10" t="str">
        <f t="array" ref="E3146">IFS(D3146&lt;=$G$3,'calculated data '!$A$3,D3146&lt;=$G$4,'calculated data '!$A$4,D3146&lt;=$G$6,'calculated data '!$A$5,D3146&gt;=$G$6,'calculated data '!$A$6)</f>
        <v>Target Market (Core IQR)</v>
      </c>
      <c r="F3146" s="10">
        <f t="shared" si="1"/>
        <v>-0.5716158039</v>
      </c>
    </row>
    <row r="3147" ht="14.25" customHeight="1">
      <c r="A3147" s="2" t="s">
        <v>177</v>
      </c>
      <c r="B3147" s="2" t="s">
        <v>178</v>
      </c>
      <c r="C3147" s="2">
        <v>1986.0</v>
      </c>
      <c r="D3147" s="9">
        <v>3460.377</v>
      </c>
      <c r="E3147" s="10" t="str">
        <f t="array" ref="E3147">IFS(D3147&lt;=$G$3,'calculated data '!$A$3,D3147&lt;=$G$4,'calculated data '!$A$4,D3147&lt;=$G$6,'calculated data '!$A$5,D3147&gt;=$G$6,'calculated data '!$A$6)</f>
        <v>Target Market (Core IQR)</v>
      </c>
      <c r="F3147" s="10">
        <f t="shared" si="1"/>
        <v>-0.5715761576</v>
      </c>
    </row>
    <row r="3148" ht="14.25" customHeight="1">
      <c r="A3148" s="2" t="s">
        <v>213</v>
      </c>
      <c r="B3148" s="2" t="s">
        <v>214</v>
      </c>
      <c r="C3148" s="2">
        <v>2010.0</v>
      </c>
      <c r="D3148" s="9">
        <v>3465.2234</v>
      </c>
      <c r="E3148" s="10" t="str">
        <f t="array" ref="E3148">IFS(D3148&lt;=$G$3,'calculated data '!$A$3,D3148&lt;=$G$4,'calculated data '!$A$4,D3148&lt;=$G$6,'calculated data '!$A$5,D3148&gt;=$G$6,'calculated data '!$A$6)</f>
        <v>Target Market (Core IQR)</v>
      </c>
      <c r="F3148" s="10">
        <f t="shared" si="1"/>
        <v>-0.5714478746</v>
      </c>
    </row>
    <row r="3149" ht="14.25" customHeight="1">
      <c r="A3149" s="2" t="s">
        <v>229</v>
      </c>
      <c r="B3149" s="2" t="s">
        <v>230</v>
      </c>
      <c r="C3149" s="2">
        <v>1969.0</v>
      </c>
      <c r="D3149" s="9">
        <v>3468.9578</v>
      </c>
      <c r="E3149" s="10" t="str">
        <f t="array" ref="E3149">IFS(D3149&lt;=$G$3,'calculated data '!$A$3,D3149&lt;=$G$4,'calculated data '!$A$4,D3149&lt;=$G$6,'calculated data '!$A$5,D3149&gt;=$G$6,'calculated data '!$A$6)</f>
        <v>Target Market (Core IQR)</v>
      </c>
      <c r="F3149" s="10">
        <f t="shared" si="1"/>
        <v>-0.5713490259</v>
      </c>
    </row>
    <row r="3150" ht="14.25" customHeight="1">
      <c r="A3150" s="2" t="s">
        <v>213</v>
      </c>
      <c r="B3150" s="2" t="s">
        <v>214</v>
      </c>
      <c r="C3150" s="2">
        <v>2008.0</v>
      </c>
      <c r="D3150" s="9">
        <v>3468.9956</v>
      </c>
      <c r="E3150" s="10" t="str">
        <f t="array" ref="E3150">IFS(D3150&lt;=$G$3,'calculated data '!$A$3,D3150&lt;=$G$4,'calculated data '!$A$4,D3150&lt;=$G$6,'calculated data '!$A$5,D3150&gt;=$G$6,'calculated data '!$A$6)</f>
        <v>Target Market (Core IQR)</v>
      </c>
      <c r="F3150" s="10">
        <f t="shared" si="1"/>
        <v>-0.5713480254</v>
      </c>
    </row>
    <row r="3151" ht="14.25" customHeight="1">
      <c r="A3151" s="2" t="s">
        <v>165</v>
      </c>
      <c r="B3151" s="2" t="s">
        <v>166</v>
      </c>
      <c r="C3151" s="2">
        <v>2003.0</v>
      </c>
      <c r="D3151" s="9">
        <v>3470.717</v>
      </c>
      <c r="E3151" s="10" t="str">
        <f t="array" ref="E3151">IFS(D3151&lt;=$G$3,'calculated data '!$A$3,D3151&lt;=$G$4,'calculated data '!$A$4,D3151&lt;=$G$6,'calculated data '!$A$5,D3151&gt;=$G$6,'calculated data '!$A$6)</f>
        <v>Target Market (Core IQR)</v>
      </c>
      <c r="F3151" s="10">
        <f t="shared" si="1"/>
        <v>-0.5713024603</v>
      </c>
    </row>
    <row r="3152" ht="14.25" customHeight="1">
      <c r="A3152" s="2" t="s">
        <v>213</v>
      </c>
      <c r="B3152" s="2" t="s">
        <v>214</v>
      </c>
      <c r="C3152" s="2">
        <v>2009.0</v>
      </c>
      <c r="D3152" s="9">
        <v>3474.4766</v>
      </c>
      <c r="E3152" s="10" t="str">
        <f t="array" ref="E3152">IFS(D3152&lt;=$G$3,'calculated data '!$A$3,D3152&lt;=$G$4,'calculated data '!$A$4,D3152&lt;=$G$6,'calculated data '!$A$5,D3152&gt;=$G$6,'calculated data '!$A$6)</f>
        <v>Target Market (Core IQR)</v>
      </c>
      <c r="F3152" s="10">
        <f t="shared" si="1"/>
        <v>-0.5712029447</v>
      </c>
    </row>
    <row r="3153" ht="14.25" customHeight="1">
      <c r="A3153" s="2" t="s">
        <v>175</v>
      </c>
      <c r="B3153" s="2" t="s">
        <v>176</v>
      </c>
      <c r="C3153" s="2">
        <v>2006.0</v>
      </c>
      <c r="D3153" s="9">
        <v>3475.912</v>
      </c>
      <c r="E3153" s="10" t="str">
        <f t="array" ref="E3153">IFS(D3153&lt;=$G$3,'calculated data '!$A$3,D3153&lt;=$G$4,'calculated data '!$A$4,D3153&lt;=$G$6,'calculated data '!$A$5,D3153&gt;=$G$6,'calculated data '!$A$6)</f>
        <v>Target Market (Core IQR)</v>
      </c>
      <c r="F3153" s="10">
        <f t="shared" si="1"/>
        <v>-0.57116495</v>
      </c>
    </row>
    <row r="3154" ht="14.25" customHeight="1">
      <c r="A3154" s="2" t="s">
        <v>213</v>
      </c>
      <c r="B3154" s="2" t="s">
        <v>214</v>
      </c>
      <c r="C3154" s="2">
        <v>2020.0</v>
      </c>
      <c r="D3154" s="9">
        <v>3477.782</v>
      </c>
      <c r="E3154" s="10" t="str">
        <f t="array" ref="E3154">IFS(D3154&lt;=$G$3,'calculated data '!$A$3,D3154&lt;=$G$4,'calculated data '!$A$4,D3154&lt;=$G$6,'calculated data '!$A$5,D3154&gt;=$G$6,'calculated data '!$A$6)</f>
        <v>Target Market (Core IQR)</v>
      </c>
      <c r="F3154" s="10">
        <f t="shared" si="1"/>
        <v>-0.5711154515</v>
      </c>
    </row>
    <row r="3155" ht="14.25" customHeight="1">
      <c r="A3155" s="2" t="s">
        <v>177</v>
      </c>
      <c r="B3155" s="2" t="s">
        <v>178</v>
      </c>
      <c r="C3155" s="2">
        <v>2003.0</v>
      </c>
      <c r="D3155" s="9">
        <v>3488.2104</v>
      </c>
      <c r="E3155" s="10" t="str">
        <f t="array" ref="E3155">IFS(D3155&lt;=$G$3,'calculated data '!$A$3,D3155&lt;=$G$4,'calculated data '!$A$4,D3155&lt;=$G$6,'calculated data '!$A$5,D3155&gt;=$G$6,'calculated data '!$A$6)</f>
        <v>Target Market (Core IQR)</v>
      </c>
      <c r="F3155" s="10">
        <f t="shared" si="1"/>
        <v>-0.5708394144</v>
      </c>
    </row>
    <row r="3156" ht="14.25" customHeight="1">
      <c r="A3156" s="2" t="s">
        <v>235</v>
      </c>
      <c r="B3156" s="2" t="s">
        <v>236</v>
      </c>
      <c r="C3156" s="2">
        <v>2009.0</v>
      </c>
      <c r="D3156" s="9">
        <v>3490.7937</v>
      </c>
      <c r="E3156" s="10" t="str">
        <f t="array" ref="E3156">IFS(D3156&lt;=$G$3,'calculated data '!$A$3,D3156&lt;=$G$4,'calculated data '!$A$4,D3156&lt;=$G$6,'calculated data '!$A$5,D3156&gt;=$G$6,'calculated data '!$A$6)</f>
        <v>Target Market (Core IQR)</v>
      </c>
      <c r="F3156" s="10">
        <f t="shared" si="1"/>
        <v>-0.5707710351</v>
      </c>
    </row>
    <row r="3157" ht="14.25" customHeight="1">
      <c r="A3157" s="2" t="s">
        <v>215</v>
      </c>
      <c r="B3157" s="2" t="s">
        <v>216</v>
      </c>
      <c r="C3157" s="2">
        <v>2003.0</v>
      </c>
      <c r="D3157" s="9">
        <v>3491.0627</v>
      </c>
      <c r="E3157" s="10" t="str">
        <f t="array" ref="E3157">IFS(D3157&lt;=$G$3,'calculated data '!$A$3,D3157&lt;=$G$4,'calculated data '!$A$4,D3157&lt;=$G$6,'calculated data '!$A$5,D3157&gt;=$G$6,'calculated data '!$A$6)</f>
        <v>Target Market (Core IQR)</v>
      </c>
      <c r="F3157" s="10">
        <f t="shared" si="1"/>
        <v>-0.5707639147</v>
      </c>
    </row>
    <row r="3158" ht="14.25" customHeight="1">
      <c r="A3158" s="2" t="s">
        <v>193</v>
      </c>
      <c r="B3158" s="2" t="s">
        <v>194</v>
      </c>
      <c r="C3158" s="2">
        <v>1992.0</v>
      </c>
      <c r="D3158" s="9">
        <v>3492.3977</v>
      </c>
      <c r="E3158" s="10" t="str">
        <f t="array" ref="E3158">IFS(D3158&lt;=$G$3,'calculated data '!$A$3,D3158&lt;=$G$4,'calculated data '!$A$4,D3158&lt;=$G$6,'calculated data '!$A$5,D3158&gt;=$G$6,'calculated data '!$A$6)</f>
        <v>Target Market (Core IQR)</v>
      </c>
      <c r="F3158" s="10">
        <f t="shared" si="1"/>
        <v>-0.5707285776</v>
      </c>
    </row>
    <row r="3159" ht="14.25" customHeight="1">
      <c r="A3159" s="2" t="s">
        <v>211</v>
      </c>
      <c r="B3159" s="2" t="s">
        <v>212</v>
      </c>
      <c r="C3159" s="2">
        <v>1989.0</v>
      </c>
      <c r="D3159" s="9">
        <v>3493.6526</v>
      </c>
      <c r="E3159" s="10" t="str">
        <f t="array" ref="E3159">IFS(D3159&lt;=$G$3,'calculated data '!$A$3,D3159&lt;=$G$4,'calculated data '!$A$4,D3159&lt;=$G$6,'calculated data '!$A$5,D3159&gt;=$G$6,'calculated data '!$A$6)</f>
        <v>Target Market (Core IQR)</v>
      </c>
      <c r="F3159" s="10">
        <f t="shared" si="1"/>
        <v>-0.5706953607</v>
      </c>
    </row>
    <row r="3160" ht="14.25" customHeight="1">
      <c r="A3160" s="2" t="s">
        <v>177</v>
      </c>
      <c r="B3160" s="2" t="s">
        <v>178</v>
      </c>
      <c r="C3160" s="2">
        <v>2013.0</v>
      </c>
      <c r="D3160" s="9">
        <v>3495.7808</v>
      </c>
      <c r="E3160" s="10" t="str">
        <f t="array" ref="E3160">IFS(D3160&lt;=$G$3,'calculated data '!$A$3,D3160&lt;=$G$4,'calculated data '!$A$4,D3160&lt;=$G$6,'calculated data '!$A$5,D3160&gt;=$G$6,'calculated data '!$A$6)</f>
        <v>Target Market (Core IQR)</v>
      </c>
      <c r="F3160" s="10">
        <f t="shared" si="1"/>
        <v>-0.5706390278</v>
      </c>
    </row>
    <row r="3161" ht="14.25" customHeight="1">
      <c r="A3161" s="2" t="s">
        <v>177</v>
      </c>
      <c r="B3161" s="2" t="s">
        <v>178</v>
      </c>
      <c r="C3161" s="2">
        <v>1984.0</v>
      </c>
      <c r="D3161" s="9">
        <v>3497.1821</v>
      </c>
      <c r="E3161" s="10" t="str">
        <f t="array" ref="E3161">IFS(D3161&lt;=$G$3,'calculated data '!$A$3,D3161&lt;=$G$4,'calculated data '!$A$4,D3161&lt;=$G$6,'calculated data '!$A$5,D3161&gt;=$G$6,'calculated data '!$A$6)</f>
        <v>Target Market (Core IQR)</v>
      </c>
      <c r="F3161" s="10">
        <f t="shared" si="1"/>
        <v>-0.5706019357</v>
      </c>
    </row>
    <row r="3162" ht="14.25" customHeight="1">
      <c r="A3162" s="2" t="s">
        <v>143</v>
      </c>
      <c r="B3162" s="2" t="s">
        <v>144</v>
      </c>
      <c r="C3162" s="2">
        <v>2011.0</v>
      </c>
      <c r="D3162" s="9">
        <v>3497.7622</v>
      </c>
      <c r="E3162" s="10" t="str">
        <f t="array" ref="E3162">IFS(D3162&lt;=$G$3,'calculated data '!$A$3,D3162&lt;=$G$4,'calculated data '!$A$4,D3162&lt;=$G$6,'calculated data '!$A$5,D3162&gt;=$G$6,'calculated data '!$A$6)</f>
        <v>Target Market (Core IQR)</v>
      </c>
      <c r="F3162" s="10">
        <f t="shared" si="1"/>
        <v>-0.5705865806</v>
      </c>
    </row>
    <row r="3163" ht="14.25" customHeight="1">
      <c r="A3163" s="2" t="s">
        <v>203</v>
      </c>
      <c r="B3163" s="2" t="s">
        <v>204</v>
      </c>
      <c r="C3163" s="2">
        <v>1987.0</v>
      </c>
      <c r="D3163" s="9">
        <v>3499.4075</v>
      </c>
      <c r="E3163" s="10" t="str">
        <f t="array" ref="E3163">IFS(D3163&lt;=$G$3,'calculated data '!$A$3,D3163&lt;=$G$4,'calculated data '!$A$4,D3163&lt;=$G$6,'calculated data '!$A$5,D3163&gt;=$G$6,'calculated data '!$A$6)</f>
        <v>Target Market (Core IQR)</v>
      </c>
      <c r="F3163" s="10">
        <f t="shared" si="1"/>
        <v>-0.5705430299</v>
      </c>
    </row>
    <row r="3164" ht="14.25" customHeight="1">
      <c r="A3164" s="2" t="s">
        <v>175</v>
      </c>
      <c r="B3164" s="2" t="s">
        <v>176</v>
      </c>
      <c r="C3164" s="2">
        <v>2010.0</v>
      </c>
      <c r="D3164" s="9">
        <v>3500.5625</v>
      </c>
      <c r="E3164" s="10" t="str">
        <f t="array" ref="E3164">IFS(D3164&lt;=$G$3,'calculated data '!$A$3,D3164&lt;=$G$4,'calculated data '!$A$4,D3164&lt;=$G$6,'calculated data '!$A$5,D3164&gt;=$G$6,'calculated data '!$A$6)</f>
        <v>Target Market (Core IQR)</v>
      </c>
      <c r="F3164" s="10">
        <f t="shared" si="1"/>
        <v>-0.5705124574</v>
      </c>
    </row>
    <row r="3165" ht="14.25" customHeight="1">
      <c r="A3165" s="2" t="s">
        <v>225</v>
      </c>
      <c r="B3165" s="2" t="s">
        <v>226</v>
      </c>
      <c r="C3165" s="2">
        <v>1992.0</v>
      </c>
      <c r="D3165" s="9">
        <v>3500.822</v>
      </c>
      <c r="E3165" s="10" t="str">
        <f t="array" ref="E3165">IFS(D3165&lt;=$G$3,'calculated data '!$A$3,D3165&lt;=$G$4,'calculated data '!$A$4,D3165&lt;=$G$6,'calculated data '!$A$5,D3165&gt;=$G$6,'calculated data '!$A$6)</f>
        <v>Target Market (Core IQR)</v>
      </c>
      <c r="F3165" s="10">
        <f t="shared" si="1"/>
        <v>-0.5705055885</v>
      </c>
    </row>
    <row r="3166" ht="14.25" customHeight="1">
      <c r="A3166" s="2" t="s">
        <v>245</v>
      </c>
      <c r="B3166" s="2" t="s">
        <v>246</v>
      </c>
      <c r="C3166" s="2">
        <v>2009.0</v>
      </c>
      <c r="D3166" s="9">
        <v>3501.6765</v>
      </c>
      <c r="E3166" s="10" t="str">
        <f t="array" ref="E3166">IFS(D3166&lt;=$G$3,'calculated data '!$A$3,D3166&lt;=$G$4,'calculated data '!$A$4,D3166&lt;=$G$6,'calculated data '!$A$5,D3166&gt;=$G$6,'calculated data '!$A$6)</f>
        <v>Target Market (Core IQR)</v>
      </c>
      <c r="F3166" s="10">
        <f t="shared" si="1"/>
        <v>-0.5704829701</v>
      </c>
    </row>
    <row r="3167" ht="14.25" customHeight="1">
      <c r="A3167" s="2" t="s">
        <v>51</v>
      </c>
      <c r="B3167" s="2" t="s">
        <v>52</v>
      </c>
      <c r="C3167" s="2">
        <v>2005.0</v>
      </c>
      <c r="D3167" s="9">
        <v>3502.8477</v>
      </c>
      <c r="E3167" s="10" t="str">
        <f t="array" ref="E3167">IFS(D3167&lt;=$G$3,'calculated data '!$A$3,D3167&lt;=$G$4,'calculated data '!$A$4,D3167&lt;=$G$6,'calculated data '!$A$5,D3167&gt;=$G$6,'calculated data '!$A$6)</f>
        <v>Target Market (Core IQR)</v>
      </c>
      <c r="F3167" s="10">
        <f t="shared" si="1"/>
        <v>-0.5704519687</v>
      </c>
    </row>
    <row r="3168" ht="14.25" customHeight="1">
      <c r="A3168" s="2" t="s">
        <v>207</v>
      </c>
      <c r="B3168" s="2" t="s">
        <v>208</v>
      </c>
      <c r="C3168" s="2">
        <v>1973.0</v>
      </c>
      <c r="D3168" s="9">
        <v>3505.4158</v>
      </c>
      <c r="E3168" s="10" t="str">
        <f t="array" ref="E3168">IFS(D3168&lt;=$G$3,'calculated data '!$A$3,D3168&lt;=$G$4,'calculated data '!$A$4,D3168&lt;=$G$6,'calculated data '!$A$5,D3168&gt;=$G$6,'calculated data '!$A$6)</f>
        <v>Target Market (Core IQR)</v>
      </c>
      <c r="F3168" s="10">
        <f t="shared" si="1"/>
        <v>-0.5703839917</v>
      </c>
    </row>
    <row r="3169" ht="14.25" customHeight="1">
      <c r="A3169" s="2" t="s">
        <v>143</v>
      </c>
      <c r="B3169" s="2" t="s">
        <v>144</v>
      </c>
      <c r="C3169" s="2">
        <v>2006.0</v>
      </c>
      <c r="D3169" s="9">
        <v>3507.4995</v>
      </c>
      <c r="E3169" s="10" t="str">
        <f t="array" ref="E3169">IFS(D3169&lt;=$G$3,'calculated data '!$A$3,D3169&lt;=$G$4,'calculated data '!$A$4,D3169&lt;=$G$6,'calculated data '!$A$5,D3169&gt;=$G$6,'calculated data '!$A$6)</f>
        <v>Target Market (Core IQR)</v>
      </c>
      <c r="F3169" s="10">
        <f t="shared" si="1"/>
        <v>-0.5703288367</v>
      </c>
    </row>
    <row r="3170" ht="14.25" customHeight="1">
      <c r="A3170" s="2" t="s">
        <v>213</v>
      </c>
      <c r="B3170" s="2" t="s">
        <v>214</v>
      </c>
      <c r="C3170" s="2">
        <v>2012.0</v>
      </c>
      <c r="D3170" s="9">
        <v>3512.634</v>
      </c>
      <c r="E3170" s="10" t="str">
        <f t="array" ref="E3170">IFS(D3170&lt;=$G$3,'calculated data '!$A$3,D3170&lt;=$G$4,'calculated data '!$A$4,D3170&lt;=$G$6,'calculated data '!$A$5,D3170&gt;=$G$6,'calculated data '!$A$6)</f>
        <v>Target Market (Core IQR)</v>
      </c>
      <c r="F3170" s="10">
        <f t="shared" si="1"/>
        <v>-0.5701929278</v>
      </c>
    </row>
    <row r="3171" ht="14.25" customHeight="1">
      <c r="A3171" s="2" t="s">
        <v>241</v>
      </c>
      <c r="B3171" s="2" t="s">
        <v>242</v>
      </c>
      <c r="C3171" s="2">
        <v>1981.0</v>
      </c>
      <c r="D3171" s="9">
        <v>3513.199</v>
      </c>
      <c r="E3171" s="10" t="str">
        <f t="array" ref="E3171">IFS(D3171&lt;=$G$3,'calculated data '!$A$3,D3171&lt;=$G$4,'calculated data '!$A$4,D3171&lt;=$G$6,'calculated data '!$A$5,D3171&gt;=$G$6,'calculated data '!$A$6)</f>
        <v>Target Market (Core IQR)</v>
      </c>
      <c r="F3171" s="10">
        <f t="shared" si="1"/>
        <v>-0.5701779724</v>
      </c>
    </row>
    <row r="3172" ht="14.25" customHeight="1">
      <c r="A3172" s="2" t="s">
        <v>111</v>
      </c>
      <c r="B3172" s="2" t="s">
        <v>112</v>
      </c>
      <c r="C3172" s="2">
        <v>2002.0</v>
      </c>
      <c r="D3172" s="9">
        <v>3513.4697</v>
      </c>
      <c r="E3172" s="10" t="str">
        <f t="array" ref="E3172">IFS(D3172&lt;=$G$3,'calculated data '!$A$3,D3172&lt;=$G$4,'calculated data '!$A$4,D3172&lt;=$G$6,'calculated data '!$A$5,D3172&gt;=$G$6,'calculated data '!$A$6)</f>
        <v>Target Market (Core IQR)</v>
      </c>
      <c r="F3172" s="10">
        <f t="shared" si="1"/>
        <v>-0.570170807</v>
      </c>
    </row>
    <row r="3173" ht="14.25" customHeight="1">
      <c r="A3173" s="2" t="s">
        <v>213</v>
      </c>
      <c r="B3173" s="2" t="s">
        <v>214</v>
      </c>
      <c r="C3173" s="2">
        <v>2005.0</v>
      </c>
      <c r="D3173" s="9">
        <v>3518.621</v>
      </c>
      <c r="E3173" s="10" t="str">
        <f t="array" ref="E3173">IFS(D3173&lt;=$G$3,'calculated data '!$A$3,D3173&lt;=$G$4,'calculated data '!$A$4,D3173&lt;=$G$6,'calculated data '!$A$5,D3173&gt;=$G$6,'calculated data '!$A$6)</f>
        <v>Target Market (Core IQR)</v>
      </c>
      <c r="F3173" s="10">
        <f t="shared" si="1"/>
        <v>-0.5700344534</v>
      </c>
    </row>
    <row r="3174" ht="14.25" customHeight="1">
      <c r="A3174" s="2" t="s">
        <v>247</v>
      </c>
      <c r="B3174" s="2" t="s">
        <v>248</v>
      </c>
      <c r="C3174" s="2">
        <v>1980.0</v>
      </c>
      <c r="D3174" s="9">
        <v>3520.0725</v>
      </c>
      <c r="E3174" s="10" t="str">
        <f t="array" ref="E3174">IFS(D3174&lt;=$G$3,'calculated data '!$A$3,D3174&lt;=$G$4,'calculated data '!$A$4,D3174&lt;=$G$6,'calculated data '!$A$5,D3174&gt;=$G$6,'calculated data '!$A$6)</f>
        <v>Target Market (Core IQR)</v>
      </c>
      <c r="F3174" s="10">
        <f t="shared" si="1"/>
        <v>-0.5699960325</v>
      </c>
    </row>
    <row r="3175" ht="14.25" customHeight="1">
      <c r="A3175" s="2" t="s">
        <v>47</v>
      </c>
      <c r="B3175" s="2" t="s">
        <v>48</v>
      </c>
      <c r="C3175" s="2">
        <v>1996.0</v>
      </c>
      <c r="D3175" s="9">
        <v>3520.2522</v>
      </c>
      <c r="E3175" s="10" t="str">
        <f t="array" ref="E3175">IFS(D3175&lt;=$G$3,'calculated data '!$A$3,D3175&lt;=$G$4,'calculated data '!$A$4,D3175&lt;=$G$6,'calculated data '!$A$5,D3175&gt;=$G$6,'calculated data '!$A$6)</f>
        <v>Target Market (Core IQR)</v>
      </c>
      <c r="F3175" s="10">
        <f t="shared" si="1"/>
        <v>-0.5699912759</v>
      </c>
    </row>
    <row r="3176" ht="14.25" customHeight="1">
      <c r="A3176" s="2" t="s">
        <v>213</v>
      </c>
      <c r="B3176" s="2" t="s">
        <v>214</v>
      </c>
      <c r="C3176" s="2">
        <v>2006.0</v>
      </c>
      <c r="D3176" s="9">
        <v>3523.339</v>
      </c>
      <c r="E3176" s="10" t="str">
        <f t="array" ref="E3176">IFS(D3176&lt;=$G$3,'calculated data '!$A$3,D3176&lt;=$G$4,'calculated data '!$A$4,D3176&lt;=$G$6,'calculated data '!$A$5,D3176&gt;=$G$6,'calculated data '!$A$6)</f>
        <v>Target Market (Core IQR)</v>
      </c>
      <c r="F3176" s="10">
        <f t="shared" si="1"/>
        <v>-0.5699095691</v>
      </c>
    </row>
    <row r="3177" ht="14.25" customHeight="1">
      <c r="A3177" s="2" t="s">
        <v>205</v>
      </c>
      <c r="B3177" s="2" t="s">
        <v>206</v>
      </c>
      <c r="C3177" s="2">
        <v>1977.0</v>
      </c>
      <c r="D3177" s="9">
        <v>3523.6506</v>
      </c>
      <c r="E3177" s="10" t="str">
        <f t="array" ref="E3177">IFS(D3177&lt;=$G$3,'calculated data '!$A$3,D3177&lt;=$G$4,'calculated data '!$A$4,D3177&lt;=$G$6,'calculated data '!$A$5,D3177&gt;=$G$6,'calculated data '!$A$6)</f>
        <v>Target Market (Core IQR)</v>
      </c>
      <c r="F3177" s="10">
        <f t="shared" si="1"/>
        <v>-0.5699013211</v>
      </c>
    </row>
    <row r="3178" ht="14.25" customHeight="1">
      <c r="A3178" s="2" t="s">
        <v>143</v>
      </c>
      <c r="B3178" s="2" t="s">
        <v>144</v>
      </c>
      <c r="C3178" s="2">
        <v>2007.0</v>
      </c>
      <c r="D3178" s="9">
        <v>3523.8645</v>
      </c>
      <c r="E3178" s="10" t="str">
        <f t="array" ref="E3178">IFS(D3178&lt;=$G$3,'calculated data '!$A$3,D3178&lt;=$G$4,'calculated data '!$A$4,D3178&lt;=$G$6,'calculated data '!$A$5,D3178&gt;=$G$6,'calculated data '!$A$6)</f>
        <v>Target Market (Core IQR)</v>
      </c>
      <c r="F3178" s="10">
        <f t="shared" si="1"/>
        <v>-0.5698956592</v>
      </c>
    </row>
    <row r="3179" ht="14.25" customHeight="1">
      <c r="A3179" s="2" t="s">
        <v>189</v>
      </c>
      <c r="B3179" s="2" t="s">
        <v>190</v>
      </c>
      <c r="C3179" s="2">
        <v>2006.0</v>
      </c>
      <c r="D3179" s="9">
        <v>3524.818</v>
      </c>
      <c r="E3179" s="10" t="str">
        <f t="array" ref="E3179">IFS(D3179&lt;=$G$3,'calculated data '!$A$3,D3179&lt;=$G$4,'calculated data '!$A$4,D3179&lt;=$G$6,'calculated data '!$A$5,D3179&gt;=$G$6,'calculated data '!$A$6)</f>
        <v>Target Market (Core IQR)</v>
      </c>
      <c r="F3179" s="10">
        <f t="shared" si="1"/>
        <v>-0.5698704203</v>
      </c>
    </row>
    <row r="3180" ht="14.25" customHeight="1">
      <c r="A3180" s="2" t="s">
        <v>199</v>
      </c>
      <c r="B3180" s="2" t="s">
        <v>200</v>
      </c>
      <c r="C3180" s="2">
        <v>2011.0</v>
      </c>
      <c r="D3180" s="9">
        <v>3525.1406</v>
      </c>
      <c r="E3180" s="10" t="str">
        <f t="array" ref="E3180">IFS(D3180&lt;=$G$3,'calculated data '!$A$3,D3180&lt;=$G$4,'calculated data '!$A$4,D3180&lt;=$G$6,'calculated data '!$A$5,D3180&gt;=$G$6,'calculated data '!$A$6)</f>
        <v>Target Market (Core IQR)</v>
      </c>
      <c r="F3180" s="10">
        <f t="shared" si="1"/>
        <v>-0.5698618812</v>
      </c>
    </row>
    <row r="3181" ht="14.25" customHeight="1">
      <c r="A3181" s="2" t="s">
        <v>51</v>
      </c>
      <c r="B3181" s="2" t="s">
        <v>52</v>
      </c>
      <c r="C3181" s="2">
        <v>2008.0</v>
      </c>
      <c r="D3181" s="9">
        <v>3525.8801</v>
      </c>
      <c r="E3181" s="10" t="str">
        <f t="array" ref="E3181">IFS(D3181&lt;=$G$3,'calculated data '!$A$3,D3181&lt;=$G$4,'calculated data '!$A$4,D3181&lt;=$G$6,'calculated data '!$A$5,D3181&gt;=$G$6,'calculated data '!$A$6)</f>
        <v>Target Market (Core IQR)</v>
      </c>
      <c r="F3181" s="10">
        <f t="shared" si="1"/>
        <v>-0.5698423068</v>
      </c>
    </row>
    <row r="3182" ht="14.25" customHeight="1">
      <c r="A3182" s="2" t="s">
        <v>139</v>
      </c>
      <c r="B3182" s="2" t="s">
        <v>140</v>
      </c>
      <c r="C3182" s="2">
        <v>2022.0</v>
      </c>
      <c r="D3182" s="9">
        <v>3526.4526</v>
      </c>
      <c r="E3182" s="10" t="str">
        <f t="array" ref="E3182">IFS(D3182&lt;=$G$3,'calculated data '!$A$3,D3182&lt;=$G$4,'calculated data '!$A$4,D3182&lt;=$G$6,'calculated data '!$A$5,D3182&gt;=$G$6,'calculated data '!$A$6)</f>
        <v>Target Market (Core IQR)</v>
      </c>
      <c r="F3182" s="10">
        <f t="shared" si="1"/>
        <v>-0.5698271529</v>
      </c>
    </row>
    <row r="3183" ht="14.25" customHeight="1">
      <c r="A3183" s="2" t="s">
        <v>249</v>
      </c>
      <c r="B3183" s="2" t="s">
        <v>250</v>
      </c>
      <c r="C3183" s="2">
        <v>1965.0</v>
      </c>
      <c r="D3183" s="9">
        <v>3526.523</v>
      </c>
      <c r="E3183" s="10" t="str">
        <f t="array" ref="E3183">IFS(D3183&lt;=$G$3,'calculated data '!$A$3,D3183&lt;=$G$4,'calculated data '!$A$4,D3183&lt;=$G$6,'calculated data '!$A$5,D3183&gt;=$G$6,'calculated data '!$A$6)</f>
        <v>Target Market (Core IQR)</v>
      </c>
      <c r="F3183" s="10">
        <f t="shared" si="1"/>
        <v>-0.5698252894</v>
      </c>
    </row>
    <row r="3184" ht="14.25" customHeight="1">
      <c r="A3184" s="2" t="s">
        <v>141</v>
      </c>
      <c r="B3184" s="2" t="s">
        <v>142</v>
      </c>
      <c r="C3184" s="2">
        <v>1984.0</v>
      </c>
      <c r="D3184" s="9">
        <v>3528.341</v>
      </c>
      <c r="E3184" s="10" t="str">
        <f t="array" ref="E3184">IFS(D3184&lt;=$G$3,'calculated data '!$A$3,D3184&lt;=$G$4,'calculated data '!$A$4,D3184&lt;=$G$6,'calculated data '!$A$5,D3184&gt;=$G$6,'calculated data '!$A$6)</f>
        <v>Target Market (Core IQR)</v>
      </c>
      <c r="F3184" s="10">
        <f t="shared" si="1"/>
        <v>-0.5697771674</v>
      </c>
    </row>
    <row r="3185" ht="14.25" customHeight="1">
      <c r="A3185" s="2" t="s">
        <v>197</v>
      </c>
      <c r="B3185" s="2" t="s">
        <v>198</v>
      </c>
      <c r="C3185" s="2">
        <v>1973.0</v>
      </c>
      <c r="D3185" s="9">
        <v>3529.237</v>
      </c>
      <c r="E3185" s="10" t="str">
        <f t="array" ref="E3185">IFS(D3185&lt;=$G$3,'calculated data '!$A$3,D3185&lt;=$G$4,'calculated data '!$A$4,D3185&lt;=$G$6,'calculated data '!$A$5,D3185&gt;=$G$6,'calculated data '!$A$6)</f>
        <v>Target Market (Core IQR)</v>
      </c>
      <c r="F3185" s="10">
        <f t="shared" si="1"/>
        <v>-0.5697534505</v>
      </c>
    </row>
    <row r="3186" ht="14.25" customHeight="1">
      <c r="A3186" s="2" t="s">
        <v>199</v>
      </c>
      <c r="B3186" s="2" t="s">
        <v>200</v>
      </c>
      <c r="C3186" s="2">
        <v>2008.0</v>
      </c>
      <c r="D3186" s="9">
        <v>3529.4275</v>
      </c>
      <c r="E3186" s="10" t="str">
        <f t="array" ref="E3186">IFS(D3186&lt;=$G$3,'calculated data '!$A$3,D3186&lt;=$G$4,'calculated data '!$A$4,D3186&lt;=$G$6,'calculated data '!$A$5,D3186&gt;=$G$6,'calculated data '!$A$6)</f>
        <v>Target Market (Core IQR)</v>
      </c>
      <c r="F3186" s="10">
        <f t="shared" si="1"/>
        <v>-0.569748408</v>
      </c>
    </row>
    <row r="3187" ht="14.25" customHeight="1">
      <c r="A3187" s="2" t="s">
        <v>213</v>
      </c>
      <c r="B3187" s="2" t="s">
        <v>214</v>
      </c>
      <c r="C3187" s="2">
        <v>2004.0</v>
      </c>
      <c r="D3187" s="9">
        <v>3533.9648</v>
      </c>
      <c r="E3187" s="10" t="str">
        <f t="array" ref="E3187">IFS(D3187&lt;=$G$3,'calculated data '!$A$3,D3187&lt;=$G$4,'calculated data '!$A$4,D3187&lt;=$G$6,'calculated data '!$A$5,D3187&gt;=$G$6,'calculated data '!$A$6)</f>
        <v>Target Market (Core IQR)</v>
      </c>
      <c r="F3187" s="10">
        <f t="shared" si="1"/>
        <v>-0.5696283068</v>
      </c>
    </row>
    <row r="3188" ht="14.25" customHeight="1">
      <c r="A3188" s="2" t="s">
        <v>175</v>
      </c>
      <c r="B3188" s="2" t="s">
        <v>176</v>
      </c>
      <c r="C3188" s="2">
        <v>2008.0</v>
      </c>
      <c r="D3188" s="9">
        <v>3534.4348</v>
      </c>
      <c r="E3188" s="10" t="str">
        <f t="array" ref="E3188">IFS(D3188&lt;=$G$3,'calculated data '!$A$3,D3188&lt;=$G$4,'calculated data '!$A$4,D3188&lt;=$G$6,'calculated data '!$A$5,D3188&gt;=$G$6,'calculated data '!$A$6)</f>
        <v>Target Market (Core IQR)</v>
      </c>
      <c r="F3188" s="10">
        <f t="shared" si="1"/>
        <v>-0.569615866</v>
      </c>
    </row>
    <row r="3189" ht="14.25" customHeight="1">
      <c r="A3189" s="2" t="s">
        <v>177</v>
      </c>
      <c r="B3189" s="2" t="s">
        <v>178</v>
      </c>
      <c r="C3189" s="2">
        <v>2006.0</v>
      </c>
      <c r="D3189" s="9">
        <v>3534.5298</v>
      </c>
      <c r="E3189" s="10" t="str">
        <f t="array" ref="E3189">IFS(D3189&lt;=$G$3,'calculated data '!$A$3,D3189&lt;=$G$4,'calculated data '!$A$4,D3189&lt;=$G$6,'calculated data '!$A$5,D3189&gt;=$G$6,'calculated data '!$A$6)</f>
        <v>Target Market (Core IQR)</v>
      </c>
      <c r="F3189" s="10">
        <f t="shared" si="1"/>
        <v>-0.5696133514</v>
      </c>
    </row>
    <row r="3190" ht="14.25" customHeight="1">
      <c r="A3190" s="2" t="s">
        <v>199</v>
      </c>
      <c r="B3190" s="2" t="s">
        <v>200</v>
      </c>
      <c r="C3190" s="2">
        <v>1999.0</v>
      </c>
      <c r="D3190" s="9">
        <v>3535.9653</v>
      </c>
      <c r="E3190" s="10" t="str">
        <f t="array" ref="E3190">IFS(D3190&lt;=$G$3,'calculated data '!$A$3,D3190&lt;=$G$4,'calculated data '!$A$4,D3190&lt;=$G$6,'calculated data '!$A$5,D3190&gt;=$G$6,'calculated data '!$A$6)</f>
        <v>Target Market (Core IQR)</v>
      </c>
      <c r="F3190" s="10">
        <f t="shared" si="1"/>
        <v>-0.5695753541</v>
      </c>
    </row>
    <row r="3191" ht="14.25" customHeight="1">
      <c r="A3191" s="2" t="s">
        <v>47</v>
      </c>
      <c r="B3191" s="2" t="s">
        <v>48</v>
      </c>
      <c r="C3191" s="2">
        <v>1998.0</v>
      </c>
      <c r="D3191" s="9">
        <v>3536.8489</v>
      </c>
      <c r="E3191" s="10" t="str">
        <f t="array" ref="E3191">IFS(D3191&lt;=$G$3,'calculated data '!$A$3,D3191&lt;=$G$4,'calculated data '!$A$4,D3191&lt;=$G$6,'calculated data '!$A$5,D3191&gt;=$G$6,'calculated data '!$A$6)</f>
        <v>Target Market (Core IQR)</v>
      </c>
      <c r="F3191" s="10">
        <f t="shared" si="1"/>
        <v>-0.5695519654</v>
      </c>
    </row>
    <row r="3192" ht="14.25" customHeight="1">
      <c r="A3192" s="2" t="s">
        <v>211</v>
      </c>
      <c r="B3192" s="2" t="s">
        <v>212</v>
      </c>
      <c r="C3192" s="2">
        <v>1997.0</v>
      </c>
      <c r="D3192" s="9">
        <v>3543.4634</v>
      </c>
      <c r="E3192" s="10" t="str">
        <f t="array" ref="E3192">IFS(D3192&lt;=$G$3,'calculated data '!$A$3,D3192&lt;=$G$4,'calculated data '!$A$4,D3192&lt;=$G$6,'calculated data '!$A$5,D3192&gt;=$G$6,'calculated data '!$A$6)</f>
        <v>Target Market (Core IQR)</v>
      </c>
      <c r="F3192" s="10">
        <f t="shared" si="1"/>
        <v>-0.5693768812</v>
      </c>
    </row>
    <row r="3193" ht="14.25" customHeight="1">
      <c r="A3193" s="2" t="s">
        <v>143</v>
      </c>
      <c r="B3193" s="2" t="s">
        <v>144</v>
      </c>
      <c r="C3193" s="2">
        <v>2013.0</v>
      </c>
      <c r="D3193" s="9">
        <v>3544.6206</v>
      </c>
      <c r="E3193" s="10" t="str">
        <f t="array" ref="E3193">IFS(D3193&lt;=$G$3,'calculated data '!$A$3,D3193&lt;=$G$4,'calculated data '!$A$4,D3193&lt;=$G$6,'calculated data '!$A$5,D3193&gt;=$G$6,'calculated data '!$A$6)</f>
        <v>Target Market (Core IQR)</v>
      </c>
      <c r="F3193" s="10">
        <f t="shared" si="1"/>
        <v>-0.5693462504</v>
      </c>
    </row>
    <row r="3194" ht="14.25" customHeight="1">
      <c r="A3194" s="2" t="s">
        <v>179</v>
      </c>
      <c r="B3194" s="2" t="s">
        <v>180</v>
      </c>
      <c r="C3194" s="2">
        <v>1980.0</v>
      </c>
      <c r="D3194" s="9">
        <v>3548.6726</v>
      </c>
      <c r="E3194" s="10" t="str">
        <f t="array" ref="E3194">IFS(D3194&lt;=$G$3,'calculated data '!$A$3,D3194&lt;=$G$4,'calculated data '!$A$4,D3194&lt;=$G$6,'calculated data '!$A$5,D3194&gt;=$G$6,'calculated data '!$A$6)</f>
        <v>Target Market (Core IQR)</v>
      </c>
      <c r="F3194" s="10">
        <f t="shared" si="1"/>
        <v>-0.569238995</v>
      </c>
    </row>
    <row r="3195" ht="14.25" customHeight="1">
      <c r="A3195" s="2" t="s">
        <v>245</v>
      </c>
      <c r="B3195" s="2" t="s">
        <v>246</v>
      </c>
      <c r="C3195" s="2">
        <v>2010.0</v>
      </c>
      <c r="D3195" s="9">
        <v>3551.2854</v>
      </c>
      <c r="E3195" s="10" t="str">
        <f t="array" ref="E3195">IFS(D3195&lt;=$G$3,'calculated data '!$A$3,D3195&lt;=$G$4,'calculated data '!$A$4,D3195&lt;=$G$6,'calculated data '!$A$5,D3195&gt;=$G$6,'calculated data '!$A$6)</f>
        <v>Target Market (Core IQR)</v>
      </c>
      <c r="F3195" s="10">
        <f t="shared" si="1"/>
        <v>-0.5691698348</v>
      </c>
    </row>
    <row r="3196" ht="14.25" customHeight="1">
      <c r="A3196" s="2" t="s">
        <v>199</v>
      </c>
      <c r="B3196" s="2" t="s">
        <v>200</v>
      </c>
      <c r="C3196" s="2">
        <v>2005.0</v>
      </c>
      <c r="D3196" s="9">
        <v>3554.724</v>
      </c>
      <c r="E3196" s="10" t="str">
        <f t="array" ref="E3196">IFS(D3196&lt;=$G$3,'calculated data '!$A$3,D3196&lt;=$G$4,'calculated data '!$A$4,D3196&lt;=$G$6,'calculated data '!$A$5,D3196&gt;=$G$6,'calculated data '!$A$6)</f>
        <v>Target Market (Core IQR)</v>
      </c>
      <c r="F3196" s="10">
        <f t="shared" si="1"/>
        <v>-0.569078816</v>
      </c>
    </row>
    <row r="3197" ht="14.25" customHeight="1">
      <c r="A3197" s="2" t="s">
        <v>197</v>
      </c>
      <c r="B3197" s="2" t="s">
        <v>198</v>
      </c>
      <c r="C3197" s="2">
        <v>1974.0</v>
      </c>
      <c r="D3197" s="9">
        <v>3560.1216</v>
      </c>
      <c r="E3197" s="10" t="str">
        <f t="array" ref="E3197">IFS(D3197&lt;=$G$3,'calculated data '!$A$3,D3197&lt;=$G$4,'calculated data '!$A$4,D3197&lt;=$G$6,'calculated data '!$A$5,D3197&gt;=$G$6,'calculated data '!$A$6)</f>
        <v>Target Market (Core IQR)</v>
      </c>
      <c r="F3197" s="10">
        <f t="shared" si="1"/>
        <v>-0.5689359428</v>
      </c>
    </row>
    <row r="3198" ht="14.25" customHeight="1">
      <c r="A3198" s="2" t="s">
        <v>175</v>
      </c>
      <c r="B3198" s="2" t="s">
        <v>176</v>
      </c>
      <c r="C3198" s="2">
        <v>2015.0</v>
      </c>
      <c r="D3198" s="9">
        <v>3562.3457</v>
      </c>
      <c r="E3198" s="10" t="str">
        <f t="array" ref="E3198">IFS(D3198&lt;=$G$3,'calculated data '!$A$3,D3198&lt;=$G$4,'calculated data '!$A$4,D3198&lt;=$G$6,'calculated data '!$A$5,D3198&gt;=$G$6,'calculated data '!$A$6)</f>
        <v>Target Market (Core IQR)</v>
      </c>
      <c r="F3198" s="10">
        <f t="shared" si="1"/>
        <v>-0.5688770715</v>
      </c>
    </row>
    <row r="3199" ht="14.25" customHeight="1">
      <c r="A3199" s="2" t="s">
        <v>203</v>
      </c>
      <c r="B3199" s="2" t="s">
        <v>204</v>
      </c>
      <c r="C3199" s="2">
        <v>1989.0</v>
      </c>
      <c r="D3199" s="9">
        <v>3566.81</v>
      </c>
      <c r="E3199" s="10" t="str">
        <f t="array" ref="E3199">IFS(D3199&lt;=$G$3,'calculated data '!$A$3,D3199&lt;=$G$4,'calculated data '!$A$4,D3199&lt;=$G$6,'calculated data '!$A$5,D3199&gt;=$G$6,'calculated data '!$A$6)</f>
        <v>Target Market (Core IQR)</v>
      </c>
      <c r="F3199" s="10">
        <f t="shared" si="1"/>
        <v>-0.5687589026</v>
      </c>
    </row>
    <row r="3200" ht="14.25" customHeight="1">
      <c r="A3200" s="2" t="s">
        <v>181</v>
      </c>
      <c r="B3200" s="2" t="s">
        <v>182</v>
      </c>
      <c r="C3200" s="2">
        <v>2013.0</v>
      </c>
      <c r="D3200" s="9">
        <v>3570.166</v>
      </c>
      <c r="E3200" s="10" t="str">
        <f t="array" ref="E3200">IFS(D3200&lt;=$G$3,'calculated data '!$A$3,D3200&lt;=$G$4,'calculated data '!$A$4,D3200&lt;=$G$6,'calculated data '!$A$5,D3200&gt;=$G$6,'calculated data '!$A$6)</f>
        <v>Target Market (Core IQR)</v>
      </c>
      <c r="F3200" s="10">
        <f t="shared" si="1"/>
        <v>-0.5686700701</v>
      </c>
    </row>
    <row r="3201" ht="14.25" customHeight="1">
      <c r="A3201" s="2" t="s">
        <v>209</v>
      </c>
      <c r="B3201" s="2" t="s">
        <v>210</v>
      </c>
      <c r="C3201" s="2">
        <v>1996.0</v>
      </c>
      <c r="D3201" s="9">
        <v>3573.513</v>
      </c>
      <c r="E3201" s="10" t="str">
        <f t="array" ref="E3201">IFS(D3201&lt;=$G$3,'calculated data '!$A$3,D3201&lt;=$G$4,'calculated data '!$A$4,D3201&lt;=$G$6,'calculated data '!$A$5,D3201&gt;=$G$6,'calculated data '!$A$6)</f>
        <v>Target Market (Core IQR)</v>
      </c>
      <c r="F3201" s="10">
        <f t="shared" si="1"/>
        <v>-0.5685814758</v>
      </c>
    </row>
    <row r="3202" ht="14.25" customHeight="1">
      <c r="A3202" s="2" t="s">
        <v>175</v>
      </c>
      <c r="B3202" s="2" t="s">
        <v>176</v>
      </c>
      <c r="C3202" s="2">
        <v>2009.0</v>
      </c>
      <c r="D3202" s="9">
        <v>3574.008</v>
      </c>
      <c r="E3202" s="10" t="str">
        <f t="array" ref="E3202">IFS(D3202&lt;=$G$3,'calculated data '!$A$3,D3202&lt;=$G$4,'calculated data '!$A$4,D3202&lt;=$G$6,'calculated data '!$A$5,D3202&gt;=$G$6,'calculated data '!$A$6)</f>
        <v>Target Market (Core IQR)</v>
      </c>
      <c r="F3202" s="10">
        <f t="shared" si="1"/>
        <v>-0.5685683733</v>
      </c>
    </row>
    <row r="3203" ht="14.25" customHeight="1">
      <c r="A3203" s="2" t="s">
        <v>213</v>
      </c>
      <c r="B3203" s="2" t="s">
        <v>214</v>
      </c>
      <c r="C3203" s="2">
        <v>2013.0</v>
      </c>
      <c r="D3203" s="9">
        <v>3574.803</v>
      </c>
      <c r="E3203" s="10" t="str">
        <f t="array" ref="E3203">IFS(D3203&lt;=$G$3,'calculated data '!$A$3,D3203&lt;=$G$4,'calculated data '!$A$4,D3203&lt;=$G$6,'calculated data '!$A$5,D3203&gt;=$G$6,'calculated data '!$A$6)</f>
        <v>Target Market (Core IQR)</v>
      </c>
      <c r="F3203" s="10">
        <f t="shared" si="1"/>
        <v>-0.5685473298</v>
      </c>
    </row>
    <row r="3204" ht="14.25" customHeight="1">
      <c r="A3204" s="2" t="s">
        <v>161</v>
      </c>
      <c r="B3204" s="2" t="s">
        <v>162</v>
      </c>
      <c r="C3204" s="2">
        <v>1984.0</v>
      </c>
      <c r="D3204" s="9">
        <v>3575.069</v>
      </c>
      <c r="E3204" s="10" t="str">
        <f t="array" ref="E3204">IFS(D3204&lt;=$G$3,'calculated data '!$A$3,D3204&lt;=$G$4,'calculated data '!$A$4,D3204&lt;=$G$6,'calculated data '!$A$5,D3204&gt;=$G$6,'calculated data '!$A$6)</f>
        <v>Target Market (Core IQR)</v>
      </c>
      <c r="F3204" s="10">
        <f t="shared" si="1"/>
        <v>-0.5685402889</v>
      </c>
    </row>
    <row r="3205" ht="14.25" customHeight="1">
      <c r="A3205" s="2" t="s">
        <v>235</v>
      </c>
      <c r="B3205" s="2" t="s">
        <v>236</v>
      </c>
      <c r="C3205" s="2">
        <v>2015.0</v>
      </c>
      <c r="D3205" s="9">
        <v>3576.172</v>
      </c>
      <c r="E3205" s="10" t="str">
        <f t="array" ref="E3205">IFS(D3205&lt;=$G$3,'calculated data '!$A$3,D3205&lt;=$G$4,'calculated data '!$A$4,D3205&lt;=$G$6,'calculated data '!$A$5,D3205&gt;=$G$6,'calculated data '!$A$6)</f>
        <v>Target Market (Core IQR)</v>
      </c>
      <c r="F3205" s="10">
        <f t="shared" si="1"/>
        <v>-0.5685110927</v>
      </c>
    </row>
    <row r="3206" ht="14.25" customHeight="1">
      <c r="A3206" s="2" t="s">
        <v>241</v>
      </c>
      <c r="B3206" s="2" t="s">
        <v>242</v>
      </c>
      <c r="C3206" s="2">
        <v>1983.0</v>
      </c>
      <c r="D3206" s="9">
        <v>3576.3506</v>
      </c>
      <c r="E3206" s="10" t="str">
        <f t="array" ref="E3206">IFS(D3206&lt;=$G$3,'calculated data '!$A$3,D3206&lt;=$G$4,'calculated data '!$A$4,D3206&lt;=$G$6,'calculated data '!$A$5,D3206&gt;=$G$6,'calculated data '!$A$6)</f>
        <v>Target Market (Core IQR)</v>
      </c>
      <c r="F3206" s="10">
        <f t="shared" si="1"/>
        <v>-0.5685063652</v>
      </c>
    </row>
    <row r="3207" ht="14.25" customHeight="1">
      <c r="A3207" s="2" t="s">
        <v>177</v>
      </c>
      <c r="B3207" s="2" t="s">
        <v>178</v>
      </c>
      <c r="C3207" s="2">
        <v>2004.0</v>
      </c>
      <c r="D3207" s="9">
        <v>3576.4956</v>
      </c>
      <c r="E3207" s="10" t="str">
        <f t="array" ref="E3207">IFS(D3207&lt;=$G$3,'calculated data '!$A$3,D3207&lt;=$G$4,'calculated data '!$A$4,D3207&lt;=$G$6,'calculated data '!$A$5,D3207&gt;=$G$6,'calculated data '!$A$6)</f>
        <v>Target Market (Core IQR)</v>
      </c>
      <c r="F3207" s="10">
        <f t="shared" si="1"/>
        <v>-0.5685025271</v>
      </c>
    </row>
    <row r="3208" ht="14.25" customHeight="1">
      <c r="A3208" s="2" t="s">
        <v>175</v>
      </c>
      <c r="B3208" s="2" t="s">
        <v>176</v>
      </c>
      <c r="C3208" s="2">
        <v>2007.0</v>
      </c>
      <c r="D3208" s="9">
        <v>3576.7861</v>
      </c>
      <c r="E3208" s="10" t="str">
        <f t="array" ref="E3208">IFS(D3208&lt;=$G$3,'calculated data '!$A$3,D3208&lt;=$G$4,'calculated data '!$A$4,D3208&lt;=$G$6,'calculated data '!$A$5,D3208&gt;=$G$6,'calculated data '!$A$6)</f>
        <v>Target Market (Core IQR)</v>
      </c>
      <c r="F3208" s="10">
        <f t="shared" si="1"/>
        <v>-0.5684948377</v>
      </c>
    </row>
    <row r="3209" ht="14.25" customHeight="1">
      <c r="A3209" s="2" t="s">
        <v>215</v>
      </c>
      <c r="B3209" s="2" t="s">
        <v>216</v>
      </c>
      <c r="C3209" s="2">
        <v>2022.0</v>
      </c>
      <c r="D3209" s="9">
        <v>3578.9443</v>
      </c>
      <c r="E3209" s="10" t="str">
        <f t="array" ref="E3209">IFS(D3209&lt;=$G$3,'calculated data '!$A$3,D3209&lt;=$G$4,'calculated data '!$A$4,D3209&lt;=$G$6,'calculated data '!$A$5,D3209&gt;=$G$6,'calculated data '!$A$6)</f>
        <v>Target Market (Core IQR)</v>
      </c>
      <c r="F3209" s="10">
        <f t="shared" si="1"/>
        <v>-0.5684377107</v>
      </c>
    </row>
    <row r="3210" ht="14.25" customHeight="1">
      <c r="A3210" s="2" t="s">
        <v>201</v>
      </c>
      <c r="B3210" s="2" t="s">
        <v>202</v>
      </c>
      <c r="C3210" s="2">
        <v>2002.0</v>
      </c>
      <c r="D3210" s="9">
        <v>3581.3843</v>
      </c>
      <c r="E3210" s="10" t="str">
        <f t="array" ref="E3210">IFS(D3210&lt;=$G$3,'calculated data '!$A$3,D3210&lt;=$G$4,'calculated data '!$A$4,D3210&lt;=$G$6,'calculated data '!$A$5,D3210&gt;=$G$6,'calculated data '!$A$6)</f>
        <v>Target Market (Core IQR)</v>
      </c>
      <c r="F3210" s="10">
        <f t="shared" si="1"/>
        <v>-0.5683731245</v>
      </c>
    </row>
    <row r="3211" ht="14.25" customHeight="1">
      <c r="A3211" s="2" t="s">
        <v>145</v>
      </c>
      <c r="B3211" s="2" t="s">
        <v>146</v>
      </c>
      <c r="C3211" s="2">
        <v>2017.0</v>
      </c>
      <c r="D3211" s="9">
        <v>3593.7134</v>
      </c>
      <c r="E3211" s="10" t="str">
        <f t="array" ref="E3211">IFS(D3211&lt;=$G$3,'calculated data '!$A$3,D3211&lt;=$G$4,'calculated data '!$A$4,D3211&lt;=$G$6,'calculated data '!$A$5,D3211&gt;=$G$6,'calculated data '!$A$6)</f>
        <v>Target Market (Core IQR)</v>
      </c>
      <c r="F3211" s="10">
        <f t="shared" si="1"/>
        <v>-0.5680467763</v>
      </c>
    </row>
    <row r="3212" ht="14.25" customHeight="1">
      <c r="A3212" s="2" t="s">
        <v>239</v>
      </c>
      <c r="B3212" s="2" t="s">
        <v>240</v>
      </c>
      <c r="C3212" s="2">
        <v>1990.0</v>
      </c>
      <c r="D3212" s="9">
        <v>3596.085</v>
      </c>
      <c r="E3212" s="10" t="str">
        <f t="array" ref="E3212">IFS(D3212&lt;=$G$3,'calculated data '!$A$3,D3212&lt;=$G$4,'calculated data '!$A$4,D3212&lt;=$G$6,'calculated data '!$A$5,D3212&gt;=$G$6,'calculated data '!$A$6)</f>
        <v>Target Market (Core IQR)</v>
      </c>
      <c r="F3212" s="10">
        <f t="shared" si="1"/>
        <v>-0.5679840006</v>
      </c>
    </row>
    <row r="3213" ht="14.25" customHeight="1">
      <c r="A3213" s="2" t="s">
        <v>201</v>
      </c>
      <c r="B3213" s="2" t="s">
        <v>202</v>
      </c>
      <c r="C3213" s="2">
        <v>1999.0</v>
      </c>
      <c r="D3213" s="9">
        <v>3598.7896</v>
      </c>
      <c r="E3213" s="10" t="str">
        <f t="array" ref="E3213">IFS(D3213&lt;=$G$3,'calculated data '!$A$3,D3213&lt;=$G$4,'calculated data '!$A$4,D3213&lt;=$G$6,'calculated data '!$A$5,D3213&gt;=$G$6,'calculated data '!$A$6)</f>
        <v>Target Market (Core IQR)</v>
      </c>
      <c r="F3213" s="10">
        <f t="shared" si="1"/>
        <v>-0.5679124105</v>
      </c>
    </row>
    <row r="3214" ht="14.25" customHeight="1">
      <c r="A3214" s="2" t="s">
        <v>139</v>
      </c>
      <c r="B3214" s="2" t="s">
        <v>140</v>
      </c>
      <c r="C3214" s="2">
        <v>2014.0</v>
      </c>
      <c r="D3214" s="9">
        <v>3600.087</v>
      </c>
      <c r="E3214" s="10" t="str">
        <f t="array" ref="E3214">IFS(D3214&lt;=$G$3,'calculated data '!$A$3,D3214&lt;=$G$4,'calculated data '!$A$4,D3214&lt;=$G$6,'calculated data '!$A$5,D3214&gt;=$G$6,'calculated data '!$A$6)</f>
        <v>Target Market (Core IQR)</v>
      </c>
      <c r="F3214" s="10">
        <f t="shared" si="1"/>
        <v>-0.5678780687</v>
      </c>
    </row>
    <row r="3215" ht="14.25" customHeight="1">
      <c r="A3215" s="2" t="s">
        <v>239</v>
      </c>
      <c r="B3215" s="2" t="s">
        <v>240</v>
      </c>
      <c r="C3215" s="2">
        <v>1986.0</v>
      </c>
      <c r="D3215" s="9">
        <v>3601.1172</v>
      </c>
      <c r="E3215" s="10" t="str">
        <f t="array" ref="E3215">IFS(D3215&lt;=$G$3,'calculated data '!$A$3,D3215&lt;=$G$4,'calculated data '!$A$4,D3215&lt;=$G$6,'calculated data '!$A$5,D3215&gt;=$G$6,'calculated data '!$A$6)</f>
        <v>Target Market (Core IQR)</v>
      </c>
      <c r="F3215" s="10">
        <f t="shared" si="1"/>
        <v>-0.5678507995</v>
      </c>
    </row>
    <row r="3216" ht="14.25" customHeight="1">
      <c r="A3216" s="2" t="s">
        <v>199</v>
      </c>
      <c r="B3216" s="2" t="s">
        <v>200</v>
      </c>
      <c r="C3216" s="2">
        <v>2000.0</v>
      </c>
      <c r="D3216" s="9">
        <v>3602.2375</v>
      </c>
      <c r="E3216" s="10" t="str">
        <f t="array" ref="E3216">IFS(D3216&lt;=$G$3,'calculated data '!$A$3,D3216&lt;=$G$4,'calculated data '!$A$4,D3216&lt;=$G$6,'calculated data '!$A$5,D3216&gt;=$G$6,'calculated data '!$A$6)</f>
        <v>Target Market (Core IQR)</v>
      </c>
      <c r="F3216" s="10">
        <f t="shared" si="1"/>
        <v>-0.5678211455</v>
      </c>
    </row>
    <row r="3217" ht="14.25" customHeight="1">
      <c r="A3217" s="2" t="s">
        <v>203</v>
      </c>
      <c r="B3217" s="2" t="s">
        <v>204</v>
      </c>
      <c r="C3217" s="2">
        <v>1988.0</v>
      </c>
      <c r="D3217" s="9">
        <v>3604.5461</v>
      </c>
      <c r="E3217" s="10" t="str">
        <f t="array" ref="E3217">IFS(D3217&lt;=$G$3,'calculated data '!$A$3,D3217&lt;=$G$4,'calculated data '!$A$4,D3217&lt;=$G$6,'calculated data '!$A$5,D3217&gt;=$G$6,'calculated data '!$A$6)</f>
        <v>Target Market (Core IQR)</v>
      </c>
      <c r="F3217" s="10">
        <f t="shared" si="1"/>
        <v>-0.5677600374</v>
      </c>
    </row>
    <row r="3218" ht="14.25" customHeight="1">
      <c r="A3218" s="2" t="s">
        <v>161</v>
      </c>
      <c r="B3218" s="2" t="s">
        <v>162</v>
      </c>
      <c r="C3218" s="2">
        <v>1986.0</v>
      </c>
      <c r="D3218" s="9">
        <v>3609.5608</v>
      </c>
      <c r="E3218" s="10" t="str">
        <f t="array" ref="E3218">IFS(D3218&lt;=$G$3,'calculated data '!$A$3,D3218&lt;=$G$4,'calculated data '!$A$4,D3218&lt;=$G$6,'calculated data '!$A$5,D3218&gt;=$G$6,'calculated data '!$A$6)</f>
        <v>Target Market (Core IQR)</v>
      </c>
      <c r="F3218" s="10">
        <f t="shared" si="1"/>
        <v>-0.5676272995</v>
      </c>
    </row>
    <row r="3219" ht="14.25" customHeight="1">
      <c r="A3219" s="2" t="s">
        <v>205</v>
      </c>
      <c r="B3219" s="2" t="s">
        <v>206</v>
      </c>
      <c r="C3219" s="2">
        <v>1978.0</v>
      </c>
      <c r="D3219" s="9">
        <v>3613.8635</v>
      </c>
      <c r="E3219" s="10" t="str">
        <f t="array" ref="E3219">IFS(D3219&lt;=$G$3,'calculated data '!$A$3,D3219&lt;=$G$4,'calculated data '!$A$4,D3219&lt;=$G$6,'calculated data '!$A$5,D3219&gt;=$G$6,'calculated data '!$A$6)</f>
        <v>Target Market (Core IQR)</v>
      </c>
      <c r="F3219" s="10">
        <f t="shared" si="1"/>
        <v>-0.5675134081</v>
      </c>
    </row>
    <row r="3220" ht="14.25" customHeight="1">
      <c r="A3220" s="2" t="s">
        <v>217</v>
      </c>
      <c r="B3220" s="2" t="s">
        <v>218</v>
      </c>
      <c r="C3220" s="2">
        <v>1981.0</v>
      </c>
      <c r="D3220" s="9">
        <v>3614.4912</v>
      </c>
      <c r="E3220" s="10" t="str">
        <f t="array" ref="E3220">IFS(D3220&lt;=$G$3,'calculated data '!$A$3,D3220&lt;=$G$4,'calculated data '!$A$4,D3220&lt;=$G$6,'calculated data '!$A$5,D3220&gt;=$G$6,'calculated data '!$A$6)</f>
        <v>Target Market (Core IQR)</v>
      </c>
      <c r="F3220" s="10">
        <f t="shared" si="1"/>
        <v>-0.5674967931</v>
      </c>
    </row>
    <row r="3221" ht="14.25" customHeight="1">
      <c r="A3221" s="2" t="s">
        <v>251</v>
      </c>
      <c r="B3221" s="2" t="s">
        <v>252</v>
      </c>
      <c r="C3221" s="2">
        <v>1990.0</v>
      </c>
      <c r="D3221" s="9">
        <v>3622.1511</v>
      </c>
      <c r="E3221" s="10" t="str">
        <f t="array" ref="E3221">IFS(D3221&lt;=$G$3,'calculated data '!$A$3,D3221&lt;=$G$4,'calculated data '!$A$4,D3221&lt;=$G$6,'calculated data '!$A$5,D3221&gt;=$G$6,'calculated data '!$A$6)</f>
        <v>Target Market (Core IQR)</v>
      </c>
      <c r="F3221" s="10">
        <f t="shared" si="1"/>
        <v>-0.5672940374</v>
      </c>
    </row>
    <row r="3222" ht="14.25" customHeight="1">
      <c r="A3222" s="2" t="s">
        <v>79</v>
      </c>
      <c r="B3222" s="2" t="s">
        <v>80</v>
      </c>
      <c r="C3222" s="2">
        <v>2020.0</v>
      </c>
      <c r="D3222" s="9">
        <v>3623.1885</v>
      </c>
      <c r="E3222" s="10" t="str">
        <f t="array" ref="E3222">IFS(D3222&lt;=$G$3,'calculated data '!$A$3,D3222&lt;=$G$4,'calculated data '!$A$4,D3222&lt;=$G$6,'calculated data '!$A$5,D3222&gt;=$G$6,'calculated data '!$A$6)</f>
        <v>Target Market (Core IQR)</v>
      </c>
      <c r="F3222" s="10">
        <f t="shared" si="1"/>
        <v>-0.5672665777</v>
      </c>
    </row>
    <row r="3223" ht="14.25" customHeight="1">
      <c r="A3223" s="2" t="s">
        <v>213</v>
      </c>
      <c r="B3223" s="2" t="s">
        <v>214</v>
      </c>
      <c r="C3223" s="2">
        <v>2011.0</v>
      </c>
      <c r="D3223" s="9">
        <v>3623.9148</v>
      </c>
      <c r="E3223" s="10" t="str">
        <f t="array" ref="E3223">IFS(D3223&lt;=$G$3,'calculated data '!$A$3,D3223&lt;=$G$4,'calculated data '!$A$4,D3223&lt;=$G$6,'calculated data '!$A$5,D3223&gt;=$G$6,'calculated data '!$A$6)</f>
        <v>Target Market (Core IQR)</v>
      </c>
      <c r="F3223" s="10">
        <f t="shared" si="1"/>
        <v>-0.5672473527</v>
      </c>
    </row>
    <row r="3224" ht="14.25" customHeight="1">
      <c r="A3224" s="2" t="s">
        <v>199</v>
      </c>
      <c r="B3224" s="2" t="s">
        <v>200</v>
      </c>
      <c r="C3224" s="2">
        <v>2010.0</v>
      </c>
      <c r="D3224" s="9">
        <v>3625.8813</v>
      </c>
      <c r="E3224" s="10" t="str">
        <f t="array" ref="E3224">IFS(D3224&lt;=$G$3,'calculated data '!$A$3,D3224&lt;=$G$4,'calculated data '!$A$4,D3224&lt;=$G$6,'calculated data '!$A$5,D3224&gt;=$G$6,'calculated data '!$A$6)</f>
        <v>Target Market (Core IQR)</v>
      </c>
      <c r="F3224" s="10">
        <f t="shared" si="1"/>
        <v>-0.5671953</v>
      </c>
    </row>
    <row r="3225" ht="14.25" customHeight="1">
      <c r="A3225" s="2" t="s">
        <v>151</v>
      </c>
      <c r="B3225" s="2" t="s">
        <v>152</v>
      </c>
      <c r="C3225" s="2">
        <v>2007.0</v>
      </c>
      <c r="D3225" s="9">
        <v>3629.009</v>
      </c>
      <c r="E3225" s="10" t="str">
        <f t="array" ref="E3225">IFS(D3225&lt;=$G$3,'calculated data '!$A$3,D3225&lt;=$G$4,'calculated data '!$A$4,D3225&lt;=$G$6,'calculated data '!$A$5,D3225&gt;=$G$6,'calculated data '!$A$6)</f>
        <v>Target Market (Core IQR)</v>
      </c>
      <c r="F3225" s="10">
        <f t="shared" si="1"/>
        <v>-0.5671125105</v>
      </c>
    </row>
    <row r="3226" ht="14.25" customHeight="1">
      <c r="A3226" s="2" t="s">
        <v>79</v>
      </c>
      <c r="B3226" s="2" t="s">
        <v>80</v>
      </c>
      <c r="C3226" s="2">
        <v>2019.0</v>
      </c>
      <c r="D3226" s="9">
        <v>3629.5684</v>
      </c>
      <c r="E3226" s="10" t="str">
        <f t="array" ref="E3226">IFS(D3226&lt;=$G$3,'calculated data '!$A$3,D3226&lt;=$G$4,'calculated data '!$A$4,D3226&lt;=$G$6,'calculated data '!$A$5,D3226&gt;=$G$6,'calculated data '!$A$6)</f>
        <v>Target Market (Core IQR)</v>
      </c>
      <c r="F3226" s="10">
        <f t="shared" si="1"/>
        <v>-0.5670977033</v>
      </c>
    </row>
    <row r="3227" ht="14.25" customHeight="1">
      <c r="A3227" s="2" t="s">
        <v>161</v>
      </c>
      <c r="B3227" s="2" t="s">
        <v>162</v>
      </c>
      <c r="C3227" s="2">
        <v>2020.0</v>
      </c>
      <c r="D3227" s="9">
        <v>3630.9739</v>
      </c>
      <c r="E3227" s="10" t="str">
        <f t="array" ref="E3227">IFS(D3227&lt;=$G$3,'calculated data '!$A$3,D3227&lt;=$G$4,'calculated data '!$A$4,D3227&lt;=$G$6,'calculated data '!$A$5,D3227&gt;=$G$6,'calculated data '!$A$6)</f>
        <v>Target Market (Core IQR)</v>
      </c>
      <c r="F3227" s="10">
        <f t="shared" si="1"/>
        <v>-0.5670605001</v>
      </c>
    </row>
    <row r="3228" ht="14.25" customHeight="1">
      <c r="A3228" s="2" t="s">
        <v>177</v>
      </c>
      <c r="B3228" s="2" t="s">
        <v>178</v>
      </c>
      <c r="C3228" s="2">
        <v>2007.0</v>
      </c>
      <c r="D3228" s="9">
        <v>3633.2524</v>
      </c>
      <c r="E3228" s="10" t="str">
        <f t="array" ref="E3228">IFS(D3228&lt;=$G$3,'calculated data '!$A$3,D3228&lt;=$G$4,'calculated data '!$A$4,D3228&lt;=$G$6,'calculated data '!$A$5,D3228&gt;=$G$6,'calculated data '!$A$6)</f>
        <v>Target Market (Core IQR)</v>
      </c>
      <c r="F3228" s="10">
        <f t="shared" si="1"/>
        <v>-0.5670001888</v>
      </c>
    </row>
    <row r="3229" ht="14.25" customHeight="1">
      <c r="A3229" s="2" t="s">
        <v>141</v>
      </c>
      <c r="B3229" s="2" t="s">
        <v>142</v>
      </c>
      <c r="C3229" s="2">
        <v>1985.0</v>
      </c>
      <c r="D3229" s="9">
        <v>3641.6506</v>
      </c>
      <c r="E3229" s="10" t="str">
        <f t="array" ref="E3229">IFS(D3229&lt;=$G$3,'calculated data '!$A$3,D3229&lt;=$G$4,'calculated data '!$A$4,D3229&lt;=$G$6,'calculated data '!$A$5,D3229&gt;=$G$6,'calculated data '!$A$6)</f>
        <v>Target Market (Core IQR)</v>
      </c>
      <c r="F3229" s="10">
        <f t="shared" si="1"/>
        <v>-0.5667778905</v>
      </c>
    </row>
    <row r="3230" ht="14.25" customHeight="1">
      <c r="A3230" s="2" t="s">
        <v>209</v>
      </c>
      <c r="B3230" s="2" t="s">
        <v>210</v>
      </c>
      <c r="C3230" s="2">
        <v>1995.0</v>
      </c>
      <c r="D3230" s="9">
        <v>3643.8806</v>
      </c>
      <c r="E3230" s="10" t="str">
        <f t="array" ref="E3230">IFS(D3230&lt;=$G$3,'calculated data '!$A$3,D3230&lt;=$G$4,'calculated data '!$A$4,D3230&lt;=$G$6,'calculated data '!$A$5,D3230&gt;=$G$6,'calculated data '!$A$6)</f>
        <v>Target Market (Core IQR)</v>
      </c>
      <c r="F3230" s="10">
        <f t="shared" si="1"/>
        <v>-0.566718863</v>
      </c>
    </row>
    <row r="3231" ht="14.25" customHeight="1">
      <c r="A3231" s="2" t="s">
        <v>159</v>
      </c>
      <c r="B3231" s="2" t="s">
        <v>160</v>
      </c>
      <c r="C3231" s="2">
        <v>1992.0</v>
      </c>
      <c r="D3231" s="9">
        <v>3644.7354</v>
      </c>
      <c r="E3231" s="10" t="str">
        <f t="array" ref="E3231">IFS(D3231&lt;=$G$3,'calculated data '!$A$3,D3231&lt;=$G$4,'calculated data '!$A$4,D3231&lt;=$G$6,'calculated data '!$A$5,D3231&gt;=$G$6,'calculated data '!$A$6)</f>
        <v>Target Market (Core IQR)</v>
      </c>
      <c r="F3231" s="10">
        <f t="shared" si="1"/>
        <v>-0.5666962366</v>
      </c>
    </row>
    <row r="3232" ht="14.25" customHeight="1">
      <c r="A3232" s="2" t="s">
        <v>217</v>
      </c>
      <c r="B3232" s="2" t="s">
        <v>218</v>
      </c>
      <c r="C3232" s="2">
        <v>1993.0</v>
      </c>
      <c r="D3232" s="9">
        <v>3645.332</v>
      </c>
      <c r="E3232" s="10" t="str">
        <f t="array" ref="E3232">IFS(D3232&lt;=$G$3,'calculated data '!$A$3,D3232&lt;=$G$4,'calculated data '!$A$4,D3232&lt;=$G$6,'calculated data '!$A$5,D3232&gt;=$G$6,'calculated data '!$A$6)</f>
        <v>Target Market (Core IQR)</v>
      </c>
      <c r="F3232" s="10">
        <f t="shared" si="1"/>
        <v>-0.5666804448</v>
      </c>
    </row>
    <row r="3233" ht="14.25" customHeight="1">
      <c r="A3233" s="2" t="s">
        <v>239</v>
      </c>
      <c r="B3233" s="2" t="s">
        <v>240</v>
      </c>
      <c r="C3233" s="2">
        <v>1988.0</v>
      </c>
      <c r="D3233" s="9">
        <v>3648.8696</v>
      </c>
      <c r="E3233" s="10" t="str">
        <f t="array" ref="E3233">IFS(D3233&lt;=$G$3,'calculated data '!$A$3,D3233&lt;=$G$4,'calculated data '!$A$4,D3233&lt;=$G$6,'calculated data '!$A$5,D3233&gt;=$G$6,'calculated data '!$A$6)</f>
        <v>Target Market (Core IQR)</v>
      </c>
      <c r="F3233" s="10">
        <f t="shared" si="1"/>
        <v>-0.5665868054</v>
      </c>
    </row>
    <row r="3234" ht="14.25" customHeight="1">
      <c r="A3234" s="2" t="s">
        <v>111</v>
      </c>
      <c r="B3234" s="2" t="s">
        <v>112</v>
      </c>
      <c r="C3234" s="2">
        <v>1981.0</v>
      </c>
      <c r="D3234" s="9">
        <v>3649.906</v>
      </c>
      <c r="E3234" s="10" t="str">
        <f t="array" ref="E3234">IFS(D3234&lt;=$G$3,'calculated data '!$A$3,D3234&lt;=$G$4,'calculated data '!$A$4,D3234&lt;=$G$6,'calculated data '!$A$5,D3234&gt;=$G$6,'calculated data '!$A$6)</f>
        <v>Target Market (Core IQR)</v>
      </c>
      <c r="F3234" s="10">
        <f t="shared" si="1"/>
        <v>-0.5665593721</v>
      </c>
    </row>
    <row r="3235" ht="14.25" customHeight="1">
      <c r="A3235" s="2" t="s">
        <v>247</v>
      </c>
      <c r="B3235" s="2" t="s">
        <v>248</v>
      </c>
      <c r="C3235" s="2">
        <v>1981.0</v>
      </c>
      <c r="D3235" s="9">
        <v>3651.3667</v>
      </c>
      <c r="E3235" s="10" t="str">
        <f t="array" ref="E3235">IFS(D3235&lt;=$G$3,'calculated data '!$A$3,D3235&lt;=$G$4,'calculated data '!$A$4,D3235&lt;=$G$6,'calculated data '!$A$5,D3235&gt;=$G$6,'calculated data '!$A$6)</f>
        <v>Target Market (Core IQR)</v>
      </c>
      <c r="F3235" s="10">
        <f t="shared" si="1"/>
        <v>-0.5665207078</v>
      </c>
    </row>
    <row r="3236" ht="14.25" customHeight="1">
      <c r="A3236" s="2" t="s">
        <v>213</v>
      </c>
      <c r="B3236" s="2" t="s">
        <v>214</v>
      </c>
      <c r="C3236" s="2">
        <v>2007.0</v>
      </c>
      <c r="D3236" s="9">
        <v>3652.4143</v>
      </c>
      <c r="E3236" s="10" t="str">
        <f t="array" ref="E3236">IFS(D3236&lt;=$G$3,'calculated data '!$A$3,D3236&lt;=$G$4,'calculated data '!$A$4,D3236&lt;=$G$6,'calculated data '!$A$5,D3236&gt;=$G$6,'calculated data '!$A$6)</f>
        <v>Target Market (Core IQR)</v>
      </c>
      <c r="F3236" s="10">
        <f t="shared" si="1"/>
        <v>-0.5664929781</v>
      </c>
    </row>
    <row r="3237" ht="14.25" customHeight="1">
      <c r="A3237" s="2" t="s">
        <v>177</v>
      </c>
      <c r="B3237" s="2" t="s">
        <v>178</v>
      </c>
      <c r="C3237" s="2">
        <v>2005.0</v>
      </c>
      <c r="D3237" s="9">
        <v>3654.4463</v>
      </c>
      <c r="E3237" s="10" t="str">
        <f t="array" ref="E3237">IFS(D3237&lt;=$G$3,'calculated data '!$A$3,D3237&lt;=$G$4,'calculated data '!$A$4,D3237&lt;=$G$6,'calculated data '!$A$5,D3237&gt;=$G$6,'calculated data '!$A$6)</f>
        <v>Target Market (Core IQR)</v>
      </c>
      <c r="F3237" s="10">
        <f t="shared" si="1"/>
        <v>-0.5664391915</v>
      </c>
    </row>
    <row r="3238" ht="14.25" customHeight="1">
      <c r="A3238" s="2" t="s">
        <v>161</v>
      </c>
      <c r="B3238" s="2" t="s">
        <v>162</v>
      </c>
      <c r="C3238" s="2">
        <v>1983.0</v>
      </c>
      <c r="D3238" s="9">
        <v>3654.7693</v>
      </c>
      <c r="E3238" s="10" t="str">
        <f t="array" ref="E3238">IFS(D3238&lt;=$G$3,'calculated data '!$A$3,D3238&lt;=$G$4,'calculated data '!$A$4,D3238&lt;=$G$6,'calculated data '!$A$5,D3238&gt;=$G$6,'calculated data '!$A$6)</f>
        <v>Target Market (Core IQR)</v>
      </c>
      <c r="F3238" s="10">
        <f t="shared" si="1"/>
        <v>-0.5664306418</v>
      </c>
    </row>
    <row r="3239" ht="14.25" customHeight="1">
      <c r="A3239" s="2" t="s">
        <v>199</v>
      </c>
      <c r="B3239" s="2" t="s">
        <v>200</v>
      </c>
      <c r="C3239" s="2">
        <v>2012.0</v>
      </c>
      <c r="D3239" s="9">
        <v>3655.377</v>
      </c>
      <c r="E3239" s="10" t="str">
        <f t="array" ref="E3239">IFS(D3239&lt;=$G$3,'calculated data '!$A$3,D3239&lt;=$G$4,'calculated data '!$A$4,D3239&lt;=$G$6,'calculated data '!$A$5,D3239&gt;=$G$6,'calculated data '!$A$6)</f>
        <v>Target Market (Core IQR)</v>
      </c>
      <c r="F3239" s="10">
        <f t="shared" si="1"/>
        <v>-0.5664145561</v>
      </c>
    </row>
    <row r="3240" ht="14.25" customHeight="1">
      <c r="A3240" s="2" t="s">
        <v>253</v>
      </c>
      <c r="B3240" s="2" t="s">
        <v>254</v>
      </c>
      <c r="C3240" s="2">
        <v>1999.0</v>
      </c>
      <c r="D3240" s="9">
        <v>3659.2952</v>
      </c>
      <c r="E3240" s="10" t="str">
        <f t="array" ref="E3240">IFS(D3240&lt;=$G$3,'calculated data '!$A$3,D3240&lt;=$G$4,'calculated data '!$A$4,D3240&lt;=$G$6,'calculated data '!$A$5,D3240&gt;=$G$6,'calculated data '!$A$6)</f>
        <v>Target Market (Core IQR)</v>
      </c>
      <c r="F3240" s="10">
        <f t="shared" si="1"/>
        <v>-0.5663108423</v>
      </c>
    </row>
    <row r="3241" ht="14.25" customHeight="1">
      <c r="A3241" s="2" t="s">
        <v>217</v>
      </c>
      <c r="B3241" s="2" t="s">
        <v>218</v>
      </c>
      <c r="C3241" s="2">
        <v>2002.0</v>
      </c>
      <c r="D3241" s="9">
        <v>3659.5715</v>
      </c>
      <c r="E3241" s="10" t="str">
        <f t="array" ref="E3241">IFS(D3241&lt;=$G$3,'calculated data '!$A$3,D3241&lt;=$G$4,'calculated data '!$A$4,D3241&lt;=$G$6,'calculated data '!$A$5,D3241&gt;=$G$6,'calculated data '!$A$6)</f>
        <v>Target Market (Core IQR)</v>
      </c>
      <c r="F3241" s="10">
        <f t="shared" si="1"/>
        <v>-0.5663035288</v>
      </c>
    </row>
    <row r="3242" ht="14.25" customHeight="1">
      <c r="A3242" s="2" t="s">
        <v>165</v>
      </c>
      <c r="B3242" s="2" t="s">
        <v>166</v>
      </c>
      <c r="C3242" s="2">
        <v>2004.0</v>
      </c>
      <c r="D3242" s="9">
        <v>3660.6968</v>
      </c>
      <c r="E3242" s="10" t="str">
        <f t="array" ref="E3242">IFS(D3242&lt;=$G$3,'calculated data '!$A$3,D3242&lt;=$G$4,'calculated data '!$A$4,D3242&lt;=$G$6,'calculated data '!$A$5,D3242&gt;=$G$6,'calculated data '!$A$6)</f>
        <v>Target Market (Core IQR)</v>
      </c>
      <c r="F3242" s="10">
        <f t="shared" si="1"/>
        <v>-0.5662737423</v>
      </c>
    </row>
    <row r="3243" ht="14.25" customHeight="1">
      <c r="A3243" s="2" t="s">
        <v>159</v>
      </c>
      <c r="B3243" s="2" t="s">
        <v>160</v>
      </c>
      <c r="C3243" s="2">
        <v>1993.0</v>
      </c>
      <c r="D3243" s="9">
        <v>3665.839</v>
      </c>
      <c r="E3243" s="10" t="str">
        <f t="array" ref="E3243">IFS(D3243&lt;=$G$3,'calculated data '!$A$3,D3243&lt;=$G$4,'calculated data '!$A$4,D3243&lt;=$G$6,'calculated data '!$A$5,D3243&gt;=$G$6,'calculated data '!$A$6)</f>
        <v>Target Market (Core IQR)</v>
      </c>
      <c r="F3243" s="10">
        <f t="shared" si="1"/>
        <v>-0.5661376296</v>
      </c>
    </row>
    <row r="3244" ht="14.25" customHeight="1">
      <c r="A3244" s="2" t="s">
        <v>209</v>
      </c>
      <c r="B3244" s="2" t="s">
        <v>210</v>
      </c>
      <c r="C3244" s="2">
        <v>1997.0</v>
      </c>
      <c r="D3244" s="9">
        <v>3666.203</v>
      </c>
      <c r="E3244" s="10" t="str">
        <f t="array" ref="E3244">IFS(D3244&lt;=$G$3,'calculated data '!$A$3,D3244&lt;=$G$4,'calculated data '!$A$4,D3244&lt;=$G$6,'calculated data '!$A$5,D3244&gt;=$G$6,'calculated data '!$A$6)</f>
        <v>Target Market (Core IQR)</v>
      </c>
      <c r="F3244" s="10">
        <f t="shared" si="1"/>
        <v>-0.5661279946</v>
      </c>
    </row>
    <row r="3245" ht="14.25" customHeight="1">
      <c r="A3245" s="2" t="s">
        <v>161</v>
      </c>
      <c r="B3245" s="2" t="s">
        <v>162</v>
      </c>
      <c r="C3245" s="2">
        <v>2022.0</v>
      </c>
      <c r="D3245" s="9">
        <v>3666.6138</v>
      </c>
      <c r="E3245" s="10" t="str">
        <f t="array" ref="E3245">IFS(D3245&lt;=$G$3,'calculated data '!$A$3,D3245&lt;=$G$4,'calculated data '!$A$4,D3245&lt;=$G$6,'calculated data '!$A$5,D3245&gt;=$G$6,'calculated data '!$A$6)</f>
        <v>Target Market (Core IQR)</v>
      </c>
      <c r="F3245" s="10">
        <f t="shared" si="1"/>
        <v>-0.5661171208</v>
      </c>
    </row>
    <row r="3246" ht="14.25" customHeight="1">
      <c r="A3246" s="2" t="s">
        <v>79</v>
      </c>
      <c r="B3246" s="2" t="s">
        <v>80</v>
      </c>
      <c r="C3246" s="2">
        <v>2022.0</v>
      </c>
      <c r="D3246" s="9">
        <v>3667.3208</v>
      </c>
      <c r="E3246" s="10" t="str">
        <f t="array" ref="E3246">IFS(D3246&lt;=$G$3,'calculated data '!$A$3,D3246&lt;=$G$4,'calculated data '!$A$4,D3246&lt;=$G$6,'calculated data '!$A$5,D3246&gt;=$G$6,'calculated data '!$A$6)</f>
        <v>Target Market (Core IQR)</v>
      </c>
      <c r="F3246" s="10">
        <f t="shared" si="1"/>
        <v>-0.5660984067</v>
      </c>
    </row>
    <row r="3247" ht="14.25" customHeight="1">
      <c r="A3247" s="2" t="s">
        <v>231</v>
      </c>
      <c r="B3247" s="2" t="s">
        <v>232</v>
      </c>
      <c r="C3247" s="2">
        <v>1969.0</v>
      </c>
      <c r="D3247" s="9">
        <v>3667.6323</v>
      </c>
      <c r="E3247" s="10" t="str">
        <f t="array" ref="E3247">IFS(D3247&lt;=$G$3,'calculated data '!$A$3,D3247&lt;=$G$4,'calculated data '!$A$4,D3247&lt;=$G$6,'calculated data '!$A$5,D3247&gt;=$G$6,'calculated data '!$A$6)</f>
        <v>Target Market (Core IQR)</v>
      </c>
      <c r="F3247" s="10">
        <f t="shared" si="1"/>
        <v>-0.5660901614</v>
      </c>
    </row>
    <row r="3248" ht="14.25" customHeight="1">
      <c r="A3248" s="2" t="s">
        <v>223</v>
      </c>
      <c r="B3248" s="2" t="s">
        <v>224</v>
      </c>
      <c r="C3248" s="2">
        <v>1984.0</v>
      </c>
      <c r="D3248" s="9">
        <v>3669.8105</v>
      </c>
      <c r="E3248" s="10" t="str">
        <f t="array" ref="E3248">IFS(D3248&lt;=$G$3,'calculated data '!$A$3,D3248&lt;=$G$4,'calculated data '!$A$4,D3248&lt;=$G$6,'calculated data '!$A$5,D3248&gt;=$G$6,'calculated data '!$A$6)</f>
        <v>Target Market (Core IQR)</v>
      </c>
      <c r="F3248" s="10">
        <f t="shared" si="1"/>
        <v>-0.566032505</v>
      </c>
    </row>
    <row r="3249" ht="14.25" customHeight="1">
      <c r="A3249" s="2" t="s">
        <v>193</v>
      </c>
      <c r="B3249" s="2" t="s">
        <v>194</v>
      </c>
      <c r="C3249" s="2">
        <v>1993.0</v>
      </c>
      <c r="D3249" s="9">
        <v>3671.884</v>
      </c>
      <c r="E3249" s="10" t="str">
        <f t="array" ref="E3249">IFS(D3249&lt;=$G$3,'calculated data '!$A$3,D3249&lt;=$G$4,'calculated data '!$A$4,D3249&lt;=$G$6,'calculated data '!$A$5,D3249&gt;=$G$6,'calculated data '!$A$6)</f>
        <v>Target Market (Core IQR)</v>
      </c>
      <c r="F3249" s="10">
        <f t="shared" si="1"/>
        <v>-0.5659776199</v>
      </c>
    </row>
    <row r="3250" ht="14.25" customHeight="1">
      <c r="A3250" s="2" t="s">
        <v>217</v>
      </c>
      <c r="B3250" s="2" t="s">
        <v>218</v>
      </c>
      <c r="C3250" s="2">
        <v>1998.0</v>
      </c>
      <c r="D3250" s="9">
        <v>3675.1497</v>
      </c>
      <c r="E3250" s="10" t="str">
        <f t="array" ref="E3250">IFS(D3250&lt;=$G$3,'calculated data '!$A$3,D3250&lt;=$G$4,'calculated data '!$A$4,D3250&lt;=$G$6,'calculated data '!$A$5,D3250&gt;=$G$6,'calculated data '!$A$6)</f>
        <v>Target Market (Core IQR)</v>
      </c>
      <c r="F3250" s="10">
        <f t="shared" si="1"/>
        <v>-0.5658911777</v>
      </c>
    </row>
    <row r="3251" ht="14.25" customHeight="1">
      <c r="A3251" s="2" t="s">
        <v>217</v>
      </c>
      <c r="B3251" s="2" t="s">
        <v>218</v>
      </c>
      <c r="C3251" s="2">
        <v>2000.0</v>
      </c>
      <c r="D3251" s="9">
        <v>3675.7173</v>
      </c>
      <c r="E3251" s="10" t="str">
        <f t="array" ref="E3251">IFS(D3251&lt;=$G$3,'calculated data '!$A$3,D3251&lt;=$G$4,'calculated data '!$A$4,D3251&lt;=$G$6,'calculated data '!$A$5,D3251&gt;=$G$6,'calculated data '!$A$6)</f>
        <v>Target Market (Core IQR)</v>
      </c>
      <c r="F3251" s="10">
        <f t="shared" si="1"/>
        <v>-0.5658761534</v>
      </c>
    </row>
    <row r="3252" ht="14.25" customHeight="1">
      <c r="A3252" s="2" t="s">
        <v>47</v>
      </c>
      <c r="B3252" s="2" t="s">
        <v>48</v>
      </c>
      <c r="C3252" s="2">
        <v>1995.0</v>
      </c>
      <c r="D3252" s="9">
        <v>3676.4543</v>
      </c>
      <c r="E3252" s="10" t="str">
        <f t="array" ref="E3252">IFS(D3252&lt;=$G$3,'calculated data '!$A$3,D3252&lt;=$G$4,'calculated data '!$A$4,D3252&lt;=$G$6,'calculated data '!$A$5,D3252&gt;=$G$6,'calculated data '!$A$6)</f>
        <v>Target Market (Core IQR)</v>
      </c>
      <c r="F3252" s="10">
        <f t="shared" si="1"/>
        <v>-0.5658566452</v>
      </c>
    </row>
    <row r="3253" ht="14.25" customHeight="1">
      <c r="A3253" s="2" t="s">
        <v>255</v>
      </c>
      <c r="B3253" s="2" t="s">
        <v>256</v>
      </c>
      <c r="C3253" s="2">
        <v>1992.0</v>
      </c>
      <c r="D3253" s="9">
        <v>3676.9268</v>
      </c>
      <c r="E3253" s="10" t="str">
        <f t="array" ref="E3253">IFS(D3253&lt;=$G$3,'calculated data '!$A$3,D3253&lt;=$G$4,'calculated data '!$A$4,D3253&lt;=$G$6,'calculated data '!$A$5,D3253&gt;=$G$6,'calculated data '!$A$6)</f>
        <v>Target Market (Core IQR)</v>
      </c>
      <c r="F3253" s="10">
        <f t="shared" si="1"/>
        <v>-0.5658441383</v>
      </c>
    </row>
    <row r="3254" ht="14.25" customHeight="1">
      <c r="A3254" s="2" t="s">
        <v>235</v>
      </c>
      <c r="B3254" s="2" t="s">
        <v>236</v>
      </c>
      <c r="C3254" s="2">
        <v>2006.0</v>
      </c>
      <c r="D3254" s="9">
        <v>3678.6887</v>
      </c>
      <c r="E3254" s="10" t="str">
        <f t="array" ref="E3254">IFS(D3254&lt;=$G$3,'calculated data '!$A$3,D3254&lt;=$G$4,'calculated data '!$A$4,D3254&lt;=$G$6,'calculated data '!$A$5,D3254&gt;=$G$6,'calculated data '!$A$6)</f>
        <v>Target Market (Core IQR)</v>
      </c>
      <c r="F3254" s="10">
        <f t="shared" si="1"/>
        <v>-0.5657975012</v>
      </c>
    </row>
    <row r="3255" ht="14.25" customHeight="1">
      <c r="A3255" s="2" t="s">
        <v>57</v>
      </c>
      <c r="B3255" s="2" t="s">
        <v>58</v>
      </c>
      <c r="C3255" s="2">
        <v>1900.0</v>
      </c>
      <c r="D3255" s="9">
        <v>3681.0034</v>
      </c>
      <c r="E3255" s="10" t="str">
        <f t="array" ref="E3255">IFS(D3255&lt;=$G$3,'calculated data '!$A$3,D3255&lt;=$G$4,'calculated data '!$A$4,D3255&lt;=$G$6,'calculated data '!$A$5,D3255&gt;=$G$6,'calculated data '!$A$6)</f>
        <v>Target Market (Core IQR)</v>
      </c>
      <c r="F3255" s="10">
        <f t="shared" si="1"/>
        <v>-0.5657362317</v>
      </c>
    </row>
    <row r="3256" ht="14.25" customHeight="1">
      <c r="A3256" s="2" t="s">
        <v>217</v>
      </c>
      <c r="B3256" s="2" t="s">
        <v>218</v>
      </c>
      <c r="C3256" s="2">
        <v>1994.0</v>
      </c>
      <c r="D3256" s="9">
        <v>3682.0781</v>
      </c>
      <c r="E3256" s="10" t="str">
        <f t="array" ref="E3256">IFS(D3256&lt;=$G$3,'calculated data '!$A$3,D3256&lt;=$G$4,'calculated data '!$A$4,D3256&lt;=$G$6,'calculated data '!$A$5,D3256&gt;=$G$6,'calculated data '!$A$6)</f>
        <v>Target Market (Core IQR)</v>
      </c>
      <c r="F3256" s="10">
        <f t="shared" si="1"/>
        <v>-0.5657077847</v>
      </c>
    </row>
    <row r="3257" ht="14.25" customHeight="1">
      <c r="A3257" s="2" t="s">
        <v>199</v>
      </c>
      <c r="B3257" s="2" t="s">
        <v>200</v>
      </c>
      <c r="C3257" s="2">
        <v>2006.0</v>
      </c>
      <c r="D3257" s="9">
        <v>3682.2595</v>
      </c>
      <c r="E3257" s="10" t="str">
        <f t="array" ref="E3257">IFS(D3257&lt;=$G$3,'calculated data '!$A$3,D3257&lt;=$G$4,'calculated data '!$A$4,D3257&lt;=$G$6,'calculated data '!$A$5,D3257&gt;=$G$6,'calculated data '!$A$6)</f>
        <v>Target Market (Core IQR)</v>
      </c>
      <c r="F3257" s="10">
        <f t="shared" si="1"/>
        <v>-0.565702983</v>
      </c>
    </row>
    <row r="3258" ht="14.25" customHeight="1">
      <c r="A3258" s="2" t="s">
        <v>133</v>
      </c>
      <c r="B3258" s="2" t="s">
        <v>134</v>
      </c>
      <c r="C3258" s="2">
        <v>2006.0</v>
      </c>
      <c r="D3258" s="9">
        <v>3682.9705</v>
      </c>
      <c r="E3258" s="10" t="str">
        <f t="array" ref="E3258">IFS(D3258&lt;=$G$3,'calculated data '!$A$3,D3258&lt;=$G$4,'calculated data '!$A$4,D3258&lt;=$G$6,'calculated data '!$A$5,D3258&gt;=$G$6,'calculated data '!$A$6)</f>
        <v>Target Market (Core IQR)</v>
      </c>
      <c r="F3258" s="10">
        <f t="shared" si="1"/>
        <v>-0.565684163</v>
      </c>
    </row>
    <row r="3259" ht="14.25" customHeight="1">
      <c r="A3259" s="2" t="s">
        <v>217</v>
      </c>
      <c r="B3259" s="2" t="s">
        <v>218</v>
      </c>
      <c r="C3259" s="2">
        <v>2003.0</v>
      </c>
      <c r="D3259" s="9">
        <v>3686.893</v>
      </c>
      <c r="E3259" s="10" t="str">
        <f t="array" ref="E3259">IFS(D3259&lt;=$G$3,'calculated data '!$A$3,D3259&lt;=$G$4,'calculated data '!$A$4,D3259&lt;=$G$6,'calculated data '!$A$5,D3259&gt;=$G$6,'calculated data '!$A$6)</f>
        <v>Target Market (Core IQR)</v>
      </c>
      <c r="F3259" s="10">
        <f t="shared" si="1"/>
        <v>-0.5655803355</v>
      </c>
    </row>
    <row r="3260" ht="14.25" customHeight="1">
      <c r="A3260" s="2" t="s">
        <v>217</v>
      </c>
      <c r="B3260" s="2" t="s">
        <v>218</v>
      </c>
      <c r="C3260" s="2">
        <v>1999.0</v>
      </c>
      <c r="D3260" s="9">
        <v>3689.7063</v>
      </c>
      <c r="E3260" s="10" t="str">
        <f t="array" ref="E3260">IFS(D3260&lt;=$G$3,'calculated data '!$A$3,D3260&lt;=$G$4,'calculated data '!$A$4,D3260&lt;=$G$6,'calculated data '!$A$5,D3260&gt;=$G$6,'calculated data '!$A$6)</f>
        <v>Target Market (Core IQR)</v>
      </c>
      <c r="F3260" s="10">
        <f t="shared" si="1"/>
        <v>-0.5655058681</v>
      </c>
    </row>
    <row r="3261" ht="14.25" customHeight="1">
      <c r="A3261" s="2" t="s">
        <v>217</v>
      </c>
      <c r="B3261" s="2" t="s">
        <v>218</v>
      </c>
      <c r="C3261" s="2">
        <v>2020.0</v>
      </c>
      <c r="D3261" s="9">
        <v>3692.7239</v>
      </c>
      <c r="E3261" s="10" t="str">
        <f t="array" ref="E3261">IFS(D3261&lt;=$G$3,'calculated data '!$A$3,D3261&lt;=$G$4,'calculated data '!$A$4,D3261&lt;=$G$6,'calculated data '!$A$5,D3261&gt;=$G$6,'calculated data '!$A$6)</f>
        <v>Target Market (Core IQR)</v>
      </c>
      <c r="F3261" s="10">
        <f t="shared" si="1"/>
        <v>-0.565425993</v>
      </c>
    </row>
    <row r="3262" ht="14.25" customHeight="1">
      <c r="A3262" s="2" t="s">
        <v>177</v>
      </c>
      <c r="B3262" s="2" t="s">
        <v>178</v>
      </c>
      <c r="C3262" s="2">
        <v>2008.0</v>
      </c>
      <c r="D3262" s="9">
        <v>3694.5332</v>
      </c>
      <c r="E3262" s="10" t="str">
        <f t="array" ref="E3262">IFS(D3262&lt;=$G$3,'calculated data '!$A$3,D3262&lt;=$G$4,'calculated data '!$A$4,D3262&lt;=$G$6,'calculated data '!$A$5,D3262&gt;=$G$6,'calculated data '!$A$6)</f>
        <v>Target Market (Core IQR)</v>
      </c>
      <c r="F3262" s="10">
        <f t="shared" si="1"/>
        <v>-0.5653781013</v>
      </c>
    </row>
    <row r="3263" ht="14.25" customHeight="1">
      <c r="A3263" s="2" t="s">
        <v>183</v>
      </c>
      <c r="B3263" s="2" t="s">
        <v>184</v>
      </c>
      <c r="C3263" s="2">
        <v>1975.0</v>
      </c>
      <c r="D3263" s="9">
        <v>3699.405</v>
      </c>
      <c r="E3263" s="10" t="str">
        <f t="array" ref="E3263">IFS(D3263&lt;=$G$3,'calculated data '!$A$3,D3263&lt;=$G$4,'calculated data '!$A$4,D3263&lt;=$G$6,'calculated data '!$A$5,D3263&gt;=$G$6,'calculated data '!$A$6)</f>
        <v>Target Market (Core IQR)</v>
      </c>
      <c r="F3263" s="10">
        <f t="shared" si="1"/>
        <v>-0.5652491459</v>
      </c>
    </row>
    <row r="3264" ht="14.25" customHeight="1">
      <c r="A3264" s="2" t="s">
        <v>213</v>
      </c>
      <c r="B3264" s="2" t="s">
        <v>214</v>
      </c>
      <c r="C3264" s="2">
        <v>2014.0</v>
      </c>
      <c r="D3264" s="9">
        <v>3700.0437</v>
      </c>
      <c r="E3264" s="10" t="str">
        <f t="array" ref="E3264">IFS(D3264&lt;=$G$3,'calculated data '!$A$3,D3264&lt;=$G$4,'calculated data '!$A$4,D3264&lt;=$G$6,'calculated data '!$A$5,D3264&gt;=$G$6,'calculated data '!$A$6)</f>
        <v>Target Market (Core IQR)</v>
      </c>
      <c r="F3264" s="10">
        <f t="shared" si="1"/>
        <v>-0.5652322397</v>
      </c>
    </row>
    <row r="3265" ht="14.25" customHeight="1">
      <c r="A3265" s="2" t="s">
        <v>145</v>
      </c>
      <c r="B3265" s="2" t="s">
        <v>146</v>
      </c>
      <c r="C3265" s="2">
        <v>2021.0</v>
      </c>
      <c r="D3265" s="9">
        <v>3701.9966</v>
      </c>
      <c r="E3265" s="10" t="str">
        <f t="array" ref="E3265">IFS(D3265&lt;=$G$3,'calculated data '!$A$3,D3265&lt;=$G$4,'calculated data '!$A$4,D3265&lt;=$G$6,'calculated data '!$A$5,D3265&gt;=$G$6,'calculated data '!$A$6)</f>
        <v>Target Market (Core IQR)</v>
      </c>
      <c r="F3265" s="10">
        <f t="shared" si="1"/>
        <v>-0.5651805469</v>
      </c>
    </row>
    <row r="3266" ht="14.25" customHeight="1">
      <c r="A3266" s="2" t="s">
        <v>139</v>
      </c>
      <c r="B3266" s="2" t="s">
        <v>140</v>
      </c>
      <c r="C3266" s="2">
        <v>2015.0</v>
      </c>
      <c r="D3266" s="9">
        <v>3704.7266</v>
      </c>
      <c r="E3266" s="10" t="str">
        <f t="array" ref="E3266">IFS(D3266&lt;=$G$3,'calculated data '!$A$3,D3266&lt;=$G$4,'calculated data '!$A$4,D3266&lt;=$G$6,'calculated data '!$A$5,D3266&gt;=$G$6,'calculated data '!$A$6)</f>
        <v>Target Market (Core IQR)</v>
      </c>
      <c r="F3266" s="10">
        <f t="shared" si="1"/>
        <v>-0.5651082845</v>
      </c>
    </row>
    <row r="3267" ht="14.25" customHeight="1">
      <c r="A3267" s="2" t="s">
        <v>239</v>
      </c>
      <c r="B3267" s="2" t="s">
        <v>240</v>
      </c>
      <c r="C3267" s="2">
        <v>1989.0</v>
      </c>
      <c r="D3267" s="9">
        <v>3710.2412</v>
      </c>
      <c r="E3267" s="10" t="str">
        <f t="array" ref="E3267">IFS(D3267&lt;=$G$3,'calculated data '!$A$3,D3267&lt;=$G$4,'calculated data '!$A$4,D3267&lt;=$G$6,'calculated data '!$A$5,D3267&gt;=$G$6,'calculated data '!$A$6)</f>
        <v>Target Market (Core IQR)</v>
      </c>
      <c r="F3267" s="10">
        <f t="shared" si="1"/>
        <v>-0.5649623144</v>
      </c>
    </row>
    <row r="3268" ht="14.25" customHeight="1">
      <c r="A3268" s="2" t="s">
        <v>111</v>
      </c>
      <c r="B3268" s="2" t="s">
        <v>112</v>
      </c>
      <c r="C3268" s="2">
        <v>1980.0</v>
      </c>
      <c r="D3268" s="9">
        <v>3711.401</v>
      </c>
      <c r="E3268" s="10" t="str">
        <f t="array" ref="E3268">IFS(D3268&lt;=$G$3,'calculated data '!$A$3,D3268&lt;=$G$4,'calculated data '!$A$4,D3268&lt;=$G$6,'calculated data '!$A$5,D3268&gt;=$G$6,'calculated data '!$A$6)</f>
        <v>Target Market (Core IQR)</v>
      </c>
      <c r="F3268" s="10">
        <f t="shared" si="1"/>
        <v>-0.5649316148</v>
      </c>
    </row>
    <row r="3269" ht="14.25" customHeight="1">
      <c r="A3269" s="2" t="s">
        <v>169</v>
      </c>
      <c r="B3269" s="2" t="s">
        <v>170</v>
      </c>
      <c r="C3269" s="2">
        <v>2021.0</v>
      </c>
      <c r="D3269" s="9">
        <v>3711.9766</v>
      </c>
      <c r="E3269" s="10" t="str">
        <f t="array" ref="E3269">IFS(D3269&lt;=$G$3,'calculated data '!$A$3,D3269&lt;=$G$4,'calculated data '!$A$4,D3269&lt;=$G$6,'calculated data '!$A$5,D3269&gt;=$G$6,'calculated data '!$A$6)</f>
        <v>Target Market (Core IQR)</v>
      </c>
      <c r="F3269" s="10">
        <f t="shared" si="1"/>
        <v>-0.5649163788</v>
      </c>
    </row>
    <row r="3270" ht="14.25" customHeight="1">
      <c r="A3270" s="2" t="s">
        <v>213</v>
      </c>
      <c r="B3270" s="2" t="s">
        <v>214</v>
      </c>
      <c r="C3270" s="2">
        <v>2018.0</v>
      </c>
      <c r="D3270" s="9">
        <v>3713.1807</v>
      </c>
      <c r="E3270" s="10" t="str">
        <f t="array" ref="E3270">IFS(D3270&lt;=$G$3,'calculated data '!$A$3,D3270&lt;=$G$4,'calculated data '!$A$4,D3270&lt;=$G$6,'calculated data '!$A$5,D3270&gt;=$G$6,'calculated data '!$A$6)</f>
        <v>Target Market (Core IQR)</v>
      </c>
      <c r="F3270" s="10">
        <f t="shared" si="1"/>
        <v>-0.5648845066</v>
      </c>
    </row>
    <row r="3271" ht="14.25" customHeight="1">
      <c r="A3271" s="2" t="s">
        <v>129</v>
      </c>
      <c r="B3271" s="2" t="s">
        <v>130</v>
      </c>
      <c r="C3271" s="2">
        <v>1992.0</v>
      </c>
      <c r="D3271" s="9">
        <v>3713.5984</v>
      </c>
      <c r="E3271" s="10" t="str">
        <f t="array" ref="E3271">IFS(D3271&lt;=$G$3,'calculated data '!$A$3,D3271&lt;=$G$4,'calculated data '!$A$4,D3271&lt;=$G$6,'calculated data '!$A$5,D3271&gt;=$G$6,'calculated data '!$A$6)</f>
        <v>Target Market (Core IQR)</v>
      </c>
      <c r="F3271" s="10">
        <f t="shared" si="1"/>
        <v>-0.5648734502</v>
      </c>
    </row>
    <row r="3272" ht="14.25" customHeight="1">
      <c r="A3272" s="2" t="s">
        <v>217</v>
      </c>
      <c r="B3272" s="2" t="s">
        <v>218</v>
      </c>
      <c r="C3272" s="2">
        <v>2001.0</v>
      </c>
      <c r="D3272" s="9">
        <v>3715.5227</v>
      </c>
      <c r="E3272" s="10" t="str">
        <f t="array" ref="E3272">IFS(D3272&lt;=$G$3,'calculated data '!$A$3,D3272&lt;=$G$4,'calculated data '!$A$4,D3272&lt;=$G$6,'calculated data '!$A$5,D3272&gt;=$G$6,'calculated data '!$A$6)</f>
        <v>Target Market (Core IQR)</v>
      </c>
      <c r="F3272" s="10">
        <f t="shared" si="1"/>
        <v>-0.5648225144</v>
      </c>
    </row>
    <row r="3273" ht="14.25" customHeight="1">
      <c r="A3273" s="2" t="s">
        <v>217</v>
      </c>
      <c r="B3273" s="2" t="s">
        <v>218</v>
      </c>
      <c r="C3273" s="2">
        <v>1997.0</v>
      </c>
      <c r="D3273" s="9">
        <v>3718.941</v>
      </c>
      <c r="E3273" s="10" t="str">
        <f t="array" ref="E3273">IFS(D3273&lt;=$G$3,'calculated data '!$A$3,D3273&lt;=$G$4,'calculated data '!$A$4,D3273&lt;=$G$6,'calculated data '!$A$5,D3273&gt;=$G$6,'calculated data '!$A$6)</f>
        <v>Target Market (Core IQR)</v>
      </c>
      <c r="F3273" s="10">
        <f t="shared" si="1"/>
        <v>-0.5647320329</v>
      </c>
    </row>
    <row r="3274" ht="14.25" customHeight="1">
      <c r="A3274" s="2" t="s">
        <v>255</v>
      </c>
      <c r="B3274" s="2" t="s">
        <v>256</v>
      </c>
      <c r="C3274" s="2">
        <v>1991.0</v>
      </c>
      <c r="D3274" s="9">
        <v>3719.9275</v>
      </c>
      <c r="E3274" s="10" t="str">
        <f t="array" ref="E3274">IFS(D3274&lt;=$G$3,'calculated data '!$A$3,D3274&lt;=$G$4,'calculated data '!$A$4,D3274&lt;=$G$6,'calculated data '!$A$5,D3274&gt;=$G$6,'calculated data '!$A$6)</f>
        <v>Target Market (Core IQR)</v>
      </c>
      <c r="F3274" s="10">
        <f t="shared" si="1"/>
        <v>-0.5647059205</v>
      </c>
    </row>
    <row r="3275" ht="14.25" customHeight="1">
      <c r="A3275" s="2" t="s">
        <v>199</v>
      </c>
      <c r="B3275" s="2" t="s">
        <v>200</v>
      </c>
      <c r="C3275" s="2">
        <v>2009.0</v>
      </c>
      <c r="D3275" s="9">
        <v>3721.821</v>
      </c>
      <c r="E3275" s="10" t="str">
        <f t="array" ref="E3275">IFS(D3275&lt;=$G$3,'calculated data '!$A$3,D3275&lt;=$G$4,'calculated data '!$A$4,D3275&lt;=$G$6,'calculated data '!$A$5,D3275&gt;=$G$6,'calculated data '!$A$6)</f>
        <v>Target Market (Core IQR)</v>
      </c>
      <c r="F3275" s="10">
        <f t="shared" si="1"/>
        <v>-0.5646558</v>
      </c>
    </row>
    <row r="3276" ht="14.25" customHeight="1">
      <c r="A3276" s="2" t="s">
        <v>145</v>
      </c>
      <c r="B3276" s="2" t="s">
        <v>146</v>
      </c>
      <c r="C3276" s="2">
        <v>2020.0</v>
      </c>
      <c r="D3276" s="9">
        <v>3723.0173</v>
      </c>
      <c r="E3276" s="10" t="str">
        <f t="array" ref="E3276">IFS(D3276&lt;=$G$3,'calculated data '!$A$3,D3276&lt;=$G$4,'calculated data '!$A$4,D3276&lt;=$G$6,'calculated data '!$A$5,D3276&gt;=$G$6,'calculated data '!$A$6)</f>
        <v>Target Market (Core IQR)</v>
      </c>
      <c r="F3276" s="10">
        <f t="shared" si="1"/>
        <v>-0.5646241342</v>
      </c>
    </row>
    <row r="3277" ht="14.25" customHeight="1">
      <c r="A3277" s="2" t="s">
        <v>111</v>
      </c>
      <c r="B3277" s="2" t="s">
        <v>112</v>
      </c>
      <c r="C3277" s="2">
        <v>2004.0</v>
      </c>
      <c r="D3277" s="9">
        <v>3723.3376</v>
      </c>
      <c r="E3277" s="10" t="str">
        <f t="array" ref="E3277">IFS(D3277&lt;=$G$3,'calculated data '!$A$3,D3277&lt;=$G$4,'calculated data '!$A$4,D3277&lt;=$G$6,'calculated data '!$A$5,D3277&gt;=$G$6,'calculated data '!$A$6)</f>
        <v>Target Market (Core IQR)</v>
      </c>
      <c r="F3277" s="10">
        <f t="shared" si="1"/>
        <v>-0.564615656</v>
      </c>
    </row>
    <row r="3278" ht="14.25" customHeight="1">
      <c r="A3278" s="2" t="s">
        <v>199</v>
      </c>
      <c r="B3278" s="2" t="s">
        <v>200</v>
      </c>
      <c r="C3278" s="2">
        <v>2002.0</v>
      </c>
      <c r="D3278" s="9">
        <v>3725.8135</v>
      </c>
      <c r="E3278" s="10" t="str">
        <f t="array" ref="E3278">IFS(D3278&lt;=$G$3,'calculated data '!$A$3,D3278&lt;=$G$4,'calculated data '!$A$4,D3278&lt;=$G$6,'calculated data '!$A$5,D3278&gt;=$G$6,'calculated data '!$A$6)</f>
        <v>Target Market (Core IQR)</v>
      </c>
      <c r="F3278" s="10">
        <f t="shared" si="1"/>
        <v>-0.5645501195</v>
      </c>
    </row>
    <row r="3279" ht="14.25" customHeight="1">
      <c r="A3279" s="2" t="s">
        <v>189</v>
      </c>
      <c r="B3279" s="2" t="s">
        <v>190</v>
      </c>
      <c r="C3279" s="2">
        <v>2003.0</v>
      </c>
      <c r="D3279" s="9">
        <v>3725.9846</v>
      </c>
      <c r="E3279" s="10" t="str">
        <f t="array" ref="E3279">IFS(D3279&lt;=$G$3,'calculated data '!$A$3,D3279&lt;=$G$4,'calculated data '!$A$4,D3279&lt;=$G$6,'calculated data '!$A$5,D3279&gt;=$G$6,'calculated data '!$A$6)</f>
        <v>Target Market (Core IQR)</v>
      </c>
      <c r="F3279" s="10">
        <f t="shared" si="1"/>
        <v>-0.5645455905</v>
      </c>
    </row>
    <row r="3280" ht="14.25" customHeight="1">
      <c r="A3280" s="2" t="s">
        <v>177</v>
      </c>
      <c r="B3280" s="2" t="s">
        <v>178</v>
      </c>
      <c r="C3280" s="2">
        <v>2010.0</v>
      </c>
      <c r="D3280" s="9">
        <v>3727.731</v>
      </c>
      <c r="E3280" s="10" t="str">
        <f t="array" ref="E3280">IFS(D3280&lt;=$G$3,'calculated data '!$A$3,D3280&lt;=$G$4,'calculated data '!$A$4,D3280&lt;=$G$6,'calculated data '!$A$5,D3280&gt;=$G$6,'calculated data '!$A$6)</f>
        <v>Target Market (Core IQR)</v>
      </c>
      <c r="F3280" s="10">
        <f t="shared" si="1"/>
        <v>-0.5644993638</v>
      </c>
    </row>
    <row r="3281" ht="14.25" customHeight="1">
      <c r="A3281" s="2" t="s">
        <v>199</v>
      </c>
      <c r="B3281" s="2" t="s">
        <v>200</v>
      </c>
      <c r="C3281" s="2">
        <v>2001.0</v>
      </c>
      <c r="D3281" s="9">
        <v>3732.0986</v>
      </c>
      <c r="E3281" s="10" t="str">
        <f t="array" ref="E3281">IFS(D3281&lt;=$G$3,'calculated data '!$A$3,D3281&lt;=$G$4,'calculated data '!$A$4,D3281&lt;=$G$6,'calculated data '!$A$5,D3281&gt;=$G$6,'calculated data '!$A$6)</f>
        <v>Target Market (Core IQR)</v>
      </c>
      <c r="F3281" s="10">
        <f t="shared" si="1"/>
        <v>-0.5643837545</v>
      </c>
    </row>
    <row r="3282" ht="14.25" customHeight="1">
      <c r="A3282" s="2" t="s">
        <v>245</v>
      </c>
      <c r="B3282" s="2" t="s">
        <v>246</v>
      </c>
      <c r="C3282" s="2">
        <v>2012.0</v>
      </c>
      <c r="D3282" s="9">
        <v>3733.2595</v>
      </c>
      <c r="E3282" s="10" t="str">
        <f t="array" ref="E3282">IFS(D3282&lt;=$G$3,'calculated data '!$A$3,D3282&lt;=$G$4,'calculated data '!$A$4,D3282&lt;=$G$6,'calculated data '!$A$5,D3282&gt;=$G$6,'calculated data '!$A$6)</f>
        <v>Target Market (Core IQR)</v>
      </c>
      <c r="F3282" s="10">
        <f t="shared" si="1"/>
        <v>-0.5643530257</v>
      </c>
    </row>
    <row r="3283" ht="14.25" customHeight="1">
      <c r="A3283" s="2" t="s">
        <v>217</v>
      </c>
      <c r="B3283" s="2" t="s">
        <v>218</v>
      </c>
      <c r="C3283" s="2">
        <v>1992.0</v>
      </c>
      <c r="D3283" s="9">
        <v>3733.3262</v>
      </c>
      <c r="E3283" s="10" t="str">
        <f t="array" ref="E3283">IFS(D3283&lt;=$G$3,'calculated data '!$A$3,D3283&lt;=$G$4,'calculated data '!$A$4,D3283&lt;=$G$6,'calculated data '!$A$5,D3283&gt;=$G$6,'calculated data '!$A$6)</f>
        <v>Target Market (Core IQR)</v>
      </c>
      <c r="F3283" s="10">
        <f t="shared" si="1"/>
        <v>-0.5643512602</v>
      </c>
    </row>
    <row r="3284" ht="14.25" customHeight="1">
      <c r="A3284" s="2" t="s">
        <v>235</v>
      </c>
      <c r="B3284" s="2" t="s">
        <v>236</v>
      </c>
      <c r="C3284" s="2">
        <v>2012.0</v>
      </c>
      <c r="D3284" s="9">
        <v>3735.174</v>
      </c>
      <c r="E3284" s="10" t="str">
        <f t="array" ref="E3284">IFS(D3284&lt;=$G$3,'calculated data '!$A$3,D3284&lt;=$G$4,'calculated data '!$A$4,D3284&lt;=$G$6,'calculated data '!$A$5,D3284&gt;=$G$6,'calculated data '!$A$6)</f>
        <v>Target Market (Core IQR)</v>
      </c>
      <c r="F3284" s="10">
        <f t="shared" si="1"/>
        <v>-0.5643023494</v>
      </c>
    </row>
    <row r="3285" ht="14.25" customHeight="1">
      <c r="A3285" s="2" t="s">
        <v>199</v>
      </c>
      <c r="B3285" s="2" t="s">
        <v>200</v>
      </c>
      <c r="C3285" s="2">
        <v>2003.0</v>
      </c>
      <c r="D3285" s="9">
        <v>3735.4343</v>
      </c>
      <c r="E3285" s="10" t="str">
        <f t="array" ref="E3285">IFS(D3285&lt;=$G$3,'calculated data '!$A$3,D3285&lt;=$G$4,'calculated data '!$A$4,D3285&lt;=$G$6,'calculated data '!$A$5,D3285&gt;=$G$6,'calculated data '!$A$6)</f>
        <v>Target Market (Core IQR)</v>
      </c>
      <c r="F3285" s="10">
        <f t="shared" si="1"/>
        <v>-0.5642954593</v>
      </c>
    </row>
    <row r="3286" ht="14.25" customHeight="1">
      <c r="A3286" s="2" t="s">
        <v>217</v>
      </c>
      <c r="B3286" s="2" t="s">
        <v>218</v>
      </c>
      <c r="C3286" s="2">
        <v>1996.0</v>
      </c>
      <c r="D3286" s="9">
        <v>3735.4937</v>
      </c>
      <c r="E3286" s="10" t="str">
        <f t="array" ref="E3286">IFS(D3286&lt;=$G$3,'calculated data '!$A$3,D3286&lt;=$G$4,'calculated data '!$A$4,D3286&lt;=$G$6,'calculated data '!$A$5,D3286&gt;=$G$6,'calculated data '!$A$6)</f>
        <v>Target Market (Core IQR)</v>
      </c>
      <c r="F3286" s="10">
        <f t="shared" si="1"/>
        <v>-0.564293887</v>
      </c>
    </row>
    <row r="3287" ht="14.25" customHeight="1">
      <c r="A3287" s="2" t="s">
        <v>177</v>
      </c>
      <c r="B3287" s="2" t="s">
        <v>178</v>
      </c>
      <c r="C3287" s="2">
        <v>1985.0</v>
      </c>
      <c r="D3287" s="9">
        <v>3736.276</v>
      </c>
      <c r="E3287" s="10" t="str">
        <f t="array" ref="E3287">IFS(D3287&lt;=$G$3,'calculated data '!$A$3,D3287&lt;=$G$4,'calculated data '!$A$4,D3287&lt;=$G$6,'calculated data '!$A$5,D3287&gt;=$G$6,'calculated data '!$A$6)</f>
        <v>Target Market (Core IQR)</v>
      </c>
      <c r="F3287" s="10">
        <f t="shared" si="1"/>
        <v>-0.5642731797</v>
      </c>
    </row>
    <row r="3288" ht="14.25" customHeight="1">
      <c r="A3288" s="2" t="s">
        <v>143</v>
      </c>
      <c r="B3288" s="2" t="s">
        <v>144</v>
      </c>
      <c r="C3288" s="2">
        <v>2014.0</v>
      </c>
      <c r="D3288" s="9">
        <v>3736.3213</v>
      </c>
      <c r="E3288" s="10" t="str">
        <f t="array" ref="E3288">IFS(D3288&lt;=$G$3,'calculated data '!$A$3,D3288&lt;=$G$4,'calculated data '!$A$4,D3288&lt;=$G$6,'calculated data '!$A$5,D3288&gt;=$G$6,'calculated data '!$A$6)</f>
        <v>Target Market (Core IQR)</v>
      </c>
      <c r="F3288" s="10">
        <f t="shared" si="1"/>
        <v>-0.5642719807</v>
      </c>
    </row>
    <row r="3289" ht="14.25" customHeight="1">
      <c r="A3289" s="2" t="s">
        <v>151</v>
      </c>
      <c r="B3289" s="2" t="s">
        <v>152</v>
      </c>
      <c r="C3289" s="2">
        <v>2008.0</v>
      </c>
      <c r="D3289" s="9">
        <v>3737.2583</v>
      </c>
      <c r="E3289" s="10" t="str">
        <f t="array" ref="E3289">IFS(D3289&lt;=$G$3,'calculated data '!$A$3,D3289&lt;=$G$4,'calculated data '!$A$4,D3289&lt;=$G$6,'calculated data '!$A$5,D3289&gt;=$G$6,'calculated data '!$A$6)</f>
        <v>Target Market (Core IQR)</v>
      </c>
      <c r="F3289" s="10">
        <f t="shared" si="1"/>
        <v>-0.5642471785</v>
      </c>
    </row>
    <row r="3290" ht="14.25" customHeight="1">
      <c r="A3290" s="2" t="s">
        <v>217</v>
      </c>
      <c r="B3290" s="2" t="s">
        <v>218</v>
      </c>
      <c r="C3290" s="2">
        <v>1995.0</v>
      </c>
      <c r="D3290" s="9">
        <v>3738.0718</v>
      </c>
      <c r="E3290" s="10" t="str">
        <f t="array" ref="E3290">IFS(D3290&lt;=$G$3,'calculated data '!$A$3,D3290&lt;=$G$4,'calculated data '!$A$4,D3290&lt;=$G$6,'calculated data '!$A$5,D3290&gt;=$G$6,'calculated data '!$A$6)</f>
        <v>Target Market (Core IQR)</v>
      </c>
      <c r="F3290" s="10">
        <f t="shared" si="1"/>
        <v>-0.5642256454</v>
      </c>
    </row>
    <row r="3291" ht="14.25" customHeight="1">
      <c r="A3291" s="2" t="s">
        <v>161</v>
      </c>
      <c r="B3291" s="2" t="s">
        <v>162</v>
      </c>
      <c r="C3291" s="2">
        <v>2021.0</v>
      </c>
      <c r="D3291" s="9">
        <v>3738.69</v>
      </c>
      <c r="E3291" s="10" t="str">
        <f t="array" ref="E3291">IFS(D3291&lt;=$G$3,'calculated data '!$A$3,D3291&lt;=$G$4,'calculated data '!$A$4,D3291&lt;=$G$6,'calculated data '!$A$5,D3291&gt;=$G$6,'calculated data '!$A$6)</f>
        <v>Target Market (Core IQR)</v>
      </c>
      <c r="F3291" s="10">
        <f t="shared" si="1"/>
        <v>-0.5642092818</v>
      </c>
    </row>
    <row r="3292" ht="14.25" customHeight="1">
      <c r="A3292" s="2" t="s">
        <v>169</v>
      </c>
      <c r="B3292" s="2" t="s">
        <v>170</v>
      </c>
      <c r="C3292" s="2">
        <v>2017.0</v>
      </c>
      <c r="D3292" s="9">
        <v>3739.2468</v>
      </c>
      <c r="E3292" s="10" t="str">
        <f t="array" ref="E3292">IFS(D3292&lt;=$G$3,'calculated data '!$A$3,D3292&lt;=$G$4,'calculated data '!$A$4,D3292&lt;=$G$6,'calculated data '!$A$5,D3292&gt;=$G$6,'calculated data '!$A$6)</f>
        <v>Target Market (Core IQR)</v>
      </c>
      <c r="F3292" s="10">
        <f t="shared" si="1"/>
        <v>-0.5641945434</v>
      </c>
    </row>
    <row r="3293" ht="14.25" customHeight="1">
      <c r="A3293" s="2" t="s">
        <v>251</v>
      </c>
      <c r="B3293" s="2" t="s">
        <v>252</v>
      </c>
      <c r="C3293" s="2">
        <v>1989.0</v>
      </c>
      <c r="D3293" s="9">
        <v>3739.3152</v>
      </c>
      <c r="E3293" s="10" t="str">
        <f t="array" ref="E3293">IFS(D3293&lt;=$G$3,'calculated data '!$A$3,D3293&lt;=$G$4,'calculated data '!$A$4,D3293&lt;=$G$6,'calculated data '!$A$5,D3293&gt;=$G$6,'calculated data '!$A$6)</f>
        <v>Target Market (Core IQR)</v>
      </c>
      <c r="F3293" s="10">
        <f t="shared" si="1"/>
        <v>-0.5641927329</v>
      </c>
    </row>
    <row r="3294" ht="14.25" customHeight="1">
      <c r="A3294" s="2" t="s">
        <v>161</v>
      </c>
      <c r="B3294" s="2" t="s">
        <v>162</v>
      </c>
      <c r="C3294" s="2">
        <v>1982.0</v>
      </c>
      <c r="D3294" s="9">
        <v>3744.198</v>
      </c>
      <c r="E3294" s="10" t="str">
        <f t="array" ref="E3294">IFS(D3294&lt;=$G$3,'calculated data '!$A$3,D3294&lt;=$G$4,'calculated data '!$A$4,D3294&lt;=$G$6,'calculated data '!$A$5,D3294&gt;=$G$6,'calculated data '!$A$6)</f>
        <v>Target Market (Core IQR)</v>
      </c>
      <c r="F3294" s="10">
        <f t="shared" si="1"/>
        <v>-0.5640634864</v>
      </c>
    </row>
    <row r="3295" ht="14.25" customHeight="1">
      <c r="A3295" s="2" t="s">
        <v>141</v>
      </c>
      <c r="B3295" s="2" t="s">
        <v>142</v>
      </c>
      <c r="C3295" s="2">
        <v>1986.0</v>
      </c>
      <c r="D3295" s="9">
        <v>3744.6978</v>
      </c>
      <c r="E3295" s="10" t="str">
        <f t="array" ref="E3295">IFS(D3295&lt;=$G$3,'calculated data '!$A$3,D3295&lt;=$G$4,'calculated data '!$A$4,D3295&lt;=$G$6,'calculated data '!$A$5,D3295&gt;=$G$6,'calculated data '!$A$6)</f>
        <v>Target Market (Core IQR)</v>
      </c>
      <c r="F3295" s="10">
        <f t="shared" si="1"/>
        <v>-0.5640502568</v>
      </c>
    </row>
    <row r="3296" ht="14.25" customHeight="1">
      <c r="A3296" s="2" t="s">
        <v>225</v>
      </c>
      <c r="B3296" s="2" t="s">
        <v>226</v>
      </c>
      <c r="C3296" s="2">
        <v>1994.0</v>
      </c>
      <c r="D3296" s="9">
        <v>3746.7563</v>
      </c>
      <c r="E3296" s="10" t="str">
        <f t="array" ref="E3296">IFS(D3296&lt;=$G$3,'calculated data '!$A$3,D3296&lt;=$G$4,'calculated data '!$A$4,D3296&lt;=$G$6,'calculated data '!$A$5,D3296&gt;=$G$6,'calculated data '!$A$6)</f>
        <v>Target Market (Core IQR)</v>
      </c>
      <c r="F3296" s="10">
        <f t="shared" si="1"/>
        <v>-0.5639957688</v>
      </c>
    </row>
    <row r="3297" ht="14.25" customHeight="1">
      <c r="A3297" s="2" t="s">
        <v>235</v>
      </c>
      <c r="B3297" s="2" t="s">
        <v>236</v>
      </c>
      <c r="C3297" s="2">
        <v>2007.0</v>
      </c>
      <c r="D3297" s="9">
        <v>3746.9573</v>
      </c>
      <c r="E3297" s="10" t="str">
        <f t="array" ref="E3297">IFS(D3297&lt;=$G$3,'calculated data '!$A$3,D3297&lt;=$G$4,'calculated data '!$A$4,D3297&lt;=$G$6,'calculated data '!$A$5,D3297&gt;=$G$6,'calculated data '!$A$6)</f>
        <v>Target Market (Core IQR)</v>
      </c>
      <c r="F3297" s="10">
        <f t="shared" si="1"/>
        <v>-0.5639904484</v>
      </c>
    </row>
    <row r="3298" ht="14.25" customHeight="1">
      <c r="A3298" s="2" t="s">
        <v>201</v>
      </c>
      <c r="B3298" s="2" t="s">
        <v>202</v>
      </c>
      <c r="C3298" s="2">
        <v>2001.0</v>
      </c>
      <c r="D3298" s="9">
        <v>3748.036</v>
      </c>
      <c r="E3298" s="10" t="str">
        <f t="array" ref="E3298">IFS(D3298&lt;=$G$3,'calculated data '!$A$3,D3298&lt;=$G$4,'calculated data '!$A$4,D3298&lt;=$G$6,'calculated data '!$A$5,D3298&gt;=$G$6,'calculated data '!$A$6)</f>
        <v>Target Market (Core IQR)</v>
      </c>
      <c r="F3298" s="10">
        <f t="shared" si="1"/>
        <v>-0.5639618955</v>
      </c>
    </row>
    <row r="3299" ht="14.25" customHeight="1">
      <c r="A3299" s="2" t="s">
        <v>257</v>
      </c>
      <c r="B3299" s="2" t="s">
        <v>258</v>
      </c>
      <c r="C3299" s="2">
        <v>1965.0</v>
      </c>
      <c r="D3299" s="9">
        <v>3751.4927</v>
      </c>
      <c r="E3299" s="10" t="str">
        <f t="array" ref="E3299">IFS(D3299&lt;=$G$3,'calculated data '!$A$3,D3299&lt;=$G$4,'calculated data '!$A$4,D3299&lt;=$G$6,'calculated data '!$A$5,D3299&gt;=$G$6,'calculated data '!$A$6)</f>
        <v>Target Market (Core IQR)</v>
      </c>
      <c r="F3299" s="10">
        <f t="shared" si="1"/>
        <v>-0.5638703975</v>
      </c>
    </row>
    <row r="3300" ht="14.25" customHeight="1">
      <c r="A3300" s="2" t="s">
        <v>217</v>
      </c>
      <c r="B3300" s="2" t="s">
        <v>218</v>
      </c>
      <c r="C3300" s="2">
        <v>1982.0</v>
      </c>
      <c r="D3300" s="9">
        <v>3752.9543</v>
      </c>
      <c r="E3300" s="10" t="str">
        <f t="array" ref="E3300">IFS(D3300&lt;=$G$3,'calculated data '!$A$3,D3300&lt;=$G$4,'calculated data '!$A$4,D3300&lt;=$G$6,'calculated data '!$A$5,D3300&gt;=$G$6,'calculated data '!$A$6)</f>
        <v>Target Market (Core IQR)</v>
      </c>
      <c r="F3300" s="10">
        <f t="shared" si="1"/>
        <v>-0.5638317093</v>
      </c>
    </row>
    <row r="3301" ht="14.25" customHeight="1">
      <c r="A3301" s="2" t="s">
        <v>241</v>
      </c>
      <c r="B3301" s="2" t="s">
        <v>242</v>
      </c>
      <c r="C3301" s="2">
        <v>1984.0</v>
      </c>
      <c r="D3301" s="9">
        <v>3753.0251</v>
      </c>
      <c r="E3301" s="10" t="str">
        <f t="array" ref="E3301">IFS(D3301&lt;=$G$3,'calculated data '!$A$3,D3301&lt;=$G$4,'calculated data '!$A$4,D3301&lt;=$G$6,'calculated data '!$A$5,D3301&gt;=$G$6,'calculated data '!$A$6)</f>
        <v>Target Market (Core IQR)</v>
      </c>
      <c r="F3301" s="10">
        <f t="shared" si="1"/>
        <v>-0.5638298352</v>
      </c>
    </row>
    <row r="3302" ht="14.25" customHeight="1">
      <c r="A3302" s="2" t="s">
        <v>109</v>
      </c>
      <c r="B3302" s="2" t="s">
        <v>110</v>
      </c>
      <c r="C3302" s="2">
        <v>1983.0</v>
      </c>
      <c r="D3302" s="9">
        <v>3754.7764</v>
      </c>
      <c r="E3302" s="10" t="str">
        <f t="array" ref="E3302">IFS(D3302&lt;=$G$3,'calculated data '!$A$3,D3302&lt;=$G$4,'calculated data '!$A$4,D3302&lt;=$G$6,'calculated data '!$A$5,D3302&gt;=$G$6,'calculated data '!$A$6)</f>
        <v>Target Market (Core IQR)</v>
      </c>
      <c r="F3302" s="10">
        <f t="shared" si="1"/>
        <v>-0.5637834788</v>
      </c>
    </row>
    <row r="3303" ht="14.25" customHeight="1">
      <c r="A3303" s="2" t="s">
        <v>139</v>
      </c>
      <c r="B3303" s="2" t="s">
        <v>140</v>
      </c>
      <c r="C3303" s="2">
        <v>2023.0</v>
      </c>
      <c r="D3303" s="9">
        <v>3765.3594</v>
      </c>
      <c r="E3303" s="10" t="str">
        <f t="array" ref="E3303">IFS(D3303&lt;=$G$3,'calculated data '!$A$3,D3303&lt;=$G$4,'calculated data '!$A$4,D3303&lt;=$G$6,'calculated data '!$A$5,D3303&gt;=$G$6,'calculated data '!$A$6)</f>
        <v>Target Market (Core IQR)</v>
      </c>
      <c r="F3303" s="10">
        <f t="shared" si="1"/>
        <v>-0.5635033494</v>
      </c>
    </row>
    <row r="3304" ht="14.25" customHeight="1">
      <c r="A3304" s="2" t="s">
        <v>193</v>
      </c>
      <c r="B3304" s="2" t="s">
        <v>194</v>
      </c>
      <c r="C3304" s="2">
        <v>1994.0</v>
      </c>
      <c r="D3304" s="9">
        <v>3768.3125</v>
      </c>
      <c r="E3304" s="10" t="str">
        <f t="array" ref="E3304">IFS(D3304&lt;=$G$3,'calculated data '!$A$3,D3304&lt;=$G$4,'calculated data '!$A$4,D3304&lt;=$G$6,'calculated data '!$A$5,D3304&gt;=$G$6,'calculated data '!$A$6)</f>
        <v>Target Market (Core IQR)</v>
      </c>
      <c r="F3304" s="10">
        <f t="shared" si="1"/>
        <v>-0.5634251816</v>
      </c>
    </row>
    <row r="3305" ht="14.25" customHeight="1">
      <c r="A3305" s="2" t="s">
        <v>225</v>
      </c>
      <c r="B3305" s="2" t="s">
        <v>226</v>
      </c>
      <c r="C3305" s="2">
        <v>2001.0</v>
      </c>
      <c r="D3305" s="9">
        <v>3773.1501</v>
      </c>
      <c r="E3305" s="10" t="str">
        <f t="array" ref="E3305">IFS(D3305&lt;=$G$3,'calculated data '!$A$3,D3305&lt;=$G$4,'calculated data '!$A$4,D3305&lt;=$G$6,'calculated data '!$A$5,D3305&gt;=$G$6,'calculated data '!$A$6)</f>
        <v>Target Market (Core IQR)</v>
      </c>
      <c r="F3305" s="10">
        <f t="shared" si="1"/>
        <v>-0.5632971315</v>
      </c>
    </row>
    <row r="3306" ht="14.25" customHeight="1">
      <c r="A3306" s="2" t="s">
        <v>217</v>
      </c>
      <c r="B3306" s="2" t="s">
        <v>218</v>
      </c>
      <c r="C3306" s="2">
        <v>1991.0</v>
      </c>
      <c r="D3306" s="9">
        <v>3773.703</v>
      </c>
      <c r="E3306" s="10" t="str">
        <f t="array" ref="E3306">IFS(D3306&lt;=$G$3,'calculated data '!$A$3,D3306&lt;=$G$4,'calculated data '!$A$4,D3306&lt;=$G$6,'calculated data '!$A$5,D3306&gt;=$G$6,'calculated data '!$A$6)</f>
        <v>Target Market (Core IQR)</v>
      </c>
      <c r="F3306" s="10">
        <f t="shared" si="1"/>
        <v>-0.5632824964</v>
      </c>
    </row>
    <row r="3307" ht="14.25" customHeight="1">
      <c r="A3307" s="2" t="s">
        <v>221</v>
      </c>
      <c r="B3307" s="2" t="s">
        <v>222</v>
      </c>
      <c r="C3307" s="2">
        <v>1968.0</v>
      </c>
      <c r="D3307" s="9">
        <v>3775.4465</v>
      </c>
      <c r="E3307" s="10" t="str">
        <f t="array" ref="E3307">IFS(D3307&lt;=$G$3,'calculated data '!$A$3,D3307&lt;=$G$4,'calculated data '!$A$4,D3307&lt;=$G$6,'calculated data '!$A$5,D3307&gt;=$G$6,'calculated data '!$A$6)</f>
        <v>Target Market (Core IQR)</v>
      </c>
      <c r="F3307" s="10">
        <f t="shared" si="1"/>
        <v>-0.5632363464</v>
      </c>
    </row>
    <row r="3308" ht="14.25" customHeight="1">
      <c r="A3308" s="2" t="s">
        <v>79</v>
      </c>
      <c r="B3308" s="2" t="s">
        <v>80</v>
      </c>
      <c r="C3308" s="2">
        <v>2021.0</v>
      </c>
      <c r="D3308" s="9">
        <v>3779.0012</v>
      </c>
      <c r="E3308" s="10" t="str">
        <f t="array" ref="E3308">IFS(D3308&lt;=$G$3,'calculated data '!$A$3,D3308&lt;=$G$4,'calculated data '!$A$4,D3308&lt;=$G$6,'calculated data '!$A$5,D3308&gt;=$G$6,'calculated data '!$A$6)</f>
        <v>Target Market (Core IQR)</v>
      </c>
      <c r="F3308" s="10">
        <f t="shared" si="1"/>
        <v>-0.5631422543</v>
      </c>
    </row>
    <row r="3309" ht="14.25" customHeight="1">
      <c r="A3309" s="2" t="s">
        <v>217</v>
      </c>
      <c r="B3309" s="2" t="s">
        <v>218</v>
      </c>
      <c r="C3309" s="2">
        <v>1983.0</v>
      </c>
      <c r="D3309" s="9">
        <v>3780.9604</v>
      </c>
      <c r="E3309" s="10" t="str">
        <f t="array" ref="E3309">IFS(D3309&lt;=$G$3,'calculated data '!$A$3,D3309&lt;=$G$4,'calculated data '!$A$4,D3309&lt;=$G$6,'calculated data '!$A$5,D3309&gt;=$G$6,'calculated data '!$A$6)</f>
        <v>Target Market (Core IQR)</v>
      </c>
      <c r="F3309" s="10">
        <f t="shared" si="1"/>
        <v>-0.5630903948</v>
      </c>
    </row>
    <row r="3310" ht="14.25" customHeight="1">
      <c r="A3310" s="2" t="s">
        <v>163</v>
      </c>
      <c r="B3310" s="2" t="s">
        <v>164</v>
      </c>
      <c r="C3310" s="2">
        <v>1993.0</v>
      </c>
      <c r="D3310" s="9">
        <v>3781.1533</v>
      </c>
      <c r="E3310" s="10" t="str">
        <f t="array" ref="E3310">IFS(D3310&lt;=$G$3,'calculated data '!$A$3,D3310&lt;=$G$4,'calculated data '!$A$4,D3310&lt;=$G$6,'calculated data '!$A$5,D3310&gt;=$G$6,'calculated data '!$A$6)</f>
        <v>Target Market (Core IQR)</v>
      </c>
      <c r="F3310" s="10">
        <f t="shared" si="1"/>
        <v>-0.5630852888</v>
      </c>
    </row>
    <row r="3311" ht="14.25" customHeight="1">
      <c r="A3311" s="2" t="s">
        <v>201</v>
      </c>
      <c r="B3311" s="2" t="s">
        <v>202</v>
      </c>
      <c r="C3311" s="2">
        <v>1998.0</v>
      </c>
      <c r="D3311" s="9">
        <v>3783.7686</v>
      </c>
      <c r="E3311" s="10" t="str">
        <f t="array" ref="E3311">IFS(D3311&lt;=$G$3,'calculated data '!$A$3,D3311&lt;=$G$4,'calculated data '!$A$4,D3311&lt;=$G$6,'calculated data '!$A$5,D3311&gt;=$G$6,'calculated data '!$A$6)</f>
        <v>Target Market (Core IQR)</v>
      </c>
      <c r="F3311" s="10">
        <f t="shared" si="1"/>
        <v>-0.5630160624</v>
      </c>
    </row>
    <row r="3312" ht="14.25" customHeight="1">
      <c r="A3312" s="2" t="s">
        <v>235</v>
      </c>
      <c r="B3312" s="2" t="s">
        <v>236</v>
      </c>
      <c r="C3312" s="2">
        <v>2013.0</v>
      </c>
      <c r="D3312" s="9">
        <v>3784.8696</v>
      </c>
      <c r="E3312" s="10" t="str">
        <f t="array" ref="E3312">IFS(D3312&lt;=$G$3,'calculated data '!$A$3,D3312&lt;=$G$4,'calculated data '!$A$4,D3312&lt;=$G$6,'calculated data '!$A$5,D3312&gt;=$G$6,'calculated data '!$A$6)</f>
        <v>Target Market (Core IQR)</v>
      </c>
      <c r="F3312" s="10">
        <f t="shared" si="1"/>
        <v>-0.5629869193</v>
      </c>
    </row>
    <row r="3313" ht="14.25" customHeight="1">
      <c r="A3313" s="2" t="s">
        <v>213</v>
      </c>
      <c r="B3313" s="2" t="s">
        <v>214</v>
      </c>
      <c r="C3313" s="2">
        <v>2021.0</v>
      </c>
      <c r="D3313" s="9">
        <v>3787.6953</v>
      </c>
      <c r="E3313" s="10" t="str">
        <f t="array" ref="E3313">IFS(D3313&lt;=$G$3,'calculated data '!$A$3,D3313&lt;=$G$4,'calculated data '!$A$4,D3313&lt;=$G$6,'calculated data '!$A$5,D3313&gt;=$G$6,'calculated data '!$A$6)</f>
        <v>Target Market (Core IQR)</v>
      </c>
      <c r="F3313" s="10">
        <f t="shared" si="1"/>
        <v>-0.5629121237</v>
      </c>
    </row>
    <row r="3314" ht="14.25" customHeight="1">
      <c r="A3314" s="2" t="s">
        <v>217</v>
      </c>
      <c r="B3314" s="2" t="s">
        <v>218</v>
      </c>
      <c r="C3314" s="2">
        <v>1984.0</v>
      </c>
      <c r="D3314" s="9">
        <v>3789.3494</v>
      </c>
      <c r="E3314" s="10" t="str">
        <f t="array" ref="E3314">IFS(D3314&lt;=$G$3,'calculated data '!$A$3,D3314&lt;=$G$4,'calculated data '!$A$4,D3314&lt;=$G$6,'calculated data '!$A$5,D3314&gt;=$G$6,'calculated data '!$A$6)</f>
        <v>Target Market (Core IQR)</v>
      </c>
      <c r="F3314" s="10">
        <f t="shared" si="1"/>
        <v>-0.5628683401</v>
      </c>
    </row>
    <row r="3315" ht="14.25" customHeight="1">
      <c r="A3315" s="2" t="s">
        <v>239</v>
      </c>
      <c r="B3315" s="2" t="s">
        <v>240</v>
      </c>
      <c r="C3315" s="2">
        <v>1996.0</v>
      </c>
      <c r="D3315" s="9">
        <v>3789.5098</v>
      </c>
      <c r="E3315" s="10" t="str">
        <f t="array" ref="E3315">IFS(D3315&lt;=$G$3,'calculated data '!$A$3,D3315&lt;=$G$4,'calculated data '!$A$4,D3315&lt;=$G$6,'calculated data '!$A$5,D3315&gt;=$G$6,'calculated data '!$A$6)</f>
        <v>Target Market (Core IQR)</v>
      </c>
      <c r="F3315" s="10">
        <f t="shared" si="1"/>
        <v>-0.5628640943</v>
      </c>
    </row>
    <row r="3316" ht="14.25" customHeight="1">
      <c r="A3316" s="2" t="s">
        <v>163</v>
      </c>
      <c r="B3316" s="2" t="s">
        <v>164</v>
      </c>
      <c r="C3316" s="2">
        <v>1992.0</v>
      </c>
      <c r="D3316" s="9">
        <v>3792.2544</v>
      </c>
      <c r="E3316" s="10" t="str">
        <f t="array" ref="E3316">IFS(D3316&lt;=$G$3,'calculated data '!$A$3,D3316&lt;=$G$4,'calculated data '!$A$4,D3316&lt;=$G$6,'calculated data '!$A$5,D3316&gt;=$G$6,'calculated data '!$A$6)</f>
        <v>Target Market (Core IQR)</v>
      </c>
      <c r="F3316" s="10">
        <f t="shared" si="1"/>
        <v>-0.5627914454</v>
      </c>
    </row>
    <row r="3317" ht="14.25" customHeight="1">
      <c r="A3317" s="2" t="s">
        <v>237</v>
      </c>
      <c r="B3317" s="2" t="s">
        <v>238</v>
      </c>
      <c r="C3317" s="2">
        <v>1982.0</v>
      </c>
      <c r="D3317" s="9">
        <v>3794.3901</v>
      </c>
      <c r="E3317" s="10" t="str">
        <f t="array" ref="E3317">IFS(D3317&lt;=$G$3,'calculated data '!$A$3,D3317&lt;=$G$4,'calculated data '!$A$4,D3317&lt;=$G$6,'calculated data '!$A$5,D3317&gt;=$G$6,'calculated data '!$A$6)</f>
        <v>Target Market (Core IQR)</v>
      </c>
      <c r="F3317" s="10">
        <f t="shared" si="1"/>
        <v>-0.562734914</v>
      </c>
    </row>
    <row r="3318" ht="14.25" customHeight="1">
      <c r="A3318" s="2" t="s">
        <v>145</v>
      </c>
      <c r="B3318" s="2" t="s">
        <v>146</v>
      </c>
      <c r="C3318" s="2">
        <v>2023.0</v>
      </c>
      <c r="D3318" s="9">
        <v>3794.8552</v>
      </c>
      <c r="E3318" s="10" t="str">
        <f t="array" ref="E3318">IFS(D3318&lt;=$G$3,'calculated data '!$A$3,D3318&lt;=$G$4,'calculated data '!$A$4,D3318&lt;=$G$6,'calculated data '!$A$5,D3318&gt;=$G$6,'calculated data '!$A$6)</f>
        <v>Target Market (Core IQR)</v>
      </c>
      <c r="F3318" s="10">
        <f t="shared" si="1"/>
        <v>-0.5627226029</v>
      </c>
    </row>
    <row r="3319" ht="14.25" customHeight="1">
      <c r="A3319" s="2" t="s">
        <v>217</v>
      </c>
      <c r="B3319" s="2" t="s">
        <v>218</v>
      </c>
      <c r="C3319" s="2">
        <v>1986.0</v>
      </c>
      <c r="D3319" s="9">
        <v>3795.014</v>
      </c>
      <c r="E3319" s="10" t="str">
        <f t="array" ref="E3319">IFS(D3319&lt;=$G$3,'calculated data '!$A$3,D3319&lt;=$G$4,'calculated data '!$A$4,D3319&lt;=$G$6,'calculated data '!$A$5,D3319&gt;=$G$6,'calculated data '!$A$6)</f>
        <v>Target Market (Core IQR)</v>
      </c>
      <c r="F3319" s="10">
        <f t="shared" si="1"/>
        <v>-0.5627183995</v>
      </c>
    </row>
    <row r="3320" ht="14.25" customHeight="1">
      <c r="A3320" s="2" t="s">
        <v>239</v>
      </c>
      <c r="B3320" s="2" t="s">
        <v>240</v>
      </c>
      <c r="C3320" s="2">
        <v>1987.0</v>
      </c>
      <c r="D3320" s="9">
        <v>3797.2205</v>
      </c>
      <c r="E3320" s="10" t="str">
        <f t="array" ref="E3320">IFS(D3320&lt;=$G$3,'calculated data '!$A$3,D3320&lt;=$G$4,'calculated data '!$A$4,D3320&lt;=$G$6,'calculated data '!$A$5,D3320&gt;=$G$6,'calculated data '!$A$6)</f>
        <v>Target Market (Core IQR)</v>
      </c>
      <c r="F3320" s="10">
        <f t="shared" si="1"/>
        <v>-0.562659994</v>
      </c>
    </row>
    <row r="3321" ht="14.25" customHeight="1">
      <c r="A3321" s="2" t="s">
        <v>247</v>
      </c>
      <c r="B3321" s="2" t="s">
        <v>248</v>
      </c>
      <c r="C3321" s="2">
        <v>1982.0</v>
      </c>
      <c r="D3321" s="9">
        <v>3798.2673</v>
      </c>
      <c r="E3321" s="10" t="str">
        <f t="array" ref="E3321">IFS(D3321&lt;=$G$3,'calculated data '!$A$3,D3321&lt;=$G$4,'calculated data '!$A$4,D3321&lt;=$G$6,'calculated data '!$A$5,D3321&gt;=$G$6,'calculated data '!$A$6)</f>
        <v>Target Market (Core IQR)</v>
      </c>
      <c r="F3321" s="10">
        <f t="shared" si="1"/>
        <v>-0.5626322855</v>
      </c>
    </row>
    <row r="3322" ht="14.25" customHeight="1">
      <c r="A3322" s="2" t="s">
        <v>181</v>
      </c>
      <c r="B3322" s="2" t="s">
        <v>182</v>
      </c>
      <c r="C3322" s="2">
        <v>2014.0</v>
      </c>
      <c r="D3322" s="9">
        <v>3800.5977</v>
      </c>
      <c r="E3322" s="10" t="str">
        <f t="array" ref="E3322">IFS(D3322&lt;=$G$3,'calculated data '!$A$3,D3322&lt;=$G$4,'calculated data '!$A$4,D3322&lt;=$G$6,'calculated data '!$A$5,D3322&gt;=$G$6,'calculated data '!$A$6)</f>
        <v>Target Market (Core IQR)</v>
      </c>
      <c r="F3322" s="10">
        <f t="shared" si="1"/>
        <v>-0.5625706004</v>
      </c>
    </row>
    <row r="3323" ht="14.25" customHeight="1">
      <c r="A3323" s="2" t="s">
        <v>143</v>
      </c>
      <c r="B3323" s="2" t="s">
        <v>144</v>
      </c>
      <c r="C3323" s="2">
        <v>2018.0</v>
      </c>
      <c r="D3323" s="9">
        <v>3805.8127</v>
      </c>
      <c r="E3323" s="10" t="str">
        <f t="array" ref="E3323">IFS(D3323&lt;=$G$3,'calculated data '!$A$3,D3323&lt;=$G$4,'calculated data '!$A$4,D3323&lt;=$G$6,'calculated data '!$A$5,D3323&gt;=$G$6,'calculated data '!$A$6)</f>
        <v>Target Market (Core IQR)</v>
      </c>
      <c r="F3323" s="10">
        <f t="shared" si="1"/>
        <v>-0.5624325606</v>
      </c>
    </row>
    <row r="3324" ht="14.25" customHeight="1">
      <c r="A3324" s="2" t="s">
        <v>169</v>
      </c>
      <c r="B3324" s="2" t="s">
        <v>170</v>
      </c>
      <c r="C3324" s="2">
        <v>2024.0</v>
      </c>
      <c r="D3324" s="9">
        <v>3806.5586</v>
      </c>
      <c r="E3324" s="10" t="str">
        <f t="array" ref="E3324">IFS(D3324&lt;=$G$3,'calculated data '!$A$3,D3324&lt;=$G$4,'calculated data '!$A$4,D3324&lt;=$G$6,'calculated data '!$A$5,D3324&gt;=$G$6,'calculated data '!$A$6)</f>
        <v>Target Market (Core IQR)</v>
      </c>
      <c r="F3324" s="10">
        <f t="shared" si="1"/>
        <v>-0.5624128168</v>
      </c>
    </row>
    <row r="3325" ht="14.25" customHeight="1">
      <c r="A3325" s="2" t="s">
        <v>169</v>
      </c>
      <c r="B3325" s="2" t="s">
        <v>170</v>
      </c>
      <c r="C3325" s="2">
        <v>2023.0</v>
      </c>
      <c r="D3325" s="9">
        <v>3811.7117</v>
      </c>
      <c r="E3325" s="10" t="str">
        <f t="array" ref="E3325">IFS(D3325&lt;=$G$3,'calculated data '!$A$3,D3325&lt;=$G$4,'calculated data '!$A$4,D3325&lt;=$G$6,'calculated data '!$A$5,D3325&gt;=$G$6,'calculated data '!$A$6)</f>
        <v>Target Market (Core IQR)</v>
      </c>
      <c r="F3325" s="10">
        <f t="shared" si="1"/>
        <v>-0.5622764155</v>
      </c>
    </row>
    <row r="3326" ht="14.25" customHeight="1">
      <c r="A3326" s="2" t="s">
        <v>243</v>
      </c>
      <c r="B3326" s="2" t="s">
        <v>244</v>
      </c>
      <c r="C3326" s="2">
        <v>1991.0</v>
      </c>
      <c r="D3326" s="9">
        <v>3812.3499</v>
      </c>
      <c r="E3326" s="10" t="str">
        <f t="array" ref="E3326">IFS(D3326&lt;=$G$3,'calculated data '!$A$3,D3326&lt;=$G$4,'calculated data '!$A$4,D3326&lt;=$G$6,'calculated data '!$A$5,D3326&gt;=$G$6,'calculated data '!$A$6)</f>
        <v>Target Market (Core IQR)</v>
      </c>
      <c r="F3326" s="10">
        <f t="shared" si="1"/>
        <v>-0.5622595226</v>
      </c>
    </row>
    <row r="3327" ht="14.25" customHeight="1">
      <c r="A3327" s="2" t="s">
        <v>213</v>
      </c>
      <c r="B3327" s="2" t="s">
        <v>214</v>
      </c>
      <c r="C3327" s="2">
        <v>2019.0</v>
      </c>
      <c r="D3327" s="9">
        <v>3813.5183</v>
      </c>
      <c r="E3327" s="10" t="str">
        <f t="array" ref="E3327">IFS(D3327&lt;=$G$3,'calculated data '!$A$3,D3327&lt;=$G$4,'calculated data '!$A$4,D3327&lt;=$G$6,'calculated data '!$A$5,D3327&gt;=$G$6,'calculated data '!$A$6)</f>
        <v>Target Market (Core IQR)</v>
      </c>
      <c r="F3327" s="10">
        <f t="shared" si="1"/>
        <v>-0.5622285953</v>
      </c>
    </row>
    <row r="3328" ht="14.25" customHeight="1">
      <c r="A3328" s="2" t="s">
        <v>239</v>
      </c>
      <c r="B3328" s="2" t="s">
        <v>240</v>
      </c>
      <c r="C3328" s="2">
        <v>1985.0</v>
      </c>
      <c r="D3328" s="9">
        <v>3816.5125</v>
      </c>
      <c r="E3328" s="10" t="str">
        <f t="array" ref="E3328">IFS(D3328&lt;=$G$3,'calculated data '!$A$3,D3328&lt;=$G$4,'calculated data '!$A$4,D3328&lt;=$G$6,'calculated data '!$A$5,D3328&gt;=$G$6,'calculated data '!$A$6)</f>
        <v>Target Market (Core IQR)</v>
      </c>
      <c r="F3328" s="10">
        <f t="shared" si="1"/>
        <v>-0.5621493396</v>
      </c>
    </row>
    <row r="3329" ht="14.25" customHeight="1">
      <c r="A3329" s="2" t="s">
        <v>175</v>
      </c>
      <c r="B3329" s="2" t="s">
        <v>176</v>
      </c>
      <c r="C3329" s="2">
        <v>2020.0</v>
      </c>
      <c r="D3329" s="9">
        <v>3819.5557</v>
      </c>
      <c r="E3329" s="10" t="str">
        <f t="array" ref="E3329">IFS(D3329&lt;=$G$3,'calculated data '!$A$3,D3329&lt;=$G$4,'calculated data '!$A$4,D3329&lt;=$G$6,'calculated data '!$A$5,D3329&gt;=$G$6,'calculated data '!$A$6)</f>
        <v>Target Market (Core IQR)</v>
      </c>
      <c r="F3329" s="10">
        <f t="shared" si="1"/>
        <v>-0.5620687868</v>
      </c>
    </row>
    <row r="3330" ht="14.25" customHeight="1">
      <c r="A3330" s="2" t="s">
        <v>213</v>
      </c>
      <c r="B3330" s="2" t="s">
        <v>214</v>
      </c>
      <c r="C3330" s="2">
        <v>2022.0</v>
      </c>
      <c r="D3330" s="9">
        <v>3819.9983</v>
      </c>
      <c r="E3330" s="10" t="str">
        <f t="array" ref="E3330">IFS(D3330&lt;=$G$3,'calculated data '!$A$3,D3330&lt;=$G$4,'calculated data '!$A$4,D3330&lt;=$G$6,'calculated data '!$A$5,D3330&gt;=$G$6,'calculated data '!$A$6)</f>
        <v>Target Market (Core IQR)</v>
      </c>
      <c r="F3330" s="10">
        <f t="shared" si="1"/>
        <v>-0.5620570713</v>
      </c>
    </row>
    <row r="3331" ht="14.25" customHeight="1">
      <c r="A3331" s="2" t="s">
        <v>217</v>
      </c>
      <c r="B3331" s="2" t="s">
        <v>218</v>
      </c>
      <c r="C3331" s="2">
        <v>1985.0</v>
      </c>
      <c r="D3331" s="9">
        <v>3820.0225</v>
      </c>
      <c r="E3331" s="10" t="str">
        <f t="array" ref="E3331">IFS(D3331&lt;=$G$3,'calculated data '!$A$3,D3331&lt;=$G$4,'calculated data '!$A$4,D3331&lt;=$G$6,'calculated data '!$A$5,D3331&gt;=$G$6,'calculated data '!$A$6)</f>
        <v>Target Market (Core IQR)</v>
      </c>
      <c r="F3331" s="10">
        <f t="shared" si="1"/>
        <v>-0.5620564307</v>
      </c>
    </row>
    <row r="3332" ht="14.25" customHeight="1">
      <c r="A3332" s="2" t="s">
        <v>163</v>
      </c>
      <c r="B3332" s="2" t="s">
        <v>164</v>
      </c>
      <c r="C3332" s="2">
        <v>2001.0</v>
      </c>
      <c r="D3332" s="9">
        <v>3820.2944</v>
      </c>
      <c r="E3332" s="10" t="str">
        <f t="array" ref="E3332">IFS(D3332&lt;=$G$3,'calculated data '!$A$3,D3332&lt;=$G$4,'calculated data '!$A$4,D3332&lt;=$G$6,'calculated data '!$A$5,D3332&gt;=$G$6,'calculated data '!$A$6)</f>
        <v>Target Market (Core IQR)</v>
      </c>
      <c r="F3332" s="10">
        <f t="shared" si="1"/>
        <v>-0.5620492336</v>
      </c>
    </row>
    <row r="3333" ht="14.25" customHeight="1">
      <c r="A3333" s="2" t="s">
        <v>211</v>
      </c>
      <c r="B3333" s="2" t="s">
        <v>212</v>
      </c>
      <c r="C3333" s="2">
        <v>1995.0</v>
      </c>
      <c r="D3333" s="9">
        <v>3821.0022</v>
      </c>
      <c r="E3333" s="10" t="str">
        <f t="array" ref="E3333">IFS(D3333&lt;=$G$3,'calculated data '!$A$3,D3333&lt;=$G$4,'calculated data '!$A$4,D3333&lt;=$G$6,'calculated data '!$A$5,D3333&gt;=$G$6,'calculated data '!$A$6)</f>
        <v>Target Market (Core IQR)</v>
      </c>
      <c r="F3333" s="10">
        <f t="shared" si="1"/>
        <v>-0.5620304983</v>
      </c>
    </row>
    <row r="3334" ht="14.25" customHeight="1">
      <c r="A3334" s="2" t="s">
        <v>213</v>
      </c>
      <c r="B3334" s="2" t="s">
        <v>214</v>
      </c>
      <c r="C3334" s="2">
        <v>2024.0</v>
      </c>
      <c r="D3334" s="9">
        <v>3822.7468</v>
      </c>
      <c r="E3334" s="10" t="str">
        <f t="array" ref="E3334">IFS(D3334&lt;=$G$3,'calculated data '!$A$3,D3334&lt;=$G$4,'calculated data '!$A$4,D3334&lt;=$G$6,'calculated data '!$A$5,D3334&gt;=$G$6,'calculated data '!$A$6)</f>
        <v>Target Market (Core IQR)</v>
      </c>
      <c r="F3334" s="10">
        <f t="shared" si="1"/>
        <v>-0.5619843192</v>
      </c>
    </row>
    <row r="3335" ht="14.25" customHeight="1">
      <c r="A3335" s="2" t="s">
        <v>217</v>
      </c>
      <c r="B3335" s="2" t="s">
        <v>218</v>
      </c>
      <c r="C3335" s="2">
        <v>1987.0</v>
      </c>
      <c r="D3335" s="9">
        <v>3825.0486</v>
      </c>
      <c r="E3335" s="10" t="str">
        <f t="array" ref="E3335">IFS(D3335&lt;=$G$3,'calculated data '!$A$3,D3335&lt;=$G$4,'calculated data '!$A$4,D3335&lt;=$G$6,'calculated data '!$A$5,D3335&gt;=$G$6,'calculated data '!$A$6)</f>
        <v>Target Market (Core IQR)</v>
      </c>
      <c r="F3335" s="10">
        <f t="shared" si="1"/>
        <v>-0.5619233911</v>
      </c>
    </row>
    <row r="3336" ht="14.25" customHeight="1">
      <c r="A3336" s="2" t="s">
        <v>165</v>
      </c>
      <c r="B3336" s="2" t="s">
        <v>166</v>
      </c>
      <c r="C3336" s="2">
        <v>2005.0</v>
      </c>
      <c r="D3336" s="9">
        <v>3827.949</v>
      </c>
      <c r="E3336" s="10" t="str">
        <f t="array" ref="E3336">IFS(D3336&lt;=$G$3,'calculated data '!$A$3,D3336&lt;=$G$4,'calculated data '!$A$4,D3336&lt;=$G$6,'calculated data '!$A$5,D3336&gt;=$G$6,'calculated data '!$A$6)</f>
        <v>Target Market (Core IQR)</v>
      </c>
      <c r="F3336" s="10">
        <f t="shared" si="1"/>
        <v>-0.5618466183</v>
      </c>
    </row>
    <row r="3337" ht="14.25" customHeight="1">
      <c r="A3337" s="2" t="s">
        <v>175</v>
      </c>
      <c r="B3337" s="2" t="s">
        <v>176</v>
      </c>
      <c r="C3337" s="2">
        <v>2016.0</v>
      </c>
      <c r="D3337" s="9">
        <v>3828.255</v>
      </c>
      <c r="E3337" s="10" t="str">
        <f t="array" ref="E3337">IFS(D3337&lt;=$G$3,'calculated data '!$A$3,D3337&lt;=$G$4,'calculated data '!$A$4,D3337&lt;=$G$6,'calculated data '!$A$5,D3337&gt;=$G$6,'calculated data '!$A$6)</f>
        <v>Target Market (Core IQR)</v>
      </c>
      <c r="F3337" s="10">
        <f t="shared" si="1"/>
        <v>-0.5618385185</v>
      </c>
    </row>
    <row r="3338" ht="14.25" customHeight="1">
      <c r="A3338" s="2" t="s">
        <v>207</v>
      </c>
      <c r="B3338" s="2" t="s">
        <v>208</v>
      </c>
      <c r="C3338" s="2">
        <v>1974.0</v>
      </c>
      <c r="D3338" s="9">
        <v>3828.3464</v>
      </c>
      <c r="E3338" s="10" t="str">
        <f t="array" ref="E3338">IFS(D3338&lt;=$G$3,'calculated data '!$A$3,D3338&lt;=$G$4,'calculated data '!$A$4,D3338&lt;=$G$6,'calculated data '!$A$5,D3338&gt;=$G$6,'calculated data '!$A$6)</f>
        <v>Target Market (Core IQR)</v>
      </c>
      <c r="F3338" s="10">
        <f t="shared" si="1"/>
        <v>-0.5618360992</v>
      </c>
    </row>
    <row r="3339" ht="14.25" customHeight="1">
      <c r="A3339" s="2" t="s">
        <v>161</v>
      </c>
      <c r="B3339" s="2" t="s">
        <v>162</v>
      </c>
      <c r="C3339" s="2">
        <v>1981.0</v>
      </c>
      <c r="D3339" s="9">
        <v>3832.3037</v>
      </c>
      <c r="E3339" s="10" t="str">
        <f t="array" ref="E3339">IFS(D3339&lt;=$G$3,'calculated data '!$A$3,D3339&lt;=$G$4,'calculated data '!$A$4,D3339&lt;=$G$6,'calculated data '!$A$5,D3339&gt;=$G$6,'calculated data '!$A$6)</f>
        <v>Target Market (Core IQR)</v>
      </c>
      <c r="F3339" s="10">
        <f t="shared" si="1"/>
        <v>-0.5617313504</v>
      </c>
    </row>
    <row r="3340" ht="14.25" customHeight="1">
      <c r="A3340" s="2" t="s">
        <v>159</v>
      </c>
      <c r="B3340" s="2" t="s">
        <v>160</v>
      </c>
      <c r="C3340" s="2">
        <v>1995.0</v>
      </c>
      <c r="D3340" s="9">
        <v>3835.5415</v>
      </c>
      <c r="E3340" s="10" t="str">
        <f t="array" ref="E3340">IFS(D3340&lt;=$G$3,'calculated data '!$A$3,D3340&lt;=$G$4,'calculated data '!$A$4,D3340&lt;=$G$6,'calculated data '!$A$5,D3340&gt;=$G$6,'calculated data '!$A$6)</f>
        <v>Target Market (Core IQR)</v>
      </c>
      <c r="F3340" s="10">
        <f t="shared" si="1"/>
        <v>-0.5616456467</v>
      </c>
    </row>
    <row r="3341" ht="14.25" customHeight="1">
      <c r="A3341" s="2" t="s">
        <v>175</v>
      </c>
      <c r="B3341" s="2" t="s">
        <v>176</v>
      </c>
      <c r="C3341" s="2">
        <v>2022.0</v>
      </c>
      <c r="D3341" s="9">
        <v>3836.618</v>
      </c>
      <c r="E3341" s="10" t="str">
        <f t="array" ref="E3341">IFS(D3341&lt;=$G$3,'calculated data '!$A$3,D3341&lt;=$G$4,'calculated data '!$A$4,D3341&lt;=$G$6,'calculated data '!$A$5,D3341&gt;=$G$6,'calculated data '!$A$6)</f>
        <v>Target Market (Core IQR)</v>
      </c>
      <c r="F3341" s="10">
        <f t="shared" si="1"/>
        <v>-0.561617152</v>
      </c>
    </row>
    <row r="3342" ht="14.25" customHeight="1">
      <c r="A3342" s="2" t="s">
        <v>255</v>
      </c>
      <c r="B3342" s="2" t="s">
        <v>256</v>
      </c>
      <c r="C3342" s="2">
        <v>1993.0</v>
      </c>
      <c r="D3342" s="9">
        <v>3837.3022</v>
      </c>
      <c r="E3342" s="10" t="str">
        <f t="array" ref="E3342">IFS(D3342&lt;=$G$3,'calculated data '!$A$3,D3342&lt;=$G$4,'calculated data '!$A$4,D3342&lt;=$G$6,'calculated data '!$A$5,D3342&gt;=$G$6,'calculated data '!$A$6)</f>
        <v>Target Market (Core IQR)</v>
      </c>
      <c r="F3342" s="10">
        <f t="shared" si="1"/>
        <v>-0.5615990414</v>
      </c>
    </row>
    <row r="3343" ht="14.25" customHeight="1">
      <c r="A3343" s="2" t="s">
        <v>231</v>
      </c>
      <c r="B3343" s="2" t="s">
        <v>232</v>
      </c>
      <c r="C3343" s="2">
        <v>1970.0</v>
      </c>
      <c r="D3343" s="9">
        <v>3840.7954</v>
      </c>
      <c r="E3343" s="10" t="str">
        <f t="array" ref="E3343">IFS(D3343&lt;=$G$3,'calculated data '!$A$3,D3343&lt;=$G$4,'calculated data '!$A$4,D3343&lt;=$G$6,'calculated data '!$A$5,D3343&gt;=$G$6,'calculated data '!$A$6)</f>
        <v>Target Market (Core IQR)</v>
      </c>
      <c r="F3343" s="10">
        <f t="shared" si="1"/>
        <v>-0.5615065773</v>
      </c>
    </row>
    <row r="3344" ht="14.25" customHeight="1">
      <c r="A3344" s="2" t="s">
        <v>189</v>
      </c>
      <c r="B3344" s="2" t="s">
        <v>190</v>
      </c>
      <c r="C3344" s="2">
        <v>2005.0</v>
      </c>
      <c r="D3344" s="9">
        <v>3841.4219</v>
      </c>
      <c r="E3344" s="10" t="str">
        <f t="array" ref="E3344">IFS(D3344&lt;=$G$3,'calculated data '!$A$3,D3344&lt;=$G$4,'calculated data '!$A$4,D3344&lt;=$G$6,'calculated data '!$A$5,D3344&gt;=$G$6,'calculated data '!$A$6)</f>
        <v>Target Market (Core IQR)</v>
      </c>
      <c r="F3344" s="10">
        <f t="shared" si="1"/>
        <v>-0.561489994</v>
      </c>
    </row>
    <row r="3345" ht="14.25" customHeight="1">
      <c r="A3345" s="2" t="s">
        <v>217</v>
      </c>
      <c r="B3345" s="2" t="s">
        <v>218</v>
      </c>
      <c r="C3345" s="2">
        <v>2023.0</v>
      </c>
      <c r="D3345" s="9">
        <v>3845.1257</v>
      </c>
      <c r="E3345" s="10" t="str">
        <f t="array" ref="E3345">IFS(D3345&lt;=$G$3,'calculated data '!$A$3,D3345&lt;=$G$4,'calculated data '!$A$4,D3345&lt;=$G$6,'calculated data '!$A$5,D3345&gt;=$G$6,'calculated data '!$A$6)</f>
        <v>Target Market (Core IQR)</v>
      </c>
      <c r="F3345" s="10">
        <f t="shared" si="1"/>
        <v>-0.5613919553</v>
      </c>
    </row>
    <row r="3346" ht="14.25" customHeight="1">
      <c r="A3346" s="2" t="s">
        <v>239</v>
      </c>
      <c r="B3346" s="2" t="s">
        <v>240</v>
      </c>
      <c r="C3346" s="2">
        <v>1997.0</v>
      </c>
      <c r="D3346" s="9">
        <v>3845.313</v>
      </c>
      <c r="E3346" s="10" t="str">
        <f t="array" ref="E3346">IFS(D3346&lt;=$G$3,'calculated data '!$A$3,D3346&lt;=$G$4,'calculated data '!$A$4,D3346&lt;=$G$6,'calculated data '!$A$5,D3346&gt;=$G$6,'calculated data '!$A$6)</f>
        <v>Target Market (Core IQR)</v>
      </c>
      <c r="F3346" s="10">
        <f t="shared" si="1"/>
        <v>-0.5613869975</v>
      </c>
    </row>
    <row r="3347" ht="14.25" customHeight="1">
      <c r="A3347" s="2" t="s">
        <v>199</v>
      </c>
      <c r="B3347" s="2" t="s">
        <v>200</v>
      </c>
      <c r="C3347" s="2">
        <v>2013.0</v>
      </c>
      <c r="D3347" s="9">
        <v>3848.1704</v>
      </c>
      <c r="E3347" s="10" t="str">
        <f t="array" ref="E3347">IFS(D3347&lt;=$G$3,'calculated data '!$A$3,D3347&lt;=$G$4,'calculated data '!$A$4,D3347&lt;=$G$6,'calculated data '!$A$5,D3347&gt;=$G$6,'calculated data '!$A$6)</f>
        <v>Target Market (Core IQR)</v>
      </c>
      <c r="F3347" s="10">
        <f t="shared" si="1"/>
        <v>-0.5613113628</v>
      </c>
    </row>
    <row r="3348" ht="14.25" customHeight="1">
      <c r="A3348" s="2" t="s">
        <v>51</v>
      </c>
      <c r="B3348" s="2" t="s">
        <v>52</v>
      </c>
      <c r="C3348" s="2">
        <v>2007.0</v>
      </c>
      <c r="D3348" s="9">
        <v>3849.9128</v>
      </c>
      <c r="E3348" s="10" t="str">
        <f t="array" ref="E3348">IFS(D3348&lt;=$G$3,'calculated data '!$A$3,D3348&lt;=$G$4,'calculated data '!$A$4,D3348&lt;=$G$6,'calculated data '!$A$5,D3348&gt;=$G$6,'calculated data '!$A$6)</f>
        <v>Target Market (Core IQR)</v>
      </c>
      <c r="F3348" s="10">
        <f t="shared" si="1"/>
        <v>-0.5612652419</v>
      </c>
    </row>
    <row r="3349" ht="14.25" customHeight="1">
      <c r="A3349" s="2" t="s">
        <v>245</v>
      </c>
      <c r="B3349" s="2" t="s">
        <v>246</v>
      </c>
      <c r="C3349" s="2">
        <v>2013.0</v>
      </c>
      <c r="D3349" s="9">
        <v>3851.428</v>
      </c>
      <c r="E3349" s="10" t="str">
        <f t="array" ref="E3349">IFS(D3349&lt;=$G$3,'calculated data '!$A$3,D3349&lt;=$G$4,'calculated data '!$A$4,D3349&lt;=$G$6,'calculated data '!$A$5,D3349&gt;=$G$6,'calculated data '!$A$6)</f>
        <v>Target Market (Core IQR)</v>
      </c>
      <c r="F3349" s="10">
        <f t="shared" si="1"/>
        <v>-0.561225135</v>
      </c>
    </row>
    <row r="3350" ht="14.25" customHeight="1">
      <c r="A3350" s="2" t="s">
        <v>159</v>
      </c>
      <c r="B3350" s="2" t="s">
        <v>160</v>
      </c>
      <c r="C3350" s="2">
        <v>1996.0</v>
      </c>
      <c r="D3350" s="9">
        <v>3852.705</v>
      </c>
      <c r="E3350" s="10" t="str">
        <f t="array" ref="E3350">IFS(D3350&lt;=$G$3,'calculated data '!$A$3,D3350&lt;=$G$4,'calculated data '!$A$4,D3350&lt;=$G$6,'calculated data '!$A$5,D3350&gt;=$G$6,'calculated data '!$A$6)</f>
        <v>Target Market (Core IQR)</v>
      </c>
      <c r="F3350" s="10">
        <f t="shared" si="1"/>
        <v>-0.5611913331</v>
      </c>
    </row>
    <row r="3351" ht="14.25" customHeight="1">
      <c r="A3351" s="2" t="s">
        <v>181</v>
      </c>
      <c r="B3351" s="2" t="s">
        <v>182</v>
      </c>
      <c r="C3351" s="2">
        <v>2015.0</v>
      </c>
      <c r="D3351" s="9">
        <v>3852.95</v>
      </c>
      <c r="E3351" s="10" t="str">
        <f t="array" ref="E3351">IFS(D3351&lt;=$G$3,'calculated data '!$A$3,D3351&lt;=$G$4,'calculated data '!$A$4,D3351&lt;=$G$6,'calculated data '!$A$5,D3351&gt;=$G$6,'calculated data '!$A$6)</f>
        <v>Target Market (Core IQR)</v>
      </c>
      <c r="F3351" s="10">
        <f t="shared" si="1"/>
        <v>-0.561184848</v>
      </c>
    </row>
    <row r="3352" ht="14.25" customHeight="1">
      <c r="A3352" s="2" t="s">
        <v>195</v>
      </c>
      <c r="B3352" s="2" t="s">
        <v>196</v>
      </c>
      <c r="C3352" s="2">
        <v>1987.0</v>
      </c>
      <c r="D3352" s="9">
        <v>3853.0088</v>
      </c>
      <c r="E3352" s="10" t="str">
        <f t="array" ref="E3352">IFS(D3352&lt;=$G$3,'calculated data '!$A$3,D3352&lt;=$G$4,'calculated data '!$A$4,D3352&lt;=$G$6,'calculated data '!$A$5,D3352&gt;=$G$6,'calculated data '!$A$6)</f>
        <v>Target Market (Core IQR)</v>
      </c>
      <c r="F3352" s="10">
        <f t="shared" si="1"/>
        <v>-0.5611832916</v>
      </c>
    </row>
    <row r="3353" ht="14.25" customHeight="1">
      <c r="A3353" s="2" t="s">
        <v>225</v>
      </c>
      <c r="B3353" s="2" t="s">
        <v>226</v>
      </c>
      <c r="C3353" s="2">
        <v>1981.0</v>
      </c>
      <c r="D3353" s="9">
        <v>3856.683</v>
      </c>
      <c r="E3353" s="10" t="str">
        <f t="array" ref="E3353">IFS(D3353&lt;=$G$3,'calculated data '!$A$3,D3353&lt;=$G$4,'calculated data '!$A$4,D3353&lt;=$G$6,'calculated data '!$A$5,D3353&gt;=$G$6,'calculated data '!$A$6)</f>
        <v>Target Market (Core IQR)</v>
      </c>
      <c r="F3353" s="10">
        <f t="shared" si="1"/>
        <v>-0.5610860364</v>
      </c>
    </row>
    <row r="3354" ht="14.25" customHeight="1">
      <c r="A3354" s="2" t="s">
        <v>145</v>
      </c>
      <c r="B3354" s="2" t="s">
        <v>146</v>
      </c>
      <c r="C3354" s="2">
        <v>2024.0</v>
      </c>
      <c r="D3354" s="9">
        <v>3857.942</v>
      </c>
      <c r="E3354" s="10" t="str">
        <f t="array" ref="E3354">IFS(D3354&lt;=$G$3,'calculated data '!$A$3,D3354&lt;=$G$4,'calculated data '!$A$4,D3354&lt;=$G$6,'calculated data '!$A$5,D3354&gt;=$G$6,'calculated data '!$A$6)</f>
        <v>Target Market (Core IQR)</v>
      </c>
      <c r="F3354" s="10">
        <f t="shared" si="1"/>
        <v>-0.561052711</v>
      </c>
    </row>
    <row r="3355" ht="14.25" customHeight="1">
      <c r="A3355" s="2" t="s">
        <v>195</v>
      </c>
      <c r="B3355" s="2" t="s">
        <v>196</v>
      </c>
      <c r="C3355" s="2">
        <v>1988.0</v>
      </c>
      <c r="D3355" s="9">
        <v>3860.956</v>
      </c>
      <c r="E3355" s="10" t="str">
        <f t="array" ref="E3355">IFS(D3355&lt;=$G$3,'calculated data '!$A$3,D3355&lt;=$G$4,'calculated data '!$A$4,D3355&lt;=$G$6,'calculated data '!$A$5,D3355&gt;=$G$6,'calculated data '!$A$6)</f>
        <v>Target Market (Core IQR)</v>
      </c>
      <c r="F3355" s="10">
        <f t="shared" si="1"/>
        <v>-0.5609729312</v>
      </c>
    </row>
    <row r="3356" ht="14.25" customHeight="1">
      <c r="A3356" s="2" t="s">
        <v>213</v>
      </c>
      <c r="B3356" s="2" t="s">
        <v>214</v>
      </c>
      <c r="C3356" s="2">
        <v>2023.0</v>
      </c>
      <c r="D3356" s="9">
        <v>3861.8176</v>
      </c>
      <c r="E3356" s="10" t="str">
        <f t="array" ref="E3356">IFS(D3356&lt;=$G$3,'calculated data '!$A$3,D3356&lt;=$G$4,'calculated data '!$A$4,D3356&lt;=$G$6,'calculated data '!$A$5,D3356&gt;=$G$6,'calculated data '!$A$6)</f>
        <v>Target Market (Core IQR)</v>
      </c>
      <c r="F3356" s="10">
        <f t="shared" si="1"/>
        <v>-0.5609501249</v>
      </c>
    </row>
    <row r="3357" ht="14.25" customHeight="1">
      <c r="A3357" s="2" t="s">
        <v>189</v>
      </c>
      <c r="B3357" s="2" t="s">
        <v>190</v>
      </c>
      <c r="C3357" s="2">
        <v>2009.0</v>
      </c>
      <c r="D3357" s="9">
        <v>3863.5571</v>
      </c>
      <c r="E3357" s="10" t="str">
        <f t="array" ref="E3357">IFS(D3357&lt;=$G$3,'calculated data '!$A$3,D3357&lt;=$G$4,'calculated data '!$A$4,D3357&lt;=$G$6,'calculated data '!$A$5,D3357&gt;=$G$6,'calculated data '!$A$6)</f>
        <v>Target Market (Core IQR)</v>
      </c>
      <c r="F3357" s="10">
        <f t="shared" si="1"/>
        <v>-0.5609040807</v>
      </c>
    </row>
    <row r="3358" ht="14.25" customHeight="1">
      <c r="A3358" s="2" t="s">
        <v>241</v>
      </c>
      <c r="B3358" s="2" t="s">
        <v>242</v>
      </c>
      <c r="C3358" s="2">
        <v>1985.0</v>
      </c>
      <c r="D3358" s="9">
        <v>3867.4756</v>
      </c>
      <c r="E3358" s="10" t="str">
        <f t="array" ref="E3358">IFS(D3358&lt;=$G$3,'calculated data '!$A$3,D3358&lt;=$G$4,'calculated data '!$A$4,D3358&lt;=$G$6,'calculated data '!$A$5,D3358&gt;=$G$6,'calculated data '!$A$6)</f>
        <v>Target Market (Core IQR)</v>
      </c>
      <c r="F3358" s="10">
        <f t="shared" si="1"/>
        <v>-0.560800359</v>
      </c>
    </row>
    <row r="3359" ht="14.25" customHeight="1">
      <c r="A3359" s="2" t="s">
        <v>243</v>
      </c>
      <c r="B3359" s="2" t="s">
        <v>244</v>
      </c>
      <c r="C3359" s="2">
        <v>1994.0</v>
      </c>
      <c r="D3359" s="9">
        <v>3868.4058</v>
      </c>
      <c r="E3359" s="10" t="str">
        <f t="array" ref="E3359">IFS(D3359&lt;=$G$3,'calculated data '!$A$3,D3359&lt;=$G$4,'calculated data '!$A$4,D3359&lt;=$G$6,'calculated data '!$A$5,D3359&gt;=$G$6,'calculated data '!$A$6)</f>
        <v>Target Market (Core IQR)</v>
      </c>
      <c r="F3359" s="10">
        <f t="shared" si="1"/>
        <v>-0.5607757368</v>
      </c>
    </row>
    <row r="3360" ht="14.25" customHeight="1">
      <c r="A3360" s="2" t="s">
        <v>217</v>
      </c>
      <c r="B3360" s="2" t="s">
        <v>218</v>
      </c>
      <c r="C3360" s="2">
        <v>1989.0</v>
      </c>
      <c r="D3360" s="9">
        <v>3868.4514</v>
      </c>
      <c r="E3360" s="10" t="str">
        <f t="array" ref="E3360">IFS(D3360&lt;=$G$3,'calculated data '!$A$3,D3360&lt;=$G$4,'calculated data '!$A$4,D3360&lt;=$G$6,'calculated data '!$A$5,D3360&gt;=$G$6,'calculated data '!$A$6)</f>
        <v>Target Market (Core IQR)</v>
      </c>
      <c r="F3360" s="10">
        <f t="shared" si="1"/>
        <v>-0.5607745298</v>
      </c>
    </row>
    <row r="3361" ht="14.25" customHeight="1">
      <c r="A3361" s="2" t="s">
        <v>217</v>
      </c>
      <c r="B3361" s="2" t="s">
        <v>218</v>
      </c>
      <c r="C3361" s="2">
        <v>2006.0</v>
      </c>
      <c r="D3361" s="9">
        <v>3869.532</v>
      </c>
      <c r="E3361" s="10" t="str">
        <f t="array" ref="E3361">IFS(D3361&lt;=$G$3,'calculated data '!$A$3,D3361&lt;=$G$4,'calculated data '!$A$4,D3361&lt;=$G$6,'calculated data '!$A$5,D3361&gt;=$G$6,'calculated data '!$A$6)</f>
        <v>Target Market (Core IQR)</v>
      </c>
      <c r="F3361" s="10">
        <f t="shared" si="1"/>
        <v>-0.5607459266</v>
      </c>
    </row>
    <row r="3362" ht="14.25" customHeight="1">
      <c r="A3362" s="2" t="s">
        <v>109</v>
      </c>
      <c r="B3362" s="2" t="s">
        <v>110</v>
      </c>
      <c r="C3362" s="2">
        <v>1982.0</v>
      </c>
      <c r="D3362" s="9">
        <v>3872.5903</v>
      </c>
      <c r="E3362" s="10" t="str">
        <f t="array" ref="E3362">IFS(D3362&lt;=$G$3,'calculated data '!$A$3,D3362&lt;=$G$4,'calculated data '!$A$4,D3362&lt;=$G$6,'calculated data '!$A$5,D3362&gt;=$G$6,'calculated data '!$A$6)</f>
        <v>Target Market (Core IQR)</v>
      </c>
      <c r="F3362" s="10">
        <f t="shared" si="1"/>
        <v>-0.5606649742</v>
      </c>
    </row>
    <row r="3363" ht="14.25" customHeight="1">
      <c r="A3363" s="2" t="s">
        <v>217</v>
      </c>
      <c r="B3363" s="2" t="s">
        <v>218</v>
      </c>
      <c r="C3363" s="2">
        <v>2005.0</v>
      </c>
      <c r="D3363" s="9">
        <v>3875.0732</v>
      </c>
      <c r="E3363" s="10" t="str">
        <f t="array" ref="E3363">IFS(D3363&lt;=$G$3,'calculated data '!$A$3,D3363&lt;=$G$4,'calculated data '!$A$4,D3363&lt;=$G$6,'calculated data '!$A$5,D3363&gt;=$G$6,'calculated data '!$A$6)</f>
        <v>Target Market (Core IQR)</v>
      </c>
      <c r="F3363" s="10">
        <f t="shared" si="1"/>
        <v>-0.5605992524</v>
      </c>
    </row>
    <row r="3364" ht="14.25" customHeight="1">
      <c r="A3364" s="2" t="s">
        <v>195</v>
      </c>
      <c r="B3364" s="2" t="s">
        <v>196</v>
      </c>
      <c r="C3364" s="2">
        <v>1989.0</v>
      </c>
      <c r="D3364" s="9">
        <v>3879.5535</v>
      </c>
      <c r="E3364" s="10" t="str">
        <f t="array" ref="E3364">IFS(D3364&lt;=$G$3,'calculated data '!$A$3,D3364&lt;=$G$4,'calculated data '!$A$4,D3364&lt;=$G$6,'calculated data '!$A$5,D3364&gt;=$G$6,'calculated data '!$A$6)</f>
        <v>Target Market (Core IQR)</v>
      </c>
      <c r="F3364" s="10">
        <f t="shared" si="1"/>
        <v>-0.56048066</v>
      </c>
    </row>
    <row r="3365" ht="14.25" customHeight="1">
      <c r="A3365" s="2" t="s">
        <v>229</v>
      </c>
      <c r="B3365" s="2" t="s">
        <v>230</v>
      </c>
      <c r="C3365" s="2">
        <v>1970.0</v>
      </c>
      <c r="D3365" s="9">
        <v>3880.227</v>
      </c>
      <c r="E3365" s="10" t="str">
        <f t="array" ref="E3365">IFS(D3365&lt;=$G$3,'calculated data '!$A$3,D3365&lt;=$G$4,'calculated data '!$A$4,D3365&lt;=$G$6,'calculated data '!$A$5,D3365&gt;=$G$6,'calculated data '!$A$6)</f>
        <v>Target Market (Core IQR)</v>
      </c>
      <c r="F3365" s="10">
        <f t="shared" si="1"/>
        <v>-0.5604628326</v>
      </c>
    </row>
    <row r="3366" ht="14.25" customHeight="1">
      <c r="A3366" s="2" t="s">
        <v>217</v>
      </c>
      <c r="B3366" s="2" t="s">
        <v>218</v>
      </c>
      <c r="C3366" s="2">
        <v>2004.0</v>
      </c>
      <c r="D3366" s="9">
        <v>3880.8967</v>
      </c>
      <c r="E3366" s="10" t="str">
        <f t="array" ref="E3366">IFS(D3366&lt;=$G$3,'calculated data '!$A$3,D3366&lt;=$G$4,'calculated data '!$A$4,D3366&lt;=$G$6,'calculated data '!$A$5,D3366&gt;=$G$6,'calculated data '!$A$6)</f>
        <v>Target Market (Core IQR)</v>
      </c>
      <c r="F3366" s="10">
        <f t="shared" si="1"/>
        <v>-0.5604451058</v>
      </c>
    </row>
    <row r="3367" ht="14.25" customHeight="1">
      <c r="A3367" s="2" t="s">
        <v>217</v>
      </c>
      <c r="B3367" s="2" t="s">
        <v>218</v>
      </c>
      <c r="C3367" s="2">
        <v>2024.0</v>
      </c>
      <c r="D3367" s="9">
        <v>3883.9229</v>
      </c>
      <c r="E3367" s="10" t="str">
        <f t="array" ref="E3367">IFS(D3367&lt;=$G$3,'calculated data '!$A$3,D3367&lt;=$G$4,'calculated data '!$A$4,D3367&lt;=$G$6,'calculated data '!$A$5,D3367&gt;=$G$6,'calculated data '!$A$6)</f>
        <v>Target Market (Core IQR)</v>
      </c>
      <c r="F3367" s="10">
        <f t="shared" si="1"/>
        <v>-0.5603650031</v>
      </c>
    </row>
    <row r="3368" ht="14.25" customHeight="1">
      <c r="A3368" s="2" t="s">
        <v>217</v>
      </c>
      <c r="B3368" s="2" t="s">
        <v>218</v>
      </c>
      <c r="C3368" s="2">
        <v>2009.0</v>
      </c>
      <c r="D3368" s="9">
        <v>3886.2554</v>
      </c>
      <c r="E3368" s="10" t="str">
        <f t="array" ref="E3368">IFS(D3368&lt;=$G$3,'calculated data '!$A$3,D3368&lt;=$G$4,'calculated data '!$A$4,D3368&lt;=$G$6,'calculated data '!$A$5,D3368&gt;=$G$6,'calculated data '!$A$6)</f>
        <v>Target Market (Core IQR)</v>
      </c>
      <c r="F3368" s="10">
        <f t="shared" si="1"/>
        <v>-0.5603032624</v>
      </c>
    </row>
    <row r="3369" ht="14.25" customHeight="1">
      <c r="A3369" s="2" t="s">
        <v>217</v>
      </c>
      <c r="B3369" s="2" t="s">
        <v>218</v>
      </c>
      <c r="C3369" s="2">
        <v>2022.0</v>
      </c>
      <c r="D3369" s="9">
        <v>3888.098</v>
      </c>
      <c r="E3369" s="10" t="str">
        <f t="array" ref="E3369">IFS(D3369&lt;=$G$3,'calculated data '!$A$3,D3369&lt;=$G$4,'calculated data '!$A$4,D3369&lt;=$G$6,'calculated data '!$A$5,D3369&gt;=$G$6,'calculated data '!$A$6)</f>
        <v>Target Market (Core IQR)</v>
      </c>
      <c r="F3369" s="10">
        <f t="shared" si="1"/>
        <v>-0.5602544892</v>
      </c>
    </row>
    <row r="3370" ht="14.25" customHeight="1">
      <c r="A3370" s="2" t="s">
        <v>217</v>
      </c>
      <c r="B3370" s="2" t="s">
        <v>218</v>
      </c>
      <c r="C3370" s="2">
        <v>2011.0</v>
      </c>
      <c r="D3370" s="9">
        <v>3891.725</v>
      </c>
      <c r="E3370" s="10" t="str">
        <f t="array" ref="E3370">IFS(D3370&lt;=$G$3,'calculated data '!$A$3,D3370&lt;=$G$4,'calculated data '!$A$4,D3370&lt;=$G$6,'calculated data '!$A$5,D3370&gt;=$G$6,'calculated data '!$A$6)</f>
        <v>Target Market (Core IQR)</v>
      </c>
      <c r="F3370" s="10">
        <f t="shared" si="1"/>
        <v>-0.5601584834</v>
      </c>
    </row>
    <row r="3371" ht="14.25" customHeight="1">
      <c r="A3371" s="2" t="s">
        <v>217</v>
      </c>
      <c r="B3371" s="2" t="s">
        <v>218</v>
      </c>
      <c r="C3371" s="2">
        <v>1990.0</v>
      </c>
      <c r="D3371" s="9">
        <v>3892.4265</v>
      </c>
      <c r="E3371" s="10" t="str">
        <f t="array" ref="E3371">IFS(D3371&lt;=$G$3,'calculated data '!$A$3,D3371&lt;=$G$4,'calculated data '!$A$4,D3371&lt;=$G$6,'calculated data '!$A$5,D3371&gt;=$G$6,'calculated data '!$A$6)</f>
        <v>Target Market (Core IQR)</v>
      </c>
      <c r="F3371" s="10">
        <f t="shared" si="1"/>
        <v>-0.5601399149</v>
      </c>
    </row>
    <row r="3372" ht="14.25" customHeight="1">
      <c r="A3372" s="2" t="s">
        <v>151</v>
      </c>
      <c r="B3372" s="2" t="s">
        <v>152</v>
      </c>
      <c r="C3372" s="2">
        <v>2009.0</v>
      </c>
      <c r="D3372" s="9">
        <v>3893.9556</v>
      </c>
      <c r="E3372" s="10" t="str">
        <f t="array" ref="E3372">IFS(D3372&lt;=$G$3,'calculated data '!$A$3,D3372&lt;=$G$4,'calculated data '!$A$4,D3372&lt;=$G$6,'calculated data '!$A$5,D3372&gt;=$G$6,'calculated data '!$A$6)</f>
        <v>Target Market (Core IQR)</v>
      </c>
      <c r="F3372" s="10">
        <f t="shared" si="1"/>
        <v>-0.56009944</v>
      </c>
    </row>
    <row r="3373" ht="14.25" customHeight="1">
      <c r="A3373" s="2" t="s">
        <v>211</v>
      </c>
      <c r="B3373" s="2" t="s">
        <v>212</v>
      </c>
      <c r="C3373" s="2">
        <v>2000.0</v>
      </c>
      <c r="D3373" s="9">
        <v>3894.2317</v>
      </c>
      <c r="E3373" s="10" t="str">
        <f t="array" ref="E3373">IFS(D3373&lt;=$G$3,'calculated data '!$A$3,D3373&lt;=$G$4,'calculated data '!$A$4,D3373&lt;=$G$6,'calculated data '!$A$5,D3373&gt;=$G$6,'calculated data '!$A$6)</f>
        <v>Target Market (Core IQR)</v>
      </c>
      <c r="F3373" s="10">
        <f t="shared" si="1"/>
        <v>-0.5600921317</v>
      </c>
    </row>
    <row r="3374" ht="14.25" customHeight="1">
      <c r="A3374" s="2" t="s">
        <v>235</v>
      </c>
      <c r="B3374" s="2" t="s">
        <v>236</v>
      </c>
      <c r="C3374" s="2">
        <v>2010.0</v>
      </c>
      <c r="D3374" s="9">
        <v>3895.3457</v>
      </c>
      <c r="E3374" s="10" t="str">
        <f t="array" ref="E3374">IFS(D3374&lt;=$G$3,'calculated data '!$A$3,D3374&lt;=$G$4,'calculated data '!$A$4,D3374&lt;=$G$6,'calculated data '!$A$5,D3374&gt;=$G$6,'calculated data '!$A$6)</f>
        <v>Target Market (Core IQR)</v>
      </c>
      <c r="F3374" s="10">
        <f t="shared" si="1"/>
        <v>-0.5600626444</v>
      </c>
    </row>
    <row r="3375" ht="14.25" customHeight="1">
      <c r="A3375" s="2" t="s">
        <v>145</v>
      </c>
      <c r="B3375" s="2" t="s">
        <v>146</v>
      </c>
      <c r="C3375" s="2">
        <v>2022.0</v>
      </c>
      <c r="D3375" s="9">
        <v>3897.0745</v>
      </c>
      <c r="E3375" s="10" t="str">
        <f t="array" ref="E3375">IFS(D3375&lt;=$G$3,'calculated data '!$A$3,D3375&lt;=$G$4,'calculated data '!$A$4,D3375&lt;=$G$6,'calculated data '!$A$5,D3375&gt;=$G$6,'calculated data '!$A$6)</f>
        <v>Target Market (Core IQR)</v>
      </c>
      <c r="F3375" s="10">
        <f t="shared" si="1"/>
        <v>-0.5600168835</v>
      </c>
    </row>
    <row r="3376" ht="14.25" customHeight="1">
      <c r="A3376" s="2" t="s">
        <v>217</v>
      </c>
      <c r="B3376" s="2" t="s">
        <v>218</v>
      </c>
      <c r="C3376" s="2">
        <v>2021.0</v>
      </c>
      <c r="D3376" s="9">
        <v>3897.89</v>
      </c>
      <c r="E3376" s="10" t="str">
        <f t="array" ref="E3376">IFS(D3376&lt;=$G$3,'calculated data '!$A$3,D3376&lt;=$G$4,'calculated data '!$A$4,D3376&lt;=$G$6,'calculated data '!$A$5,D3376&gt;=$G$6,'calculated data '!$A$6)</f>
        <v>Target Market (Core IQR)</v>
      </c>
      <c r="F3376" s="10">
        <f t="shared" si="1"/>
        <v>-0.5599952974</v>
      </c>
    </row>
    <row r="3377" ht="14.25" customHeight="1">
      <c r="A3377" s="2" t="s">
        <v>195</v>
      </c>
      <c r="B3377" s="2" t="s">
        <v>196</v>
      </c>
      <c r="C3377" s="2">
        <v>1990.0</v>
      </c>
      <c r="D3377" s="9">
        <v>3901.759</v>
      </c>
      <c r="E3377" s="10" t="str">
        <f t="array" ref="E3377">IFS(D3377&lt;=$G$3,'calculated data '!$A$3,D3377&lt;=$G$4,'calculated data '!$A$4,D3377&lt;=$G$6,'calculated data '!$A$5,D3377&gt;=$G$6,'calculated data '!$A$6)</f>
        <v>Target Market (Core IQR)</v>
      </c>
      <c r="F3377" s="10">
        <f t="shared" si="1"/>
        <v>-0.5598928859</v>
      </c>
    </row>
    <row r="3378" ht="14.25" customHeight="1">
      <c r="A3378" s="2" t="s">
        <v>129</v>
      </c>
      <c r="B3378" s="2" t="s">
        <v>130</v>
      </c>
      <c r="C3378" s="2">
        <v>1993.0</v>
      </c>
      <c r="D3378" s="9">
        <v>3901.859</v>
      </c>
      <c r="E3378" s="10" t="str">
        <f t="array" ref="E3378">IFS(D3378&lt;=$G$3,'calculated data '!$A$3,D3378&lt;=$G$4,'calculated data '!$A$4,D3378&lt;=$G$6,'calculated data '!$A$5,D3378&gt;=$G$6,'calculated data '!$A$6)</f>
        <v>Target Market (Core IQR)</v>
      </c>
      <c r="F3378" s="10">
        <f t="shared" si="1"/>
        <v>-0.559890239</v>
      </c>
    </row>
    <row r="3379" ht="14.25" customHeight="1">
      <c r="A3379" s="2" t="s">
        <v>215</v>
      </c>
      <c r="B3379" s="2" t="s">
        <v>216</v>
      </c>
      <c r="C3379" s="2">
        <v>2002.0</v>
      </c>
      <c r="D3379" s="9">
        <v>3903.6702</v>
      </c>
      <c r="E3379" s="10" t="str">
        <f t="array" ref="E3379">IFS(D3379&lt;=$G$3,'calculated data '!$A$3,D3379&lt;=$G$4,'calculated data '!$A$4,D3379&lt;=$G$6,'calculated data '!$A$5,D3379&gt;=$G$6,'calculated data '!$A$6)</f>
        <v>Target Market (Core IQR)</v>
      </c>
      <c r="F3379" s="10">
        <f t="shared" si="1"/>
        <v>-0.559842297</v>
      </c>
    </row>
    <row r="3380" ht="14.25" customHeight="1">
      <c r="A3380" s="2" t="s">
        <v>259</v>
      </c>
      <c r="B3380" s="2" t="s">
        <v>260</v>
      </c>
      <c r="C3380" s="2">
        <v>1984.0</v>
      </c>
      <c r="D3380" s="9">
        <v>3906.4688</v>
      </c>
      <c r="E3380" s="10" t="str">
        <f t="array" ref="E3380">IFS(D3380&lt;=$G$3,'calculated data '!$A$3,D3380&lt;=$G$4,'calculated data '!$A$4,D3380&lt;=$G$6,'calculated data '!$A$5,D3380&gt;=$G$6,'calculated data '!$A$6)</f>
        <v>Target Market (Core IQR)</v>
      </c>
      <c r="F3380" s="10">
        <f t="shared" si="1"/>
        <v>-0.5597682187</v>
      </c>
    </row>
    <row r="3381" ht="14.25" customHeight="1">
      <c r="A3381" s="2" t="s">
        <v>205</v>
      </c>
      <c r="B3381" s="2" t="s">
        <v>206</v>
      </c>
      <c r="C3381" s="2">
        <v>1979.0</v>
      </c>
      <c r="D3381" s="9">
        <v>3906.696</v>
      </c>
      <c r="E3381" s="10" t="str">
        <f t="array" ref="E3381">IFS(D3381&lt;=$G$3,'calculated data '!$A$3,D3381&lt;=$G$4,'calculated data '!$A$4,D3381&lt;=$G$6,'calculated data '!$A$5,D3381&gt;=$G$6,'calculated data '!$A$6)</f>
        <v>Target Market (Core IQR)</v>
      </c>
      <c r="F3381" s="10">
        <f t="shared" si="1"/>
        <v>-0.5597622048</v>
      </c>
    </row>
    <row r="3382" ht="14.25" customHeight="1">
      <c r="A3382" s="2" t="s">
        <v>189</v>
      </c>
      <c r="B3382" s="2" t="s">
        <v>190</v>
      </c>
      <c r="C3382" s="2">
        <v>2010.0</v>
      </c>
      <c r="D3382" s="9">
        <v>3909.1226</v>
      </c>
      <c r="E3382" s="10" t="str">
        <f t="array" ref="E3382">IFS(D3382&lt;=$G$3,'calculated data '!$A$3,D3382&lt;=$G$4,'calculated data '!$A$4,D3382&lt;=$G$6,'calculated data '!$A$5,D3382&gt;=$G$6,'calculated data '!$A$6)</f>
        <v>Target Market (Core IQR)</v>
      </c>
      <c r="F3382" s="10">
        <f t="shared" si="1"/>
        <v>-0.5596979733</v>
      </c>
    </row>
    <row r="3383" ht="14.25" customHeight="1">
      <c r="A3383" s="2" t="s">
        <v>217</v>
      </c>
      <c r="B3383" s="2" t="s">
        <v>218</v>
      </c>
      <c r="C3383" s="2">
        <v>2025.0</v>
      </c>
      <c r="D3383" s="9">
        <v>3919.6494</v>
      </c>
      <c r="E3383" s="10" t="str">
        <f t="array" ref="E3383">IFS(D3383&lt;=$G$3,'calculated data '!$A$3,D3383&lt;=$G$4,'calculated data '!$A$4,D3383&lt;=$G$6,'calculated data '!$A$5,D3383&gt;=$G$6,'calculated data '!$A$6)</f>
        <v>Target Market (Core IQR)</v>
      </c>
      <c r="F3383" s="10">
        <f t="shared" si="1"/>
        <v>-0.5594193315</v>
      </c>
    </row>
    <row r="3384" ht="14.25" customHeight="1">
      <c r="A3384" s="2" t="s">
        <v>211</v>
      </c>
      <c r="B3384" s="2" t="s">
        <v>212</v>
      </c>
      <c r="C3384" s="2">
        <v>2001.0</v>
      </c>
      <c r="D3384" s="9">
        <v>3921.1033</v>
      </c>
      <c r="E3384" s="10" t="str">
        <f t="array" ref="E3384">IFS(D3384&lt;=$G$3,'calculated data '!$A$3,D3384&lt;=$G$4,'calculated data '!$A$4,D3384&lt;=$G$6,'calculated data '!$A$5,D3384&gt;=$G$6,'calculated data '!$A$6)</f>
        <v>Target Market (Core IQR)</v>
      </c>
      <c r="F3384" s="10">
        <f t="shared" si="1"/>
        <v>-0.5593808471</v>
      </c>
    </row>
    <row r="3385" ht="14.25" customHeight="1">
      <c r="A3385" s="2" t="s">
        <v>197</v>
      </c>
      <c r="B3385" s="2" t="s">
        <v>198</v>
      </c>
      <c r="C3385" s="2">
        <v>1975.0</v>
      </c>
      <c r="D3385" s="9">
        <v>3924.2769</v>
      </c>
      <c r="E3385" s="10" t="str">
        <f t="array" ref="E3385">IFS(D3385&lt;=$G$3,'calculated data '!$A$3,D3385&lt;=$G$4,'calculated data '!$A$4,D3385&lt;=$G$6,'calculated data '!$A$5,D3385&gt;=$G$6,'calculated data '!$A$6)</f>
        <v>Target Market (Core IQR)</v>
      </c>
      <c r="F3385" s="10">
        <f t="shared" si="1"/>
        <v>-0.5592968427</v>
      </c>
    </row>
    <row r="3386" ht="14.25" customHeight="1">
      <c r="A3386" s="2" t="s">
        <v>161</v>
      </c>
      <c r="B3386" s="2" t="s">
        <v>162</v>
      </c>
      <c r="C3386" s="2">
        <v>1988.0</v>
      </c>
      <c r="D3386" s="9">
        <v>3925.5605</v>
      </c>
      <c r="E3386" s="10" t="str">
        <f t="array" ref="E3386">IFS(D3386&lt;=$G$3,'calculated data '!$A$3,D3386&lt;=$G$4,'calculated data '!$A$4,D3386&lt;=$G$6,'calculated data '!$A$5,D3386&gt;=$G$6,'calculated data '!$A$6)</f>
        <v>Target Market (Core IQR)</v>
      </c>
      <c r="F3386" s="10">
        <f t="shared" si="1"/>
        <v>-0.5592628662</v>
      </c>
    </row>
    <row r="3387" ht="14.25" customHeight="1">
      <c r="A3387" s="2" t="s">
        <v>237</v>
      </c>
      <c r="B3387" s="2" t="s">
        <v>238</v>
      </c>
      <c r="C3387" s="2">
        <v>1980.0</v>
      </c>
      <c r="D3387" s="9">
        <v>3925.8162</v>
      </c>
      <c r="E3387" s="10" t="str">
        <f t="array" ref="E3387">IFS(D3387&lt;=$G$3,'calculated data '!$A$3,D3387&lt;=$G$4,'calculated data '!$A$4,D3387&lt;=$G$6,'calculated data '!$A$5,D3387&gt;=$G$6,'calculated data '!$A$6)</f>
        <v>Target Market (Core IQR)</v>
      </c>
      <c r="F3387" s="10">
        <f t="shared" si="1"/>
        <v>-0.5592560979</v>
      </c>
    </row>
    <row r="3388" ht="14.25" customHeight="1">
      <c r="A3388" s="2" t="s">
        <v>189</v>
      </c>
      <c r="B3388" s="2" t="s">
        <v>190</v>
      </c>
      <c r="C3388" s="2">
        <v>2011.0</v>
      </c>
      <c r="D3388" s="9">
        <v>3926.3542</v>
      </c>
      <c r="E3388" s="10" t="str">
        <f t="array" ref="E3388">IFS(D3388&lt;=$G$3,'calculated data '!$A$3,D3388&lt;=$G$4,'calculated data '!$A$4,D3388&lt;=$G$6,'calculated data '!$A$5,D3388&gt;=$G$6,'calculated data '!$A$6)</f>
        <v>Target Market (Core IQR)</v>
      </c>
      <c r="F3388" s="10">
        <f t="shared" si="1"/>
        <v>-0.5592418571</v>
      </c>
    </row>
    <row r="3389" ht="14.25" customHeight="1">
      <c r="A3389" s="2" t="s">
        <v>217</v>
      </c>
      <c r="B3389" s="2" t="s">
        <v>218</v>
      </c>
      <c r="C3389" s="2">
        <v>2007.0</v>
      </c>
      <c r="D3389" s="9">
        <v>3926.5698</v>
      </c>
      <c r="E3389" s="10" t="str">
        <f t="array" ref="E3389">IFS(D3389&lt;=$G$3,'calculated data '!$A$3,D3389&lt;=$G$4,'calculated data '!$A$4,D3389&lt;=$G$6,'calculated data '!$A$5,D3389&gt;=$G$6,'calculated data '!$A$6)</f>
        <v>Target Market (Core IQR)</v>
      </c>
      <c r="F3389" s="10">
        <f t="shared" si="1"/>
        <v>-0.5592361502</v>
      </c>
    </row>
    <row r="3390" ht="14.25" customHeight="1">
      <c r="A3390" s="2" t="s">
        <v>255</v>
      </c>
      <c r="B3390" s="2" t="s">
        <v>256</v>
      </c>
      <c r="C3390" s="2">
        <v>1990.0</v>
      </c>
      <c r="D3390" s="9">
        <v>3929.5085</v>
      </c>
      <c r="E3390" s="10" t="str">
        <f t="array" ref="E3390">IFS(D3390&lt;=$G$3,'calculated data '!$A$3,D3390&lt;=$G$4,'calculated data '!$A$4,D3390&lt;=$G$6,'calculated data '!$A$5,D3390&gt;=$G$6,'calculated data '!$A$6)</f>
        <v>Target Market (Core IQR)</v>
      </c>
      <c r="F3390" s="10">
        <f t="shared" si="1"/>
        <v>-0.5591583636</v>
      </c>
    </row>
    <row r="3391" ht="14.25" customHeight="1">
      <c r="A3391" s="2" t="s">
        <v>201</v>
      </c>
      <c r="B3391" s="2" t="s">
        <v>202</v>
      </c>
      <c r="C3391" s="2">
        <v>2000.0</v>
      </c>
      <c r="D3391" s="9">
        <v>3930.6648</v>
      </c>
      <c r="E3391" s="10" t="str">
        <f t="array" ref="E3391">IFS(D3391&lt;=$G$3,'calculated data '!$A$3,D3391&lt;=$G$4,'calculated data '!$A$4,D3391&lt;=$G$6,'calculated data '!$A$5,D3391&gt;=$G$6,'calculated data '!$A$6)</f>
        <v>Target Market (Core IQR)</v>
      </c>
      <c r="F3391" s="10">
        <f t="shared" si="1"/>
        <v>-0.5591277566</v>
      </c>
    </row>
    <row r="3392" ht="14.25" customHeight="1">
      <c r="A3392" s="2" t="s">
        <v>183</v>
      </c>
      <c r="B3392" s="2" t="s">
        <v>184</v>
      </c>
      <c r="C3392" s="2">
        <v>1976.0</v>
      </c>
      <c r="D3392" s="9">
        <v>3935.2732</v>
      </c>
      <c r="E3392" s="10" t="str">
        <f t="array" ref="E3392">IFS(D3392&lt;=$G$3,'calculated data '!$A$3,D3392&lt;=$G$4,'calculated data '!$A$4,D3392&lt;=$G$6,'calculated data '!$A$5,D3392&gt;=$G$6,'calculated data '!$A$6)</f>
        <v>Target Market (Core IQR)</v>
      </c>
      <c r="F3392" s="10">
        <f t="shared" si="1"/>
        <v>-0.5590057734</v>
      </c>
    </row>
    <row r="3393" ht="14.25" customHeight="1">
      <c r="A3393" s="2" t="s">
        <v>133</v>
      </c>
      <c r="B3393" s="2" t="s">
        <v>134</v>
      </c>
      <c r="C3393" s="2">
        <v>2007.0</v>
      </c>
      <c r="D3393" s="9">
        <v>3937.3733</v>
      </c>
      <c r="E3393" s="10" t="str">
        <f t="array" ref="E3393">IFS(D3393&lt;=$G$3,'calculated data '!$A$3,D3393&lt;=$G$4,'calculated data '!$A$4,D3393&lt;=$G$6,'calculated data '!$A$5,D3393&gt;=$G$6,'calculated data '!$A$6)</f>
        <v>Target Market (Core IQR)</v>
      </c>
      <c r="F3393" s="10">
        <f t="shared" si="1"/>
        <v>-0.5589501843</v>
      </c>
    </row>
    <row r="3394" ht="14.25" customHeight="1">
      <c r="A3394" s="2" t="s">
        <v>163</v>
      </c>
      <c r="B3394" s="2" t="s">
        <v>164</v>
      </c>
      <c r="C3394" s="2">
        <v>1990.0</v>
      </c>
      <c r="D3394" s="9">
        <v>3939.4976</v>
      </c>
      <c r="E3394" s="10" t="str">
        <f t="array" ref="E3394">IFS(D3394&lt;=$G$3,'calculated data '!$A$3,D3394&lt;=$G$4,'calculated data '!$A$4,D3394&lt;=$G$6,'calculated data '!$A$5,D3394&gt;=$G$6,'calculated data '!$A$6)</f>
        <v>Target Market (Core IQR)</v>
      </c>
      <c r="F3394" s="10">
        <f t="shared" si="1"/>
        <v>-0.5588939546</v>
      </c>
    </row>
    <row r="3395" ht="14.25" customHeight="1">
      <c r="A3395" s="2" t="s">
        <v>217</v>
      </c>
      <c r="B3395" s="2" t="s">
        <v>218</v>
      </c>
      <c r="C3395" s="2">
        <v>2010.0</v>
      </c>
      <c r="D3395" s="9">
        <v>3940.13</v>
      </c>
      <c r="E3395" s="10" t="str">
        <f t="array" ref="E3395">IFS(D3395&lt;=$G$3,'calculated data '!$A$3,D3395&lt;=$G$4,'calculated data '!$A$4,D3395&lt;=$G$6,'calculated data '!$A$5,D3395&gt;=$G$6,'calculated data '!$A$6)</f>
        <v>Target Market (Core IQR)</v>
      </c>
      <c r="F3395" s="10">
        <f t="shared" si="1"/>
        <v>-0.5588772151</v>
      </c>
    </row>
    <row r="3396" ht="14.25" customHeight="1">
      <c r="A3396" s="2" t="s">
        <v>151</v>
      </c>
      <c r="B3396" s="2" t="s">
        <v>152</v>
      </c>
      <c r="C3396" s="2">
        <v>2010.0</v>
      </c>
      <c r="D3396" s="9">
        <v>3941.673</v>
      </c>
      <c r="E3396" s="10" t="str">
        <f t="array" ref="E3396">IFS(D3396&lt;=$G$3,'calculated data '!$A$3,D3396&lt;=$G$4,'calculated data '!$A$4,D3396&lt;=$G$6,'calculated data '!$A$5,D3396&gt;=$G$6,'calculated data '!$A$6)</f>
        <v>Target Market (Core IQR)</v>
      </c>
      <c r="F3396" s="10">
        <f t="shared" si="1"/>
        <v>-0.5588363723</v>
      </c>
    </row>
    <row r="3397" ht="14.25" customHeight="1">
      <c r="A3397" s="2" t="s">
        <v>159</v>
      </c>
      <c r="B3397" s="2" t="s">
        <v>160</v>
      </c>
      <c r="C3397" s="2">
        <v>1997.0</v>
      </c>
      <c r="D3397" s="9">
        <v>3942.0881</v>
      </c>
      <c r="E3397" s="10" t="str">
        <f t="array" ref="E3397">IFS(D3397&lt;=$G$3,'calculated data '!$A$3,D3397&lt;=$G$4,'calculated data '!$A$4,D3397&lt;=$G$6,'calculated data '!$A$5,D3397&gt;=$G$6,'calculated data '!$A$6)</f>
        <v>Target Market (Core IQR)</v>
      </c>
      <c r="F3397" s="10">
        <f t="shared" si="1"/>
        <v>-0.5588253847</v>
      </c>
    </row>
    <row r="3398" ht="14.25" customHeight="1">
      <c r="A3398" s="2" t="s">
        <v>99</v>
      </c>
      <c r="B3398" s="2" t="s">
        <v>100</v>
      </c>
      <c r="C3398" s="2">
        <v>1994.0</v>
      </c>
      <c r="D3398" s="9">
        <v>3948.7869</v>
      </c>
      <c r="E3398" s="10" t="str">
        <f t="array" ref="E3398">IFS(D3398&lt;=$G$3,'calculated data '!$A$3,D3398&lt;=$G$4,'calculated data '!$A$4,D3398&lt;=$G$6,'calculated data '!$A$5,D3398&gt;=$G$6,'calculated data '!$A$6)</f>
        <v>Target Market (Core IQR)</v>
      </c>
      <c r="F3398" s="10">
        <f t="shared" si="1"/>
        <v>-0.5586480691</v>
      </c>
    </row>
    <row r="3399" ht="14.25" customHeight="1">
      <c r="A3399" s="2" t="s">
        <v>165</v>
      </c>
      <c r="B3399" s="2" t="s">
        <v>166</v>
      </c>
      <c r="C3399" s="2">
        <v>2006.0</v>
      </c>
      <c r="D3399" s="9">
        <v>3951.1157</v>
      </c>
      <c r="E3399" s="10" t="str">
        <f t="array" ref="E3399">IFS(D3399&lt;=$G$3,'calculated data '!$A$3,D3399&lt;=$G$4,'calculated data '!$A$4,D3399&lt;=$G$6,'calculated data '!$A$5,D3399&gt;=$G$6,'calculated data '!$A$6)</f>
        <v>Target Market (Core IQR)</v>
      </c>
      <c r="F3399" s="10">
        <f t="shared" si="1"/>
        <v>-0.5585864264</v>
      </c>
    </row>
    <row r="3400" ht="14.25" customHeight="1">
      <c r="A3400" s="2" t="s">
        <v>211</v>
      </c>
      <c r="B3400" s="2" t="s">
        <v>212</v>
      </c>
      <c r="C3400" s="2">
        <v>1998.0</v>
      </c>
      <c r="D3400" s="9">
        <v>3951.213</v>
      </c>
      <c r="E3400" s="10" t="str">
        <f t="array" ref="E3400">IFS(D3400&lt;=$G$3,'calculated data '!$A$3,D3400&lt;=$G$4,'calculated data '!$A$4,D3400&lt;=$G$6,'calculated data '!$A$5,D3400&gt;=$G$6,'calculated data '!$A$6)</f>
        <v>Target Market (Core IQR)</v>
      </c>
      <c r="F3400" s="10">
        <f t="shared" si="1"/>
        <v>-0.5585838509</v>
      </c>
    </row>
    <row r="3401" ht="14.25" customHeight="1">
      <c r="A3401" s="2" t="s">
        <v>163</v>
      </c>
      <c r="B3401" s="2" t="s">
        <v>164</v>
      </c>
      <c r="C3401" s="2">
        <v>1989.0</v>
      </c>
      <c r="D3401" s="9">
        <v>3951.306</v>
      </c>
      <c r="E3401" s="10" t="str">
        <f t="array" ref="E3401">IFS(D3401&lt;=$G$3,'calculated data '!$A$3,D3401&lt;=$G$4,'calculated data '!$A$4,D3401&lt;=$G$6,'calculated data '!$A$5,D3401&gt;=$G$6,'calculated data '!$A$6)</f>
        <v>Target Market (Core IQR)</v>
      </c>
      <c r="F3401" s="10">
        <f t="shared" si="1"/>
        <v>-0.5585813892</v>
      </c>
    </row>
    <row r="3402" ht="14.25" customHeight="1">
      <c r="A3402" s="2" t="s">
        <v>159</v>
      </c>
      <c r="B3402" s="2" t="s">
        <v>160</v>
      </c>
      <c r="C3402" s="2">
        <v>1994.0</v>
      </c>
      <c r="D3402" s="9">
        <v>3954.1267</v>
      </c>
      <c r="E3402" s="10" t="str">
        <f t="array" ref="E3402">IFS(D3402&lt;=$G$3,'calculated data '!$A$3,D3402&lt;=$G$4,'calculated data '!$A$4,D3402&lt;=$G$6,'calculated data '!$A$5,D3402&gt;=$G$6,'calculated data '!$A$6)</f>
        <v>Target Market (Core IQR)</v>
      </c>
      <c r="F3402" s="10">
        <f t="shared" si="1"/>
        <v>-0.558506726</v>
      </c>
    </row>
    <row r="3403" ht="14.25" customHeight="1">
      <c r="A3403" s="2" t="s">
        <v>199</v>
      </c>
      <c r="B3403" s="2" t="s">
        <v>200</v>
      </c>
      <c r="C3403" s="2">
        <v>2007.0</v>
      </c>
      <c r="D3403" s="9">
        <v>3958.8467</v>
      </c>
      <c r="E3403" s="10" t="str">
        <f t="array" ref="E3403">IFS(D3403&lt;=$G$3,'calculated data '!$A$3,D3403&lt;=$G$4,'calculated data '!$A$4,D3403&lt;=$G$6,'calculated data '!$A$5,D3403&gt;=$G$6,'calculated data '!$A$6)</f>
        <v>Target Market (Core IQR)</v>
      </c>
      <c r="F3403" s="10">
        <f t="shared" si="1"/>
        <v>-0.5583817887</v>
      </c>
    </row>
    <row r="3404" ht="14.25" customHeight="1">
      <c r="A3404" s="2" t="s">
        <v>175</v>
      </c>
      <c r="B3404" s="2" t="s">
        <v>176</v>
      </c>
      <c r="C3404" s="2">
        <v>2019.0</v>
      </c>
      <c r="D3404" s="9">
        <v>3962.8977</v>
      </c>
      <c r="E3404" s="10" t="str">
        <f t="array" ref="E3404">IFS(D3404&lt;=$G$3,'calculated data '!$A$3,D3404&lt;=$G$4,'calculated data '!$A$4,D3404&lt;=$G$6,'calculated data '!$A$5,D3404&gt;=$G$6,'calculated data '!$A$6)</f>
        <v>Target Market (Core IQR)</v>
      </c>
      <c r="F3404" s="10">
        <f t="shared" si="1"/>
        <v>-0.5582745598</v>
      </c>
    </row>
    <row r="3405" ht="14.25" customHeight="1">
      <c r="A3405" s="2" t="s">
        <v>177</v>
      </c>
      <c r="B3405" s="2" t="s">
        <v>178</v>
      </c>
      <c r="C3405" s="2">
        <v>2009.0</v>
      </c>
      <c r="D3405" s="9">
        <v>3964.0942</v>
      </c>
      <c r="E3405" s="10" t="str">
        <f t="array" ref="E3405">IFS(D3405&lt;=$G$3,'calculated data '!$A$3,D3405&lt;=$G$4,'calculated data '!$A$4,D3405&lt;=$G$6,'calculated data '!$A$5,D3405&gt;=$G$6,'calculated data '!$A$6)</f>
        <v>Target Market (Core IQR)</v>
      </c>
      <c r="F3405" s="10">
        <f t="shared" si="1"/>
        <v>-0.5582428887</v>
      </c>
    </row>
    <row r="3406" ht="14.25" customHeight="1">
      <c r="A3406" s="2" t="s">
        <v>257</v>
      </c>
      <c r="B3406" s="2" t="s">
        <v>258</v>
      </c>
      <c r="C3406" s="2">
        <v>1966.0</v>
      </c>
      <c r="D3406" s="9">
        <v>3965.3333</v>
      </c>
      <c r="E3406" s="10" t="str">
        <f t="array" ref="E3406">IFS(D3406&lt;=$G$3,'calculated data '!$A$3,D3406&lt;=$G$4,'calculated data '!$A$4,D3406&lt;=$G$6,'calculated data '!$A$5,D3406&gt;=$G$6,'calculated data '!$A$6)</f>
        <v>Target Market (Core IQR)</v>
      </c>
      <c r="F3406" s="10">
        <f t="shared" si="1"/>
        <v>-0.5582100901</v>
      </c>
    </row>
    <row r="3407" ht="14.25" customHeight="1">
      <c r="A3407" s="2" t="s">
        <v>245</v>
      </c>
      <c r="B3407" s="2" t="s">
        <v>246</v>
      </c>
      <c r="C3407" s="2">
        <v>2015.0</v>
      </c>
      <c r="D3407" s="9">
        <v>3965.9856</v>
      </c>
      <c r="E3407" s="10" t="str">
        <f t="array" ref="E3407">IFS(D3407&lt;=$G$3,'calculated data '!$A$3,D3407&lt;=$G$4,'calculated data '!$A$4,D3407&lt;=$G$6,'calculated data '!$A$5,D3407&gt;=$G$6,'calculated data '!$A$6)</f>
        <v>Target Market (Core IQR)</v>
      </c>
      <c r="F3407" s="10">
        <f t="shared" si="1"/>
        <v>-0.5581928238</v>
      </c>
    </row>
    <row r="3408" ht="14.25" customHeight="1">
      <c r="A3408" s="2" t="s">
        <v>217</v>
      </c>
      <c r="B3408" s="2" t="s">
        <v>218</v>
      </c>
      <c r="C3408" s="2">
        <v>2017.0</v>
      </c>
      <c r="D3408" s="9">
        <v>3966.4412</v>
      </c>
      <c r="E3408" s="10" t="str">
        <f t="array" ref="E3408">IFS(D3408&lt;=$G$3,'calculated data '!$A$3,D3408&lt;=$G$4,'calculated data '!$A$4,D3408&lt;=$G$6,'calculated data '!$A$5,D3408&gt;=$G$6,'calculated data '!$A$6)</f>
        <v>Target Market (Core IQR)</v>
      </c>
      <c r="F3408" s="10">
        <f t="shared" si="1"/>
        <v>-0.5581807642</v>
      </c>
    </row>
    <row r="3409" ht="14.25" customHeight="1">
      <c r="A3409" s="2" t="s">
        <v>239</v>
      </c>
      <c r="B3409" s="2" t="s">
        <v>240</v>
      </c>
      <c r="C3409" s="2">
        <v>1981.0</v>
      </c>
      <c r="D3409" s="9">
        <v>3967.81</v>
      </c>
      <c r="E3409" s="10" t="str">
        <f t="array" ref="E3409">IFS(D3409&lt;=$G$3,'calculated data '!$A$3,D3409&lt;=$G$4,'calculated data '!$A$4,D3409&lt;=$G$6,'calculated data '!$A$5,D3409&gt;=$G$6,'calculated data '!$A$6)</f>
        <v>Target Market (Core IQR)</v>
      </c>
      <c r="F3409" s="10">
        <f t="shared" si="1"/>
        <v>-0.5581445324</v>
      </c>
    </row>
    <row r="3410" ht="14.25" customHeight="1">
      <c r="A3410" s="2" t="s">
        <v>261</v>
      </c>
      <c r="B3410" s="2" t="s">
        <v>262</v>
      </c>
      <c r="C3410" s="2">
        <v>1986.0</v>
      </c>
      <c r="D3410" s="9">
        <v>3970.3574</v>
      </c>
      <c r="E3410" s="10" t="str">
        <f t="array" ref="E3410">IFS(D3410&lt;=$G$3,'calculated data '!$A$3,D3410&lt;=$G$4,'calculated data '!$A$4,D3410&lt;=$G$6,'calculated data '!$A$5,D3410&gt;=$G$6,'calculated data '!$A$6)</f>
        <v>Target Market (Core IQR)</v>
      </c>
      <c r="F3410" s="10">
        <f t="shared" si="1"/>
        <v>-0.5580771034</v>
      </c>
    </row>
    <row r="3411" ht="14.25" customHeight="1">
      <c r="A3411" s="2" t="s">
        <v>161</v>
      </c>
      <c r="B3411" s="2" t="s">
        <v>162</v>
      </c>
      <c r="C3411" s="2">
        <v>1985.0</v>
      </c>
      <c r="D3411" s="9">
        <v>3973.0571</v>
      </c>
      <c r="E3411" s="10" t="str">
        <f t="array" ref="E3411">IFS(D3411&lt;=$G$3,'calculated data '!$A$3,D3411&lt;=$G$4,'calculated data '!$A$4,D3411&lt;=$G$6,'calculated data '!$A$5,D3411&gt;=$G$6,'calculated data '!$A$6)</f>
        <v>Target Market (Core IQR)</v>
      </c>
      <c r="F3411" s="10">
        <f t="shared" si="1"/>
        <v>-0.558005643</v>
      </c>
    </row>
    <row r="3412" ht="14.25" customHeight="1">
      <c r="A3412" s="2" t="s">
        <v>217</v>
      </c>
      <c r="B3412" s="2" t="s">
        <v>218</v>
      </c>
      <c r="C3412" s="2">
        <v>1988.0</v>
      </c>
      <c r="D3412" s="9">
        <v>3976.164</v>
      </c>
      <c r="E3412" s="10" t="str">
        <f t="array" ref="E3412">IFS(D3412&lt;=$G$3,'calculated data '!$A$3,D3412&lt;=$G$4,'calculated data '!$A$4,D3412&lt;=$G$6,'calculated data '!$A$5,D3412&gt;=$G$6,'calculated data '!$A$6)</f>
        <v>Target Market (Core IQR)</v>
      </c>
      <c r="F3412" s="10">
        <f t="shared" si="1"/>
        <v>-0.5579234041</v>
      </c>
    </row>
    <row r="3413" ht="14.25" customHeight="1">
      <c r="A3413" s="2" t="s">
        <v>249</v>
      </c>
      <c r="B3413" s="2" t="s">
        <v>250</v>
      </c>
      <c r="C3413" s="2">
        <v>1966.0</v>
      </c>
      <c r="D3413" s="9">
        <v>3976.2493</v>
      </c>
      <c r="E3413" s="10" t="str">
        <f t="array" ref="E3413">IFS(D3413&lt;=$G$3,'calculated data '!$A$3,D3413&lt;=$G$4,'calculated data '!$A$4,D3413&lt;=$G$6,'calculated data '!$A$5,D3413&gt;=$G$6,'calculated data '!$A$6)</f>
        <v>Target Market (Core IQR)</v>
      </c>
      <c r="F3413" s="10">
        <f t="shared" si="1"/>
        <v>-0.5579211463</v>
      </c>
    </row>
    <row r="3414" ht="14.25" customHeight="1">
      <c r="A3414" s="2" t="s">
        <v>109</v>
      </c>
      <c r="B3414" s="2" t="s">
        <v>110</v>
      </c>
      <c r="C3414" s="2">
        <v>1981.0</v>
      </c>
      <c r="D3414" s="9">
        <v>3979.005</v>
      </c>
      <c r="E3414" s="10" t="str">
        <f t="array" ref="E3414">IFS(D3414&lt;=$G$3,'calculated data '!$A$3,D3414&lt;=$G$4,'calculated data '!$A$4,D3414&lt;=$G$6,'calculated data '!$A$5,D3414&gt;=$G$6,'calculated data '!$A$6)</f>
        <v>Target Market (Core IQR)</v>
      </c>
      <c r="F3414" s="10">
        <f t="shared" si="1"/>
        <v>-0.5578482036</v>
      </c>
    </row>
    <row r="3415" ht="14.25" customHeight="1">
      <c r="A3415" s="2" t="s">
        <v>253</v>
      </c>
      <c r="B3415" s="2" t="s">
        <v>254</v>
      </c>
      <c r="C3415" s="2">
        <v>1994.0</v>
      </c>
      <c r="D3415" s="9">
        <v>3980.5713</v>
      </c>
      <c r="E3415" s="10" t="str">
        <f t="array" ref="E3415">IFS(D3415&lt;=$G$3,'calculated data '!$A$3,D3415&lt;=$G$4,'calculated data '!$A$4,D3415&lt;=$G$6,'calculated data '!$A$5,D3415&gt;=$G$6,'calculated data '!$A$6)</f>
        <v>Target Market (Core IQR)</v>
      </c>
      <c r="F3415" s="10">
        <f t="shared" si="1"/>
        <v>-0.557806744</v>
      </c>
    </row>
    <row r="3416" ht="14.25" customHeight="1">
      <c r="A3416" s="2" t="s">
        <v>247</v>
      </c>
      <c r="B3416" s="2" t="s">
        <v>248</v>
      </c>
      <c r="C3416" s="2">
        <v>1983.0</v>
      </c>
      <c r="D3416" s="9">
        <v>3982.7788</v>
      </c>
      <c r="E3416" s="10" t="str">
        <f t="array" ref="E3416">IFS(D3416&lt;=$G$3,'calculated data '!$A$3,D3416&lt;=$G$4,'calculated data '!$A$4,D3416&lt;=$G$6,'calculated data '!$A$5,D3416&gt;=$G$6,'calculated data '!$A$6)</f>
        <v>Target Market (Core IQR)</v>
      </c>
      <c r="F3416" s="10">
        <f t="shared" si="1"/>
        <v>-0.557748312</v>
      </c>
    </row>
    <row r="3417" ht="14.25" customHeight="1">
      <c r="A3417" s="2" t="s">
        <v>201</v>
      </c>
      <c r="B3417" s="2" t="s">
        <v>202</v>
      </c>
      <c r="C3417" s="2">
        <v>1997.0</v>
      </c>
      <c r="D3417" s="9">
        <v>3986.5474</v>
      </c>
      <c r="E3417" s="10" t="str">
        <f t="array" ref="E3417">IFS(D3417&lt;=$G$3,'calculated data '!$A$3,D3417&lt;=$G$4,'calculated data '!$A$4,D3417&lt;=$G$6,'calculated data '!$A$5,D3417&gt;=$G$6,'calculated data '!$A$6)</f>
        <v>Target Market (Core IQR)</v>
      </c>
      <c r="F3417" s="10">
        <f t="shared" si="1"/>
        <v>-0.5576485581</v>
      </c>
    </row>
    <row r="3418" ht="14.25" customHeight="1">
      <c r="A3418" s="2" t="s">
        <v>233</v>
      </c>
      <c r="B3418" s="2" t="s">
        <v>234</v>
      </c>
      <c r="C3418" s="2">
        <v>1970.0</v>
      </c>
      <c r="D3418" s="9">
        <v>3987.4219</v>
      </c>
      <c r="E3418" s="10" t="str">
        <f t="array" ref="E3418">IFS(D3418&lt;=$G$3,'calculated data '!$A$3,D3418&lt;=$G$4,'calculated data '!$A$4,D3418&lt;=$G$6,'calculated data '!$A$5,D3418&gt;=$G$6,'calculated data '!$A$6)</f>
        <v>Target Market (Core IQR)</v>
      </c>
      <c r="F3418" s="10">
        <f t="shared" si="1"/>
        <v>-0.5576254103</v>
      </c>
    </row>
    <row r="3419" ht="14.25" customHeight="1">
      <c r="A3419" s="2" t="s">
        <v>199</v>
      </c>
      <c r="B3419" s="2" t="s">
        <v>200</v>
      </c>
      <c r="C3419" s="2">
        <v>2014.0</v>
      </c>
      <c r="D3419" s="9">
        <v>3989.3137</v>
      </c>
      <c r="E3419" s="10" t="str">
        <f t="array" ref="E3419">IFS(D3419&lt;=$G$3,'calculated data '!$A$3,D3419&lt;=$G$4,'calculated data '!$A$4,D3419&lt;=$G$6,'calculated data '!$A$5,D3419&gt;=$G$6,'calculated data '!$A$6)</f>
        <v>Target Market (Core IQR)</v>
      </c>
      <c r="F3419" s="10">
        <f t="shared" si="1"/>
        <v>-0.5575753348</v>
      </c>
    </row>
    <row r="3420" ht="14.25" customHeight="1">
      <c r="A3420" s="2" t="s">
        <v>213</v>
      </c>
      <c r="B3420" s="2" t="s">
        <v>214</v>
      </c>
      <c r="C3420" s="2">
        <v>2017.0</v>
      </c>
      <c r="D3420" s="9">
        <v>3990.2522</v>
      </c>
      <c r="E3420" s="10" t="str">
        <f t="array" ref="E3420">IFS(D3420&lt;=$G$3,'calculated data '!$A$3,D3420&lt;=$G$4,'calculated data '!$A$4,D3420&lt;=$G$6,'calculated data '!$A$5,D3420&gt;=$G$6,'calculated data '!$A$6)</f>
        <v>Target Market (Core IQR)</v>
      </c>
      <c r="F3420" s="10">
        <f t="shared" si="1"/>
        <v>-0.557550493</v>
      </c>
    </row>
    <row r="3421" ht="14.25" customHeight="1">
      <c r="A3421" s="2" t="s">
        <v>241</v>
      </c>
      <c r="B3421" s="2" t="s">
        <v>242</v>
      </c>
      <c r="C3421" s="2">
        <v>1980.0</v>
      </c>
      <c r="D3421" s="9">
        <v>3992.8289</v>
      </c>
      <c r="E3421" s="10" t="str">
        <f t="array" ref="E3421">IFS(D3421&lt;=$G$3,'calculated data '!$A$3,D3421&lt;=$G$4,'calculated data '!$A$4,D3421&lt;=$G$6,'calculated data '!$A$5,D3421&gt;=$G$6,'calculated data '!$A$6)</f>
        <v>Target Market (Core IQR)</v>
      </c>
      <c r="F3421" s="10">
        <f t="shared" si="1"/>
        <v>-0.5574822884</v>
      </c>
    </row>
    <row r="3422" ht="14.25" customHeight="1">
      <c r="A3422" s="2" t="s">
        <v>163</v>
      </c>
      <c r="B3422" s="2" t="s">
        <v>164</v>
      </c>
      <c r="C3422" s="2">
        <v>1991.0</v>
      </c>
      <c r="D3422" s="9">
        <v>3993.7844</v>
      </c>
      <c r="E3422" s="10" t="str">
        <f t="array" ref="E3422">IFS(D3422&lt;=$G$3,'calculated data '!$A$3,D3422&lt;=$G$4,'calculated data '!$A$4,D3422&lt;=$G$6,'calculated data '!$A$5,D3422&gt;=$G$6,'calculated data '!$A$6)</f>
        <v>Target Market (Core IQR)</v>
      </c>
      <c r="F3422" s="10">
        <f t="shared" si="1"/>
        <v>-0.5574569965</v>
      </c>
    </row>
    <row r="3423" ht="14.25" customHeight="1">
      <c r="A3423" s="2" t="s">
        <v>169</v>
      </c>
      <c r="B3423" s="2" t="s">
        <v>170</v>
      </c>
      <c r="C3423" s="2">
        <v>2018.0</v>
      </c>
      <c r="D3423" s="9">
        <v>3996.467</v>
      </c>
      <c r="E3423" s="10" t="str">
        <f t="array" ref="E3423">IFS(D3423&lt;=$G$3,'calculated data '!$A$3,D3423&lt;=$G$4,'calculated data '!$A$4,D3423&lt;=$G$6,'calculated data '!$A$5,D3423&gt;=$G$6,'calculated data '!$A$6)</f>
        <v>Target Market (Core IQR)</v>
      </c>
      <c r="F3423" s="10">
        <f t="shared" si="1"/>
        <v>-0.5573859888</v>
      </c>
    </row>
    <row r="3424" ht="14.25" customHeight="1">
      <c r="A3424" s="2" t="s">
        <v>161</v>
      </c>
      <c r="B3424" s="2" t="s">
        <v>162</v>
      </c>
      <c r="C3424" s="2">
        <v>2023.0</v>
      </c>
      <c r="D3424" s="9">
        <v>3999.6335</v>
      </c>
      <c r="E3424" s="10" t="str">
        <f t="array" ref="E3424">IFS(D3424&lt;=$G$3,'calculated data '!$A$3,D3424&lt;=$G$4,'calculated data '!$A$4,D3424&lt;=$G$6,'calculated data '!$A$5,D3424&gt;=$G$6,'calculated data '!$A$6)</f>
        <v>Target Market (Core IQR)</v>
      </c>
      <c r="F3424" s="10">
        <f t="shared" si="1"/>
        <v>-0.5573021723</v>
      </c>
    </row>
    <row r="3425" ht="14.25" customHeight="1">
      <c r="A3425" s="2" t="s">
        <v>253</v>
      </c>
      <c r="B3425" s="2" t="s">
        <v>254</v>
      </c>
      <c r="C3425" s="2">
        <v>1997.0</v>
      </c>
      <c r="D3425" s="9">
        <v>4001.062</v>
      </c>
      <c r="E3425" s="10" t="str">
        <f t="array" ref="E3425">IFS(D3425&lt;=$G$3,'calculated data '!$A$3,D3425&lt;=$G$4,'calculated data '!$A$4,D3425&lt;=$G$6,'calculated data '!$A$5,D3425&gt;=$G$6,'calculated data '!$A$6)</f>
        <v>Target Market (Core IQR)</v>
      </c>
      <c r="F3425" s="10">
        <f t="shared" si="1"/>
        <v>-0.5572643603</v>
      </c>
    </row>
    <row r="3426" ht="14.25" customHeight="1">
      <c r="A3426" s="2" t="s">
        <v>245</v>
      </c>
      <c r="B3426" s="2" t="s">
        <v>246</v>
      </c>
      <c r="C3426" s="2">
        <v>2008.0</v>
      </c>
      <c r="D3426" s="9">
        <v>4006.238</v>
      </c>
      <c r="E3426" s="10" t="str">
        <f t="array" ref="E3426">IFS(D3426&lt;=$G$3,'calculated data '!$A$3,D3426&lt;=$G$4,'calculated data '!$A$4,D3426&lt;=$G$6,'calculated data '!$A$5,D3426&gt;=$G$6,'calculated data '!$A$6)</f>
        <v>Target Market (Core IQR)</v>
      </c>
      <c r="F3426" s="10">
        <f t="shared" si="1"/>
        <v>-0.5571273528</v>
      </c>
    </row>
    <row r="3427" ht="14.25" customHeight="1">
      <c r="A3427" s="2" t="s">
        <v>217</v>
      </c>
      <c r="B3427" s="2" t="s">
        <v>218</v>
      </c>
      <c r="C3427" s="2">
        <v>2008.0</v>
      </c>
      <c r="D3427" s="9">
        <v>4008.5674</v>
      </c>
      <c r="E3427" s="10" t="str">
        <f t="array" ref="E3427">IFS(D3427&lt;=$G$3,'calculated data '!$A$3,D3427&lt;=$G$4,'calculated data '!$A$4,D3427&lt;=$G$6,'calculated data '!$A$5,D3427&gt;=$G$6,'calculated data '!$A$6)</f>
        <v>Target Market (Core IQR)</v>
      </c>
      <c r="F3427" s="10">
        <f t="shared" si="1"/>
        <v>-0.5570656942</v>
      </c>
    </row>
    <row r="3428" ht="14.25" customHeight="1">
      <c r="A3428" s="2" t="s">
        <v>159</v>
      </c>
      <c r="B3428" s="2" t="s">
        <v>160</v>
      </c>
      <c r="C3428" s="2">
        <v>1998.0</v>
      </c>
      <c r="D3428" s="9">
        <v>4008.9631</v>
      </c>
      <c r="E3428" s="10" t="str">
        <f t="array" ref="E3428">IFS(D3428&lt;=$G$3,'calculated data '!$A$3,D3428&lt;=$G$4,'calculated data '!$A$4,D3428&lt;=$G$6,'calculated data '!$A$5,D3428&gt;=$G$6,'calculated data '!$A$6)</f>
        <v>Target Market (Core IQR)</v>
      </c>
      <c r="F3428" s="10">
        <f t="shared" si="1"/>
        <v>-0.5570552201</v>
      </c>
    </row>
    <row r="3429" ht="14.25" customHeight="1">
      <c r="A3429" s="2" t="s">
        <v>217</v>
      </c>
      <c r="B3429" s="2" t="s">
        <v>218</v>
      </c>
      <c r="C3429" s="2">
        <v>2018.0</v>
      </c>
      <c r="D3429" s="9">
        <v>4011.8901</v>
      </c>
      <c r="E3429" s="10" t="str">
        <f t="array" ref="E3429">IFS(D3429&lt;=$G$3,'calculated data '!$A$3,D3429&lt;=$G$4,'calculated data '!$A$4,D3429&lt;=$G$6,'calculated data '!$A$5,D3429&gt;=$G$6,'calculated data '!$A$6)</f>
        <v>Target Market (Core IQR)</v>
      </c>
      <c r="F3429" s="10">
        <f t="shared" si="1"/>
        <v>-0.5569777432</v>
      </c>
    </row>
    <row r="3430" ht="14.25" customHeight="1">
      <c r="A3430" s="2" t="s">
        <v>211</v>
      </c>
      <c r="B3430" s="2" t="s">
        <v>212</v>
      </c>
      <c r="C3430" s="2">
        <v>2005.0</v>
      </c>
      <c r="D3430" s="9">
        <v>4012.839</v>
      </c>
      <c r="E3430" s="10" t="str">
        <f t="array" ref="E3430">IFS(D3430&lt;=$G$3,'calculated data '!$A$3,D3430&lt;=$G$4,'calculated data '!$A$4,D3430&lt;=$G$6,'calculated data '!$A$5,D3430&gt;=$G$6,'calculated data '!$A$6)</f>
        <v>Target Market (Core IQR)</v>
      </c>
      <c r="F3430" s="10">
        <f t="shared" si="1"/>
        <v>-0.556952626</v>
      </c>
    </row>
    <row r="3431" ht="14.25" customHeight="1">
      <c r="A3431" s="2" t="s">
        <v>235</v>
      </c>
      <c r="B3431" s="2" t="s">
        <v>236</v>
      </c>
      <c r="C3431" s="2">
        <v>2005.0</v>
      </c>
      <c r="D3431" s="9">
        <v>4014.401</v>
      </c>
      <c r="E3431" s="10" t="str">
        <f t="array" ref="E3431">IFS(D3431&lt;=$G$3,'calculated data '!$A$3,D3431&lt;=$G$4,'calculated data '!$A$4,D3431&lt;=$G$6,'calculated data '!$A$5,D3431&gt;=$G$6,'calculated data '!$A$6)</f>
        <v>Target Market (Core IQR)</v>
      </c>
      <c r="F3431" s="10">
        <f t="shared" si="1"/>
        <v>-0.5569112803</v>
      </c>
    </row>
    <row r="3432" ht="14.25" customHeight="1">
      <c r="A3432" s="2" t="s">
        <v>237</v>
      </c>
      <c r="B3432" s="2" t="s">
        <v>238</v>
      </c>
      <c r="C3432" s="2">
        <v>1986.0</v>
      </c>
      <c r="D3432" s="9">
        <v>4016.646</v>
      </c>
      <c r="E3432" s="10" t="str">
        <f t="array" ref="E3432">IFS(D3432&lt;=$G$3,'calculated data '!$A$3,D3432&lt;=$G$4,'calculated data '!$A$4,D3432&lt;=$G$6,'calculated data '!$A$5,D3432&gt;=$G$6,'calculated data '!$A$6)</f>
        <v>Target Market (Core IQR)</v>
      </c>
      <c r="F3432" s="10">
        <f t="shared" si="1"/>
        <v>-0.5568518557</v>
      </c>
    </row>
    <row r="3433" ht="14.25" customHeight="1">
      <c r="A3433" s="2" t="s">
        <v>217</v>
      </c>
      <c r="B3433" s="2" t="s">
        <v>218</v>
      </c>
      <c r="C3433" s="2">
        <v>2016.0</v>
      </c>
      <c r="D3433" s="9">
        <v>4018.7576</v>
      </c>
      <c r="E3433" s="10" t="str">
        <f t="array" ref="E3433">IFS(D3433&lt;=$G$3,'calculated data '!$A$3,D3433&lt;=$G$4,'calculated data '!$A$4,D3433&lt;=$G$6,'calculated data '!$A$5,D3433&gt;=$G$6,'calculated data '!$A$6)</f>
        <v>Target Market (Core IQR)</v>
      </c>
      <c r="F3433" s="10">
        <f t="shared" si="1"/>
        <v>-0.5567959621</v>
      </c>
    </row>
    <row r="3434" ht="14.25" customHeight="1">
      <c r="A3434" s="2" t="s">
        <v>169</v>
      </c>
      <c r="B3434" s="2" t="s">
        <v>170</v>
      </c>
      <c r="C3434" s="2">
        <v>2020.0</v>
      </c>
      <c r="D3434" s="9">
        <v>4025.4543</v>
      </c>
      <c r="E3434" s="10" t="str">
        <f t="array" ref="E3434">IFS(D3434&lt;=$G$3,'calculated data '!$A$3,D3434&lt;=$G$4,'calculated data '!$A$4,D3434&lt;=$G$6,'calculated data '!$A$5,D3434&gt;=$G$6,'calculated data '!$A$6)</f>
        <v>Target Market (Core IQR)</v>
      </c>
      <c r="F3434" s="10">
        <f t="shared" si="1"/>
        <v>-0.5566187022</v>
      </c>
    </row>
    <row r="3435" ht="14.25" customHeight="1">
      <c r="A3435" s="2" t="s">
        <v>215</v>
      </c>
      <c r="B3435" s="2" t="s">
        <v>216</v>
      </c>
      <c r="C3435" s="2">
        <v>1984.0</v>
      </c>
      <c r="D3435" s="9">
        <v>4026.6707</v>
      </c>
      <c r="E3435" s="10" t="str">
        <f t="array" ref="E3435">IFS(D3435&lt;=$G$3,'calculated data '!$A$3,D3435&lt;=$G$4,'calculated data '!$A$4,D3435&lt;=$G$6,'calculated data '!$A$5,D3435&gt;=$G$6,'calculated data '!$A$6)</f>
        <v>Target Market (Core IQR)</v>
      </c>
      <c r="F3435" s="10">
        <f t="shared" si="1"/>
        <v>-0.5565865044</v>
      </c>
    </row>
    <row r="3436" ht="14.25" customHeight="1">
      <c r="A3436" s="2" t="s">
        <v>217</v>
      </c>
      <c r="B3436" s="2" t="s">
        <v>218</v>
      </c>
      <c r="C3436" s="2">
        <v>2019.0</v>
      </c>
      <c r="D3436" s="9">
        <v>4029.3682</v>
      </c>
      <c r="E3436" s="10" t="str">
        <f t="array" ref="E3436">IFS(D3436&lt;=$G$3,'calculated data '!$A$3,D3436&lt;=$G$4,'calculated data '!$A$4,D3436&lt;=$G$6,'calculated data '!$A$5,D3436&gt;=$G$6,'calculated data '!$A$6)</f>
        <v>Target Market (Core IQR)</v>
      </c>
      <c r="F3436" s="10">
        <f t="shared" si="1"/>
        <v>-0.5565151022</v>
      </c>
    </row>
    <row r="3437" ht="14.25" customHeight="1">
      <c r="A3437" s="2" t="s">
        <v>263</v>
      </c>
      <c r="B3437" s="2" t="s">
        <v>264</v>
      </c>
      <c r="C3437" s="2">
        <v>1981.0</v>
      </c>
      <c r="D3437" s="9">
        <v>4034.242</v>
      </c>
      <c r="E3437" s="10" t="str">
        <f t="array" ref="E3437">IFS(D3437&lt;=$G$3,'calculated data '!$A$3,D3437&lt;=$G$4,'calculated data '!$A$4,D3437&lt;=$G$6,'calculated data '!$A$5,D3437&gt;=$G$6,'calculated data '!$A$6)</f>
        <v>Target Market (Core IQR)</v>
      </c>
      <c r="F3437" s="10">
        <f t="shared" si="1"/>
        <v>-0.5563860939</v>
      </c>
    </row>
    <row r="3438" ht="14.25" customHeight="1">
      <c r="A3438" s="2" t="s">
        <v>169</v>
      </c>
      <c r="B3438" s="2" t="s">
        <v>170</v>
      </c>
      <c r="C3438" s="2">
        <v>2019.0</v>
      </c>
      <c r="D3438" s="9">
        <v>4034.8708</v>
      </c>
      <c r="E3438" s="10" t="str">
        <f t="array" ref="E3438">IFS(D3438&lt;=$G$3,'calculated data '!$A$3,D3438&lt;=$G$4,'calculated data '!$A$4,D3438&lt;=$G$6,'calculated data '!$A$5,D3438&gt;=$G$6,'calculated data '!$A$6)</f>
        <v>Target Market (Core IQR)</v>
      </c>
      <c r="F3438" s="10">
        <f t="shared" si="1"/>
        <v>-0.5563694498</v>
      </c>
    </row>
    <row r="3439" ht="14.25" customHeight="1">
      <c r="A3439" s="2" t="s">
        <v>175</v>
      </c>
      <c r="B3439" s="2" t="s">
        <v>176</v>
      </c>
      <c r="C3439" s="2">
        <v>2017.0</v>
      </c>
      <c r="D3439" s="9">
        <v>4038.7275</v>
      </c>
      <c r="E3439" s="10" t="str">
        <f t="array" ref="E3439">IFS(D3439&lt;=$G$3,'calculated data '!$A$3,D3439&lt;=$G$4,'calculated data '!$A$4,D3439&lt;=$G$6,'calculated data '!$A$5,D3439&gt;=$G$6,'calculated data '!$A$6)</f>
        <v>Target Market (Core IQR)</v>
      </c>
      <c r="F3439" s="10">
        <f t="shared" si="1"/>
        <v>-0.5562673639</v>
      </c>
    </row>
    <row r="3440" ht="14.25" customHeight="1">
      <c r="A3440" s="2" t="s">
        <v>217</v>
      </c>
      <c r="B3440" s="2" t="s">
        <v>218</v>
      </c>
      <c r="C3440" s="2">
        <v>2012.0</v>
      </c>
      <c r="D3440" s="9">
        <v>4040.662</v>
      </c>
      <c r="E3440" s="10" t="str">
        <f t="array" ref="E3440">IFS(D3440&lt;=$G$3,'calculated data '!$A$3,D3440&lt;=$G$4,'calculated data '!$A$4,D3440&lt;=$G$6,'calculated data '!$A$5,D3440&gt;=$G$6,'calculated data '!$A$6)</f>
        <v>Target Market (Core IQR)</v>
      </c>
      <c r="F3440" s="10">
        <f t="shared" si="1"/>
        <v>-0.5562161581</v>
      </c>
    </row>
    <row r="3441" ht="14.25" customHeight="1">
      <c r="A3441" s="2" t="s">
        <v>189</v>
      </c>
      <c r="B3441" s="2" t="s">
        <v>190</v>
      </c>
      <c r="C3441" s="2">
        <v>2004.0</v>
      </c>
      <c r="D3441" s="9">
        <v>4040.9817</v>
      </c>
      <c r="E3441" s="10" t="str">
        <f t="array" ref="E3441">IFS(D3441&lt;=$G$3,'calculated data '!$A$3,D3441&lt;=$G$4,'calculated data '!$A$4,D3441&lt;=$G$6,'calculated data '!$A$5,D3441&gt;=$G$6,'calculated data '!$A$6)</f>
        <v>Target Market (Core IQR)</v>
      </c>
      <c r="F3441" s="10">
        <f t="shared" si="1"/>
        <v>-0.5562076958</v>
      </c>
    </row>
    <row r="3442" ht="14.25" customHeight="1">
      <c r="A3442" s="2" t="s">
        <v>133</v>
      </c>
      <c r="B3442" s="2" t="s">
        <v>134</v>
      </c>
      <c r="C3442" s="2">
        <v>2004.0</v>
      </c>
      <c r="D3442" s="9">
        <v>4041.5945</v>
      </c>
      <c r="E3442" s="10" t="str">
        <f t="array" ref="E3442">IFS(D3442&lt;=$G$3,'calculated data '!$A$3,D3442&lt;=$G$4,'calculated data '!$A$4,D3442&lt;=$G$6,'calculated data '!$A$5,D3442&gt;=$G$6,'calculated data '!$A$6)</f>
        <v>Target Market (Core IQR)</v>
      </c>
      <c r="F3442" s="10">
        <f t="shared" si="1"/>
        <v>-0.5561914751</v>
      </c>
    </row>
    <row r="3443" ht="14.25" customHeight="1">
      <c r="A3443" s="2" t="s">
        <v>175</v>
      </c>
      <c r="B3443" s="2" t="s">
        <v>176</v>
      </c>
      <c r="C3443" s="2">
        <v>2018.0</v>
      </c>
      <c r="D3443" s="9">
        <v>4043.9607</v>
      </c>
      <c r="E3443" s="10" t="str">
        <f t="array" ref="E3443">IFS(D3443&lt;=$G$3,'calculated data '!$A$3,D3443&lt;=$G$4,'calculated data '!$A$4,D3443&lt;=$G$6,'calculated data '!$A$5,D3443&gt;=$G$6,'calculated data '!$A$6)</f>
        <v>Target Market (Core IQR)</v>
      </c>
      <c r="F3443" s="10">
        <f t="shared" si="1"/>
        <v>-0.5561288424</v>
      </c>
    </row>
    <row r="3444" ht="14.25" customHeight="1">
      <c r="A3444" s="2" t="s">
        <v>213</v>
      </c>
      <c r="B3444" s="2" t="s">
        <v>214</v>
      </c>
      <c r="C3444" s="2">
        <v>2016.0</v>
      </c>
      <c r="D3444" s="9">
        <v>4045.3796</v>
      </c>
      <c r="E3444" s="10" t="str">
        <f t="array" ref="E3444">IFS(D3444&lt;=$G$3,'calculated data '!$A$3,D3444&lt;=$G$4,'calculated data '!$A$4,D3444&lt;=$G$6,'calculated data '!$A$5,D3444&gt;=$G$6,'calculated data '!$A$6)</f>
        <v>Target Market (Core IQR)</v>
      </c>
      <c r="F3444" s="10">
        <f t="shared" si="1"/>
        <v>-0.5560912844</v>
      </c>
    </row>
    <row r="3445" ht="14.25" customHeight="1">
      <c r="A3445" s="2" t="s">
        <v>129</v>
      </c>
      <c r="B3445" s="2" t="s">
        <v>130</v>
      </c>
      <c r="C3445" s="2">
        <v>1994.0</v>
      </c>
      <c r="D3445" s="9">
        <v>4046.437</v>
      </c>
      <c r="E3445" s="10" t="str">
        <f t="array" ref="E3445">IFS(D3445&lt;=$G$3,'calculated data '!$A$3,D3445&lt;=$G$4,'calculated data '!$A$4,D3445&lt;=$G$6,'calculated data '!$A$5,D3445&gt;=$G$6,'calculated data '!$A$6)</f>
        <v>Target Market (Core IQR)</v>
      </c>
      <c r="F3445" s="10">
        <f t="shared" si="1"/>
        <v>-0.5560632953</v>
      </c>
    </row>
    <row r="3446" ht="14.25" customHeight="1">
      <c r="A3446" s="2" t="s">
        <v>217</v>
      </c>
      <c r="B3446" s="2" t="s">
        <v>218</v>
      </c>
      <c r="C3446" s="2">
        <v>2014.0</v>
      </c>
      <c r="D3446" s="9">
        <v>4046.6677</v>
      </c>
      <c r="E3446" s="10" t="str">
        <f t="array" ref="E3446">IFS(D3446&lt;=$G$3,'calculated data '!$A$3,D3446&lt;=$G$4,'calculated data '!$A$4,D3446&lt;=$G$6,'calculated data '!$A$5,D3446&gt;=$G$6,'calculated data '!$A$6)</f>
        <v>Target Market (Core IQR)</v>
      </c>
      <c r="F3446" s="10">
        <f t="shared" si="1"/>
        <v>-0.5560571887</v>
      </c>
    </row>
    <row r="3447" ht="14.25" customHeight="1">
      <c r="A3447" s="2" t="s">
        <v>143</v>
      </c>
      <c r="B3447" s="2" t="s">
        <v>144</v>
      </c>
      <c r="C3447" s="2">
        <v>2015.0</v>
      </c>
      <c r="D3447" s="9">
        <v>4048.837</v>
      </c>
      <c r="E3447" s="10" t="str">
        <f t="array" ref="E3447">IFS(D3447&lt;=$G$3,'calculated data '!$A$3,D3447&lt;=$G$4,'calculated data '!$A$4,D3447&lt;=$G$6,'calculated data '!$A$5,D3447&gt;=$G$6,'calculated data '!$A$6)</f>
        <v>Target Market (Core IQR)</v>
      </c>
      <c r="F3447" s="10">
        <f t="shared" si="1"/>
        <v>-0.5559997679</v>
      </c>
    </row>
    <row r="3448" ht="14.25" customHeight="1">
      <c r="A3448" s="2" t="s">
        <v>259</v>
      </c>
      <c r="B3448" s="2" t="s">
        <v>260</v>
      </c>
      <c r="C3448" s="2">
        <v>1983.0</v>
      </c>
      <c r="D3448" s="9">
        <v>4051.0994</v>
      </c>
      <c r="E3448" s="10" t="str">
        <f t="array" ref="E3448">IFS(D3448&lt;=$G$3,'calculated data '!$A$3,D3448&lt;=$G$4,'calculated data '!$A$4,D3448&lt;=$G$6,'calculated data '!$A$5,D3448&gt;=$G$6,'calculated data '!$A$6)</f>
        <v>Target Market (Core IQR)</v>
      </c>
      <c r="F3448" s="10">
        <f t="shared" si="1"/>
        <v>-0.5559398828</v>
      </c>
    </row>
    <row r="3449" ht="14.25" customHeight="1">
      <c r="A3449" s="2" t="s">
        <v>193</v>
      </c>
      <c r="B3449" s="2" t="s">
        <v>194</v>
      </c>
      <c r="C3449" s="2">
        <v>2006.0</v>
      </c>
      <c r="D3449" s="9">
        <v>4054.8396</v>
      </c>
      <c r="E3449" s="10" t="str">
        <f t="array" ref="E3449">IFS(D3449&lt;=$G$3,'calculated data '!$A$3,D3449&lt;=$G$4,'calculated data '!$A$4,D3449&lt;=$G$6,'calculated data '!$A$5,D3449&gt;=$G$6,'calculated data '!$A$6)</f>
        <v>Target Market (Core IQR)</v>
      </c>
      <c r="F3449" s="10">
        <f t="shared" si="1"/>
        <v>-0.5558408806</v>
      </c>
    </row>
    <row r="3450" ht="14.25" customHeight="1">
      <c r="A3450" s="2" t="s">
        <v>217</v>
      </c>
      <c r="B3450" s="2" t="s">
        <v>218</v>
      </c>
      <c r="C3450" s="2">
        <v>2013.0</v>
      </c>
      <c r="D3450" s="9">
        <v>4055.5212</v>
      </c>
      <c r="E3450" s="10" t="str">
        <f t="array" ref="E3450">IFS(D3450&lt;=$G$3,'calculated data '!$A$3,D3450&lt;=$G$4,'calculated data '!$A$4,D3450&lt;=$G$6,'calculated data '!$A$5,D3450&gt;=$G$6,'calculated data '!$A$6)</f>
        <v>Target Market (Core IQR)</v>
      </c>
      <c r="F3450" s="10">
        <f t="shared" si="1"/>
        <v>-0.5558228388</v>
      </c>
    </row>
    <row r="3451" ht="14.25" customHeight="1">
      <c r="A3451" s="2" t="s">
        <v>143</v>
      </c>
      <c r="B3451" s="2" t="s">
        <v>144</v>
      </c>
      <c r="C3451" s="2">
        <v>2017.0</v>
      </c>
      <c r="D3451" s="9">
        <v>4055.8464</v>
      </c>
      <c r="E3451" s="10" t="str">
        <f t="array" ref="E3451">IFS(D3451&lt;=$G$3,'calculated data '!$A$3,D3451&lt;=$G$4,'calculated data '!$A$4,D3451&lt;=$G$6,'calculated data '!$A$5,D3451&gt;=$G$6,'calculated data '!$A$6)</f>
        <v>Target Market (Core IQR)</v>
      </c>
      <c r="F3451" s="10">
        <f t="shared" si="1"/>
        <v>-0.5558142308</v>
      </c>
    </row>
    <row r="3452" ht="14.25" customHeight="1">
      <c r="A3452" s="2" t="s">
        <v>255</v>
      </c>
      <c r="B3452" s="2" t="s">
        <v>256</v>
      </c>
      <c r="C3452" s="2">
        <v>1989.0</v>
      </c>
      <c r="D3452" s="9">
        <v>4057.5361</v>
      </c>
      <c r="E3452" s="10" t="str">
        <f t="array" ref="E3452">IFS(D3452&lt;=$G$3,'calculated data '!$A$3,D3452&lt;=$G$4,'calculated data '!$A$4,D3452&lt;=$G$6,'calculated data '!$A$5,D3452&gt;=$G$6,'calculated data '!$A$6)</f>
        <v>Target Market (Core IQR)</v>
      </c>
      <c r="F3452" s="10">
        <f t="shared" si="1"/>
        <v>-0.5557695049</v>
      </c>
    </row>
    <row r="3453" ht="14.25" customHeight="1">
      <c r="A3453" s="2" t="s">
        <v>215</v>
      </c>
      <c r="B3453" s="2" t="s">
        <v>216</v>
      </c>
      <c r="C3453" s="2">
        <v>2024.0</v>
      </c>
      <c r="D3453" s="9">
        <v>4059.237</v>
      </c>
      <c r="E3453" s="10" t="str">
        <f t="array" ref="E3453">IFS(D3453&lt;=$G$3,'calculated data '!$A$3,D3453&lt;=$G$4,'calculated data '!$A$4,D3453&lt;=$G$6,'calculated data '!$A$5,D3453&gt;=$G$6,'calculated data '!$A$6)</f>
        <v>Target Market (Core IQR)</v>
      </c>
      <c r="F3453" s="10">
        <f t="shared" si="1"/>
        <v>-0.5557244825</v>
      </c>
    </row>
    <row r="3454" ht="14.25" customHeight="1">
      <c r="A3454" s="2" t="s">
        <v>151</v>
      </c>
      <c r="B3454" s="2" t="s">
        <v>152</v>
      </c>
      <c r="C3454" s="2">
        <v>2011.0</v>
      </c>
      <c r="D3454" s="9">
        <v>4060.8767</v>
      </c>
      <c r="E3454" s="10" t="str">
        <f t="array" ref="E3454">IFS(D3454&lt;=$G$3,'calculated data '!$A$3,D3454&lt;=$G$4,'calculated data '!$A$4,D3454&lt;=$G$6,'calculated data '!$A$5,D3454&gt;=$G$6,'calculated data '!$A$6)</f>
        <v>Target Market (Core IQR)</v>
      </c>
      <c r="F3454" s="10">
        <f t="shared" si="1"/>
        <v>-0.5556810801</v>
      </c>
    </row>
    <row r="3455" ht="14.25" customHeight="1">
      <c r="A3455" s="2" t="s">
        <v>225</v>
      </c>
      <c r="B3455" s="2" t="s">
        <v>226</v>
      </c>
      <c r="C3455" s="2">
        <v>1996.0</v>
      </c>
      <c r="D3455" s="9">
        <v>4064.3193</v>
      </c>
      <c r="E3455" s="10" t="str">
        <f t="array" ref="E3455">IFS(D3455&lt;=$G$3,'calculated data '!$A$3,D3455&lt;=$G$4,'calculated data '!$A$4,D3455&lt;=$G$6,'calculated data '!$A$5,D3455&gt;=$G$6,'calculated data '!$A$6)</f>
        <v>Target Market (Core IQR)</v>
      </c>
      <c r="F3455" s="10">
        <f t="shared" si="1"/>
        <v>-0.5555899553</v>
      </c>
    </row>
    <row r="3456" ht="14.25" customHeight="1">
      <c r="A3456" s="2" t="s">
        <v>239</v>
      </c>
      <c r="B3456" s="2" t="s">
        <v>240</v>
      </c>
      <c r="C3456" s="2">
        <v>1995.0</v>
      </c>
      <c r="D3456" s="9">
        <v>4064.3293</v>
      </c>
      <c r="E3456" s="10" t="str">
        <f t="array" ref="E3456">IFS(D3456&lt;=$G$3,'calculated data '!$A$3,D3456&lt;=$G$4,'calculated data '!$A$4,D3456&lt;=$G$6,'calculated data '!$A$5,D3456&gt;=$G$6,'calculated data '!$A$6)</f>
        <v>Target Market (Core IQR)</v>
      </c>
      <c r="F3456" s="10">
        <f t="shared" si="1"/>
        <v>-0.5555896906</v>
      </c>
    </row>
    <row r="3457" ht="14.25" customHeight="1">
      <c r="A3457" s="2" t="s">
        <v>237</v>
      </c>
      <c r="B3457" s="2" t="s">
        <v>238</v>
      </c>
      <c r="C3457" s="2">
        <v>1985.0</v>
      </c>
      <c r="D3457" s="9">
        <v>4067.8682</v>
      </c>
      <c r="E3457" s="10" t="str">
        <f t="array" ref="E3457">IFS(D3457&lt;=$G$3,'calculated data '!$A$3,D3457&lt;=$G$4,'calculated data '!$A$4,D3457&lt;=$G$6,'calculated data '!$A$5,D3457&gt;=$G$6,'calculated data '!$A$6)</f>
        <v>Target Market (Core IQR)</v>
      </c>
      <c r="F3457" s="10">
        <f t="shared" si="1"/>
        <v>-0.5554960168</v>
      </c>
    </row>
    <row r="3458" ht="14.25" customHeight="1">
      <c r="A3458" s="2" t="s">
        <v>227</v>
      </c>
      <c r="B3458" s="2" t="s">
        <v>228</v>
      </c>
      <c r="C3458" s="2">
        <v>1970.0</v>
      </c>
      <c r="D3458" s="9">
        <v>4069.627</v>
      </c>
      <c r="E3458" s="10" t="str">
        <f t="array" ref="E3458">IFS(D3458&lt;=$G$3,'calculated data '!$A$3,D3458&lt;=$G$4,'calculated data '!$A$4,D3458&lt;=$G$6,'calculated data '!$A$5,D3458&gt;=$G$6,'calculated data '!$A$6)</f>
        <v>Target Market (Core IQR)</v>
      </c>
      <c r="F3458" s="10">
        <f t="shared" si="1"/>
        <v>-0.5554494618</v>
      </c>
    </row>
    <row r="3459" ht="14.25" customHeight="1">
      <c r="A3459" s="2" t="s">
        <v>143</v>
      </c>
      <c r="B3459" s="2" t="s">
        <v>144</v>
      </c>
      <c r="C3459" s="2">
        <v>2005.0</v>
      </c>
      <c r="D3459" s="9">
        <v>4070.336</v>
      </c>
      <c r="E3459" s="10" t="str">
        <f t="array" ref="E3459">IFS(D3459&lt;=$G$3,'calculated data '!$A$3,D3459&lt;=$G$4,'calculated data '!$A$4,D3459&lt;=$G$6,'calculated data '!$A$5,D3459&gt;=$G$6,'calculated data '!$A$6)</f>
        <v>Target Market (Core IQR)</v>
      </c>
      <c r="F3459" s="10">
        <f t="shared" si="1"/>
        <v>-0.5554306947</v>
      </c>
    </row>
    <row r="3460" ht="14.25" customHeight="1">
      <c r="A3460" s="2" t="s">
        <v>197</v>
      </c>
      <c r="B3460" s="2" t="s">
        <v>198</v>
      </c>
      <c r="C3460" s="2">
        <v>1976.0</v>
      </c>
      <c r="D3460" s="9">
        <v>4071.8533</v>
      </c>
      <c r="E3460" s="10" t="str">
        <f t="array" ref="E3460">IFS(D3460&lt;=$G$3,'calculated data '!$A$3,D3460&lt;=$G$4,'calculated data '!$A$4,D3460&lt;=$G$6,'calculated data '!$A$5,D3460&gt;=$G$6,'calculated data '!$A$6)</f>
        <v>Target Market (Core IQR)</v>
      </c>
      <c r="F3460" s="10">
        <f t="shared" si="1"/>
        <v>-0.5553905322</v>
      </c>
    </row>
    <row r="3461" ht="14.25" customHeight="1">
      <c r="A3461" s="2" t="s">
        <v>217</v>
      </c>
      <c r="B3461" s="2" t="s">
        <v>218</v>
      </c>
      <c r="C3461" s="2">
        <v>2015.0</v>
      </c>
      <c r="D3461" s="9">
        <v>4072.689</v>
      </c>
      <c r="E3461" s="10" t="str">
        <f t="array" ref="E3461">IFS(D3461&lt;=$G$3,'calculated data '!$A$3,D3461&lt;=$G$4,'calculated data '!$A$4,D3461&lt;=$G$6,'calculated data '!$A$5,D3461&gt;=$G$6,'calculated data '!$A$6)</f>
        <v>Target Market (Core IQR)</v>
      </c>
      <c r="F3461" s="10">
        <f t="shared" si="1"/>
        <v>-0.5553684114</v>
      </c>
    </row>
    <row r="3462" ht="14.25" customHeight="1">
      <c r="A3462" s="2" t="s">
        <v>255</v>
      </c>
      <c r="B3462" s="2" t="s">
        <v>256</v>
      </c>
      <c r="C3462" s="2">
        <v>2003.0</v>
      </c>
      <c r="D3462" s="9">
        <v>4076.1177</v>
      </c>
      <c r="E3462" s="10" t="str">
        <f t="array" ref="E3462">IFS(D3462&lt;=$G$3,'calculated data '!$A$3,D3462&lt;=$G$4,'calculated data '!$A$4,D3462&lt;=$G$6,'calculated data '!$A$5,D3462&gt;=$G$6,'calculated data '!$A$6)</f>
        <v>Target Market (Core IQR)</v>
      </c>
      <c r="F3462" s="10">
        <f t="shared" si="1"/>
        <v>-0.5552776546</v>
      </c>
    </row>
    <row r="3463" ht="14.25" customHeight="1">
      <c r="A3463" s="2" t="s">
        <v>211</v>
      </c>
      <c r="B3463" s="2" t="s">
        <v>212</v>
      </c>
      <c r="C3463" s="2">
        <v>2002.0</v>
      </c>
      <c r="D3463" s="9">
        <v>4077.2712</v>
      </c>
      <c r="E3463" s="10" t="str">
        <f t="array" ref="E3463">IFS(D3463&lt;=$G$3,'calculated data '!$A$3,D3463&lt;=$G$4,'calculated data '!$A$4,D3463&lt;=$G$6,'calculated data '!$A$5,D3463&gt;=$G$6,'calculated data '!$A$6)</f>
        <v>Target Market (Core IQR)</v>
      </c>
      <c r="F3463" s="10">
        <f t="shared" si="1"/>
        <v>-0.5552471217</v>
      </c>
    </row>
    <row r="3464" ht="14.25" customHeight="1">
      <c r="A3464" s="2" t="s">
        <v>159</v>
      </c>
      <c r="B3464" s="2" t="s">
        <v>160</v>
      </c>
      <c r="C3464" s="2">
        <v>2000.0</v>
      </c>
      <c r="D3464" s="9">
        <v>4078.7817</v>
      </c>
      <c r="E3464" s="10" t="str">
        <f t="array" ref="E3464">IFS(D3464&lt;=$G$3,'calculated data '!$A$3,D3464&lt;=$G$4,'calculated data '!$A$4,D3464&lt;=$G$6,'calculated data '!$A$5,D3464&gt;=$G$6,'calculated data '!$A$6)</f>
        <v>Target Market (Core IQR)</v>
      </c>
      <c r="F3464" s="10">
        <f t="shared" si="1"/>
        <v>-0.5552071392</v>
      </c>
    </row>
    <row r="3465" ht="14.25" customHeight="1">
      <c r="A3465" s="2" t="s">
        <v>225</v>
      </c>
      <c r="B3465" s="2" t="s">
        <v>226</v>
      </c>
      <c r="C3465" s="2">
        <v>2002.0</v>
      </c>
      <c r="D3465" s="9">
        <v>4085.7559</v>
      </c>
      <c r="E3465" s="10" t="str">
        <f t="array" ref="E3465">IFS(D3465&lt;=$G$3,'calculated data '!$A$3,D3465&lt;=$G$4,'calculated data '!$A$4,D3465&lt;=$G$6,'calculated data '!$A$5,D3465&gt;=$G$6,'calculated data '!$A$6)</f>
        <v>Target Market (Core IQR)</v>
      </c>
      <c r="F3465" s="10">
        <f t="shared" si="1"/>
        <v>-0.5550225338</v>
      </c>
    </row>
    <row r="3466" ht="14.25" customHeight="1">
      <c r="A3466" s="2" t="s">
        <v>215</v>
      </c>
      <c r="B3466" s="2" t="s">
        <v>216</v>
      </c>
      <c r="C3466" s="2">
        <v>2001.0</v>
      </c>
      <c r="D3466" s="9">
        <v>4088.3774</v>
      </c>
      <c r="E3466" s="10" t="str">
        <f t="array" ref="E3466">IFS(D3466&lt;=$G$3,'calculated data '!$A$3,D3466&lt;=$G$4,'calculated data '!$A$4,D3466&lt;=$G$6,'calculated data '!$A$5,D3466&gt;=$G$6,'calculated data '!$A$6)</f>
        <v>Target Market (Core IQR)</v>
      </c>
      <c r="F3466" s="10">
        <f t="shared" si="1"/>
        <v>-0.5549531434</v>
      </c>
    </row>
    <row r="3467" ht="14.25" customHeight="1">
      <c r="A3467" s="2" t="s">
        <v>225</v>
      </c>
      <c r="B3467" s="2" t="s">
        <v>226</v>
      </c>
      <c r="C3467" s="2">
        <v>1998.0</v>
      </c>
      <c r="D3467" s="9">
        <v>4088.641</v>
      </c>
      <c r="E3467" s="10" t="str">
        <f t="array" ref="E3467">IFS(D3467&lt;=$G$3,'calculated data '!$A$3,D3467&lt;=$G$4,'calculated data '!$A$4,D3467&lt;=$G$6,'calculated data '!$A$5,D3467&gt;=$G$6,'calculated data '!$A$6)</f>
        <v>Target Market (Core IQR)</v>
      </c>
      <c r="F3467" s="10">
        <f t="shared" si="1"/>
        <v>-0.554946166</v>
      </c>
    </row>
    <row r="3468" ht="14.25" customHeight="1">
      <c r="A3468" s="2" t="s">
        <v>215</v>
      </c>
      <c r="B3468" s="2" t="s">
        <v>216</v>
      </c>
      <c r="C3468" s="2">
        <v>1983.0</v>
      </c>
      <c r="D3468" s="9">
        <v>4091.2522</v>
      </c>
      <c r="E3468" s="10" t="str">
        <f t="array" ref="E3468">IFS(D3468&lt;=$G$3,'calculated data '!$A$3,D3468&lt;=$G$4,'calculated data '!$A$4,D3468&lt;=$G$6,'calculated data '!$A$5,D3468&gt;=$G$6,'calculated data '!$A$6)</f>
        <v>Target Market (Core IQR)</v>
      </c>
      <c r="F3468" s="10">
        <f t="shared" si="1"/>
        <v>-0.5548770481</v>
      </c>
    </row>
    <row r="3469" ht="14.25" customHeight="1">
      <c r="A3469" s="2" t="s">
        <v>201</v>
      </c>
      <c r="B3469" s="2" t="s">
        <v>202</v>
      </c>
      <c r="C3469" s="2">
        <v>1994.0</v>
      </c>
      <c r="D3469" s="9">
        <v>4091.646</v>
      </c>
      <c r="E3469" s="10" t="str">
        <f t="array" ref="E3469">IFS(D3469&lt;=$G$3,'calculated data '!$A$3,D3469&lt;=$G$4,'calculated data '!$A$4,D3469&lt;=$G$6,'calculated data '!$A$5,D3469&gt;=$G$6,'calculated data '!$A$6)</f>
        <v>Target Market (Core IQR)</v>
      </c>
      <c r="F3469" s="10">
        <f t="shared" si="1"/>
        <v>-0.5548666244</v>
      </c>
    </row>
    <row r="3470" ht="14.25" customHeight="1">
      <c r="A3470" s="2" t="s">
        <v>213</v>
      </c>
      <c r="B3470" s="2" t="s">
        <v>214</v>
      </c>
      <c r="C3470" s="2">
        <v>2015.0</v>
      </c>
      <c r="D3470" s="9">
        <v>4094.406</v>
      </c>
      <c r="E3470" s="10" t="str">
        <f t="array" ref="E3470">IFS(D3470&lt;=$G$3,'calculated data '!$A$3,D3470&lt;=$G$4,'calculated data '!$A$4,D3470&lt;=$G$6,'calculated data '!$A$5,D3470&gt;=$G$6,'calculated data '!$A$6)</f>
        <v>Target Market (Core IQR)</v>
      </c>
      <c r="F3470" s="10">
        <f t="shared" si="1"/>
        <v>-0.5547935678</v>
      </c>
    </row>
    <row r="3471" ht="14.25" customHeight="1">
      <c r="A3471" s="2" t="s">
        <v>255</v>
      </c>
      <c r="B3471" s="2" t="s">
        <v>256</v>
      </c>
      <c r="C3471" s="2">
        <v>1994.0</v>
      </c>
      <c r="D3471" s="9">
        <v>4097.1553</v>
      </c>
      <c r="E3471" s="10" t="str">
        <f t="array" ref="E3471">IFS(D3471&lt;=$G$3,'calculated data '!$A$3,D3471&lt;=$G$4,'calculated data '!$A$4,D3471&lt;=$G$6,'calculated data '!$A$5,D3471&gt;=$G$6,'calculated data '!$A$6)</f>
        <v>Target Market (Core IQR)</v>
      </c>
      <c r="F3471" s="10">
        <f t="shared" si="1"/>
        <v>-0.5547207946</v>
      </c>
    </row>
    <row r="3472" ht="14.25" customHeight="1">
      <c r="A3472" s="2" t="s">
        <v>235</v>
      </c>
      <c r="B3472" s="2" t="s">
        <v>236</v>
      </c>
      <c r="C3472" s="2">
        <v>2008.0</v>
      </c>
      <c r="D3472" s="9">
        <v>4104.582</v>
      </c>
      <c r="E3472" s="10" t="str">
        <f t="array" ref="E3472">IFS(D3472&lt;=$G$3,'calculated data '!$A$3,D3472&lt;=$G$4,'calculated data '!$A$4,D3472&lt;=$G$6,'calculated data '!$A$5,D3472&gt;=$G$6,'calculated data '!$A$6)</f>
        <v>Target Market (Core IQR)</v>
      </c>
      <c r="F3472" s="10">
        <f t="shared" si="1"/>
        <v>-0.5545242117</v>
      </c>
    </row>
    <row r="3473" ht="14.25" customHeight="1">
      <c r="A3473" s="2" t="s">
        <v>193</v>
      </c>
      <c r="B3473" s="2" t="s">
        <v>194</v>
      </c>
      <c r="C3473" s="2">
        <v>2011.0</v>
      </c>
      <c r="D3473" s="9">
        <v>4109.0586</v>
      </c>
      <c r="E3473" s="10" t="str">
        <f t="array" ref="E3473">IFS(D3473&lt;=$G$3,'calculated data '!$A$3,D3473&lt;=$G$4,'calculated data '!$A$4,D3473&lt;=$G$6,'calculated data '!$A$5,D3473&gt;=$G$6,'calculated data '!$A$6)</f>
        <v>Target Market (Core IQR)</v>
      </c>
      <c r="F3473" s="10">
        <f t="shared" si="1"/>
        <v>-0.5544057172</v>
      </c>
    </row>
    <row r="3474" ht="14.25" customHeight="1">
      <c r="A3474" s="2" t="s">
        <v>193</v>
      </c>
      <c r="B3474" s="2" t="s">
        <v>194</v>
      </c>
      <c r="C3474" s="2">
        <v>1995.0</v>
      </c>
      <c r="D3474" s="9">
        <v>4113.713</v>
      </c>
      <c r="E3474" s="10" t="str">
        <f t="array" ref="E3474">IFS(D3474&lt;=$G$3,'calculated data '!$A$3,D3474&lt;=$G$4,'calculated data '!$A$4,D3474&lt;=$G$6,'calculated data '!$A$5,D3474&gt;=$G$6,'calculated data '!$A$6)</f>
        <v>Target Market (Core IQR)</v>
      </c>
      <c r="F3474" s="10">
        <f t="shared" si="1"/>
        <v>-0.5542825164</v>
      </c>
    </row>
    <row r="3475" ht="14.25" customHeight="1">
      <c r="A3475" s="2" t="s">
        <v>241</v>
      </c>
      <c r="B3475" s="2" t="s">
        <v>242</v>
      </c>
      <c r="C3475" s="2">
        <v>1987.0</v>
      </c>
      <c r="D3475" s="9">
        <v>4115.6045</v>
      </c>
      <c r="E3475" s="10" t="str">
        <f t="array" ref="E3475">IFS(D3475&lt;=$G$3,'calculated data '!$A$3,D3475&lt;=$G$4,'calculated data '!$A$4,D3475&lt;=$G$6,'calculated data '!$A$5,D3475&gt;=$G$6,'calculated data '!$A$6)</f>
        <v>Target Market (Core IQR)</v>
      </c>
      <c r="F3475" s="10">
        <f t="shared" si="1"/>
        <v>-0.5542324488</v>
      </c>
    </row>
    <row r="3476" ht="14.25" customHeight="1">
      <c r="A3476" s="2" t="s">
        <v>139</v>
      </c>
      <c r="B3476" s="2" t="s">
        <v>140</v>
      </c>
      <c r="C3476" s="2">
        <v>2020.0</v>
      </c>
      <c r="D3476" s="9">
        <v>4115.97</v>
      </c>
      <c r="E3476" s="10" t="str">
        <f t="array" ref="E3476">IFS(D3476&lt;=$G$3,'calculated data '!$A$3,D3476&lt;=$G$4,'calculated data '!$A$4,D3476&lt;=$G$6,'calculated data '!$A$5,D3476&gt;=$G$6,'calculated data '!$A$6)</f>
        <v>Target Market (Core IQR)</v>
      </c>
      <c r="F3476" s="10">
        <f t="shared" si="1"/>
        <v>-0.5542227741</v>
      </c>
    </row>
    <row r="3477" ht="14.25" customHeight="1">
      <c r="A3477" s="2" t="s">
        <v>249</v>
      </c>
      <c r="B3477" s="2" t="s">
        <v>250</v>
      </c>
      <c r="C3477" s="2">
        <v>1970.0</v>
      </c>
      <c r="D3477" s="9">
        <v>4117.452</v>
      </c>
      <c r="E3477" s="10" t="str">
        <f t="array" ref="E3477">IFS(D3477&lt;=$G$3,'calculated data '!$A$3,D3477&lt;=$G$4,'calculated data '!$A$4,D3477&lt;=$G$6,'calculated data '!$A$5,D3477&gt;=$G$6,'calculated data '!$A$6)</f>
        <v>Target Market (Core IQR)</v>
      </c>
      <c r="F3477" s="10">
        <f t="shared" si="1"/>
        <v>-0.554183546</v>
      </c>
    </row>
    <row r="3478" ht="14.25" customHeight="1">
      <c r="A3478" s="2" t="s">
        <v>163</v>
      </c>
      <c r="B3478" s="2" t="s">
        <v>164</v>
      </c>
      <c r="C3478" s="2">
        <v>2002.0</v>
      </c>
      <c r="D3478" s="9">
        <v>4119.104</v>
      </c>
      <c r="E3478" s="10" t="str">
        <f t="array" ref="E3478">IFS(D3478&lt;=$G$3,'calculated data '!$A$3,D3478&lt;=$G$4,'calculated data '!$A$4,D3478&lt;=$G$6,'calculated data '!$A$5,D3478&gt;=$G$6,'calculated data '!$A$6)</f>
        <v>Target Market (Core IQR)</v>
      </c>
      <c r="F3478" s="10">
        <f t="shared" si="1"/>
        <v>-0.5541398179</v>
      </c>
    </row>
    <row r="3479" ht="14.25" customHeight="1">
      <c r="A3479" s="2" t="s">
        <v>193</v>
      </c>
      <c r="B3479" s="2" t="s">
        <v>194</v>
      </c>
      <c r="C3479" s="2">
        <v>2007.0</v>
      </c>
      <c r="D3479" s="9">
        <v>4122.649</v>
      </c>
      <c r="E3479" s="10" t="str">
        <f t="array" ref="E3479">IFS(D3479&lt;=$G$3,'calculated data '!$A$3,D3479&lt;=$G$4,'calculated data '!$A$4,D3479&lt;=$G$6,'calculated data '!$A$5,D3479&gt;=$G$6,'calculated data '!$A$6)</f>
        <v>Target Market (Core IQR)</v>
      </c>
      <c r="F3479" s="10">
        <f t="shared" si="1"/>
        <v>-0.5540459827</v>
      </c>
    </row>
    <row r="3480" ht="14.25" customHeight="1">
      <c r="A3480" s="2" t="s">
        <v>161</v>
      </c>
      <c r="B3480" s="2" t="s">
        <v>162</v>
      </c>
      <c r="C3480" s="2">
        <v>2024.0</v>
      </c>
      <c r="D3480" s="9">
        <v>4123.855</v>
      </c>
      <c r="E3480" s="10" t="str">
        <f t="array" ref="E3480">IFS(D3480&lt;=$G$3,'calculated data '!$A$3,D3480&lt;=$G$4,'calculated data '!$A$4,D3480&lt;=$G$6,'calculated data '!$A$5,D3480&gt;=$G$6,'calculated data '!$A$6)</f>
        <v>Target Market (Core IQR)</v>
      </c>
      <c r="F3480" s="10">
        <f t="shared" si="1"/>
        <v>-0.5540140601</v>
      </c>
    </row>
    <row r="3481" ht="14.25" customHeight="1">
      <c r="A3481" s="2" t="s">
        <v>193</v>
      </c>
      <c r="B3481" s="2" t="s">
        <v>194</v>
      </c>
      <c r="C3481" s="2">
        <v>2009.0</v>
      </c>
      <c r="D3481" s="9">
        <v>4124.711</v>
      </c>
      <c r="E3481" s="10" t="str">
        <f t="array" ref="E3481">IFS(D3481&lt;=$G$3,'calculated data '!$A$3,D3481&lt;=$G$4,'calculated data '!$A$4,D3481&lt;=$G$6,'calculated data '!$A$5,D3481&gt;=$G$6,'calculated data '!$A$6)</f>
        <v>Target Market (Core IQR)</v>
      </c>
      <c r="F3481" s="10">
        <f t="shared" si="1"/>
        <v>-0.553991402</v>
      </c>
    </row>
    <row r="3482" ht="14.25" customHeight="1">
      <c r="A3482" s="2" t="s">
        <v>235</v>
      </c>
      <c r="B3482" s="2" t="s">
        <v>236</v>
      </c>
      <c r="C3482" s="2">
        <v>2014.0</v>
      </c>
      <c r="D3482" s="9">
        <v>4126.212</v>
      </c>
      <c r="E3482" s="10" t="str">
        <f t="array" ref="E3482">IFS(D3482&lt;=$G$3,'calculated data '!$A$3,D3482&lt;=$G$4,'calculated data '!$A$4,D3482&lt;=$G$6,'calculated data '!$A$5,D3482&gt;=$G$6,'calculated data '!$A$6)</f>
        <v>Target Market (Core IQR)</v>
      </c>
      <c r="F3482" s="10">
        <f t="shared" si="1"/>
        <v>-0.5539516709</v>
      </c>
    </row>
    <row r="3483" ht="14.25" customHeight="1">
      <c r="A3483" s="2" t="s">
        <v>215</v>
      </c>
      <c r="B3483" s="2" t="s">
        <v>216</v>
      </c>
      <c r="C3483" s="2">
        <v>1982.0</v>
      </c>
      <c r="D3483" s="9">
        <v>4126.7007</v>
      </c>
      <c r="E3483" s="10" t="str">
        <f t="array" ref="E3483">IFS(D3483&lt;=$G$3,'calculated data '!$A$3,D3483&lt;=$G$4,'calculated data '!$A$4,D3483&lt;=$G$6,'calculated data '!$A$5,D3483&gt;=$G$6,'calculated data '!$A$6)</f>
        <v>Target Market (Core IQR)</v>
      </c>
      <c r="F3483" s="10">
        <f t="shared" si="1"/>
        <v>-0.5539387352</v>
      </c>
    </row>
    <row r="3484" ht="14.25" customHeight="1">
      <c r="A3484" s="2" t="s">
        <v>229</v>
      </c>
      <c r="B3484" s="2" t="s">
        <v>230</v>
      </c>
      <c r="C3484" s="2">
        <v>1971.0</v>
      </c>
      <c r="D3484" s="9">
        <v>4129.9004</v>
      </c>
      <c r="E3484" s="10" t="str">
        <f t="array" ref="E3484">IFS(D3484&lt;=$G$3,'calculated data '!$A$3,D3484&lt;=$G$4,'calculated data '!$A$4,D3484&lt;=$G$6,'calculated data '!$A$5,D3484&gt;=$G$6,'calculated data '!$A$6)</f>
        <v>Target Market (Core IQR)</v>
      </c>
      <c r="F3484" s="10">
        <f t="shared" si="1"/>
        <v>-0.5538540399</v>
      </c>
    </row>
    <row r="3485" ht="14.25" customHeight="1">
      <c r="A3485" s="2" t="s">
        <v>189</v>
      </c>
      <c r="B3485" s="2" t="s">
        <v>190</v>
      </c>
      <c r="C3485" s="2">
        <v>2013.0</v>
      </c>
      <c r="D3485" s="9">
        <v>4132.692</v>
      </c>
      <c r="E3485" s="10" t="str">
        <f t="array" ref="E3485">IFS(D3485&lt;=$G$3,'calculated data '!$A$3,D3485&lt;=$G$4,'calculated data '!$A$4,D3485&lt;=$G$6,'calculated data '!$A$5,D3485&gt;=$G$6,'calculated data '!$A$6)</f>
        <v>Target Market (Core IQR)</v>
      </c>
      <c r="F3485" s="10">
        <f t="shared" si="1"/>
        <v>-0.553780147</v>
      </c>
    </row>
    <row r="3486" ht="14.25" customHeight="1">
      <c r="A3486" s="2" t="s">
        <v>143</v>
      </c>
      <c r="B3486" s="2" t="s">
        <v>144</v>
      </c>
      <c r="C3486" s="2">
        <v>2016.0</v>
      </c>
      <c r="D3486" s="9">
        <v>4137.109</v>
      </c>
      <c r="E3486" s="10" t="str">
        <f t="array" ref="E3486">IFS(D3486&lt;=$G$3,'calculated data '!$A$3,D3486&lt;=$G$4,'calculated data '!$A$4,D3486&lt;=$G$6,'calculated data '!$A$5,D3486&gt;=$G$6,'calculated data '!$A$6)</f>
        <v>Target Market (Core IQR)</v>
      </c>
      <c r="F3486" s="10">
        <f t="shared" si="1"/>
        <v>-0.5536632301</v>
      </c>
    </row>
    <row r="3487" ht="14.25" customHeight="1">
      <c r="A3487" s="2" t="s">
        <v>263</v>
      </c>
      <c r="B3487" s="2" t="s">
        <v>264</v>
      </c>
      <c r="C3487" s="2">
        <v>1982.0</v>
      </c>
      <c r="D3487" s="9">
        <v>4138.9336</v>
      </c>
      <c r="E3487" s="10" t="str">
        <f t="array" ref="E3487">IFS(D3487&lt;=$G$3,'calculated data '!$A$3,D3487&lt;=$G$4,'calculated data '!$A$4,D3487&lt;=$G$6,'calculated data '!$A$5,D3487&gt;=$G$6,'calculated data '!$A$6)</f>
        <v>Target Market (Core IQR)</v>
      </c>
      <c r="F3487" s="10">
        <f t="shared" si="1"/>
        <v>-0.5536149334</v>
      </c>
    </row>
    <row r="3488" ht="14.25" customHeight="1">
      <c r="A3488" s="2" t="s">
        <v>139</v>
      </c>
      <c r="B3488" s="2" t="s">
        <v>140</v>
      </c>
      <c r="C3488" s="2">
        <v>2024.0</v>
      </c>
      <c r="D3488" s="9">
        <v>4146.877</v>
      </c>
      <c r="E3488" s="10" t="str">
        <f t="array" ref="E3488">IFS(D3488&lt;=$G$3,'calculated data '!$A$3,D3488&lt;=$G$4,'calculated data '!$A$4,D3488&lt;=$G$6,'calculated data '!$A$5,D3488&gt;=$G$6,'calculated data '!$A$6)</f>
        <v>Target Market (Core IQR)</v>
      </c>
      <c r="F3488" s="10">
        <f t="shared" si="1"/>
        <v>-0.5534046735</v>
      </c>
    </row>
    <row r="3489" ht="14.25" customHeight="1">
      <c r="A3489" s="2" t="s">
        <v>143</v>
      </c>
      <c r="B3489" s="2" t="s">
        <v>144</v>
      </c>
      <c r="C3489" s="2">
        <v>2019.0</v>
      </c>
      <c r="D3489" s="9">
        <v>4149.3994</v>
      </c>
      <c r="E3489" s="10" t="str">
        <f t="array" ref="E3489">IFS(D3489&lt;=$G$3,'calculated data '!$A$3,D3489&lt;=$G$4,'calculated data '!$A$4,D3489&lt;=$G$6,'calculated data '!$A$5,D3489&gt;=$G$6,'calculated data '!$A$6)</f>
        <v>Target Market (Core IQR)</v>
      </c>
      <c r="F3489" s="10">
        <f t="shared" si="1"/>
        <v>-0.5533379062</v>
      </c>
    </row>
    <row r="3490" ht="14.25" customHeight="1">
      <c r="A3490" s="2" t="s">
        <v>255</v>
      </c>
      <c r="B3490" s="2" t="s">
        <v>256</v>
      </c>
      <c r="C3490" s="2">
        <v>2001.0</v>
      </c>
      <c r="D3490" s="9">
        <v>4150.382</v>
      </c>
      <c r="E3490" s="10" t="str">
        <f t="array" ref="E3490">IFS(D3490&lt;=$G$3,'calculated data '!$A$3,D3490&lt;=$G$4,'calculated data '!$A$4,D3490&lt;=$G$6,'calculated data '!$A$5,D3490&gt;=$G$6,'calculated data '!$A$6)</f>
        <v>Target Market (Core IQR)</v>
      </c>
      <c r="F3490" s="10">
        <f t="shared" si="1"/>
        <v>-0.5533118971</v>
      </c>
    </row>
    <row r="3491" ht="14.25" customHeight="1">
      <c r="A3491" s="2" t="s">
        <v>193</v>
      </c>
      <c r="B3491" s="2" t="s">
        <v>194</v>
      </c>
      <c r="C3491" s="2">
        <v>2010.0</v>
      </c>
      <c r="D3491" s="9">
        <v>4151.092</v>
      </c>
      <c r="E3491" s="10" t="str">
        <f t="array" ref="E3491">IFS(D3491&lt;=$G$3,'calculated data '!$A$3,D3491&lt;=$G$4,'calculated data '!$A$4,D3491&lt;=$G$6,'calculated data '!$A$5,D3491&gt;=$G$6,'calculated data '!$A$6)</f>
        <v>Target Market (Core IQR)</v>
      </c>
      <c r="F3491" s="10">
        <f t="shared" si="1"/>
        <v>-0.5532931035</v>
      </c>
    </row>
    <row r="3492" ht="14.25" customHeight="1">
      <c r="A3492" s="2" t="s">
        <v>245</v>
      </c>
      <c r="B3492" s="2" t="s">
        <v>246</v>
      </c>
      <c r="C3492" s="2">
        <v>2017.0</v>
      </c>
      <c r="D3492" s="9">
        <v>4154.551</v>
      </c>
      <c r="E3492" s="10" t="str">
        <f t="array" ref="E3492">IFS(D3492&lt;=$G$3,'calculated data '!$A$3,D3492&lt;=$G$4,'calculated data '!$A$4,D3492&lt;=$G$6,'calculated data '!$A$5,D3492&gt;=$G$6,'calculated data '!$A$6)</f>
        <v>Target Market (Core IQR)</v>
      </c>
      <c r="F3492" s="10">
        <f t="shared" si="1"/>
        <v>-0.5532015447</v>
      </c>
    </row>
    <row r="3493" ht="14.25" customHeight="1">
      <c r="A3493" s="2" t="s">
        <v>189</v>
      </c>
      <c r="B3493" s="2" t="s">
        <v>190</v>
      </c>
      <c r="C3493" s="2">
        <v>2012.0</v>
      </c>
      <c r="D3493" s="9">
        <v>4155.432</v>
      </c>
      <c r="E3493" s="10" t="str">
        <f t="array" ref="E3493">IFS(D3493&lt;=$G$3,'calculated data '!$A$3,D3493&lt;=$G$4,'calculated data '!$A$4,D3493&lt;=$G$6,'calculated data '!$A$5,D3493&gt;=$G$6,'calculated data '!$A$6)</f>
        <v>Target Market (Core IQR)</v>
      </c>
      <c r="F3493" s="10">
        <f t="shared" si="1"/>
        <v>-0.5531782248</v>
      </c>
    </row>
    <row r="3494" ht="14.25" customHeight="1">
      <c r="A3494" s="2" t="s">
        <v>245</v>
      </c>
      <c r="B3494" s="2" t="s">
        <v>246</v>
      </c>
      <c r="C3494" s="2">
        <v>2014.0</v>
      </c>
      <c r="D3494" s="9">
        <v>4155.9307</v>
      </c>
      <c r="E3494" s="10" t="str">
        <f t="array" ref="E3494">IFS(D3494&lt;=$G$3,'calculated data '!$A$3,D3494&lt;=$G$4,'calculated data '!$A$4,D3494&lt;=$G$6,'calculated data '!$A$5,D3494&gt;=$G$6,'calculated data '!$A$6)</f>
        <v>Target Market (Core IQR)</v>
      </c>
      <c r="F3494" s="10">
        <f t="shared" si="1"/>
        <v>-0.5531650244</v>
      </c>
    </row>
    <row r="3495" ht="14.25" customHeight="1">
      <c r="A3495" s="2" t="s">
        <v>263</v>
      </c>
      <c r="B3495" s="2" t="s">
        <v>264</v>
      </c>
      <c r="C3495" s="2">
        <v>1984.0</v>
      </c>
      <c r="D3495" s="9">
        <v>4158.18</v>
      </c>
      <c r="E3495" s="10" t="str">
        <f t="array" ref="E3495">IFS(D3495&lt;=$G$3,'calculated data '!$A$3,D3495&lt;=$G$4,'calculated data '!$A$4,D3495&lt;=$G$6,'calculated data '!$A$5,D3495&gt;=$G$6,'calculated data '!$A$6)</f>
        <v>Target Market (Core IQR)</v>
      </c>
      <c r="F3495" s="10">
        <f t="shared" si="1"/>
        <v>-0.5531054859</v>
      </c>
    </row>
    <row r="3496" ht="14.25" customHeight="1">
      <c r="A3496" s="2" t="s">
        <v>193</v>
      </c>
      <c r="B3496" s="2" t="s">
        <v>194</v>
      </c>
      <c r="C3496" s="2">
        <v>2012.0</v>
      </c>
      <c r="D3496" s="9">
        <v>4159.187</v>
      </c>
      <c r="E3496" s="10" t="str">
        <f t="array" ref="E3496">IFS(D3496&lt;=$G$3,'calculated data '!$A$3,D3496&lt;=$G$4,'calculated data '!$A$4,D3496&lt;=$G$6,'calculated data '!$A$5,D3496&gt;=$G$6,'calculated data '!$A$6)</f>
        <v>Target Market (Core IQR)</v>
      </c>
      <c r="F3496" s="10">
        <f t="shared" si="1"/>
        <v>-0.5530788309</v>
      </c>
    </row>
    <row r="3497" ht="14.25" customHeight="1">
      <c r="A3497" s="2" t="s">
        <v>169</v>
      </c>
      <c r="B3497" s="2" t="s">
        <v>170</v>
      </c>
      <c r="C3497" s="2">
        <v>2022.0</v>
      </c>
      <c r="D3497" s="9">
        <v>4159.3027</v>
      </c>
      <c r="E3497" s="10" t="str">
        <f t="array" ref="E3497">IFS(D3497&lt;=$G$3,'calculated data '!$A$3,D3497&lt;=$G$4,'calculated data '!$A$4,D3497&lt;=$G$6,'calculated data '!$A$5,D3497&gt;=$G$6,'calculated data '!$A$6)</f>
        <v>Target Market (Core IQR)</v>
      </c>
      <c r="F3497" s="10">
        <f t="shared" si="1"/>
        <v>-0.5530757684</v>
      </c>
    </row>
    <row r="3498" ht="14.25" customHeight="1">
      <c r="A3498" s="2" t="s">
        <v>253</v>
      </c>
      <c r="B3498" s="2" t="s">
        <v>254</v>
      </c>
      <c r="C3498" s="2">
        <v>1996.0</v>
      </c>
      <c r="D3498" s="9">
        <v>4159.798</v>
      </c>
      <c r="E3498" s="10" t="str">
        <f t="array" ref="E3498">IFS(D3498&lt;=$G$3,'calculated data '!$A$3,D3498&lt;=$G$4,'calculated data '!$A$4,D3498&lt;=$G$6,'calculated data '!$A$5,D3498&gt;=$G$6,'calculated data '!$A$6)</f>
        <v>Target Market (Core IQR)</v>
      </c>
      <c r="F3498" s="10">
        <f t="shared" si="1"/>
        <v>-0.5530626579</v>
      </c>
    </row>
    <row r="3499" ht="14.25" customHeight="1">
      <c r="A3499" s="2" t="s">
        <v>211</v>
      </c>
      <c r="B3499" s="2" t="s">
        <v>212</v>
      </c>
      <c r="C3499" s="2">
        <v>2003.0</v>
      </c>
      <c r="D3499" s="9">
        <v>4163.8096</v>
      </c>
      <c r="E3499" s="10" t="str">
        <f t="array" ref="E3499">IFS(D3499&lt;=$G$3,'calculated data '!$A$3,D3499&lt;=$G$4,'calculated data '!$A$4,D3499&lt;=$G$6,'calculated data '!$A$5,D3499&gt;=$G$6,'calculated data '!$A$6)</f>
        <v>Target Market (Core IQR)</v>
      </c>
      <c r="F3499" s="10">
        <f t="shared" si="1"/>
        <v>-0.5529564718</v>
      </c>
    </row>
    <row r="3500" ht="14.25" customHeight="1">
      <c r="A3500" s="2" t="s">
        <v>261</v>
      </c>
      <c r="B3500" s="2" t="s">
        <v>262</v>
      </c>
      <c r="C3500" s="2">
        <v>1984.0</v>
      </c>
      <c r="D3500" s="9">
        <v>4164.137</v>
      </c>
      <c r="E3500" s="10" t="str">
        <f t="array" ref="E3500">IFS(D3500&lt;=$G$3,'calculated data '!$A$3,D3500&lt;=$G$4,'calculated data '!$A$4,D3500&lt;=$G$6,'calculated data '!$A$5,D3500&gt;=$G$6,'calculated data '!$A$6)</f>
        <v>Target Market (Core IQR)</v>
      </c>
      <c r="F3500" s="10">
        <f t="shared" si="1"/>
        <v>-0.5529478056</v>
      </c>
    </row>
    <row r="3501" ht="14.25" customHeight="1">
      <c r="A3501" s="2" t="s">
        <v>255</v>
      </c>
      <c r="B3501" s="2" t="s">
        <v>256</v>
      </c>
      <c r="C3501" s="2">
        <v>1972.0</v>
      </c>
      <c r="D3501" s="9">
        <v>4168.1694</v>
      </c>
      <c r="E3501" s="10" t="str">
        <f t="array" ref="E3501">IFS(D3501&lt;=$G$3,'calculated data '!$A$3,D3501&lt;=$G$4,'calculated data '!$A$4,D3501&lt;=$G$6,'calculated data '!$A$5,D3501&gt;=$G$6,'calculated data '!$A$6)</f>
        <v>Target Market (Core IQR)</v>
      </c>
      <c r="F3501" s="10">
        <f t="shared" si="1"/>
        <v>-0.552841069</v>
      </c>
    </row>
    <row r="3502" ht="14.25" customHeight="1">
      <c r="A3502" s="2" t="s">
        <v>239</v>
      </c>
      <c r="B3502" s="2" t="s">
        <v>240</v>
      </c>
      <c r="C3502" s="2">
        <v>1994.0</v>
      </c>
      <c r="D3502" s="9">
        <v>4168.957</v>
      </c>
      <c r="E3502" s="10" t="str">
        <f t="array" ref="E3502">IFS(D3502&lt;=$G$3,'calculated data '!$A$3,D3502&lt;=$G$4,'calculated data '!$A$4,D3502&lt;=$G$6,'calculated data '!$A$5,D3502&gt;=$G$6,'calculated data '!$A$6)</f>
        <v>Target Market (Core IQR)</v>
      </c>
      <c r="F3502" s="10">
        <f t="shared" si="1"/>
        <v>-0.5528202214</v>
      </c>
    </row>
    <row r="3503" ht="14.25" customHeight="1">
      <c r="A3503" s="2" t="s">
        <v>143</v>
      </c>
      <c r="B3503" s="2" t="s">
        <v>144</v>
      </c>
      <c r="C3503" s="2">
        <v>2020.0</v>
      </c>
      <c r="D3503" s="9">
        <v>4169.636</v>
      </c>
      <c r="E3503" s="10" t="str">
        <f t="array" ref="E3503">IFS(D3503&lt;=$G$3,'calculated data '!$A$3,D3503&lt;=$G$4,'calculated data '!$A$4,D3503&lt;=$G$6,'calculated data '!$A$5,D3503&gt;=$G$6,'calculated data '!$A$6)</f>
        <v>Target Market (Core IQR)</v>
      </c>
      <c r="F3503" s="10">
        <f t="shared" si="1"/>
        <v>-0.5528022485</v>
      </c>
    </row>
    <row r="3504" ht="14.25" customHeight="1">
      <c r="A3504" s="2" t="s">
        <v>159</v>
      </c>
      <c r="B3504" s="2" t="s">
        <v>160</v>
      </c>
      <c r="C3504" s="2">
        <v>1999.0</v>
      </c>
      <c r="D3504" s="9">
        <v>4170.1475</v>
      </c>
      <c r="E3504" s="10" t="str">
        <f t="array" ref="E3504">IFS(D3504&lt;=$G$3,'calculated data '!$A$3,D3504&lt;=$G$4,'calculated data '!$A$4,D3504&lt;=$G$6,'calculated data '!$A$5,D3504&gt;=$G$6,'calculated data '!$A$6)</f>
        <v>Target Market (Core IQR)</v>
      </c>
      <c r="F3504" s="10">
        <f t="shared" si="1"/>
        <v>-0.5527887092</v>
      </c>
    </row>
    <row r="3505" ht="14.25" customHeight="1">
      <c r="A3505" s="2" t="s">
        <v>249</v>
      </c>
      <c r="B3505" s="2" t="s">
        <v>250</v>
      </c>
      <c r="C3505" s="2">
        <v>1967.0</v>
      </c>
      <c r="D3505" s="9">
        <v>4174.063</v>
      </c>
      <c r="E3505" s="10" t="str">
        <f t="array" ref="E3505">IFS(D3505&lt;=$G$3,'calculated data '!$A$3,D3505&lt;=$G$4,'calculated data '!$A$4,D3505&lt;=$G$6,'calculated data '!$A$5,D3505&gt;=$G$6,'calculated data '!$A$6)</f>
        <v>Target Market (Core IQR)</v>
      </c>
      <c r="F3505" s="10">
        <f t="shared" si="1"/>
        <v>-0.5526850669</v>
      </c>
    </row>
    <row r="3506" ht="14.25" customHeight="1">
      <c r="A3506" s="2" t="s">
        <v>133</v>
      </c>
      <c r="B3506" s="2" t="s">
        <v>134</v>
      </c>
      <c r="C3506" s="2">
        <v>2005.0</v>
      </c>
      <c r="D3506" s="9">
        <v>4180.972</v>
      </c>
      <c r="E3506" s="10" t="str">
        <f t="array" ref="E3506">IFS(D3506&lt;=$G$3,'calculated data '!$A$3,D3506&lt;=$G$4,'calculated data '!$A$4,D3506&lt;=$G$6,'calculated data '!$A$5,D3506&gt;=$G$6,'calculated data '!$A$6)</f>
        <v>Target Market (Core IQR)</v>
      </c>
      <c r="F3506" s="10">
        <f t="shared" si="1"/>
        <v>-0.5525021874</v>
      </c>
    </row>
    <row r="3507" ht="14.25" customHeight="1">
      <c r="A3507" s="2" t="s">
        <v>193</v>
      </c>
      <c r="B3507" s="2" t="s">
        <v>194</v>
      </c>
      <c r="C3507" s="2">
        <v>2008.0</v>
      </c>
      <c r="D3507" s="9">
        <v>4184.8633</v>
      </c>
      <c r="E3507" s="10" t="str">
        <f t="array" ref="E3507">IFS(D3507&lt;=$G$3,'calculated data '!$A$3,D3507&lt;=$G$4,'calculated data '!$A$4,D3507&lt;=$G$6,'calculated data '!$A$5,D3507&gt;=$G$6,'calculated data '!$A$6)</f>
        <v>Target Market (Core IQR)</v>
      </c>
      <c r="F3507" s="10">
        <f t="shared" si="1"/>
        <v>-0.5523991856</v>
      </c>
    </row>
    <row r="3508" ht="14.25" customHeight="1">
      <c r="A3508" s="2" t="s">
        <v>243</v>
      </c>
      <c r="B3508" s="2" t="s">
        <v>244</v>
      </c>
      <c r="C3508" s="2">
        <v>1993.0</v>
      </c>
      <c r="D3508" s="9">
        <v>4185.7056</v>
      </c>
      <c r="E3508" s="10" t="str">
        <f t="array" ref="E3508">IFS(D3508&lt;=$G$3,'calculated data '!$A$3,D3508&lt;=$G$4,'calculated data '!$A$4,D3508&lt;=$G$6,'calculated data '!$A$5,D3508&gt;=$G$6,'calculated data '!$A$6)</f>
        <v>Target Market (Core IQR)</v>
      </c>
      <c r="F3508" s="10">
        <f t="shared" si="1"/>
        <v>-0.5523768902</v>
      </c>
    </row>
    <row r="3509" ht="14.25" customHeight="1">
      <c r="A3509" s="2" t="s">
        <v>151</v>
      </c>
      <c r="B3509" s="2" t="s">
        <v>152</v>
      </c>
      <c r="C3509" s="2">
        <v>2012.0</v>
      </c>
      <c r="D3509" s="9">
        <v>4186.8447</v>
      </c>
      <c r="E3509" s="10" t="str">
        <f t="array" ref="E3509">IFS(D3509&lt;=$G$3,'calculated data '!$A$3,D3509&lt;=$G$4,'calculated data '!$A$4,D3509&lt;=$G$6,'calculated data '!$A$5,D3509&gt;=$G$6,'calculated data '!$A$6)</f>
        <v>Target Market (Core IQR)</v>
      </c>
      <c r="F3509" s="10">
        <f t="shared" si="1"/>
        <v>-0.5523467385</v>
      </c>
    </row>
    <row r="3510" ht="14.25" customHeight="1">
      <c r="A3510" s="2" t="s">
        <v>259</v>
      </c>
      <c r="B3510" s="2" t="s">
        <v>260</v>
      </c>
      <c r="C3510" s="2">
        <v>1982.0</v>
      </c>
      <c r="D3510" s="9">
        <v>4189.353</v>
      </c>
      <c r="E3510" s="10" t="str">
        <f t="array" ref="E3510">IFS(D3510&lt;=$G$3,'calculated data '!$A$3,D3510&lt;=$G$4,'calculated data '!$A$4,D3510&lt;=$G$6,'calculated data '!$A$5,D3510&gt;=$G$6,'calculated data '!$A$6)</f>
        <v>Target Market (Core IQR)</v>
      </c>
      <c r="F3510" s="10">
        <f t="shared" si="1"/>
        <v>-0.5522803444</v>
      </c>
    </row>
    <row r="3511" ht="14.25" customHeight="1">
      <c r="A3511" s="2" t="s">
        <v>231</v>
      </c>
      <c r="B3511" s="2" t="s">
        <v>232</v>
      </c>
      <c r="C3511" s="2">
        <v>1971.0</v>
      </c>
      <c r="D3511" s="9">
        <v>4191.2324</v>
      </c>
      <c r="E3511" s="10" t="str">
        <f t="array" ref="E3511">IFS(D3511&lt;=$G$3,'calculated data '!$A$3,D3511&lt;=$G$4,'calculated data '!$A$4,D3511&lt;=$G$6,'calculated data '!$A$5,D3511&gt;=$G$6,'calculated data '!$A$6)</f>
        <v>Target Market (Core IQR)</v>
      </c>
      <c r="F3511" s="10">
        <f t="shared" si="1"/>
        <v>-0.5522305971</v>
      </c>
    </row>
    <row r="3512" ht="14.25" customHeight="1">
      <c r="A3512" s="2" t="s">
        <v>245</v>
      </c>
      <c r="B3512" s="2" t="s">
        <v>246</v>
      </c>
      <c r="C3512" s="2">
        <v>2016.0</v>
      </c>
      <c r="D3512" s="9">
        <v>4194.635</v>
      </c>
      <c r="E3512" s="10" t="str">
        <f t="array" ref="E3512">IFS(D3512&lt;=$G$3,'calculated data '!$A$3,D3512&lt;=$G$4,'calculated data '!$A$4,D3512&lt;=$G$6,'calculated data '!$A$5,D3512&gt;=$G$6,'calculated data '!$A$6)</f>
        <v>Target Market (Core IQR)</v>
      </c>
      <c r="F3512" s="10">
        <f t="shared" si="1"/>
        <v>-0.5521405312</v>
      </c>
    </row>
    <row r="3513" ht="14.25" customHeight="1">
      <c r="A3513" s="2" t="s">
        <v>189</v>
      </c>
      <c r="B3513" s="2" t="s">
        <v>190</v>
      </c>
      <c r="C3513" s="2">
        <v>2008.0</v>
      </c>
      <c r="D3513" s="9">
        <v>4195.4614</v>
      </c>
      <c r="E3513" s="10" t="str">
        <f t="array" ref="E3513">IFS(D3513&lt;=$G$3,'calculated data '!$A$3,D3513&lt;=$G$4,'calculated data '!$A$4,D3513&lt;=$G$6,'calculated data '!$A$5,D3513&gt;=$G$6,'calculated data '!$A$6)</f>
        <v>Target Market (Core IQR)</v>
      </c>
      <c r="F3513" s="10">
        <f t="shared" si="1"/>
        <v>-0.5521186566</v>
      </c>
    </row>
    <row r="3514" ht="14.25" customHeight="1">
      <c r="A3514" s="2" t="s">
        <v>211</v>
      </c>
      <c r="B3514" s="2" t="s">
        <v>212</v>
      </c>
      <c r="C3514" s="2">
        <v>2004.0</v>
      </c>
      <c r="D3514" s="9">
        <v>4196.2305</v>
      </c>
      <c r="E3514" s="10" t="str">
        <f t="array" ref="E3514">IFS(D3514&lt;=$G$3,'calculated data '!$A$3,D3514&lt;=$G$4,'calculated data '!$A$4,D3514&lt;=$G$6,'calculated data '!$A$5,D3514&gt;=$G$6,'calculated data '!$A$6)</f>
        <v>Target Market (Core IQR)</v>
      </c>
      <c r="F3514" s="10">
        <f t="shared" si="1"/>
        <v>-0.5520982987</v>
      </c>
    </row>
    <row r="3515" ht="14.25" customHeight="1">
      <c r="A3515" s="2" t="s">
        <v>151</v>
      </c>
      <c r="B3515" s="2" t="s">
        <v>152</v>
      </c>
      <c r="C3515" s="2">
        <v>2013.0</v>
      </c>
      <c r="D3515" s="9">
        <v>4200.2466</v>
      </c>
      <c r="E3515" s="10" t="str">
        <f t="array" ref="E3515">IFS(D3515&lt;=$G$3,'calculated data '!$A$3,D3515&lt;=$G$4,'calculated data '!$A$4,D3515&lt;=$G$6,'calculated data '!$A$5,D3515&gt;=$G$6,'calculated data '!$A$6)</f>
        <v>Target Market (Core IQR)</v>
      </c>
      <c r="F3515" s="10">
        <f t="shared" si="1"/>
        <v>-0.5519919935</v>
      </c>
    </row>
    <row r="3516" ht="14.25" customHeight="1">
      <c r="A3516" s="2" t="s">
        <v>247</v>
      </c>
      <c r="B3516" s="2" t="s">
        <v>248</v>
      </c>
      <c r="C3516" s="2">
        <v>1984.0</v>
      </c>
      <c r="D3516" s="9">
        <v>4201.835</v>
      </c>
      <c r="E3516" s="10" t="str">
        <f t="array" ref="E3516">IFS(D3516&lt;=$G$3,'calculated data '!$A$3,D3516&lt;=$G$4,'calculated data '!$A$4,D3516&lt;=$G$6,'calculated data '!$A$5,D3516&gt;=$G$6,'calculated data '!$A$6)</f>
        <v>Target Market (Core IQR)</v>
      </c>
      <c r="F3516" s="10">
        <f t="shared" si="1"/>
        <v>-0.551949949</v>
      </c>
    </row>
    <row r="3517" ht="14.25" customHeight="1">
      <c r="A3517" s="2" t="s">
        <v>263</v>
      </c>
      <c r="B3517" s="2" t="s">
        <v>264</v>
      </c>
      <c r="C3517" s="2">
        <v>1985.0</v>
      </c>
      <c r="D3517" s="9">
        <v>4202.9556</v>
      </c>
      <c r="E3517" s="10" t="str">
        <f t="array" ref="E3517">IFS(D3517&lt;=$G$3,'calculated data '!$A$3,D3517&lt;=$G$4,'calculated data '!$A$4,D3517&lt;=$G$6,'calculated data '!$A$5,D3517&gt;=$G$6,'calculated data '!$A$6)</f>
        <v>Target Market (Core IQR)</v>
      </c>
      <c r="F3517" s="10">
        <f t="shared" si="1"/>
        <v>-0.551920287</v>
      </c>
    </row>
    <row r="3518" ht="14.25" customHeight="1">
      <c r="A3518" s="2" t="s">
        <v>201</v>
      </c>
      <c r="B3518" s="2" t="s">
        <v>202</v>
      </c>
      <c r="C3518" s="2">
        <v>1993.0</v>
      </c>
      <c r="D3518" s="9">
        <v>4204.9927</v>
      </c>
      <c r="E3518" s="10" t="str">
        <f t="array" ref="E3518">IFS(D3518&lt;=$G$3,'calculated data '!$A$3,D3518&lt;=$G$4,'calculated data '!$A$4,D3518&lt;=$G$6,'calculated data '!$A$5,D3518&gt;=$G$6,'calculated data '!$A$6)</f>
        <v>Target Market (Core IQR)</v>
      </c>
      <c r="F3518" s="10">
        <f t="shared" si="1"/>
        <v>-0.5518663654</v>
      </c>
    </row>
    <row r="3519" ht="14.25" customHeight="1">
      <c r="A3519" s="2" t="s">
        <v>249</v>
      </c>
      <c r="B3519" s="2" t="s">
        <v>250</v>
      </c>
      <c r="C3519" s="2">
        <v>1968.0</v>
      </c>
      <c r="D3519" s="9">
        <v>4208.5464</v>
      </c>
      <c r="E3519" s="10" t="str">
        <f t="array" ref="E3519">IFS(D3519&lt;=$G$3,'calculated data '!$A$3,D3519&lt;=$G$4,'calculated data '!$A$4,D3519&lt;=$G$6,'calculated data '!$A$5,D3519&gt;=$G$6,'calculated data '!$A$6)</f>
        <v>Target Market (Core IQR)</v>
      </c>
      <c r="F3519" s="10">
        <f t="shared" si="1"/>
        <v>-0.5517722999</v>
      </c>
    </row>
    <row r="3520" ht="14.25" customHeight="1">
      <c r="A3520" s="2" t="s">
        <v>263</v>
      </c>
      <c r="B3520" s="2" t="s">
        <v>264</v>
      </c>
      <c r="C3520" s="2">
        <v>1980.0</v>
      </c>
      <c r="D3520" s="9">
        <v>4208.7207</v>
      </c>
      <c r="E3520" s="10" t="str">
        <f t="array" ref="E3520">IFS(D3520&lt;=$G$3,'calculated data '!$A$3,D3520&lt;=$G$4,'calculated data '!$A$4,D3520&lt;=$G$6,'calculated data '!$A$5,D3520&gt;=$G$6,'calculated data '!$A$6)</f>
        <v>Target Market (Core IQR)</v>
      </c>
      <c r="F3520" s="10">
        <f t="shared" si="1"/>
        <v>-0.5517676862</v>
      </c>
    </row>
    <row r="3521" ht="14.25" customHeight="1">
      <c r="A3521" s="2" t="s">
        <v>255</v>
      </c>
      <c r="B3521" s="2" t="s">
        <v>256</v>
      </c>
      <c r="C3521" s="2">
        <v>2002.0</v>
      </c>
      <c r="D3521" s="9">
        <v>4211.655</v>
      </c>
      <c r="E3521" s="10" t="str">
        <f t="array" ref="E3521">IFS(D3521&lt;=$G$3,'calculated data '!$A$3,D3521&lt;=$G$4,'calculated data '!$A$4,D3521&lt;=$G$6,'calculated data '!$A$5,D3521&gt;=$G$6,'calculated data '!$A$6)</f>
        <v>Target Market (Core IQR)</v>
      </c>
      <c r="F3521" s="10">
        <f t="shared" si="1"/>
        <v>-0.551690016</v>
      </c>
    </row>
    <row r="3522" ht="14.25" customHeight="1">
      <c r="A3522" s="2" t="s">
        <v>209</v>
      </c>
      <c r="B3522" s="2" t="s">
        <v>210</v>
      </c>
      <c r="C3522" s="2">
        <v>1998.0</v>
      </c>
      <c r="D3522" s="9">
        <v>4211.8623</v>
      </c>
      <c r="E3522" s="10" t="str">
        <f t="array" ref="E3522">IFS(D3522&lt;=$G$3,'calculated data '!$A$3,D3522&lt;=$G$4,'calculated data '!$A$4,D3522&lt;=$G$6,'calculated data '!$A$5,D3522&gt;=$G$6,'calculated data '!$A$6)</f>
        <v>Target Market (Core IQR)</v>
      </c>
      <c r="F3522" s="10">
        <f t="shared" si="1"/>
        <v>-0.5516845288</v>
      </c>
    </row>
    <row r="3523" ht="14.25" customHeight="1">
      <c r="A3523" s="2" t="s">
        <v>215</v>
      </c>
      <c r="B3523" s="2" t="s">
        <v>216</v>
      </c>
      <c r="C3523" s="2">
        <v>1985.0</v>
      </c>
      <c r="D3523" s="9">
        <v>4212.7314</v>
      </c>
      <c r="E3523" s="10" t="str">
        <f t="array" ref="E3523">IFS(D3523&lt;=$G$3,'calculated data '!$A$3,D3523&lt;=$G$4,'calculated data '!$A$4,D3523&lt;=$G$6,'calculated data '!$A$5,D3523&gt;=$G$6,'calculated data '!$A$6)</f>
        <v>Target Market (Core IQR)</v>
      </c>
      <c r="F3523" s="10">
        <f t="shared" si="1"/>
        <v>-0.551661524</v>
      </c>
    </row>
    <row r="3524" ht="14.25" customHeight="1">
      <c r="A3524" s="2" t="s">
        <v>233</v>
      </c>
      <c r="B3524" s="2" t="s">
        <v>234</v>
      </c>
      <c r="C3524" s="2">
        <v>1971.0</v>
      </c>
      <c r="D3524" s="9">
        <v>4213.9717</v>
      </c>
      <c r="E3524" s="10" t="str">
        <f t="array" ref="E3524">IFS(D3524&lt;=$G$3,'calculated data '!$A$3,D3524&lt;=$G$4,'calculated data '!$A$4,D3524&lt;=$G$6,'calculated data '!$A$5,D3524&gt;=$G$6,'calculated data '!$A$6)</f>
        <v>Target Market (Core IQR)</v>
      </c>
      <c r="F3524" s="10">
        <f t="shared" si="1"/>
        <v>-0.5516286935</v>
      </c>
    </row>
    <row r="3525" ht="14.25" customHeight="1">
      <c r="A3525" s="2" t="s">
        <v>201</v>
      </c>
      <c r="B3525" s="2" t="s">
        <v>202</v>
      </c>
      <c r="C3525" s="2">
        <v>1996.0</v>
      </c>
      <c r="D3525" s="9">
        <v>4219.7666</v>
      </c>
      <c r="E3525" s="10" t="str">
        <f t="array" ref="E3525">IFS(D3525&lt;=$G$3,'calculated data '!$A$3,D3525&lt;=$G$4,'calculated data '!$A$4,D3525&lt;=$G$6,'calculated data '!$A$5,D3525&gt;=$G$6,'calculated data '!$A$6)</f>
        <v>Target Market (Core IQR)</v>
      </c>
      <c r="F3525" s="10">
        <f t="shared" si="1"/>
        <v>-0.551475304</v>
      </c>
    </row>
    <row r="3526" ht="14.25" customHeight="1">
      <c r="A3526" s="2" t="s">
        <v>175</v>
      </c>
      <c r="B3526" s="2" t="s">
        <v>176</v>
      </c>
      <c r="C3526" s="2">
        <v>2021.0</v>
      </c>
      <c r="D3526" s="9">
        <v>4222.3413</v>
      </c>
      <c r="E3526" s="10" t="str">
        <f t="array" ref="E3526">IFS(D3526&lt;=$G$3,'calculated data '!$A$3,D3526&lt;=$G$4,'calculated data '!$A$4,D3526&lt;=$G$6,'calculated data '!$A$5,D3526&gt;=$G$6,'calculated data '!$A$6)</f>
        <v>Target Market (Core IQR)</v>
      </c>
      <c r="F3526" s="10">
        <f t="shared" si="1"/>
        <v>-0.5514071523</v>
      </c>
    </row>
    <row r="3527" ht="14.25" customHeight="1">
      <c r="A3527" s="2" t="s">
        <v>165</v>
      </c>
      <c r="B3527" s="2" t="s">
        <v>166</v>
      </c>
      <c r="C3527" s="2">
        <v>2007.0</v>
      </c>
      <c r="D3527" s="9">
        <v>4222.6963</v>
      </c>
      <c r="E3527" s="10" t="str">
        <f t="array" ref="E3527">IFS(D3527&lt;=$G$3,'calculated data '!$A$3,D3527&lt;=$G$4,'calculated data '!$A$4,D3527&lt;=$G$6,'calculated data '!$A$5,D3527&gt;=$G$6,'calculated data '!$A$6)</f>
        <v>Target Market (Core IQR)</v>
      </c>
      <c r="F3527" s="10">
        <f t="shared" si="1"/>
        <v>-0.5513977555</v>
      </c>
    </row>
    <row r="3528" ht="14.25" customHeight="1">
      <c r="A3528" s="2" t="s">
        <v>139</v>
      </c>
      <c r="B3528" s="2" t="s">
        <v>140</v>
      </c>
      <c r="C3528" s="2">
        <v>2021.0</v>
      </c>
      <c r="D3528" s="9">
        <v>4227.3237</v>
      </c>
      <c r="E3528" s="10" t="str">
        <f t="array" ref="E3528">IFS(D3528&lt;=$G$3,'calculated data '!$A$3,D3528&lt;=$G$4,'calculated data '!$A$4,D3528&lt;=$G$6,'calculated data '!$A$5,D3528&gt;=$G$6,'calculated data '!$A$6)</f>
        <v>Target Market (Core IQR)</v>
      </c>
      <c r="F3528" s="10">
        <f t="shared" si="1"/>
        <v>-0.5512752694</v>
      </c>
    </row>
    <row r="3529" ht="14.25" customHeight="1">
      <c r="A3529" s="2" t="s">
        <v>257</v>
      </c>
      <c r="B3529" s="2" t="s">
        <v>258</v>
      </c>
      <c r="C3529" s="2">
        <v>1967.0</v>
      </c>
      <c r="D3529" s="9">
        <v>4234.5493</v>
      </c>
      <c r="E3529" s="10" t="str">
        <f t="array" ref="E3529">IFS(D3529&lt;=$G$3,'calculated data '!$A$3,D3529&lt;=$G$4,'calculated data '!$A$4,D3529&lt;=$G$6,'calculated data '!$A$5,D3529&gt;=$G$6,'calculated data '!$A$6)</f>
        <v>Target Market (Core IQR)</v>
      </c>
      <c r="F3529" s="10">
        <f t="shared" si="1"/>
        <v>-0.5510840096</v>
      </c>
    </row>
    <row r="3530" ht="14.25" customHeight="1">
      <c r="A3530" s="2" t="s">
        <v>255</v>
      </c>
      <c r="B3530" s="2" t="s">
        <v>256</v>
      </c>
      <c r="C3530" s="2">
        <v>1965.0</v>
      </c>
      <c r="D3530" s="9">
        <v>4240.2163</v>
      </c>
      <c r="E3530" s="10" t="str">
        <f t="array" ref="E3530">IFS(D3530&lt;=$G$3,'calculated data '!$A$3,D3530&lt;=$G$4,'calculated data '!$A$4,D3530&lt;=$G$6,'calculated data '!$A$5,D3530&gt;=$G$6,'calculated data '!$A$6)</f>
        <v>Target Market (Core IQR)</v>
      </c>
      <c r="F3530" s="10">
        <f t="shared" si="1"/>
        <v>-0.5509340055</v>
      </c>
    </row>
    <row r="3531" ht="14.25" customHeight="1">
      <c r="A3531" s="2" t="s">
        <v>239</v>
      </c>
      <c r="B3531" s="2" t="s">
        <v>240</v>
      </c>
      <c r="C3531" s="2">
        <v>1980.0</v>
      </c>
      <c r="D3531" s="9">
        <v>4241.0576</v>
      </c>
      <c r="E3531" s="10" t="str">
        <f t="array" ref="E3531">IFS(D3531&lt;=$G$3,'calculated data '!$A$3,D3531&lt;=$G$4,'calculated data '!$A$4,D3531&lt;=$G$6,'calculated data '!$A$5,D3531&gt;=$G$6,'calculated data '!$A$6)</f>
        <v>Target Market (Core IQR)</v>
      </c>
      <c r="F3531" s="10">
        <f t="shared" si="1"/>
        <v>-0.5509117365</v>
      </c>
    </row>
    <row r="3532" ht="14.25" customHeight="1">
      <c r="A3532" s="2" t="s">
        <v>139</v>
      </c>
      <c r="B3532" s="2" t="s">
        <v>140</v>
      </c>
      <c r="C3532" s="2">
        <v>2016.0</v>
      </c>
      <c r="D3532" s="9">
        <v>4246.068</v>
      </c>
      <c r="E3532" s="10" t="str">
        <f t="array" ref="E3532">IFS(D3532&lt;=$G$3,'calculated data '!$A$3,D3532&lt;=$G$4,'calculated data '!$A$4,D3532&lt;=$G$6,'calculated data '!$A$5,D3532&gt;=$G$6,'calculated data '!$A$6)</f>
        <v>Target Market (Core IQR)</v>
      </c>
      <c r="F3532" s="10">
        <f t="shared" si="1"/>
        <v>-0.5507791125</v>
      </c>
    </row>
    <row r="3533" ht="14.25" customHeight="1">
      <c r="A3533" s="2" t="s">
        <v>189</v>
      </c>
      <c r="B3533" s="2" t="s">
        <v>190</v>
      </c>
      <c r="C3533" s="2">
        <v>2020.0</v>
      </c>
      <c r="D3533" s="9">
        <v>4248.167</v>
      </c>
      <c r="E3533" s="10" t="str">
        <f t="array" ref="E3533">IFS(D3533&lt;=$G$3,'calculated data '!$A$3,D3533&lt;=$G$4,'calculated data '!$A$4,D3533&lt;=$G$6,'calculated data '!$A$5,D3533&gt;=$G$6,'calculated data '!$A$6)</f>
        <v>Target Market (Core IQR)</v>
      </c>
      <c r="F3533" s="10">
        <f t="shared" si="1"/>
        <v>-0.5507235525</v>
      </c>
    </row>
    <row r="3534" ht="14.25" customHeight="1">
      <c r="A3534" s="2" t="s">
        <v>233</v>
      </c>
      <c r="B3534" s="2" t="s">
        <v>234</v>
      </c>
      <c r="C3534" s="2">
        <v>1974.0</v>
      </c>
      <c r="D3534" s="9">
        <v>4258.786</v>
      </c>
      <c r="E3534" s="10" t="str">
        <f t="array" ref="E3534">IFS(D3534&lt;=$G$3,'calculated data '!$A$3,D3534&lt;=$G$4,'calculated data '!$A$4,D3534&lt;=$G$6,'calculated data '!$A$5,D3534&gt;=$G$6,'calculated data '!$A$6)</f>
        <v>Target Market (Core IQR)</v>
      </c>
      <c r="F3534" s="10">
        <f t="shared" si="1"/>
        <v>-0.5504424702</v>
      </c>
    </row>
    <row r="3535" ht="14.25" customHeight="1">
      <c r="A3535" s="2" t="s">
        <v>193</v>
      </c>
      <c r="B3535" s="2" t="s">
        <v>194</v>
      </c>
      <c r="C3535" s="2">
        <v>2005.0</v>
      </c>
      <c r="D3535" s="9">
        <v>4266.212</v>
      </c>
      <c r="E3535" s="10" t="str">
        <f t="array" ref="E3535">IFS(D3535&lt;=$G$3,'calculated data '!$A$3,D3535&lt;=$G$4,'calculated data '!$A$4,D3535&lt;=$G$6,'calculated data '!$A$5,D3535&gt;=$G$6,'calculated data '!$A$6)</f>
        <v>Target Market (Core IQR)</v>
      </c>
      <c r="F3535" s="10">
        <f t="shared" si="1"/>
        <v>-0.5502459058</v>
      </c>
    </row>
    <row r="3536" ht="14.25" customHeight="1">
      <c r="A3536" s="2" t="s">
        <v>163</v>
      </c>
      <c r="B3536" s="2" t="s">
        <v>164</v>
      </c>
      <c r="C3536" s="2">
        <v>2000.0</v>
      </c>
      <c r="D3536" s="9">
        <v>4266.688</v>
      </c>
      <c r="E3536" s="10" t="str">
        <f t="array" ref="E3536">IFS(D3536&lt;=$G$3,'calculated data '!$A$3,D3536&lt;=$G$4,'calculated data '!$A$4,D3536&lt;=$G$6,'calculated data '!$A$5,D3536&gt;=$G$6,'calculated data '!$A$6)</f>
        <v>Target Market (Core IQR)</v>
      </c>
      <c r="F3536" s="10">
        <f t="shared" si="1"/>
        <v>-0.5502333062</v>
      </c>
    </row>
    <row r="3537" ht="14.25" customHeight="1">
      <c r="A3537" s="2" t="s">
        <v>145</v>
      </c>
      <c r="B3537" s="2" t="s">
        <v>146</v>
      </c>
      <c r="C3537" s="2">
        <v>2010.0</v>
      </c>
      <c r="D3537" s="9">
        <v>4277.887</v>
      </c>
      <c r="E3537" s="10" t="str">
        <f t="array" ref="E3537">IFS(D3537&lt;=$G$3,'calculated data '!$A$3,D3537&lt;=$G$4,'calculated data '!$A$4,D3537&lt;=$G$6,'calculated data '!$A$5,D3537&gt;=$G$6,'calculated data '!$A$6)</f>
        <v>Target Market (Core IQR)</v>
      </c>
      <c r="F3537" s="10">
        <f t="shared" si="1"/>
        <v>-0.5499368715</v>
      </c>
    </row>
    <row r="3538" ht="14.25" customHeight="1">
      <c r="A3538" s="2" t="s">
        <v>225</v>
      </c>
      <c r="B3538" s="2" t="s">
        <v>226</v>
      </c>
      <c r="C3538" s="2">
        <v>1995.0</v>
      </c>
      <c r="D3538" s="9">
        <v>4280.9043</v>
      </c>
      <c r="E3538" s="10" t="str">
        <f t="array" ref="E3538">IFS(D3538&lt;=$G$3,'calculated data '!$A$3,D3538&lt;=$G$4,'calculated data '!$A$4,D3538&lt;=$G$6,'calculated data '!$A$5,D3538&gt;=$G$6,'calculated data '!$A$6)</f>
        <v>Target Market (Core IQR)</v>
      </c>
      <c r="F3538" s="10">
        <f t="shared" si="1"/>
        <v>-0.5498570043</v>
      </c>
    </row>
    <row r="3539" ht="14.25" customHeight="1">
      <c r="A3539" s="2" t="s">
        <v>151</v>
      </c>
      <c r="B3539" s="2" t="s">
        <v>152</v>
      </c>
      <c r="C3539" s="2">
        <v>2020.0</v>
      </c>
      <c r="D3539" s="9">
        <v>4281.875</v>
      </c>
      <c r="E3539" s="10" t="str">
        <f t="array" ref="E3539">IFS(D3539&lt;=$G$3,'calculated data '!$A$3,D3539&lt;=$G$4,'calculated data '!$A$4,D3539&lt;=$G$6,'calculated data '!$A$5,D3539&gt;=$G$6,'calculated data '!$A$6)</f>
        <v>Target Market (Core IQR)</v>
      </c>
      <c r="F3539" s="10">
        <f t="shared" si="1"/>
        <v>-0.5498313101</v>
      </c>
    </row>
    <row r="3540" ht="14.25" customHeight="1">
      <c r="A3540" s="2" t="s">
        <v>251</v>
      </c>
      <c r="B3540" s="2" t="s">
        <v>252</v>
      </c>
      <c r="C3540" s="2">
        <v>1991.0</v>
      </c>
      <c r="D3540" s="9">
        <v>4283.1255</v>
      </c>
      <c r="E3540" s="10" t="str">
        <f t="array" ref="E3540">IFS(D3540&lt;=$G$3,'calculated data '!$A$3,D3540&lt;=$G$4,'calculated data '!$A$4,D3540&lt;=$G$6,'calculated data '!$A$5,D3540&gt;=$G$6,'calculated data '!$A$6)</f>
        <v>Target Market (Core IQR)</v>
      </c>
      <c r="F3540" s="10">
        <f t="shared" si="1"/>
        <v>-0.5497982097</v>
      </c>
    </row>
    <row r="3541" ht="14.25" customHeight="1">
      <c r="A3541" s="2" t="s">
        <v>255</v>
      </c>
      <c r="B3541" s="2" t="s">
        <v>256</v>
      </c>
      <c r="C3541" s="2">
        <v>1985.0</v>
      </c>
      <c r="D3541" s="9">
        <v>4284.8154</v>
      </c>
      <c r="E3541" s="10" t="str">
        <f t="array" ref="E3541">IFS(D3541&lt;=$G$3,'calculated data '!$A$3,D3541&lt;=$G$4,'calculated data '!$A$4,D3541&lt;=$G$6,'calculated data '!$A$5,D3541&gt;=$G$6,'calculated data '!$A$6)</f>
        <v>Target Market (Core IQR)</v>
      </c>
      <c r="F3541" s="10">
        <f t="shared" si="1"/>
        <v>-0.5497534784</v>
      </c>
    </row>
    <row r="3542" ht="14.25" customHeight="1">
      <c r="A3542" s="2" t="s">
        <v>141</v>
      </c>
      <c r="B3542" s="2" t="s">
        <v>142</v>
      </c>
      <c r="C3542" s="2">
        <v>1987.0</v>
      </c>
      <c r="D3542" s="9">
        <v>4285.632</v>
      </c>
      <c r="E3542" s="10" t="str">
        <f t="array" ref="E3542">IFS(D3542&lt;=$G$3,'calculated data '!$A$3,D3542&lt;=$G$4,'calculated data '!$A$4,D3542&lt;=$G$6,'calculated data '!$A$5,D3542&gt;=$G$6,'calculated data '!$A$6)</f>
        <v>Target Market (Core IQR)</v>
      </c>
      <c r="F3542" s="10">
        <f t="shared" si="1"/>
        <v>-0.5497318632</v>
      </c>
    </row>
    <row r="3543" ht="14.25" customHeight="1">
      <c r="A3543" s="2" t="s">
        <v>189</v>
      </c>
      <c r="B3543" s="2" t="s">
        <v>190</v>
      </c>
      <c r="C3543" s="2">
        <v>2014.0</v>
      </c>
      <c r="D3543" s="9">
        <v>4291.642</v>
      </c>
      <c r="E3543" s="10" t="str">
        <f t="array" ref="E3543">IFS(D3543&lt;=$G$3,'calculated data '!$A$3,D3543&lt;=$G$4,'calculated data '!$A$4,D3543&lt;=$G$6,'calculated data '!$A$5,D3543&gt;=$G$6,'calculated data '!$A$6)</f>
        <v>Target Market (Core IQR)</v>
      </c>
      <c r="F3543" s="10">
        <f t="shared" si="1"/>
        <v>-0.54957278</v>
      </c>
    </row>
    <row r="3544" ht="14.25" customHeight="1">
      <c r="A3544" s="2" t="s">
        <v>193</v>
      </c>
      <c r="B3544" s="2" t="s">
        <v>194</v>
      </c>
      <c r="C3544" s="2">
        <v>2013.0</v>
      </c>
      <c r="D3544" s="9">
        <v>4295.096</v>
      </c>
      <c r="E3544" s="10" t="str">
        <f t="array" ref="E3544">IFS(D3544&lt;=$G$3,'calculated data '!$A$3,D3544&lt;=$G$4,'calculated data '!$A$4,D3544&lt;=$G$6,'calculated data '!$A$5,D3544&gt;=$G$6,'calculated data '!$A$6)</f>
        <v>Target Market (Core IQR)</v>
      </c>
      <c r="F3544" s="10">
        <f t="shared" si="1"/>
        <v>-0.5494813535</v>
      </c>
    </row>
    <row r="3545" ht="14.25" customHeight="1">
      <c r="A3545" s="2" t="s">
        <v>193</v>
      </c>
      <c r="B3545" s="2" t="s">
        <v>194</v>
      </c>
      <c r="C3545" s="2">
        <v>1996.0</v>
      </c>
      <c r="D3545" s="9">
        <v>4295.3496</v>
      </c>
      <c r="E3545" s="10" t="str">
        <f t="array" ref="E3545">IFS(D3545&lt;=$G$3,'calculated data '!$A$3,D3545&lt;=$G$4,'calculated data '!$A$4,D3545&lt;=$G$6,'calculated data '!$A$5,D3545&gt;=$G$6,'calculated data '!$A$6)</f>
        <v>Target Market (Core IQR)</v>
      </c>
      <c r="F3545" s="10">
        <f t="shared" si="1"/>
        <v>-0.5494746408</v>
      </c>
    </row>
    <row r="3546" ht="14.25" customHeight="1">
      <c r="A3546" s="2" t="s">
        <v>183</v>
      </c>
      <c r="B3546" s="2" t="s">
        <v>184</v>
      </c>
      <c r="C3546" s="2">
        <v>1977.0</v>
      </c>
      <c r="D3546" s="9">
        <v>4302.4175</v>
      </c>
      <c r="E3546" s="10" t="str">
        <f t="array" ref="E3546">IFS(D3546&lt;=$G$3,'calculated data '!$A$3,D3546&lt;=$G$4,'calculated data '!$A$4,D3546&lt;=$G$6,'calculated data '!$A$5,D3546&gt;=$G$6,'calculated data '!$A$6)</f>
        <v>Target Market (Core IQR)</v>
      </c>
      <c r="F3546" s="10">
        <f t="shared" si="1"/>
        <v>-0.5492875552</v>
      </c>
    </row>
    <row r="3547" ht="14.25" customHeight="1">
      <c r="A3547" s="2" t="s">
        <v>151</v>
      </c>
      <c r="B3547" s="2" t="s">
        <v>152</v>
      </c>
      <c r="C3547" s="2">
        <v>2014.0</v>
      </c>
      <c r="D3547" s="9">
        <v>4305.059</v>
      </c>
      <c r="E3547" s="10" t="str">
        <f t="array" ref="E3547">IFS(D3547&lt;=$G$3,'calculated data '!$A$3,D3547&lt;=$G$4,'calculated data '!$A$4,D3547&lt;=$G$6,'calculated data '!$A$5,D3547&gt;=$G$6,'calculated data '!$A$6)</f>
        <v>Target Market (Core IQR)</v>
      </c>
      <c r="F3547" s="10">
        <f t="shared" si="1"/>
        <v>-0.5492176354</v>
      </c>
    </row>
    <row r="3548" ht="14.25" customHeight="1">
      <c r="A3548" s="2" t="s">
        <v>159</v>
      </c>
      <c r="B3548" s="2" t="s">
        <v>160</v>
      </c>
      <c r="C3548" s="2">
        <v>2003.0</v>
      </c>
      <c r="D3548" s="9">
        <v>4305.685</v>
      </c>
      <c r="E3548" s="10" t="str">
        <f t="array" ref="E3548">IFS(D3548&lt;=$G$3,'calculated data '!$A$3,D3548&lt;=$G$4,'calculated data '!$A$4,D3548&lt;=$G$6,'calculated data '!$A$5,D3548&gt;=$G$6,'calculated data '!$A$6)</f>
        <v>Target Market (Core IQR)</v>
      </c>
      <c r="F3548" s="10">
        <f t="shared" si="1"/>
        <v>-0.5492010653</v>
      </c>
    </row>
    <row r="3549" ht="14.25" customHeight="1">
      <c r="A3549" s="2" t="s">
        <v>255</v>
      </c>
      <c r="B3549" s="2" t="s">
        <v>256</v>
      </c>
      <c r="C3549" s="2">
        <v>1997.0</v>
      </c>
      <c r="D3549" s="9">
        <v>4308.0225</v>
      </c>
      <c r="E3549" s="10" t="str">
        <f t="array" ref="E3549">IFS(D3549&lt;=$G$3,'calculated data '!$A$3,D3549&lt;=$G$4,'calculated data '!$A$4,D3549&lt;=$G$6,'calculated data '!$A$5,D3549&gt;=$G$6,'calculated data '!$A$6)</f>
        <v>Target Market (Core IQR)</v>
      </c>
      <c r="F3549" s="10">
        <f t="shared" si="1"/>
        <v>-0.5491391923</v>
      </c>
    </row>
    <row r="3550" ht="14.25" customHeight="1">
      <c r="A3550" s="2" t="s">
        <v>211</v>
      </c>
      <c r="B3550" s="2" t="s">
        <v>212</v>
      </c>
      <c r="C3550" s="2">
        <v>2006.0</v>
      </c>
      <c r="D3550" s="9">
        <v>4308.261</v>
      </c>
      <c r="E3550" s="10" t="str">
        <f t="array" ref="E3550">IFS(D3550&lt;=$G$3,'calculated data '!$A$3,D3550&lt;=$G$4,'calculated data '!$A$4,D3550&lt;=$G$6,'calculated data '!$A$5,D3550&gt;=$G$6,'calculated data '!$A$6)</f>
        <v>Target Market (Core IQR)</v>
      </c>
      <c r="F3550" s="10">
        <f t="shared" si="1"/>
        <v>-0.5491328793</v>
      </c>
    </row>
    <row r="3551" ht="14.25" customHeight="1">
      <c r="A3551" s="2" t="s">
        <v>227</v>
      </c>
      <c r="B3551" s="2" t="s">
        <v>228</v>
      </c>
      <c r="C3551" s="2">
        <v>1971.0</v>
      </c>
      <c r="D3551" s="9">
        <v>4310.851</v>
      </c>
      <c r="E3551" s="10" t="str">
        <f t="array" ref="E3551">IFS(D3551&lt;=$G$3,'calculated data '!$A$3,D3551&lt;=$G$4,'calculated data '!$A$4,D3551&lt;=$G$6,'calculated data '!$A$5,D3551&gt;=$G$6,'calculated data '!$A$6)</f>
        <v>Target Market (Core IQR)</v>
      </c>
      <c r="F3551" s="10">
        <f t="shared" si="1"/>
        <v>-0.5490643226</v>
      </c>
    </row>
    <row r="3552" ht="14.25" customHeight="1">
      <c r="A3552" s="2" t="s">
        <v>235</v>
      </c>
      <c r="B3552" s="2" t="s">
        <v>236</v>
      </c>
      <c r="C3552" s="2">
        <v>2004.0</v>
      </c>
      <c r="D3552" s="9">
        <v>4312.1895</v>
      </c>
      <c r="E3552" s="10" t="str">
        <f t="array" ref="E3552">IFS(D3552&lt;=$G$3,'calculated data '!$A$3,D3552&lt;=$G$4,'calculated data '!$A$4,D3552&lt;=$G$6,'calculated data '!$A$5,D3552&gt;=$G$6,'calculated data '!$A$6)</f>
        <v>Target Market (Core IQR)</v>
      </c>
      <c r="F3552" s="10">
        <f t="shared" si="1"/>
        <v>-0.5490288928</v>
      </c>
    </row>
    <row r="3553" ht="14.25" customHeight="1">
      <c r="A3553" s="2" t="s">
        <v>237</v>
      </c>
      <c r="B3553" s="2" t="s">
        <v>238</v>
      </c>
      <c r="C3553" s="2">
        <v>1987.0</v>
      </c>
      <c r="D3553" s="9">
        <v>4314.0815</v>
      </c>
      <c r="E3553" s="10" t="str">
        <f t="array" ref="E3553">IFS(D3553&lt;=$G$3,'calculated data '!$A$3,D3553&lt;=$G$4,'calculated data '!$A$4,D3553&lt;=$G$6,'calculated data '!$A$5,D3553&gt;=$G$6,'calculated data '!$A$6)</f>
        <v>Target Market (Core IQR)</v>
      </c>
      <c r="F3553" s="10">
        <f t="shared" si="1"/>
        <v>-0.5489788121</v>
      </c>
    </row>
    <row r="3554" ht="14.25" customHeight="1">
      <c r="A3554" s="2" t="s">
        <v>191</v>
      </c>
      <c r="B3554" s="2" t="s">
        <v>192</v>
      </c>
      <c r="C3554" s="2">
        <v>1994.0</v>
      </c>
      <c r="D3554" s="9">
        <v>4315.246</v>
      </c>
      <c r="E3554" s="10" t="str">
        <f t="array" ref="E3554">IFS(D3554&lt;=$G$3,'calculated data '!$A$3,D3554&lt;=$G$4,'calculated data '!$A$4,D3554&lt;=$G$6,'calculated data '!$A$5,D3554&gt;=$G$6,'calculated data '!$A$6)</f>
        <v>Target Market (Core IQR)</v>
      </c>
      <c r="F3554" s="10">
        <f t="shared" si="1"/>
        <v>-0.548947988</v>
      </c>
    </row>
    <row r="3555" ht="14.25" customHeight="1">
      <c r="A3555" s="2" t="s">
        <v>79</v>
      </c>
      <c r="B3555" s="2" t="s">
        <v>80</v>
      </c>
      <c r="C3555" s="2">
        <v>2023.0</v>
      </c>
      <c r="D3555" s="9">
        <v>4316.096</v>
      </c>
      <c r="E3555" s="10" t="str">
        <f t="array" ref="E3555">IFS(D3555&lt;=$G$3,'calculated data '!$A$3,D3555&lt;=$G$4,'calculated data '!$A$4,D3555&lt;=$G$6,'calculated data '!$A$5,D3555&gt;=$G$6,'calculated data '!$A$6)</f>
        <v>Target Market (Core IQR)</v>
      </c>
      <c r="F3555" s="10">
        <f t="shared" si="1"/>
        <v>-0.5489254888</v>
      </c>
    </row>
    <row r="3556" ht="14.25" customHeight="1">
      <c r="A3556" s="2" t="s">
        <v>261</v>
      </c>
      <c r="B3556" s="2" t="s">
        <v>262</v>
      </c>
      <c r="C3556" s="2">
        <v>1985.0</v>
      </c>
      <c r="D3556" s="9">
        <v>4320.322</v>
      </c>
      <c r="E3556" s="10" t="str">
        <f t="array" ref="E3556">IFS(D3556&lt;=$G$3,'calculated data '!$A$3,D3556&lt;=$G$4,'calculated data '!$A$4,D3556&lt;=$G$6,'calculated data '!$A$5,D3556&gt;=$G$6,'calculated data '!$A$6)</f>
        <v>Target Market (Core IQR)</v>
      </c>
      <c r="F3556" s="10">
        <f t="shared" si="1"/>
        <v>-0.5488136276</v>
      </c>
    </row>
    <row r="3557" ht="14.25" customHeight="1">
      <c r="A3557" s="2" t="s">
        <v>265</v>
      </c>
      <c r="B3557" s="2" t="s">
        <v>266</v>
      </c>
      <c r="C3557" s="2">
        <v>1988.0</v>
      </c>
      <c r="D3557" s="9">
        <v>4322.205</v>
      </c>
      <c r="E3557" s="10" t="str">
        <f t="array" ref="E3557">IFS(D3557&lt;=$G$3,'calculated data '!$A$3,D3557&lt;=$G$4,'calculated data '!$A$4,D3557&lt;=$G$6,'calculated data '!$A$5,D3557&gt;=$G$6,'calculated data '!$A$6)</f>
        <v>Target Market (Core IQR)</v>
      </c>
      <c r="F3557" s="10">
        <f t="shared" si="1"/>
        <v>-0.548763785</v>
      </c>
    </row>
    <row r="3558" ht="14.25" customHeight="1">
      <c r="A3558" s="2" t="s">
        <v>139</v>
      </c>
      <c r="B3558" s="2" t="s">
        <v>140</v>
      </c>
      <c r="C3558" s="2">
        <v>2025.0</v>
      </c>
      <c r="D3558" s="9">
        <v>4323.615</v>
      </c>
      <c r="E3558" s="10" t="str">
        <f t="array" ref="E3558">IFS(D3558&lt;=$G$3,'calculated data '!$A$3,D3558&lt;=$G$4,'calculated data '!$A$4,D3558&lt;=$G$6,'calculated data '!$A$5,D3558&gt;=$G$6,'calculated data '!$A$6)</f>
        <v>Target Market (Core IQR)</v>
      </c>
      <c r="F3558" s="10">
        <f t="shared" si="1"/>
        <v>-0.5487264627</v>
      </c>
    </row>
    <row r="3559" ht="14.25" customHeight="1">
      <c r="A3559" s="2" t="s">
        <v>215</v>
      </c>
      <c r="B3559" s="2" t="s">
        <v>216</v>
      </c>
      <c r="C3559" s="2">
        <v>1998.0</v>
      </c>
      <c r="D3559" s="9">
        <v>4325.86</v>
      </c>
      <c r="E3559" s="10" t="str">
        <f t="array" ref="E3559">IFS(D3559&lt;=$G$3,'calculated data '!$A$3,D3559&lt;=$G$4,'calculated data '!$A$4,D3559&lt;=$G$6,'calculated data '!$A$5,D3559&gt;=$G$6,'calculated data '!$A$6)</f>
        <v>Target Market (Core IQR)</v>
      </c>
      <c r="F3559" s="10">
        <f t="shared" si="1"/>
        <v>-0.5486670381</v>
      </c>
    </row>
    <row r="3560" ht="14.25" customHeight="1">
      <c r="A3560" s="2" t="s">
        <v>215</v>
      </c>
      <c r="B3560" s="2" t="s">
        <v>216</v>
      </c>
      <c r="C3560" s="2">
        <v>1997.0</v>
      </c>
      <c r="D3560" s="9">
        <v>4330.922</v>
      </c>
      <c r="E3560" s="10" t="str">
        <f t="array" ref="E3560">IFS(D3560&lt;=$G$3,'calculated data '!$A$3,D3560&lt;=$G$4,'calculated data '!$A$4,D3560&lt;=$G$6,'calculated data '!$A$5,D3560&gt;=$G$6,'calculated data '!$A$6)</f>
        <v>Target Market (Core IQR)</v>
      </c>
      <c r="F3560" s="10">
        <f t="shared" si="1"/>
        <v>-0.5485330482</v>
      </c>
    </row>
    <row r="3561" ht="14.25" customHeight="1">
      <c r="A3561" s="2" t="s">
        <v>159</v>
      </c>
      <c r="B3561" s="2" t="s">
        <v>160</v>
      </c>
      <c r="C3561" s="2">
        <v>2001.0</v>
      </c>
      <c r="D3561" s="9">
        <v>4332.3696</v>
      </c>
      <c r="E3561" s="10" t="str">
        <f t="array" ref="E3561">IFS(D3561&lt;=$G$3,'calculated data '!$A$3,D3561&lt;=$G$4,'calculated data '!$A$4,D3561&lt;=$G$6,'calculated data '!$A$5,D3561&gt;=$G$6,'calculated data '!$A$6)</f>
        <v>Target Market (Core IQR)</v>
      </c>
      <c r="F3561" s="10">
        <f t="shared" si="1"/>
        <v>-0.5484947306</v>
      </c>
    </row>
    <row r="3562" ht="14.25" customHeight="1">
      <c r="A3562" s="2" t="s">
        <v>229</v>
      </c>
      <c r="B3562" s="2" t="s">
        <v>230</v>
      </c>
      <c r="C3562" s="2">
        <v>1972.0</v>
      </c>
      <c r="D3562" s="9">
        <v>4334.024</v>
      </c>
      <c r="E3562" s="10" t="str">
        <f t="array" ref="E3562">IFS(D3562&lt;=$G$3,'calculated data '!$A$3,D3562&lt;=$G$4,'calculated data '!$A$4,D3562&lt;=$G$6,'calculated data '!$A$5,D3562&gt;=$G$6,'calculated data '!$A$6)</f>
        <v>Target Market (Core IQR)</v>
      </c>
      <c r="F3562" s="10">
        <f t="shared" si="1"/>
        <v>-0.5484509391</v>
      </c>
    </row>
    <row r="3563" ht="14.25" customHeight="1">
      <c r="A3563" s="2" t="s">
        <v>193</v>
      </c>
      <c r="B3563" s="2" t="s">
        <v>194</v>
      </c>
      <c r="C3563" s="2">
        <v>2003.0</v>
      </c>
      <c r="D3563" s="9">
        <v>4340.979</v>
      </c>
      <c r="E3563" s="10" t="str">
        <f t="array" ref="E3563">IFS(D3563&lt;=$G$3,'calculated data '!$A$3,D3563&lt;=$G$4,'calculated data '!$A$4,D3563&lt;=$G$6,'calculated data '!$A$5,D3563&gt;=$G$6,'calculated data '!$A$6)</f>
        <v>Target Market (Core IQR)</v>
      </c>
      <c r="F3563" s="10">
        <f t="shared" si="1"/>
        <v>-0.5482668419</v>
      </c>
    </row>
    <row r="3564" ht="14.25" customHeight="1">
      <c r="A3564" s="2" t="s">
        <v>209</v>
      </c>
      <c r="B3564" s="2" t="s">
        <v>210</v>
      </c>
      <c r="C3564" s="2">
        <v>1999.0</v>
      </c>
      <c r="D3564" s="9">
        <v>4341.9536</v>
      </c>
      <c r="E3564" s="10" t="str">
        <f t="array" ref="E3564">IFS(D3564&lt;=$G$3,'calculated data '!$A$3,D3564&lt;=$G$4,'calculated data '!$A$4,D3564&lt;=$G$6,'calculated data '!$A$5,D3564&gt;=$G$6,'calculated data '!$A$6)</f>
        <v>Target Market (Core IQR)</v>
      </c>
      <c r="F3564" s="10">
        <f t="shared" si="1"/>
        <v>-0.5482410445</v>
      </c>
    </row>
    <row r="3565" ht="14.25" customHeight="1">
      <c r="A3565" s="2" t="s">
        <v>255</v>
      </c>
      <c r="B3565" s="2" t="s">
        <v>256</v>
      </c>
      <c r="C3565" s="2">
        <v>2000.0</v>
      </c>
      <c r="D3565" s="9">
        <v>4348.9785</v>
      </c>
      <c r="E3565" s="10" t="str">
        <f t="array" ref="E3565">IFS(D3565&lt;=$G$3,'calculated data '!$A$3,D3565&lt;=$G$4,'calculated data '!$A$4,D3565&lt;=$G$6,'calculated data '!$A$5,D3565&gt;=$G$6,'calculated data '!$A$6)</f>
        <v>Target Market (Core IQR)</v>
      </c>
      <c r="F3565" s="10">
        <f t="shared" si="1"/>
        <v>-0.5480550972</v>
      </c>
    </row>
    <row r="3566" ht="14.25" customHeight="1">
      <c r="A3566" s="2" t="s">
        <v>255</v>
      </c>
      <c r="B3566" s="2" t="s">
        <v>256</v>
      </c>
      <c r="C3566" s="2">
        <v>1998.0</v>
      </c>
      <c r="D3566" s="9">
        <v>4351.527</v>
      </c>
      <c r="E3566" s="10" t="str">
        <f t="array" ref="E3566">IFS(D3566&lt;=$G$3,'calculated data '!$A$3,D3566&lt;=$G$4,'calculated data '!$A$4,D3566&lt;=$G$6,'calculated data '!$A$5,D3566&gt;=$G$6,'calculated data '!$A$6)</f>
        <v>Target Market (Core IQR)</v>
      </c>
      <c r="F3566" s="10">
        <f t="shared" si="1"/>
        <v>-0.547987639</v>
      </c>
    </row>
    <row r="3567" ht="14.25" customHeight="1">
      <c r="A3567" s="2" t="s">
        <v>129</v>
      </c>
      <c r="B3567" s="2" t="s">
        <v>130</v>
      </c>
      <c r="C3567" s="2">
        <v>1995.0</v>
      </c>
      <c r="D3567" s="9">
        <v>4351.8525</v>
      </c>
      <c r="E3567" s="10" t="str">
        <f t="array" ref="E3567">IFS(D3567&lt;=$G$3,'calculated data '!$A$3,D3567&lt;=$G$4,'calculated data '!$A$4,D3567&lt;=$G$6,'calculated data '!$A$5,D3567&gt;=$G$6,'calculated data '!$A$6)</f>
        <v>Target Market (Core IQR)</v>
      </c>
      <c r="F3567" s="10">
        <f t="shared" si="1"/>
        <v>-0.5479790231</v>
      </c>
    </row>
    <row r="3568" ht="14.25" customHeight="1">
      <c r="A3568" s="2" t="s">
        <v>215</v>
      </c>
      <c r="B3568" s="2" t="s">
        <v>216</v>
      </c>
      <c r="C3568" s="2">
        <v>2000.0</v>
      </c>
      <c r="D3568" s="9">
        <v>4353.1133</v>
      </c>
      <c r="E3568" s="10" t="str">
        <f t="array" ref="E3568">IFS(D3568&lt;=$G$3,'calculated data '!$A$3,D3568&lt;=$G$4,'calculated data '!$A$4,D3568&lt;=$G$6,'calculated data '!$A$5,D3568&gt;=$G$6,'calculated data '!$A$6)</f>
        <v>Target Market (Core IQR)</v>
      </c>
      <c r="F3568" s="10">
        <f t="shared" si="1"/>
        <v>-0.54794565</v>
      </c>
    </row>
    <row r="3569" ht="14.25" customHeight="1">
      <c r="A3569" s="2" t="s">
        <v>255</v>
      </c>
      <c r="B3569" s="2" t="s">
        <v>256</v>
      </c>
      <c r="C3569" s="2">
        <v>1999.0</v>
      </c>
      <c r="D3569" s="9">
        <v>4359.2583</v>
      </c>
      <c r="E3569" s="10" t="str">
        <f t="array" ref="E3569">IFS(D3569&lt;=$G$3,'calculated data '!$A$3,D3569&lt;=$G$4,'calculated data '!$A$4,D3569&lt;=$G$6,'calculated data '!$A$5,D3569&gt;=$G$6,'calculated data '!$A$6)</f>
        <v>Target Market (Core IQR)</v>
      </c>
      <c r="F3569" s="10">
        <f t="shared" si="1"/>
        <v>-0.5477829934</v>
      </c>
    </row>
    <row r="3570" ht="14.25" customHeight="1">
      <c r="A3570" s="2" t="s">
        <v>189</v>
      </c>
      <c r="B3570" s="2" t="s">
        <v>190</v>
      </c>
      <c r="C3570" s="2">
        <v>2007.0</v>
      </c>
      <c r="D3570" s="9">
        <v>4360.944</v>
      </c>
      <c r="E3570" s="10" t="str">
        <f t="array" ref="E3570">IFS(D3570&lt;=$G$3,'calculated data '!$A$3,D3570&lt;=$G$4,'calculated data '!$A$4,D3570&lt;=$G$6,'calculated data '!$A$5,D3570&gt;=$G$6,'calculated data '!$A$6)</f>
        <v>Target Market (Core IQR)</v>
      </c>
      <c r="F3570" s="10">
        <f t="shared" si="1"/>
        <v>-0.5477383734</v>
      </c>
    </row>
    <row r="3571" ht="14.25" customHeight="1">
      <c r="A3571" s="2" t="s">
        <v>189</v>
      </c>
      <c r="B3571" s="2" t="s">
        <v>190</v>
      </c>
      <c r="C3571" s="2">
        <v>2016.0</v>
      </c>
      <c r="D3571" s="9">
        <v>4362.3506</v>
      </c>
      <c r="E3571" s="10" t="str">
        <f t="array" ref="E3571">IFS(D3571&lt;=$G$3,'calculated data '!$A$3,D3571&lt;=$G$4,'calculated data '!$A$4,D3571&lt;=$G$6,'calculated data '!$A$5,D3571&gt;=$G$6,'calculated data '!$A$6)</f>
        <v>Target Market (Core IQR)</v>
      </c>
      <c r="F3571" s="10">
        <f t="shared" si="1"/>
        <v>-0.547701141</v>
      </c>
    </row>
    <row r="3572" ht="14.25" customHeight="1">
      <c r="A3572" s="2" t="s">
        <v>193</v>
      </c>
      <c r="B3572" s="2" t="s">
        <v>194</v>
      </c>
      <c r="C3572" s="2">
        <v>2002.0</v>
      </c>
      <c r="D3572" s="9">
        <v>4364.1562</v>
      </c>
      <c r="E3572" s="10" t="str">
        <f t="array" ref="E3572">IFS(D3572&lt;=$G$3,'calculated data '!$A$3,D3572&lt;=$G$4,'calculated data '!$A$4,D3572&lt;=$G$6,'calculated data '!$A$5,D3572&gt;=$G$6,'calculated data '!$A$6)</f>
        <v>Target Market (Core IQR)</v>
      </c>
      <c r="F3572" s="10">
        <f t="shared" si="1"/>
        <v>-0.5476533472</v>
      </c>
    </row>
    <row r="3573" ht="14.25" customHeight="1">
      <c r="A3573" s="2" t="s">
        <v>151</v>
      </c>
      <c r="B3573" s="2" t="s">
        <v>152</v>
      </c>
      <c r="C3573" s="2">
        <v>2015.0</v>
      </c>
      <c r="D3573" s="9">
        <v>4365.9756</v>
      </c>
      <c r="E3573" s="10" t="str">
        <f t="array" ref="E3573">IFS(D3573&lt;=$G$3,'calculated data '!$A$3,D3573&lt;=$G$4,'calculated data '!$A$4,D3573&lt;=$G$6,'calculated data '!$A$5,D3573&gt;=$G$6,'calculated data '!$A$6)</f>
        <v>Target Market (Core IQR)</v>
      </c>
      <c r="F3573" s="10">
        <f t="shared" si="1"/>
        <v>-0.5476051882</v>
      </c>
    </row>
    <row r="3574" ht="14.25" customHeight="1">
      <c r="A3574" s="2" t="s">
        <v>143</v>
      </c>
      <c r="B3574" s="2" t="s">
        <v>144</v>
      </c>
      <c r="C3574" s="2">
        <v>2021.0</v>
      </c>
      <c r="D3574" s="9">
        <v>4366.5103</v>
      </c>
      <c r="E3574" s="10" t="str">
        <f t="array" ref="E3574">IFS(D3574&lt;=$G$3,'calculated data '!$A$3,D3574&lt;=$G$4,'calculated data '!$A$4,D3574&lt;=$G$6,'calculated data '!$A$5,D3574&gt;=$G$6,'calculated data '!$A$6)</f>
        <v>Target Market (Core IQR)</v>
      </c>
      <c r="F3574" s="10">
        <f t="shared" si="1"/>
        <v>-0.5475910348</v>
      </c>
    </row>
    <row r="3575" ht="14.25" customHeight="1">
      <c r="A3575" s="2" t="s">
        <v>245</v>
      </c>
      <c r="B3575" s="2" t="s">
        <v>246</v>
      </c>
      <c r="C3575" s="2">
        <v>2018.0</v>
      </c>
      <c r="D3575" s="9">
        <v>4368.4062</v>
      </c>
      <c r="E3575" s="10" t="str">
        <f t="array" ref="E3575">IFS(D3575&lt;=$G$3,'calculated data '!$A$3,D3575&lt;=$G$4,'calculated data '!$A$4,D3575&lt;=$G$6,'calculated data '!$A$5,D3575&gt;=$G$6,'calculated data '!$A$6)</f>
        <v>Target Market (Core IQR)</v>
      </c>
      <c r="F3575" s="10">
        <f t="shared" si="1"/>
        <v>-0.5475408508</v>
      </c>
    </row>
    <row r="3576" ht="14.25" customHeight="1">
      <c r="A3576" s="2" t="s">
        <v>193</v>
      </c>
      <c r="B3576" s="2" t="s">
        <v>194</v>
      </c>
      <c r="C3576" s="2">
        <v>2004.0</v>
      </c>
      <c r="D3576" s="9">
        <v>4369.251</v>
      </c>
      <c r="E3576" s="10" t="str">
        <f t="array" ref="E3576">IFS(D3576&lt;=$G$3,'calculated data '!$A$3,D3576&lt;=$G$4,'calculated data '!$A$4,D3576&lt;=$G$6,'calculated data '!$A$5,D3576&gt;=$G$6,'calculated data '!$A$6)</f>
        <v>Target Market (Core IQR)</v>
      </c>
      <c r="F3576" s="10">
        <f t="shared" si="1"/>
        <v>-0.5475184891</v>
      </c>
    </row>
    <row r="3577" ht="14.25" customHeight="1">
      <c r="A3577" s="2" t="s">
        <v>205</v>
      </c>
      <c r="B3577" s="2" t="s">
        <v>206</v>
      </c>
      <c r="C3577" s="2">
        <v>1980.0</v>
      </c>
      <c r="D3577" s="9">
        <v>4379.4663</v>
      </c>
      <c r="E3577" s="10" t="str">
        <f t="array" ref="E3577">IFS(D3577&lt;=$G$3,'calculated data '!$A$3,D3577&lt;=$G$4,'calculated data '!$A$4,D3577&lt;=$G$6,'calculated data '!$A$5,D3577&gt;=$G$6,'calculated data '!$A$6)</f>
        <v>Target Market (Core IQR)</v>
      </c>
      <c r="F3577" s="10">
        <f t="shared" si="1"/>
        <v>-0.5472480927</v>
      </c>
    </row>
    <row r="3578" ht="14.25" customHeight="1">
      <c r="A3578" s="2" t="s">
        <v>197</v>
      </c>
      <c r="B3578" s="2" t="s">
        <v>198</v>
      </c>
      <c r="C3578" s="2">
        <v>1977.0</v>
      </c>
      <c r="D3578" s="9">
        <v>4382.2627</v>
      </c>
      <c r="E3578" s="10" t="str">
        <f t="array" ref="E3578">IFS(D3578&lt;=$G$3,'calculated data '!$A$3,D3578&lt;=$G$4,'calculated data '!$A$4,D3578&lt;=$G$6,'calculated data '!$A$5,D3578&gt;=$G$6,'calculated data '!$A$6)</f>
        <v>Target Market (Core IQR)</v>
      </c>
      <c r="F3578" s="10">
        <f t="shared" si="1"/>
        <v>-0.5471740727</v>
      </c>
    </row>
    <row r="3579" ht="14.25" customHeight="1">
      <c r="A3579" s="2" t="s">
        <v>159</v>
      </c>
      <c r="B3579" s="2" t="s">
        <v>160</v>
      </c>
      <c r="C3579" s="2">
        <v>2002.0</v>
      </c>
      <c r="D3579" s="9">
        <v>4387.4043</v>
      </c>
      <c r="E3579" s="10" t="str">
        <f t="array" ref="E3579">IFS(D3579&lt;=$G$3,'calculated data '!$A$3,D3579&lt;=$G$4,'calculated data '!$A$4,D3579&lt;=$G$6,'calculated data '!$A$5,D3579&gt;=$G$6,'calculated data '!$A$6)</f>
        <v>Target Market (Core IQR)</v>
      </c>
      <c r="F3579" s="10">
        <f t="shared" si="1"/>
        <v>-0.5470379758</v>
      </c>
    </row>
    <row r="3580" ht="14.25" customHeight="1">
      <c r="A3580" s="2" t="s">
        <v>253</v>
      </c>
      <c r="B3580" s="2" t="s">
        <v>254</v>
      </c>
      <c r="C3580" s="2">
        <v>1995.0</v>
      </c>
      <c r="D3580" s="9">
        <v>4391.9185</v>
      </c>
      <c r="E3580" s="10" t="str">
        <f t="array" ref="E3580">IFS(D3580&lt;=$G$3,'calculated data '!$A$3,D3580&lt;=$G$4,'calculated data '!$A$4,D3580&lt;=$G$6,'calculated data '!$A$5,D3580&gt;=$G$6,'calculated data '!$A$6)</f>
        <v>Target Market (Core IQR)</v>
      </c>
      <c r="F3580" s="10">
        <f t="shared" si="1"/>
        <v>-0.5469184861</v>
      </c>
    </row>
    <row r="3581" ht="14.25" customHeight="1">
      <c r="A3581" s="2" t="s">
        <v>41</v>
      </c>
      <c r="B3581" s="2" t="s">
        <v>42</v>
      </c>
      <c r="C3581" s="2">
        <v>2010.0</v>
      </c>
      <c r="D3581" s="9">
        <v>4416.757</v>
      </c>
      <c r="E3581" s="10" t="str">
        <f t="array" ref="E3581">IFS(D3581&lt;=$G$3,'calculated data '!$A$3,D3581&lt;=$G$4,'calculated data '!$A$4,D3581&lt;=$G$6,'calculated data '!$A$5,D3581&gt;=$G$6,'calculated data '!$A$6)</f>
        <v>Target Market (Core IQR)</v>
      </c>
      <c r="F3581" s="10">
        <f t="shared" si="1"/>
        <v>-0.5462610172</v>
      </c>
    </row>
    <row r="3582" ht="14.25" customHeight="1">
      <c r="A3582" s="2" t="s">
        <v>41</v>
      </c>
      <c r="B3582" s="2" t="s">
        <v>42</v>
      </c>
      <c r="C3582" s="2">
        <v>2005.0</v>
      </c>
      <c r="D3582" s="9">
        <v>4418.712</v>
      </c>
      <c r="E3582" s="10" t="str">
        <f t="array" ref="E3582">IFS(D3582&lt;=$G$3,'calculated data '!$A$3,D3582&lt;=$G$4,'calculated data '!$A$4,D3582&lt;=$G$6,'calculated data '!$A$5,D3582&gt;=$G$6,'calculated data '!$A$6)</f>
        <v>Target Market (Core IQR)</v>
      </c>
      <c r="F3582" s="10">
        <f t="shared" si="1"/>
        <v>-0.5462092688</v>
      </c>
    </row>
    <row r="3583" ht="14.25" customHeight="1">
      <c r="A3583" s="2" t="s">
        <v>165</v>
      </c>
      <c r="B3583" s="2" t="s">
        <v>166</v>
      </c>
      <c r="C3583" s="2">
        <v>2008.0</v>
      </c>
      <c r="D3583" s="9">
        <v>4425.3394</v>
      </c>
      <c r="E3583" s="10" t="str">
        <f t="array" ref="E3583">IFS(D3583&lt;=$G$3,'calculated data '!$A$3,D3583&lt;=$G$4,'calculated data '!$A$4,D3583&lt;=$G$6,'calculated data '!$A$5,D3583&gt;=$G$6,'calculated data '!$A$6)</f>
        <v>Target Market (Core IQR)</v>
      </c>
      <c r="F3583" s="10">
        <f t="shared" si="1"/>
        <v>-0.5460338432</v>
      </c>
    </row>
    <row r="3584" ht="14.25" customHeight="1">
      <c r="A3584" s="2" t="s">
        <v>261</v>
      </c>
      <c r="B3584" s="2" t="s">
        <v>262</v>
      </c>
      <c r="C3584" s="2">
        <v>1987.0</v>
      </c>
      <c r="D3584" s="9">
        <v>4425.8965</v>
      </c>
      <c r="E3584" s="10" t="str">
        <f t="array" ref="E3584">IFS(D3584&lt;=$G$3,'calculated data '!$A$3,D3584&lt;=$G$4,'calculated data '!$A$4,D3584&lt;=$G$6,'calculated data '!$A$5,D3584&gt;=$G$6,'calculated data '!$A$6)</f>
        <v>Target Market (Core IQR)</v>
      </c>
      <c r="F3584" s="10">
        <f t="shared" si="1"/>
        <v>-0.5460190969</v>
      </c>
    </row>
    <row r="3585" ht="14.25" customHeight="1">
      <c r="A3585" s="2" t="s">
        <v>209</v>
      </c>
      <c r="B3585" s="2" t="s">
        <v>210</v>
      </c>
      <c r="C3585" s="2">
        <v>2001.0</v>
      </c>
      <c r="D3585" s="9">
        <v>4427.5874</v>
      </c>
      <c r="E3585" s="10" t="str">
        <f t="array" ref="E3585">IFS(D3585&lt;=$G$3,'calculated data '!$A$3,D3585&lt;=$G$4,'calculated data '!$A$4,D3585&lt;=$G$6,'calculated data '!$A$5,D3585&gt;=$G$6,'calculated data '!$A$6)</f>
        <v>Target Market (Core IQR)</v>
      </c>
      <c r="F3585" s="10">
        <f t="shared" si="1"/>
        <v>-0.5459743392</v>
      </c>
    </row>
    <row r="3586" ht="14.25" customHeight="1">
      <c r="A3586" s="2" t="s">
        <v>189</v>
      </c>
      <c r="B3586" s="2" t="s">
        <v>190</v>
      </c>
      <c r="C3586" s="2">
        <v>2018.0</v>
      </c>
      <c r="D3586" s="9">
        <v>4433.0596</v>
      </c>
      <c r="E3586" s="10" t="str">
        <f t="array" ref="E3586">IFS(D3586&lt;=$G$3,'calculated data '!$A$3,D3586&lt;=$G$4,'calculated data '!$A$4,D3586&lt;=$G$6,'calculated data '!$A$5,D3586&gt;=$G$6,'calculated data '!$A$6)</f>
        <v>Target Market (Core IQR)</v>
      </c>
      <c r="F3586" s="10">
        <f t="shared" si="1"/>
        <v>-0.5458294914</v>
      </c>
    </row>
    <row r="3587" ht="14.25" customHeight="1">
      <c r="A3587" s="2" t="s">
        <v>255</v>
      </c>
      <c r="B3587" s="2" t="s">
        <v>256</v>
      </c>
      <c r="C3587" s="2">
        <v>1995.0</v>
      </c>
      <c r="D3587" s="9">
        <v>4434.7007</v>
      </c>
      <c r="E3587" s="10" t="str">
        <f t="array" ref="E3587">IFS(D3587&lt;=$G$3,'calculated data '!$A$3,D3587&lt;=$G$4,'calculated data '!$A$4,D3587&lt;=$G$6,'calculated data '!$A$5,D3587&gt;=$G$6,'calculated data '!$A$6)</f>
        <v>Target Market (Core IQR)</v>
      </c>
      <c r="F3587" s="10">
        <f t="shared" si="1"/>
        <v>-0.5457860519</v>
      </c>
    </row>
    <row r="3588" ht="14.25" customHeight="1">
      <c r="A3588" s="2" t="s">
        <v>235</v>
      </c>
      <c r="B3588" s="2" t="s">
        <v>236</v>
      </c>
      <c r="C3588" s="2">
        <v>2002.0</v>
      </c>
      <c r="D3588" s="9">
        <v>4438.1904</v>
      </c>
      <c r="E3588" s="10" t="str">
        <f t="array" ref="E3588">IFS(D3588&lt;=$G$3,'calculated data '!$A$3,D3588&lt;=$G$4,'calculated data '!$A$4,D3588&lt;=$G$6,'calculated data '!$A$5,D3588&gt;=$G$6,'calculated data '!$A$6)</f>
        <v>Target Market (Core IQR)</v>
      </c>
      <c r="F3588" s="10">
        <f t="shared" si="1"/>
        <v>-0.5456936804</v>
      </c>
    </row>
    <row r="3589" ht="14.25" customHeight="1">
      <c r="A3589" s="2" t="s">
        <v>255</v>
      </c>
      <c r="B3589" s="2" t="s">
        <v>256</v>
      </c>
      <c r="C3589" s="2">
        <v>1983.0</v>
      </c>
      <c r="D3589" s="9">
        <v>4438.663</v>
      </c>
      <c r="E3589" s="10" t="str">
        <f t="array" ref="E3589">IFS(D3589&lt;=$G$3,'calculated data '!$A$3,D3589&lt;=$G$4,'calculated data '!$A$4,D3589&lt;=$G$6,'calculated data '!$A$5,D3589&gt;=$G$6,'calculated data '!$A$6)</f>
        <v>Target Market (Core IQR)</v>
      </c>
      <c r="F3589" s="10">
        <f t="shared" si="1"/>
        <v>-0.5456811708</v>
      </c>
    </row>
    <row r="3590" ht="14.25" customHeight="1">
      <c r="A3590" s="2" t="s">
        <v>201</v>
      </c>
      <c r="B3590" s="2" t="s">
        <v>202</v>
      </c>
      <c r="C3590" s="2">
        <v>1995.0</v>
      </c>
      <c r="D3590" s="9">
        <v>4439.3374</v>
      </c>
      <c r="E3590" s="10" t="str">
        <f t="array" ref="E3590">IFS(D3590&lt;=$G$3,'calculated data '!$A$3,D3590&lt;=$G$4,'calculated data '!$A$4,D3590&lt;=$G$6,'calculated data '!$A$5,D3590&gt;=$G$6,'calculated data '!$A$6)</f>
        <v>Target Market (Core IQR)</v>
      </c>
      <c r="F3590" s="10">
        <f t="shared" si="1"/>
        <v>-0.5456633196</v>
      </c>
    </row>
    <row r="3591" ht="14.25" customHeight="1">
      <c r="A3591" s="2" t="s">
        <v>209</v>
      </c>
      <c r="B3591" s="2" t="s">
        <v>210</v>
      </c>
      <c r="C3591" s="2">
        <v>2000.0</v>
      </c>
      <c r="D3591" s="9">
        <v>4442.162</v>
      </c>
      <c r="E3591" s="10" t="str">
        <f t="array" ref="E3591">IFS(D3591&lt;=$G$3,'calculated data '!$A$3,D3591&lt;=$G$4,'calculated data '!$A$4,D3591&lt;=$G$6,'calculated data '!$A$5,D3591&gt;=$G$6,'calculated data '!$A$6)</f>
        <v>Target Market (Core IQR)</v>
      </c>
      <c r="F3591" s="10">
        <f t="shared" si="1"/>
        <v>-0.5455885531</v>
      </c>
    </row>
    <row r="3592" ht="14.25" customHeight="1">
      <c r="A3592" s="2" t="s">
        <v>221</v>
      </c>
      <c r="B3592" s="2" t="s">
        <v>222</v>
      </c>
      <c r="C3592" s="2">
        <v>1969.0</v>
      </c>
      <c r="D3592" s="9">
        <v>4443.443</v>
      </c>
      <c r="E3592" s="10" t="str">
        <f t="array" ref="E3592">IFS(D3592&lt;=$G$3,'calculated data '!$A$3,D3592&lt;=$G$4,'calculated data '!$A$4,D3592&lt;=$G$6,'calculated data '!$A$5,D3592&gt;=$G$6,'calculated data '!$A$6)</f>
        <v>Target Market (Core IQR)</v>
      </c>
      <c r="F3592" s="10">
        <f t="shared" si="1"/>
        <v>-0.5455546454</v>
      </c>
    </row>
    <row r="3593" ht="14.25" customHeight="1">
      <c r="A3593" s="2" t="s">
        <v>215</v>
      </c>
      <c r="B3593" s="2" t="s">
        <v>216</v>
      </c>
      <c r="C3593" s="2">
        <v>1981.0</v>
      </c>
      <c r="D3593" s="9">
        <v>4443.6245</v>
      </c>
      <c r="E3593" s="10" t="str">
        <f t="array" ref="E3593">IFS(D3593&lt;=$G$3,'calculated data '!$A$3,D3593&lt;=$G$4,'calculated data '!$A$4,D3593&lt;=$G$6,'calculated data '!$A$5,D3593&gt;=$G$6,'calculated data '!$A$6)</f>
        <v>Target Market (Core IQR)</v>
      </c>
      <c r="F3593" s="10">
        <f t="shared" si="1"/>
        <v>-0.5455498411</v>
      </c>
    </row>
    <row r="3594" ht="14.25" customHeight="1">
      <c r="A3594" s="2" t="s">
        <v>109</v>
      </c>
      <c r="B3594" s="2" t="s">
        <v>110</v>
      </c>
      <c r="C3594" s="2">
        <v>1980.0</v>
      </c>
      <c r="D3594" s="9">
        <v>4446.222</v>
      </c>
      <c r="E3594" s="10" t="str">
        <f t="array" ref="E3594">IFS(D3594&lt;=$G$3,'calculated data '!$A$3,D3594&lt;=$G$4,'calculated data '!$A$4,D3594&lt;=$G$6,'calculated data '!$A$5,D3594&gt;=$G$6,'calculated data '!$A$6)</f>
        <v>Target Market (Core IQR)</v>
      </c>
      <c r="F3594" s="10">
        <f t="shared" si="1"/>
        <v>-0.5454810859</v>
      </c>
    </row>
    <row r="3595" ht="14.25" customHeight="1">
      <c r="A3595" s="2" t="s">
        <v>207</v>
      </c>
      <c r="B3595" s="2" t="s">
        <v>208</v>
      </c>
      <c r="C3595" s="2">
        <v>1975.0</v>
      </c>
      <c r="D3595" s="9">
        <v>4447.322</v>
      </c>
      <c r="E3595" s="10" t="str">
        <f t="array" ref="E3595">IFS(D3595&lt;=$G$3,'calculated data '!$A$3,D3595&lt;=$G$4,'calculated data '!$A$4,D3595&lt;=$G$6,'calculated data '!$A$5,D3595&gt;=$G$6,'calculated data '!$A$6)</f>
        <v>Target Market (Core IQR)</v>
      </c>
      <c r="F3595" s="10">
        <f t="shared" si="1"/>
        <v>-0.5454519692</v>
      </c>
    </row>
    <row r="3596" ht="14.25" customHeight="1">
      <c r="A3596" s="2" t="s">
        <v>193</v>
      </c>
      <c r="B3596" s="2" t="s">
        <v>194</v>
      </c>
      <c r="C3596" s="2">
        <v>2001.0</v>
      </c>
      <c r="D3596" s="9">
        <v>4447.9233</v>
      </c>
      <c r="E3596" s="10" t="str">
        <f t="array" ref="E3596">IFS(D3596&lt;=$G$3,'calculated data '!$A$3,D3596&lt;=$G$4,'calculated data '!$A$4,D3596&lt;=$G$6,'calculated data '!$A$5,D3596&gt;=$G$6,'calculated data '!$A$6)</f>
        <v>Target Market (Core IQR)</v>
      </c>
      <c r="F3596" s="10">
        <f t="shared" si="1"/>
        <v>-0.545436053</v>
      </c>
    </row>
    <row r="3597" ht="14.25" customHeight="1">
      <c r="A3597" s="2" t="s">
        <v>189</v>
      </c>
      <c r="B3597" s="2" t="s">
        <v>190</v>
      </c>
      <c r="C3597" s="2">
        <v>2017.0</v>
      </c>
      <c r="D3597" s="9">
        <v>4448.154</v>
      </c>
      <c r="E3597" s="10" t="str">
        <f t="array" ref="E3597">IFS(D3597&lt;=$G$3,'calculated data '!$A$3,D3597&lt;=$G$4,'calculated data '!$A$4,D3597&lt;=$G$6,'calculated data '!$A$5,D3597&gt;=$G$6,'calculated data '!$A$6)</f>
        <v>Target Market (Core IQR)</v>
      </c>
      <c r="F3597" s="10">
        <f t="shared" si="1"/>
        <v>-0.5454299464</v>
      </c>
    </row>
    <row r="3598" ht="14.25" customHeight="1">
      <c r="A3598" s="2" t="s">
        <v>245</v>
      </c>
      <c r="B3598" s="2" t="s">
        <v>246</v>
      </c>
      <c r="C3598" s="2">
        <v>2007.0</v>
      </c>
      <c r="D3598" s="9">
        <v>4449.1196</v>
      </c>
      <c r="E3598" s="10" t="str">
        <f t="array" ref="E3598">IFS(D3598&lt;=$G$3,'calculated data '!$A$3,D3598&lt;=$G$4,'calculated data '!$A$4,D3598&lt;=$G$6,'calculated data '!$A$5,D3598&gt;=$G$6,'calculated data '!$A$6)</f>
        <v>Target Market (Core IQR)</v>
      </c>
      <c r="F3598" s="10">
        <f t="shared" si="1"/>
        <v>-0.5454043872</v>
      </c>
    </row>
    <row r="3599" ht="14.25" customHeight="1">
      <c r="A3599" s="2" t="s">
        <v>211</v>
      </c>
      <c r="B3599" s="2" t="s">
        <v>212</v>
      </c>
      <c r="C3599" s="2">
        <v>1999.0</v>
      </c>
      <c r="D3599" s="9">
        <v>4463.182</v>
      </c>
      <c r="E3599" s="10" t="str">
        <f t="array" ref="E3599">IFS(D3599&lt;=$G$3,'calculated data '!$A$3,D3599&lt;=$G$4,'calculated data '!$A$4,D3599&lt;=$G$6,'calculated data '!$A$5,D3599&gt;=$G$6,'calculated data '!$A$6)</f>
        <v>Target Market (Core IQR)</v>
      </c>
      <c r="F3599" s="10">
        <f t="shared" si="1"/>
        <v>-0.545032159</v>
      </c>
    </row>
    <row r="3600" ht="14.25" customHeight="1">
      <c r="A3600" s="2" t="s">
        <v>215</v>
      </c>
      <c r="B3600" s="2" t="s">
        <v>216</v>
      </c>
      <c r="C3600" s="2">
        <v>1996.0</v>
      </c>
      <c r="D3600" s="9">
        <v>4463.4565</v>
      </c>
      <c r="E3600" s="10" t="str">
        <f t="array" ref="E3600">IFS(D3600&lt;=$G$3,'calculated data '!$A$3,D3600&lt;=$G$4,'calculated data '!$A$4,D3600&lt;=$G$6,'calculated data '!$A$5,D3600&gt;=$G$6,'calculated data '!$A$6)</f>
        <v>Target Market (Core IQR)</v>
      </c>
      <c r="F3600" s="10">
        <f t="shared" si="1"/>
        <v>-0.545024893</v>
      </c>
    </row>
    <row r="3601" ht="14.25" customHeight="1">
      <c r="A3601" s="2" t="s">
        <v>255</v>
      </c>
      <c r="B3601" s="2" t="s">
        <v>256</v>
      </c>
      <c r="C3601" s="2">
        <v>2004.0</v>
      </c>
      <c r="D3601" s="9">
        <v>4466.1665</v>
      </c>
      <c r="E3601" s="10" t="str">
        <f t="array" ref="E3601">IFS(D3601&lt;=$G$3,'calculated data '!$A$3,D3601&lt;=$G$4,'calculated data '!$A$4,D3601&lt;=$G$6,'calculated data '!$A$5,D3601&gt;=$G$6,'calculated data '!$A$6)</f>
        <v>Target Market (Core IQR)</v>
      </c>
      <c r="F3601" s="10">
        <f t="shared" si="1"/>
        <v>-0.54495316</v>
      </c>
    </row>
    <row r="3602" ht="14.25" customHeight="1">
      <c r="A3602" s="2" t="s">
        <v>215</v>
      </c>
      <c r="B3602" s="2" t="s">
        <v>216</v>
      </c>
      <c r="C3602" s="2">
        <v>1995.0</v>
      </c>
      <c r="D3602" s="9">
        <v>4468.6333</v>
      </c>
      <c r="E3602" s="10" t="str">
        <f t="array" ref="E3602">IFS(D3602&lt;=$G$3,'calculated data '!$A$3,D3602&lt;=$G$4,'calculated data '!$A$4,D3602&lt;=$G$6,'calculated data '!$A$5,D3602&gt;=$G$6,'calculated data '!$A$6)</f>
        <v>Target Market (Core IQR)</v>
      </c>
      <c r="F3602" s="10">
        <f t="shared" si="1"/>
        <v>-0.5448878644</v>
      </c>
    </row>
    <row r="3603" ht="14.25" customHeight="1">
      <c r="A3603" s="2" t="s">
        <v>151</v>
      </c>
      <c r="B3603" s="2" t="s">
        <v>152</v>
      </c>
      <c r="C3603" s="2">
        <v>2016.0</v>
      </c>
      <c r="D3603" s="9">
        <v>4472.8438</v>
      </c>
      <c r="E3603" s="10" t="str">
        <f t="array" ref="E3603">IFS(D3603&lt;=$G$3,'calculated data '!$A$3,D3603&lt;=$G$4,'calculated data '!$A$4,D3603&lt;=$G$6,'calculated data '!$A$5,D3603&gt;=$G$6,'calculated data '!$A$6)</f>
        <v>Target Market (Core IQR)</v>
      </c>
      <c r="F3603" s="10">
        <f t="shared" si="1"/>
        <v>-0.5447764135</v>
      </c>
    </row>
    <row r="3604" ht="14.25" customHeight="1">
      <c r="A3604" s="2" t="s">
        <v>193</v>
      </c>
      <c r="B3604" s="2" t="s">
        <v>194</v>
      </c>
      <c r="C3604" s="2">
        <v>2014.0</v>
      </c>
      <c r="D3604" s="9">
        <v>4481.233</v>
      </c>
      <c r="E3604" s="10" t="str">
        <f t="array" ref="E3604">IFS(D3604&lt;=$G$3,'calculated data '!$A$3,D3604&lt;=$G$4,'calculated data '!$A$4,D3604&lt;=$G$6,'calculated data '!$A$5,D3604&gt;=$G$6,'calculated data '!$A$6)</f>
        <v>Target Market (Core IQR)</v>
      </c>
      <c r="F3604" s="10">
        <f t="shared" si="1"/>
        <v>-0.5445543535</v>
      </c>
    </row>
    <row r="3605" ht="14.25" customHeight="1">
      <c r="A3605" s="2" t="s">
        <v>211</v>
      </c>
      <c r="B3605" s="2" t="s">
        <v>212</v>
      </c>
      <c r="C3605" s="2">
        <v>2007.0</v>
      </c>
      <c r="D3605" s="9">
        <v>4481.345</v>
      </c>
      <c r="E3605" s="10" t="str">
        <f t="array" ref="E3605">IFS(D3605&lt;=$G$3,'calculated data '!$A$3,D3605&lt;=$G$4,'calculated data '!$A$4,D3605&lt;=$G$6,'calculated data '!$A$5,D3605&gt;=$G$6,'calculated data '!$A$6)</f>
        <v>Target Market (Core IQR)</v>
      </c>
      <c r="F3605" s="10">
        <f t="shared" si="1"/>
        <v>-0.5445513889</v>
      </c>
    </row>
    <row r="3606" ht="14.25" customHeight="1">
      <c r="A3606" s="2" t="s">
        <v>139</v>
      </c>
      <c r="B3606" s="2" t="s">
        <v>140</v>
      </c>
      <c r="C3606" s="2">
        <v>2017.0</v>
      </c>
      <c r="D3606" s="9">
        <v>4484.0176</v>
      </c>
      <c r="E3606" s="10" t="str">
        <f t="array" ref="E3606">IFS(D3606&lt;=$G$3,'calculated data '!$A$3,D3606&lt;=$G$4,'calculated data '!$A$4,D3606&lt;=$G$6,'calculated data '!$A$5,D3606&gt;=$G$6,'calculated data '!$A$6)</f>
        <v>Target Market (Core IQR)</v>
      </c>
      <c r="F3606" s="10">
        <f t="shared" si="1"/>
        <v>-0.5444806458</v>
      </c>
    </row>
    <row r="3607" ht="14.25" customHeight="1">
      <c r="A3607" s="2" t="s">
        <v>51</v>
      </c>
      <c r="B3607" s="2" t="s">
        <v>52</v>
      </c>
      <c r="C3607" s="2">
        <v>2009.0</v>
      </c>
      <c r="D3607" s="9">
        <v>4485.2397</v>
      </c>
      <c r="E3607" s="10" t="str">
        <f t="array" ref="E3607">IFS(D3607&lt;=$G$3,'calculated data '!$A$3,D3607&lt;=$G$4,'calculated data '!$A$4,D3607&lt;=$G$6,'calculated data '!$A$5,D3607&gt;=$G$6,'calculated data '!$A$6)</f>
        <v>Target Market (Core IQR)</v>
      </c>
      <c r="F3607" s="10">
        <f t="shared" si="1"/>
        <v>-0.5444482971</v>
      </c>
    </row>
    <row r="3608" ht="14.25" customHeight="1">
      <c r="A3608" s="2" t="s">
        <v>255</v>
      </c>
      <c r="B3608" s="2" t="s">
        <v>256</v>
      </c>
      <c r="C3608" s="2">
        <v>1996.0</v>
      </c>
      <c r="D3608" s="9">
        <v>4487.514</v>
      </c>
      <c r="E3608" s="10" t="str">
        <f t="array" ref="E3608">IFS(D3608&lt;=$G$3,'calculated data '!$A$3,D3608&lt;=$G$4,'calculated data '!$A$4,D3608&lt;=$G$6,'calculated data '!$A$5,D3608&gt;=$G$6,'calculated data '!$A$6)</f>
        <v>Target Market (Core IQR)</v>
      </c>
      <c r="F3608" s="10">
        <f t="shared" si="1"/>
        <v>-0.544388097</v>
      </c>
    </row>
    <row r="3609" ht="14.25" customHeight="1">
      <c r="A3609" s="2" t="s">
        <v>249</v>
      </c>
      <c r="B3609" s="2" t="s">
        <v>250</v>
      </c>
      <c r="C3609" s="2">
        <v>1969.0</v>
      </c>
      <c r="D3609" s="9">
        <v>4488.539</v>
      </c>
      <c r="E3609" s="10" t="str">
        <f t="array" ref="E3609">IFS(D3609&lt;=$G$3,'calculated data '!$A$3,D3609&lt;=$G$4,'calculated data '!$A$4,D3609&lt;=$G$6,'calculated data '!$A$5,D3609&gt;=$G$6,'calculated data '!$A$6)</f>
        <v>Target Market (Core IQR)</v>
      </c>
      <c r="F3609" s="10">
        <f t="shared" si="1"/>
        <v>-0.5443609655</v>
      </c>
    </row>
    <row r="3610" ht="14.25" customHeight="1">
      <c r="A3610" s="2" t="s">
        <v>225</v>
      </c>
      <c r="B3610" s="2" t="s">
        <v>226</v>
      </c>
      <c r="C3610" s="2">
        <v>1999.0</v>
      </c>
      <c r="D3610" s="9">
        <v>4489.9043</v>
      </c>
      <c r="E3610" s="10" t="str">
        <f t="array" ref="E3610">IFS(D3610&lt;=$G$3,'calculated data '!$A$3,D3610&lt;=$G$4,'calculated data '!$A$4,D3610&lt;=$G$6,'calculated data '!$A$5,D3610&gt;=$G$6,'calculated data '!$A$6)</f>
        <v>Target Market (Core IQR)</v>
      </c>
      <c r="F3610" s="10">
        <f t="shared" si="1"/>
        <v>-0.5443248263</v>
      </c>
    </row>
    <row r="3611" ht="14.25" customHeight="1">
      <c r="A3611" s="2" t="s">
        <v>161</v>
      </c>
      <c r="B3611" s="2" t="s">
        <v>162</v>
      </c>
      <c r="C3611" s="2">
        <v>1980.0</v>
      </c>
      <c r="D3611" s="9">
        <v>4489.9116</v>
      </c>
      <c r="E3611" s="10" t="str">
        <f t="array" ref="E3611">IFS(D3611&lt;=$G$3,'calculated data '!$A$3,D3611&lt;=$G$4,'calculated data '!$A$4,D3611&lt;=$G$6,'calculated data '!$A$5,D3611&gt;=$G$6,'calculated data '!$A$6)</f>
        <v>Target Market (Core IQR)</v>
      </c>
      <c r="F3611" s="10">
        <f t="shared" si="1"/>
        <v>-0.5443246331</v>
      </c>
    </row>
    <row r="3612" ht="14.25" customHeight="1">
      <c r="A3612" s="2" t="s">
        <v>243</v>
      </c>
      <c r="B3612" s="2" t="s">
        <v>244</v>
      </c>
      <c r="C3612" s="2">
        <v>1995.0</v>
      </c>
      <c r="D3612" s="9">
        <v>4494.408</v>
      </c>
      <c r="E3612" s="10" t="str">
        <f t="array" ref="E3612">IFS(D3612&lt;=$G$3,'calculated data '!$A$3,D3612&lt;=$G$4,'calculated data '!$A$4,D3612&lt;=$G$6,'calculated data '!$A$5,D3612&gt;=$G$6,'calculated data '!$A$6)</f>
        <v>Target Market (Core IQR)</v>
      </c>
      <c r="F3612" s="10">
        <f t="shared" si="1"/>
        <v>-0.5442056145</v>
      </c>
    </row>
    <row r="3613" ht="14.25" customHeight="1">
      <c r="A3613" s="2" t="s">
        <v>233</v>
      </c>
      <c r="B3613" s="2" t="s">
        <v>234</v>
      </c>
      <c r="C3613" s="2">
        <v>1975.0</v>
      </c>
      <c r="D3613" s="9">
        <v>4499.187</v>
      </c>
      <c r="E3613" s="10" t="str">
        <f t="array" ref="E3613">IFS(D3613&lt;=$G$3,'calculated data '!$A$3,D3613&lt;=$G$4,'calculated data '!$A$4,D3613&lt;=$G$6,'calculated data '!$A$5,D3613&gt;=$G$6,'calculated data '!$A$6)</f>
        <v>Target Market (Core IQR)</v>
      </c>
      <c r="F3613" s="10">
        <f t="shared" si="1"/>
        <v>-0.5440791156</v>
      </c>
    </row>
    <row r="3614" ht="14.25" customHeight="1">
      <c r="A3614" s="2" t="s">
        <v>225</v>
      </c>
      <c r="B3614" s="2" t="s">
        <v>226</v>
      </c>
      <c r="C3614" s="2">
        <v>1997.0</v>
      </c>
      <c r="D3614" s="9">
        <v>4499.5938</v>
      </c>
      <c r="E3614" s="10" t="str">
        <f t="array" ref="E3614">IFS(D3614&lt;=$G$3,'calculated data '!$A$3,D3614&lt;=$G$4,'calculated data '!$A$4,D3614&lt;=$G$6,'calculated data '!$A$5,D3614&gt;=$G$6,'calculated data '!$A$6)</f>
        <v>Target Market (Core IQR)</v>
      </c>
      <c r="F3614" s="10">
        <f t="shared" si="1"/>
        <v>-0.5440683477</v>
      </c>
    </row>
    <row r="3615" ht="14.25" customHeight="1">
      <c r="A3615" s="2" t="s">
        <v>243</v>
      </c>
      <c r="B3615" s="2" t="s">
        <v>244</v>
      </c>
      <c r="C3615" s="2">
        <v>1998.0</v>
      </c>
      <c r="D3615" s="9">
        <v>4501.5376</v>
      </c>
      <c r="E3615" s="10" t="str">
        <f t="array" ref="E3615">IFS(D3615&lt;=$G$3,'calculated data '!$A$3,D3615&lt;=$G$4,'calculated data '!$A$4,D3615&lt;=$G$6,'calculated data '!$A$5,D3615&gt;=$G$6,'calculated data '!$A$6)</f>
        <v>Target Market (Core IQR)</v>
      </c>
      <c r="F3615" s="10">
        <f t="shared" si="1"/>
        <v>-0.5440168958</v>
      </c>
    </row>
    <row r="3616" ht="14.25" customHeight="1">
      <c r="A3616" s="2" t="s">
        <v>235</v>
      </c>
      <c r="B3616" s="2" t="s">
        <v>236</v>
      </c>
      <c r="C3616" s="2">
        <v>2003.0</v>
      </c>
      <c r="D3616" s="9">
        <v>4502.232</v>
      </c>
      <c r="E3616" s="10" t="str">
        <f t="array" ref="E3616">IFS(D3616&lt;=$G$3,'calculated data '!$A$3,D3616&lt;=$G$4,'calculated data '!$A$4,D3616&lt;=$G$6,'calculated data '!$A$5,D3616&gt;=$G$6,'calculated data '!$A$6)</f>
        <v>Target Market (Core IQR)</v>
      </c>
      <c r="F3616" s="10">
        <f t="shared" si="1"/>
        <v>-0.5439985152</v>
      </c>
    </row>
    <row r="3617" ht="14.25" customHeight="1">
      <c r="A3617" s="2" t="s">
        <v>255</v>
      </c>
      <c r="B3617" s="2" t="s">
        <v>256</v>
      </c>
      <c r="C3617" s="2">
        <v>1986.0</v>
      </c>
      <c r="D3617" s="9">
        <v>4512.1777</v>
      </c>
      <c r="E3617" s="10" t="str">
        <f t="array" ref="E3617">IFS(D3617&lt;=$G$3,'calculated data '!$A$3,D3617&lt;=$G$4,'calculated data '!$A$4,D3617&lt;=$G$6,'calculated data '!$A$5,D3617&gt;=$G$6,'calculated data '!$A$6)</f>
        <v>Target Market (Core IQR)</v>
      </c>
      <c r="F3617" s="10">
        <f t="shared" si="1"/>
        <v>-0.543735255</v>
      </c>
    </row>
    <row r="3618" ht="14.25" customHeight="1">
      <c r="A3618" s="2" t="s">
        <v>139</v>
      </c>
      <c r="B3618" s="2" t="s">
        <v>140</v>
      </c>
      <c r="C3618" s="2">
        <v>2018.0</v>
      </c>
      <c r="D3618" s="9">
        <v>4515.116</v>
      </c>
      <c r="E3618" s="10" t="str">
        <f t="array" ref="E3618">IFS(D3618&lt;=$G$3,'calculated data '!$A$3,D3618&lt;=$G$4,'calculated data '!$A$4,D3618&lt;=$G$6,'calculated data '!$A$5,D3618&gt;=$G$6,'calculated data '!$A$6)</f>
        <v>Target Market (Core IQR)</v>
      </c>
      <c r="F3618" s="10">
        <f t="shared" si="1"/>
        <v>-0.5436574789</v>
      </c>
    </row>
    <row r="3619" ht="14.25" customHeight="1">
      <c r="A3619" s="2" t="s">
        <v>41</v>
      </c>
      <c r="B3619" s="2" t="s">
        <v>42</v>
      </c>
      <c r="C3619" s="2">
        <v>2008.0</v>
      </c>
      <c r="D3619" s="9">
        <v>4518.136</v>
      </c>
      <c r="E3619" s="10" t="str">
        <f t="array" ref="E3619">IFS(D3619&lt;=$G$3,'calculated data '!$A$3,D3619&lt;=$G$4,'calculated data '!$A$4,D3619&lt;=$G$6,'calculated data '!$A$5,D3619&gt;=$G$6,'calculated data '!$A$6)</f>
        <v>Target Market (Core IQR)</v>
      </c>
      <c r="F3619" s="10">
        <f t="shared" si="1"/>
        <v>-0.5435775403</v>
      </c>
    </row>
    <row r="3620" ht="14.25" customHeight="1">
      <c r="A3620" s="2" t="s">
        <v>261</v>
      </c>
      <c r="B3620" s="2" t="s">
        <v>262</v>
      </c>
      <c r="C3620" s="2">
        <v>1982.0</v>
      </c>
      <c r="D3620" s="9">
        <v>4519.517</v>
      </c>
      <c r="E3620" s="10" t="str">
        <f t="array" ref="E3620">IFS(D3620&lt;=$G$3,'calculated data '!$A$3,D3620&lt;=$G$4,'calculated data '!$A$4,D3620&lt;=$G$6,'calculated data '!$A$5,D3620&gt;=$G$6,'calculated data '!$A$6)</f>
        <v>Target Market (Core IQR)</v>
      </c>
      <c r="F3620" s="10">
        <f t="shared" si="1"/>
        <v>-0.5435409855</v>
      </c>
    </row>
    <row r="3621" ht="14.25" customHeight="1">
      <c r="A3621" s="2" t="s">
        <v>233</v>
      </c>
      <c r="B3621" s="2" t="s">
        <v>234</v>
      </c>
      <c r="C3621" s="2">
        <v>1973.0</v>
      </c>
      <c r="D3621" s="9">
        <v>4519.6836</v>
      </c>
      <c r="E3621" s="10" t="str">
        <f t="array" ref="E3621">IFS(D3621&lt;=$G$3,'calculated data '!$A$3,D3621&lt;=$G$4,'calculated data '!$A$4,D3621&lt;=$G$6,'calculated data '!$A$5,D3621&gt;=$G$6,'calculated data '!$A$6)</f>
        <v>Target Market (Core IQR)</v>
      </c>
      <c r="F3621" s="10">
        <f t="shared" si="1"/>
        <v>-0.5435365757</v>
      </c>
    </row>
    <row r="3622" ht="14.25" customHeight="1">
      <c r="A3622" s="2" t="s">
        <v>257</v>
      </c>
      <c r="B3622" s="2" t="s">
        <v>258</v>
      </c>
      <c r="C3622" s="2">
        <v>1968.0</v>
      </c>
      <c r="D3622" s="9">
        <v>4521.7285</v>
      </c>
      <c r="E3622" s="10" t="str">
        <f t="array" ref="E3622">IFS(D3622&lt;=$G$3,'calculated data '!$A$3,D3622&lt;=$G$4,'calculated data '!$A$4,D3622&lt;=$G$6,'calculated data '!$A$5,D3622&gt;=$G$6,'calculated data '!$A$6)</f>
        <v>Target Market (Core IQR)</v>
      </c>
      <c r="F3622" s="10">
        <f t="shared" si="1"/>
        <v>-0.5434824477</v>
      </c>
    </row>
    <row r="3623" ht="14.25" customHeight="1">
      <c r="A3623" s="2" t="s">
        <v>199</v>
      </c>
      <c r="B3623" s="2" t="s">
        <v>200</v>
      </c>
      <c r="C3623" s="2">
        <v>2015.0</v>
      </c>
      <c r="D3623" s="9">
        <v>4535.1655</v>
      </c>
      <c r="E3623" s="10" t="str">
        <f t="array" ref="E3623">IFS(D3623&lt;=$G$3,'calculated data '!$A$3,D3623&lt;=$G$4,'calculated data '!$A$4,D3623&lt;=$G$6,'calculated data '!$A$5,D3623&gt;=$G$6,'calculated data '!$A$6)</f>
        <v>Target Market (Core IQR)</v>
      </c>
      <c r="F3623" s="10">
        <f t="shared" si="1"/>
        <v>-0.5431267736</v>
      </c>
    </row>
    <row r="3624" ht="14.25" customHeight="1">
      <c r="A3624" s="2" t="s">
        <v>201</v>
      </c>
      <c r="B3624" s="2" t="s">
        <v>202</v>
      </c>
      <c r="C3624" s="2">
        <v>1992.0</v>
      </c>
      <c r="D3624" s="9">
        <v>4539.6016</v>
      </c>
      <c r="E3624" s="10" t="str">
        <f t="array" ref="E3624">IFS(D3624&lt;=$G$3,'calculated data '!$A$3,D3624&lt;=$G$4,'calculated data '!$A$4,D3624&lt;=$G$6,'calculated data '!$A$5,D3624&gt;=$G$6,'calculated data '!$A$6)</f>
        <v>Target Market (Core IQR)</v>
      </c>
      <c r="F3624" s="10">
        <f t="shared" si="1"/>
        <v>-0.5430093512</v>
      </c>
    </row>
    <row r="3625" ht="14.25" customHeight="1">
      <c r="A3625" s="2" t="s">
        <v>243</v>
      </c>
      <c r="B3625" s="2" t="s">
        <v>244</v>
      </c>
      <c r="C3625" s="2">
        <v>1996.0</v>
      </c>
      <c r="D3625" s="9">
        <v>4540.366</v>
      </c>
      <c r="E3625" s="10" t="str">
        <f t="array" ref="E3625">IFS(D3625&lt;=$G$3,'calculated data '!$A$3,D3625&lt;=$G$4,'calculated data '!$A$4,D3625&lt;=$G$6,'calculated data '!$A$5,D3625&gt;=$G$6,'calculated data '!$A$6)</f>
        <v>Target Market (Core IQR)</v>
      </c>
      <c r="F3625" s="10">
        <f t="shared" si="1"/>
        <v>-0.5429891177</v>
      </c>
    </row>
    <row r="3626" ht="14.25" customHeight="1">
      <c r="A3626" s="2" t="s">
        <v>243</v>
      </c>
      <c r="B3626" s="2" t="s">
        <v>244</v>
      </c>
      <c r="C3626" s="2">
        <v>1997.0</v>
      </c>
      <c r="D3626" s="9">
        <v>4542.3394</v>
      </c>
      <c r="E3626" s="10" t="str">
        <f t="array" ref="E3626">IFS(D3626&lt;=$G$3,'calculated data '!$A$3,D3626&lt;=$G$4,'calculated data '!$A$4,D3626&lt;=$G$6,'calculated data '!$A$5,D3626&gt;=$G$6,'calculated data '!$A$6)</f>
        <v>Target Market (Core IQR)</v>
      </c>
      <c r="F3626" s="10">
        <f t="shared" si="1"/>
        <v>-0.5429368823</v>
      </c>
    </row>
    <row r="3627" ht="14.25" customHeight="1">
      <c r="A3627" s="2" t="s">
        <v>247</v>
      </c>
      <c r="B3627" s="2" t="s">
        <v>248</v>
      </c>
      <c r="C3627" s="2">
        <v>1985.0</v>
      </c>
      <c r="D3627" s="9">
        <v>4543.8037</v>
      </c>
      <c r="E3627" s="10" t="str">
        <f t="array" ref="E3627">IFS(D3627&lt;=$G$3,'calculated data '!$A$3,D3627&lt;=$G$4,'calculated data '!$A$4,D3627&lt;=$G$6,'calculated data '!$A$5,D3627&gt;=$G$6,'calculated data '!$A$6)</f>
        <v>Target Market (Core IQR)</v>
      </c>
      <c r="F3627" s="10">
        <f t="shared" si="1"/>
        <v>-0.5428981226</v>
      </c>
    </row>
    <row r="3628" ht="14.25" customHeight="1">
      <c r="A3628" s="2" t="s">
        <v>249</v>
      </c>
      <c r="B3628" s="2" t="s">
        <v>250</v>
      </c>
      <c r="C3628" s="2">
        <v>1971.0</v>
      </c>
      <c r="D3628" s="9">
        <v>4546.9727</v>
      </c>
      <c r="E3628" s="10" t="str">
        <f t="array" ref="E3628">IFS(D3628&lt;=$G$3,'calculated data '!$A$3,D3628&lt;=$G$4,'calculated data '!$A$4,D3628&lt;=$G$6,'calculated data '!$A$5,D3628&gt;=$G$6,'calculated data '!$A$6)</f>
        <v>Target Market (Core IQR)</v>
      </c>
      <c r="F3628" s="10">
        <f t="shared" si="1"/>
        <v>-0.54281424</v>
      </c>
    </row>
    <row r="3629" ht="14.25" customHeight="1">
      <c r="A3629" s="2" t="s">
        <v>255</v>
      </c>
      <c r="B3629" s="2" t="s">
        <v>256</v>
      </c>
      <c r="C3629" s="2">
        <v>1984.0</v>
      </c>
      <c r="D3629" s="9">
        <v>4549.7163</v>
      </c>
      <c r="E3629" s="10" t="str">
        <f t="array" ref="E3629">IFS(D3629&lt;=$G$3,'calculated data '!$A$3,D3629&lt;=$G$4,'calculated data '!$A$4,D3629&lt;=$G$6,'calculated data '!$A$5,D3629&gt;=$G$6,'calculated data '!$A$6)</f>
        <v>Target Market (Core IQR)</v>
      </c>
      <c r="F3629" s="10">
        <f t="shared" si="1"/>
        <v>-0.5427416176</v>
      </c>
    </row>
    <row r="3630" ht="14.25" customHeight="1">
      <c r="A3630" s="2" t="s">
        <v>151</v>
      </c>
      <c r="B3630" s="2" t="s">
        <v>152</v>
      </c>
      <c r="C3630" s="2">
        <v>2017.0</v>
      </c>
      <c r="D3630" s="9">
        <v>4555.6895</v>
      </c>
      <c r="E3630" s="10" t="str">
        <f t="array" ref="E3630">IFS(D3630&lt;=$G$3,'calculated data '!$A$3,D3630&lt;=$G$4,'calculated data '!$A$4,D3630&lt;=$G$6,'calculated data '!$A$5,D3630&gt;=$G$6,'calculated data '!$A$6)</f>
        <v>Target Market (Core IQR)</v>
      </c>
      <c r="F3630" s="10">
        <f t="shared" si="1"/>
        <v>-0.5425835085</v>
      </c>
    </row>
    <row r="3631" ht="14.25" customHeight="1">
      <c r="A3631" s="2" t="s">
        <v>231</v>
      </c>
      <c r="B3631" s="2" t="s">
        <v>232</v>
      </c>
      <c r="C3631" s="2">
        <v>1972.0</v>
      </c>
      <c r="D3631" s="9">
        <v>4557.0127</v>
      </c>
      <c r="E3631" s="10" t="str">
        <f t="array" ref="E3631">IFS(D3631&lt;=$G$3,'calculated data '!$A$3,D3631&lt;=$G$4,'calculated data '!$A$4,D3631&lt;=$G$6,'calculated data '!$A$5,D3631&gt;=$G$6,'calculated data '!$A$6)</f>
        <v>Target Market (Core IQR)</v>
      </c>
      <c r="F3631" s="10">
        <f t="shared" si="1"/>
        <v>-0.5425484837</v>
      </c>
    </row>
    <row r="3632" ht="14.25" customHeight="1">
      <c r="A3632" s="2" t="s">
        <v>229</v>
      </c>
      <c r="B3632" s="2" t="s">
        <v>230</v>
      </c>
      <c r="C3632" s="2">
        <v>1974.0</v>
      </c>
      <c r="D3632" s="9">
        <v>4557.805</v>
      </c>
      <c r="E3632" s="10" t="str">
        <f t="array" ref="E3632">IFS(D3632&lt;=$G$3,'calculated data '!$A$3,D3632&lt;=$G$4,'calculated data '!$A$4,D3632&lt;=$G$6,'calculated data '!$A$5,D3632&gt;=$G$6,'calculated data '!$A$6)</f>
        <v>Target Market (Core IQR)</v>
      </c>
      <c r="F3632" s="10">
        <f t="shared" si="1"/>
        <v>-0.5425275117</v>
      </c>
    </row>
    <row r="3633" ht="14.25" customHeight="1">
      <c r="A3633" s="2" t="s">
        <v>263</v>
      </c>
      <c r="B3633" s="2" t="s">
        <v>264</v>
      </c>
      <c r="C3633" s="2">
        <v>1986.0</v>
      </c>
      <c r="D3633" s="9">
        <v>4563.8975</v>
      </c>
      <c r="E3633" s="10" t="str">
        <f t="array" ref="E3633">IFS(D3633&lt;=$G$3,'calculated data '!$A$3,D3633&lt;=$G$4,'calculated data '!$A$4,D3633&lt;=$G$6,'calculated data '!$A$5,D3633&gt;=$G$6,'calculated data '!$A$6)</f>
        <v>Target Market (Core IQR)</v>
      </c>
      <c r="F3633" s="10">
        <f t="shared" si="1"/>
        <v>-0.5423662448</v>
      </c>
    </row>
    <row r="3634" ht="14.25" customHeight="1">
      <c r="A3634" s="2" t="s">
        <v>235</v>
      </c>
      <c r="B3634" s="2" t="s">
        <v>236</v>
      </c>
      <c r="C3634" s="2">
        <v>2001.0</v>
      </c>
      <c r="D3634" s="9">
        <v>4564.458</v>
      </c>
      <c r="E3634" s="10" t="str">
        <f t="array" ref="E3634">IFS(D3634&lt;=$G$3,'calculated data '!$A$3,D3634&lt;=$G$4,'calculated data '!$A$4,D3634&lt;=$G$6,'calculated data '!$A$5,D3634&gt;=$G$6,'calculated data '!$A$6)</f>
        <v>Target Market (Core IQR)</v>
      </c>
      <c r="F3634" s="10">
        <f t="shared" si="1"/>
        <v>-0.5423514085</v>
      </c>
    </row>
    <row r="3635" ht="14.25" customHeight="1">
      <c r="A3635" s="2" t="s">
        <v>255</v>
      </c>
      <c r="B3635" s="2" t="s">
        <v>256</v>
      </c>
      <c r="C3635" s="2">
        <v>2006.0</v>
      </c>
      <c r="D3635" s="9">
        <v>4567.6025</v>
      </c>
      <c r="E3635" s="10" t="str">
        <f t="array" ref="E3635">IFS(D3635&lt;=$G$3,'calculated data '!$A$3,D3635&lt;=$G$4,'calculated data '!$A$4,D3635&lt;=$G$6,'calculated data '!$A$5,D3635&gt;=$G$6,'calculated data '!$A$6)</f>
        <v>Target Market (Core IQR)</v>
      </c>
      <c r="F3635" s="10">
        <f t="shared" si="1"/>
        <v>-0.5422681743</v>
      </c>
    </row>
    <row r="3636" ht="14.25" customHeight="1">
      <c r="A3636" s="2" t="s">
        <v>253</v>
      </c>
      <c r="B3636" s="2" t="s">
        <v>254</v>
      </c>
      <c r="C3636" s="2">
        <v>1993.0</v>
      </c>
      <c r="D3636" s="9">
        <v>4578.2295</v>
      </c>
      <c r="E3636" s="10" t="str">
        <f t="array" ref="E3636">IFS(D3636&lt;=$G$3,'calculated data '!$A$3,D3636&lt;=$G$4,'calculated data '!$A$4,D3636&lt;=$G$6,'calculated data '!$A$5,D3636&gt;=$G$6,'calculated data '!$A$6)</f>
        <v>Target Market (Core IQR)</v>
      </c>
      <c r="F3636" s="10">
        <f t="shared" si="1"/>
        <v>-0.5419868803</v>
      </c>
    </row>
    <row r="3637" ht="14.25" customHeight="1">
      <c r="A3637" s="2" t="s">
        <v>41</v>
      </c>
      <c r="B3637" s="2" t="s">
        <v>42</v>
      </c>
      <c r="C3637" s="2">
        <v>2006.0</v>
      </c>
      <c r="D3637" s="9">
        <v>4578.7373</v>
      </c>
      <c r="E3637" s="10" t="str">
        <f t="array" ref="E3637">IFS(D3637&lt;=$G$3,'calculated data '!$A$3,D3637&lt;=$G$4,'calculated data '!$A$4,D3637&lt;=$G$6,'calculated data '!$A$5,D3637&gt;=$G$6,'calculated data '!$A$6)</f>
        <v>Target Market (Core IQR)</v>
      </c>
      <c r="F3637" s="10">
        <f t="shared" si="1"/>
        <v>-0.541973439</v>
      </c>
    </row>
    <row r="3638" ht="14.25" customHeight="1">
      <c r="A3638" s="2" t="s">
        <v>127</v>
      </c>
      <c r="B3638" s="2" t="s">
        <v>128</v>
      </c>
      <c r="C3638" s="2">
        <v>2000.0</v>
      </c>
      <c r="D3638" s="9">
        <v>4588.026</v>
      </c>
      <c r="E3638" s="10" t="str">
        <f t="array" ref="E3638">IFS(D3638&lt;=$G$3,'calculated data '!$A$3,D3638&lt;=$G$4,'calculated data '!$A$4,D3638&lt;=$G$6,'calculated data '!$A$5,D3638&gt;=$G$6,'calculated data '!$A$6)</f>
        <v>Target Market (Core IQR)</v>
      </c>
      <c r="F3638" s="10">
        <f t="shared" si="1"/>
        <v>-0.5417275694</v>
      </c>
    </row>
    <row r="3639" ht="14.25" customHeight="1">
      <c r="A3639" s="2" t="s">
        <v>215</v>
      </c>
      <c r="B3639" s="2" t="s">
        <v>216</v>
      </c>
      <c r="C3639" s="2">
        <v>1994.0</v>
      </c>
      <c r="D3639" s="9">
        <v>4589.044</v>
      </c>
      <c r="E3639" s="10" t="str">
        <f t="array" ref="E3639">IFS(D3639&lt;=$G$3,'calculated data '!$A$3,D3639&lt;=$G$4,'calculated data '!$A$4,D3639&lt;=$G$6,'calculated data '!$A$5,D3639&gt;=$G$6,'calculated data '!$A$6)</f>
        <v>Target Market (Core IQR)</v>
      </c>
      <c r="F3639" s="10">
        <f t="shared" si="1"/>
        <v>-0.5417006232</v>
      </c>
    </row>
    <row r="3640" ht="14.25" customHeight="1">
      <c r="A3640" s="2" t="s">
        <v>129</v>
      </c>
      <c r="B3640" s="2" t="s">
        <v>130</v>
      </c>
      <c r="C3640" s="2">
        <v>1996.0</v>
      </c>
      <c r="D3640" s="9">
        <v>4589.664</v>
      </c>
      <c r="E3640" s="10" t="str">
        <f t="array" ref="E3640">IFS(D3640&lt;=$G$3,'calculated data '!$A$3,D3640&lt;=$G$4,'calculated data '!$A$4,D3640&lt;=$G$6,'calculated data '!$A$5,D3640&gt;=$G$6,'calculated data '!$A$6)</f>
        <v>Target Market (Core IQR)</v>
      </c>
      <c r="F3640" s="10">
        <f t="shared" si="1"/>
        <v>-0.5416842119</v>
      </c>
    </row>
    <row r="3641" ht="14.25" customHeight="1">
      <c r="A3641" s="2" t="s">
        <v>229</v>
      </c>
      <c r="B3641" s="2" t="s">
        <v>230</v>
      </c>
      <c r="C3641" s="2">
        <v>1973.0</v>
      </c>
      <c r="D3641" s="9">
        <v>4595.1904</v>
      </c>
      <c r="E3641" s="10" t="str">
        <f t="array" ref="E3641">IFS(D3641&lt;=$G$3,'calculated data '!$A$3,D3641&lt;=$G$4,'calculated data '!$A$4,D3641&lt;=$G$6,'calculated data '!$A$5,D3641&gt;=$G$6,'calculated data '!$A$6)</f>
        <v>Target Market (Core IQR)</v>
      </c>
      <c r="F3641" s="10">
        <f t="shared" si="1"/>
        <v>-0.5415379295</v>
      </c>
    </row>
    <row r="3642" ht="14.25" customHeight="1">
      <c r="A3642" s="2" t="s">
        <v>255</v>
      </c>
      <c r="B3642" s="2" t="s">
        <v>256</v>
      </c>
      <c r="C3642" s="2">
        <v>1988.0</v>
      </c>
      <c r="D3642" s="9">
        <v>4596.231</v>
      </c>
      <c r="E3642" s="10" t="str">
        <f t="array" ref="E3642">IFS(D3642&lt;=$G$3,'calculated data '!$A$3,D3642&lt;=$G$4,'calculated data '!$A$4,D3642&lt;=$G$6,'calculated data '!$A$5,D3642&gt;=$G$6,'calculated data '!$A$6)</f>
        <v>Target Market (Core IQR)</v>
      </c>
      <c r="F3642" s="10">
        <f t="shared" si="1"/>
        <v>-0.5415103851</v>
      </c>
    </row>
    <row r="3643" ht="14.25" customHeight="1">
      <c r="A3643" s="2" t="s">
        <v>99</v>
      </c>
      <c r="B3643" s="2" t="s">
        <v>100</v>
      </c>
      <c r="C3643" s="2">
        <v>1997.0</v>
      </c>
      <c r="D3643" s="9">
        <v>4596.3345</v>
      </c>
      <c r="E3643" s="10" t="str">
        <f t="array" ref="E3643">IFS(D3643&lt;=$G$3,'calculated data '!$A$3,D3643&lt;=$G$4,'calculated data '!$A$4,D3643&lt;=$G$6,'calculated data '!$A$5,D3643&gt;=$G$6,'calculated data '!$A$6)</f>
        <v>Target Market (Core IQR)</v>
      </c>
      <c r="F3643" s="10">
        <f t="shared" si="1"/>
        <v>-0.5415076455</v>
      </c>
    </row>
    <row r="3644" ht="14.25" customHeight="1">
      <c r="A3644" s="2" t="s">
        <v>259</v>
      </c>
      <c r="B3644" s="2" t="s">
        <v>260</v>
      </c>
      <c r="C3644" s="2">
        <v>1980.0</v>
      </c>
      <c r="D3644" s="9">
        <v>4610.6323</v>
      </c>
      <c r="E3644" s="10" t="str">
        <f t="array" ref="E3644">IFS(D3644&lt;=$G$3,'calculated data '!$A$3,D3644&lt;=$G$4,'calculated data '!$A$4,D3644&lt;=$G$6,'calculated data '!$A$5,D3644&gt;=$G$6,'calculated data '!$A$6)</f>
        <v>Target Market (Core IQR)</v>
      </c>
      <c r="F3644" s="10">
        <f t="shared" si="1"/>
        <v>-0.5411291862</v>
      </c>
    </row>
    <row r="3645" ht="14.25" customHeight="1">
      <c r="A3645" s="2" t="s">
        <v>209</v>
      </c>
      <c r="B3645" s="2" t="s">
        <v>210</v>
      </c>
      <c r="C3645" s="2">
        <v>2002.0</v>
      </c>
      <c r="D3645" s="9">
        <v>4612.663</v>
      </c>
      <c r="E3645" s="10" t="str">
        <f t="array" ref="E3645">IFS(D3645&lt;=$G$3,'calculated data '!$A$3,D3645&lt;=$G$4,'calculated data '!$A$4,D3645&lt;=$G$6,'calculated data '!$A$5,D3645&gt;=$G$6,'calculated data '!$A$6)</f>
        <v>Target Market (Core IQR)</v>
      </c>
      <c r="F3645" s="10">
        <f t="shared" si="1"/>
        <v>-0.5410754341</v>
      </c>
    </row>
    <row r="3646" ht="14.25" customHeight="1">
      <c r="A3646" s="2" t="s">
        <v>225</v>
      </c>
      <c r="B3646" s="2" t="s">
        <v>226</v>
      </c>
      <c r="C3646" s="2">
        <v>2000.0</v>
      </c>
      <c r="D3646" s="9">
        <v>4613.0986</v>
      </c>
      <c r="E3646" s="10" t="str">
        <f t="array" ref="E3646">IFS(D3646&lt;=$G$3,'calculated data '!$A$3,D3646&lt;=$G$4,'calculated data '!$A$4,D3646&lt;=$G$6,'calculated data '!$A$5,D3646&gt;=$G$6,'calculated data '!$A$6)</f>
        <v>Target Market (Core IQR)</v>
      </c>
      <c r="F3646" s="10">
        <f t="shared" si="1"/>
        <v>-0.5410639039</v>
      </c>
    </row>
    <row r="3647" ht="14.25" customHeight="1">
      <c r="A3647" s="2" t="s">
        <v>201</v>
      </c>
      <c r="B3647" s="2" t="s">
        <v>202</v>
      </c>
      <c r="C3647" s="2">
        <v>1989.0</v>
      </c>
      <c r="D3647" s="9">
        <v>4613.37</v>
      </c>
      <c r="E3647" s="10" t="str">
        <f t="array" ref="E3647">IFS(D3647&lt;=$G$3,'calculated data '!$A$3,D3647&lt;=$G$4,'calculated data '!$A$4,D3647&lt;=$G$6,'calculated data '!$A$5,D3647&gt;=$G$6,'calculated data '!$A$6)</f>
        <v>Target Market (Core IQR)</v>
      </c>
      <c r="F3647" s="10">
        <f t="shared" si="1"/>
        <v>-0.54105672</v>
      </c>
    </row>
    <row r="3648" ht="14.25" customHeight="1">
      <c r="A3648" s="2" t="s">
        <v>139</v>
      </c>
      <c r="B3648" s="2" t="s">
        <v>140</v>
      </c>
      <c r="C3648" s="2">
        <v>2019.0</v>
      </c>
      <c r="D3648" s="9">
        <v>4618.1973</v>
      </c>
      <c r="E3648" s="10" t="str">
        <f t="array" ref="E3648">IFS(D3648&lt;=$G$3,'calculated data '!$A$3,D3648&lt;=$G$4,'calculated data '!$A$4,D3648&lt;=$G$6,'calculated data '!$A$5,D3648&gt;=$G$6,'calculated data '!$A$6)</f>
        <v>Target Market (Core IQR)</v>
      </c>
      <c r="F3648" s="10">
        <f t="shared" si="1"/>
        <v>-0.5409289426</v>
      </c>
    </row>
    <row r="3649" ht="14.25" customHeight="1">
      <c r="A3649" s="2" t="s">
        <v>151</v>
      </c>
      <c r="B3649" s="2" t="s">
        <v>152</v>
      </c>
      <c r="C3649" s="2">
        <v>2021.0</v>
      </c>
      <c r="D3649" s="9">
        <v>4623.448</v>
      </c>
      <c r="E3649" s="10" t="str">
        <f t="array" ref="E3649">IFS(D3649&lt;=$G$3,'calculated data '!$A$3,D3649&lt;=$G$4,'calculated data '!$A$4,D3649&lt;=$G$6,'calculated data '!$A$5,D3649&gt;=$G$6,'calculated data '!$A$6)</f>
        <v>Target Market (Core IQR)</v>
      </c>
      <c r="F3649" s="10">
        <f t="shared" si="1"/>
        <v>-0.5407899579</v>
      </c>
    </row>
    <row r="3650" ht="14.25" customHeight="1">
      <c r="A3650" s="2" t="s">
        <v>215</v>
      </c>
      <c r="B3650" s="2" t="s">
        <v>216</v>
      </c>
      <c r="C3650" s="2">
        <v>1986.0</v>
      </c>
      <c r="D3650" s="9">
        <v>4627.3115</v>
      </c>
      <c r="E3650" s="10" t="str">
        <f t="array" ref="E3650">IFS(D3650&lt;=$G$3,'calculated data '!$A$3,D3650&lt;=$G$4,'calculated data '!$A$4,D3650&lt;=$G$6,'calculated data '!$A$5,D3650&gt;=$G$6,'calculated data '!$A$6)</f>
        <v>Target Market (Core IQR)</v>
      </c>
      <c r="F3650" s="10">
        <f t="shared" si="1"/>
        <v>-0.540687692</v>
      </c>
    </row>
    <row r="3651" ht="14.25" customHeight="1">
      <c r="A3651" s="2" t="s">
        <v>193</v>
      </c>
      <c r="B3651" s="2" t="s">
        <v>194</v>
      </c>
      <c r="C3651" s="2">
        <v>1997.0</v>
      </c>
      <c r="D3651" s="9">
        <v>4630.02</v>
      </c>
      <c r="E3651" s="10" t="str">
        <f t="array" ref="E3651">IFS(D3651&lt;=$G$3,'calculated data '!$A$3,D3651&lt;=$G$4,'calculated data '!$A$4,D3651&lt;=$G$6,'calculated data '!$A$5,D3651&gt;=$G$6,'calculated data '!$A$6)</f>
        <v>Target Market (Core IQR)</v>
      </c>
      <c r="F3651" s="10">
        <f t="shared" si="1"/>
        <v>-0.5406159987</v>
      </c>
    </row>
    <row r="3652" ht="14.25" customHeight="1">
      <c r="A3652" s="2" t="s">
        <v>255</v>
      </c>
      <c r="B3652" s="2" t="s">
        <v>256</v>
      </c>
      <c r="C3652" s="2">
        <v>2005.0</v>
      </c>
      <c r="D3652" s="9">
        <v>4632.2866</v>
      </c>
      <c r="E3652" s="10" t="str">
        <f t="array" ref="E3652">IFS(D3652&lt;=$G$3,'calculated data '!$A$3,D3652&lt;=$G$4,'calculated data '!$A$4,D3652&lt;=$G$6,'calculated data '!$A$5,D3652&gt;=$G$6,'calculated data '!$A$6)</f>
        <v>Target Market (Core IQR)</v>
      </c>
      <c r="F3652" s="10">
        <f t="shared" si="1"/>
        <v>-0.5405560023</v>
      </c>
    </row>
    <row r="3653" ht="14.25" customHeight="1">
      <c r="A3653" s="2" t="s">
        <v>245</v>
      </c>
      <c r="B3653" s="2" t="s">
        <v>246</v>
      </c>
      <c r="C3653" s="2">
        <v>2019.0</v>
      </c>
      <c r="D3653" s="9">
        <v>4632.589</v>
      </c>
      <c r="E3653" s="10" t="str">
        <f t="array" ref="E3653">IFS(D3653&lt;=$G$3,'calculated data '!$A$3,D3653&lt;=$G$4,'calculated data '!$A$4,D3653&lt;=$G$6,'calculated data '!$A$5,D3653&gt;=$G$6,'calculated data '!$A$6)</f>
        <v>Target Market (Core IQR)</v>
      </c>
      <c r="F3653" s="10">
        <f t="shared" si="1"/>
        <v>-0.5405479979</v>
      </c>
    </row>
    <row r="3654" ht="14.25" customHeight="1">
      <c r="A3654" s="2" t="s">
        <v>151</v>
      </c>
      <c r="B3654" s="2" t="s">
        <v>152</v>
      </c>
      <c r="C3654" s="2">
        <v>2019.0</v>
      </c>
      <c r="D3654" s="9">
        <v>4633.6465</v>
      </c>
      <c r="E3654" s="10" t="str">
        <f t="array" ref="E3654">IFS(D3654&lt;=$G$3,'calculated data '!$A$3,D3654&lt;=$G$4,'calculated data '!$A$4,D3654&lt;=$G$6,'calculated data '!$A$5,D3654&gt;=$G$6,'calculated data '!$A$6)</f>
        <v>Target Market (Core IQR)</v>
      </c>
      <c r="F3654" s="10">
        <f t="shared" si="1"/>
        <v>-0.5405200061</v>
      </c>
    </row>
    <row r="3655" ht="14.25" customHeight="1">
      <c r="A3655" s="2" t="s">
        <v>253</v>
      </c>
      <c r="B3655" s="2" t="s">
        <v>254</v>
      </c>
      <c r="C3655" s="2">
        <v>1998.0</v>
      </c>
      <c r="D3655" s="9">
        <v>4636.6006</v>
      </c>
      <c r="E3655" s="10" t="str">
        <f t="array" ref="E3655">IFS(D3655&lt;=$G$3,'calculated data '!$A$3,D3655&lt;=$G$4,'calculated data '!$A$4,D3655&lt;=$G$6,'calculated data '!$A$5,D3655&gt;=$G$6,'calculated data '!$A$6)</f>
        <v>Target Market (Core IQR)</v>
      </c>
      <c r="F3655" s="10">
        <f t="shared" si="1"/>
        <v>-0.5404418118</v>
      </c>
    </row>
    <row r="3656" ht="14.25" customHeight="1">
      <c r="A3656" s="2" t="s">
        <v>255</v>
      </c>
      <c r="B3656" s="2" t="s">
        <v>256</v>
      </c>
      <c r="C3656" s="2">
        <v>1973.0</v>
      </c>
      <c r="D3656" s="9">
        <v>4636.9946</v>
      </c>
      <c r="E3656" s="10" t="str">
        <f t="array" ref="E3656">IFS(D3656&lt;=$G$3,'calculated data '!$A$3,D3656&lt;=$G$4,'calculated data '!$A$4,D3656&lt;=$G$6,'calculated data '!$A$5,D3656&gt;=$G$6,'calculated data '!$A$6)</f>
        <v>Target Market (Core IQR)</v>
      </c>
      <c r="F3656" s="10">
        <f t="shared" si="1"/>
        <v>-0.5404313827</v>
      </c>
    </row>
    <row r="3657" ht="14.25" customHeight="1">
      <c r="A3657" s="2" t="s">
        <v>163</v>
      </c>
      <c r="B3657" s="2" t="s">
        <v>164</v>
      </c>
      <c r="C3657" s="2">
        <v>1995.0</v>
      </c>
      <c r="D3657" s="9">
        <v>4638.998</v>
      </c>
      <c r="E3657" s="10" t="str">
        <f t="array" ref="E3657">IFS(D3657&lt;=$G$3,'calculated data '!$A$3,D3657&lt;=$G$4,'calculated data '!$A$4,D3657&lt;=$G$6,'calculated data '!$A$5,D3657&gt;=$G$6,'calculated data '!$A$6)</f>
        <v>Target Market (Core IQR)</v>
      </c>
      <c r="F3657" s="10">
        <f t="shared" si="1"/>
        <v>-0.5403783532</v>
      </c>
    </row>
    <row r="3658" ht="14.25" customHeight="1">
      <c r="A3658" s="2" t="s">
        <v>151</v>
      </c>
      <c r="B3658" s="2" t="s">
        <v>152</v>
      </c>
      <c r="C3658" s="2">
        <v>2018.0</v>
      </c>
      <c r="D3658" s="9">
        <v>4640.8735</v>
      </c>
      <c r="E3658" s="10" t="str">
        <f t="array" ref="E3658">IFS(D3658&lt;=$G$3,'calculated data '!$A$3,D3658&lt;=$G$4,'calculated data '!$A$4,D3658&lt;=$G$6,'calculated data '!$A$5,D3658&gt;=$G$6,'calculated data '!$A$6)</f>
        <v>Target Market (Core IQR)</v>
      </c>
      <c r="F3658" s="10">
        <f t="shared" si="1"/>
        <v>-0.5403287092</v>
      </c>
    </row>
    <row r="3659" ht="14.25" customHeight="1">
      <c r="A3659" s="2" t="s">
        <v>267</v>
      </c>
      <c r="B3659" s="2" t="s">
        <v>268</v>
      </c>
      <c r="C3659" s="2">
        <v>1986.0</v>
      </c>
      <c r="D3659" s="9">
        <v>4644.7427</v>
      </c>
      <c r="E3659" s="10" t="str">
        <f t="array" ref="E3659">IFS(D3659&lt;=$G$3,'calculated data '!$A$3,D3659&lt;=$G$4,'calculated data '!$A$4,D3659&lt;=$G$6,'calculated data '!$A$5,D3659&gt;=$G$6,'calculated data '!$A$6)</f>
        <v>Target Market (Core IQR)</v>
      </c>
      <c r="F3659" s="10">
        <f t="shared" si="1"/>
        <v>-0.5402262925</v>
      </c>
    </row>
    <row r="3660" ht="14.25" customHeight="1">
      <c r="A3660" s="2" t="s">
        <v>197</v>
      </c>
      <c r="B3660" s="2" t="s">
        <v>198</v>
      </c>
      <c r="C3660" s="2">
        <v>1981.0</v>
      </c>
      <c r="D3660" s="9">
        <v>4646.2295</v>
      </c>
      <c r="E3660" s="10" t="str">
        <f t="array" ref="E3660">IFS(D3660&lt;=$G$3,'calculated data '!$A$3,D3660&lt;=$G$4,'calculated data '!$A$4,D3660&lt;=$G$6,'calculated data '!$A$5,D3660&gt;=$G$6,'calculated data '!$A$6)</f>
        <v>Target Market (Core IQR)</v>
      </c>
      <c r="F3660" s="10">
        <f t="shared" si="1"/>
        <v>-0.5401869372</v>
      </c>
    </row>
    <row r="3661" ht="14.25" customHeight="1">
      <c r="A3661" s="2" t="s">
        <v>163</v>
      </c>
      <c r="B3661" s="2" t="s">
        <v>164</v>
      </c>
      <c r="C3661" s="2">
        <v>2004.0</v>
      </c>
      <c r="D3661" s="9">
        <v>4646.535</v>
      </c>
      <c r="E3661" s="10" t="str">
        <f t="array" ref="E3661">IFS(D3661&lt;=$G$3,'calculated data '!$A$3,D3661&lt;=$G$4,'calculated data '!$A$4,D3661&lt;=$G$6,'calculated data '!$A$5,D3661&gt;=$G$6,'calculated data '!$A$6)</f>
        <v>Target Market (Core IQR)</v>
      </c>
      <c r="F3661" s="10">
        <f t="shared" si="1"/>
        <v>-0.5401788507</v>
      </c>
    </row>
    <row r="3662" ht="14.25" customHeight="1">
      <c r="A3662" s="2" t="s">
        <v>211</v>
      </c>
      <c r="B3662" s="2" t="s">
        <v>212</v>
      </c>
      <c r="C3662" s="2">
        <v>2008.0</v>
      </c>
      <c r="D3662" s="9">
        <v>4646.6665</v>
      </c>
      <c r="E3662" s="10" t="str">
        <f t="array" ref="E3662">IFS(D3662&lt;=$G$3,'calculated data '!$A$3,D3662&lt;=$G$4,'calculated data '!$A$4,D3662&lt;=$G$6,'calculated data '!$A$5,D3662&gt;=$G$6,'calculated data '!$A$6)</f>
        <v>Target Market (Core IQR)</v>
      </c>
      <c r="F3662" s="10">
        <f t="shared" si="1"/>
        <v>-0.54017537</v>
      </c>
    </row>
    <row r="3663" ht="14.25" customHeight="1">
      <c r="A3663" s="2" t="s">
        <v>261</v>
      </c>
      <c r="B3663" s="2" t="s">
        <v>262</v>
      </c>
      <c r="C3663" s="2">
        <v>1983.0</v>
      </c>
      <c r="D3663" s="9">
        <v>4656.814</v>
      </c>
      <c r="E3663" s="10" t="str">
        <f t="array" ref="E3663">IFS(D3663&lt;=$G$3,'calculated data '!$A$3,D3663&lt;=$G$4,'calculated data '!$A$4,D3663&lt;=$G$6,'calculated data '!$A$5,D3663&gt;=$G$6,'calculated data '!$A$6)</f>
        <v>Target Market (Core IQR)</v>
      </c>
      <c r="F3663" s="10">
        <f t="shared" si="1"/>
        <v>-0.5399067682</v>
      </c>
    </row>
    <row r="3664" ht="14.25" customHeight="1">
      <c r="A3664" s="2" t="s">
        <v>245</v>
      </c>
      <c r="B3664" s="2" t="s">
        <v>246</v>
      </c>
      <c r="C3664" s="2">
        <v>2021.0</v>
      </c>
      <c r="D3664" s="9">
        <v>4666.238</v>
      </c>
      <c r="E3664" s="10" t="str">
        <f t="array" ref="E3664">IFS(D3664&lt;=$G$3,'calculated data '!$A$3,D3664&lt;=$G$4,'calculated data '!$A$4,D3664&lt;=$G$6,'calculated data '!$A$5,D3664&gt;=$G$6,'calculated data '!$A$6)</f>
        <v>Target Market (Core IQR)</v>
      </c>
      <c r="F3664" s="10">
        <f t="shared" si="1"/>
        <v>-0.5396573172</v>
      </c>
    </row>
    <row r="3665" ht="14.25" customHeight="1">
      <c r="A3665" s="2" t="s">
        <v>201</v>
      </c>
      <c r="B3665" s="2" t="s">
        <v>202</v>
      </c>
      <c r="C3665" s="2">
        <v>1991.0</v>
      </c>
      <c r="D3665" s="9">
        <v>4666.435</v>
      </c>
      <c r="E3665" s="10" t="str">
        <f t="array" ref="E3665">IFS(D3665&lt;=$G$3,'calculated data '!$A$3,D3665&lt;=$G$4,'calculated data '!$A$4,D3665&lt;=$G$6,'calculated data '!$A$5,D3665&gt;=$G$6,'calculated data '!$A$6)</f>
        <v>Target Market (Core IQR)</v>
      </c>
      <c r="F3665" s="10">
        <f t="shared" si="1"/>
        <v>-0.5396521027</v>
      </c>
    </row>
    <row r="3666" ht="14.25" customHeight="1">
      <c r="A3666" s="2" t="s">
        <v>193</v>
      </c>
      <c r="B3666" s="2" t="s">
        <v>194</v>
      </c>
      <c r="C3666" s="2">
        <v>1998.0</v>
      </c>
      <c r="D3666" s="9">
        <v>4670.7305</v>
      </c>
      <c r="E3666" s="10" t="str">
        <f t="array" ref="E3666">IFS(D3666&lt;=$G$3,'calculated data '!$A$3,D3666&lt;=$G$4,'calculated data '!$A$4,D3666&lt;=$G$6,'calculated data '!$A$5,D3666&gt;=$G$6,'calculated data '!$A$6)</f>
        <v>Target Market (Core IQR)</v>
      </c>
      <c r="F3666" s="10">
        <f t="shared" si="1"/>
        <v>-0.5395384019</v>
      </c>
    </row>
    <row r="3667" ht="14.25" customHeight="1">
      <c r="A3667" s="2" t="s">
        <v>259</v>
      </c>
      <c r="B3667" s="2" t="s">
        <v>260</v>
      </c>
      <c r="C3667" s="2">
        <v>1981.0</v>
      </c>
      <c r="D3667" s="9">
        <v>4671.701</v>
      </c>
      <c r="E3667" s="10" t="str">
        <f t="array" ref="E3667">IFS(D3667&lt;=$G$3,'calculated data '!$A$3,D3667&lt;=$G$4,'calculated data '!$A$4,D3667&lt;=$G$6,'calculated data '!$A$5,D3667&gt;=$G$6,'calculated data '!$A$6)</f>
        <v>Target Market (Core IQR)</v>
      </c>
      <c r="F3667" s="10">
        <f t="shared" si="1"/>
        <v>-0.539512713</v>
      </c>
    </row>
    <row r="3668" ht="14.25" customHeight="1">
      <c r="A3668" s="2" t="s">
        <v>229</v>
      </c>
      <c r="B3668" s="2" t="s">
        <v>230</v>
      </c>
      <c r="C3668" s="2">
        <v>1975.0</v>
      </c>
      <c r="D3668" s="9">
        <v>4678.907</v>
      </c>
      <c r="E3668" s="10" t="str">
        <f t="array" ref="E3668">IFS(D3668&lt;=$G$3,'calculated data '!$A$3,D3668&lt;=$G$4,'calculated data '!$A$4,D3668&lt;=$G$6,'calculated data '!$A$5,D3668&gt;=$G$6,'calculated data '!$A$6)</f>
        <v>Target Market (Core IQR)</v>
      </c>
      <c r="F3668" s="10">
        <f t="shared" si="1"/>
        <v>-0.5393219719</v>
      </c>
    </row>
    <row r="3669" ht="14.25" customHeight="1">
      <c r="A3669" s="2" t="s">
        <v>189</v>
      </c>
      <c r="B3669" s="2" t="s">
        <v>190</v>
      </c>
      <c r="C3669" s="2">
        <v>2015.0</v>
      </c>
      <c r="D3669" s="9">
        <v>4682.7437</v>
      </c>
      <c r="E3669" s="10" t="str">
        <f t="array" ref="E3669">IFS(D3669&lt;=$G$3,'calculated data '!$A$3,D3669&lt;=$G$4,'calculated data '!$A$4,D3669&lt;=$G$6,'calculated data '!$A$5,D3669&gt;=$G$6,'calculated data '!$A$6)</f>
        <v>Target Market (Core IQR)</v>
      </c>
      <c r="F3669" s="10">
        <f t="shared" si="1"/>
        <v>-0.5392204155</v>
      </c>
    </row>
    <row r="3670" ht="14.25" customHeight="1">
      <c r="A3670" s="2" t="s">
        <v>163</v>
      </c>
      <c r="B3670" s="2" t="s">
        <v>164</v>
      </c>
      <c r="C3670" s="2">
        <v>2007.0</v>
      </c>
      <c r="D3670" s="9">
        <v>4691.0767</v>
      </c>
      <c r="E3670" s="10" t="str">
        <f t="array" ref="E3670">IFS(D3670&lt;=$G$3,'calculated data '!$A$3,D3670&lt;=$G$4,'calculated data '!$A$4,D3670&lt;=$G$6,'calculated data '!$A$5,D3670&gt;=$G$6,'calculated data '!$A$6)</f>
        <v>Target Market (Core IQR)</v>
      </c>
      <c r="F3670" s="10">
        <f t="shared" si="1"/>
        <v>-0.538999843</v>
      </c>
    </row>
    <row r="3671" ht="14.25" customHeight="1">
      <c r="A3671" s="2" t="s">
        <v>41</v>
      </c>
      <c r="B3671" s="2" t="s">
        <v>42</v>
      </c>
      <c r="C3671" s="2">
        <v>2000.0</v>
      </c>
      <c r="D3671" s="9">
        <v>4693.6655</v>
      </c>
      <c r="E3671" s="10" t="str">
        <f t="array" ref="E3671">IFS(D3671&lt;=$G$3,'calculated data '!$A$3,D3671&lt;=$G$4,'calculated data '!$A$4,D3671&lt;=$G$6,'calculated data '!$A$5,D3671&gt;=$G$6,'calculated data '!$A$6)</f>
        <v>Target Market (Core IQR)</v>
      </c>
      <c r="F3671" s="10">
        <f t="shared" si="1"/>
        <v>-0.5389313181</v>
      </c>
    </row>
    <row r="3672" ht="14.25" customHeight="1">
      <c r="A3672" s="2" t="s">
        <v>239</v>
      </c>
      <c r="B3672" s="2" t="s">
        <v>240</v>
      </c>
      <c r="C3672" s="2">
        <v>2013.0</v>
      </c>
      <c r="D3672" s="9">
        <v>4697.8066</v>
      </c>
      <c r="E3672" s="10" t="str">
        <f t="array" ref="E3672">IFS(D3672&lt;=$G$3,'calculated data '!$A$3,D3672&lt;=$G$4,'calculated data '!$A$4,D3672&lt;=$G$6,'calculated data '!$A$5,D3672&gt;=$G$6,'calculated data '!$A$6)</f>
        <v>Target Market (Core IQR)</v>
      </c>
      <c r="F3672" s="10">
        <f t="shared" si="1"/>
        <v>-0.5388217042</v>
      </c>
    </row>
    <row r="3673" ht="14.25" customHeight="1">
      <c r="A3673" s="2" t="s">
        <v>193</v>
      </c>
      <c r="B3673" s="2" t="s">
        <v>194</v>
      </c>
      <c r="C3673" s="2">
        <v>1999.0</v>
      </c>
      <c r="D3673" s="9">
        <v>4703.767</v>
      </c>
      <c r="E3673" s="10" t="str">
        <f t="array" ref="E3673">IFS(D3673&lt;=$G$3,'calculated data '!$A$3,D3673&lt;=$G$4,'calculated data '!$A$4,D3673&lt;=$G$6,'calculated data '!$A$5,D3673&gt;=$G$6,'calculated data '!$A$6)</f>
        <v>Target Market (Core IQR)</v>
      </c>
      <c r="F3673" s="10">
        <f t="shared" si="1"/>
        <v>-0.5386639339</v>
      </c>
    </row>
    <row r="3674" ht="14.25" customHeight="1">
      <c r="A3674" s="2" t="s">
        <v>165</v>
      </c>
      <c r="B3674" s="2" t="s">
        <v>166</v>
      </c>
      <c r="C3674" s="2">
        <v>2009.0</v>
      </c>
      <c r="D3674" s="9">
        <v>4710.338</v>
      </c>
      <c r="E3674" s="10" t="str">
        <f t="array" ref="E3674">IFS(D3674&lt;=$G$3,'calculated data '!$A$3,D3674&lt;=$G$4,'calculated data '!$A$4,D3674&lt;=$G$6,'calculated data '!$A$5,D3674&gt;=$G$6,'calculated data '!$A$6)</f>
        <v>Target Market (Core IQR)</v>
      </c>
      <c r="F3674" s="10">
        <f t="shared" si="1"/>
        <v>-0.5384900012</v>
      </c>
    </row>
    <row r="3675" ht="14.25" customHeight="1">
      <c r="A3675" s="2" t="s">
        <v>193</v>
      </c>
      <c r="B3675" s="2" t="s">
        <v>194</v>
      </c>
      <c r="C3675" s="2">
        <v>2000.0</v>
      </c>
      <c r="D3675" s="9">
        <v>4718.639</v>
      </c>
      <c r="E3675" s="10" t="str">
        <f t="array" ref="E3675">IFS(D3675&lt;=$G$3,'calculated data '!$A$3,D3675&lt;=$G$4,'calculated data '!$A$4,D3675&lt;=$G$6,'calculated data '!$A$5,D3675&gt;=$G$6,'calculated data '!$A$6)</f>
        <v>Target Market (Core IQR)</v>
      </c>
      <c r="F3675" s="10">
        <f t="shared" si="1"/>
        <v>-0.5382702758</v>
      </c>
    </row>
    <row r="3676" ht="14.25" customHeight="1">
      <c r="A3676" s="2" t="s">
        <v>269</v>
      </c>
      <c r="B3676" s="2" t="s">
        <v>270</v>
      </c>
      <c r="C3676" s="2">
        <v>2024.0</v>
      </c>
      <c r="D3676" s="9">
        <v>4726.4663</v>
      </c>
      <c r="E3676" s="10" t="str">
        <f t="array" ref="E3676">IFS(D3676&lt;=$G$3,'calculated data '!$A$3,D3676&lt;=$G$4,'calculated data '!$A$4,D3676&lt;=$G$6,'calculated data '!$A$5,D3676&gt;=$G$6,'calculated data '!$A$6)</f>
        <v>Target Market (Core IQR)</v>
      </c>
      <c r="F3676" s="10">
        <f t="shared" si="1"/>
        <v>-0.5380630891</v>
      </c>
    </row>
    <row r="3677" ht="14.25" customHeight="1">
      <c r="A3677" s="2" t="s">
        <v>271</v>
      </c>
      <c r="B3677" s="2" t="s">
        <v>272</v>
      </c>
      <c r="C3677" s="2">
        <v>1965.0</v>
      </c>
      <c r="D3677" s="9">
        <v>4726.4937</v>
      </c>
      <c r="E3677" s="10" t="str">
        <f t="array" ref="E3677">IFS(D3677&lt;=$G$3,'calculated data '!$A$3,D3677&lt;=$G$4,'calculated data '!$A$4,D3677&lt;=$G$6,'calculated data '!$A$5,D3677&gt;=$G$6,'calculated data '!$A$6)</f>
        <v>Target Market (Core IQR)</v>
      </c>
      <c r="F3677" s="10">
        <f t="shared" si="1"/>
        <v>-0.5380623638</v>
      </c>
    </row>
    <row r="3678" ht="14.25" customHeight="1">
      <c r="A3678" s="2" t="s">
        <v>151</v>
      </c>
      <c r="B3678" s="2" t="s">
        <v>152</v>
      </c>
      <c r="C3678" s="2">
        <v>2022.0</v>
      </c>
      <c r="D3678" s="9">
        <v>4727.0215</v>
      </c>
      <c r="E3678" s="10" t="str">
        <f t="array" ref="E3678">IFS(D3678&lt;=$G$3,'calculated data '!$A$3,D3678&lt;=$G$4,'calculated data '!$A$4,D3678&lt;=$G$6,'calculated data '!$A$5,D3678&gt;=$G$6,'calculated data '!$A$6)</f>
        <v>Target Market (Core IQR)</v>
      </c>
      <c r="F3678" s="10">
        <f t="shared" si="1"/>
        <v>-0.5380483931</v>
      </c>
    </row>
    <row r="3679" ht="14.25" customHeight="1">
      <c r="A3679" s="2" t="s">
        <v>235</v>
      </c>
      <c r="B3679" s="2" t="s">
        <v>236</v>
      </c>
      <c r="C3679" s="2">
        <v>2000.0</v>
      </c>
      <c r="D3679" s="9">
        <v>4728.524</v>
      </c>
      <c r="E3679" s="10" t="str">
        <f t="array" ref="E3679">IFS(D3679&lt;=$G$3,'calculated data '!$A$3,D3679&lt;=$G$4,'calculated data '!$A$4,D3679&lt;=$G$6,'calculated data '!$A$5,D3679&gt;=$G$6,'calculated data '!$A$6)</f>
        <v>Target Market (Core IQR)</v>
      </c>
      <c r="F3679" s="10">
        <f t="shared" si="1"/>
        <v>-0.5380086223</v>
      </c>
    </row>
    <row r="3680" ht="14.25" customHeight="1">
      <c r="A3680" s="2" t="s">
        <v>185</v>
      </c>
      <c r="B3680" s="2" t="s">
        <v>186</v>
      </c>
      <c r="C3680" s="2">
        <v>1994.0</v>
      </c>
      <c r="D3680" s="9">
        <v>4731.3857</v>
      </c>
      <c r="E3680" s="10" t="str">
        <f t="array" ref="E3680">IFS(D3680&lt;=$G$3,'calculated data '!$A$3,D3680&lt;=$G$4,'calculated data '!$A$4,D3680&lt;=$G$6,'calculated data '!$A$5,D3680&gt;=$G$6,'calculated data '!$A$6)</f>
        <v>Target Market (Core IQR)</v>
      </c>
      <c r="F3680" s="10">
        <f t="shared" si="1"/>
        <v>-0.5379328738</v>
      </c>
    </row>
    <row r="3681" ht="14.25" customHeight="1">
      <c r="A3681" s="2" t="s">
        <v>223</v>
      </c>
      <c r="B3681" s="2" t="s">
        <v>224</v>
      </c>
      <c r="C3681" s="2">
        <v>2000.0</v>
      </c>
      <c r="D3681" s="9">
        <v>4732.4062</v>
      </c>
      <c r="E3681" s="10" t="str">
        <f t="array" ref="E3681">IFS(D3681&lt;=$G$3,'calculated data '!$A$3,D3681&lt;=$G$4,'calculated data '!$A$4,D3681&lt;=$G$6,'calculated data '!$A$5,D3681&gt;=$G$6,'calculated data '!$A$6)</f>
        <v>Target Market (Core IQR)</v>
      </c>
      <c r="F3681" s="10">
        <f t="shared" si="1"/>
        <v>-0.5379058614</v>
      </c>
    </row>
    <row r="3682" ht="14.25" customHeight="1">
      <c r="A3682" s="2" t="s">
        <v>185</v>
      </c>
      <c r="B3682" s="2" t="s">
        <v>186</v>
      </c>
      <c r="C3682" s="2">
        <v>1996.0</v>
      </c>
      <c r="D3682" s="9">
        <v>4733.1055</v>
      </c>
      <c r="E3682" s="10" t="str">
        <f t="array" ref="E3682">IFS(D3682&lt;=$G$3,'calculated data '!$A$3,D3682&lt;=$G$4,'calculated data '!$A$4,D3682&lt;=$G$6,'calculated data '!$A$5,D3682&gt;=$G$6,'calculated data '!$A$6)</f>
        <v>Target Market (Core IQR)</v>
      </c>
      <c r="F3682" s="10">
        <f t="shared" si="1"/>
        <v>-0.5378873511</v>
      </c>
    </row>
    <row r="3683" ht="14.25" customHeight="1">
      <c r="A3683" s="2" t="s">
        <v>215</v>
      </c>
      <c r="B3683" s="2" t="s">
        <v>216</v>
      </c>
      <c r="C3683" s="2">
        <v>1980.0</v>
      </c>
      <c r="D3683" s="9">
        <v>4736.8037</v>
      </c>
      <c r="E3683" s="10" t="str">
        <f t="array" ref="E3683">IFS(D3683&lt;=$G$3,'calculated data '!$A$3,D3683&lt;=$G$4,'calculated data '!$A$4,D3683&lt;=$G$6,'calculated data '!$A$5,D3683&gt;=$G$6,'calculated data '!$A$6)</f>
        <v>Target Market (Core IQR)</v>
      </c>
      <c r="F3683" s="10">
        <f t="shared" si="1"/>
        <v>-0.5377894607</v>
      </c>
    </row>
    <row r="3684" ht="14.25" customHeight="1">
      <c r="A3684" s="2" t="s">
        <v>251</v>
      </c>
      <c r="B3684" s="2" t="s">
        <v>252</v>
      </c>
      <c r="C3684" s="2">
        <v>1992.0</v>
      </c>
      <c r="D3684" s="9">
        <v>4745.2954</v>
      </c>
      <c r="E3684" s="10" t="str">
        <f t="array" ref="E3684">IFS(D3684&lt;=$G$3,'calculated data '!$A$3,D3684&lt;=$G$4,'calculated data '!$A$4,D3684&lt;=$G$6,'calculated data '!$A$5,D3684&gt;=$G$6,'calculated data '!$A$6)</f>
        <v>Target Market (Core IQR)</v>
      </c>
      <c r="F3684" s="10">
        <f t="shared" si="1"/>
        <v>-0.5375646875</v>
      </c>
    </row>
    <row r="3685" ht="14.25" customHeight="1">
      <c r="A3685" s="2" t="s">
        <v>245</v>
      </c>
      <c r="B3685" s="2" t="s">
        <v>246</v>
      </c>
      <c r="C3685" s="2">
        <v>2020.0</v>
      </c>
      <c r="D3685" s="9">
        <v>4753.302</v>
      </c>
      <c r="E3685" s="10" t="str">
        <f t="array" ref="E3685">IFS(D3685&lt;=$G$3,'calculated data '!$A$3,D3685&lt;=$G$4,'calculated data '!$A$4,D3685&lt;=$G$6,'calculated data '!$A$5,D3685&gt;=$G$6,'calculated data '!$A$6)</f>
        <v>Target Market (Core IQR)</v>
      </c>
      <c r="F3685" s="10">
        <f t="shared" si="1"/>
        <v>-0.5373527548</v>
      </c>
    </row>
    <row r="3686" ht="14.25" customHeight="1">
      <c r="A3686" s="2" t="s">
        <v>197</v>
      </c>
      <c r="B3686" s="2" t="s">
        <v>198</v>
      </c>
      <c r="C3686" s="2">
        <v>1978.0</v>
      </c>
      <c r="D3686" s="9">
        <v>4755.9326</v>
      </c>
      <c r="E3686" s="10" t="str">
        <f t="array" ref="E3686">IFS(D3686&lt;=$G$3,'calculated data '!$A$3,D3686&lt;=$G$4,'calculated data '!$A$4,D3686&lt;=$G$6,'calculated data '!$A$5,D3686&gt;=$G$6,'calculated data '!$A$6)</f>
        <v>Target Market (Core IQR)</v>
      </c>
      <c r="F3686" s="10">
        <f t="shared" si="1"/>
        <v>-0.5372831235</v>
      </c>
    </row>
    <row r="3687" ht="14.25" customHeight="1">
      <c r="A3687" s="2" t="s">
        <v>183</v>
      </c>
      <c r="B3687" s="2" t="s">
        <v>184</v>
      </c>
      <c r="C3687" s="2">
        <v>1978.0</v>
      </c>
      <c r="D3687" s="9">
        <v>4757.27</v>
      </c>
      <c r="E3687" s="10" t="str">
        <f t="array" ref="E3687">IFS(D3687&lt;=$G$3,'calculated data '!$A$3,D3687&lt;=$G$4,'calculated data '!$A$4,D3687&lt;=$G$6,'calculated data '!$A$5,D3687&gt;=$G$6,'calculated data '!$A$6)</f>
        <v>Target Market (Core IQR)</v>
      </c>
      <c r="F3687" s="10">
        <f t="shared" si="1"/>
        <v>-0.5372477229</v>
      </c>
    </row>
    <row r="3688" ht="14.25" customHeight="1">
      <c r="A3688" s="2" t="s">
        <v>129</v>
      </c>
      <c r="B3688" s="2" t="s">
        <v>130</v>
      </c>
      <c r="C3688" s="2">
        <v>1998.0</v>
      </c>
      <c r="D3688" s="9">
        <v>4760.158</v>
      </c>
      <c r="E3688" s="10" t="str">
        <f t="array" ref="E3688">IFS(D3688&lt;=$G$3,'calculated data '!$A$3,D3688&lt;=$G$4,'calculated data '!$A$4,D3688&lt;=$G$6,'calculated data '!$A$5,D3688&gt;=$G$6,'calculated data '!$A$6)</f>
        <v>Target Market (Core IQR)</v>
      </c>
      <c r="F3688" s="10">
        <f t="shared" si="1"/>
        <v>-0.5371712782</v>
      </c>
    </row>
    <row r="3689" ht="14.25" customHeight="1">
      <c r="A3689" s="2" t="s">
        <v>189</v>
      </c>
      <c r="B3689" s="2" t="s">
        <v>190</v>
      </c>
      <c r="C3689" s="2">
        <v>2019.0</v>
      </c>
      <c r="D3689" s="9">
        <v>4765.927</v>
      </c>
      <c r="E3689" s="10" t="str">
        <f t="array" ref="E3689">IFS(D3689&lt;=$G$3,'calculated data '!$A$3,D3689&lt;=$G$4,'calculated data '!$A$4,D3689&lt;=$G$6,'calculated data '!$A$5,D3689&gt;=$G$6,'calculated data '!$A$6)</f>
        <v>Target Market (Core IQR)</v>
      </c>
      <c r="F3689" s="10">
        <f t="shared" si="1"/>
        <v>-0.5370185742</v>
      </c>
    </row>
    <row r="3690" ht="14.25" customHeight="1">
      <c r="A3690" s="2" t="s">
        <v>197</v>
      </c>
      <c r="B3690" s="2" t="s">
        <v>198</v>
      </c>
      <c r="C3690" s="2">
        <v>1982.0</v>
      </c>
      <c r="D3690" s="9">
        <v>4766.4756</v>
      </c>
      <c r="E3690" s="10" t="str">
        <f t="array" ref="E3690">IFS(D3690&lt;=$G$3,'calculated data '!$A$3,D3690&lt;=$G$4,'calculated data '!$A$4,D3690&lt;=$G$6,'calculated data '!$A$5,D3690&gt;=$G$6,'calculated data '!$A$6)</f>
        <v>Target Market (Core IQR)</v>
      </c>
      <c r="F3690" s="10">
        <f t="shared" si="1"/>
        <v>-0.5370040529</v>
      </c>
    </row>
    <row r="3691" ht="14.25" customHeight="1">
      <c r="A3691" s="2" t="s">
        <v>273</v>
      </c>
      <c r="B3691" s="2" t="s">
        <v>274</v>
      </c>
      <c r="C3691" s="2">
        <v>2015.0</v>
      </c>
      <c r="D3691" s="9">
        <v>4766.5405</v>
      </c>
      <c r="E3691" s="10" t="str">
        <f t="array" ref="E3691">IFS(D3691&lt;=$G$3,'calculated data '!$A$3,D3691&lt;=$G$4,'calculated data '!$A$4,D3691&lt;=$G$6,'calculated data '!$A$5,D3691&gt;=$G$6,'calculated data '!$A$6)</f>
        <v>Target Market (Core IQR)</v>
      </c>
      <c r="F3691" s="10">
        <f t="shared" si="1"/>
        <v>-0.537002335</v>
      </c>
    </row>
    <row r="3692" ht="14.25" customHeight="1">
      <c r="A3692" s="2" t="s">
        <v>215</v>
      </c>
      <c r="B3692" s="2" t="s">
        <v>216</v>
      </c>
      <c r="C3692" s="2">
        <v>1999.0</v>
      </c>
      <c r="D3692" s="9">
        <v>4769.782</v>
      </c>
      <c r="E3692" s="10" t="str">
        <f t="array" ref="E3692">IFS(D3692&lt;=$G$3,'calculated data '!$A$3,D3692&lt;=$G$4,'calculated data '!$A$4,D3692&lt;=$G$6,'calculated data '!$A$5,D3692&gt;=$G$6,'calculated data '!$A$6)</f>
        <v>Target Market (Core IQR)</v>
      </c>
      <c r="F3692" s="10">
        <f t="shared" si="1"/>
        <v>-0.5369165333</v>
      </c>
    </row>
    <row r="3693" ht="14.25" customHeight="1">
      <c r="A3693" s="2" t="s">
        <v>141</v>
      </c>
      <c r="B3693" s="2" t="s">
        <v>142</v>
      </c>
      <c r="C3693" s="2">
        <v>1988.0</v>
      </c>
      <c r="D3693" s="9">
        <v>4773.048</v>
      </c>
      <c r="E3693" s="10" t="str">
        <f t="array" ref="E3693">IFS(D3693&lt;=$G$3,'calculated data '!$A$3,D3693&lt;=$G$4,'calculated data '!$A$4,D3693&lt;=$G$6,'calculated data '!$A$5,D3693&gt;=$G$6,'calculated data '!$A$6)</f>
        <v>Target Market (Core IQR)</v>
      </c>
      <c r="F3693" s="10">
        <f t="shared" si="1"/>
        <v>-0.5368300831</v>
      </c>
    </row>
    <row r="3694" ht="14.25" customHeight="1">
      <c r="A3694" s="2" t="s">
        <v>233</v>
      </c>
      <c r="B3694" s="2" t="s">
        <v>234</v>
      </c>
      <c r="C3694" s="2">
        <v>1972.0</v>
      </c>
      <c r="D3694" s="9">
        <v>4775.7393</v>
      </c>
      <c r="E3694" s="10" t="str">
        <f t="array" ref="E3694">IFS(D3694&lt;=$G$3,'calculated data '!$A$3,D3694&lt;=$G$4,'calculated data '!$A$4,D3694&lt;=$G$6,'calculated data '!$A$5,D3694&gt;=$G$6,'calculated data '!$A$6)</f>
        <v>Target Market (Core IQR)</v>
      </c>
      <c r="F3694" s="10">
        <f t="shared" si="1"/>
        <v>-0.5367588451</v>
      </c>
    </row>
    <row r="3695" ht="14.25" customHeight="1">
      <c r="A3695" s="2" t="s">
        <v>201</v>
      </c>
      <c r="B3695" s="2" t="s">
        <v>202</v>
      </c>
      <c r="C3695" s="2">
        <v>1988.0</v>
      </c>
      <c r="D3695" s="9">
        <v>4775.8374</v>
      </c>
      <c r="E3695" s="10" t="str">
        <f t="array" ref="E3695">IFS(D3695&lt;=$G$3,'calculated data '!$A$3,D3695&lt;=$G$4,'calculated data '!$A$4,D3695&lt;=$G$6,'calculated data '!$A$5,D3695&gt;=$G$6,'calculated data '!$A$6)</f>
        <v>Target Market (Core IQR)</v>
      </c>
      <c r="F3695" s="10">
        <f t="shared" si="1"/>
        <v>-0.5367562484</v>
      </c>
    </row>
    <row r="3696" ht="14.25" customHeight="1">
      <c r="A3696" s="2" t="s">
        <v>255</v>
      </c>
      <c r="B3696" s="2" t="s">
        <v>256</v>
      </c>
      <c r="C3696" s="2">
        <v>1969.0</v>
      </c>
      <c r="D3696" s="9">
        <v>4776.9985</v>
      </c>
      <c r="E3696" s="10" t="str">
        <f t="array" ref="E3696">IFS(D3696&lt;=$G$3,'calculated data '!$A$3,D3696&lt;=$G$4,'calculated data '!$A$4,D3696&lt;=$G$6,'calculated data '!$A$5,D3696&gt;=$G$6,'calculated data '!$A$6)</f>
        <v>Target Market (Core IQR)</v>
      </c>
      <c r="F3696" s="10">
        <f t="shared" si="1"/>
        <v>-0.5367255144</v>
      </c>
    </row>
    <row r="3697" ht="14.25" customHeight="1">
      <c r="A3697" s="2" t="s">
        <v>261</v>
      </c>
      <c r="B3697" s="2" t="s">
        <v>262</v>
      </c>
      <c r="C3697" s="2">
        <v>1990.0</v>
      </c>
      <c r="D3697" s="9">
        <v>4780.3857</v>
      </c>
      <c r="E3697" s="10" t="str">
        <f t="array" ref="E3697">IFS(D3697&lt;=$G$3,'calculated data '!$A$3,D3697&lt;=$G$4,'calculated data '!$A$4,D3697&lt;=$G$6,'calculated data '!$A$5,D3697&gt;=$G$6,'calculated data '!$A$6)</f>
        <v>Target Market (Core IQR)</v>
      </c>
      <c r="F3697" s="10">
        <f t="shared" si="1"/>
        <v>-0.536635856</v>
      </c>
    </row>
    <row r="3698" ht="14.25" customHeight="1">
      <c r="A3698" s="2" t="s">
        <v>133</v>
      </c>
      <c r="B3698" s="2" t="s">
        <v>134</v>
      </c>
      <c r="C3698" s="2">
        <v>2009.0</v>
      </c>
      <c r="D3698" s="9">
        <v>4788.0347</v>
      </c>
      <c r="E3698" s="10" t="str">
        <f t="array" ref="E3698">IFS(D3698&lt;=$G$3,'calculated data '!$A$3,D3698&lt;=$G$4,'calculated data '!$A$4,D3698&lt;=$G$6,'calculated data '!$A$5,D3698&gt;=$G$6,'calculated data '!$A$6)</f>
        <v>Target Market (Core IQR)</v>
      </c>
      <c r="F3698" s="10">
        <f t="shared" si="1"/>
        <v>-0.5364333889</v>
      </c>
    </row>
    <row r="3699" ht="14.25" customHeight="1">
      <c r="A3699" s="2" t="s">
        <v>215</v>
      </c>
      <c r="B3699" s="2" t="s">
        <v>216</v>
      </c>
      <c r="C3699" s="2">
        <v>1993.0</v>
      </c>
      <c r="D3699" s="9">
        <v>4788.2944</v>
      </c>
      <c r="E3699" s="10" t="str">
        <f t="array" ref="E3699">IFS(D3699&lt;=$G$3,'calculated data '!$A$3,D3699&lt;=$G$4,'calculated data '!$A$4,D3699&lt;=$G$6,'calculated data '!$A$5,D3699&gt;=$G$6,'calculated data '!$A$6)</f>
        <v>Target Market (Core IQR)</v>
      </c>
      <c r="F3699" s="10">
        <f t="shared" si="1"/>
        <v>-0.5364265147</v>
      </c>
    </row>
    <row r="3700" ht="14.25" customHeight="1">
      <c r="A3700" s="2" t="s">
        <v>247</v>
      </c>
      <c r="B3700" s="2" t="s">
        <v>248</v>
      </c>
      <c r="C3700" s="2">
        <v>1986.0</v>
      </c>
      <c r="D3700" s="9">
        <v>4789.334</v>
      </c>
      <c r="E3700" s="10" t="str">
        <f t="array" ref="E3700">IFS(D3700&lt;=$G$3,'calculated data '!$A$3,D3700&lt;=$G$4,'calculated data '!$A$4,D3700&lt;=$G$6,'calculated data '!$A$5,D3700&gt;=$G$6,'calculated data '!$A$6)</f>
        <v>Target Market (Core IQR)</v>
      </c>
      <c r="F3700" s="10">
        <f t="shared" si="1"/>
        <v>-0.5363989968</v>
      </c>
    </row>
    <row r="3701" ht="14.25" customHeight="1">
      <c r="A3701" s="2" t="s">
        <v>197</v>
      </c>
      <c r="B3701" s="2" t="s">
        <v>198</v>
      </c>
      <c r="C3701" s="2">
        <v>1980.0</v>
      </c>
      <c r="D3701" s="9">
        <v>4794.315</v>
      </c>
      <c r="E3701" s="10" t="str">
        <f t="array" ref="E3701">IFS(D3701&lt;=$G$3,'calculated data '!$A$3,D3701&lt;=$G$4,'calculated data '!$A$4,D3701&lt;=$G$6,'calculated data '!$A$5,D3701&gt;=$G$6,'calculated data '!$A$6)</f>
        <v>Target Market (Core IQR)</v>
      </c>
      <c r="F3701" s="10">
        <f t="shared" si="1"/>
        <v>-0.5362671509</v>
      </c>
    </row>
    <row r="3702" ht="14.25" customHeight="1">
      <c r="A3702" s="2" t="s">
        <v>145</v>
      </c>
      <c r="B3702" s="2" t="s">
        <v>146</v>
      </c>
      <c r="C3702" s="2">
        <v>2012.0</v>
      </c>
      <c r="D3702" s="9">
        <v>4794.468</v>
      </c>
      <c r="E3702" s="10" t="str">
        <f t="array" ref="E3702">IFS(D3702&lt;=$G$3,'calculated data '!$A$3,D3702&lt;=$G$4,'calculated data '!$A$4,D3702&lt;=$G$6,'calculated data '!$A$5,D3702&gt;=$G$6,'calculated data '!$A$6)</f>
        <v>Target Market (Core IQR)</v>
      </c>
      <c r="F3702" s="10">
        <f t="shared" si="1"/>
        <v>-0.5362631011</v>
      </c>
    </row>
    <row r="3703" ht="14.25" customHeight="1">
      <c r="A3703" s="2" t="s">
        <v>239</v>
      </c>
      <c r="B3703" s="2" t="s">
        <v>240</v>
      </c>
      <c r="C3703" s="2">
        <v>1998.0</v>
      </c>
      <c r="D3703" s="9">
        <v>4801.6963</v>
      </c>
      <c r="E3703" s="10" t="str">
        <f t="array" ref="E3703">IFS(D3703&lt;=$G$3,'calculated data '!$A$3,D3703&lt;=$G$4,'calculated data '!$A$4,D3703&lt;=$G$6,'calculated data '!$A$5,D3703&gt;=$G$6,'calculated data '!$A$6)</f>
        <v>Target Market (Core IQR)</v>
      </c>
      <c r="F3703" s="10">
        <f t="shared" si="1"/>
        <v>-0.5360717698</v>
      </c>
    </row>
    <row r="3704" ht="14.25" customHeight="1">
      <c r="A3704" s="2" t="s">
        <v>241</v>
      </c>
      <c r="B3704" s="2" t="s">
        <v>242</v>
      </c>
      <c r="C3704" s="2">
        <v>1986.0</v>
      </c>
      <c r="D3704" s="9">
        <v>4808.486</v>
      </c>
      <c r="E3704" s="10" t="str">
        <f t="array" ref="E3704">IFS(D3704&lt;=$G$3,'calculated data '!$A$3,D3704&lt;=$G$4,'calculated data '!$A$4,D3704&lt;=$G$6,'calculated data '!$A$5,D3704&gt;=$G$6,'calculated data '!$A$6)</f>
        <v>Target Market (Core IQR)</v>
      </c>
      <c r="F3704" s="10">
        <f t="shared" si="1"/>
        <v>-0.5358920481</v>
      </c>
    </row>
    <row r="3705" ht="14.25" customHeight="1">
      <c r="A3705" s="2" t="s">
        <v>133</v>
      </c>
      <c r="B3705" s="2" t="s">
        <v>134</v>
      </c>
      <c r="C3705" s="2">
        <v>2008.0</v>
      </c>
      <c r="D3705" s="9">
        <v>4815.756</v>
      </c>
      <c r="E3705" s="10" t="str">
        <f t="array" ref="E3705">IFS(D3705&lt;=$G$3,'calculated data '!$A$3,D3705&lt;=$G$4,'calculated data '!$A$4,D3705&lt;=$G$6,'calculated data '!$A$5,D3705&gt;=$G$6,'calculated data '!$A$6)</f>
        <v>Target Market (Core IQR)</v>
      </c>
      <c r="F3705" s="10">
        <f t="shared" si="1"/>
        <v>-0.535699613</v>
      </c>
    </row>
    <row r="3706" ht="14.25" customHeight="1">
      <c r="A3706" s="2" t="s">
        <v>201</v>
      </c>
      <c r="B3706" s="2" t="s">
        <v>202</v>
      </c>
      <c r="C3706" s="2">
        <v>1990.0</v>
      </c>
      <c r="D3706" s="9">
        <v>4816.1064</v>
      </c>
      <c r="E3706" s="10" t="str">
        <f t="array" ref="E3706">IFS(D3706&lt;=$G$3,'calculated data '!$A$3,D3706&lt;=$G$4,'calculated data '!$A$4,D3706&lt;=$G$6,'calculated data '!$A$5,D3706&gt;=$G$6,'calculated data '!$A$6)</f>
        <v>Target Market (Core IQR)</v>
      </c>
      <c r="F3706" s="10">
        <f t="shared" si="1"/>
        <v>-0.535690338</v>
      </c>
    </row>
    <row r="3707" ht="14.25" customHeight="1">
      <c r="A3707" s="2" t="s">
        <v>245</v>
      </c>
      <c r="B3707" s="2" t="s">
        <v>246</v>
      </c>
      <c r="C3707" s="2">
        <v>2023.0</v>
      </c>
      <c r="D3707" s="9">
        <v>4818.661</v>
      </c>
      <c r="E3707" s="10" t="str">
        <f t="array" ref="E3707">IFS(D3707&lt;=$G$3,'calculated data '!$A$3,D3707&lt;=$G$4,'calculated data '!$A$4,D3707&lt;=$G$6,'calculated data '!$A$5,D3707&gt;=$G$6,'calculated data '!$A$6)</f>
        <v>Target Market (Core IQR)</v>
      </c>
      <c r="F3707" s="10">
        <f t="shared" si="1"/>
        <v>-0.5356227184</v>
      </c>
    </row>
    <row r="3708" ht="14.25" customHeight="1">
      <c r="A3708" s="2" t="s">
        <v>257</v>
      </c>
      <c r="B3708" s="2" t="s">
        <v>258</v>
      </c>
      <c r="C3708" s="2">
        <v>1969.0</v>
      </c>
      <c r="D3708" s="9">
        <v>4818.978</v>
      </c>
      <c r="E3708" s="10" t="str">
        <f t="array" ref="E3708">IFS(D3708&lt;=$G$3,'calculated data '!$A$3,D3708&lt;=$G$4,'calculated data '!$A$4,D3708&lt;=$G$6,'calculated data '!$A$5,D3708&gt;=$G$6,'calculated data '!$A$6)</f>
        <v>Target Market (Core IQR)</v>
      </c>
      <c r="F3708" s="10">
        <f t="shared" si="1"/>
        <v>-0.5356143275</v>
      </c>
    </row>
    <row r="3709" ht="14.25" customHeight="1">
      <c r="A3709" s="2" t="s">
        <v>273</v>
      </c>
      <c r="B3709" s="2" t="s">
        <v>274</v>
      </c>
      <c r="C3709" s="2">
        <v>2016.0</v>
      </c>
      <c r="D3709" s="9">
        <v>4822.999</v>
      </c>
      <c r="E3709" s="10" t="str">
        <f t="array" ref="E3709">IFS(D3709&lt;=$G$3,'calculated data '!$A$3,D3709&lt;=$G$4,'calculated data '!$A$4,D3709&lt;=$G$6,'calculated data '!$A$5,D3709&gt;=$G$6,'calculated data '!$A$6)</f>
        <v>Target Market (Core IQR)</v>
      </c>
      <c r="F3709" s="10">
        <f t="shared" si="1"/>
        <v>-0.5355078926</v>
      </c>
    </row>
    <row r="3710" ht="14.25" customHeight="1">
      <c r="A3710" s="2" t="s">
        <v>211</v>
      </c>
      <c r="B3710" s="2" t="s">
        <v>212</v>
      </c>
      <c r="C3710" s="2">
        <v>2009.0</v>
      </c>
      <c r="D3710" s="9">
        <v>4823.377</v>
      </c>
      <c r="E3710" s="10" t="str">
        <f t="array" ref="E3710">IFS(D3710&lt;=$G$3,'calculated data '!$A$3,D3710&lt;=$G$4,'calculated data '!$A$4,D3710&lt;=$G$6,'calculated data '!$A$5,D3710&gt;=$G$6,'calculated data '!$A$6)</f>
        <v>Target Market (Core IQR)</v>
      </c>
      <c r="F3710" s="10">
        <f t="shared" si="1"/>
        <v>-0.535497887</v>
      </c>
    </row>
    <row r="3711" ht="14.25" customHeight="1">
      <c r="A3711" s="2" t="s">
        <v>245</v>
      </c>
      <c r="B3711" s="2" t="s">
        <v>246</v>
      </c>
      <c r="C3711" s="2">
        <v>2022.0</v>
      </c>
      <c r="D3711" s="9">
        <v>4824.579</v>
      </c>
      <c r="E3711" s="10" t="str">
        <f t="array" ref="E3711">IFS(D3711&lt;=$G$3,'calculated data '!$A$3,D3711&lt;=$G$4,'calculated data '!$A$4,D3711&lt;=$G$6,'calculated data '!$A$5,D3711&gt;=$G$6,'calculated data '!$A$6)</f>
        <v>Target Market (Core IQR)</v>
      </c>
      <c r="F3711" s="10">
        <f t="shared" si="1"/>
        <v>-0.5354660704</v>
      </c>
    </row>
    <row r="3712" ht="14.25" customHeight="1">
      <c r="A3712" s="2" t="s">
        <v>197</v>
      </c>
      <c r="B3712" s="2" t="s">
        <v>198</v>
      </c>
      <c r="C3712" s="2">
        <v>1979.0</v>
      </c>
      <c r="D3712" s="9">
        <v>4824.987</v>
      </c>
      <c r="E3712" s="10" t="str">
        <f t="array" ref="E3712">IFS(D3712&lt;=$G$3,'calculated data '!$A$3,D3712&lt;=$G$4,'calculated data '!$A$4,D3712&lt;=$G$6,'calculated data '!$A$5,D3712&gt;=$G$6,'calculated data '!$A$6)</f>
        <v>Target Market (Core IQR)</v>
      </c>
      <c r="F3712" s="10">
        <f t="shared" si="1"/>
        <v>-0.5354552707</v>
      </c>
    </row>
    <row r="3713" ht="14.25" customHeight="1">
      <c r="A3713" s="2" t="s">
        <v>255</v>
      </c>
      <c r="B3713" s="2" t="s">
        <v>256</v>
      </c>
      <c r="C3713" s="2">
        <v>1987.0</v>
      </c>
      <c r="D3713" s="9">
        <v>4825.733</v>
      </c>
      <c r="E3713" s="10" t="str">
        <f t="array" ref="E3713">IFS(D3713&lt;=$G$3,'calculated data '!$A$3,D3713&lt;=$G$4,'calculated data '!$A$4,D3713&lt;=$G$6,'calculated data '!$A$5,D3713&gt;=$G$6,'calculated data '!$A$6)</f>
        <v>Target Market (Core IQR)</v>
      </c>
      <c r="F3713" s="10">
        <f t="shared" si="1"/>
        <v>-0.5354355243</v>
      </c>
    </row>
    <row r="3714" ht="14.25" customHeight="1">
      <c r="A3714" s="2" t="s">
        <v>189</v>
      </c>
      <c r="B3714" s="2" t="s">
        <v>190</v>
      </c>
      <c r="C3714" s="2">
        <v>2021.0</v>
      </c>
      <c r="D3714" s="9">
        <v>4825.9023</v>
      </c>
      <c r="E3714" s="10" t="str">
        <f t="array" ref="E3714">IFS(D3714&lt;=$G$3,'calculated data '!$A$3,D3714&lt;=$G$4,'calculated data '!$A$4,D3714&lt;=$G$6,'calculated data '!$A$5,D3714&gt;=$G$6,'calculated data '!$A$6)</f>
        <v>Target Market (Core IQR)</v>
      </c>
      <c r="F3714" s="10">
        <f t="shared" si="1"/>
        <v>-0.535431043</v>
      </c>
    </row>
    <row r="3715" ht="14.25" customHeight="1">
      <c r="A3715" s="2" t="s">
        <v>227</v>
      </c>
      <c r="B3715" s="2" t="s">
        <v>228</v>
      </c>
      <c r="C3715" s="2">
        <v>1972.0</v>
      </c>
      <c r="D3715" s="9">
        <v>4826.2847</v>
      </c>
      <c r="E3715" s="10" t="str">
        <f t="array" ref="E3715">IFS(D3715&lt;=$G$3,'calculated data '!$A$3,D3715&lt;=$G$4,'calculated data '!$A$4,D3715&lt;=$G$6,'calculated data '!$A$5,D3715&gt;=$G$6,'calculated data '!$A$6)</f>
        <v>Target Market (Core IQR)</v>
      </c>
      <c r="F3715" s="10">
        <f t="shared" si="1"/>
        <v>-0.5354209209</v>
      </c>
    </row>
    <row r="3716" ht="14.25" customHeight="1">
      <c r="A3716" s="2" t="s">
        <v>261</v>
      </c>
      <c r="B3716" s="2" t="s">
        <v>262</v>
      </c>
      <c r="C3716" s="2">
        <v>1988.0</v>
      </c>
      <c r="D3716" s="9">
        <v>4829.8726</v>
      </c>
      <c r="E3716" s="10" t="str">
        <f t="array" ref="E3716">IFS(D3716&lt;=$G$3,'calculated data '!$A$3,D3716&lt;=$G$4,'calculated data '!$A$4,D3716&lt;=$G$6,'calculated data '!$A$5,D3716&gt;=$G$6,'calculated data '!$A$6)</f>
        <v>Target Market (Core IQR)</v>
      </c>
      <c r="F3716" s="10">
        <f t="shared" si="1"/>
        <v>-0.5353259501</v>
      </c>
    </row>
    <row r="3717" ht="14.25" customHeight="1">
      <c r="A3717" s="2" t="s">
        <v>209</v>
      </c>
      <c r="B3717" s="2" t="s">
        <v>210</v>
      </c>
      <c r="C3717" s="2">
        <v>2003.0</v>
      </c>
      <c r="D3717" s="9">
        <v>4833.146</v>
      </c>
      <c r="E3717" s="10" t="str">
        <f t="array" ref="E3717">IFS(D3717&lt;=$G$3,'calculated data '!$A$3,D3717&lt;=$G$4,'calculated data '!$A$4,D3717&lt;=$G$6,'calculated data '!$A$5,D3717&gt;=$G$6,'calculated data '!$A$6)</f>
        <v>Target Market (Core IQR)</v>
      </c>
      <c r="F3717" s="10">
        <f t="shared" si="1"/>
        <v>-0.535239304</v>
      </c>
    </row>
    <row r="3718" ht="14.25" customHeight="1">
      <c r="A3718" s="2" t="s">
        <v>239</v>
      </c>
      <c r="B3718" s="2" t="s">
        <v>240</v>
      </c>
      <c r="C3718" s="2">
        <v>2014.0</v>
      </c>
      <c r="D3718" s="9">
        <v>4833.4243</v>
      </c>
      <c r="E3718" s="10" t="str">
        <f t="array" ref="E3718">IFS(D3718&lt;=$G$3,'calculated data '!$A$3,D3718&lt;=$G$4,'calculated data '!$A$4,D3718&lt;=$G$6,'calculated data '!$A$5,D3718&gt;=$G$6,'calculated data '!$A$6)</f>
        <v>Target Market (Core IQR)</v>
      </c>
      <c r="F3718" s="10">
        <f t="shared" si="1"/>
        <v>-0.5352319375</v>
      </c>
    </row>
    <row r="3719" ht="14.25" customHeight="1">
      <c r="A3719" s="2" t="s">
        <v>215</v>
      </c>
      <c r="B3719" s="2" t="s">
        <v>216</v>
      </c>
      <c r="C3719" s="2">
        <v>1992.0</v>
      </c>
      <c r="D3719" s="9">
        <v>4835.0137</v>
      </c>
      <c r="E3719" s="10" t="str">
        <f t="array" ref="E3719">IFS(D3719&lt;=$G$3,'calculated data '!$A$3,D3719&lt;=$G$4,'calculated data '!$A$4,D3719&lt;=$G$6,'calculated data '!$A$5,D3719&gt;=$G$6,'calculated data '!$A$6)</f>
        <v>Target Market (Core IQR)</v>
      </c>
      <c r="F3719" s="10">
        <f t="shared" si="1"/>
        <v>-0.5351898665</v>
      </c>
    </row>
    <row r="3720" ht="14.25" customHeight="1">
      <c r="A3720" s="2" t="s">
        <v>193</v>
      </c>
      <c r="B3720" s="2" t="s">
        <v>194</v>
      </c>
      <c r="C3720" s="2">
        <v>2015.0</v>
      </c>
      <c r="D3720" s="9">
        <v>4837.8667</v>
      </c>
      <c r="E3720" s="10" t="str">
        <f t="array" ref="E3720">IFS(D3720&lt;=$G$3,'calculated data '!$A$3,D3720&lt;=$G$4,'calculated data '!$A$4,D3720&lt;=$G$6,'calculated data '!$A$5,D3720&gt;=$G$6,'calculated data '!$A$6)</f>
        <v>Target Market (Core IQR)</v>
      </c>
      <c r="F3720" s="10">
        <f t="shared" si="1"/>
        <v>-0.5351143483</v>
      </c>
    </row>
    <row r="3721" ht="14.25" customHeight="1">
      <c r="A3721" s="2" t="s">
        <v>163</v>
      </c>
      <c r="B3721" s="2" t="s">
        <v>164</v>
      </c>
      <c r="C3721" s="2">
        <v>2011.0</v>
      </c>
      <c r="D3721" s="9">
        <v>4840.9224</v>
      </c>
      <c r="E3721" s="10" t="str">
        <f t="array" ref="E3721">IFS(D3721&lt;=$G$3,'calculated data '!$A$3,D3721&lt;=$G$4,'calculated data '!$A$4,D3721&lt;=$G$6,'calculated data '!$A$5,D3721&gt;=$G$6,'calculated data '!$A$6)</f>
        <v>Target Market (Core IQR)</v>
      </c>
      <c r="F3721" s="10">
        <f t="shared" si="1"/>
        <v>-0.5350334647</v>
      </c>
    </row>
    <row r="3722" ht="14.25" customHeight="1">
      <c r="A3722" s="2" t="s">
        <v>255</v>
      </c>
      <c r="B3722" s="2" t="s">
        <v>256</v>
      </c>
      <c r="C3722" s="2">
        <v>1970.0</v>
      </c>
      <c r="D3722" s="9">
        <v>4845.4697</v>
      </c>
      <c r="E3722" s="10" t="str">
        <f t="array" ref="E3722">IFS(D3722&lt;=$G$3,'calculated data '!$A$3,D3722&lt;=$G$4,'calculated data '!$A$4,D3722&lt;=$G$6,'calculated data '!$A$5,D3722&gt;=$G$6,'calculated data '!$A$6)</f>
        <v>Target Market (Core IQR)</v>
      </c>
      <c r="F3722" s="10">
        <f t="shared" si="1"/>
        <v>-0.5349130988</v>
      </c>
    </row>
    <row r="3723" ht="14.25" customHeight="1">
      <c r="A3723" s="2" t="s">
        <v>165</v>
      </c>
      <c r="B3723" s="2" t="s">
        <v>166</v>
      </c>
      <c r="C3723" s="2">
        <v>2010.0</v>
      </c>
      <c r="D3723" s="9">
        <v>4846.3823</v>
      </c>
      <c r="E3723" s="10" t="str">
        <f t="array" ref="E3723">IFS(D3723&lt;=$G$3,'calculated data '!$A$3,D3723&lt;=$G$4,'calculated data '!$A$4,D3723&lt;=$G$6,'calculated data '!$A$5,D3723&gt;=$G$6,'calculated data '!$A$6)</f>
        <v>Target Market (Core IQR)</v>
      </c>
      <c r="F3723" s="10">
        <f t="shared" si="1"/>
        <v>-0.5348889425</v>
      </c>
    </row>
    <row r="3724" ht="14.25" customHeight="1">
      <c r="A3724" s="2" t="s">
        <v>159</v>
      </c>
      <c r="B3724" s="2" t="s">
        <v>160</v>
      </c>
      <c r="C3724" s="2">
        <v>2004.0</v>
      </c>
      <c r="D3724" s="9">
        <v>4847.401</v>
      </c>
      <c r="E3724" s="10" t="str">
        <f t="array" ref="E3724">IFS(D3724&lt;=$G$3,'calculated data '!$A$3,D3724&lt;=$G$4,'calculated data '!$A$4,D3724&lt;=$G$6,'calculated data '!$A$5,D3724&gt;=$G$6,'calculated data '!$A$6)</f>
        <v>Target Market (Core IQR)</v>
      </c>
      <c r="F3724" s="10">
        <f t="shared" si="1"/>
        <v>-0.5348619777</v>
      </c>
    </row>
    <row r="3725" ht="14.25" customHeight="1">
      <c r="A3725" s="2" t="s">
        <v>269</v>
      </c>
      <c r="B3725" s="2" t="s">
        <v>270</v>
      </c>
      <c r="C3725" s="2">
        <v>2022.0</v>
      </c>
      <c r="D3725" s="9">
        <v>4847.5273</v>
      </c>
      <c r="E3725" s="10" t="str">
        <f t="array" ref="E3725">IFS(D3725&lt;=$G$3,'calculated data '!$A$3,D3725&lt;=$G$4,'calculated data '!$A$4,D3725&lt;=$G$6,'calculated data '!$A$5,D3725&gt;=$G$6,'calculated data '!$A$6)</f>
        <v>Target Market (Core IQR)</v>
      </c>
      <c r="F3725" s="10">
        <f t="shared" si="1"/>
        <v>-0.5348586346</v>
      </c>
    </row>
    <row r="3726" ht="14.25" customHeight="1">
      <c r="A3726" s="2" t="s">
        <v>209</v>
      </c>
      <c r="B3726" s="2" t="s">
        <v>210</v>
      </c>
      <c r="C3726" s="2">
        <v>2004.0</v>
      </c>
      <c r="D3726" s="9">
        <v>4849.7026</v>
      </c>
      <c r="E3726" s="10" t="str">
        <f t="array" ref="E3726">IFS(D3726&lt;=$G$3,'calculated data '!$A$3,D3726&lt;=$G$4,'calculated data '!$A$4,D3726&lt;=$G$6,'calculated data '!$A$5,D3726&gt;=$G$6,'calculated data '!$A$6)</f>
        <v>Target Market (Core IQR)</v>
      </c>
      <c r="F3726" s="10">
        <f t="shared" si="1"/>
        <v>-0.534801055</v>
      </c>
    </row>
    <row r="3727" ht="14.25" customHeight="1">
      <c r="A3727" s="2" t="s">
        <v>239</v>
      </c>
      <c r="B3727" s="2" t="s">
        <v>240</v>
      </c>
      <c r="C3727" s="2">
        <v>1999.0</v>
      </c>
      <c r="D3727" s="9">
        <v>4856.928</v>
      </c>
      <c r="E3727" s="10" t="str">
        <f t="array" ref="E3727">IFS(D3727&lt;=$G$3,'calculated data '!$A$3,D3727&lt;=$G$4,'calculated data '!$A$4,D3727&lt;=$G$6,'calculated data '!$A$5,D3727&gt;=$G$6,'calculated data '!$A$6)</f>
        <v>Target Market (Core IQR)</v>
      </c>
      <c r="F3727" s="10">
        <f t="shared" si="1"/>
        <v>-0.5346098004</v>
      </c>
    </row>
    <row r="3728" ht="14.25" customHeight="1">
      <c r="A3728" s="2" t="s">
        <v>263</v>
      </c>
      <c r="B3728" s="2" t="s">
        <v>264</v>
      </c>
      <c r="C3728" s="2">
        <v>1983.0</v>
      </c>
      <c r="D3728" s="9">
        <v>4857.171</v>
      </c>
      <c r="E3728" s="10" t="str">
        <f t="array" ref="E3728">IFS(D3728&lt;=$G$3,'calculated data '!$A$3,D3728&lt;=$G$4,'calculated data '!$A$4,D3728&lt;=$G$6,'calculated data '!$A$5,D3728&gt;=$G$6,'calculated data '!$A$6)</f>
        <v>Target Market (Core IQR)</v>
      </c>
      <c r="F3728" s="10">
        <f t="shared" si="1"/>
        <v>-0.5346033683</v>
      </c>
    </row>
    <row r="3729" ht="14.25" customHeight="1">
      <c r="A3729" s="2" t="s">
        <v>145</v>
      </c>
      <c r="B3729" s="2" t="s">
        <v>146</v>
      </c>
      <c r="C3729" s="2">
        <v>2011.0</v>
      </c>
      <c r="D3729" s="9">
        <v>4863.4697</v>
      </c>
      <c r="E3729" s="10" t="str">
        <f t="array" ref="E3729">IFS(D3729&lt;=$G$3,'calculated data '!$A$3,D3729&lt;=$G$4,'calculated data '!$A$4,D3729&lt;=$G$6,'calculated data '!$A$5,D3729&gt;=$G$6,'calculated data '!$A$6)</f>
        <v>Target Market (Core IQR)</v>
      </c>
      <c r="F3729" s="10">
        <f t="shared" si="1"/>
        <v>-0.5344366432</v>
      </c>
    </row>
    <row r="3730" ht="14.25" customHeight="1">
      <c r="A3730" s="2" t="s">
        <v>229</v>
      </c>
      <c r="B3730" s="2" t="s">
        <v>230</v>
      </c>
      <c r="C3730" s="2">
        <v>1976.0</v>
      </c>
      <c r="D3730" s="9">
        <v>4864.8853</v>
      </c>
      <c r="E3730" s="10" t="str">
        <f t="array" ref="E3730">IFS(D3730&lt;=$G$3,'calculated data '!$A$3,D3730&lt;=$G$4,'calculated data '!$A$4,D3730&lt;=$G$6,'calculated data '!$A$5,D3730&gt;=$G$6,'calculated data '!$A$6)</f>
        <v>Target Market (Core IQR)</v>
      </c>
      <c r="F3730" s="10">
        <f t="shared" si="1"/>
        <v>-0.5343991727</v>
      </c>
    </row>
    <row r="3731" ht="14.25" customHeight="1">
      <c r="A3731" s="2" t="s">
        <v>199</v>
      </c>
      <c r="B3731" s="2" t="s">
        <v>200</v>
      </c>
      <c r="C3731" s="2">
        <v>2016.0</v>
      </c>
      <c r="D3731" s="9">
        <v>4867.9834</v>
      </c>
      <c r="E3731" s="10" t="str">
        <f t="array" ref="E3731">IFS(D3731&lt;=$G$3,'calculated data '!$A$3,D3731&lt;=$G$4,'calculated data '!$A$4,D3731&lt;=$G$6,'calculated data '!$A$5,D3731&gt;=$G$6,'calculated data '!$A$6)</f>
        <v>Target Market (Core IQR)</v>
      </c>
      <c r="F3731" s="10">
        <f t="shared" si="1"/>
        <v>-0.5343171667</v>
      </c>
    </row>
    <row r="3732" ht="14.25" customHeight="1">
      <c r="A3732" s="2" t="s">
        <v>255</v>
      </c>
      <c r="B3732" s="2" t="s">
        <v>256</v>
      </c>
      <c r="C3732" s="2">
        <v>1971.0</v>
      </c>
      <c r="D3732" s="9">
        <v>4870.133</v>
      </c>
      <c r="E3732" s="10" t="str">
        <f t="array" ref="E3732">IFS(D3732&lt;=$G$3,'calculated data '!$A$3,D3732&lt;=$G$4,'calculated data '!$A$4,D3732&lt;=$G$6,'calculated data '!$A$5,D3732&gt;=$G$6,'calculated data '!$A$6)</f>
        <v>Target Market (Core IQR)</v>
      </c>
      <c r="F3732" s="10">
        <f t="shared" si="1"/>
        <v>-0.5342602674</v>
      </c>
    </row>
    <row r="3733" ht="14.25" customHeight="1">
      <c r="A3733" s="2" t="s">
        <v>99</v>
      </c>
      <c r="B3733" s="2" t="s">
        <v>100</v>
      </c>
      <c r="C3733" s="2">
        <v>1999.0</v>
      </c>
      <c r="D3733" s="9">
        <v>4884.6445</v>
      </c>
      <c r="E3733" s="10" t="str">
        <f t="array" ref="E3733">IFS(D3733&lt;=$G$3,'calculated data '!$A$3,D3733&lt;=$G$4,'calculated data '!$A$4,D3733&lt;=$G$6,'calculated data '!$A$5,D3733&gt;=$G$6,'calculated data '!$A$6)</f>
        <v>Target Market (Core IQR)</v>
      </c>
      <c r="F3733" s="10">
        <f t="shared" si="1"/>
        <v>-0.5338761516</v>
      </c>
    </row>
    <row r="3734" ht="14.25" customHeight="1">
      <c r="A3734" s="2" t="s">
        <v>239</v>
      </c>
      <c r="B3734" s="2" t="s">
        <v>240</v>
      </c>
      <c r="C3734" s="2">
        <v>2012.0</v>
      </c>
      <c r="D3734" s="9">
        <v>4890.275</v>
      </c>
      <c r="E3734" s="10" t="str">
        <f t="array" ref="E3734">IFS(D3734&lt;=$G$3,'calculated data '!$A$3,D3734&lt;=$G$4,'calculated data '!$A$4,D3734&lt;=$G$6,'calculated data '!$A$5,D3734&gt;=$G$6,'calculated data '!$A$6)</f>
        <v>Target Market (Core IQR)</v>
      </c>
      <c r="F3734" s="10">
        <f t="shared" si="1"/>
        <v>-0.5337271136</v>
      </c>
    </row>
    <row r="3735" ht="14.25" customHeight="1">
      <c r="A3735" s="2" t="s">
        <v>223</v>
      </c>
      <c r="B3735" s="2" t="s">
        <v>224</v>
      </c>
      <c r="C3735" s="2">
        <v>2001.0</v>
      </c>
      <c r="D3735" s="9">
        <v>4890.3843</v>
      </c>
      <c r="E3735" s="10" t="str">
        <f t="array" ref="E3735">IFS(D3735&lt;=$G$3,'calculated data '!$A$3,D3735&lt;=$G$4,'calculated data '!$A$4,D3735&lt;=$G$6,'calculated data '!$A$5,D3735&gt;=$G$6,'calculated data '!$A$6)</f>
        <v>Target Market (Core IQR)</v>
      </c>
      <c r="F3735" s="10">
        <f t="shared" si="1"/>
        <v>-0.5337242205</v>
      </c>
    </row>
    <row r="3736" ht="14.25" customHeight="1">
      <c r="A3736" s="2" t="s">
        <v>263</v>
      </c>
      <c r="B3736" s="2" t="s">
        <v>264</v>
      </c>
      <c r="C3736" s="2">
        <v>1993.0</v>
      </c>
      <c r="D3736" s="9">
        <v>4891.755</v>
      </c>
      <c r="E3736" s="10" t="str">
        <f t="array" ref="E3736">IFS(D3736&lt;=$G$3,'calculated data '!$A$3,D3736&lt;=$G$4,'calculated data '!$A$4,D3736&lt;=$G$6,'calculated data '!$A$5,D3736&gt;=$G$6,'calculated data '!$A$6)</f>
        <v>Target Market (Core IQR)</v>
      </c>
      <c r="F3736" s="10">
        <f t="shared" si="1"/>
        <v>-0.5336879384</v>
      </c>
    </row>
    <row r="3737" ht="14.25" customHeight="1">
      <c r="A3737" s="2" t="s">
        <v>261</v>
      </c>
      <c r="B3737" s="2" t="s">
        <v>262</v>
      </c>
      <c r="C3737" s="2">
        <v>1981.0</v>
      </c>
      <c r="D3737" s="9">
        <v>4895.2725</v>
      </c>
      <c r="E3737" s="10" t="str">
        <f t="array" ref="E3737">IFS(D3737&lt;=$G$3,'calculated data '!$A$3,D3737&lt;=$G$4,'calculated data '!$A$4,D3737&lt;=$G$6,'calculated data '!$A$5,D3737&gt;=$G$6,'calculated data '!$A$6)</f>
        <v>Target Market (Core IQR)</v>
      </c>
      <c r="F3737" s="10">
        <f t="shared" si="1"/>
        <v>-0.533594831</v>
      </c>
    </row>
    <row r="3738" ht="14.25" customHeight="1">
      <c r="A3738" s="2" t="s">
        <v>205</v>
      </c>
      <c r="B3738" s="2" t="s">
        <v>206</v>
      </c>
      <c r="C3738" s="2">
        <v>1981.0</v>
      </c>
      <c r="D3738" s="9">
        <v>4897.4917</v>
      </c>
      <c r="E3738" s="10" t="str">
        <f t="array" ref="E3738">IFS(D3738&lt;=$G$3,'calculated data '!$A$3,D3738&lt;=$G$4,'calculated data '!$A$4,D3738&lt;=$G$6,'calculated data '!$A$5,D3738&gt;=$G$6,'calculated data '!$A$6)</f>
        <v>Target Market (Core IQR)</v>
      </c>
      <c r="F3738" s="10">
        <f t="shared" si="1"/>
        <v>-0.5335360894</v>
      </c>
    </row>
    <row r="3739" ht="14.25" customHeight="1">
      <c r="A3739" s="2" t="s">
        <v>275</v>
      </c>
      <c r="B3739" s="2" t="s">
        <v>276</v>
      </c>
      <c r="C3739" s="2">
        <v>1988.0</v>
      </c>
      <c r="D3739" s="9">
        <v>4903.7065</v>
      </c>
      <c r="E3739" s="10" t="str">
        <f t="array" ref="E3739">IFS(D3739&lt;=$G$3,'calculated data '!$A$3,D3739&lt;=$G$4,'calculated data '!$A$4,D3739&lt;=$G$6,'calculated data '!$A$5,D3739&gt;=$G$6,'calculated data '!$A$6)</f>
        <v>Target Market (Core IQR)</v>
      </c>
      <c r="F3739" s="10">
        <f t="shared" si="1"/>
        <v>-0.5333715852</v>
      </c>
    </row>
    <row r="3740" ht="14.25" customHeight="1">
      <c r="A3740" s="2" t="s">
        <v>269</v>
      </c>
      <c r="B3740" s="2" t="s">
        <v>270</v>
      </c>
      <c r="C3740" s="2">
        <v>2023.0</v>
      </c>
      <c r="D3740" s="9">
        <v>4905.252</v>
      </c>
      <c r="E3740" s="10" t="str">
        <f t="array" ref="E3740">IFS(D3740&lt;=$G$3,'calculated data '!$A$3,D3740&lt;=$G$4,'calculated data '!$A$4,D3740&lt;=$G$6,'calculated data '!$A$5,D3740&gt;=$G$6,'calculated data '!$A$6)</f>
        <v>Target Market (Core IQR)</v>
      </c>
      <c r="F3740" s="10">
        <f t="shared" si="1"/>
        <v>-0.5333306762</v>
      </c>
    </row>
    <row r="3741" ht="14.25" customHeight="1">
      <c r="A3741" s="2" t="s">
        <v>255</v>
      </c>
      <c r="B3741" s="2" t="s">
        <v>256</v>
      </c>
      <c r="C3741" s="2">
        <v>1968.0</v>
      </c>
      <c r="D3741" s="9">
        <v>4918.5747</v>
      </c>
      <c r="E3741" s="10" t="str">
        <f t="array" ref="E3741">IFS(D3741&lt;=$G$3,'calculated data '!$A$3,D3741&lt;=$G$4,'calculated data '!$A$4,D3741&lt;=$G$6,'calculated data '!$A$5,D3741&gt;=$G$6,'calculated data '!$A$6)</f>
        <v>Target Market (Core IQR)</v>
      </c>
      <c r="F3741" s="10">
        <f t="shared" si="1"/>
        <v>-0.5329780276</v>
      </c>
    </row>
    <row r="3742" ht="14.25" customHeight="1">
      <c r="A3742" s="2" t="s">
        <v>163</v>
      </c>
      <c r="B3742" s="2" t="s">
        <v>164</v>
      </c>
      <c r="C3742" s="2">
        <v>2005.0</v>
      </c>
      <c r="D3742" s="9">
        <v>4920.173</v>
      </c>
      <c r="E3742" s="10" t="str">
        <f t="array" ref="E3742">IFS(D3742&lt;=$G$3,'calculated data '!$A$3,D3742&lt;=$G$4,'calculated data '!$A$4,D3742&lt;=$G$6,'calculated data '!$A$5,D3742&gt;=$G$6,'calculated data '!$A$6)</f>
        <v>Target Market (Core IQR)</v>
      </c>
      <c r="F3742" s="10">
        <f t="shared" si="1"/>
        <v>-0.532935721</v>
      </c>
    </row>
    <row r="3743" ht="14.25" customHeight="1">
      <c r="A3743" s="2" t="s">
        <v>143</v>
      </c>
      <c r="B3743" s="2" t="s">
        <v>144</v>
      </c>
      <c r="C3743" s="2">
        <v>2024.0</v>
      </c>
      <c r="D3743" s="9">
        <v>4920.4414</v>
      </c>
      <c r="E3743" s="10" t="str">
        <f t="array" ref="E3743">IFS(D3743&lt;=$G$3,'calculated data '!$A$3,D3743&lt;=$G$4,'calculated data '!$A$4,D3743&lt;=$G$6,'calculated data '!$A$5,D3743&gt;=$G$6,'calculated data '!$A$6)</f>
        <v>Target Market (Core IQR)</v>
      </c>
      <c r="F3743" s="10">
        <f t="shared" si="1"/>
        <v>-0.5329286165</v>
      </c>
    </row>
    <row r="3744" ht="14.25" customHeight="1">
      <c r="A3744" s="2" t="s">
        <v>263</v>
      </c>
      <c r="B3744" s="2" t="s">
        <v>264</v>
      </c>
      <c r="C3744" s="2">
        <v>1987.0</v>
      </c>
      <c r="D3744" s="9">
        <v>4920.676</v>
      </c>
      <c r="E3744" s="10" t="str">
        <f t="array" ref="E3744">IFS(D3744&lt;=$G$3,'calculated data '!$A$3,D3744&lt;=$G$4,'calculated data '!$A$4,D3744&lt;=$G$6,'calculated data '!$A$5,D3744&gt;=$G$6,'calculated data '!$A$6)</f>
        <v>Target Market (Core IQR)</v>
      </c>
      <c r="F3744" s="10">
        <f t="shared" si="1"/>
        <v>-0.5329224067</v>
      </c>
    </row>
    <row r="3745" ht="14.25" customHeight="1">
      <c r="A3745" s="2" t="s">
        <v>151</v>
      </c>
      <c r="B3745" s="2" t="s">
        <v>152</v>
      </c>
      <c r="C3745" s="2">
        <v>2023.0</v>
      </c>
      <c r="D3745" s="9">
        <v>4924.4</v>
      </c>
      <c r="E3745" s="10" t="str">
        <f t="array" ref="E3745">IFS(D3745&lt;=$G$3,'calculated data '!$A$3,D3745&lt;=$G$4,'calculated data '!$A$4,D3745&lt;=$G$6,'calculated data '!$A$5,D3745&gt;=$G$6,'calculated data '!$A$6)</f>
        <v>Target Market (Core IQR)</v>
      </c>
      <c r="F3745" s="10">
        <f t="shared" si="1"/>
        <v>-0.5328238334</v>
      </c>
    </row>
    <row r="3746" ht="14.25" customHeight="1">
      <c r="A3746" s="2" t="s">
        <v>209</v>
      </c>
      <c r="B3746" s="2" t="s">
        <v>210</v>
      </c>
      <c r="C3746" s="2">
        <v>2005.0</v>
      </c>
      <c r="D3746" s="9">
        <v>4925.6006</v>
      </c>
      <c r="E3746" s="10" t="str">
        <f t="array" ref="E3746">IFS(D3746&lt;=$G$3,'calculated data '!$A$3,D3746&lt;=$G$4,'calculated data '!$A$4,D3746&lt;=$G$6,'calculated data '!$A$5,D3746&gt;=$G$6,'calculated data '!$A$6)</f>
        <v>Target Market (Core IQR)</v>
      </c>
      <c r="F3746" s="10">
        <f t="shared" si="1"/>
        <v>-0.5327920538</v>
      </c>
    </row>
    <row r="3747" ht="14.25" customHeight="1">
      <c r="A3747" s="2" t="s">
        <v>201</v>
      </c>
      <c r="B3747" s="2" t="s">
        <v>202</v>
      </c>
      <c r="C3747" s="2">
        <v>1987.0</v>
      </c>
      <c r="D3747" s="9">
        <v>4926.1826</v>
      </c>
      <c r="E3747" s="10" t="str">
        <f t="array" ref="E3747">IFS(D3747&lt;=$G$3,'calculated data '!$A$3,D3747&lt;=$G$4,'calculated data '!$A$4,D3747&lt;=$G$6,'calculated data '!$A$5,D3747&gt;=$G$6,'calculated data '!$A$6)</f>
        <v>Target Market (Core IQR)</v>
      </c>
      <c r="F3747" s="10">
        <f t="shared" si="1"/>
        <v>-0.5327766484</v>
      </c>
    </row>
    <row r="3748" ht="14.25" customHeight="1">
      <c r="A3748" s="2" t="s">
        <v>247</v>
      </c>
      <c r="B3748" s="2" t="s">
        <v>248</v>
      </c>
      <c r="C3748" s="2">
        <v>1987.0</v>
      </c>
      <c r="D3748" s="9">
        <v>4926.4897</v>
      </c>
      <c r="E3748" s="10" t="str">
        <f t="array" ref="E3748">IFS(D3748&lt;=$G$3,'calculated data '!$A$3,D3748&lt;=$G$4,'calculated data '!$A$4,D3748&lt;=$G$6,'calculated data '!$A$5,D3748&gt;=$G$6,'calculated data '!$A$6)</f>
        <v>Target Market (Core IQR)</v>
      </c>
      <c r="F3748" s="10">
        <f t="shared" si="1"/>
        <v>-0.5327685195</v>
      </c>
    </row>
    <row r="3749" ht="14.25" customHeight="1">
      <c r="A3749" s="2" t="s">
        <v>259</v>
      </c>
      <c r="B3749" s="2" t="s">
        <v>260</v>
      </c>
      <c r="C3749" s="2">
        <v>1985.0</v>
      </c>
      <c r="D3749" s="9">
        <v>4928.077</v>
      </c>
      <c r="E3749" s="10" t="str">
        <f t="array" ref="E3749">IFS(D3749&lt;=$G$3,'calculated data '!$A$3,D3749&lt;=$G$4,'calculated data '!$A$4,D3749&lt;=$G$6,'calculated data '!$A$5,D3749&gt;=$G$6,'calculated data '!$A$6)</f>
        <v>Target Market (Core IQR)</v>
      </c>
      <c r="F3749" s="10">
        <f t="shared" si="1"/>
        <v>-0.5327265041</v>
      </c>
    </row>
    <row r="3750" ht="14.25" customHeight="1">
      <c r="A3750" s="2" t="s">
        <v>261</v>
      </c>
      <c r="B3750" s="2" t="s">
        <v>262</v>
      </c>
      <c r="C3750" s="2">
        <v>1991.0</v>
      </c>
      <c r="D3750" s="9">
        <v>4934.007</v>
      </c>
      <c r="E3750" s="10" t="str">
        <f t="array" ref="E3750">IFS(D3750&lt;=$G$3,'calculated data '!$A$3,D3750&lt;=$G$4,'calculated data '!$A$4,D3750&lt;=$G$6,'calculated data '!$A$5,D3750&gt;=$G$6,'calculated data '!$A$6)</f>
        <v>Target Market (Core IQR)</v>
      </c>
      <c r="F3750" s="10">
        <f t="shared" si="1"/>
        <v>-0.5325695385</v>
      </c>
    </row>
    <row r="3751" ht="14.25" customHeight="1">
      <c r="A3751" s="2" t="s">
        <v>239</v>
      </c>
      <c r="B3751" s="2" t="s">
        <v>240</v>
      </c>
      <c r="C3751" s="2">
        <v>2015.0</v>
      </c>
      <c r="D3751" s="9">
        <v>4938.754</v>
      </c>
      <c r="E3751" s="10" t="str">
        <f t="array" ref="E3751">IFS(D3751&lt;=$G$3,'calculated data '!$A$3,D3751&lt;=$G$4,'calculated data '!$A$4,D3751&lt;=$G$6,'calculated data '!$A$5,D3751&gt;=$G$6,'calculated data '!$A$6)</f>
        <v>Target Market (Core IQR)</v>
      </c>
      <c r="F3751" s="10">
        <f t="shared" si="1"/>
        <v>-0.5324438866</v>
      </c>
    </row>
    <row r="3752" ht="14.25" customHeight="1">
      <c r="A3752" s="2" t="s">
        <v>275</v>
      </c>
      <c r="B3752" s="2" t="s">
        <v>276</v>
      </c>
      <c r="C3752" s="2">
        <v>1987.0</v>
      </c>
      <c r="D3752" s="9">
        <v>4938.8457</v>
      </c>
      <c r="E3752" s="10" t="str">
        <f t="array" ref="E3752">IFS(D3752&lt;=$G$3,'calculated data '!$A$3,D3752&lt;=$G$4,'calculated data '!$A$4,D3752&lt;=$G$6,'calculated data '!$A$5,D3752&gt;=$G$6,'calculated data '!$A$6)</f>
        <v>Target Market (Core IQR)</v>
      </c>
      <c r="F3752" s="10">
        <f t="shared" si="1"/>
        <v>-0.5324414593</v>
      </c>
    </row>
    <row r="3753" ht="14.25" customHeight="1">
      <c r="A3753" s="2" t="s">
        <v>129</v>
      </c>
      <c r="B3753" s="2" t="s">
        <v>130</v>
      </c>
      <c r="C3753" s="2">
        <v>1997.0</v>
      </c>
      <c r="D3753" s="9">
        <v>4942.187</v>
      </c>
      <c r="E3753" s="10" t="str">
        <f t="array" ref="E3753">IFS(D3753&lt;=$G$3,'calculated data '!$A$3,D3753&lt;=$G$4,'calculated data '!$A$4,D3753&lt;=$G$6,'calculated data '!$A$5,D3753&gt;=$G$6,'calculated data '!$A$6)</f>
        <v>Target Market (Core IQR)</v>
      </c>
      <c r="F3753" s="10">
        <f t="shared" si="1"/>
        <v>-0.5323530159</v>
      </c>
    </row>
    <row r="3754" ht="14.25" customHeight="1">
      <c r="A3754" s="2" t="s">
        <v>41</v>
      </c>
      <c r="B3754" s="2" t="s">
        <v>42</v>
      </c>
      <c r="C3754" s="2">
        <v>2002.0</v>
      </c>
      <c r="D3754" s="9">
        <v>4942.726</v>
      </c>
      <c r="E3754" s="10" t="str">
        <f t="array" ref="E3754">IFS(D3754&lt;=$G$3,'calculated data '!$A$3,D3754&lt;=$G$4,'calculated data '!$A$4,D3754&lt;=$G$6,'calculated data '!$A$5,D3754&gt;=$G$6,'calculated data '!$A$6)</f>
        <v>Target Market (Core IQR)</v>
      </c>
      <c r="F3754" s="10">
        <f t="shared" si="1"/>
        <v>-0.5323387487</v>
      </c>
    </row>
    <row r="3755" ht="14.25" customHeight="1">
      <c r="A3755" s="2" t="s">
        <v>249</v>
      </c>
      <c r="B3755" s="2" t="s">
        <v>250</v>
      </c>
      <c r="C3755" s="2">
        <v>1972.0</v>
      </c>
      <c r="D3755" s="9">
        <v>4946.575</v>
      </c>
      <c r="E3755" s="10" t="str">
        <f t="array" ref="E3755">IFS(D3755&lt;=$G$3,'calculated data '!$A$3,D3755&lt;=$G$4,'calculated data '!$A$4,D3755&lt;=$G$6,'calculated data '!$A$5,D3755&gt;=$G$6,'calculated data '!$A$6)</f>
        <v>Target Market (Core IQR)</v>
      </c>
      <c r="F3755" s="10">
        <f t="shared" si="1"/>
        <v>-0.5322368667</v>
      </c>
    </row>
    <row r="3756" ht="14.25" customHeight="1">
      <c r="A3756" s="2" t="s">
        <v>199</v>
      </c>
      <c r="B3756" s="2" t="s">
        <v>200</v>
      </c>
      <c r="C3756" s="2">
        <v>2017.0</v>
      </c>
      <c r="D3756" s="9">
        <v>4950.349</v>
      </c>
      <c r="E3756" s="10" t="str">
        <f t="array" ref="E3756">IFS(D3756&lt;=$G$3,'calculated data '!$A$3,D3756&lt;=$G$4,'calculated data '!$A$4,D3756&lt;=$G$6,'calculated data '!$A$5,D3756&gt;=$G$6,'calculated data '!$A$6)</f>
        <v>Target Market (Core IQR)</v>
      </c>
      <c r="F3756" s="10">
        <f t="shared" si="1"/>
        <v>-0.5321369698</v>
      </c>
    </row>
    <row r="3757" ht="14.25" customHeight="1">
      <c r="A3757" s="2" t="s">
        <v>143</v>
      </c>
      <c r="B3757" s="2" t="s">
        <v>144</v>
      </c>
      <c r="C3757" s="2">
        <v>2023.0</v>
      </c>
      <c r="D3757" s="9">
        <v>4955.524</v>
      </c>
      <c r="E3757" s="10" t="str">
        <f t="array" ref="E3757">IFS(D3757&lt;=$G$3,'calculated data '!$A$3,D3757&lt;=$G$4,'calculated data '!$A$4,D3757&lt;=$G$6,'calculated data '!$A$5,D3757&gt;=$G$6,'calculated data '!$A$6)</f>
        <v>Target Market (Core IQR)</v>
      </c>
      <c r="F3757" s="10">
        <f t="shared" si="1"/>
        <v>-0.5319999889</v>
      </c>
    </row>
    <row r="3758" ht="14.25" customHeight="1">
      <c r="A3758" s="2" t="s">
        <v>189</v>
      </c>
      <c r="B3758" s="2" t="s">
        <v>190</v>
      </c>
      <c r="C3758" s="2">
        <v>2022.0</v>
      </c>
      <c r="D3758" s="9">
        <v>4956.9873</v>
      </c>
      <c r="E3758" s="10" t="str">
        <f t="array" ref="E3758">IFS(D3758&lt;=$G$3,'calculated data '!$A$3,D3758&lt;=$G$4,'calculated data '!$A$4,D3758&lt;=$G$6,'calculated data '!$A$5,D3758&gt;=$G$6,'calculated data '!$A$6)</f>
        <v>Target Market (Core IQR)</v>
      </c>
      <c r="F3758" s="10">
        <f t="shared" si="1"/>
        <v>-0.5319612557</v>
      </c>
    </row>
    <row r="3759" ht="14.25" customHeight="1">
      <c r="A3759" s="2" t="s">
        <v>207</v>
      </c>
      <c r="B3759" s="2" t="s">
        <v>208</v>
      </c>
      <c r="C3759" s="2">
        <v>1976.0</v>
      </c>
      <c r="D3759" s="9">
        <v>4957.0356</v>
      </c>
      <c r="E3759" s="10" t="str">
        <f t="array" ref="E3759">IFS(D3759&lt;=$G$3,'calculated data '!$A$3,D3759&lt;=$G$4,'calculated data '!$A$4,D3759&lt;=$G$6,'calculated data '!$A$5,D3759&gt;=$G$6,'calculated data '!$A$6)</f>
        <v>Target Market (Core IQR)</v>
      </c>
      <c r="F3759" s="10">
        <f t="shared" si="1"/>
        <v>-0.5319599772</v>
      </c>
    </row>
    <row r="3760" ht="14.25" customHeight="1">
      <c r="A3760" s="2" t="s">
        <v>277</v>
      </c>
      <c r="B3760" s="2" t="s">
        <v>278</v>
      </c>
      <c r="C3760" s="2">
        <v>1986.0</v>
      </c>
      <c r="D3760" s="9">
        <v>4958.9194</v>
      </c>
      <c r="E3760" s="10" t="str">
        <f t="array" ref="E3760">IFS(D3760&lt;=$G$3,'calculated data '!$A$3,D3760&lt;=$G$4,'calculated data '!$A$4,D3760&lt;=$G$6,'calculated data '!$A$5,D3760&gt;=$G$6,'calculated data '!$A$6)</f>
        <v>Target Market (Core IQR)</v>
      </c>
      <c r="F3760" s="10">
        <f t="shared" si="1"/>
        <v>-0.5319101135</v>
      </c>
    </row>
    <row r="3761" ht="14.25" customHeight="1">
      <c r="A3761" s="2" t="s">
        <v>79</v>
      </c>
      <c r="B3761" s="2" t="s">
        <v>80</v>
      </c>
      <c r="C3761" s="2">
        <v>2024.0</v>
      </c>
      <c r="D3761" s="9">
        <v>4967.972</v>
      </c>
      <c r="E3761" s="10" t="str">
        <f t="array" ref="E3761">IFS(D3761&lt;=$G$3,'calculated data '!$A$3,D3761&lt;=$G$4,'calculated data '!$A$4,D3761&lt;=$G$6,'calculated data '!$A$5,D3761&gt;=$G$6,'calculated data '!$A$6)</f>
        <v>Target Market (Core IQR)</v>
      </c>
      <c r="F3761" s="10">
        <f t="shared" si="1"/>
        <v>-0.5316704934</v>
      </c>
    </row>
    <row r="3762" ht="14.25" customHeight="1">
      <c r="A3762" s="2" t="s">
        <v>99</v>
      </c>
      <c r="B3762" s="2" t="s">
        <v>100</v>
      </c>
      <c r="C3762" s="2">
        <v>1998.0</v>
      </c>
      <c r="D3762" s="9">
        <v>4968.615</v>
      </c>
      <c r="E3762" s="10" t="str">
        <f t="array" ref="E3762">IFS(D3762&lt;=$G$3,'calculated data '!$A$3,D3762&lt;=$G$4,'calculated data '!$A$4,D3762&lt;=$G$6,'calculated data '!$A$5,D3762&gt;=$G$6,'calculated data '!$A$6)</f>
        <v>Target Market (Core IQR)</v>
      </c>
      <c r="F3762" s="10">
        <f t="shared" si="1"/>
        <v>-0.5316534733</v>
      </c>
    </row>
    <row r="3763" ht="14.25" customHeight="1">
      <c r="A3763" s="2" t="s">
        <v>209</v>
      </c>
      <c r="B3763" s="2" t="s">
        <v>210</v>
      </c>
      <c r="C3763" s="2">
        <v>2013.0</v>
      </c>
      <c r="D3763" s="9">
        <v>4971.9756</v>
      </c>
      <c r="E3763" s="10" t="str">
        <f t="array" ref="E3763">IFS(D3763&lt;=$G$3,'calculated data '!$A$3,D3763&lt;=$G$4,'calculated data '!$A$4,D3763&lt;=$G$6,'calculated data '!$A$5,D3763&gt;=$G$6,'calculated data '!$A$6)</f>
        <v>Target Market (Core IQR)</v>
      </c>
      <c r="F3763" s="10">
        <f t="shared" si="1"/>
        <v>-0.5315645191</v>
      </c>
    </row>
    <row r="3764" ht="14.25" customHeight="1">
      <c r="A3764" s="2" t="s">
        <v>261</v>
      </c>
      <c r="B3764" s="2" t="s">
        <v>262</v>
      </c>
      <c r="C3764" s="2">
        <v>1980.0</v>
      </c>
      <c r="D3764" s="9">
        <v>4973.3286</v>
      </c>
      <c r="E3764" s="10" t="str">
        <f t="array" ref="E3764">IFS(D3764&lt;=$G$3,'calculated data '!$A$3,D3764&lt;=$G$4,'calculated data '!$A$4,D3764&lt;=$G$6,'calculated data '!$A$5,D3764&gt;=$G$6,'calculated data '!$A$6)</f>
        <v>Target Market (Core IQR)</v>
      </c>
      <c r="F3764" s="10">
        <f t="shared" si="1"/>
        <v>-0.5315287055</v>
      </c>
    </row>
    <row r="3765" ht="14.25" customHeight="1">
      <c r="A3765" s="2" t="s">
        <v>279</v>
      </c>
      <c r="B3765" s="2" t="s">
        <v>280</v>
      </c>
      <c r="C3765" s="2">
        <v>1965.0</v>
      </c>
      <c r="D3765" s="9">
        <v>4975.0747</v>
      </c>
      <c r="E3765" s="10" t="str">
        <f t="array" ref="E3765">IFS(D3765&lt;=$G$3,'calculated data '!$A$3,D3765&lt;=$G$4,'calculated data '!$A$4,D3765&lt;=$G$6,'calculated data '!$A$5,D3765&gt;=$G$6,'calculated data '!$A$6)</f>
        <v>Target Market (Core IQR)</v>
      </c>
      <c r="F3765" s="10">
        <f t="shared" si="1"/>
        <v>-0.5314824867</v>
      </c>
    </row>
    <row r="3766" ht="14.25" customHeight="1">
      <c r="A3766" s="2" t="s">
        <v>247</v>
      </c>
      <c r="B3766" s="2" t="s">
        <v>248</v>
      </c>
      <c r="C3766" s="2">
        <v>1988.0</v>
      </c>
      <c r="D3766" s="9">
        <v>4976.0396</v>
      </c>
      <c r="E3766" s="10" t="str">
        <f t="array" ref="E3766">IFS(D3766&lt;=$G$3,'calculated data '!$A$3,D3766&lt;=$G$4,'calculated data '!$A$4,D3766&lt;=$G$6,'calculated data '!$A$5,D3766&gt;=$G$6,'calculated data '!$A$6)</f>
        <v>Target Market (Core IQR)</v>
      </c>
      <c r="F3766" s="10">
        <f t="shared" si="1"/>
        <v>-0.531456946</v>
      </c>
    </row>
    <row r="3767" ht="14.25" customHeight="1">
      <c r="A3767" s="2" t="s">
        <v>271</v>
      </c>
      <c r="B3767" s="2" t="s">
        <v>272</v>
      </c>
      <c r="C3767" s="2">
        <v>1966.0</v>
      </c>
      <c r="D3767" s="9">
        <v>4981.5977</v>
      </c>
      <c r="E3767" s="10" t="str">
        <f t="array" ref="E3767">IFS(D3767&lt;=$G$3,'calculated data '!$A$3,D3767&lt;=$G$4,'calculated data '!$A$4,D3767&lt;=$G$6,'calculated data '!$A$5,D3767&gt;=$G$6,'calculated data '!$A$6)</f>
        <v>Target Market (Core IQR)</v>
      </c>
      <c r="F3767" s="10">
        <f t="shared" si="1"/>
        <v>-0.5313098245</v>
      </c>
    </row>
    <row r="3768" ht="14.25" customHeight="1">
      <c r="A3768" s="2" t="s">
        <v>197</v>
      </c>
      <c r="B3768" s="2" t="s">
        <v>198</v>
      </c>
      <c r="C3768" s="2">
        <v>1983.0</v>
      </c>
      <c r="D3768" s="9">
        <v>4983.729</v>
      </c>
      <c r="E3768" s="10" t="str">
        <f t="array" ref="E3768">IFS(D3768&lt;=$G$3,'calculated data '!$A$3,D3768&lt;=$G$4,'calculated data '!$A$4,D3768&lt;=$G$6,'calculated data '!$A$5,D3768&gt;=$G$6,'calculated data '!$A$6)</f>
        <v>Target Market (Core IQR)</v>
      </c>
      <c r="F3768" s="10">
        <f t="shared" si="1"/>
        <v>-0.5312534095</v>
      </c>
    </row>
    <row r="3769" ht="14.25" customHeight="1">
      <c r="A3769" s="2" t="s">
        <v>277</v>
      </c>
      <c r="B3769" s="2" t="s">
        <v>278</v>
      </c>
      <c r="C3769" s="2">
        <v>1987.0</v>
      </c>
      <c r="D3769" s="9">
        <v>4991.7646</v>
      </c>
      <c r="E3769" s="10" t="str">
        <f t="array" ref="E3769">IFS(D3769&lt;=$G$3,'calculated data '!$A$3,D3769&lt;=$G$4,'calculated data '!$A$4,D3769&lt;=$G$6,'calculated data '!$A$5,D3769&gt;=$G$6,'calculated data '!$A$6)</f>
        <v>Target Market (Core IQR)</v>
      </c>
      <c r="F3769" s="10">
        <f t="shared" si="1"/>
        <v>-0.5310407092</v>
      </c>
    </row>
    <row r="3770" ht="14.25" customHeight="1">
      <c r="A3770" s="2" t="s">
        <v>255</v>
      </c>
      <c r="B3770" s="2" t="s">
        <v>256</v>
      </c>
      <c r="C3770" s="2">
        <v>1967.0</v>
      </c>
      <c r="D3770" s="9">
        <v>4993.92</v>
      </c>
      <c r="E3770" s="10" t="str">
        <f t="array" ref="E3770">IFS(D3770&lt;=$G$3,'calculated data '!$A$3,D3770&lt;=$G$4,'calculated data '!$A$4,D3770&lt;=$G$6,'calculated data '!$A$5,D3770&gt;=$G$6,'calculated data '!$A$6)</f>
        <v>Target Market (Core IQR)</v>
      </c>
      <c r="F3770" s="10">
        <f t="shared" si="1"/>
        <v>-0.5309836563</v>
      </c>
    </row>
    <row r="3771" ht="14.25" customHeight="1">
      <c r="A3771" s="2" t="s">
        <v>281</v>
      </c>
      <c r="B3771" s="2" t="s">
        <v>282</v>
      </c>
      <c r="C3771" s="2">
        <v>1965.0</v>
      </c>
      <c r="D3771" s="9">
        <v>4994.091</v>
      </c>
      <c r="E3771" s="10" t="str">
        <f t="array" ref="E3771">IFS(D3771&lt;=$G$3,'calculated data '!$A$3,D3771&lt;=$G$4,'calculated data '!$A$4,D3771&lt;=$G$6,'calculated data '!$A$5,D3771&gt;=$G$6,'calculated data '!$A$6)</f>
        <v>Target Market (Core IQR)</v>
      </c>
      <c r="F3771" s="10">
        <f t="shared" si="1"/>
        <v>-0.53097913</v>
      </c>
    </row>
    <row r="3772" ht="14.25" customHeight="1">
      <c r="A3772" s="2" t="s">
        <v>209</v>
      </c>
      <c r="B3772" s="2" t="s">
        <v>210</v>
      </c>
      <c r="C3772" s="2">
        <v>2009.0</v>
      </c>
      <c r="D3772" s="9">
        <v>5005.6143</v>
      </c>
      <c r="E3772" s="10" t="str">
        <f t="array" ref="E3772">IFS(D3772&lt;=$G$3,'calculated data '!$A$3,D3772&lt;=$G$4,'calculated data '!$A$4,D3772&lt;=$G$6,'calculated data '!$A$5,D3772&gt;=$G$6,'calculated data '!$A$6)</f>
        <v>Target Market (Core IQR)</v>
      </c>
      <c r="F3772" s="10">
        <f t="shared" si="1"/>
        <v>-0.5306741111</v>
      </c>
    </row>
    <row r="3773" ht="14.25" customHeight="1">
      <c r="A3773" s="2" t="s">
        <v>199</v>
      </c>
      <c r="B3773" s="2" t="s">
        <v>200</v>
      </c>
      <c r="C3773" s="2">
        <v>2018.0</v>
      </c>
      <c r="D3773" s="9">
        <v>5012.176</v>
      </c>
      <c r="E3773" s="10" t="str">
        <f t="array" ref="E3773">IFS(D3773&lt;=$G$3,'calculated data '!$A$3,D3773&lt;=$G$4,'calculated data '!$A$4,D3773&lt;=$G$6,'calculated data '!$A$5,D3773&gt;=$G$6,'calculated data '!$A$6)</f>
        <v>Target Market (Core IQR)</v>
      </c>
      <c r="F3773" s="10">
        <f t="shared" si="1"/>
        <v>-0.5305004245</v>
      </c>
    </row>
    <row r="3774" ht="14.25" customHeight="1">
      <c r="A3774" s="2" t="s">
        <v>165</v>
      </c>
      <c r="B3774" s="2" t="s">
        <v>166</v>
      </c>
      <c r="C3774" s="2">
        <v>2011.0</v>
      </c>
      <c r="D3774" s="9">
        <v>5012.311</v>
      </c>
      <c r="E3774" s="10" t="str">
        <f t="array" ref="E3774">IFS(D3774&lt;=$G$3,'calculated data '!$A$3,D3774&lt;=$G$4,'calculated data '!$A$4,D3774&lt;=$G$6,'calculated data '!$A$5,D3774&gt;=$G$6,'calculated data '!$A$6)</f>
        <v>Target Market (Core IQR)</v>
      </c>
      <c r="F3774" s="10">
        <f t="shared" si="1"/>
        <v>-0.5304968511</v>
      </c>
    </row>
    <row r="3775" ht="14.25" customHeight="1">
      <c r="A3775" s="2" t="s">
        <v>201</v>
      </c>
      <c r="B3775" s="2" t="s">
        <v>202</v>
      </c>
      <c r="C3775" s="2">
        <v>1986.0</v>
      </c>
      <c r="D3775" s="9">
        <v>5015.1357</v>
      </c>
      <c r="E3775" s="10" t="str">
        <f t="array" ref="E3775">IFS(D3775&lt;=$G$3,'calculated data '!$A$3,D3775&lt;=$G$4,'calculated data '!$A$4,D3775&lt;=$G$6,'calculated data '!$A$5,D3775&gt;=$G$6,'calculated data '!$A$6)</f>
        <v>Target Market (Core IQR)</v>
      </c>
      <c r="F3775" s="10">
        <f t="shared" si="1"/>
        <v>-0.530422082</v>
      </c>
    </row>
    <row r="3776" ht="14.25" customHeight="1">
      <c r="A3776" s="2" t="s">
        <v>247</v>
      </c>
      <c r="B3776" s="2" t="s">
        <v>248</v>
      </c>
      <c r="C3776" s="2">
        <v>1989.0</v>
      </c>
      <c r="D3776" s="9">
        <v>5017.7573</v>
      </c>
      <c r="E3776" s="10" t="str">
        <f t="array" ref="E3776">IFS(D3776&lt;=$G$3,'calculated data '!$A$3,D3776&lt;=$G$4,'calculated data '!$A$4,D3776&lt;=$G$6,'calculated data '!$A$5,D3776&gt;=$G$6,'calculated data '!$A$6)</f>
        <v>Target Market (Core IQR)</v>
      </c>
      <c r="F3776" s="10">
        <f t="shared" si="1"/>
        <v>-0.5303526889</v>
      </c>
    </row>
    <row r="3777" ht="14.25" customHeight="1">
      <c r="A3777" s="2" t="s">
        <v>245</v>
      </c>
      <c r="B3777" s="2" t="s">
        <v>246</v>
      </c>
      <c r="C3777" s="2">
        <v>2000.0</v>
      </c>
      <c r="D3777" s="9">
        <v>5018.302</v>
      </c>
      <c r="E3777" s="10" t="str">
        <f t="array" ref="E3777">IFS(D3777&lt;=$G$3,'calculated data '!$A$3,D3777&lt;=$G$4,'calculated data '!$A$4,D3777&lt;=$G$6,'calculated data '!$A$5,D3777&gt;=$G$6,'calculated data '!$A$6)</f>
        <v>Target Market (Core IQR)</v>
      </c>
      <c r="F3777" s="10">
        <f t="shared" si="1"/>
        <v>-0.5303382708</v>
      </c>
    </row>
    <row r="3778" ht="14.25" customHeight="1">
      <c r="A3778" s="2" t="s">
        <v>223</v>
      </c>
      <c r="B3778" s="2" t="s">
        <v>224</v>
      </c>
      <c r="C3778" s="2">
        <v>2002.0</v>
      </c>
      <c r="D3778" s="9">
        <v>5018.4624</v>
      </c>
      <c r="E3778" s="10" t="str">
        <f t="array" ref="E3778">IFS(D3778&lt;=$G$3,'calculated data '!$A$3,D3778&lt;=$G$4,'calculated data '!$A$4,D3778&lt;=$G$6,'calculated data '!$A$5,D3778&gt;=$G$6,'calculated data '!$A$6)</f>
        <v>Target Market (Core IQR)</v>
      </c>
      <c r="F3778" s="10">
        <f t="shared" si="1"/>
        <v>-0.5303340251</v>
      </c>
    </row>
    <row r="3779" ht="14.25" customHeight="1">
      <c r="A3779" s="2" t="s">
        <v>215</v>
      </c>
      <c r="B3779" s="2" t="s">
        <v>216</v>
      </c>
      <c r="C3779" s="2">
        <v>1988.0</v>
      </c>
      <c r="D3779" s="9">
        <v>5018.639</v>
      </c>
      <c r="E3779" s="10" t="str">
        <f t="array" ref="E3779">IFS(D3779&lt;=$G$3,'calculated data '!$A$3,D3779&lt;=$G$4,'calculated data '!$A$4,D3779&lt;=$G$6,'calculated data '!$A$5,D3779&gt;=$G$6,'calculated data '!$A$6)</f>
        <v>Target Market (Core IQR)</v>
      </c>
      <c r="F3779" s="10">
        <f t="shared" si="1"/>
        <v>-0.5303293505</v>
      </c>
    </row>
    <row r="3780" ht="14.25" customHeight="1">
      <c r="A3780" s="2" t="s">
        <v>209</v>
      </c>
      <c r="B3780" s="2" t="s">
        <v>210</v>
      </c>
      <c r="C3780" s="2">
        <v>2010.0</v>
      </c>
      <c r="D3780" s="9">
        <v>5024.517</v>
      </c>
      <c r="E3780" s="10" t="str">
        <f t="array" ref="E3780">IFS(D3780&lt;=$G$3,'calculated data '!$A$3,D3780&lt;=$G$4,'calculated data '!$A$4,D3780&lt;=$G$6,'calculated data '!$A$5,D3780&gt;=$G$6,'calculated data '!$A$6)</f>
        <v>Target Market (Core IQR)</v>
      </c>
      <c r="F3780" s="10">
        <f t="shared" si="1"/>
        <v>-0.5301737613</v>
      </c>
    </row>
    <row r="3781" ht="14.25" customHeight="1">
      <c r="A3781" s="2" t="s">
        <v>151</v>
      </c>
      <c r="B3781" s="2" t="s">
        <v>152</v>
      </c>
      <c r="C3781" s="2">
        <v>2024.0</v>
      </c>
      <c r="D3781" s="9">
        <v>5031.2837</v>
      </c>
      <c r="E3781" s="10" t="str">
        <f t="array" ref="E3781">IFS(D3781&lt;=$G$3,'calculated data '!$A$3,D3781&lt;=$G$4,'calculated data '!$A$4,D3781&lt;=$G$6,'calculated data '!$A$5,D3781&gt;=$G$6,'calculated data '!$A$6)</f>
        <v>Target Market (Core IQR)</v>
      </c>
      <c r="F3781" s="10">
        <f t="shared" si="1"/>
        <v>-0.5299946485</v>
      </c>
    </row>
    <row r="3782" ht="14.25" customHeight="1">
      <c r="A3782" s="2" t="s">
        <v>209</v>
      </c>
      <c r="B3782" s="2" t="s">
        <v>210</v>
      </c>
      <c r="C3782" s="2">
        <v>2011.0</v>
      </c>
      <c r="D3782" s="9">
        <v>5032.2246</v>
      </c>
      <c r="E3782" s="10" t="str">
        <f t="array" ref="E3782">IFS(D3782&lt;=$G$3,'calculated data '!$A$3,D3782&lt;=$G$4,'calculated data '!$A$4,D3782&lt;=$G$6,'calculated data '!$A$5,D3782&gt;=$G$6,'calculated data '!$A$6)</f>
        <v>Target Market (Core IQR)</v>
      </c>
      <c r="F3782" s="10">
        <f t="shared" si="1"/>
        <v>-0.5299697431</v>
      </c>
    </row>
    <row r="3783" ht="14.25" customHeight="1">
      <c r="A3783" s="2" t="s">
        <v>151</v>
      </c>
      <c r="B3783" s="2" t="s">
        <v>152</v>
      </c>
      <c r="C3783" s="2">
        <v>2025.0</v>
      </c>
      <c r="D3783" s="9">
        <v>5032.6606</v>
      </c>
      <c r="E3783" s="10" t="str">
        <f t="array" ref="E3783">IFS(D3783&lt;=$G$3,'calculated data '!$A$3,D3783&lt;=$G$4,'calculated data '!$A$4,D3783&lt;=$G$6,'calculated data '!$A$5,D3783&gt;=$G$6,'calculated data '!$A$6)</f>
        <v>Target Market (Core IQR)</v>
      </c>
      <c r="F3783" s="10">
        <f t="shared" si="1"/>
        <v>-0.5299582023</v>
      </c>
    </row>
    <row r="3784" ht="14.25" customHeight="1">
      <c r="A3784" s="2" t="s">
        <v>245</v>
      </c>
      <c r="B3784" s="2" t="s">
        <v>246</v>
      </c>
      <c r="C3784" s="2">
        <v>2024.0</v>
      </c>
      <c r="D3784" s="9">
        <v>5042.2227</v>
      </c>
      <c r="E3784" s="10" t="str">
        <f t="array" ref="E3784">IFS(D3784&lt;=$G$3,'calculated data '!$A$3,D3784&lt;=$G$4,'calculated data '!$A$4,D3784&lt;=$G$6,'calculated data '!$A$5,D3784&gt;=$G$6,'calculated data '!$A$6)</f>
        <v>Target Market (Core IQR)</v>
      </c>
      <c r="F3784" s="10">
        <f t="shared" si="1"/>
        <v>-0.5297050959</v>
      </c>
    </row>
    <row r="3785" ht="14.25" customHeight="1">
      <c r="A3785" s="2" t="s">
        <v>163</v>
      </c>
      <c r="B3785" s="2" t="s">
        <v>164</v>
      </c>
      <c r="C3785" s="2">
        <v>2003.0</v>
      </c>
      <c r="D3785" s="9">
        <v>5046.3364</v>
      </c>
      <c r="E3785" s="10" t="str">
        <f t="array" ref="E3785">IFS(D3785&lt;=$G$3,'calculated data '!$A$3,D3785&lt;=$G$4,'calculated data '!$A$4,D3785&lt;=$G$6,'calculated data '!$A$5,D3785&gt;=$G$6,'calculated data '!$A$6)</f>
        <v>Target Market (Core IQR)</v>
      </c>
      <c r="F3785" s="10">
        <f t="shared" si="1"/>
        <v>-0.5295962072</v>
      </c>
    </row>
    <row r="3786" ht="14.25" customHeight="1">
      <c r="A3786" s="2" t="s">
        <v>231</v>
      </c>
      <c r="B3786" s="2" t="s">
        <v>232</v>
      </c>
      <c r="C3786" s="2">
        <v>1974.0</v>
      </c>
      <c r="D3786" s="9">
        <v>5050.347</v>
      </c>
      <c r="E3786" s="10" t="str">
        <f t="array" ref="E3786">IFS(D3786&lt;=$G$3,'calculated data '!$A$3,D3786&lt;=$G$4,'calculated data '!$A$4,D3786&lt;=$G$6,'calculated data '!$A$5,D3786&gt;=$G$6,'calculated data '!$A$6)</f>
        <v>Target Market (Core IQR)</v>
      </c>
      <c r="F3786" s="10">
        <f t="shared" si="1"/>
        <v>-0.5294900477</v>
      </c>
    </row>
    <row r="3787" ht="14.25" customHeight="1">
      <c r="A3787" s="2" t="s">
        <v>163</v>
      </c>
      <c r="B3787" s="2" t="s">
        <v>164</v>
      </c>
      <c r="C3787" s="2">
        <v>2008.0</v>
      </c>
      <c r="D3787" s="9">
        <v>5052.0527</v>
      </c>
      <c r="E3787" s="10" t="str">
        <f t="array" ref="E3787">IFS(D3787&lt;=$G$3,'calculated data '!$A$3,D3787&lt;=$G$4,'calculated data '!$A$4,D3787&lt;=$G$6,'calculated data '!$A$5,D3787&gt;=$G$6,'calculated data '!$A$6)</f>
        <v>Target Market (Core IQR)</v>
      </c>
      <c r="F3787" s="10">
        <f t="shared" si="1"/>
        <v>-0.5294448982</v>
      </c>
    </row>
    <row r="3788" ht="14.25" customHeight="1">
      <c r="A3788" s="2" t="s">
        <v>45</v>
      </c>
      <c r="B3788" s="2" t="s">
        <v>46</v>
      </c>
      <c r="C3788" s="2">
        <v>1980.0</v>
      </c>
      <c r="D3788" s="9">
        <v>5056.0083</v>
      </c>
      <c r="E3788" s="10" t="str">
        <f t="array" ref="E3788">IFS(D3788&lt;=$G$3,'calculated data '!$A$3,D3788&lt;=$G$4,'calculated data '!$A$4,D3788&lt;=$G$6,'calculated data '!$A$5,D3788&gt;=$G$6,'calculated data '!$A$6)</f>
        <v>Target Market (Core IQR)</v>
      </c>
      <c r="F3788" s="10">
        <f t="shared" si="1"/>
        <v>-0.5293401945</v>
      </c>
    </row>
    <row r="3789" ht="14.25" customHeight="1">
      <c r="A3789" s="2" t="s">
        <v>209</v>
      </c>
      <c r="B3789" s="2" t="s">
        <v>210</v>
      </c>
      <c r="C3789" s="2">
        <v>2008.0</v>
      </c>
      <c r="D3789" s="9">
        <v>5063.3213</v>
      </c>
      <c r="E3789" s="10" t="str">
        <f t="array" ref="E3789">IFS(D3789&lt;=$G$3,'calculated data '!$A$3,D3789&lt;=$G$4,'calculated data '!$A$4,D3789&lt;=$G$6,'calculated data '!$A$5,D3789&gt;=$G$6,'calculated data '!$A$6)</f>
        <v>Target Market (Core IQR)</v>
      </c>
      <c r="F3789" s="10">
        <f t="shared" si="1"/>
        <v>-0.5291466212</v>
      </c>
    </row>
    <row r="3790" ht="14.25" customHeight="1">
      <c r="A3790" s="2" t="s">
        <v>255</v>
      </c>
      <c r="B3790" s="2" t="s">
        <v>256</v>
      </c>
      <c r="C3790" s="2">
        <v>2007.0</v>
      </c>
      <c r="D3790" s="9">
        <v>5064.2646</v>
      </c>
      <c r="E3790" s="10" t="str">
        <f t="array" ref="E3790">IFS(D3790&lt;=$G$3,'calculated data '!$A$3,D3790&lt;=$G$4,'calculated data '!$A$4,D3790&lt;=$G$6,'calculated data '!$A$5,D3790&gt;=$G$6,'calculated data '!$A$6)</f>
        <v>Target Market (Core IQR)</v>
      </c>
      <c r="F3790" s="10">
        <f t="shared" si="1"/>
        <v>-0.5291216523</v>
      </c>
    </row>
    <row r="3791" ht="14.25" customHeight="1">
      <c r="A3791" s="2" t="s">
        <v>145</v>
      </c>
      <c r="B3791" s="2" t="s">
        <v>146</v>
      </c>
      <c r="C3791" s="2">
        <v>2016.0</v>
      </c>
      <c r="D3791" s="9">
        <v>5064.2686</v>
      </c>
      <c r="E3791" s="10" t="str">
        <f t="array" ref="E3791">IFS(D3791&lt;=$G$3,'calculated data '!$A$3,D3791&lt;=$G$4,'calculated data '!$A$4,D3791&lt;=$G$6,'calculated data '!$A$5,D3791&gt;=$G$6,'calculated data '!$A$6)</f>
        <v>Target Market (Core IQR)</v>
      </c>
      <c r="F3791" s="10">
        <f t="shared" si="1"/>
        <v>-0.5291215464</v>
      </c>
    </row>
    <row r="3792" ht="14.25" customHeight="1">
      <c r="A3792" s="2" t="s">
        <v>259</v>
      </c>
      <c r="B3792" s="2" t="s">
        <v>260</v>
      </c>
      <c r="C3792" s="2">
        <v>1986.0</v>
      </c>
      <c r="D3792" s="9">
        <v>5065.451</v>
      </c>
      <c r="E3792" s="10" t="str">
        <f t="array" ref="E3792">IFS(D3792&lt;=$G$3,'calculated data '!$A$3,D3792&lt;=$G$4,'calculated data '!$A$4,D3792&lt;=$G$6,'calculated data '!$A$5,D3792&gt;=$G$6,'calculated data '!$A$6)</f>
        <v>Target Market (Core IQR)</v>
      </c>
      <c r="F3792" s="10">
        <f t="shared" si="1"/>
        <v>-0.5290902485</v>
      </c>
    </row>
    <row r="3793" ht="14.25" customHeight="1">
      <c r="A3793" s="2" t="s">
        <v>221</v>
      </c>
      <c r="B3793" s="2" t="s">
        <v>222</v>
      </c>
      <c r="C3793" s="2">
        <v>1970.0</v>
      </c>
      <c r="D3793" s="9">
        <v>5072.703</v>
      </c>
      <c r="E3793" s="10" t="str">
        <f t="array" ref="E3793">IFS(D3793&lt;=$G$3,'calculated data '!$A$3,D3793&lt;=$G$4,'calculated data '!$A$4,D3793&lt;=$G$6,'calculated data '!$A$5,D3793&gt;=$G$6,'calculated data '!$A$6)</f>
        <v>Target Market (Core IQR)</v>
      </c>
      <c r="F3793" s="10">
        <f t="shared" si="1"/>
        <v>-0.5288982899</v>
      </c>
    </row>
    <row r="3794" ht="14.25" customHeight="1">
      <c r="A3794" s="2" t="s">
        <v>249</v>
      </c>
      <c r="B3794" s="2" t="s">
        <v>250</v>
      </c>
      <c r="C3794" s="2">
        <v>1974.0</v>
      </c>
      <c r="D3794" s="9">
        <v>5076.3413</v>
      </c>
      <c r="E3794" s="10" t="str">
        <f t="array" ref="E3794">IFS(D3794&lt;=$G$3,'calculated data '!$A$3,D3794&lt;=$G$4,'calculated data '!$A$4,D3794&lt;=$G$6,'calculated data '!$A$5,D3794&gt;=$G$6,'calculated data '!$A$6)</f>
        <v>Target Market (Core IQR)</v>
      </c>
      <c r="F3794" s="10">
        <f t="shared" si="1"/>
        <v>-0.528801985</v>
      </c>
    </row>
    <row r="3795" ht="14.25" customHeight="1">
      <c r="A3795" s="2" t="s">
        <v>229</v>
      </c>
      <c r="B3795" s="2" t="s">
        <v>230</v>
      </c>
      <c r="C3795" s="2">
        <v>1977.0</v>
      </c>
      <c r="D3795" s="9">
        <v>5077.788</v>
      </c>
      <c r="E3795" s="10" t="str">
        <f t="array" ref="E3795">IFS(D3795&lt;=$G$3,'calculated data '!$A$3,D3795&lt;=$G$4,'calculated data '!$A$4,D3795&lt;=$G$6,'calculated data '!$A$5,D3795&gt;=$G$6,'calculated data '!$A$6)</f>
        <v>Target Market (Core IQR)</v>
      </c>
      <c r="F3795" s="10">
        <f t="shared" si="1"/>
        <v>-0.5287636912</v>
      </c>
    </row>
    <row r="3796" ht="14.25" customHeight="1">
      <c r="A3796" s="2" t="s">
        <v>275</v>
      </c>
      <c r="B3796" s="2" t="s">
        <v>276</v>
      </c>
      <c r="C3796" s="2">
        <v>1991.0</v>
      </c>
      <c r="D3796" s="9">
        <v>5078.9175</v>
      </c>
      <c r="E3796" s="10" t="str">
        <f t="array" ref="E3796">IFS(D3796&lt;=$G$3,'calculated data '!$A$3,D3796&lt;=$G$4,'calculated data '!$A$4,D3796&lt;=$G$6,'calculated data '!$A$5,D3796&gt;=$G$6,'calculated data '!$A$6)</f>
        <v>Target Market (Core IQR)</v>
      </c>
      <c r="F3796" s="10">
        <f t="shared" si="1"/>
        <v>-0.5287337936</v>
      </c>
    </row>
    <row r="3797" ht="14.25" customHeight="1">
      <c r="A3797" s="2" t="s">
        <v>247</v>
      </c>
      <c r="B3797" s="2" t="s">
        <v>248</v>
      </c>
      <c r="C3797" s="2">
        <v>1990.0</v>
      </c>
      <c r="D3797" s="9">
        <v>5079.8286</v>
      </c>
      <c r="E3797" s="10" t="str">
        <f t="array" ref="E3797">IFS(D3797&lt;=$G$3,'calculated data '!$A$3,D3797&lt;=$G$4,'calculated data '!$A$4,D3797&lt;=$G$6,'calculated data '!$A$5,D3797&gt;=$G$6,'calculated data '!$A$6)</f>
        <v>Target Market (Core IQR)</v>
      </c>
      <c r="F3797" s="10">
        <f t="shared" si="1"/>
        <v>-0.528709677</v>
      </c>
    </row>
    <row r="3798" ht="14.25" customHeight="1">
      <c r="A3798" s="2" t="s">
        <v>251</v>
      </c>
      <c r="B3798" s="2" t="s">
        <v>252</v>
      </c>
      <c r="C3798" s="2">
        <v>1995.0</v>
      </c>
      <c r="D3798" s="9">
        <v>5081.8726</v>
      </c>
      <c r="E3798" s="10" t="str">
        <f t="array" ref="E3798">IFS(D3798&lt;=$G$3,'calculated data '!$A$3,D3798&lt;=$G$4,'calculated data '!$A$4,D3798&lt;=$G$6,'calculated data '!$A$5,D3798&gt;=$G$6,'calculated data '!$A$6)</f>
        <v>Target Market (Core IQR)</v>
      </c>
      <c r="F3798" s="10">
        <f t="shared" si="1"/>
        <v>-0.5286555729</v>
      </c>
    </row>
    <row r="3799" ht="14.25" customHeight="1">
      <c r="A3799" s="2" t="s">
        <v>245</v>
      </c>
      <c r="B3799" s="2" t="s">
        <v>246</v>
      </c>
      <c r="C3799" s="2">
        <v>2002.0</v>
      </c>
      <c r="D3799" s="9">
        <v>5083.2173</v>
      </c>
      <c r="E3799" s="10" t="str">
        <f t="array" ref="E3799">IFS(D3799&lt;=$G$3,'calculated data '!$A$3,D3799&lt;=$G$4,'calculated data '!$A$4,D3799&lt;=$G$6,'calculated data '!$A$5,D3799&gt;=$G$6,'calculated data '!$A$6)</f>
        <v>Target Market (Core IQR)</v>
      </c>
      <c r="F3799" s="10">
        <f t="shared" si="1"/>
        <v>-0.528619979</v>
      </c>
    </row>
    <row r="3800" ht="14.25" customHeight="1">
      <c r="A3800" s="2" t="s">
        <v>255</v>
      </c>
      <c r="B3800" s="2" t="s">
        <v>256</v>
      </c>
      <c r="C3800" s="2">
        <v>1978.0</v>
      </c>
      <c r="D3800" s="9">
        <v>5083.9565</v>
      </c>
      <c r="E3800" s="10" t="str">
        <f t="array" ref="E3800">IFS(D3800&lt;=$G$3,'calculated data '!$A$3,D3800&lt;=$G$4,'calculated data '!$A$4,D3800&lt;=$G$6,'calculated data '!$A$5,D3800&gt;=$G$6,'calculated data '!$A$6)</f>
        <v>Target Market (Core IQR)</v>
      </c>
      <c r="F3800" s="10">
        <f t="shared" si="1"/>
        <v>-0.5286004126</v>
      </c>
    </row>
    <row r="3801" ht="14.25" customHeight="1">
      <c r="A3801" s="2" t="s">
        <v>261</v>
      </c>
      <c r="B3801" s="2" t="s">
        <v>262</v>
      </c>
      <c r="C3801" s="2">
        <v>1989.0</v>
      </c>
      <c r="D3801" s="9">
        <v>5084.04</v>
      </c>
      <c r="E3801" s="10" t="str">
        <f t="array" ref="E3801">IFS(D3801&lt;=$G$3,'calculated data '!$A$3,D3801&lt;=$G$4,'calculated data '!$A$4,D3801&lt;=$G$6,'calculated data '!$A$5,D3801&gt;=$G$6,'calculated data '!$A$6)</f>
        <v>Target Market (Core IQR)</v>
      </c>
      <c r="F3801" s="10">
        <f t="shared" si="1"/>
        <v>-0.5285982023</v>
      </c>
    </row>
    <row r="3802" ht="14.25" customHeight="1">
      <c r="A3802" s="2" t="s">
        <v>255</v>
      </c>
      <c r="B3802" s="2" t="s">
        <v>256</v>
      </c>
      <c r="C3802" s="2">
        <v>1966.0</v>
      </c>
      <c r="D3802" s="9">
        <v>5091.3735</v>
      </c>
      <c r="E3802" s="10" t="str">
        <f t="array" ref="E3802">IFS(D3802&lt;=$G$3,'calculated data '!$A$3,D3802&lt;=$G$4,'calculated data '!$A$4,D3802&lt;=$G$6,'calculated data '!$A$5,D3802&gt;=$G$6,'calculated data '!$A$6)</f>
        <v>Target Market (Core IQR)</v>
      </c>
      <c r="F3802" s="10">
        <f t="shared" si="1"/>
        <v>-0.5284040864</v>
      </c>
    </row>
    <row r="3803" ht="14.25" customHeight="1">
      <c r="A3803" s="2" t="s">
        <v>237</v>
      </c>
      <c r="B3803" s="2" t="s">
        <v>238</v>
      </c>
      <c r="C3803" s="2">
        <v>1993.0</v>
      </c>
      <c r="D3803" s="9">
        <v>5092.5454</v>
      </c>
      <c r="E3803" s="10" t="str">
        <f t="array" ref="E3803">IFS(D3803&lt;=$G$3,'calculated data '!$A$3,D3803&lt;=$G$4,'calculated data '!$A$4,D3803&lt;=$G$6,'calculated data '!$A$5,D3803&gt;=$G$6,'calculated data '!$A$6)</f>
        <v>Target Market (Core IQR)</v>
      </c>
      <c r="F3803" s="10">
        <f t="shared" si="1"/>
        <v>-0.5283730665</v>
      </c>
    </row>
    <row r="3804" ht="14.25" customHeight="1">
      <c r="A3804" s="2" t="s">
        <v>51</v>
      </c>
      <c r="B3804" s="2" t="s">
        <v>52</v>
      </c>
      <c r="C3804" s="2">
        <v>2006.0</v>
      </c>
      <c r="D3804" s="9">
        <v>5093.35</v>
      </c>
      <c r="E3804" s="10" t="str">
        <f t="array" ref="E3804">IFS(D3804&lt;=$G$3,'calculated data '!$A$3,D3804&lt;=$G$4,'calculated data '!$A$4,D3804&lt;=$G$6,'calculated data '!$A$5,D3804&gt;=$G$6,'calculated data '!$A$6)</f>
        <v>Target Market (Core IQR)</v>
      </c>
      <c r="F3804" s="10">
        <f t="shared" si="1"/>
        <v>-0.528351769</v>
      </c>
    </row>
    <row r="3805" ht="14.25" customHeight="1">
      <c r="A3805" s="2" t="s">
        <v>45</v>
      </c>
      <c r="B3805" s="2" t="s">
        <v>46</v>
      </c>
      <c r="C3805" s="2">
        <v>1981.0</v>
      </c>
      <c r="D3805" s="9">
        <v>5094.3237</v>
      </c>
      <c r="E3805" s="10" t="str">
        <f t="array" ref="E3805">IFS(D3805&lt;=$G$3,'calculated data '!$A$3,D3805&lt;=$G$4,'calculated data '!$A$4,D3805&lt;=$G$6,'calculated data '!$A$5,D3805&gt;=$G$6,'calculated data '!$A$6)</f>
        <v>Target Market (Core IQR)</v>
      </c>
      <c r="F3805" s="10">
        <f t="shared" si="1"/>
        <v>-0.5283259954</v>
      </c>
    </row>
    <row r="3806" ht="14.25" customHeight="1">
      <c r="A3806" s="2" t="s">
        <v>239</v>
      </c>
      <c r="B3806" s="2" t="s">
        <v>240</v>
      </c>
      <c r="C3806" s="2">
        <v>2011.0</v>
      </c>
      <c r="D3806" s="9">
        <v>5094.8467</v>
      </c>
      <c r="E3806" s="10" t="str">
        <f t="array" ref="E3806">IFS(D3806&lt;=$G$3,'calculated data '!$A$3,D3806&lt;=$G$4,'calculated data '!$A$4,D3806&lt;=$G$6,'calculated data '!$A$5,D3806&gt;=$G$6,'calculated data '!$A$6)</f>
        <v>Target Market (Core IQR)</v>
      </c>
      <c r="F3806" s="10">
        <f t="shared" si="1"/>
        <v>-0.5283121517</v>
      </c>
    </row>
    <row r="3807" ht="14.25" customHeight="1">
      <c r="A3807" s="2" t="s">
        <v>41</v>
      </c>
      <c r="B3807" s="2" t="s">
        <v>42</v>
      </c>
      <c r="C3807" s="2">
        <v>2011.0</v>
      </c>
      <c r="D3807" s="9">
        <v>5094.9917</v>
      </c>
      <c r="E3807" s="10" t="str">
        <f t="array" ref="E3807">IFS(D3807&lt;=$G$3,'calculated data '!$A$3,D3807&lt;=$G$4,'calculated data '!$A$4,D3807&lt;=$G$6,'calculated data '!$A$5,D3807&gt;=$G$6,'calculated data '!$A$6)</f>
        <v>Target Market (Core IQR)</v>
      </c>
      <c r="F3807" s="10">
        <f t="shared" si="1"/>
        <v>-0.5283083136</v>
      </c>
    </row>
    <row r="3808" ht="14.25" customHeight="1">
      <c r="A3808" s="2" t="s">
        <v>231</v>
      </c>
      <c r="B3808" s="2" t="s">
        <v>232</v>
      </c>
      <c r="C3808" s="2">
        <v>1973.0</v>
      </c>
      <c r="D3808" s="9">
        <v>5097.342</v>
      </c>
      <c r="E3808" s="10" t="str">
        <f t="array" ref="E3808">IFS(D3808&lt;=$G$3,'calculated data '!$A$3,D3808&lt;=$G$4,'calculated data '!$A$4,D3808&lt;=$G$6,'calculated data '!$A$5,D3808&gt;=$G$6,'calculated data '!$A$6)</f>
        <v>Target Market (Core IQR)</v>
      </c>
      <c r="F3808" s="10">
        <f t="shared" si="1"/>
        <v>-0.5282461017</v>
      </c>
    </row>
    <row r="3809" ht="14.25" customHeight="1">
      <c r="A3809" s="2" t="s">
        <v>249</v>
      </c>
      <c r="B3809" s="2" t="s">
        <v>250</v>
      </c>
      <c r="C3809" s="2">
        <v>1973.0</v>
      </c>
      <c r="D3809" s="9">
        <v>5107.9556</v>
      </c>
      <c r="E3809" s="10" t="str">
        <f t="array" ref="E3809">IFS(D3809&lt;=$G$3,'calculated data '!$A$3,D3809&lt;=$G$4,'calculated data '!$A$4,D3809&lt;=$G$6,'calculated data '!$A$5,D3809&gt;=$G$6,'calculated data '!$A$6)</f>
        <v>Target Market (Core IQR)</v>
      </c>
      <c r="F3809" s="10">
        <f t="shared" si="1"/>
        <v>-0.5279651624</v>
      </c>
    </row>
    <row r="3810" ht="14.25" customHeight="1">
      <c r="A3810" s="2" t="s">
        <v>239</v>
      </c>
      <c r="B3810" s="2" t="s">
        <v>240</v>
      </c>
      <c r="C3810" s="2">
        <v>2016.0</v>
      </c>
      <c r="D3810" s="9">
        <v>5110.4253</v>
      </c>
      <c r="E3810" s="10" t="str">
        <f t="array" ref="E3810">IFS(D3810&lt;=$G$3,'calculated data '!$A$3,D3810&lt;=$G$4,'calculated data '!$A$4,D3810&lt;=$G$6,'calculated data '!$A$5,D3810&gt;=$G$6,'calculated data '!$A$6)</f>
        <v>Target Market (Core IQR)</v>
      </c>
      <c r="F3810" s="10">
        <f t="shared" si="1"/>
        <v>-0.52789979</v>
      </c>
    </row>
    <row r="3811" ht="14.25" customHeight="1">
      <c r="A3811" s="2" t="s">
        <v>283</v>
      </c>
      <c r="B3811" s="2" t="s">
        <v>284</v>
      </c>
      <c r="C3811" s="2">
        <v>1965.0</v>
      </c>
      <c r="D3811" s="9">
        <v>5113.2593</v>
      </c>
      <c r="E3811" s="10" t="str">
        <f t="array" ref="E3811">IFS(D3811&lt;=$G$3,'calculated data '!$A$3,D3811&lt;=$G$4,'calculated data '!$A$4,D3811&lt;=$G$6,'calculated data '!$A$5,D3811&gt;=$G$6,'calculated data '!$A$6)</f>
        <v>Target Market (Core IQR)</v>
      </c>
      <c r="F3811" s="10">
        <f t="shared" si="1"/>
        <v>-0.5278247747</v>
      </c>
    </row>
    <row r="3812" ht="14.25" customHeight="1">
      <c r="A3812" s="2" t="s">
        <v>209</v>
      </c>
      <c r="B3812" s="2" t="s">
        <v>210</v>
      </c>
      <c r="C3812" s="2">
        <v>2014.0</v>
      </c>
      <c r="D3812" s="9">
        <v>5116.3447</v>
      </c>
      <c r="E3812" s="10" t="str">
        <f t="array" ref="E3812">IFS(D3812&lt;=$G$3,'calculated data '!$A$3,D3812&lt;=$G$4,'calculated data '!$A$4,D3812&lt;=$G$6,'calculated data '!$A$5,D3812&gt;=$G$6,'calculated data '!$A$6)</f>
        <v>Target Market (Core IQR)</v>
      </c>
      <c r="F3812" s="10">
        <f t="shared" si="1"/>
        <v>-0.527743105</v>
      </c>
    </row>
    <row r="3813" ht="14.25" customHeight="1">
      <c r="A3813" s="2" t="s">
        <v>249</v>
      </c>
      <c r="B3813" s="2" t="s">
        <v>250</v>
      </c>
      <c r="C3813" s="2">
        <v>1975.0</v>
      </c>
      <c r="D3813" s="9">
        <v>5117.486</v>
      </c>
      <c r="E3813" s="10" t="str">
        <f t="array" ref="E3813">IFS(D3813&lt;=$G$3,'calculated data '!$A$3,D3813&lt;=$G$4,'calculated data '!$A$4,D3813&lt;=$G$6,'calculated data '!$A$5,D3813&gt;=$G$6,'calculated data '!$A$6)</f>
        <v>Target Market (Core IQR)</v>
      </c>
      <c r="F3813" s="10">
        <f t="shared" si="1"/>
        <v>-0.527712895</v>
      </c>
    </row>
    <row r="3814" ht="14.25" customHeight="1">
      <c r="A3814" s="2" t="s">
        <v>143</v>
      </c>
      <c r="B3814" s="2" t="s">
        <v>144</v>
      </c>
      <c r="C3814" s="2">
        <v>2022.0</v>
      </c>
      <c r="D3814" s="9">
        <v>5117.871</v>
      </c>
      <c r="E3814" s="10" t="str">
        <f t="array" ref="E3814">IFS(D3814&lt;=$G$3,'calculated data '!$A$3,D3814&lt;=$G$4,'calculated data '!$A$4,D3814&lt;=$G$6,'calculated data '!$A$5,D3814&gt;=$G$6,'calculated data '!$A$6)</f>
        <v>Target Market (Core IQR)</v>
      </c>
      <c r="F3814" s="10">
        <f t="shared" si="1"/>
        <v>-0.5277027042</v>
      </c>
    </row>
    <row r="3815" ht="14.25" customHeight="1">
      <c r="A3815" s="2" t="s">
        <v>255</v>
      </c>
      <c r="B3815" s="2" t="s">
        <v>256</v>
      </c>
      <c r="C3815" s="2">
        <v>1979.0</v>
      </c>
      <c r="D3815" s="9">
        <v>5117.8877</v>
      </c>
      <c r="E3815" s="10" t="str">
        <f t="array" ref="E3815">IFS(D3815&lt;=$G$3,'calculated data '!$A$3,D3815&lt;=$G$4,'calculated data '!$A$4,D3815&lt;=$G$6,'calculated data '!$A$5,D3815&gt;=$G$6,'calculated data '!$A$6)</f>
        <v>Target Market (Core IQR)</v>
      </c>
      <c r="F3815" s="10">
        <f t="shared" si="1"/>
        <v>-0.5277022622</v>
      </c>
    </row>
    <row r="3816" ht="14.25" customHeight="1">
      <c r="A3816" s="2" t="s">
        <v>239</v>
      </c>
      <c r="B3816" s="2" t="s">
        <v>240</v>
      </c>
      <c r="C3816" s="2">
        <v>2022.0</v>
      </c>
      <c r="D3816" s="9">
        <v>5125.024</v>
      </c>
      <c r="E3816" s="10" t="str">
        <f t="array" ref="E3816">IFS(D3816&lt;=$G$3,'calculated data '!$A$3,D3816&lt;=$G$4,'calculated data '!$A$4,D3816&lt;=$G$6,'calculated data '!$A$5,D3816&gt;=$G$6,'calculated data '!$A$6)</f>
        <v>Target Market (Core IQR)</v>
      </c>
      <c r="F3816" s="10">
        <f t="shared" si="1"/>
        <v>-0.5275133661</v>
      </c>
    </row>
    <row r="3817" ht="14.25" customHeight="1">
      <c r="A3817" s="2" t="s">
        <v>193</v>
      </c>
      <c r="B3817" s="2" t="s">
        <v>194</v>
      </c>
      <c r="C3817" s="2">
        <v>2020.0</v>
      </c>
      <c r="D3817" s="9">
        <v>5128.443</v>
      </c>
      <c r="E3817" s="10" t="str">
        <f t="array" ref="E3817">IFS(D3817&lt;=$G$3,'calculated data '!$A$3,D3817&lt;=$G$4,'calculated data '!$A$4,D3817&lt;=$G$6,'calculated data '!$A$5,D3817&gt;=$G$6,'calculated data '!$A$6)</f>
        <v>Target Market (Core IQR)</v>
      </c>
      <c r="F3817" s="10">
        <f t="shared" si="1"/>
        <v>-0.527422866</v>
      </c>
    </row>
    <row r="3818" ht="14.25" customHeight="1">
      <c r="A3818" s="2" t="s">
        <v>275</v>
      </c>
      <c r="B3818" s="2" t="s">
        <v>276</v>
      </c>
      <c r="C3818" s="2">
        <v>1985.0</v>
      </c>
      <c r="D3818" s="9">
        <v>5130.574</v>
      </c>
      <c r="E3818" s="10" t="str">
        <f t="array" ref="E3818">IFS(D3818&lt;=$G$3,'calculated data '!$A$3,D3818&lt;=$G$4,'calculated data '!$A$4,D3818&lt;=$G$6,'calculated data '!$A$5,D3818&gt;=$G$6,'calculated data '!$A$6)</f>
        <v>Target Market (Core IQR)</v>
      </c>
      <c r="F3818" s="10">
        <f t="shared" si="1"/>
        <v>-0.5273664589</v>
      </c>
    </row>
    <row r="3819" ht="14.25" customHeight="1">
      <c r="A3819" s="2" t="s">
        <v>223</v>
      </c>
      <c r="B3819" s="2" t="s">
        <v>224</v>
      </c>
      <c r="C3819" s="2">
        <v>2003.0</v>
      </c>
      <c r="D3819" s="9">
        <v>5131.687</v>
      </c>
      <c r="E3819" s="10" t="str">
        <f t="array" ref="E3819">IFS(D3819&lt;=$G$3,'calculated data '!$A$3,D3819&lt;=$G$4,'calculated data '!$A$4,D3819&lt;=$G$6,'calculated data '!$A$5,D3819&gt;=$G$6,'calculated data '!$A$6)</f>
        <v>Target Market (Core IQR)</v>
      </c>
      <c r="F3819" s="10">
        <f t="shared" si="1"/>
        <v>-0.5273369981</v>
      </c>
    </row>
    <row r="3820" ht="14.25" customHeight="1">
      <c r="A3820" s="2" t="s">
        <v>269</v>
      </c>
      <c r="B3820" s="2" t="s">
        <v>270</v>
      </c>
      <c r="C3820" s="2">
        <v>2020.0</v>
      </c>
      <c r="D3820" s="9">
        <v>5133.1445</v>
      </c>
      <c r="E3820" s="10" t="str">
        <f t="array" ref="E3820">IFS(D3820&lt;=$G$3,'calculated data '!$A$3,D3820&lt;=$G$4,'calculated data '!$A$4,D3820&lt;=$G$6,'calculated data '!$A$5,D3820&gt;=$G$6,'calculated data '!$A$6)</f>
        <v>Target Market (Core IQR)</v>
      </c>
      <c r="F3820" s="10">
        <f t="shared" si="1"/>
        <v>-0.5272984185</v>
      </c>
    </row>
    <row r="3821" ht="14.25" customHeight="1">
      <c r="A3821" s="2" t="s">
        <v>209</v>
      </c>
      <c r="B3821" s="2" t="s">
        <v>210</v>
      </c>
      <c r="C3821" s="2">
        <v>2006.0</v>
      </c>
      <c r="D3821" s="9">
        <v>5134.85</v>
      </c>
      <c r="E3821" s="10" t="str">
        <f t="array" ref="E3821">IFS(D3821&lt;=$G$3,'calculated data '!$A$3,D3821&lt;=$G$4,'calculated data '!$A$4,D3821&lt;=$G$6,'calculated data '!$A$5,D3821&gt;=$G$6,'calculated data '!$A$6)</f>
        <v>Target Market (Core IQR)</v>
      </c>
      <c r="F3821" s="10">
        <f t="shared" si="1"/>
        <v>-0.5272532743</v>
      </c>
    </row>
    <row r="3822" ht="14.25" customHeight="1">
      <c r="A3822" s="2" t="s">
        <v>163</v>
      </c>
      <c r="B3822" s="2" t="s">
        <v>164</v>
      </c>
      <c r="C3822" s="2">
        <v>1994.0</v>
      </c>
      <c r="D3822" s="9">
        <v>5135.1724</v>
      </c>
      <c r="E3822" s="10" t="str">
        <f t="array" ref="E3822">IFS(D3822&lt;=$G$3,'calculated data '!$A$3,D3822&lt;=$G$4,'calculated data '!$A$4,D3822&lt;=$G$6,'calculated data '!$A$5,D3822&gt;=$G$6,'calculated data '!$A$6)</f>
        <v>Target Market (Core IQR)</v>
      </c>
      <c r="F3822" s="10">
        <f t="shared" si="1"/>
        <v>-0.5272447404</v>
      </c>
    </row>
    <row r="3823" ht="14.25" customHeight="1">
      <c r="A3823" s="2" t="s">
        <v>209</v>
      </c>
      <c r="B3823" s="2" t="s">
        <v>210</v>
      </c>
      <c r="C3823" s="2">
        <v>2012.0</v>
      </c>
      <c r="D3823" s="9">
        <v>5140.093</v>
      </c>
      <c r="E3823" s="10" t="str">
        <f t="array" ref="E3823">IFS(D3823&lt;=$G$3,'calculated data '!$A$3,D3823&lt;=$G$4,'calculated data '!$A$4,D3823&lt;=$G$6,'calculated data '!$A$5,D3823&gt;=$G$6,'calculated data '!$A$6)</f>
        <v>Target Market (Core IQR)</v>
      </c>
      <c r="F3823" s="10">
        <f t="shared" si="1"/>
        <v>-0.5271144934</v>
      </c>
    </row>
    <row r="3824" ht="14.25" customHeight="1">
      <c r="A3824" s="2" t="s">
        <v>129</v>
      </c>
      <c r="B3824" s="2" t="s">
        <v>130</v>
      </c>
      <c r="C3824" s="2">
        <v>1999.0</v>
      </c>
      <c r="D3824" s="9">
        <v>5140.1675</v>
      </c>
      <c r="E3824" s="10" t="str">
        <f t="array" ref="E3824">IFS(D3824&lt;=$G$3,'calculated data '!$A$3,D3824&lt;=$G$4,'calculated data '!$A$4,D3824&lt;=$G$6,'calculated data '!$A$5,D3824&gt;=$G$6,'calculated data '!$A$6)</f>
        <v>Target Market (Core IQR)</v>
      </c>
      <c r="F3824" s="10">
        <f t="shared" si="1"/>
        <v>-0.5271125214</v>
      </c>
    </row>
    <row r="3825" ht="14.25" customHeight="1">
      <c r="A3825" s="2" t="s">
        <v>247</v>
      </c>
      <c r="B3825" s="2" t="s">
        <v>248</v>
      </c>
      <c r="C3825" s="2">
        <v>1991.0</v>
      </c>
      <c r="D3825" s="9">
        <v>5141.377</v>
      </c>
      <c r="E3825" s="10" t="str">
        <f t="array" ref="E3825">IFS(D3825&lt;=$G$3,'calculated data '!$A$3,D3825&lt;=$G$4,'calculated data '!$A$4,D3825&lt;=$G$6,'calculated data '!$A$5,D3825&gt;=$G$6,'calculated data '!$A$6)</f>
        <v>Target Market (Core IQR)</v>
      </c>
      <c r="F3825" s="10">
        <f t="shared" si="1"/>
        <v>-0.5270805062</v>
      </c>
    </row>
    <row r="3826" ht="14.25" customHeight="1">
      <c r="A3826" s="2" t="s">
        <v>199</v>
      </c>
      <c r="B3826" s="2" t="s">
        <v>200</v>
      </c>
      <c r="C3826" s="2">
        <v>2020.0</v>
      </c>
      <c r="D3826" s="9">
        <v>5145.0933</v>
      </c>
      <c r="E3826" s="10" t="str">
        <f t="array" ref="E3826">IFS(D3826&lt;=$G$3,'calculated data '!$A$3,D3826&lt;=$G$4,'calculated data '!$A$4,D3826&lt;=$G$6,'calculated data '!$A$5,D3826&gt;=$G$6,'calculated data '!$A$6)</f>
        <v>Target Market (Core IQR)</v>
      </c>
      <c r="F3826" s="10">
        <f t="shared" si="1"/>
        <v>-0.5269821367</v>
      </c>
    </row>
    <row r="3827" ht="14.25" customHeight="1">
      <c r="A3827" s="2" t="s">
        <v>41</v>
      </c>
      <c r="B3827" s="2" t="s">
        <v>42</v>
      </c>
      <c r="C3827" s="2">
        <v>2007.0</v>
      </c>
      <c r="D3827" s="9">
        <v>5145.256</v>
      </c>
      <c r="E3827" s="10" t="str">
        <f t="array" ref="E3827">IFS(D3827&lt;=$G$3,'calculated data '!$A$3,D3827&lt;=$G$4,'calculated data '!$A$4,D3827&lt;=$G$6,'calculated data '!$A$5,D3827&gt;=$G$6,'calculated data '!$A$6)</f>
        <v>Target Market (Core IQR)</v>
      </c>
      <c r="F3827" s="10">
        <f t="shared" si="1"/>
        <v>-0.5269778301</v>
      </c>
    </row>
    <row r="3828" ht="14.25" customHeight="1">
      <c r="A3828" s="2" t="s">
        <v>193</v>
      </c>
      <c r="B3828" s="2" t="s">
        <v>194</v>
      </c>
      <c r="C3828" s="2">
        <v>2016.0</v>
      </c>
      <c r="D3828" s="9">
        <v>5149.9873</v>
      </c>
      <c r="E3828" s="10" t="str">
        <f t="array" ref="E3828">IFS(D3828&lt;=$G$3,'calculated data '!$A$3,D3828&lt;=$G$4,'calculated data '!$A$4,D3828&lt;=$G$6,'calculated data '!$A$5,D3828&gt;=$G$6,'calculated data '!$A$6)</f>
        <v>Target Market (Core IQR)</v>
      </c>
      <c r="F3828" s="10">
        <f t="shared" si="1"/>
        <v>-0.5268525937</v>
      </c>
    </row>
    <row r="3829" ht="14.25" customHeight="1">
      <c r="A3829" s="2" t="s">
        <v>41</v>
      </c>
      <c r="B3829" s="2" t="s">
        <v>42</v>
      </c>
      <c r="C3829" s="2">
        <v>2004.0</v>
      </c>
      <c r="D3829" s="9">
        <v>5153.893</v>
      </c>
      <c r="E3829" s="10" t="str">
        <f t="array" ref="E3829">IFS(D3829&lt;=$G$3,'calculated data '!$A$3,D3829&lt;=$G$4,'calculated data '!$A$4,D3829&lt;=$G$6,'calculated data '!$A$5,D3829&gt;=$G$6,'calculated data '!$A$6)</f>
        <v>Target Market (Core IQR)</v>
      </c>
      <c r="F3829" s="10">
        <f t="shared" si="1"/>
        <v>-0.5267492108</v>
      </c>
    </row>
    <row r="3830" ht="14.25" customHeight="1">
      <c r="A3830" s="2" t="s">
        <v>223</v>
      </c>
      <c r="B3830" s="2" t="s">
        <v>224</v>
      </c>
      <c r="C3830" s="2">
        <v>2004.0</v>
      </c>
      <c r="D3830" s="9">
        <v>5160.1953</v>
      </c>
      <c r="E3830" s="10" t="str">
        <f t="array" ref="E3830">IFS(D3830&lt;=$G$3,'calculated data '!$A$3,D3830&lt;=$G$4,'calculated data '!$A$4,D3830&lt;=$G$6,'calculated data '!$A$5,D3830&gt;=$G$6,'calculated data '!$A$6)</f>
        <v>Target Market (Core IQR)</v>
      </c>
      <c r="F3830" s="10">
        <f t="shared" si="1"/>
        <v>-0.5265823905</v>
      </c>
    </row>
    <row r="3831" ht="14.25" customHeight="1">
      <c r="A3831" s="2" t="s">
        <v>159</v>
      </c>
      <c r="B3831" s="2" t="s">
        <v>160</v>
      </c>
      <c r="C3831" s="2">
        <v>2007.0</v>
      </c>
      <c r="D3831" s="9">
        <v>5164.738</v>
      </c>
      <c r="E3831" s="10" t="str">
        <f t="array" ref="E3831">IFS(D3831&lt;=$G$3,'calculated data '!$A$3,D3831&lt;=$G$4,'calculated data '!$A$4,D3831&lt;=$G$6,'calculated data '!$A$5,D3831&gt;=$G$6,'calculated data '!$A$6)</f>
        <v>Target Market (Core IQR)</v>
      </c>
      <c r="F3831" s="10">
        <f t="shared" si="1"/>
        <v>-0.5264621464</v>
      </c>
    </row>
    <row r="3832" ht="14.25" customHeight="1">
      <c r="A3832" s="2" t="s">
        <v>259</v>
      </c>
      <c r="B3832" s="2" t="s">
        <v>260</v>
      </c>
      <c r="C3832" s="2">
        <v>1987.0</v>
      </c>
      <c r="D3832" s="9">
        <v>5167.503</v>
      </c>
      <c r="E3832" s="10" t="str">
        <f t="array" ref="E3832">IFS(D3832&lt;=$G$3,'calculated data '!$A$3,D3832&lt;=$G$4,'calculated data '!$A$4,D3832&lt;=$G$6,'calculated data '!$A$5,D3832&gt;=$G$6,'calculated data '!$A$6)</f>
        <v>Target Market (Core IQR)</v>
      </c>
      <c r="F3832" s="10">
        <f t="shared" si="1"/>
        <v>-0.5263889575</v>
      </c>
    </row>
    <row r="3833" ht="14.25" customHeight="1">
      <c r="A3833" s="2" t="s">
        <v>245</v>
      </c>
      <c r="B3833" s="2" t="s">
        <v>246</v>
      </c>
      <c r="C3833" s="2">
        <v>2006.0</v>
      </c>
      <c r="D3833" s="9">
        <v>5168.557</v>
      </c>
      <c r="E3833" s="10" t="str">
        <f t="array" ref="E3833">IFS(D3833&lt;=$G$3,'calculated data '!$A$3,D3833&lt;=$G$4,'calculated data '!$A$4,D3833&lt;=$G$6,'calculated data '!$A$5,D3833&gt;=$G$6,'calculated data '!$A$6)</f>
        <v>Target Market (Core IQR)</v>
      </c>
      <c r="F3833" s="10">
        <f t="shared" si="1"/>
        <v>-0.5263610584</v>
      </c>
    </row>
    <row r="3834" ht="14.25" customHeight="1">
      <c r="A3834" s="2" t="s">
        <v>215</v>
      </c>
      <c r="B3834" s="2" t="s">
        <v>216</v>
      </c>
      <c r="C3834" s="2">
        <v>1989.0</v>
      </c>
      <c r="D3834" s="9">
        <v>5168.5806</v>
      </c>
      <c r="E3834" s="10" t="str">
        <f t="array" ref="E3834">IFS(D3834&lt;=$G$3,'calculated data '!$A$3,D3834&lt;=$G$4,'calculated data '!$A$4,D3834&lt;=$G$6,'calculated data '!$A$5,D3834&gt;=$G$6,'calculated data '!$A$6)</f>
        <v>Target Market (Core IQR)</v>
      </c>
      <c r="F3834" s="10">
        <f t="shared" si="1"/>
        <v>-0.5263604337</v>
      </c>
    </row>
    <row r="3835" ht="14.25" customHeight="1">
      <c r="A3835" s="2" t="s">
        <v>201</v>
      </c>
      <c r="B3835" s="2" t="s">
        <v>202</v>
      </c>
      <c r="C3835" s="2">
        <v>1984.0</v>
      </c>
      <c r="D3835" s="9">
        <v>5174.252</v>
      </c>
      <c r="E3835" s="10" t="str">
        <f t="array" ref="E3835">IFS(D3835&lt;=$G$3,'calculated data '!$A$3,D3835&lt;=$G$4,'calculated data '!$A$4,D3835&lt;=$G$6,'calculated data '!$A$5,D3835&gt;=$G$6,'calculated data '!$A$6)</f>
        <v>Target Market (Core IQR)</v>
      </c>
      <c r="F3835" s="10">
        <f t="shared" si="1"/>
        <v>-0.5262103132</v>
      </c>
    </row>
    <row r="3836" ht="14.25" customHeight="1">
      <c r="A3836" s="2" t="s">
        <v>237</v>
      </c>
      <c r="B3836" s="2" t="s">
        <v>238</v>
      </c>
      <c r="C3836" s="2">
        <v>1992.0</v>
      </c>
      <c r="D3836" s="9">
        <v>5180.9316</v>
      </c>
      <c r="E3836" s="10" t="str">
        <f t="array" ref="E3836">IFS(D3836&lt;=$G$3,'calculated data '!$A$3,D3836&lt;=$G$4,'calculated data '!$A$4,D3836&lt;=$G$6,'calculated data '!$A$5,D3836&gt;=$G$6,'calculated data '!$A$6)</f>
        <v>Target Market (Core IQR)</v>
      </c>
      <c r="F3836" s="10">
        <f t="shared" si="1"/>
        <v>-0.5260335058</v>
      </c>
    </row>
    <row r="3837" ht="14.25" customHeight="1">
      <c r="A3837" s="2" t="s">
        <v>279</v>
      </c>
      <c r="B3837" s="2" t="s">
        <v>280</v>
      </c>
      <c r="C3837" s="2">
        <v>1966.0</v>
      </c>
      <c r="D3837" s="9">
        <v>5183.192</v>
      </c>
      <c r="E3837" s="10" t="str">
        <f t="array" ref="E3837">IFS(D3837&lt;=$G$3,'calculated data '!$A$3,D3837&lt;=$G$4,'calculated data '!$A$4,D3837&lt;=$G$6,'calculated data '!$A$5,D3837&gt;=$G$6,'calculated data '!$A$6)</f>
        <v>Target Market (Core IQR)</v>
      </c>
      <c r="F3837" s="10">
        <f t="shared" si="1"/>
        <v>-0.5259736736</v>
      </c>
    </row>
    <row r="3838" ht="14.25" customHeight="1">
      <c r="A3838" s="2" t="s">
        <v>51</v>
      </c>
      <c r="B3838" s="2" t="s">
        <v>52</v>
      </c>
      <c r="C3838" s="2">
        <v>2010.0</v>
      </c>
      <c r="D3838" s="9">
        <v>5194.307</v>
      </c>
      <c r="E3838" s="10" t="str">
        <f t="array" ref="E3838">IFS(D3838&lt;=$G$3,'calculated data '!$A$3,D3838&lt;=$G$4,'calculated data '!$A$4,D3838&lt;=$G$6,'calculated data '!$A$5,D3838&gt;=$G$6,'calculated data '!$A$6)</f>
        <v>Target Market (Core IQR)</v>
      </c>
      <c r="F3838" s="10">
        <f t="shared" si="1"/>
        <v>-0.5256794623</v>
      </c>
    </row>
    <row r="3839" ht="14.25" customHeight="1">
      <c r="A3839" s="2" t="s">
        <v>163</v>
      </c>
      <c r="B3839" s="2" t="s">
        <v>164</v>
      </c>
      <c r="C3839" s="2">
        <v>2010.0</v>
      </c>
      <c r="D3839" s="9">
        <v>5198.566</v>
      </c>
      <c r="E3839" s="10" t="str">
        <f t="array" ref="E3839">IFS(D3839&lt;=$G$3,'calculated data '!$A$3,D3839&lt;=$G$4,'calculated data '!$A$4,D3839&lt;=$G$6,'calculated data '!$A$5,D3839&gt;=$G$6,'calculated data '!$A$6)</f>
        <v>Target Market (Core IQR)</v>
      </c>
      <c r="F3839" s="10">
        <f t="shared" si="1"/>
        <v>-0.5255667276</v>
      </c>
    </row>
    <row r="3840" ht="14.25" customHeight="1">
      <c r="A3840" s="2" t="s">
        <v>245</v>
      </c>
      <c r="B3840" s="2" t="s">
        <v>246</v>
      </c>
      <c r="C3840" s="2">
        <v>2001.0</v>
      </c>
      <c r="D3840" s="9">
        <v>5201.65</v>
      </c>
      <c r="E3840" s="10" t="str">
        <f t="array" ref="E3840">IFS(D3840&lt;=$G$3,'calculated data '!$A$3,D3840&lt;=$G$4,'calculated data '!$A$4,D3840&lt;=$G$6,'calculated data '!$A$5,D3840&gt;=$G$6,'calculated data '!$A$6)</f>
        <v>Target Market (Core IQR)</v>
      </c>
      <c r="F3840" s="10">
        <f t="shared" si="1"/>
        <v>-0.5254850949</v>
      </c>
    </row>
    <row r="3841" ht="14.25" customHeight="1">
      <c r="A3841" s="2" t="s">
        <v>263</v>
      </c>
      <c r="B3841" s="2" t="s">
        <v>264</v>
      </c>
      <c r="C3841" s="2">
        <v>1989.0</v>
      </c>
      <c r="D3841" s="9">
        <v>5207.909</v>
      </c>
      <c r="E3841" s="10" t="str">
        <f t="array" ref="E3841">IFS(D3841&lt;=$G$3,'calculated data '!$A$3,D3841&lt;=$G$4,'calculated data '!$A$4,D3841&lt;=$G$6,'calculated data '!$A$5,D3841&gt;=$G$6,'calculated data '!$A$6)</f>
        <v>Target Market (Core IQR)</v>
      </c>
      <c r="F3841" s="10">
        <f t="shared" si="1"/>
        <v>-0.5253194208</v>
      </c>
    </row>
    <row r="3842" ht="14.25" customHeight="1">
      <c r="A3842" s="2" t="s">
        <v>183</v>
      </c>
      <c r="B3842" s="2" t="s">
        <v>184</v>
      </c>
      <c r="C3842" s="2">
        <v>1979.0</v>
      </c>
      <c r="D3842" s="9">
        <v>5207.9155</v>
      </c>
      <c r="E3842" s="10" t="str">
        <f t="array" ref="E3842">IFS(D3842&lt;=$G$3,'calculated data '!$A$3,D3842&lt;=$G$4,'calculated data '!$A$4,D3842&lt;=$G$6,'calculated data '!$A$5,D3842&gt;=$G$6,'calculated data '!$A$6)</f>
        <v>Target Market (Core IQR)</v>
      </c>
      <c r="F3842" s="10">
        <f t="shared" si="1"/>
        <v>-0.5253192487</v>
      </c>
    </row>
    <row r="3843" ht="14.25" customHeight="1">
      <c r="A3843" s="2" t="s">
        <v>223</v>
      </c>
      <c r="B3843" s="2" t="s">
        <v>224</v>
      </c>
      <c r="C3843" s="2">
        <v>2005.0</v>
      </c>
      <c r="D3843" s="9">
        <v>5212.2495</v>
      </c>
      <c r="E3843" s="10" t="str">
        <f t="array" ref="E3843">IFS(D3843&lt;=$G$3,'calculated data '!$A$3,D3843&lt;=$G$4,'calculated data '!$A$4,D3843&lt;=$G$6,'calculated data '!$A$5,D3843&gt;=$G$6,'calculated data '!$A$6)</f>
        <v>Target Market (Core IQR)</v>
      </c>
      <c r="F3843" s="10">
        <f t="shared" si="1"/>
        <v>-0.5252045288</v>
      </c>
    </row>
    <row r="3844" ht="14.25" customHeight="1">
      <c r="A3844" s="2" t="s">
        <v>247</v>
      </c>
      <c r="B3844" s="2" t="s">
        <v>248</v>
      </c>
      <c r="C3844" s="2">
        <v>1992.0</v>
      </c>
      <c r="D3844" s="9">
        <v>5212.315</v>
      </c>
      <c r="E3844" s="10" t="str">
        <f t="array" ref="E3844">IFS(D3844&lt;=$G$3,'calculated data '!$A$3,D3844&lt;=$G$4,'calculated data '!$A$4,D3844&lt;=$G$6,'calculated data '!$A$5,D3844&gt;=$G$6,'calculated data '!$A$6)</f>
        <v>Target Market (Core IQR)</v>
      </c>
      <c r="F3844" s="10">
        <f t="shared" si="1"/>
        <v>-0.525202795</v>
      </c>
    </row>
    <row r="3845" ht="14.25" customHeight="1">
      <c r="A3845" s="2" t="s">
        <v>203</v>
      </c>
      <c r="B3845" s="2" t="s">
        <v>204</v>
      </c>
      <c r="C3845" s="2">
        <v>1991.0</v>
      </c>
      <c r="D3845" s="9">
        <v>5214.554</v>
      </c>
      <c r="E3845" s="10" t="str">
        <f t="array" ref="E3845">IFS(D3845&lt;=$G$3,'calculated data '!$A$3,D3845&lt;=$G$4,'calculated data '!$A$4,D3845&lt;=$G$6,'calculated data '!$A$5,D3845&gt;=$G$6,'calculated data '!$A$6)</f>
        <v>Target Market (Core IQR)</v>
      </c>
      <c r="F3845" s="10">
        <f t="shared" si="1"/>
        <v>-0.5251435293</v>
      </c>
    </row>
    <row r="3846" ht="14.25" customHeight="1">
      <c r="A3846" s="2" t="s">
        <v>275</v>
      </c>
      <c r="B3846" s="2" t="s">
        <v>276</v>
      </c>
      <c r="C3846" s="2">
        <v>1984.0</v>
      </c>
      <c r="D3846" s="9">
        <v>5218.614</v>
      </c>
      <c r="E3846" s="10" t="str">
        <f t="array" ref="E3846">IFS(D3846&lt;=$G$3,'calculated data '!$A$3,D3846&lt;=$G$4,'calculated data '!$A$4,D3846&lt;=$G$6,'calculated data '!$A$5,D3846&gt;=$G$6,'calculated data '!$A$6)</f>
        <v>Target Market (Core IQR)</v>
      </c>
      <c r="F3846" s="10">
        <f t="shared" si="1"/>
        <v>-0.5250360621</v>
      </c>
    </row>
    <row r="3847" ht="14.25" customHeight="1">
      <c r="A3847" s="2" t="s">
        <v>57</v>
      </c>
      <c r="B3847" s="2" t="s">
        <v>58</v>
      </c>
      <c r="C3847" s="2">
        <v>1910.0</v>
      </c>
      <c r="D3847" s="9">
        <v>5221.176</v>
      </c>
      <c r="E3847" s="10" t="str">
        <f t="array" ref="E3847">IFS(D3847&lt;=$G$3,'calculated data '!$A$3,D3847&lt;=$G$4,'calculated data '!$A$4,D3847&lt;=$G$6,'calculated data '!$A$5,D3847&gt;=$G$6,'calculated data '!$A$6)</f>
        <v>Target Market (Core IQR)</v>
      </c>
      <c r="F3847" s="10">
        <f t="shared" si="1"/>
        <v>-0.5249682466</v>
      </c>
    </row>
    <row r="3848" ht="14.25" customHeight="1">
      <c r="A3848" s="2" t="s">
        <v>185</v>
      </c>
      <c r="B3848" s="2" t="s">
        <v>186</v>
      </c>
      <c r="C3848" s="2">
        <v>1995.0</v>
      </c>
      <c r="D3848" s="9">
        <v>5222.8955</v>
      </c>
      <c r="E3848" s="10" t="str">
        <f t="array" ref="E3848">IFS(D3848&lt;=$G$3,'calculated data '!$A$3,D3848&lt;=$G$4,'calculated data '!$A$4,D3848&lt;=$G$6,'calculated data '!$A$5,D3848&gt;=$G$6,'calculated data '!$A$6)</f>
        <v>Target Market (Core IQR)</v>
      </c>
      <c r="F3848" s="10">
        <f t="shared" si="1"/>
        <v>-0.5249227318</v>
      </c>
    </row>
    <row r="3849" ht="14.25" customHeight="1">
      <c r="A3849" s="2" t="s">
        <v>111</v>
      </c>
      <c r="B3849" s="2" t="s">
        <v>112</v>
      </c>
      <c r="C3849" s="2">
        <v>2020.0</v>
      </c>
      <c r="D3849" s="9">
        <v>5224.5337</v>
      </c>
      <c r="E3849" s="10" t="str">
        <f t="array" ref="E3849">IFS(D3849&lt;=$G$3,'calculated data '!$A$3,D3849&lt;=$G$4,'calculated data '!$A$4,D3849&lt;=$G$6,'calculated data '!$A$5,D3849&gt;=$G$6,'calculated data '!$A$6)</f>
        <v>Target Market (Core IQR)</v>
      </c>
      <c r="F3849" s="10">
        <f t="shared" si="1"/>
        <v>-0.5248793691</v>
      </c>
    </row>
    <row r="3850" ht="14.25" customHeight="1">
      <c r="A3850" s="2" t="s">
        <v>263</v>
      </c>
      <c r="B3850" s="2" t="s">
        <v>264</v>
      </c>
      <c r="C3850" s="2">
        <v>1991.0</v>
      </c>
      <c r="D3850" s="9">
        <v>5228.107</v>
      </c>
      <c r="E3850" s="10" t="str">
        <f t="array" ref="E3850">IFS(D3850&lt;=$G$3,'calculated data '!$A$3,D3850&lt;=$G$4,'calculated data '!$A$4,D3850&lt;=$G$6,'calculated data '!$A$5,D3850&gt;=$G$6,'calculated data '!$A$6)</f>
        <v>Target Market (Core IQR)</v>
      </c>
      <c r="F3850" s="10">
        <f t="shared" si="1"/>
        <v>-0.5247847847</v>
      </c>
    </row>
    <row r="3851" ht="14.25" customHeight="1">
      <c r="A3851" s="2" t="s">
        <v>165</v>
      </c>
      <c r="B3851" s="2" t="s">
        <v>166</v>
      </c>
      <c r="C3851" s="2">
        <v>2012.0</v>
      </c>
      <c r="D3851" s="9">
        <v>5236.0513</v>
      </c>
      <c r="E3851" s="10" t="str">
        <f t="array" ref="E3851">IFS(D3851&lt;=$G$3,'calculated data '!$A$3,D3851&lt;=$G$4,'calculated data '!$A$4,D3851&lt;=$G$6,'calculated data '!$A$5,D3851&gt;=$G$6,'calculated data '!$A$6)</f>
        <v>Target Market (Core IQR)</v>
      </c>
      <c r="F3851" s="10">
        <f t="shared" si="1"/>
        <v>-0.5245745011</v>
      </c>
    </row>
    <row r="3852" ht="14.25" customHeight="1">
      <c r="A3852" s="2" t="s">
        <v>255</v>
      </c>
      <c r="B3852" s="2" t="s">
        <v>256</v>
      </c>
      <c r="C3852" s="2">
        <v>1974.0</v>
      </c>
      <c r="D3852" s="9">
        <v>5241.402</v>
      </c>
      <c r="E3852" s="10" t="str">
        <f t="array" ref="E3852">IFS(D3852&lt;=$G$3,'calculated data '!$A$3,D3852&lt;=$G$4,'calculated data '!$A$4,D3852&lt;=$G$6,'calculated data '!$A$5,D3852&gt;=$G$6,'calculated data '!$A$6)</f>
        <v>Target Market (Core IQR)</v>
      </c>
      <c r="F3852" s="10">
        <f t="shared" si="1"/>
        <v>-0.5244328694</v>
      </c>
    </row>
    <row r="3853" ht="14.25" customHeight="1">
      <c r="A3853" s="2" t="s">
        <v>189</v>
      </c>
      <c r="B3853" s="2" t="s">
        <v>190</v>
      </c>
      <c r="C3853" s="2">
        <v>2024.0</v>
      </c>
      <c r="D3853" s="9">
        <v>5241.65</v>
      </c>
      <c r="E3853" s="10" t="str">
        <f t="array" ref="E3853">IFS(D3853&lt;=$G$3,'calculated data '!$A$3,D3853&lt;=$G$4,'calculated data '!$A$4,D3853&lt;=$G$6,'calculated data '!$A$5,D3853&gt;=$G$6,'calculated data '!$A$6)</f>
        <v>Target Market (Core IQR)</v>
      </c>
      <c r="F3853" s="10">
        <f t="shared" si="1"/>
        <v>-0.5244263049</v>
      </c>
    </row>
    <row r="3854" ht="14.25" customHeight="1">
      <c r="A3854" s="2" t="s">
        <v>283</v>
      </c>
      <c r="B3854" s="2" t="s">
        <v>284</v>
      </c>
      <c r="C3854" s="2">
        <v>1966.0</v>
      </c>
      <c r="D3854" s="9">
        <v>5241.977</v>
      </c>
      <c r="E3854" s="10" t="str">
        <f t="array" ref="E3854">IFS(D3854&lt;=$G$3,'calculated data '!$A$3,D3854&lt;=$G$4,'calculated data '!$A$4,D3854&lt;=$G$6,'calculated data '!$A$5,D3854&gt;=$G$6,'calculated data '!$A$6)</f>
        <v>Target Market (Core IQR)</v>
      </c>
      <c r="F3854" s="10">
        <f t="shared" si="1"/>
        <v>-0.5244176493</v>
      </c>
    </row>
    <row r="3855" ht="14.25" customHeight="1">
      <c r="A3855" s="2" t="s">
        <v>159</v>
      </c>
      <c r="B3855" s="2" t="s">
        <v>160</v>
      </c>
      <c r="C3855" s="2">
        <v>2005.0</v>
      </c>
      <c r="D3855" s="9">
        <v>5242.4697</v>
      </c>
      <c r="E3855" s="10" t="str">
        <f t="array" ref="E3855">IFS(D3855&lt;=$G$3,'calculated data '!$A$3,D3855&lt;=$G$4,'calculated data '!$A$4,D3855&lt;=$G$6,'calculated data '!$A$5,D3855&gt;=$G$6,'calculated data '!$A$6)</f>
        <v>Target Market (Core IQR)</v>
      </c>
      <c r="F3855" s="10">
        <f t="shared" si="1"/>
        <v>-0.5244046076</v>
      </c>
    </row>
    <row r="3856" ht="14.25" customHeight="1">
      <c r="A3856" s="2" t="s">
        <v>255</v>
      </c>
      <c r="B3856" s="2" t="s">
        <v>256</v>
      </c>
      <c r="C3856" s="2">
        <v>1977.0</v>
      </c>
      <c r="D3856" s="9">
        <v>5244.2207</v>
      </c>
      <c r="E3856" s="10" t="str">
        <f t="array" ref="E3856">IFS(D3856&lt;=$G$3,'calculated data '!$A$3,D3856&lt;=$G$4,'calculated data '!$A$4,D3856&lt;=$G$6,'calculated data '!$A$5,D3856&gt;=$G$6,'calculated data '!$A$6)</f>
        <v>Target Market (Core IQR)</v>
      </c>
      <c r="F3856" s="10">
        <f t="shared" si="1"/>
        <v>-0.5243582591</v>
      </c>
    </row>
    <row r="3857" ht="14.25" customHeight="1">
      <c r="A3857" s="2" t="s">
        <v>237</v>
      </c>
      <c r="B3857" s="2" t="s">
        <v>238</v>
      </c>
      <c r="C3857" s="2">
        <v>1991.0</v>
      </c>
      <c r="D3857" s="9">
        <v>5245.7935</v>
      </c>
      <c r="E3857" s="10" t="str">
        <f t="array" ref="E3857">IFS(D3857&lt;=$G$3,'calculated data '!$A$3,D3857&lt;=$G$4,'calculated data '!$A$4,D3857&lt;=$G$6,'calculated data '!$A$5,D3857&gt;=$G$6,'calculated data '!$A$6)</f>
        <v>Target Market (Core IQR)</v>
      </c>
      <c r="F3857" s="10">
        <f t="shared" si="1"/>
        <v>-0.5243166275</v>
      </c>
    </row>
    <row r="3858" ht="14.25" customHeight="1">
      <c r="A3858" s="2" t="s">
        <v>275</v>
      </c>
      <c r="B3858" s="2" t="s">
        <v>276</v>
      </c>
      <c r="C3858" s="2">
        <v>1992.0</v>
      </c>
      <c r="D3858" s="9">
        <v>5245.833</v>
      </c>
      <c r="E3858" s="10" t="str">
        <f t="array" ref="E3858">IFS(D3858&lt;=$G$3,'calculated data '!$A$3,D3858&lt;=$G$4,'calculated data '!$A$4,D3858&lt;=$G$6,'calculated data '!$A$5,D3858&gt;=$G$6,'calculated data '!$A$6)</f>
        <v>Target Market (Core IQR)</v>
      </c>
      <c r="F3858" s="10">
        <f t="shared" si="1"/>
        <v>-0.5243155819</v>
      </c>
    </row>
    <row r="3859" ht="14.25" customHeight="1">
      <c r="A3859" s="2" t="s">
        <v>245</v>
      </c>
      <c r="B3859" s="2" t="s">
        <v>246</v>
      </c>
      <c r="C3859" s="2">
        <v>2003.0</v>
      </c>
      <c r="D3859" s="9">
        <v>5249.3726</v>
      </c>
      <c r="E3859" s="10" t="str">
        <f t="array" ref="E3859">IFS(D3859&lt;=$G$3,'calculated data '!$A$3,D3859&lt;=$G$4,'calculated data '!$A$4,D3859&lt;=$G$6,'calculated data '!$A$5,D3859&gt;=$G$6,'calculated data '!$A$6)</f>
        <v>Target Market (Core IQR)</v>
      </c>
      <c r="F3859" s="10">
        <f t="shared" si="1"/>
        <v>-0.5242218896</v>
      </c>
    </row>
    <row r="3860" ht="14.25" customHeight="1">
      <c r="A3860" s="2" t="s">
        <v>203</v>
      </c>
      <c r="B3860" s="2" t="s">
        <v>204</v>
      </c>
      <c r="C3860" s="2">
        <v>1990.0</v>
      </c>
      <c r="D3860" s="9">
        <v>5258.0034</v>
      </c>
      <c r="E3860" s="10" t="str">
        <f t="array" ref="E3860">IFS(D3860&lt;=$G$3,'calculated data '!$A$3,D3860&lt;=$G$4,'calculated data '!$A$4,D3860&lt;=$G$6,'calculated data '!$A$5,D3860&gt;=$G$6,'calculated data '!$A$6)</f>
        <v>Target Market (Core IQR)</v>
      </c>
      <c r="F3860" s="10">
        <f t="shared" si="1"/>
        <v>-0.5239934345</v>
      </c>
    </row>
    <row r="3861" ht="14.25" customHeight="1">
      <c r="A3861" s="2" t="s">
        <v>239</v>
      </c>
      <c r="B3861" s="2" t="s">
        <v>240</v>
      </c>
      <c r="C3861" s="2">
        <v>2017.0</v>
      </c>
      <c r="D3861" s="9">
        <v>5259.7417</v>
      </c>
      <c r="E3861" s="10" t="str">
        <f t="array" ref="E3861">IFS(D3861&lt;=$G$3,'calculated data '!$A$3,D3861&lt;=$G$4,'calculated data '!$A$4,D3861&lt;=$G$6,'calculated data '!$A$5,D3861&gt;=$G$6,'calculated data '!$A$6)</f>
        <v>Target Market (Core IQR)</v>
      </c>
      <c r="F3861" s="10">
        <f t="shared" si="1"/>
        <v>-0.5239474221</v>
      </c>
    </row>
    <row r="3862" ht="14.25" customHeight="1">
      <c r="A3862" s="2" t="s">
        <v>163</v>
      </c>
      <c r="B3862" s="2" t="s">
        <v>164</v>
      </c>
      <c r="C3862" s="2">
        <v>1996.0</v>
      </c>
      <c r="D3862" s="9">
        <v>5269.2827</v>
      </c>
      <c r="E3862" s="10" t="str">
        <f t="array" ref="E3862">IFS(D3862&lt;=$G$3,'calculated data '!$A$3,D3862&lt;=$G$4,'calculated data '!$A$4,D3862&lt;=$G$6,'calculated data '!$A$5,D3862&gt;=$G$6,'calculated data '!$A$6)</f>
        <v>Target Market (Core IQR)</v>
      </c>
      <c r="F3862" s="10">
        <f t="shared" si="1"/>
        <v>-0.5236948742</v>
      </c>
    </row>
    <row r="3863" ht="14.25" customHeight="1">
      <c r="A3863" s="2" t="s">
        <v>207</v>
      </c>
      <c r="B3863" s="2" t="s">
        <v>208</v>
      </c>
      <c r="C3863" s="2">
        <v>1977.0</v>
      </c>
      <c r="D3863" s="9">
        <v>5270.7</v>
      </c>
      <c r="E3863" s="10" t="str">
        <f t="array" ref="E3863">IFS(D3863&lt;=$G$3,'calculated data '!$A$3,D3863&lt;=$G$4,'calculated data '!$A$4,D3863&lt;=$G$6,'calculated data '!$A$5,D3863&gt;=$G$6,'calculated data '!$A$6)</f>
        <v>Target Market (Core IQR)</v>
      </c>
      <c r="F3863" s="10">
        <f t="shared" si="1"/>
        <v>-0.5236573586</v>
      </c>
    </row>
    <row r="3864" ht="14.25" customHeight="1">
      <c r="A3864" s="2" t="s">
        <v>159</v>
      </c>
      <c r="B3864" s="2" t="s">
        <v>160</v>
      </c>
      <c r="C3864" s="2">
        <v>2006.0</v>
      </c>
      <c r="D3864" s="9">
        <v>5281.35</v>
      </c>
      <c r="E3864" s="10" t="str">
        <f t="array" ref="E3864">IFS(D3864&lt;=$G$3,'calculated data '!$A$3,D3864&lt;=$G$4,'calculated data '!$A$4,D3864&lt;=$G$6,'calculated data '!$A$5,D3864&gt;=$G$6,'calculated data '!$A$6)</f>
        <v>Target Market (Core IQR)</v>
      </c>
      <c r="F3864" s="10">
        <f t="shared" si="1"/>
        <v>-0.5233754558</v>
      </c>
    </row>
    <row r="3865" ht="14.25" customHeight="1">
      <c r="A3865" s="2" t="s">
        <v>197</v>
      </c>
      <c r="B3865" s="2" t="s">
        <v>198</v>
      </c>
      <c r="C3865" s="2">
        <v>1984.0</v>
      </c>
      <c r="D3865" s="9">
        <v>5283.5664</v>
      </c>
      <c r="E3865" s="10" t="str">
        <f t="array" ref="E3865">IFS(D3865&lt;=$G$3,'calculated data '!$A$3,D3865&lt;=$G$4,'calculated data '!$A$4,D3865&lt;=$G$6,'calculated data '!$A$5,D3865&gt;=$G$6,'calculated data '!$A$6)</f>
        <v>Target Market (Core IQR)</v>
      </c>
      <c r="F3865" s="10">
        <f t="shared" si="1"/>
        <v>-0.5233167882</v>
      </c>
    </row>
    <row r="3866" ht="14.25" customHeight="1">
      <c r="A3866" s="2" t="s">
        <v>215</v>
      </c>
      <c r="B3866" s="2" t="s">
        <v>216</v>
      </c>
      <c r="C3866" s="2">
        <v>1990.0</v>
      </c>
      <c r="D3866" s="9">
        <v>5285.355</v>
      </c>
      <c r="E3866" s="10" t="str">
        <f t="array" ref="E3866">IFS(D3866&lt;=$G$3,'calculated data '!$A$3,D3866&lt;=$G$4,'calculated data '!$A$4,D3866&lt;=$G$6,'calculated data '!$A$5,D3866&gt;=$G$6,'calculated data '!$A$6)</f>
        <v>Target Market (Core IQR)</v>
      </c>
      <c r="F3866" s="10">
        <f t="shared" si="1"/>
        <v>-0.5232694444</v>
      </c>
    </row>
    <row r="3867" ht="14.25" customHeight="1">
      <c r="A3867" s="2" t="s">
        <v>215</v>
      </c>
      <c r="B3867" s="2" t="s">
        <v>216</v>
      </c>
      <c r="C3867" s="2">
        <v>1987.0</v>
      </c>
      <c r="D3867" s="9">
        <v>5289.0854</v>
      </c>
      <c r="E3867" s="10" t="str">
        <f t="array" ref="E3867">IFS(D3867&lt;=$G$3,'calculated data '!$A$3,D3867&lt;=$G$4,'calculated data '!$A$4,D3867&lt;=$G$6,'calculated data '!$A$5,D3867&gt;=$G$6,'calculated data '!$A$6)</f>
        <v>Target Market (Core IQR)</v>
      </c>
      <c r="F3867" s="10">
        <f t="shared" si="1"/>
        <v>-0.5231707017</v>
      </c>
    </row>
    <row r="3868" ht="14.25" customHeight="1">
      <c r="A3868" s="2" t="s">
        <v>255</v>
      </c>
      <c r="B3868" s="2" t="s">
        <v>256</v>
      </c>
      <c r="C3868" s="2">
        <v>1982.0</v>
      </c>
      <c r="D3868" s="9">
        <v>5295.963</v>
      </c>
      <c r="E3868" s="10" t="str">
        <f t="array" ref="E3868">IFS(D3868&lt;=$G$3,'calculated data '!$A$3,D3868&lt;=$G$4,'calculated data '!$A$4,D3868&lt;=$G$6,'calculated data '!$A$5,D3868&gt;=$G$6,'calculated data '!$A$6)</f>
        <v>Target Market (Core IQR)</v>
      </c>
      <c r="F3868" s="10">
        <f t="shared" si="1"/>
        <v>-0.5229886533</v>
      </c>
    </row>
    <row r="3869" ht="14.25" customHeight="1">
      <c r="A3869" s="2" t="s">
        <v>247</v>
      </c>
      <c r="B3869" s="2" t="s">
        <v>248</v>
      </c>
      <c r="C3869" s="2">
        <v>1993.0</v>
      </c>
      <c r="D3869" s="9">
        <v>5297.5654</v>
      </c>
      <c r="E3869" s="10" t="str">
        <f t="array" ref="E3869">IFS(D3869&lt;=$G$3,'calculated data '!$A$3,D3869&lt;=$G$4,'calculated data '!$A$4,D3869&lt;=$G$6,'calculated data '!$A$5,D3869&gt;=$G$6,'calculated data '!$A$6)</f>
        <v>Target Market (Core IQR)</v>
      </c>
      <c r="F3869" s="10">
        <f t="shared" si="1"/>
        <v>-0.5229462382</v>
      </c>
    </row>
    <row r="3870" ht="14.25" customHeight="1">
      <c r="A3870" s="2" t="s">
        <v>193</v>
      </c>
      <c r="B3870" s="2" t="s">
        <v>194</v>
      </c>
      <c r="C3870" s="2">
        <v>2021.0</v>
      </c>
      <c r="D3870" s="9">
        <v>5301.3315</v>
      </c>
      <c r="E3870" s="10" t="str">
        <f t="array" ref="E3870">IFS(D3870&lt;=$G$3,'calculated data '!$A$3,D3870&lt;=$G$4,'calculated data '!$A$4,D3870&lt;=$G$6,'calculated data '!$A$5,D3870&gt;=$G$6,'calculated data '!$A$6)</f>
        <v>Target Market (Core IQR)</v>
      </c>
      <c r="F3870" s="10">
        <f t="shared" si="1"/>
        <v>-0.5228465505</v>
      </c>
    </row>
    <row r="3871" ht="14.25" customHeight="1">
      <c r="A3871" s="2" t="s">
        <v>229</v>
      </c>
      <c r="B3871" s="2" t="s">
        <v>230</v>
      </c>
      <c r="C3871" s="2">
        <v>1978.0</v>
      </c>
      <c r="D3871" s="9">
        <v>5302.5776</v>
      </c>
      <c r="E3871" s="10" t="str">
        <f t="array" ref="E3871">IFS(D3871&lt;=$G$3,'calculated data '!$A$3,D3871&lt;=$G$4,'calculated data '!$A$4,D3871&lt;=$G$6,'calculated data '!$A$5,D3871&gt;=$G$6,'calculated data '!$A$6)</f>
        <v>Target Market (Core IQR)</v>
      </c>
      <c r="F3871" s="10">
        <f t="shared" si="1"/>
        <v>-0.5228135665</v>
      </c>
    </row>
    <row r="3872" ht="14.25" customHeight="1">
      <c r="A3872" s="2" t="s">
        <v>99</v>
      </c>
      <c r="B3872" s="2" t="s">
        <v>100</v>
      </c>
      <c r="C3872" s="2">
        <v>1995.0</v>
      </c>
      <c r="D3872" s="9">
        <v>5303.287</v>
      </c>
      <c r="E3872" s="10" t="str">
        <f t="array" ref="E3872">IFS(D3872&lt;=$G$3,'calculated data '!$A$3,D3872&lt;=$G$4,'calculated data '!$A$4,D3872&lt;=$G$6,'calculated data '!$A$5,D3872&gt;=$G$6,'calculated data '!$A$6)</f>
        <v>Target Market (Core IQR)</v>
      </c>
      <c r="F3872" s="10">
        <f t="shared" si="1"/>
        <v>-0.5227947889</v>
      </c>
    </row>
    <row r="3873" ht="14.25" customHeight="1">
      <c r="A3873" s="2" t="s">
        <v>237</v>
      </c>
      <c r="B3873" s="2" t="s">
        <v>238</v>
      </c>
      <c r="C3873" s="2">
        <v>1990.0</v>
      </c>
      <c r="D3873" s="9">
        <v>5309.029</v>
      </c>
      <c r="E3873" s="10" t="str">
        <f t="array" ref="E3873">IFS(D3873&lt;=$G$3,'calculated data '!$A$3,D3873&lt;=$G$4,'calculated data '!$A$4,D3873&lt;=$G$6,'calculated data '!$A$5,D3873&gt;=$G$6,'calculated data '!$A$6)</f>
        <v>Target Market (Core IQR)</v>
      </c>
      <c r="F3873" s="10">
        <f t="shared" si="1"/>
        <v>-0.5226427995</v>
      </c>
    </row>
    <row r="3874" ht="14.25" customHeight="1">
      <c r="A3874" s="2" t="s">
        <v>229</v>
      </c>
      <c r="B3874" s="2" t="s">
        <v>230</v>
      </c>
      <c r="C3874" s="2">
        <v>1981.0</v>
      </c>
      <c r="D3874" s="9">
        <v>5309.2363</v>
      </c>
      <c r="E3874" s="10" t="str">
        <f t="array" ref="E3874">IFS(D3874&lt;=$G$3,'calculated data '!$A$3,D3874&lt;=$G$4,'calculated data '!$A$4,D3874&lt;=$G$6,'calculated data '!$A$5,D3874&gt;=$G$6,'calculated data '!$A$6)</f>
        <v>Target Market (Core IQR)</v>
      </c>
      <c r="F3874" s="10">
        <f t="shared" si="1"/>
        <v>-0.5226373124</v>
      </c>
    </row>
    <row r="3875" ht="14.25" customHeight="1">
      <c r="A3875" s="2" t="s">
        <v>199</v>
      </c>
      <c r="B3875" s="2" t="s">
        <v>200</v>
      </c>
      <c r="C3875" s="2">
        <v>2023.0</v>
      </c>
      <c r="D3875" s="9">
        <v>5310.5815</v>
      </c>
      <c r="E3875" s="10" t="str">
        <f t="array" ref="E3875">IFS(D3875&lt;=$G$3,'calculated data '!$A$3,D3875&lt;=$G$4,'calculated data '!$A$4,D3875&lt;=$G$6,'calculated data '!$A$5,D3875&gt;=$G$6,'calculated data '!$A$6)</f>
        <v>Target Market (Core IQR)</v>
      </c>
      <c r="F3875" s="10">
        <f t="shared" si="1"/>
        <v>-0.5226017053</v>
      </c>
    </row>
    <row r="3876" ht="14.25" customHeight="1">
      <c r="A3876" s="2" t="s">
        <v>199</v>
      </c>
      <c r="B3876" s="2" t="s">
        <v>200</v>
      </c>
      <c r="C3876" s="2">
        <v>2019.0</v>
      </c>
      <c r="D3876" s="9">
        <v>5315.9385</v>
      </c>
      <c r="E3876" s="10" t="str">
        <f t="array" ref="E3876">IFS(D3876&lt;=$G$3,'calculated data '!$A$3,D3876&lt;=$G$4,'calculated data '!$A$4,D3876&lt;=$G$6,'calculated data '!$A$5,D3876&gt;=$G$6,'calculated data '!$A$6)</f>
        <v>Target Market (Core IQR)</v>
      </c>
      <c r="F3876" s="10">
        <f t="shared" si="1"/>
        <v>-0.5224599068</v>
      </c>
    </row>
    <row r="3877" ht="14.25" customHeight="1">
      <c r="A3877" s="2" t="s">
        <v>165</v>
      </c>
      <c r="B3877" s="2" t="s">
        <v>166</v>
      </c>
      <c r="C3877" s="2">
        <v>2013.0</v>
      </c>
      <c r="D3877" s="9">
        <v>5315.989</v>
      </c>
      <c r="E3877" s="10" t="str">
        <f t="array" ref="E3877">IFS(D3877&lt;=$G$3,'calculated data '!$A$3,D3877&lt;=$G$4,'calculated data '!$A$4,D3877&lt;=$G$6,'calculated data '!$A$5,D3877&gt;=$G$6,'calculated data '!$A$6)</f>
        <v>Target Market (Core IQR)</v>
      </c>
      <c r="F3877" s="10">
        <f t="shared" si="1"/>
        <v>-0.5224585701</v>
      </c>
    </row>
    <row r="3878" ht="14.25" customHeight="1">
      <c r="A3878" s="2" t="s">
        <v>209</v>
      </c>
      <c r="B3878" s="2" t="s">
        <v>210</v>
      </c>
      <c r="C3878" s="2">
        <v>2017.0</v>
      </c>
      <c r="D3878" s="9">
        <v>5317.5786</v>
      </c>
      <c r="E3878" s="10" t="str">
        <f t="array" ref="E3878">IFS(D3878&lt;=$G$3,'calculated data '!$A$3,D3878&lt;=$G$4,'calculated data '!$A$4,D3878&lt;=$G$6,'calculated data '!$A$5,D3878&gt;=$G$6,'calculated data '!$A$6)</f>
        <v>Target Market (Core IQR)</v>
      </c>
      <c r="F3878" s="10">
        <f t="shared" si="1"/>
        <v>-0.5224164938</v>
      </c>
    </row>
    <row r="3879" ht="14.25" customHeight="1">
      <c r="A3879" s="2" t="s">
        <v>41</v>
      </c>
      <c r="B3879" s="2" t="s">
        <v>42</v>
      </c>
      <c r="C3879" s="2">
        <v>2001.0</v>
      </c>
      <c r="D3879" s="9">
        <v>5317.8896</v>
      </c>
      <c r="E3879" s="10" t="str">
        <f t="array" ref="E3879">IFS(D3879&lt;=$G$3,'calculated data '!$A$3,D3879&lt;=$G$4,'calculated data '!$A$4,D3879&lt;=$G$6,'calculated data '!$A$5,D3879&gt;=$G$6,'calculated data '!$A$6)</f>
        <v>Target Market (Core IQR)</v>
      </c>
      <c r="F3879" s="10">
        <f t="shared" si="1"/>
        <v>-0.5224082617</v>
      </c>
    </row>
    <row r="3880" ht="14.25" customHeight="1">
      <c r="A3880" s="2" t="s">
        <v>211</v>
      </c>
      <c r="B3880" s="2" t="s">
        <v>212</v>
      </c>
      <c r="C3880" s="2">
        <v>2010.0</v>
      </c>
      <c r="D3880" s="9">
        <v>5318.6177</v>
      </c>
      <c r="E3880" s="10" t="str">
        <f t="array" ref="E3880">IFS(D3880&lt;=$G$3,'calculated data '!$A$3,D3880&lt;=$G$4,'calculated data '!$A$4,D3880&lt;=$G$6,'calculated data '!$A$5,D3880&gt;=$G$6,'calculated data '!$A$6)</f>
        <v>Target Market (Core IQR)</v>
      </c>
      <c r="F3880" s="10">
        <f t="shared" si="1"/>
        <v>-0.522388989</v>
      </c>
    </row>
    <row r="3881" ht="14.25" customHeight="1">
      <c r="A3881" s="2" t="s">
        <v>159</v>
      </c>
      <c r="B3881" s="2" t="s">
        <v>160</v>
      </c>
      <c r="C3881" s="2">
        <v>2009.0</v>
      </c>
      <c r="D3881" s="9">
        <v>5322.5103</v>
      </c>
      <c r="E3881" s="10" t="str">
        <f t="array" ref="E3881">IFS(D3881&lt;=$G$3,'calculated data '!$A$3,D3881&lt;=$G$4,'calculated data '!$A$4,D3881&lt;=$G$6,'calculated data '!$A$5,D3881&gt;=$G$6,'calculated data '!$A$6)</f>
        <v>Target Market (Core IQR)</v>
      </c>
      <c r="F3881" s="10">
        <f t="shared" si="1"/>
        <v>-0.5222859529</v>
      </c>
    </row>
    <row r="3882" ht="14.25" customHeight="1">
      <c r="A3882" s="2" t="s">
        <v>215</v>
      </c>
      <c r="B3882" s="2" t="s">
        <v>216</v>
      </c>
      <c r="C3882" s="2">
        <v>1991.0</v>
      </c>
      <c r="D3882" s="9">
        <v>5322.644</v>
      </c>
      <c r="E3882" s="10" t="str">
        <f t="array" ref="E3882">IFS(D3882&lt;=$G$3,'calculated data '!$A$3,D3882&lt;=$G$4,'calculated data '!$A$4,D3882&lt;=$G$6,'calculated data '!$A$5,D3882&gt;=$G$6,'calculated data '!$A$6)</f>
        <v>Target Market (Core IQR)</v>
      </c>
      <c r="F3882" s="10">
        <f t="shared" si="1"/>
        <v>-0.5222824139</v>
      </c>
    </row>
    <row r="3883" ht="14.25" customHeight="1">
      <c r="A3883" s="2" t="s">
        <v>203</v>
      </c>
      <c r="B3883" s="2" t="s">
        <v>204</v>
      </c>
      <c r="C3883" s="2">
        <v>1992.0</v>
      </c>
      <c r="D3883" s="9">
        <v>5333.09</v>
      </c>
      <c r="E3883" s="10" t="str">
        <f t="array" ref="E3883">IFS(D3883&lt;=$G$3,'calculated data '!$A$3,D3883&lt;=$G$4,'calculated data '!$A$4,D3883&lt;=$G$6,'calculated data '!$A$5,D3883&gt;=$G$6,'calculated data '!$A$6)</f>
        <v>Target Market (Core IQR)</v>
      </c>
      <c r="F3883" s="10">
        <f t="shared" si="1"/>
        <v>-0.5220059109</v>
      </c>
    </row>
    <row r="3884" ht="14.25" customHeight="1">
      <c r="A3884" s="2" t="s">
        <v>51</v>
      </c>
      <c r="B3884" s="2" t="s">
        <v>52</v>
      </c>
      <c r="C3884" s="2">
        <v>2011.0</v>
      </c>
      <c r="D3884" s="9">
        <v>5334.562</v>
      </c>
      <c r="E3884" s="10" t="str">
        <f t="array" ref="E3884">IFS(D3884&lt;=$G$3,'calculated data '!$A$3,D3884&lt;=$G$4,'calculated data '!$A$4,D3884&lt;=$G$6,'calculated data '!$A$5,D3884&gt;=$G$6,'calculated data '!$A$6)</f>
        <v>Target Market (Core IQR)</v>
      </c>
      <c r="F3884" s="10">
        <f t="shared" si="1"/>
        <v>-0.5219669474</v>
      </c>
    </row>
    <row r="3885" ht="14.25" customHeight="1">
      <c r="A3885" s="2" t="s">
        <v>41</v>
      </c>
      <c r="B3885" s="2" t="s">
        <v>42</v>
      </c>
      <c r="C3885" s="2">
        <v>2003.0</v>
      </c>
      <c r="D3885" s="9">
        <v>5338.6006</v>
      </c>
      <c r="E3885" s="10" t="str">
        <f t="array" ref="E3885">IFS(D3885&lt;=$G$3,'calculated data '!$A$3,D3885&lt;=$G$4,'calculated data '!$A$4,D3885&lt;=$G$6,'calculated data '!$A$5,D3885&gt;=$G$6,'calculated data '!$A$6)</f>
        <v>Target Market (Core IQR)</v>
      </c>
      <c r="F3885" s="10">
        <f t="shared" si="1"/>
        <v>-0.5218600467</v>
      </c>
    </row>
    <row r="3886" ht="14.25" customHeight="1">
      <c r="A3886" s="2" t="s">
        <v>229</v>
      </c>
      <c r="B3886" s="2" t="s">
        <v>230</v>
      </c>
      <c r="C3886" s="2">
        <v>1982.0</v>
      </c>
      <c r="D3886" s="9">
        <v>5339.535</v>
      </c>
      <c r="E3886" s="10" t="str">
        <f t="array" ref="E3886">IFS(D3886&lt;=$G$3,'calculated data '!$A$3,D3886&lt;=$G$4,'calculated data '!$A$4,D3886&lt;=$G$6,'calculated data '!$A$5,D3886&gt;=$G$6,'calculated data '!$A$6)</f>
        <v>Target Market (Core IQR)</v>
      </c>
      <c r="F3886" s="10">
        <f t="shared" si="1"/>
        <v>-0.5218353133</v>
      </c>
    </row>
    <row r="3887" ht="14.25" customHeight="1">
      <c r="A3887" s="2" t="s">
        <v>209</v>
      </c>
      <c r="B3887" s="2" t="s">
        <v>210</v>
      </c>
      <c r="C3887" s="2">
        <v>2007.0</v>
      </c>
      <c r="D3887" s="9">
        <v>5342.9463</v>
      </c>
      <c r="E3887" s="10" t="str">
        <f t="array" ref="E3887">IFS(D3887&lt;=$G$3,'calculated data '!$A$3,D3887&lt;=$G$4,'calculated data '!$A$4,D3887&lt;=$G$6,'calculated data '!$A$5,D3887&gt;=$G$6,'calculated data '!$A$6)</f>
        <v>Target Market (Core IQR)</v>
      </c>
      <c r="F3887" s="10">
        <f t="shared" si="1"/>
        <v>-0.5217450171</v>
      </c>
    </row>
    <row r="3888" ht="14.25" customHeight="1">
      <c r="A3888" s="2" t="s">
        <v>229</v>
      </c>
      <c r="B3888" s="2" t="s">
        <v>230</v>
      </c>
      <c r="C3888" s="2">
        <v>1980.0</v>
      </c>
      <c r="D3888" s="9">
        <v>5343.6074</v>
      </c>
      <c r="E3888" s="10" t="str">
        <f t="array" ref="E3888">IFS(D3888&lt;=$G$3,'calculated data '!$A$3,D3888&lt;=$G$4,'calculated data '!$A$4,D3888&lt;=$G$6,'calculated data '!$A$5,D3888&gt;=$G$6,'calculated data '!$A$6)</f>
        <v>Target Market (Core IQR)</v>
      </c>
      <c r="F3888" s="10">
        <f t="shared" si="1"/>
        <v>-0.5217275179</v>
      </c>
    </row>
    <row r="3889" ht="14.25" customHeight="1">
      <c r="A3889" s="2" t="s">
        <v>277</v>
      </c>
      <c r="B3889" s="2" t="s">
        <v>278</v>
      </c>
      <c r="C3889" s="2">
        <v>1988.0</v>
      </c>
      <c r="D3889" s="9">
        <v>5351.0635</v>
      </c>
      <c r="E3889" s="10" t="str">
        <f t="array" ref="E3889">IFS(D3889&lt;=$G$3,'calculated data '!$A$3,D3889&lt;=$G$4,'calculated data '!$A$4,D3889&lt;=$G$6,'calculated data '!$A$5,D3889&gt;=$G$6,'calculated data '!$A$6)</f>
        <v>Target Market (Core IQR)</v>
      </c>
      <c r="F3889" s="10">
        <f t="shared" si="1"/>
        <v>-0.5215301568</v>
      </c>
    </row>
    <row r="3890" ht="14.25" customHeight="1">
      <c r="A3890" s="2" t="s">
        <v>205</v>
      </c>
      <c r="B3890" s="2" t="s">
        <v>206</v>
      </c>
      <c r="C3890" s="2">
        <v>1982.0</v>
      </c>
      <c r="D3890" s="9">
        <v>5354.0044</v>
      </c>
      <c r="E3890" s="10" t="str">
        <f t="array" ref="E3890">IFS(D3890&lt;=$G$3,'calculated data '!$A$3,D3890&lt;=$G$4,'calculated data '!$A$4,D3890&lt;=$G$6,'calculated data '!$A$5,D3890&gt;=$G$6,'calculated data '!$A$6)</f>
        <v>Target Market (Core IQR)</v>
      </c>
      <c r="F3890" s="10">
        <f t="shared" si="1"/>
        <v>-0.5214523119</v>
      </c>
    </row>
    <row r="3891" ht="14.25" customHeight="1">
      <c r="A3891" s="2" t="s">
        <v>255</v>
      </c>
      <c r="B3891" s="2" t="s">
        <v>256</v>
      </c>
      <c r="C3891" s="2">
        <v>1976.0</v>
      </c>
      <c r="D3891" s="9">
        <v>5354.9756</v>
      </c>
      <c r="E3891" s="10" t="str">
        <f t="array" ref="E3891">IFS(D3891&lt;=$G$3,'calculated data '!$A$3,D3891&lt;=$G$4,'calculated data '!$A$4,D3891&lt;=$G$6,'calculated data '!$A$5,D3891&gt;=$G$6,'calculated data '!$A$6)</f>
        <v>Target Market (Core IQR)</v>
      </c>
      <c r="F3891" s="10">
        <f t="shared" si="1"/>
        <v>-0.5214266045</v>
      </c>
    </row>
    <row r="3892" ht="14.25" customHeight="1">
      <c r="A3892" s="2" t="s">
        <v>245</v>
      </c>
      <c r="B3892" s="2" t="s">
        <v>246</v>
      </c>
      <c r="C3892" s="2">
        <v>2005.0</v>
      </c>
      <c r="D3892" s="9">
        <v>5358.0234</v>
      </c>
      <c r="E3892" s="10" t="str">
        <f t="array" ref="E3892">IFS(D3892&lt;=$G$3,'calculated data '!$A$3,D3892&lt;=$G$4,'calculated data '!$A$4,D3892&lt;=$G$6,'calculated data '!$A$5,D3892&gt;=$G$6,'calculated data '!$A$6)</f>
        <v>Target Market (Core IQR)</v>
      </c>
      <c r="F3892" s="10">
        <f t="shared" si="1"/>
        <v>-0.52134593</v>
      </c>
    </row>
    <row r="3893" ht="14.25" customHeight="1">
      <c r="A3893" s="2" t="s">
        <v>237</v>
      </c>
      <c r="B3893" s="2" t="s">
        <v>238</v>
      </c>
      <c r="C3893" s="2">
        <v>1989.0</v>
      </c>
      <c r="D3893" s="9">
        <v>5361.4478</v>
      </c>
      <c r="E3893" s="10" t="str">
        <f t="array" ref="E3893">IFS(D3893&lt;=$G$3,'calculated data '!$A$3,D3893&lt;=$G$4,'calculated data '!$A$4,D3893&lt;=$G$6,'calculated data '!$A$5,D3893&gt;=$G$6,'calculated data '!$A$6)</f>
        <v>Target Market (Core IQR)</v>
      </c>
      <c r="F3893" s="10">
        <f t="shared" si="1"/>
        <v>-0.521255287</v>
      </c>
    </row>
    <row r="3894" ht="14.25" customHeight="1">
      <c r="A3894" s="2" t="s">
        <v>255</v>
      </c>
      <c r="B3894" s="2" t="s">
        <v>256</v>
      </c>
      <c r="C3894" s="2">
        <v>1980.0</v>
      </c>
      <c r="D3894" s="9">
        <v>5363.672</v>
      </c>
      <c r="E3894" s="10" t="str">
        <f t="array" ref="E3894">IFS(D3894&lt;=$G$3,'calculated data '!$A$3,D3894&lt;=$G$4,'calculated data '!$A$4,D3894&lt;=$G$6,'calculated data '!$A$5,D3894&gt;=$G$6,'calculated data '!$A$6)</f>
        <v>Target Market (Core IQR)</v>
      </c>
      <c r="F3894" s="10">
        <f t="shared" si="1"/>
        <v>-0.5211964129</v>
      </c>
    </row>
    <row r="3895" ht="14.25" customHeight="1">
      <c r="A3895" s="2" t="s">
        <v>201</v>
      </c>
      <c r="B3895" s="2" t="s">
        <v>202</v>
      </c>
      <c r="C3895" s="2">
        <v>1983.0</v>
      </c>
      <c r="D3895" s="9">
        <v>5364.354</v>
      </c>
      <c r="E3895" s="10" t="str">
        <f t="array" ref="E3895">IFS(D3895&lt;=$G$3,'calculated data '!$A$3,D3895&lt;=$G$4,'calculated data '!$A$4,D3895&lt;=$G$6,'calculated data '!$A$5,D3895&gt;=$G$6,'calculated data '!$A$6)</f>
        <v>Target Market (Core IQR)</v>
      </c>
      <c r="F3895" s="10">
        <f t="shared" si="1"/>
        <v>-0.5211783606</v>
      </c>
    </row>
    <row r="3896" ht="14.25" customHeight="1">
      <c r="A3896" s="2" t="s">
        <v>183</v>
      </c>
      <c r="B3896" s="2" t="s">
        <v>184</v>
      </c>
      <c r="C3896" s="2">
        <v>1983.0</v>
      </c>
      <c r="D3896" s="9">
        <v>5370.499</v>
      </c>
      <c r="E3896" s="10" t="str">
        <f t="array" ref="E3896">IFS(D3896&lt;=$G$3,'calculated data '!$A$3,D3896&lt;=$G$4,'calculated data '!$A$4,D3896&lt;=$G$6,'calculated data '!$A$5,D3896&gt;=$G$6,'calculated data '!$A$6)</f>
        <v>Target Market (Core IQR)</v>
      </c>
      <c r="F3896" s="10">
        <f t="shared" si="1"/>
        <v>-0.521015704</v>
      </c>
    </row>
    <row r="3897" ht="14.25" customHeight="1">
      <c r="A3897" s="2" t="s">
        <v>199</v>
      </c>
      <c r="B3897" s="2" t="s">
        <v>200</v>
      </c>
      <c r="C3897" s="2">
        <v>2022.0</v>
      </c>
      <c r="D3897" s="9">
        <v>5372.242</v>
      </c>
      <c r="E3897" s="10" t="str">
        <f t="array" ref="E3897">IFS(D3897&lt;=$G$3,'calculated data '!$A$3,D3897&lt;=$G$4,'calculated data '!$A$4,D3897&lt;=$G$6,'calculated data '!$A$5,D3897&gt;=$G$6,'calculated data '!$A$6)</f>
        <v>Target Market (Core IQR)</v>
      </c>
      <c r="F3897" s="10">
        <f t="shared" si="1"/>
        <v>-0.5209695672</v>
      </c>
    </row>
    <row r="3898" ht="14.25" customHeight="1">
      <c r="A3898" s="2" t="s">
        <v>221</v>
      </c>
      <c r="B3898" s="2" t="s">
        <v>222</v>
      </c>
      <c r="C3898" s="2">
        <v>1971.0</v>
      </c>
      <c r="D3898" s="9">
        <v>5373.2783</v>
      </c>
      <c r="E3898" s="10" t="str">
        <f t="array" ref="E3898">IFS(D3898&lt;=$G$3,'calculated data '!$A$3,D3898&lt;=$G$4,'calculated data '!$A$4,D3898&lt;=$G$6,'calculated data '!$A$5,D3898&gt;=$G$6,'calculated data '!$A$6)</f>
        <v>Target Market (Core IQR)</v>
      </c>
      <c r="F3898" s="10">
        <f t="shared" si="1"/>
        <v>-0.5209421366</v>
      </c>
    </row>
    <row r="3899" ht="14.25" customHeight="1">
      <c r="A3899" s="2" t="s">
        <v>223</v>
      </c>
      <c r="B3899" s="2" t="s">
        <v>224</v>
      </c>
      <c r="C3899" s="2">
        <v>2006.0</v>
      </c>
      <c r="D3899" s="9">
        <v>5378.08</v>
      </c>
      <c r="E3899" s="10" t="str">
        <f t="array" ref="E3899">IFS(D3899&lt;=$G$3,'calculated data '!$A$3,D3899&lt;=$G$4,'calculated data '!$A$4,D3899&lt;=$G$6,'calculated data '!$A$5,D3899&gt;=$G$6,'calculated data '!$A$6)</f>
        <v>Target Market (Core IQR)</v>
      </c>
      <c r="F3899" s="10">
        <f t="shared" si="1"/>
        <v>-0.5208150368</v>
      </c>
    </row>
    <row r="3900" ht="14.25" customHeight="1">
      <c r="A3900" s="2" t="s">
        <v>271</v>
      </c>
      <c r="B3900" s="2" t="s">
        <v>272</v>
      </c>
      <c r="C3900" s="2">
        <v>1967.0</v>
      </c>
      <c r="D3900" s="9">
        <v>5378.4087</v>
      </c>
      <c r="E3900" s="10" t="str">
        <f t="array" ref="E3900">IFS(D3900&lt;=$G$3,'calculated data '!$A$3,D3900&lt;=$G$4,'calculated data '!$A$4,D3900&lt;=$G$6,'calculated data '!$A$5,D3900&gt;=$G$6,'calculated data '!$A$6)</f>
        <v>Target Market (Core IQR)</v>
      </c>
      <c r="F3900" s="10">
        <f t="shared" si="1"/>
        <v>-0.5208063362</v>
      </c>
    </row>
    <row r="3901" ht="14.25" customHeight="1">
      <c r="A3901" s="2" t="s">
        <v>277</v>
      </c>
      <c r="B3901" s="2" t="s">
        <v>278</v>
      </c>
      <c r="C3901" s="2">
        <v>1989.0</v>
      </c>
      <c r="D3901" s="9">
        <v>5379.1484</v>
      </c>
      <c r="E3901" s="10" t="str">
        <f t="array" ref="E3901">IFS(D3901&lt;=$G$3,'calculated data '!$A$3,D3901&lt;=$G$4,'calculated data '!$A$4,D3901&lt;=$G$6,'calculated data '!$A$5,D3901&gt;=$G$6,'calculated data '!$A$6)</f>
        <v>Target Market (Core IQR)</v>
      </c>
      <c r="F3901" s="10">
        <f t="shared" si="1"/>
        <v>-0.5207867565</v>
      </c>
    </row>
    <row r="3902" ht="14.25" customHeight="1">
      <c r="A3902" s="2" t="s">
        <v>245</v>
      </c>
      <c r="B3902" s="2" t="s">
        <v>246</v>
      </c>
      <c r="C3902" s="2">
        <v>1995.0</v>
      </c>
      <c r="D3902" s="9">
        <v>5381.158</v>
      </c>
      <c r="E3902" s="10" t="str">
        <f t="array" ref="E3902">IFS(D3902&lt;=$G$3,'calculated data '!$A$3,D3902&lt;=$G$4,'calculated data '!$A$4,D3902&lt;=$G$6,'calculated data '!$A$5,D3902&gt;=$G$6,'calculated data '!$A$6)</f>
        <v>Target Market (Core IQR)</v>
      </c>
      <c r="F3902" s="10">
        <f t="shared" si="1"/>
        <v>-0.5207335629</v>
      </c>
    </row>
    <row r="3903" ht="14.25" customHeight="1">
      <c r="A3903" s="2" t="s">
        <v>201</v>
      </c>
      <c r="B3903" s="2" t="s">
        <v>202</v>
      </c>
      <c r="C3903" s="2">
        <v>1985.0</v>
      </c>
      <c r="D3903" s="9">
        <v>5383.605</v>
      </c>
      <c r="E3903" s="10" t="str">
        <f t="array" ref="E3903">IFS(D3903&lt;=$G$3,'calculated data '!$A$3,D3903&lt;=$G$4,'calculated data '!$A$4,D3903&lt;=$G$6,'calculated data '!$A$5,D3903&gt;=$G$6,'calculated data '!$A$6)</f>
        <v>Target Market (Core IQR)</v>
      </c>
      <c r="F3903" s="10">
        <f t="shared" si="1"/>
        <v>-0.5206687914</v>
      </c>
    </row>
    <row r="3904" ht="14.25" customHeight="1">
      <c r="A3904" s="2" t="s">
        <v>209</v>
      </c>
      <c r="B3904" s="2" t="s">
        <v>210</v>
      </c>
      <c r="C3904" s="2">
        <v>2020.0</v>
      </c>
      <c r="D3904" s="9">
        <v>5385.433</v>
      </c>
      <c r="E3904" s="10" t="str">
        <f t="array" ref="E3904">IFS(D3904&lt;=$G$3,'calculated data '!$A$3,D3904&lt;=$G$4,'calculated data '!$A$4,D3904&lt;=$G$6,'calculated data '!$A$5,D3904&gt;=$G$6,'calculated data '!$A$6)</f>
        <v>Target Market (Core IQR)</v>
      </c>
      <c r="F3904" s="10">
        <f t="shared" si="1"/>
        <v>-0.5206204047</v>
      </c>
    </row>
    <row r="3905" ht="14.25" customHeight="1">
      <c r="A3905" s="2" t="s">
        <v>273</v>
      </c>
      <c r="B3905" s="2" t="s">
        <v>274</v>
      </c>
      <c r="C3905" s="2">
        <v>2014.0</v>
      </c>
      <c r="D3905" s="9">
        <v>5388.6553</v>
      </c>
      <c r="E3905" s="10" t="str">
        <f t="array" ref="E3905">IFS(D3905&lt;=$G$3,'calculated data '!$A$3,D3905&lt;=$G$4,'calculated data '!$A$4,D3905&lt;=$G$6,'calculated data '!$A$5,D3905&gt;=$G$6,'calculated data '!$A$6)</f>
        <v>Target Market (Core IQR)</v>
      </c>
      <c r="F3905" s="10">
        <f t="shared" si="1"/>
        <v>-0.5205351112</v>
      </c>
    </row>
    <row r="3906" ht="14.25" customHeight="1">
      <c r="A3906" s="2" t="s">
        <v>141</v>
      </c>
      <c r="B3906" s="2" t="s">
        <v>142</v>
      </c>
      <c r="C3906" s="2">
        <v>1989.0</v>
      </c>
      <c r="D3906" s="9">
        <v>5389.276</v>
      </c>
      <c r="E3906" s="10" t="str">
        <f t="array" ref="E3906">IFS(D3906&lt;=$G$3,'calculated data '!$A$3,D3906&lt;=$G$4,'calculated data '!$A$4,D3906&lt;=$G$6,'calculated data '!$A$5,D3906&gt;=$G$6,'calculated data '!$A$6)</f>
        <v>Target Market (Core IQR)</v>
      </c>
      <c r="F3906" s="10">
        <f t="shared" si="1"/>
        <v>-0.5205186814</v>
      </c>
    </row>
    <row r="3907" ht="14.25" customHeight="1">
      <c r="A3907" s="2" t="s">
        <v>247</v>
      </c>
      <c r="B3907" s="2" t="s">
        <v>248</v>
      </c>
      <c r="C3907" s="2">
        <v>1994.0</v>
      </c>
      <c r="D3907" s="9">
        <v>5389.5215</v>
      </c>
      <c r="E3907" s="10" t="str">
        <f t="array" ref="E3907">IFS(D3907&lt;=$G$3,'calculated data '!$A$3,D3907&lt;=$G$4,'calculated data '!$A$4,D3907&lt;=$G$6,'calculated data '!$A$5,D3907&gt;=$G$6,'calculated data '!$A$6)</f>
        <v>Target Market (Core IQR)</v>
      </c>
      <c r="F3907" s="10">
        <f t="shared" si="1"/>
        <v>-0.5205121831</v>
      </c>
    </row>
    <row r="3908" ht="14.25" customHeight="1">
      <c r="A3908" s="2" t="s">
        <v>189</v>
      </c>
      <c r="B3908" s="2" t="s">
        <v>190</v>
      </c>
      <c r="C3908" s="2">
        <v>2023.0</v>
      </c>
      <c r="D3908" s="9">
        <v>5392.4785</v>
      </c>
      <c r="E3908" s="10" t="str">
        <f t="array" ref="E3908">IFS(D3908&lt;=$G$3,'calculated data '!$A$3,D3908&lt;=$G$4,'calculated data '!$A$4,D3908&lt;=$G$6,'calculated data '!$A$5,D3908&gt;=$G$6,'calculated data '!$A$6)</f>
        <v>Target Market (Core IQR)</v>
      </c>
      <c r="F3908" s="10">
        <f t="shared" si="1"/>
        <v>-0.5204339121</v>
      </c>
    </row>
    <row r="3909" ht="14.25" customHeight="1">
      <c r="A3909" s="2" t="s">
        <v>275</v>
      </c>
      <c r="B3909" s="2" t="s">
        <v>276</v>
      </c>
      <c r="C3909" s="2">
        <v>1983.0</v>
      </c>
      <c r="D3909" s="9">
        <v>5396.205</v>
      </c>
      <c r="E3909" s="10" t="str">
        <f t="array" ref="E3909">IFS(D3909&lt;=$G$3,'calculated data '!$A$3,D3909&lt;=$G$4,'calculated data '!$A$4,D3909&lt;=$G$6,'calculated data '!$A$5,D3909&gt;=$G$6,'calculated data '!$A$6)</f>
        <v>Target Market (Core IQR)</v>
      </c>
      <c r="F3909" s="10">
        <f t="shared" si="1"/>
        <v>-0.5203352725</v>
      </c>
    </row>
    <row r="3910" ht="14.25" customHeight="1">
      <c r="A3910" s="2" t="s">
        <v>183</v>
      </c>
      <c r="B3910" s="2" t="s">
        <v>184</v>
      </c>
      <c r="C3910" s="2">
        <v>1987.0</v>
      </c>
      <c r="D3910" s="9">
        <v>5399.6753</v>
      </c>
      <c r="E3910" s="10" t="str">
        <f t="array" ref="E3910">IFS(D3910&lt;=$G$3,'calculated data '!$A$3,D3910&lt;=$G$4,'calculated data '!$A$4,D3910&lt;=$G$6,'calculated data '!$A$5,D3910&gt;=$G$6,'calculated data '!$A$6)</f>
        <v>Target Market (Core IQR)</v>
      </c>
      <c r="F3910" s="10">
        <f t="shared" si="1"/>
        <v>-0.5202434146</v>
      </c>
    </row>
    <row r="3911" ht="14.25" customHeight="1">
      <c r="A3911" s="2" t="s">
        <v>263</v>
      </c>
      <c r="B3911" s="2" t="s">
        <v>264</v>
      </c>
      <c r="C3911" s="2">
        <v>1994.0</v>
      </c>
      <c r="D3911" s="9">
        <v>5400.1235</v>
      </c>
      <c r="E3911" s="10" t="str">
        <f t="array" ref="E3911">IFS(D3911&lt;=$G$3,'calculated data '!$A$3,D3911&lt;=$G$4,'calculated data '!$A$4,D3911&lt;=$G$6,'calculated data '!$A$5,D3911&gt;=$G$6,'calculated data '!$A$6)</f>
        <v>Target Market (Core IQR)</v>
      </c>
      <c r="F3911" s="10">
        <f t="shared" si="1"/>
        <v>-0.5202315508</v>
      </c>
    </row>
    <row r="3912" ht="14.25" customHeight="1">
      <c r="A3912" s="2" t="s">
        <v>269</v>
      </c>
      <c r="B3912" s="2" t="s">
        <v>270</v>
      </c>
      <c r="C3912" s="2">
        <v>2021.0</v>
      </c>
      <c r="D3912" s="9">
        <v>5400.5156</v>
      </c>
      <c r="E3912" s="10" t="str">
        <f t="array" ref="E3912">IFS(D3912&lt;=$G$3,'calculated data '!$A$3,D3912&lt;=$G$4,'calculated data '!$A$4,D3912&lt;=$G$6,'calculated data '!$A$5,D3912&gt;=$G$6,'calculated data '!$A$6)</f>
        <v>Target Market (Core IQR)</v>
      </c>
      <c r="F3912" s="10">
        <f t="shared" si="1"/>
        <v>-0.520221172</v>
      </c>
    </row>
    <row r="3913" ht="14.25" customHeight="1">
      <c r="A3913" s="2" t="s">
        <v>263</v>
      </c>
      <c r="B3913" s="2" t="s">
        <v>264</v>
      </c>
      <c r="C3913" s="2">
        <v>1988.0</v>
      </c>
      <c r="D3913" s="9">
        <v>5402.4326</v>
      </c>
      <c r="E3913" s="10" t="str">
        <f t="array" ref="E3913">IFS(D3913&lt;=$G$3,'calculated data '!$A$3,D3913&lt;=$G$4,'calculated data '!$A$4,D3913&lt;=$G$6,'calculated data '!$A$5,D3913&gt;=$G$6,'calculated data '!$A$6)</f>
        <v>Target Market (Core IQR)</v>
      </c>
      <c r="F3913" s="10">
        <f t="shared" si="1"/>
        <v>-0.5201704295</v>
      </c>
    </row>
    <row r="3914" ht="14.25" customHeight="1">
      <c r="A3914" s="2" t="s">
        <v>245</v>
      </c>
      <c r="B3914" s="2" t="s">
        <v>246</v>
      </c>
      <c r="C3914" s="2">
        <v>2004.0</v>
      </c>
      <c r="D3914" s="9">
        <v>5403.8467</v>
      </c>
      <c r="E3914" s="10" t="str">
        <f t="array" ref="E3914">IFS(D3914&lt;=$G$3,'calculated data '!$A$3,D3914&lt;=$G$4,'calculated data '!$A$4,D3914&lt;=$G$6,'calculated data '!$A$5,D3914&gt;=$G$6,'calculated data '!$A$6)</f>
        <v>Target Market (Core IQR)</v>
      </c>
      <c r="F3914" s="10">
        <f t="shared" si="1"/>
        <v>-0.5201329986</v>
      </c>
    </row>
    <row r="3915" ht="14.25" customHeight="1">
      <c r="A3915" s="2" t="s">
        <v>255</v>
      </c>
      <c r="B3915" s="2" t="s">
        <v>256</v>
      </c>
      <c r="C3915" s="2">
        <v>1975.0</v>
      </c>
      <c r="D3915" s="9">
        <v>5407.932</v>
      </c>
      <c r="E3915" s="10" t="str">
        <f t="array" ref="E3915">IFS(D3915&lt;=$G$3,'calculated data '!$A$3,D3915&lt;=$G$4,'calculated data '!$A$4,D3915&lt;=$G$6,'calculated data '!$A$5,D3915&gt;=$G$6,'calculated data '!$A$6)</f>
        <v>Target Market (Core IQR)</v>
      </c>
      <c r="F3915" s="10">
        <f t="shared" si="1"/>
        <v>-0.5200248618</v>
      </c>
    </row>
    <row r="3916" ht="14.25" customHeight="1">
      <c r="A3916" s="2" t="s">
        <v>231</v>
      </c>
      <c r="B3916" s="2" t="s">
        <v>232</v>
      </c>
      <c r="C3916" s="2">
        <v>1975.0</v>
      </c>
      <c r="D3916" s="9">
        <v>5409.993</v>
      </c>
      <c r="E3916" s="10" t="str">
        <f t="array" ref="E3916">IFS(D3916&lt;=$G$3,'calculated data '!$A$3,D3916&lt;=$G$4,'calculated data '!$A$4,D3916&lt;=$G$6,'calculated data '!$A$5,D3916&gt;=$G$6,'calculated data '!$A$6)</f>
        <v>Target Market (Core IQR)</v>
      </c>
      <c r="F3916" s="10">
        <f t="shared" si="1"/>
        <v>-0.5199703076</v>
      </c>
    </row>
    <row r="3917" ht="14.25" customHeight="1">
      <c r="A3917" s="2" t="s">
        <v>277</v>
      </c>
      <c r="B3917" s="2" t="s">
        <v>278</v>
      </c>
      <c r="C3917" s="2">
        <v>1990.0</v>
      </c>
      <c r="D3917" s="9">
        <v>5421.8296</v>
      </c>
      <c r="E3917" s="10" t="str">
        <f t="array" ref="E3917">IFS(D3917&lt;=$G$3,'calculated data '!$A$3,D3917&lt;=$G$4,'calculated data '!$A$4,D3917&lt;=$G$6,'calculated data '!$A$5,D3917&gt;=$G$6,'calculated data '!$A$6)</f>
        <v>Target Market (Core IQR)</v>
      </c>
      <c r="F3917" s="10">
        <f t="shared" si="1"/>
        <v>-0.5196569958</v>
      </c>
    </row>
    <row r="3918" ht="14.25" customHeight="1">
      <c r="A3918" s="2" t="s">
        <v>191</v>
      </c>
      <c r="B3918" s="2" t="s">
        <v>192</v>
      </c>
      <c r="C3918" s="2">
        <v>1995.0</v>
      </c>
      <c r="D3918" s="9">
        <v>5423.2217</v>
      </c>
      <c r="E3918" s="10" t="str">
        <f t="array" ref="E3918">IFS(D3918&lt;=$G$3,'calculated data '!$A$3,D3918&lt;=$G$4,'calculated data '!$A$4,D3918&lt;=$G$6,'calculated data '!$A$5,D3918&gt;=$G$6,'calculated data '!$A$6)</f>
        <v>Target Market (Core IQR)</v>
      </c>
      <c r="F3918" s="10">
        <f t="shared" si="1"/>
        <v>-0.5196201472</v>
      </c>
    </row>
    <row r="3919" ht="14.25" customHeight="1">
      <c r="A3919" s="2" t="s">
        <v>99</v>
      </c>
      <c r="B3919" s="2" t="s">
        <v>100</v>
      </c>
      <c r="C3919" s="2">
        <v>1996.0</v>
      </c>
      <c r="D3919" s="9">
        <v>5428.8623</v>
      </c>
      <c r="E3919" s="10" t="str">
        <f t="array" ref="E3919">IFS(D3919&lt;=$G$3,'calculated data '!$A$3,D3919&lt;=$G$4,'calculated data '!$A$4,D3919&lt;=$G$6,'calculated data '!$A$5,D3919&gt;=$G$6,'calculated data '!$A$6)</f>
        <v>Target Market (Core IQR)</v>
      </c>
      <c r="F3919" s="10">
        <f t="shared" si="1"/>
        <v>-0.5194708419</v>
      </c>
    </row>
    <row r="3920" ht="14.25" customHeight="1">
      <c r="A3920" s="2" t="s">
        <v>199</v>
      </c>
      <c r="B3920" s="2" t="s">
        <v>200</v>
      </c>
      <c r="C3920" s="2">
        <v>2024.0</v>
      </c>
      <c r="D3920" s="9">
        <v>5430.201</v>
      </c>
      <c r="E3920" s="10" t="str">
        <f t="array" ref="E3920">IFS(D3920&lt;=$G$3,'calculated data '!$A$3,D3920&lt;=$G$4,'calculated data '!$A$4,D3920&lt;=$G$6,'calculated data '!$A$5,D3920&gt;=$G$6,'calculated data '!$A$6)</f>
        <v>Target Market (Core IQR)</v>
      </c>
      <c r="F3920" s="10">
        <f t="shared" si="1"/>
        <v>-0.5194354069</v>
      </c>
    </row>
    <row r="3921" ht="14.25" customHeight="1">
      <c r="A3921" s="2" t="s">
        <v>255</v>
      </c>
      <c r="B3921" s="2" t="s">
        <v>256</v>
      </c>
      <c r="C3921" s="2">
        <v>1981.0</v>
      </c>
      <c r="D3921" s="9">
        <v>5430.461</v>
      </c>
      <c r="E3921" s="10" t="str">
        <f t="array" ref="E3921">IFS(D3921&lt;=$G$3,'calculated data '!$A$3,D3921&lt;=$G$4,'calculated data '!$A$4,D3921&lt;=$G$6,'calculated data '!$A$5,D3921&gt;=$G$6,'calculated data '!$A$6)</f>
        <v>Target Market (Core IQR)</v>
      </c>
      <c r="F3921" s="10">
        <f t="shared" si="1"/>
        <v>-0.5194285248</v>
      </c>
    </row>
    <row r="3922" ht="14.25" customHeight="1">
      <c r="A3922" s="2" t="s">
        <v>237</v>
      </c>
      <c r="B3922" s="2" t="s">
        <v>238</v>
      </c>
      <c r="C3922" s="2">
        <v>1988.0</v>
      </c>
      <c r="D3922" s="9">
        <v>5434.57</v>
      </c>
      <c r="E3922" s="10" t="str">
        <f t="array" ref="E3922">IFS(D3922&lt;=$G$3,'calculated data '!$A$3,D3922&lt;=$G$4,'calculated data '!$A$4,D3922&lt;=$G$6,'calculated data '!$A$5,D3922&gt;=$G$6,'calculated data '!$A$6)</f>
        <v>Target Market (Core IQR)</v>
      </c>
      <c r="F3922" s="10">
        <f t="shared" si="1"/>
        <v>-0.5193197605</v>
      </c>
    </row>
    <row r="3923" ht="14.25" customHeight="1">
      <c r="A3923" s="2" t="s">
        <v>211</v>
      </c>
      <c r="B3923" s="2" t="s">
        <v>212</v>
      </c>
      <c r="C3923" s="2">
        <v>2011.0</v>
      </c>
      <c r="D3923" s="9">
        <v>5436.1074</v>
      </c>
      <c r="E3923" s="10" t="str">
        <f t="array" ref="E3923">IFS(D3923&lt;=$G$3,'calculated data '!$A$3,D3923&lt;=$G$4,'calculated data '!$A$4,D3923&lt;=$G$6,'calculated data '!$A$5,D3923&gt;=$G$6,'calculated data '!$A$6)</f>
        <v>Target Market (Core IQR)</v>
      </c>
      <c r="F3923" s="10">
        <f t="shared" si="1"/>
        <v>-0.5192790659</v>
      </c>
    </row>
    <row r="3924" ht="14.25" customHeight="1">
      <c r="A3924" s="2" t="s">
        <v>193</v>
      </c>
      <c r="B3924" s="2" t="s">
        <v>194</v>
      </c>
      <c r="C3924" s="2">
        <v>2017.0</v>
      </c>
      <c r="D3924" s="9">
        <v>5442.0664</v>
      </c>
      <c r="E3924" s="10" t="str">
        <f t="array" ref="E3924">IFS(D3924&lt;=$G$3,'calculated data '!$A$3,D3924&lt;=$G$4,'calculated data '!$A$4,D3924&lt;=$G$6,'calculated data '!$A$5,D3924&gt;=$G$6,'calculated data '!$A$6)</f>
        <v>Target Market (Core IQR)</v>
      </c>
      <c r="F3924" s="10">
        <f t="shared" si="1"/>
        <v>-0.5191213327</v>
      </c>
    </row>
    <row r="3925" ht="14.25" customHeight="1">
      <c r="A3925" s="2" t="s">
        <v>191</v>
      </c>
      <c r="B3925" s="2" t="s">
        <v>192</v>
      </c>
      <c r="C3925" s="2">
        <v>1996.0</v>
      </c>
      <c r="D3925" s="9">
        <v>5442.6567</v>
      </c>
      <c r="E3925" s="10" t="str">
        <f t="array" ref="E3925">IFS(D3925&lt;=$G$3,'calculated data '!$A$3,D3925&lt;=$G$4,'calculated data '!$A$4,D3925&lt;=$G$6,'calculated data '!$A$5,D3925&gt;=$G$6,'calculated data '!$A$6)</f>
        <v>Target Market (Core IQR)</v>
      </c>
      <c r="F3925" s="10">
        <f t="shared" si="1"/>
        <v>-0.5191057076</v>
      </c>
    </row>
    <row r="3926" ht="14.25" customHeight="1">
      <c r="A3926" s="2" t="s">
        <v>209</v>
      </c>
      <c r="B3926" s="2" t="s">
        <v>210</v>
      </c>
      <c r="C3926" s="2">
        <v>2015.0</v>
      </c>
      <c r="D3926" s="9">
        <v>5442.877</v>
      </c>
      <c r="E3926" s="10" t="str">
        <f t="array" ref="E3926">IFS(D3926&lt;=$G$3,'calculated data '!$A$3,D3926&lt;=$G$4,'calculated data '!$A$4,D3926&lt;=$G$6,'calculated data '!$A$5,D3926&gt;=$G$6,'calculated data '!$A$6)</f>
        <v>Target Market (Core IQR)</v>
      </c>
      <c r="F3926" s="10">
        <f t="shared" si="1"/>
        <v>-0.5190998763</v>
      </c>
    </row>
    <row r="3927" ht="14.25" customHeight="1">
      <c r="A3927" s="2" t="s">
        <v>201</v>
      </c>
      <c r="B3927" s="2" t="s">
        <v>202</v>
      </c>
      <c r="C3927" s="2">
        <v>1981.0</v>
      </c>
      <c r="D3927" s="9">
        <v>5447.936</v>
      </c>
      <c r="E3927" s="10" t="str">
        <f t="array" ref="E3927">IFS(D3927&lt;=$G$3,'calculated data '!$A$3,D3927&lt;=$G$4,'calculated data '!$A$4,D3927&lt;=$G$6,'calculated data '!$A$5,D3927&gt;=$G$6,'calculated data '!$A$6)</f>
        <v>Target Market (Core IQR)</v>
      </c>
      <c r="F3927" s="10">
        <f t="shared" si="1"/>
        <v>-0.5189659659</v>
      </c>
    </row>
    <row r="3928" ht="14.25" customHeight="1">
      <c r="A3928" s="2" t="s">
        <v>145</v>
      </c>
      <c r="B3928" s="2" t="s">
        <v>146</v>
      </c>
      <c r="C3928" s="2">
        <v>2015.0</v>
      </c>
      <c r="D3928" s="9">
        <v>5450.198</v>
      </c>
      <c r="E3928" s="10" t="str">
        <f t="array" ref="E3928">IFS(D3928&lt;=$G$3,'calculated data '!$A$3,D3928&lt;=$G$4,'calculated data '!$A$4,D3928&lt;=$G$6,'calculated data '!$A$5,D3928&gt;=$G$6,'calculated data '!$A$6)</f>
        <v>Target Market (Core IQR)</v>
      </c>
      <c r="F3928" s="10">
        <f t="shared" si="1"/>
        <v>-0.5189060913</v>
      </c>
    </row>
    <row r="3929" ht="14.25" customHeight="1">
      <c r="A3929" s="2" t="s">
        <v>183</v>
      </c>
      <c r="B3929" s="2" t="s">
        <v>184</v>
      </c>
      <c r="C3929" s="2">
        <v>1989.0</v>
      </c>
      <c r="D3929" s="9">
        <v>5453.0576</v>
      </c>
      <c r="E3929" s="10" t="str">
        <f t="array" ref="E3929">IFS(D3929&lt;=$G$3,'calculated data '!$A$3,D3929&lt;=$G$4,'calculated data '!$A$4,D3929&lt;=$G$6,'calculated data '!$A$5,D3929&gt;=$G$6,'calculated data '!$A$6)</f>
        <v>Target Market (Core IQR)</v>
      </c>
      <c r="F3929" s="10">
        <f t="shared" si="1"/>
        <v>-0.5188303984</v>
      </c>
    </row>
    <row r="3930" ht="14.25" customHeight="1">
      <c r="A3930" s="2" t="s">
        <v>191</v>
      </c>
      <c r="B3930" s="2" t="s">
        <v>192</v>
      </c>
      <c r="C3930" s="2">
        <v>1997.0</v>
      </c>
      <c r="D3930" s="9">
        <v>5453.8867</v>
      </c>
      <c r="E3930" s="10" t="str">
        <f t="array" ref="E3930">IFS(D3930&lt;=$G$3,'calculated data '!$A$3,D3930&lt;=$G$4,'calculated data '!$A$4,D3930&lt;=$G$6,'calculated data '!$A$5,D3930&gt;=$G$6,'calculated data '!$A$6)</f>
        <v>Target Market (Core IQR)</v>
      </c>
      <c r="F3930" s="10">
        <f t="shared" si="1"/>
        <v>-0.5188084523</v>
      </c>
    </row>
    <row r="3931" ht="14.25" customHeight="1">
      <c r="A3931" s="2" t="s">
        <v>221</v>
      </c>
      <c r="B3931" s="2" t="s">
        <v>222</v>
      </c>
      <c r="C3931" s="2">
        <v>1972.0</v>
      </c>
      <c r="D3931" s="9">
        <v>5456.536</v>
      </c>
      <c r="E3931" s="10" t="str">
        <f t="array" ref="E3931">IFS(D3931&lt;=$G$3,'calculated data '!$A$3,D3931&lt;=$G$4,'calculated data '!$A$4,D3931&lt;=$G$6,'calculated data '!$A$5,D3931&gt;=$G$6,'calculated data '!$A$6)</f>
        <v>Target Market (Core IQR)</v>
      </c>
      <c r="F3931" s="10">
        <f t="shared" si="1"/>
        <v>-0.518738326</v>
      </c>
    </row>
    <row r="3932" ht="14.25" customHeight="1">
      <c r="A3932" s="2" t="s">
        <v>229</v>
      </c>
      <c r="B3932" s="2" t="s">
        <v>230</v>
      </c>
      <c r="C3932" s="2">
        <v>1979.0</v>
      </c>
      <c r="D3932" s="9">
        <v>5457.378</v>
      </c>
      <c r="E3932" s="10" t="str">
        <f t="array" ref="E3932">IFS(D3932&lt;=$G$3,'calculated data '!$A$3,D3932&lt;=$G$4,'calculated data '!$A$4,D3932&lt;=$G$6,'calculated data '!$A$5,D3932&gt;=$G$6,'calculated data '!$A$6)</f>
        <v>Target Market (Core IQR)</v>
      </c>
      <c r="F3932" s="10">
        <f t="shared" si="1"/>
        <v>-0.5187160385</v>
      </c>
    </row>
    <row r="3933" ht="14.25" customHeight="1">
      <c r="A3933" s="2" t="s">
        <v>129</v>
      </c>
      <c r="B3933" s="2" t="s">
        <v>130</v>
      </c>
      <c r="C3933" s="2">
        <v>2000.0</v>
      </c>
      <c r="D3933" s="9">
        <v>5458.563</v>
      </c>
      <c r="E3933" s="10" t="str">
        <f t="array" ref="E3933">IFS(D3933&lt;=$G$3,'calculated data '!$A$3,D3933&lt;=$G$4,'calculated data '!$A$4,D3933&lt;=$G$6,'calculated data '!$A$5,D3933&gt;=$G$6,'calculated data '!$A$6)</f>
        <v>Target Market (Core IQR)</v>
      </c>
      <c r="F3933" s="10">
        <f t="shared" si="1"/>
        <v>-0.5186846718</v>
      </c>
    </row>
    <row r="3934" ht="14.25" customHeight="1">
      <c r="A3934" s="2" t="s">
        <v>239</v>
      </c>
      <c r="B3934" s="2" t="s">
        <v>240</v>
      </c>
      <c r="C3934" s="2">
        <v>2018.0</v>
      </c>
      <c r="D3934" s="9">
        <v>5461.989</v>
      </c>
      <c r="E3934" s="10" t="str">
        <f t="array" ref="E3934">IFS(D3934&lt;=$G$3,'calculated data '!$A$3,D3934&lt;=$G$4,'calculated data '!$A$4,D3934&lt;=$G$6,'calculated data '!$A$5,D3934&gt;=$G$6,'calculated data '!$A$6)</f>
        <v>Target Market (Core IQR)</v>
      </c>
      <c r="F3934" s="10">
        <f t="shared" si="1"/>
        <v>-0.5185939864</v>
      </c>
    </row>
    <row r="3935" ht="14.25" customHeight="1">
      <c r="A3935" s="2" t="s">
        <v>281</v>
      </c>
      <c r="B3935" s="2" t="s">
        <v>282</v>
      </c>
      <c r="C3935" s="2">
        <v>1966.0</v>
      </c>
      <c r="D3935" s="9">
        <v>5465.637</v>
      </c>
      <c r="E3935" s="10" t="str">
        <f t="array" ref="E3935">IFS(D3935&lt;=$G$3,'calculated data '!$A$3,D3935&lt;=$G$4,'calculated data '!$A$4,D3935&lt;=$G$6,'calculated data '!$A$5,D3935&gt;=$G$6,'calculated data '!$A$6)</f>
        <v>Target Market (Core IQR)</v>
      </c>
      <c r="F3935" s="10">
        <f t="shared" si="1"/>
        <v>-0.5184974248</v>
      </c>
    </row>
    <row r="3936" ht="14.25" customHeight="1">
      <c r="A3936" s="2" t="s">
        <v>285</v>
      </c>
      <c r="B3936" s="2" t="s">
        <v>286</v>
      </c>
      <c r="C3936" s="2">
        <v>1986.0</v>
      </c>
      <c r="D3936" s="9">
        <v>5465.904</v>
      </c>
      <c r="E3936" s="10" t="str">
        <f t="array" ref="E3936">IFS(D3936&lt;=$G$3,'calculated data '!$A$3,D3936&lt;=$G$4,'calculated data '!$A$4,D3936&lt;=$G$6,'calculated data '!$A$5,D3936&gt;=$G$6,'calculated data '!$A$6)</f>
        <v>Target Market (Core IQR)</v>
      </c>
      <c r="F3936" s="10">
        <f t="shared" si="1"/>
        <v>-0.5184903574</v>
      </c>
    </row>
    <row r="3937" ht="14.25" customHeight="1">
      <c r="A3937" s="2" t="s">
        <v>247</v>
      </c>
      <c r="B3937" s="2" t="s">
        <v>248</v>
      </c>
      <c r="C3937" s="2">
        <v>1995.0</v>
      </c>
      <c r="D3937" s="9">
        <v>5472.9365</v>
      </c>
      <c r="E3937" s="10" t="str">
        <f t="array" ref="E3937">IFS(D3937&lt;=$G$3,'calculated data '!$A$3,D3937&lt;=$G$4,'calculated data '!$A$4,D3937&lt;=$G$6,'calculated data '!$A$5,D3937&gt;=$G$6,'calculated data '!$A$6)</f>
        <v>Target Market (Core IQR)</v>
      </c>
      <c r="F3937" s="10">
        <f t="shared" si="1"/>
        <v>-0.5183042088</v>
      </c>
    </row>
    <row r="3938" ht="14.25" customHeight="1">
      <c r="A3938" s="2" t="s">
        <v>163</v>
      </c>
      <c r="B3938" s="2" t="s">
        <v>164</v>
      </c>
      <c r="C3938" s="2">
        <v>2009.0</v>
      </c>
      <c r="D3938" s="9">
        <v>5474.113</v>
      </c>
      <c r="E3938" s="10" t="str">
        <f t="array" ref="E3938">IFS(D3938&lt;=$G$3,'calculated data '!$A$3,D3938&lt;=$G$4,'calculated data '!$A$4,D3938&lt;=$G$6,'calculated data '!$A$5,D3938&gt;=$G$6,'calculated data '!$A$6)</f>
        <v>Target Market (Core IQR)</v>
      </c>
      <c r="F3938" s="10">
        <f t="shared" si="1"/>
        <v>-0.5182730672</v>
      </c>
    </row>
    <row r="3939" ht="14.25" customHeight="1">
      <c r="A3939" s="2" t="s">
        <v>281</v>
      </c>
      <c r="B3939" s="2" t="s">
        <v>282</v>
      </c>
      <c r="C3939" s="2">
        <v>1969.0</v>
      </c>
      <c r="D3939" s="9">
        <v>5477.076</v>
      </c>
      <c r="E3939" s="10" t="str">
        <f t="array" ref="E3939">IFS(D3939&lt;=$G$3,'calculated data '!$A$3,D3939&lt;=$G$4,'calculated data '!$A$4,D3939&lt;=$G$6,'calculated data '!$A$5,D3939&gt;=$G$6,'calculated data '!$A$6)</f>
        <v>Target Market (Core IQR)</v>
      </c>
      <c r="F3939" s="10">
        <f t="shared" si="1"/>
        <v>-0.5181946373</v>
      </c>
    </row>
    <row r="3940" ht="14.25" customHeight="1">
      <c r="A3940" s="2" t="s">
        <v>83</v>
      </c>
      <c r="B3940" s="2" t="s">
        <v>84</v>
      </c>
      <c r="C3940" s="2">
        <v>2015.0</v>
      </c>
      <c r="D3940" s="9">
        <v>5482.171</v>
      </c>
      <c r="E3940" s="10" t="str">
        <f t="array" ref="E3940">IFS(D3940&lt;=$G$3,'calculated data '!$A$3,D3940&lt;=$G$4,'calculated data '!$A$4,D3940&lt;=$G$6,'calculated data '!$A$5,D3940&gt;=$G$6,'calculated data '!$A$6)</f>
        <v>Target Market (Core IQR)</v>
      </c>
      <c r="F3940" s="10">
        <f t="shared" si="1"/>
        <v>-0.5180597739</v>
      </c>
    </row>
    <row r="3941" ht="14.25" customHeight="1">
      <c r="A3941" s="2" t="s">
        <v>163</v>
      </c>
      <c r="B3941" s="2" t="s">
        <v>164</v>
      </c>
      <c r="C3941" s="2">
        <v>1997.0</v>
      </c>
      <c r="D3941" s="9">
        <v>5492.21</v>
      </c>
      <c r="E3941" s="10" t="str">
        <f t="array" ref="E3941">IFS(D3941&lt;=$G$3,'calculated data '!$A$3,D3941&lt;=$G$4,'calculated data '!$A$4,D3941&lt;=$G$6,'calculated data '!$A$5,D3941&gt;=$G$6,'calculated data '!$A$6)</f>
        <v>Target Market (Core IQR)</v>
      </c>
      <c r="F3941" s="10">
        <f t="shared" si="1"/>
        <v>-0.5177940441</v>
      </c>
    </row>
    <row r="3942" ht="14.25" customHeight="1">
      <c r="A3942" s="2" t="s">
        <v>233</v>
      </c>
      <c r="B3942" s="2" t="s">
        <v>234</v>
      </c>
      <c r="C3942" s="2">
        <v>1976.0</v>
      </c>
      <c r="D3942" s="9">
        <v>5495.084</v>
      </c>
      <c r="E3942" s="10" t="str">
        <f t="array" ref="E3942">IFS(D3942&lt;=$G$3,'calculated data '!$A$3,D3942&lt;=$G$4,'calculated data '!$A$4,D3942&lt;=$G$6,'calculated data '!$A$5,D3942&gt;=$G$6,'calculated data '!$A$6)</f>
        <v>Target Market (Core IQR)</v>
      </c>
      <c r="F3942" s="10">
        <f t="shared" si="1"/>
        <v>-0.51771797</v>
      </c>
    </row>
    <row r="3943" ht="14.25" customHeight="1">
      <c r="A3943" s="2" t="s">
        <v>267</v>
      </c>
      <c r="B3943" s="2" t="s">
        <v>268</v>
      </c>
      <c r="C3943" s="2">
        <v>1980.0</v>
      </c>
      <c r="D3943" s="9">
        <v>5498.1772</v>
      </c>
      <c r="E3943" s="10" t="str">
        <f t="array" ref="E3943">IFS(D3943&lt;=$G$3,'calculated data '!$A$3,D3943&lt;=$G$4,'calculated data '!$A$4,D3943&lt;=$G$6,'calculated data '!$A$5,D3943&gt;=$G$6,'calculated data '!$A$6)</f>
        <v>Target Market (Core IQR)</v>
      </c>
      <c r="F3943" s="10">
        <f t="shared" si="1"/>
        <v>-0.5176360938</v>
      </c>
    </row>
    <row r="3944" ht="14.25" customHeight="1">
      <c r="A3944" s="2" t="s">
        <v>263</v>
      </c>
      <c r="B3944" s="2" t="s">
        <v>264</v>
      </c>
      <c r="C3944" s="2">
        <v>1992.0</v>
      </c>
      <c r="D3944" s="9">
        <v>5499.0747</v>
      </c>
      <c r="E3944" s="10" t="str">
        <f t="array" ref="E3944">IFS(D3944&lt;=$G$3,'calculated data '!$A$3,D3944&lt;=$G$4,'calculated data '!$A$4,D3944&lt;=$G$6,'calculated data '!$A$5,D3944&gt;=$G$6,'calculated data '!$A$6)</f>
        <v>Target Market (Core IQR)</v>
      </c>
      <c r="F3944" s="10">
        <f t="shared" si="1"/>
        <v>-0.5176123372</v>
      </c>
    </row>
    <row r="3945" ht="14.25" customHeight="1">
      <c r="A3945" s="2" t="s">
        <v>209</v>
      </c>
      <c r="B3945" s="2" t="s">
        <v>210</v>
      </c>
      <c r="C3945" s="2">
        <v>2016.0</v>
      </c>
      <c r="D3945" s="9">
        <v>5503.3955</v>
      </c>
      <c r="E3945" s="10" t="str">
        <f t="array" ref="E3945">IFS(D3945&lt;=$G$3,'calculated data '!$A$3,D3945&lt;=$G$4,'calculated data '!$A$4,D3945&lt;=$G$6,'calculated data '!$A$5,D3945&gt;=$G$6,'calculated data '!$A$6)</f>
        <v>Target Market (Core IQR)</v>
      </c>
      <c r="F3945" s="10">
        <f t="shared" si="1"/>
        <v>-0.5174979667</v>
      </c>
    </row>
    <row r="3946" ht="14.25" customHeight="1">
      <c r="A3946" s="2" t="s">
        <v>163</v>
      </c>
      <c r="B3946" s="2" t="s">
        <v>164</v>
      </c>
      <c r="C3946" s="2">
        <v>2006.0</v>
      </c>
      <c r="D3946" s="9">
        <v>5504.1255</v>
      </c>
      <c r="E3946" s="10" t="str">
        <f t="array" ref="E3946">IFS(D3946&lt;=$G$3,'calculated data '!$A$3,D3946&lt;=$G$4,'calculated data '!$A$4,D3946&lt;=$G$6,'calculated data '!$A$5,D3946&gt;=$G$6,'calculated data '!$A$6)</f>
        <v>Target Market (Core IQR)</v>
      </c>
      <c r="F3946" s="10">
        <f t="shared" si="1"/>
        <v>-0.5174786438</v>
      </c>
    </row>
    <row r="3947" ht="14.25" customHeight="1">
      <c r="A3947" s="2" t="s">
        <v>163</v>
      </c>
      <c r="B3947" s="2" t="s">
        <v>164</v>
      </c>
      <c r="C3947" s="2">
        <v>1999.0</v>
      </c>
      <c r="D3947" s="9">
        <v>5509.608</v>
      </c>
      <c r="E3947" s="10" t="str">
        <f t="array" ref="E3947">IFS(D3947&lt;=$G$3,'calculated data '!$A$3,D3947&lt;=$G$4,'calculated data '!$A$4,D3947&lt;=$G$6,'calculated data '!$A$5,D3947&gt;=$G$6,'calculated data '!$A$6)</f>
        <v>Target Market (Core IQR)</v>
      </c>
      <c r="F3947" s="10">
        <f t="shared" si="1"/>
        <v>-0.5173335234</v>
      </c>
    </row>
    <row r="3948" ht="14.25" customHeight="1">
      <c r="A3948" s="2" t="s">
        <v>273</v>
      </c>
      <c r="B3948" s="2" t="s">
        <v>274</v>
      </c>
      <c r="C3948" s="2">
        <v>2013.0</v>
      </c>
      <c r="D3948" s="9">
        <v>5513.8105</v>
      </c>
      <c r="E3948" s="10" t="str">
        <f t="array" ref="E3948">IFS(D3948&lt;=$G$3,'calculated data '!$A$3,D3948&lt;=$G$4,'calculated data '!$A$4,D3948&lt;=$G$6,'calculated data '!$A$5,D3948&gt;=$G$6,'calculated data '!$A$6)</f>
        <v>Target Market (Core IQR)</v>
      </c>
      <c r="F3948" s="10">
        <f t="shared" si="1"/>
        <v>-0.5172222842</v>
      </c>
    </row>
    <row r="3949" ht="14.25" customHeight="1">
      <c r="A3949" s="2" t="s">
        <v>45</v>
      </c>
      <c r="B3949" s="2" t="s">
        <v>46</v>
      </c>
      <c r="C3949" s="2">
        <v>1982.0</v>
      </c>
      <c r="D3949" s="9">
        <v>5514.515</v>
      </c>
      <c r="E3949" s="10" t="str">
        <f t="array" ref="E3949">IFS(D3949&lt;=$G$3,'calculated data '!$A$3,D3949&lt;=$G$4,'calculated data '!$A$4,D3949&lt;=$G$6,'calculated data '!$A$5,D3949&gt;=$G$6,'calculated data '!$A$6)</f>
        <v>Target Market (Core IQR)</v>
      </c>
      <c r="F3949" s="10">
        <f t="shared" si="1"/>
        <v>-0.5172036363</v>
      </c>
    </row>
    <row r="3950" ht="14.25" customHeight="1">
      <c r="A3950" s="2" t="s">
        <v>237</v>
      </c>
      <c r="B3950" s="2" t="s">
        <v>238</v>
      </c>
      <c r="C3950" s="2">
        <v>1999.0</v>
      </c>
      <c r="D3950" s="9">
        <v>5516.434</v>
      </c>
      <c r="E3950" s="10" t="str">
        <f t="array" ref="E3950">IFS(D3950&lt;=$G$3,'calculated data '!$A$3,D3950&lt;=$G$4,'calculated data '!$A$4,D3950&lt;=$G$6,'calculated data '!$A$5,D3950&gt;=$G$6,'calculated data '!$A$6)</f>
        <v>Target Market (Core IQR)</v>
      </c>
      <c r="F3950" s="10">
        <f t="shared" si="1"/>
        <v>-0.5171528409</v>
      </c>
    </row>
    <row r="3951" ht="14.25" customHeight="1">
      <c r="A3951" s="2" t="s">
        <v>239</v>
      </c>
      <c r="B3951" s="2" t="s">
        <v>240</v>
      </c>
      <c r="C3951" s="2">
        <v>2021.0</v>
      </c>
      <c r="D3951" s="9">
        <v>5519.3306</v>
      </c>
      <c r="E3951" s="10" t="str">
        <f t="array" ref="E3951">IFS(D3951&lt;=$G$3,'calculated data '!$A$3,D3951&lt;=$G$4,'calculated data '!$A$4,D3951&lt;=$G$6,'calculated data '!$A$5,D3951&gt;=$G$6,'calculated data '!$A$6)</f>
        <v>Target Market (Core IQR)</v>
      </c>
      <c r="F3951" s="10">
        <f t="shared" si="1"/>
        <v>-0.5170761686</v>
      </c>
    </row>
    <row r="3952" ht="14.25" customHeight="1">
      <c r="A3952" s="2" t="s">
        <v>185</v>
      </c>
      <c r="B3952" s="2" t="s">
        <v>186</v>
      </c>
      <c r="C3952" s="2">
        <v>1997.0</v>
      </c>
      <c r="D3952" s="9">
        <v>5520.0566</v>
      </c>
      <c r="E3952" s="10" t="str">
        <f t="array" ref="E3952">IFS(D3952&lt;=$G$3,'calculated data '!$A$3,D3952&lt;=$G$4,'calculated data '!$A$4,D3952&lt;=$G$6,'calculated data '!$A$5,D3952&gt;=$G$6,'calculated data '!$A$6)</f>
        <v>Target Market (Core IQR)</v>
      </c>
      <c r="F3952" s="10">
        <f t="shared" si="1"/>
        <v>-0.5170569515</v>
      </c>
    </row>
    <row r="3953" ht="14.25" customHeight="1">
      <c r="A3953" s="2" t="s">
        <v>193</v>
      </c>
      <c r="B3953" s="2" t="s">
        <v>194</v>
      </c>
      <c r="C3953" s="2">
        <v>2022.0</v>
      </c>
      <c r="D3953" s="9">
        <v>5521.928</v>
      </c>
      <c r="E3953" s="10" t="str">
        <f t="array" ref="E3953">IFS(D3953&lt;=$G$3,'calculated data '!$A$3,D3953&lt;=$G$4,'calculated data '!$A$4,D3953&lt;=$G$6,'calculated data '!$A$5,D3953&gt;=$G$6,'calculated data '!$A$6)</f>
        <v>Target Market (Core IQR)</v>
      </c>
      <c r="F3953" s="10">
        <f t="shared" si="1"/>
        <v>-0.517007416</v>
      </c>
    </row>
    <row r="3954" ht="14.25" customHeight="1">
      <c r="A3954" s="2" t="s">
        <v>251</v>
      </c>
      <c r="B3954" s="2" t="s">
        <v>252</v>
      </c>
      <c r="C3954" s="2">
        <v>1996.0</v>
      </c>
      <c r="D3954" s="9">
        <v>5523.3066</v>
      </c>
      <c r="E3954" s="10" t="str">
        <f t="array" ref="E3954">IFS(D3954&lt;=$G$3,'calculated data '!$A$3,D3954&lt;=$G$4,'calculated data '!$A$4,D3954&lt;=$G$6,'calculated data '!$A$5,D3954&gt;=$G$6,'calculated data '!$A$6)</f>
        <v>Target Market (Core IQR)</v>
      </c>
      <c r="F3954" s="10">
        <f t="shared" si="1"/>
        <v>-0.5169709248</v>
      </c>
    </row>
    <row r="3955" ht="14.25" customHeight="1">
      <c r="A3955" s="2" t="s">
        <v>193</v>
      </c>
      <c r="B3955" s="2" t="s">
        <v>194</v>
      </c>
      <c r="C3955" s="2">
        <v>2018.0</v>
      </c>
      <c r="D3955" s="9">
        <v>5523.4155</v>
      </c>
      <c r="E3955" s="10" t="str">
        <f t="array" ref="E3955">IFS(D3955&lt;=$G$3,'calculated data '!$A$3,D3955&lt;=$G$4,'calculated data '!$A$4,D3955&lt;=$G$6,'calculated data '!$A$5,D3955&gt;=$G$6,'calculated data '!$A$6)</f>
        <v>Target Market (Core IQR)</v>
      </c>
      <c r="F3955" s="10">
        <f t="shared" si="1"/>
        <v>-0.5169680423</v>
      </c>
    </row>
    <row r="3956" ht="14.25" customHeight="1">
      <c r="A3956" s="2" t="s">
        <v>267</v>
      </c>
      <c r="B3956" s="2" t="s">
        <v>268</v>
      </c>
      <c r="C3956" s="2">
        <v>1981.0</v>
      </c>
      <c r="D3956" s="9">
        <v>5526.437</v>
      </c>
      <c r="E3956" s="10" t="str">
        <f t="array" ref="E3956">IFS(D3956&lt;=$G$3,'calculated data '!$A$3,D3956&lt;=$G$4,'calculated data '!$A$4,D3956&lt;=$G$6,'calculated data '!$A$5,D3956&gt;=$G$6,'calculated data '!$A$6)</f>
        <v>Target Market (Core IQR)</v>
      </c>
      <c r="F3956" s="10">
        <f t="shared" si="1"/>
        <v>-0.5168880639</v>
      </c>
    </row>
    <row r="3957" ht="14.25" customHeight="1">
      <c r="A3957" s="2" t="s">
        <v>251</v>
      </c>
      <c r="B3957" s="2" t="s">
        <v>252</v>
      </c>
      <c r="C3957" s="2">
        <v>1988.0</v>
      </c>
      <c r="D3957" s="9">
        <v>5529.957</v>
      </c>
      <c r="E3957" s="10" t="str">
        <f t="array" ref="E3957">IFS(D3957&lt;=$G$3,'calculated data '!$A$3,D3957&lt;=$G$4,'calculated data '!$A$4,D3957&lt;=$G$6,'calculated data '!$A$5,D3957&gt;=$G$6,'calculated data '!$A$6)</f>
        <v>Target Market (Core IQR)</v>
      </c>
      <c r="F3957" s="10">
        <f t="shared" si="1"/>
        <v>-0.5167948904</v>
      </c>
    </row>
    <row r="3958" ht="14.25" customHeight="1">
      <c r="A3958" s="2" t="s">
        <v>257</v>
      </c>
      <c r="B3958" s="2" t="s">
        <v>258</v>
      </c>
      <c r="C3958" s="2">
        <v>1970.0</v>
      </c>
      <c r="D3958" s="9">
        <v>5530.579</v>
      </c>
      <c r="E3958" s="10" t="str">
        <f t="array" ref="E3958">IFS(D3958&lt;=$G$3,'calculated data '!$A$3,D3958&lt;=$G$4,'calculated data '!$A$4,D3958&lt;=$G$6,'calculated data '!$A$5,D3958&gt;=$G$6,'calculated data '!$A$6)</f>
        <v>Target Market (Core IQR)</v>
      </c>
      <c r="F3958" s="10">
        <f t="shared" si="1"/>
        <v>-0.5167784262</v>
      </c>
    </row>
    <row r="3959" ht="14.25" customHeight="1">
      <c r="A3959" s="2" t="s">
        <v>225</v>
      </c>
      <c r="B3959" s="2" t="s">
        <v>226</v>
      </c>
      <c r="C3959" s="2">
        <v>2005.0</v>
      </c>
      <c r="D3959" s="9">
        <v>5535.625</v>
      </c>
      <c r="E3959" s="10" t="str">
        <f t="array" ref="E3959">IFS(D3959&lt;=$G$3,'calculated data '!$A$3,D3959&lt;=$G$4,'calculated data '!$A$4,D3959&lt;=$G$6,'calculated data '!$A$5,D3959&gt;=$G$6,'calculated data '!$A$6)</f>
        <v>Target Market (Core IQR)</v>
      </c>
      <c r="F3959" s="10">
        <f t="shared" si="1"/>
        <v>-0.5166448599</v>
      </c>
    </row>
    <row r="3960" ht="14.25" customHeight="1">
      <c r="A3960" s="2" t="s">
        <v>275</v>
      </c>
      <c r="B3960" s="2" t="s">
        <v>276</v>
      </c>
      <c r="C3960" s="2">
        <v>1993.0</v>
      </c>
      <c r="D3960" s="9">
        <v>5538.5996</v>
      </c>
      <c r="E3960" s="10" t="str">
        <f t="array" ref="E3960">IFS(D3960&lt;=$G$3,'calculated data '!$A$3,D3960&lt;=$G$4,'calculated data '!$A$4,D3960&lt;=$G$6,'calculated data '!$A$5,D3960&gt;=$G$6,'calculated data '!$A$6)</f>
        <v>Target Market (Core IQR)</v>
      </c>
      <c r="F3960" s="10">
        <f t="shared" si="1"/>
        <v>-0.5165661229</v>
      </c>
    </row>
    <row r="3961" ht="14.25" customHeight="1">
      <c r="A3961" s="2" t="s">
        <v>229</v>
      </c>
      <c r="B3961" s="2" t="s">
        <v>230</v>
      </c>
      <c r="C3961" s="2">
        <v>1983.0</v>
      </c>
      <c r="D3961" s="9">
        <v>5542.9595</v>
      </c>
      <c r="E3961" s="10" t="str">
        <f t="array" ref="E3961">IFS(D3961&lt;=$G$3,'calculated data '!$A$3,D3961&lt;=$G$4,'calculated data '!$A$4,D3961&lt;=$G$6,'calculated data '!$A$5,D3961&gt;=$G$6,'calculated data '!$A$6)</f>
        <v>Target Market (Core IQR)</v>
      </c>
      <c r="F3961" s="10">
        <f t="shared" si="1"/>
        <v>-0.5164507175</v>
      </c>
    </row>
    <row r="3962" ht="14.25" customHeight="1">
      <c r="A3962" s="2" t="s">
        <v>183</v>
      </c>
      <c r="B3962" s="2" t="s">
        <v>184</v>
      </c>
      <c r="C3962" s="2">
        <v>1980.0</v>
      </c>
      <c r="D3962" s="9">
        <v>5543.918</v>
      </c>
      <c r="E3962" s="10" t="str">
        <f t="array" ref="E3962">IFS(D3962&lt;=$G$3,'calculated data '!$A$3,D3962&lt;=$G$4,'calculated data '!$A$4,D3962&lt;=$G$6,'calculated data '!$A$5,D3962&gt;=$G$6,'calculated data '!$A$6)</f>
        <v>Target Market (Core IQR)</v>
      </c>
      <c r="F3962" s="10">
        <f t="shared" si="1"/>
        <v>-0.5164253462</v>
      </c>
    </row>
    <row r="3963" ht="14.25" customHeight="1">
      <c r="A3963" s="2" t="s">
        <v>163</v>
      </c>
      <c r="B3963" s="2" t="s">
        <v>164</v>
      </c>
      <c r="C3963" s="2">
        <v>1998.0</v>
      </c>
      <c r="D3963" s="9">
        <v>5544.937</v>
      </c>
      <c r="E3963" s="10" t="str">
        <f t="array" ref="E3963">IFS(D3963&lt;=$G$3,'calculated data '!$A$3,D3963&lt;=$G$4,'calculated data '!$A$4,D3963&lt;=$G$6,'calculated data '!$A$5,D3963&gt;=$G$6,'calculated data '!$A$6)</f>
        <v>Target Market (Core IQR)</v>
      </c>
      <c r="F3963" s="10">
        <f t="shared" si="1"/>
        <v>-0.5163983735</v>
      </c>
    </row>
    <row r="3964" ht="14.25" customHeight="1">
      <c r="A3964" s="2" t="s">
        <v>253</v>
      </c>
      <c r="B3964" s="2" t="s">
        <v>254</v>
      </c>
      <c r="C3964" s="2">
        <v>1992.0</v>
      </c>
      <c r="D3964" s="9">
        <v>5544.9727</v>
      </c>
      <c r="E3964" s="10" t="str">
        <f t="array" ref="E3964">IFS(D3964&lt;=$G$3,'calculated data '!$A$3,D3964&lt;=$G$4,'calculated data '!$A$4,D3964&lt;=$G$6,'calculated data '!$A$5,D3964&gt;=$G$6,'calculated data '!$A$6)</f>
        <v>Target Market (Core IQR)</v>
      </c>
      <c r="F3964" s="10">
        <f t="shared" si="1"/>
        <v>-0.5163974286</v>
      </c>
    </row>
    <row r="3965" ht="14.25" customHeight="1">
      <c r="A3965" s="2" t="s">
        <v>279</v>
      </c>
      <c r="B3965" s="2" t="s">
        <v>280</v>
      </c>
      <c r="C3965" s="2">
        <v>1967.0</v>
      </c>
      <c r="D3965" s="9">
        <v>5547.1064</v>
      </c>
      <c r="E3965" s="10" t="str">
        <f t="array" ref="E3965">IFS(D3965&lt;=$G$3,'calculated data '!$A$3,D3965&lt;=$G$4,'calculated data '!$A$4,D3965&lt;=$G$6,'calculated data '!$A$5,D3965&gt;=$G$6,'calculated data '!$A$6)</f>
        <v>Target Market (Core IQR)</v>
      </c>
      <c r="F3965" s="10">
        <f t="shared" si="1"/>
        <v>-0.5163409501</v>
      </c>
    </row>
    <row r="3966" ht="14.25" customHeight="1">
      <c r="A3966" s="2" t="s">
        <v>233</v>
      </c>
      <c r="B3966" s="2" t="s">
        <v>234</v>
      </c>
      <c r="C3966" s="2">
        <v>1977.0</v>
      </c>
      <c r="D3966" s="9">
        <v>5551.1475</v>
      </c>
      <c r="E3966" s="10" t="str">
        <f t="array" ref="E3966">IFS(D3966&lt;=$G$3,'calculated data '!$A$3,D3966&lt;=$G$4,'calculated data '!$A$4,D3966&lt;=$G$6,'calculated data '!$A$5,D3966&gt;=$G$6,'calculated data '!$A$6)</f>
        <v>Target Market (Core IQR)</v>
      </c>
      <c r="F3966" s="10">
        <f t="shared" si="1"/>
        <v>-0.5162339832</v>
      </c>
    </row>
    <row r="3967" ht="14.25" customHeight="1">
      <c r="A3967" s="2" t="s">
        <v>243</v>
      </c>
      <c r="B3967" s="2" t="s">
        <v>244</v>
      </c>
      <c r="C3967" s="2">
        <v>2000.0</v>
      </c>
      <c r="D3967" s="9">
        <v>5556.6836</v>
      </c>
      <c r="E3967" s="10" t="str">
        <f t="array" ref="E3967">IFS(D3967&lt;=$G$3,'calculated data '!$A$3,D3967&lt;=$G$4,'calculated data '!$A$4,D3967&lt;=$G$6,'calculated data '!$A$5,D3967&gt;=$G$6,'calculated data '!$A$6)</f>
        <v>Target Market (Core IQR)</v>
      </c>
      <c r="F3967" s="10">
        <f t="shared" si="1"/>
        <v>-0.516087444</v>
      </c>
    </row>
    <row r="3968" ht="14.25" customHeight="1">
      <c r="A3968" s="2" t="s">
        <v>247</v>
      </c>
      <c r="B3968" s="2" t="s">
        <v>248</v>
      </c>
      <c r="C3968" s="2">
        <v>1996.0</v>
      </c>
      <c r="D3968" s="9">
        <v>5560.5615</v>
      </c>
      <c r="E3968" s="10" t="str">
        <f t="array" ref="E3968">IFS(D3968&lt;=$G$3,'calculated data '!$A$3,D3968&lt;=$G$4,'calculated data '!$A$4,D3968&lt;=$G$6,'calculated data '!$A$5,D3968&gt;=$G$6,'calculated data '!$A$6)</f>
        <v>Target Market (Core IQR)</v>
      </c>
      <c r="F3968" s="10">
        <f t="shared" si="1"/>
        <v>-0.5159847969</v>
      </c>
    </row>
    <row r="3969" ht="14.25" customHeight="1">
      <c r="A3969" s="2" t="s">
        <v>251</v>
      </c>
      <c r="B3969" s="2" t="s">
        <v>252</v>
      </c>
      <c r="C3969" s="2">
        <v>1987.0</v>
      </c>
      <c r="D3969" s="9">
        <v>5562.2954</v>
      </c>
      <c r="E3969" s="10" t="str">
        <f t="array" ref="E3969">IFS(D3969&lt;=$G$3,'calculated data '!$A$3,D3969&lt;=$G$4,'calculated data '!$A$4,D3969&lt;=$G$6,'calculated data '!$A$5,D3969&gt;=$G$6,'calculated data '!$A$6)</f>
        <v>Target Market (Core IQR)</v>
      </c>
      <c r="F3969" s="10">
        <f t="shared" si="1"/>
        <v>-0.515938901</v>
      </c>
    </row>
    <row r="3970" ht="14.25" customHeight="1">
      <c r="A3970" s="2" t="s">
        <v>267</v>
      </c>
      <c r="B3970" s="2" t="s">
        <v>268</v>
      </c>
      <c r="C3970" s="2">
        <v>1982.0</v>
      </c>
      <c r="D3970" s="9">
        <v>5563.4443</v>
      </c>
      <c r="E3970" s="10" t="str">
        <f t="array" ref="E3970">IFS(D3970&lt;=$G$3,'calculated data '!$A$3,D3970&lt;=$G$4,'calculated data '!$A$4,D3970&lt;=$G$6,'calculated data '!$A$5,D3970&gt;=$G$6,'calculated data '!$A$6)</f>
        <v>Target Market (Core IQR)</v>
      </c>
      <c r="F3970" s="10">
        <f t="shared" si="1"/>
        <v>-0.5159084899</v>
      </c>
    </row>
    <row r="3971" ht="14.25" customHeight="1">
      <c r="A3971" s="2" t="s">
        <v>191</v>
      </c>
      <c r="B3971" s="2" t="s">
        <v>192</v>
      </c>
      <c r="C3971" s="2">
        <v>1998.0</v>
      </c>
      <c r="D3971" s="9">
        <v>5568.613</v>
      </c>
      <c r="E3971" s="10" t="str">
        <f t="array" ref="E3971">IFS(D3971&lt;=$G$3,'calculated data '!$A$3,D3971&lt;=$G$4,'calculated data '!$A$4,D3971&lt;=$G$6,'calculated data '!$A$5,D3971&gt;=$G$6,'calculated data '!$A$6)</f>
        <v>Target Market (Core IQR)</v>
      </c>
      <c r="F3971" s="10">
        <f t="shared" si="1"/>
        <v>-0.5157716757</v>
      </c>
    </row>
    <row r="3972" ht="14.25" customHeight="1">
      <c r="A3972" s="2" t="s">
        <v>169</v>
      </c>
      <c r="B3972" s="2" t="s">
        <v>170</v>
      </c>
      <c r="C3972" s="2">
        <v>1999.0</v>
      </c>
      <c r="D3972" s="9">
        <v>5569.167</v>
      </c>
      <c r="E3972" s="10" t="str">
        <f t="array" ref="E3972">IFS(D3972&lt;=$G$3,'calculated data '!$A$3,D3972&lt;=$G$4,'calculated data '!$A$4,D3972&lt;=$G$6,'calculated data '!$A$5,D3972&gt;=$G$6,'calculated data '!$A$6)</f>
        <v>Target Market (Core IQR)</v>
      </c>
      <c r="F3972" s="10">
        <f t="shared" si="1"/>
        <v>-0.5157570115</v>
      </c>
    </row>
    <row r="3973" ht="14.25" customHeight="1">
      <c r="A3973" s="2" t="s">
        <v>255</v>
      </c>
      <c r="B3973" s="2" t="s">
        <v>256</v>
      </c>
      <c r="C3973" s="2">
        <v>2008.0</v>
      </c>
      <c r="D3973" s="9">
        <v>5573.6016</v>
      </c>
      <c r="E3973" s="10" t="str">
        <f t="array" ref="E3973">IFS(D3973&lt;=$G$3,'calculated data '!$A$3,D3973&lt;=$G$4,'calculated data '!$A$4,D3973&lt;=$G$6,'calculated data '!$A$5,D3973&gt;=$G$6,'calculated data '!$A$6)</f>
        <v>Target Market (Core IQR)</v>
      </c>
      <c r="F3973" s="10">
        <f t="shared" si="1"/>
        <v>-0.5156396287</v>
      </c>
    </row>
    <row r="3974" ht="14.25" customHeight="1">
      <c r="A3974" s="2" t="s">
        <v>263</v>
      </c>
      <c r="B3974" s="2" t="s">
        <v>264</v>
      </c>
      <c r="C3974" s="2">
        <v>1990.0</v>
      </c>
      <c r="D3974" s="9">
        <v>5573.6177</v>
      </c>
      <c r="E3974" s="10" t="str">
        <f t="array" ref="E3974">IFS(D3974&lt;=$G$3,'calculated data '!$A$3,D3974&lt;=$G$4,'calculated data '!$A$4,D3974&lt;=$G$6,'calculated data '!$A$5,D3974&gt;=$G$6,'calculated data '!$A$6)</f>
        <v>Target Market (Core IQR)</v>
      </c>
      <c r="F3974" s="10">
        <f t="shared" si="1"/>
        <v>-0.5156392026</v>
      </c>
    </row>
    <row r="3975" ht="14.25" customHeight="1">
      <c r="A3975" s="2" t="s">
        <v>145</v>
      </c>
      <c r="B3975" s="2" t="s">
        <v>146</v>
      </c>
      <c r="C3975" s="2">
        <v>2014.0</v>
      </c>
      <c r="D3975" s="9">
        <v>5573.6895</v>
      </c>
      <c r="E3975" s="10" t="str">
        <f t="array" ref="E3975">IFS(D3975&lt;=$G$3,'calculated data '!$A$3,D3975&lt;=$G$4,'calculated data '!$A$4,D3975&lt;=$G$6,'calculated data '!$A$5,D3975&gt;=$G$6,'calculated data '!$A$6)</f>
        <v>Target Market (Core IQR)</v>
      </c>
      <c r="F3975" s="10">
        <f t="shared" si="1"/>
        <v>-0.515637302</v>
      </c>
    </row>
    <row r="3976" ht="14.25" customHeight="1">
      <c r="A3976" s="2" t="s">
        <v>281</v>
      </c>
      <c r="B3976" s="2" t="s">
        <v>282</v>
      </c>
      <c r="C3976" s="2">
        <v>1967.0</v>
      </c>
      <c r="D3976" s="9">
        <v>5576.7007</v>
      </c>
      <c r="E3976" s="10" t="str">
        <f t="array" ref="E3976">IFS(D3976&lt;=$G$3,'calculated data '!$A$3,D3976&lt;=$G$4,'calculated data '!$A$4,D3976&lt;=$G$6,'calculated data '!$A$5,D3976&gt;=$G$6,'calculated data '!$A$6)</f>
        <v>Target Market (Core IQR)</v>
      </c>
      <c r="F3976" s="10">
        <f t="shared" si="1"/>
        <v>-0.5155575963</v>
      </c>
    </row>
    <row r="3977" ht="14.25" customHeight="1">
      <c r="A3977" s="2" t="s">
        <v>239</v>
      </c>
      <c r="B3977" s="2" t="s">
        <v>240</v>
      </c>
      <c r="C3977" s="2">
        <v>2010.0</v>
      </c>
      <c r="D3977" s="9">
        <v>5578.974</v>
      </c>
      <c r="E3977" s="10" t="str">
        <f t="array" ref="E3977">IFS(D3977&lt;=$G$3,'calculated data '!$A$3,D3977&lt;=$G$4,'calculated data '!$A$4,D3977&lt;=$G$6,'calculated data '!$A$5,D3977&gt;=$G$6,'calculated data '!$A$6)</f>
        <v>Target Market (Core IQR)</v>
      </c>
      <c r="F3977" s="10">
        <f t="shared" si="1"/>
        <v>-0.5154974226</v>
      </c>
    </row>
    <row r="3978" ht="14.25" customHeight="1">
      <c r="A3978" s="2" t="s">
        <v>239</v>
      </c>
      <c r="B3978" s="2" t="s">
        <v>240</v>
      </c>
      <c r="C3978" s="2">
        <v>2023.0</v>
      </c>
      <c r="D3978" s="9">
        <v>5585.262</v>
      </c>
      <c r="E3978" s="10" t="str">
        <f t="array" ref="E3978">IFS(D3978&lt;=$G$3,'calculated data '!$A$3,D3978&lt;=$G$4,'calculated data '!$A$4,D3978&lt;=$G$6,'calculated data '!$A$5,D3978&gt;=$G$6,'calculated data '!$A$6)</f>
        <v>Target Market (Core IQR)</v>
      </c>
      <c r="F3978" s="10">
        <f t="shared" si="1"/>
        <v>-0.5153309808</v>
      </c>
    </row>
    <row r="3979" ht="14.25" customHeight="1">
      <c r="A3979" s="2" t="s">
        <v>271</v>
      </c>
      <c r="B3979" s="2" t="s">
        <v>272</v>
      </c>
      <c r="C3979" s="2">
        <v>1968.0</v>
      </c>
      <c r="D3979" s="9">
        <v>5585.6064</v>
      </c>
      <c r="E3979" s="10" t="str">
        <f t="array" ref="E3979">IFS(D3979&lt;=$G$3,'calculated data '!$A$3,D3979&lt;=$G$4,'calculated data '!$A$4,D3979&lt;=$G$6,'calculated data '!$A$5,D3979&gt;=$G$6,'calculated data '!$A$6)</f>
        <v>Target Market (Core IQR)</v>
      </c>
      <c r="F3979" s="10">
        <f t="shared" si="1"/>
        <v>-0.5153218647</v>
      </c>
    </row>
    <row r="3980" ht="14.25" customHeight="1">
      <c r="A3980" s="2" t="s">
        <v>237</v>
      </c>
      <c r="B3980" s="2" t="s">
        <v>238</v>
      </c>
      <c r="C3980" s="2">
        <v>1998.0</v>
      </c>
      <c r="D3980" s="9">
        <v>5588.7954</v>
      </c>
      <c r="E3980" s="10" t="str">
        <f t="array" ref="E3980">IFS(D3980&lt;=$G$3,'calculated data '!$A$3,D3980&lt;=$G$4,'calculated data '!$A$4,D3980&lt;=$G$6,'calculated data '!$A$5,D3980&gt;=$G$6,'calculated data '!$A$6)</f>
        <v>Target Market (Core IQR)</v>
      </c>
      <c r="F3980" s="10">
        <f t="shared" si="1"/>
        <v>-0.5152374526</v>
      </c>
    </row>
    <row r="3981" ht="14.25" customHeight="1">
      <c r="A3981" s="2" t="s">
        <v>267</v>
      </c>
      <c r="B3981" s="2" t="s">
        <v>268</v>
      </c>
      <c r="C3981" s="2">
        <v>1983.0</v>
      </c>
      <c r="D3981" s="9">
        <v>5589.395</v>
      </c>
      <c r="E3981" s="10" t="str">
        <f t="array" ref="E3981">IFS(D3981&lt;=$G$3,'calculated data '!$A$3,D3981&lt;=$G$4,'calculated data '!$A$4,D3981&lt;=$G$6,'calculated data '!$A$5,D3981&gt;=$G$6,'calculated data '!$A$6)</f>
        <v>Target Market (Core IQR)</v>
      </c>
      <c r="F3981" s="10">
        <f t="shared" si="1"/>
        <v>-0.5152215814</v>
      </c>
    </row>
    <row r="3982" ht="14.25" customHeight="1">
      <c r="A3982" s="2" t="s">
        <v>133</v>
      </c>
      <c r="B3982" s="2" t="s">
        <v>134</v>
      </c>
      <c r="C3982" s="2">
        <v>2010.0</v>
      </c>
      <c r="D3982" s="9">
        <v>5597.1875</v>
      </c>
      <c r="E3982" s="10" t="str">
        <f t="array" ref="E3982">IFS(D3982&lt;=$G$3,'calculated data '!$A$3,D3982&lt;=$G$4,'calculated data '!$A$4,D3982&lt;=$G$6,'calculated data '!$A$5,D3982&gt;=$G$6,'calculated data '!$A$6)</f>
        <v>Target Market (Core IQR)</v>
      </c>
      <c r="F3982" s="10">
        <f t="shared" si="1"/>
        <v>-0.5150153158</v>
      </c>
    </row>
    <row r="3983" ht="14.25" customHeight="1">
      <c r="A3983" s="2" t="s">
        <v>227</v>
      </c>
      <c r="B3983" s="2" t="s">
        <v>228</v>
      </c>
      <c r="C3983" s="2">
        <v>1973.0</v>
      </c>
      <c r="D3983" s="9">
        <v>5598.5576</v>
      </c>
      <c r="E3983" s="10" t="str">
        <f t="array" ref="E3983">IFS(D3983&lt;=$G$3,'calculated data '!$A$3,D3983&lt;=$G$4,'calculated data '!$A$4,D3983&lt;=$G$6,'calculated data '!$A$5,D3983&gt;=$G$6,'calculated data '!$A$6)</f>
        <v>Target Market (Core IQR)</v>
      </c>
      <c r="F3983" s="10">
        <f t="shared" si="1"/>
        <v>-0.5149790496</v>
      </c>
    </row>
    <row r="3984" ht="14.25" customHeight="1">
      <c r="A3984" s="2" t="s">
        <v>281</v>
      </c>
      <c r="B3984" s="2" t="s">
        <v>282</v>
      </c>
      <c r="C3984" s="2">
        <v>1968.0</v>
      </c>
      <c r="D3984" s="9">
        <v>5600.99</v>
      </c>
      <c r="E3984" s="10" t="str">
        <f t="array" ref="E3984">IFS(D3984&lt;=$G$3,'calculated data '!$A$3,D3984&lt;=$G$4,'calculated data '!$A$4,D3984&lt;=$G$6,'calculated data '!$A$5,D3984&gt;=$G$6,'calculated data '!$A$6)</f>
        <v>Target Market (Core IQR)</v>
      </c>
      <c r="F3984" s="10">
        <f t="shared" si="1"/>
        <v>-0.5149146646</v>
      </c>
    </row>
    <row r="3985" ht="14.25" customHeight="1">
      <c r="A3985" s="2" t="s">
        <v>281</v>
      </c>
      <c r="B3985" s="2" t="s">
        <v>282</v>
      </c>
      <c r="C3985" s="2">
        <v>1971.0</v>
      </c>
      <c r="D3985" s="9">
        <v>5602.5947</v>
      </c>
      <c r="E3985" s="10" t="str">
        <f t="array" ref="E3985">IFS(D3985&lt;=$G$3,'calculated data '!$A$3,D3985&lt;=$G$4,'calculated data '!$A$4,D3985&lt;=$G$6,'calculated data '!$A$5,D3985&gt;=$G$6,'calculated data '!$A$6)</f>
        <v>Target Market (Core IQR)</v>
      </c>
      <c r="F3985" s="10">
        <f t="shared" si="1"/>
        <v>-0.5148721886</v>
      </c>
    </row>
    <row r="3986" ht="14.25" customHeight="1">
      <c r="A3986" s="2" t="s">
        <v>241</v>
      </c>
      <c r="B3986" s="2" t="s">
        <v>242</v>
      </c>
      <c r="C3986" s="2">
        <v>1988.0</v>
      </c>
      <c r="D3986" s="9">
        <v>5605.115</v>
      </c>
      <c r="E3986" s="10" t="str">
        <f t="array" ref="E3986">IFS(D3986&lt;=$G$3,'calculated data '!$A$3,D3986&lt;=$G$4,'calculated data '!$A$4,D3986&lt;=$G$6,'calculated data '!$A$5,D3986&gt;=$G$6,'calculated data '!$A$6)</f>
        <v>Target Market (Core IQR)</v>
      </c>
      <c r="F3986" s="10">
        <f t="shared" si="1"/>
        <v>-0.5148054769</v>
      </c>
    </row>
    <row r="3987" ht="14.25" customHeight="1">
      <c r="A3987" s="2" t="s">
        <v>239</v>
      </c>
      <c r="B3987" s="2" t="s">
        <v>240</v>
      </c>
      <c r="C3987" s="2">
        <v>2024.0</v>
      </c>
      <c r="D3987" s="9">
        <v>5606.7744</v>
      </c>
      <c r="E3987" s="10" t="str">
        <f t="array" ref="E3987">IFS(D3987&lt;=$G$3,'calculated data '!$A$3,D3987&lt;=$G$4,'calculated data '!$A$4,D3987&lt;=$G$6,'calculated data '!$A$5,D3987&gt;=$G$6,'calculated data '!$A$6)</f>
        <v>Target Market (Core IQR)</v>
      </c>
      <c r="F3987" s="10">
        <f t="shared" si="1"/>
        <v>-0.514761553</v>
      </c>
    </row>
    <row r="3988" ht="14.25" customHeight="1">
      <c r="A3988" s="2" t="s">
        <v>201</v>
      </c>
      <c r="B3988" s="2" t="s">
        <v>202</v>
      </c>
      <c r="C3988" s="2">
        <v>1982.0</v>
      </c>
      <c r="D3988" s="9">
        <v>5607.811</v>
      </c>
      <c r="E3988" s="10" t="str">
        <f t="array" ref="E3988">IFS(D3988&lt;=$G$3,'calculated data '!$A$3,D3988&lt;=$G$4,'calculated data '!$A$4,D3988&lt;=$G$6,'calculated data '!$A$5,D3988&gt;=$G$6,'calculated data '!$A$6)</f>
        <v>Target Market (Core IQR)</v>
      </c>
      <c r="F3988" s="10">
        <f t="shared" si="1"/>
        <v>-0.5147341144</v>
      </c>
    </row>
    <row r="3989" ht="14.25" customHeight="1">
      <c r="A3989" s="2" t="s">
        <v>249</v>
      </c>
      <c r="B3989" s="2" t="s">
        <v>250</v>
      </c>
      <c r="C3989" s="2">
        <v>1976.0</v>
      </c>
      <c r="D3989" s="9">
        <v>5608.0127</v>
      </c>
      <c r="E3989" s="10" t="str">
        <f t="array" ref="E3989">IFS(D3989&lt;=$G$3,'calculated data '!$A$3,D3989&lt;=$G$4,'calculated data '!$A$4,D3989&lt;=$G$6,'calculated data '!$A$5,D3989&gt;=$G$6,'calculated data '!$A$6)</f>
        <v>Target Market (Core IQR)</v>
      </c>
      <c r="F3989" s="10">
        <f t="shared" si="1"/>
        <v>-0.5147287755</v>
      </c>
    </row>
    <row r="3990" ht="14.25" customHeight="1">
      <c r="A3990" s="2" t="s">
        <v>165</v>
      </c>
      <c r="B3990" s="2" t="s">
        <v>166</v>
      </c>
      <c r="C3990" s="2">
        <v>2014.0</v>
      </c>
      <c r="D3990" s="9">
        <v>5609.425</v>
      </c>
      <c r="E3990" s="10" t="str">
        <f t="array" ref="E3990">IFS(D3990&lt;=$G$3,'calculated data '!$A$3,D3990&lt;=$G$4,'calculated data '!$A$4,D3990&lt;=$G$6,'calculated data '!$A$5,D3990&gt;=$G$6,'calculated data '!$A$6)</f>
        <v>Target Market (Core IQR)</v>
      </c>
      <c r="F3990" s="10">
        <f t="shared" si="1"/>
        <v>-0.5146913922</v>
      </c>
    </row>
    <row r="3991" ht="14.25" customHeight="1">
      <c r="A3991" s="2" t="s">
        <v>225</v>
      </c>
      <c r="B3991" s="2" t="s">
        <v>226</v>
      </c>
      <c r="C3991" s="2">
        <v>2003.0</v>
      </c>
      <c r="D3991" s="9">
        <v>5615.732</v>
      </c>
      <c r="E3991" s="10" t="str">
        <f t="array" ref="E3991">IFS(D3991&lt;=$G$3,'calculated data '!$A$3,D3991&lt;=$G$4,'calculated data '!$A$4,D3991&lt;=$G$6,'calculated data '!$A$5,D3991&gt;=$G$6,'calculated data '!$A$6)</f>
        <v>Target Market (Core IQR)</v>
      </c>
      <c r="F3991" s="10">
        <f t="shared" si="1"/>
        <v>-0.5145244475</v>
      </c>
    </row>
    <row r="3992" ht="14.25" customHeight="1">
      <c r="A3992" s="2" t="s">
        <v>159</v>
      </c>
      <c r="B3992" s="2" t="s">
        <v>160</v>
      </c>
      <c r="C3992" s="2">
        <v>2008.0</v>
      </c>
      <c r="D3992" s="9">
        <v>5629.592</v>
      </c>
      <c r="E3992" s="10" t="str">
        <f t="array" ref="E3992">IFS(D3992&lt;=$G$3,'calculated data '!$A$3,D3992&lt;=$G$4,'calculated data '!$A$4,D3992&lt;=$G$6,'calculated data '!$A$5,D3992&gt;=$G$6,'calculated data '!$A$6)</f>
        <v>Target Market (Core IQR)</v>
      </c>
      <c r="F3992" s="10">
        <f t="shared" si="1"/>
        <v>-0.5141575768</v>
      </c>
    </row>
    <row r="3993" ht="14.25" customHeight="1">
      <c r="A3993" s="2" t="s">
        <v>255</v>
      </c>
      <c r="B3993" s="2" t="s">
        <v>256</v>
      </c>
      <c r="C3993" s="2">
        <v>2009.0</v>
      </c>
      <c r="D3993" s="9">
        <v>5629.7427</v>
      </c>
      <c r="E3993" s="10" t="str">
        <f t="array" ref="E3993">IFS(D3993&lt;=$G$3,'calculated data '!$A$3,D3993&lt;=$G$4,'calculated data '!$A$4,D3993&lt;=$G$6,'calculated data '!$A$5,D3993&gt;=$G$6,'calculated data '!$A$6)</f>
        <v>Target Market (Core IQR)</v>
      </c>
      <c r="F3993" s="10">
        <f t="shared" si="1"/>
        <v>-0.5141535878</v>
      </c>
    </row>
    <row r="3994" ht="14.25" customHeight="1">
      <c r="A3994" s="2" t="s">
        <v>197</v>
      </c>
      <c r="B3994" s="2" t="s">
        <v>198</v>
      </c>
      <c r="C3994" s="2">
        <v>1985.0</v>
      </c>
      <c r="D3994" s="9">
        <v>5632.6904</v>
      </c>
      <c r="E3994" s="10" t="str">
        <f t="array" ref="E3994">IFS(D3994&lt;=$G$3,'calculated data '!$A$3,D3994&lt;=$G$4,'calculated data '!$A$4,D3994&lt;=$G$6,'calculated data '!$A$5,D3994&gt;=$G$6,'calculated data '!$A$6)</f>
        <v>Target Market (Core IQR)</v>
      </c>
      <c r="F3994" s="10">
        <f t="shared" si="1"/>
        <v>-0.5140755629</v>
      </c>
    </row>
    <row r="3995" ht="14.25" customHeight="1">
      <c r="A3995" s="2" t="s">
        <v>275</v>
      </c>
      <c r="B3995" s="2" t="s">
        <v>276</v>
      </c>
      <c r="C3995" s="2">
        <v>1994.0</v>
      </c>
      <c r="D3995" s="9">
        <v>5637.3516</v>
      </c>
      <c r="E3995" s="10" t="str">
        <f t="array" ref="E3995">IFS(D3995&lt;=$G$3,'calculated data '!$A$3,D3995&lt;=$G$4,'calculated data '!$A$4,D3995&lt;=$G$6,'calculated data '!$A$5,D3995&gt;=$G$6,'calculated data '!$A$6)</f>
        <v>Target Market (Core IQR)</v>
      </c>
      <c r="F3995" s="10">
        <f t="shared" si="1"/>
        <v>-0.5139521821</v>
      </c>
    </row>
    <row r="3996" ht="14.25" customHeight="1">
      <c r="A3996" s="2" t="s">
        <v>287</v>
      </c>
      <c r="B3996" s="2" t="s">
        <v>288</v>
      </c>
      <c r="C3996" s="2">
        <v>1990.0</v>
      </c>
      <c r="D3996" s="9">
        <v>5638.822</v>
      </c>
      <c r="E3996" s="10" t="str">
        <f t="array" ref="E3996">IFS(D3996&lt;=$G$3,'calculated data '!$A$3,D3996&lt;=$G$4,'calculated data '!$A$4,D3996&lt;=$G$6,'calculated data '!$A$5,D3996&gt;=$G$6,'calculated data '!$A$6)</f>
        <v>Target Market (Core IQR)</v>
      </c>
      <c r="F3996" s="10">
        <f t="shared" si="1"/>
        <v>-0.513913261</v>
      </c>
    </row>
    <row r="3997" ht="14.25" customHeight="1">
      <c r="A3997" s="2" t="s">
        <v>275</v>
      </c>
      <c r="B3997" s="2" t="s">
        <v>276</v>
      </c>
      <c r="C3997" s="2">
        <v>1989.0</v>
      </c>
      <c r="D3997" s="9">
        <v>5639.7188</v>
      </c>
      <c r="E3997" s="10" t="str">
        <f t="array" ref="E3997">IFS(D3997&lt;=$G$3,'calculated data '!$A$3,D3997&lt;=$G$4,'calculated data '!$A$4,D3997&lt;=$G$6,'calculated data '!$A$5,D3997&gt;=$G$6,'calculated data '!$A$6)</f>
        <v>Target Market (Core IQR)</v>
      </c>
      <c r="F3997" s="10">
        <f t="shared" si="1"/>
        <v>-0.5138895229</v>
      </c>
    </row>
    <row r="3998" ht="14.25" customHeight="1">
      <c r="A3998" s="2" t="s">
        <v>267</v>
      </c>
      <c r="B3998" s="2" t="s">
        <v>268</v>
      </c>
      <c r="C3998" s="2">
        <v>1984.0</v>
      </c>
      <c r="D3998" s="9">
        <v>5640.1235</v>
      </c>
      <c r="E3998" s="10" t="str">
        <f t="array" ref="E3998">IFS(D3998&lt;=$G$3,'calculated data '!$A$3,D3998&lt;=$G$4,'calculated data '!$A$4,D3998&lt;=$G$6,'calculated data '!$A$5,D3998&gt;=$G$6,'calculated data '!$A$6)</f>
        <v>Target Market (Core IQR)</v>
      </c>
      <c r="F3998" s="10">
        <f t="shared" si="1"/>
        <v>-0.5138788106</v>
      </c>
    </row>
    <row r="3999" ht="14.25" customHeight="1">
      <c r="A3999" s="2" t="s">
        <v>277</v>
      </c>
      <c r="B3999" s="2" t="s">
        <v>278</v>
      </c>
      <c r="C3999" s="2">
        <v>1980.0</v>
      </c>
      <c r="D3999" s="9">
        <v>5643.955</v>
      </c>
      <c r="E3999" s="10" t="str">
        <f t="array" ref="E3999">IFS(D3999&lt;=$G$3,'calculated data '!$A$3,D3999&lt;=$G$4,'calculated data '!$A$4,D3999&lt;=$G$6,'calculated data '!$A$5,D3999&gt;=$G$6,'calculated data '!$A$6)</f>
        <v>Target Market (Core IQR)</v>
      </c>
      <c r="F3999" s="10">
        <f t="shared" si="1"/>
        <v>-0.5137773917</v>
      </c>
    </row>
    <row r="4000" ht="14.25" customHeight="1">
      <c r="A4000" s="2" t="s">
        <v>277</v>
      </c>
      <c r="B4000" s="2" t="s">
        <v>278</v>
      </c>
      <c r="C4000" s="2">
        <v>1981.0</v>
      </c>
      <c r="D4000" s="9">
        <v>5647.6387</v>
      </c>
      <c r="E4000" s="10" t="str">
        <f t="array" ref="E4000">IFS(D4000&lt;=$G$3,'calculated data '!$A$3,D4000&lt;=$G$4,'calculated data '!$A$4,D4000&lt;=$G$6,'calculated data '!$A$5,D4000&gt;=$G$6,'calculated data '!$A$6)</f>
        <v>Target Market (Core IQR)</v>
      </c>
      <c r="F4000" s="10">
        <f t="shared" si="1"/>
        <v>-0.5136798851</v>
      </c>
    </row>
    <row r="4001" ht="14.25" customHeight="1">
      <c r="A4001" s="2" t="s">
        <v>193</v>
      </c>
      <c r="B4001" s="2" t="s">
        <v>194</v>
      </c>
      <c r="C4001" s="2">
        <v>2019.0</v>
      </c>
      <c r="D4001" s="9">
        <v>5650.8535</v>
      </c>
      <c r="E4001" s="10" t="str">
        <f t="array" ref="E4001">IFS(D4001&lt;=$G$3,'calculated data '!$A$3,D4001&lt;=$G$4,'calculated data '!$A$4,D4001&lt;=$G$6,'calculated data '!$A$5,D4001&gt;=$G$6,'calculated data '!$A$6)</f>
        <v>Target Market (Core IQR)</v>
      </c>
      <c r="F4001" s="10">
        <f t="shared" si="1"/>
        <v>-0.5135947902</v>
      </c>
    </row>
    <row r="4002" ht="14.25" customHeight="1">
      <c r="A4002" s="2" t="s">
        <v>191</v>
      </c>
      <c r="B4002" s="2" t="s">
        <v>192</v>
      </c>
      <c r="C4002" s="2">
        <v>1999.0</v>
      </c>
      <c r="D4002" s="9">
        <v>5662.4062</v>
      </c>
      <c r="E4002" s="10" t="str">
        <f t="array" ref="E4002">IFS(D4002&lt;=$G$3,'calculated data '!$A$3,D4002&lt;=$G$4,'calculated data '!$A$4,D4002&lt;=$G$6,'calculated data '!$A$5,D4002&gt;=$G$6,'calculated data '!$A$6)</f>
        <v>Target Market (Core IQR)</v>
      </c>
      <c r="F4002" s="10">
        <f t="shared" si="1"/>
        <v>-0.5132889931</v>
      </c>
    </row>
    <row r="4003" ht="14.25" customHeight="1">
      <c r="A4003" s="2" t="s">
        <v>41</v>
      </c>
      <c r="B4003" s="2" t="s">
        <v>42</v>
      </c>
      <c r="C4003" s="2">
        <v>2012.0</v>
      </c>
      <c r="D4003" s="9">
        <v>5662.862</v>
      </c>
      <c r="E4003" s="10" t="str">
        <f t="array" ref="E4003">IFS(D4003&lt;=$G$3,'calculated data '!$A$3,D4003&lt;=$G$4,'calculated data '!$A$4,D4003&lt;=$G$6,'calculated data '!$A$5,D4003&gt;=$G$6,'calculated data '!$A$6)</f>
        <v>Target Market (Core IQR)</v>
      </c>
      <c r="F4003" s="10">
        <f t="shared" si="1"/>
        <v>-0.5132769282</v>
      </c>
    </row>
    <row r="4004" ht="14.25" customHeight="1">
      <c r="A4004" s="2" t="s">
        <v>275</v>
      </c>
      <c r="B4004" s="2" t="s">
        <v>276</v>
      </c>
      <c r="C4004" s="2">
        <v>2009.0</v>
      </c>
      <c r="D4004" s="9">
        <v>5664.729</v>
      </c>
      <c r="E4004" s="10" t="str">
        <f t="array" ref="E4004">IFS(D4004&lt;=$G$3,'calculated data '!$A$3,D4004&lt;=$G$4,'calculated data '!$A$4,D4004&lt;=$G$6,'calculated data '!$A$5,D4004&gt;=$G$6,'calculated data '!$A$6)</f>
        <v>Target Market (Core IQR)</v>
      </c>
      <c r="F4004" s="10">
        <f t="shared" si="1"/>
        <v>-0.5132275091</v>
      </c>
    </row>
    <row r="4005" ht="14.25" customHeight="1">
      <c r="A4005" s="2" t="s">
        <v>183</v>
      </c>
      <c r="B4005" s="2" t="s">
        <v>184</v>
      </c>
      <c r="C4005" s="2">
        <v>1984.0</v>
      </c>
      <c r="D4005" s="9">
        <v>5665.697</v>
      </c>
      <c r="E4005" s="10" t="str">
        <f t="array" ref="E4005">IFS(D4005&lt;=$G$3,'calculated data '!$A$3,D4005&lt;=$G$4,'calculated data '!$A$4,D4005&lt;=$G$6,'calculated data '!$A$5,D4005&gt;=$G$6,'calculated data '!$A$6)</f>
        <v>Target Market (Core IQR)</v>
      </c>
      <c r="F4005" s="10">
        <f t="shared" si="1"/>
        <v>-0.5132018864</v>
      </c>
    </row>
    <row r="4006" ht="14.25" customHeight="1">
      <c r="A4006" s="2" t="s">
        <v>237</v>
      </c>
      <c r="B4006" s="2" t="s">
        <v>238</v>
      </c>
      <c r="C4006" s="2">
        <v>1997.0</v>
      </c>
      <c r="D4006" s="9">
        <v>5665.86</v>
      </c>
      <c r="E4006" s="10" t="str">
        <f t="array" ref="E4006">IFS(D4006&lt;=$G$3,'calculated data '!$A$3,D4006&lt;=$G$4,'calculated data '!$A$4,D4006&lt;=$G$6,'calculated data '!$A$5,D4006&gt;=$G$6,'calculated data '!$A$6)</f>
        <v>Target Market (Core IQR)</v>
      </c>
      <c r="F4006" s="10">
        <f t="shared" si="1"/>
        <v>-0.5131975719</v>
      </c>
    </row>
    <row r="4007" ht="14.25" customHeight="1">
      <c r="A4007" s="2" t="s">
        <v>277</v>
      </c>
      <c r="B4007" s="2" t="s">
        <v>278</v>
      </c>
      <c r="C4007" s="2">
        <v>1982.0</v>
      </c>
      <c r="D4007" s="9">
        <v>5670.4683</v>
      </c>
      <c r="E4007" s="10" t="str">
        <f t="array" ref="E4007">IFS(D4007&lt;=$G$3,'calculated data '!$A$3,D4007&lt;=$G$4,'calculated data '!$A$4,D4007&lt;=$G$6,'calculated data '!$A$5,D4007&gt;=$G$6,'calculated data '!$A$6)</f>
        <v>Target Market (Core IQR)</v>
      </c>
      <c r="F4007" s="10">
        <f t="shared" si="1"/>
        <v>-0.5130755913</v>
      </c>
    </row>
    <row r="4008" ht="14.25" customHeight="1">
      <c r="A4008" s="2" t="s">
        <v>233</v>
      </c>
      <c r="B4008" s="2" t="s">
        <v>234</v>
      </c>
      <c r="C4008" s="2">
        <v>1978.0</v>
      </c>
      <c r="D4008" s="9">
        <v>5675.6636</v>
      </c>
      <c r="E4008" s="10" t="str">
        <f t="array" ref="E4008">IFS(D4008&lt;=$G$3,'calculated data '!$A$3,D4008&lt;=$G$4,'calculated data '!$A$4,D4008&lt;=$G$6,'calculated data '!$A$5,D4008&gt;=$G$6,'calculated data '!$A$6)</f>
        <v>Target Market (Core IQR)</v>
      </c>
      <c r="F4008" s="10">
        <f t="shared" si="1"/>
        <v>-0.512938073</v>
      </c>
    </row>
    <row r="4009" ht="14.25" customHeight="1">
      <c r="A4009" s="2" t="s">
        <v>247</v>
      </c>
      <c r="B4009" s="2" t="s">
        <v>248</v>
      </c>
      <c r="C4009" s="2">
        <v>1997.0</v>
      </c>
      <c r="D4009" s="9">
        <v>5677.9883</v>
      </c>
      <c r="E4009" s="10" t="str">
        <f t="array" ref="E4009">IFS(D4009&lt;=$G$3,'calculated data '!$A$3,D4009&lt;=$G$4,'calculated data '!$A$4,D4009&lt;=$G$6,'calculated data '!$A$5,D4009&gt;=$G$6,'calculated data '!$A$6)</f>
        <v>Target Market (Core IQR)</v>
      </c>
      <c r="F4009" s="10">
        <f t="shared" si="1"/>
        <v>-0.5128765388</v>
      </c>
    </row>
    <row r="4010" ht="14.25" customHeight="1">
      <c r="A4010" s="2" t="s">
        <v>289</v>
      </c>
      <c r="B4010" s="2" t="s">
        <v>290</v>
      </c>
      <c r="C4010" s="2">
        <v>1982.0</v>
      </c>
      <c r="D4010" s="9">
        <v>5682.2266</v>
      </c>
      <c r="E4010" s="10" t="str">
        <f t="array" ref="E4010">IFS(D4010&lt;=$G$3,'calculated data '!$A$3,D4010&lt;=$G$4,'calculated data '!$A$4,D4010&lt;=$G$6,'calculated data '!$A$5,D4010&gt;=$G$6,'calculated data '!$A$6)</f>
        <v>Target Market (Core IQR)</v>
      </c>
      <c r="F4010" s="10">
        <f t="shared" si="1"/>
        <v>-0.512764352</v>
      </c>
    </row>
    <row r="4011" ht="14.25" customHeight="1">
      <c r="A4011" s="2" t="s">
        <v>205</v>
      </c>
      <c r="B4011" s="2" t="s">
        <v>206</v>
      </c>
      <c r="C4011" s="2">
        <v>1983.0</v>
      </c>
      <c r="D4011" s="9">
        <v>5683.7017</v>
      </c>
      <c r="E4011" s="10" t="str">
        <f t="array" ref="E4011">IFS(D4011&lt;=$G$3,'calculated data '!$A$3,D4011&lt;=$G$4,'calculated data '!$A$4,D4011&lt;=$G$6,'calculated data '!$A$5,D4011&gt;=$G$6,'calculated data '!$A$6)</f>
        <v>Target Market (Core IQR)</v>
      </c>
      <c r="F4011" s="10">
        <f t="shared" si="1"/>
        <v>-0.5127253065</v>
      </c>
    </row>
    <row r="4012" ht="14.25" customHeight="1">
      <c r="A4012" s="2" t="s">
        <v>289</v>
      </c>
      <c r="B4012" s="2" t="s">
        <v>290</v>
      </c>
      <c r="C4012" s="2">
        <v>1991.0</v>
      </c>
      <c r="D4012" s="9">
        <v>5688.9346</v>
      </c>
      <c r="E4012" s="10" t="str">
        <f t="array" ref="E4012">IFS(D4012&lt;=$G$3,'calculated data '!$A$3,D4012&lt;=$G$4,'calculated data '!$A$4,D4012&lt;=$G$6,'calculated data '!$A$5,D4012&gt;=$G$6,'calculated data '!$A$6)</f>
        <v>Target Market (Core IQR)</v>
      </c>
      <c r="F4012" s="10">
        <f t="shared" si="1"/>
        <v>-0.5125867929</v>
      </c>
    </row>
    <row r="4013" ht="14.25" customHeight="1">
      <c r="A4013" s="2" t="s">
        <v>183</v>
      </c>
      <c r="B4013" s="2" t="s">
        <v>184</v>
      </c>
      <c r="C4013" s="2">
        <v>1990.0</v>
      </c>
      <c r="D4013" s="9">
        <v>5692.5903</v>
      </c>
      <c r="E4013" s="10" t="str">
        <f t="array" ref="E4013">IFS(D4013&lt;=$G$3,'calculated data '!$A$3,D4013&lt;=$G$4,'calculated data '!$A$4,D4013&lt;=$G$6,'calculated data '!$A$5,D4013&gt;=$G$6,'calculated data '!$A$6)</f>
        <v>Target Market (Core IQR)</v>
      </c>
      <c r="F4013" s="10">
        <f t="shared" si="1"/>
        <v>-0.5124900275</v>
      </c>
    </row>
    <row r="4014" ht="14.25" customHeight="1">
      <c r="A4014" s="2" t="s">
        <v>277</v>
      </c>
      <c r="B4014" s="2" t="s">
        <v>278</v>
      </c>
      <c r="C4014" s="2">
        <v>1983.0</v>
      </c>
      <c r="D4014" s="9">
        <v>5696.441</v>
      </c>
      <c r="E4014" s="10" t="str">
        <f t="array" ref="E4014">IFS(D4014&lt;=$G$3,'calculated data '!$A$3,D4014&lt;=$G$4,'calculated data '!$A$4,D4014&lt;=$G$6,'calculated data '!$A$5,D4014&gt;=$G$6,'calculated data '!$A$6)</f>
        <v>Target Market (Core IQR)</v>
      </c>
      <c r="F4014" s="10">
        <f t="shared" si="1"/>
        <v>-0.5123881004</v>
      </c>
    </row>
    <row r="4015" ht="14.25" customHeight="1">
      <c r="A4015" s="2" t="s">
        <v>289</v>
      </c>
      <c r="B4015" s="2" t="s">
        <v>290</v>
      </c>
      <c r="C4015" s="2">
        <v>1980.0</v>
      </c>
      <c r="D4015" s="9">
        <v>5698.347</v>
      </c>
      <c r="E4015" s="10" t="str">
        <f t="array" ref="E4015">IFS(D4015&lt;=$G$3,'calculated data '!$A$3,D4015&lt;=$G$4,'calculated data '!$A$4,D4015&lt;=$G$6,'calculated data '!$A$5,D4015&gt;=$G$6,'calculated data '!$A$6)</f>
        <v>Target Market (Core IQR)</v>
      </c>
      <c r="F4015" s="10">
        <f t="shared" si="1"/>
        <v>-0.5123376491</v>
      </c>
    </row>
    <row r="4016" ht="14.25" customHeight="1">
      <c r="A4016" s="2" t="s">
        <v>263</v>
      </c>
      <c r="B4016" s="2" t="s">
        <v>264</v>
      </c>
      <c r="C4016" s="2">
        <v>1995.0</v>
      </c>
      <c r="D4016" s="9">
        <v>5713.62</v>
      </c>
      <c r="E4016" s="10" t="str">
        <f t="array" ref="E4016">IFS(D4016&lt;=$G$3,'calculated data '!$A$3,D4016&lt;=$G$4,'calculated data '!$A$4,D4016&lt;=$G$6,'calculated data '!$A$5,D4016&gt;=$G$6,'calculated data '!$A$6)</f>
        <v>Target Market (Core IQR)</v>
      </c>
      <c r="F4016" s="10">
        <f t="shared" si="1"/>
        <v>-0.5119333765</v>
      </c>
    </row>
    <row r="4017" ht="14.25" customHeight="1">
      <c r="A4017" s="2" t="s">
        <v>183</v>
      </c>
      <c r="B4017" s="2" t="s">
        <v>184</v>
      </c>
      <c r="C4017" s="2">
        <v>1986.0</v>
      </c>
      <c r="D4017" s="9">
        <v>5715.3774</v>
      </c>
      <c r="E4017" s="10" t="str">
        <f t="array" ref="E4017">IFS(D4017&lt;=$G$3,'calculated data '!$A$3,D4017&lt;=$G$4,'calculated data '!$A$4,D4017&lt;=$G$6,'calculated data '!$A$5,D4017&gt;=$G$6,'calculated data '!$A$6)</f>
        <v>Target Market (Core IQR)</v>
      </c>
      <c r="F4017" s="10">
        <f t="shared" si="1"/>
        <v>-0.5118868586</v>
      </c>
    </row>
    <row r="4018" ht="14.25" customHeight="1">
      <c r="A4018" s="2" t="s">
        <v>225</v>
      </c>
      <c r="B4018" s="2" t="s">
        <v>226</v>
      </c>
      <c r="C4018" s="2">
        <v>2004.0</v>
      </c>
      <c r="D4018" s="9">
        <v>5715.799</v>
      </c>
      <c r="E4018" s="10" t="str">
        <f t="array" ref="E4018">IFS(D4018&lt;=$G$3,'calculated data '!$A$3,D4018&lt;=$G$4,'calculated data '!$A$4,D4018&lt;=$G$6,'calculated data '!$A$5,D4018&gt;=$G$6,'calculated data '!$A$6)</f>
        <v>Target Market (Core IQR)</v>
      </c>
      <c r="F4018" s="10">
        <f t="shared" si="1"/>
        <v>-0.511875699</v>
      </c>
    </row>
    <row r="4019" ht="14.25" customHeight="1">
      <c r="A4019" s="2" t="s">
        <v>169</v>
      </c>
      <c r="B4019" s="2" t="s">
        <v>170</v>
      </c>
      <c r="C4019" s="2">
        <v>1998.0</v>
      </c>
      <c r="D4019" s="9">
        <v>5721.644</v>
      </c>
      <c r="E4019" s="10" t="str">
        <f t="array" ref="E4019">IFS(D4019&lt;=$G$3,'calculated data '!$A$3,D4019&lt;=$G$4,'calculated data '!$A$4,D4019&lt;=$G$6,'calculated data '!$A$5,D4019&gt;=$G$6,'calculated data '!$A$6)</f>
        <v>Target Market (Core IQR)</v>
      </c>
      <c r="F4019" s="10">
        <f t="shared" si="1"/>
        <v>-0.5117209833</v>
      </c>
    </row>
    <row r="4020" ht="14.25" customHeight="1">
      <c r="A4020" s="2" t="s">
        <v>165</v>
      </c>
      <c r="B4020" s="2" t="s">
        <v>166</v>
      </c>
      <c r="C4020" s="2">
        <v>2015.0</v>
      </c>
      <c r="D4020" s="9">
        <v>5732.7256</v>
      </c>
      <c r="E4020" s="10" t="str">
        <f t="array" ref="E4020">IFS(D4020&lt;=$G$3,'calculated data '!$A$3,D4020&lt;=$G$4,'calculated data '!$A$4,D4020&lt;=$G$6,'calculated data '!$A$5,D4020&gt;=$G$6,'calculated data '!$A$6)</f>
        <v>Target Market (Core IQR)</v>
      </c>
      <c r="F4020" s="10">
        <f t="shared" si="1"/>
        <v>-0.5114276561</v>
      </c>
    </row>
    <row r="4021" ht="14.25" customHeight="1">
      <c r="A4021" s="2" t="s">
        <v>223</v>
      </c>
      <c r="B4021" s="2" t="s">
        <v>224</v>
      </c>
      <c r="C4021" s="2">
        <v>2007.0</v>
      </c>
      <c r="D4021" s="9">
        <v>5733.315</v>
      </c>
      <c r="E4021" s="10" t="str">
        <f t="array" ref="E4021">IFS(D4021&lt;=$G$3,'calculated data '!$A$3,D4021&lt;=$G$4,'calculated data '!$A$4,D4021&lt;=$G$6,'calculated data '!$A$5,D4021&gt;=$G$6,'calculated data '!$A$6)</f>
        <v>Target Market (Core IQR)</v>
      </c>
      <c r="F4021" s="10">
        <f t="shared" si="1"/>
        <v>-0.5114120548</v>
      </c>
    </row>
    <row r="4022" ht="14.25" customHeight="1">
      <c r="A4022" s="2" t="s">
        <v>185</v>
      </c>
      <c r="B4022" s="2" t="s">
        <v>186</v>
      </c>
      <c r="C4022" s="2">
        <v>2000.0</v>
      </c>
      <c r="D4022" s="9">
        <v>5735.5107</v>
      </c>
      <c r="E4022" s="10" t="str">
        <f t="array" ref="E4022">IFS(D4022&lt;=$G$3,'calculated data '!$A$3,D4022&lt;=$G$4,'calculated data '!$A$4,D4022&lt;=$G$6,'calculated data '!$A$5,D4022&gt;=$G$6,'calculated data '!$A$6)</f>
        <v>Target Market (Core IQR)</v>
      </c>
      <c r="F4022" s="10">
        <f t="shared" si="1"/>
        <v>-0.5113539352</v>
      </c>
    </row>
    <row r="4023" ht="14.25" customHeight="1">
      <c r="A4023" s="2" t="s">
        <v>183</v>
      </c>
      <c r="B4023" s="2" t="s">
        <v>184</v>
      </c>
      <c r="C4023" s="2">
        <v>1985.0</v>
      </c>
      <c r="D4023" s="9">
        <v>5736.504</v>
      </c>
      <c r="E4023" s="10" t="str">
        <f t="array" ref="E4023">IFS(D4023&lt;=$G$3,'calculated data '!$A$3,D4023&lt;=$G$4,'calculated data '!$A$4,D4023&lt;=$G$6,'calculated data '!$A$5,D4023&gt;=$G$6,'calculated data '!$A$6)</f>
        <v>Target Market (Core IQR)</v>
      </c>
      <c r="F4023" s="10">
        <f t="shared" si="1"/>
        <v>-0.5113276428</v>
      </c>
    </row>
    <row r="4024" ht="14.25" customHeight="1">
      <c r="A4024" s="2" t="s">
        <v>239</v>
      </c>
      <c r="B4024" s="2" t="s">
        <v>240</v>
      </c>
      <c r="C4024" s="2">
        <v>2020.0</v>
      </c>
      <c r="D4024" s="9">
        <v>5737.607</v>
      </c>
      <c r="E4024" s="10" t="str">
        <f t="array" ref="E4024">IFS(D4024&lt;=$G$3,'calculated data '!$A$3,D4024&lt;=$G$4,'calculated data '!$A$4,D4024&lt;=$G$6,'calculated data '!$A$5,D4024&gt;=$G$6,'calculated data '!$A$6)</f>
        <v>Target Market (Core IQR)</v>
      </c>
      <c r="F4024" s="10">
        <f t="shared" si="1"/>
        <v>-0.5112984466</v>
      </c>
    </row>
    <row r="4025" ht="14.25" customHeight="1">
      <c r="A4025" s="2" t="s">
        <v>277</v>
      </c>
      <c r="B4025" s="2" t="s">
        <v>278</v>
      </c>
      <c r="C4025" s="2">
        <v>1984.0</v>
      </c>
      <c r="D4025" s="9">
        <v>5742.0083</v>
      </c>
      <c r="E4025" s="10" t="str">
        <f t="array" ref="E4025">IFS(D4025&lt;=$G$3,'calculated data '!$A$3,D4025&lt;=$G$4,'calculated data '!$A$4,D4025&lt;=$G$6,'calculated data '!$A$5,D4025&gt;=$G$6,'calculated data '!$A$6)</f>
        <v>Target Market (Core IQR)</v>
      </c>
      <c r="F4025" s="10">
        <f t="shared" si="1"/>
        <v>-0.5111819453</v>
      </c>
    </row>
    <row r="4026" ht="14.25" customHeight="1">
      <c r="A4026" s="2" t="s">
        <v>243</v>
      </c>
      <c r="B4026" s="2" t="s">
        <v>244</v>
      </c>
      <c r="C4026" s="2">
        <v>2002.0</v>
      </c>
      <c r="D4026" s="9">
        <v>5751.0547</v>
      </c>
      <c r="E4026" s="10" t="str">
        <f t="array" ref="E4026">IFS(D4026&lt;=$G$3,'calculated data '!$A$3,D4026&lt;=$G$4,'calculated data '!$A$4,D4026&lt;=$G$6,'calculated data '!$A$5,D4026&gt;=$G$6,'calculated data '!$A$6)</f>
        <v>Target Market (Core IQR)</v>
      </c>
      <c r="F4026" s="10">
        <f t="shared" si="1"/>
        <v>-0.5109424894</v>
      </c>
    </row>
    <row r="4027" ht="14.25" customHeight="1">
      <c r="A4027" s="2" t="s">
        <v>111</v>
      </c>
      <c r="B4027" s="2" t="s">
        <v>112</v>
      </c>
      <c r="C4027" s="2">
        <v>2005.0</v>
      </c>
      <c r="D4027" s="9">
        <v>5751.8125</v>
      </c>
      <c r="E4027" s="10" t="str">
        <f t="array" ref="E4027">IFS(D4027&lt;=$G$3,'calculated data '!$A$3,D4027&lt;=$G$4,'calculated data '!$A$4,D4027&lt;=$G$6,'calculated data '!$A$5,D4027&gt;=$G$6,'calculated data '!$A$6)</f>
        <v>Target Market (Core IQR)</v>
      </c>
      <c r="F4027" s="10">
        <f t="shared" si="1"/>
        <v>-0.5109224306</v>
      </c>
    </row>
    <row r="4028" ht="14.25" customHeight="1">
      <c r="A4028" s="2" t="s">
        <v>111</v>
      </c>
      <c r="B4028" s="2" t="s">
        <v>112</v>
      </c>
      <c r="C4028" s="2">
        <v>2023.0</v>
      </c>
      <c r="D4028" s="9">
        <v>5755.8896</v>
      </c>
      <c r="E4028" s="10" t="str">
        <f t="array" ref="E4028">IFS(D4028&lt;=$G$3,'calculated data '!$A$3,D4028&lt;=$G$4,'calculated data '!$A$4,D4028&lt;=$G$6,'calculated data '!$A$5,D4028&gt;=$G$6,'calculated data '!$A$6)</f>
        <v>Target Market (Core IQR)</v>
      </c>
      <c r="F4028" s="10">
        <f t="shared" si="1"/>
        <v>-0.5108145108</v>
      </c>
    </row>
    <row r="4029" ht="14.25" customHeight="1">
      <c r="A4029" s="2" t="s">
        <v>211</v>
      </c>
      <c r="B4029" s="2" t="s">
        <v>212</v>
      </c>
      <c r="C4029" s="2">
        <v>2012.0</v>
      </c>
      <c r="D4029" s="9">
        <v>5757.4795</v>
      </c>
      <c r="E4029" s="10" t="str">
        <f t="array" ref="E4029">IFS(D4029&lt;=$G$3,'calculated data '!$A$3,D4029&lt;=$G$4,'calculated data '!$A$4,D4029&lt;=$G$6,'calculated data '!$A$5,D4029&gt;=$G$6,'calculated data '!$A$6)</f>
        <v>Target Market (Core IQR)</v>
      </c>
      <c r="F4029" s="10">
        <f t="shared" si="1"/>
        <v>-0.5107724265</v>
      </c>
    </row>
    <row r="4030" ht="14.25" customHeight="1">
      <c r="A4030" s="2" t="s">
        <v>277</v>
      </c>
      <c r="B4030" s="2" t="s">
        <v>278</v>
      </c>
      <c r="C4030" s="2">
        <v>1985.0</v>
      </c>
      <c r="D4030" s="9">
        <v>5759.1245</v>
      </c>
      <c r="E4030" s="10" t="str">
        <f t="array" ref="E4030">IFS(D4030&lt;=$G$3,'calculated data '!$A$3,D4030&lt;=$G$4,'calculated data '!$A$4,D4030&lt;=$G$6,'calculated data '!$A$5,D4030&gt;=$G$6,'calculated data '!$A$6)</f>
        <v>Target Market (Core IQR)</v>
      </c>
      <c r="F4030" s="10">
        <f t="shared" si="1"/>
        <v>-0.5107288838</v>
      </c>
    </row>
    <row r="4031" ht="14.25" customHeight="1">
      <c r="A4031" s="2" t="s">
        <v>51</v>
      </c>
      <c r="B4031" s="2" t="s">
        <v>52</v>
      </c>
      <c r="C4031" s="2">
        <v>2012.0</v>
      </c>
      <c r="D4031" s="9">
        <v>5759.6284</v>
      </c>
      <c r="E4031" s="10" t="str">
        <f t="array" ref="E4031">IFS(D4031&lt;=$G$3,'calculated data '!$A$3,D4031&lt;=$G$4,'calculated data '!$A$4,D4031&lt;=$G$6,'calculated data '!$A$5,D4031&gt;=$G$6,'calculated data '!$A$6)</f>
        <v>Target Market (Core IQR)</v>
      </c>
      <c r="F4031" s="10">
        <f t="shared" si="1"/>
        <v>-0.5107155457</v>
      </c>
    </row>
    <row r="4032" ht="14.25" customHeight="1">
      <c r="A4032" s="2" t="s">
        <v>211</v>
      </c>
      <c r="B4032" s="2" t="s">
        <v>212</v>
      </c>
      <c r="C4032" s="2">
        <v>2013.0</v>
      </c>
      <c r="D4032" s="9">
        <v>5759.684</v>
      </c>
      <c r="E4032" s="10" t="str">
        <f t="array" ref="E4032">IFS(D4032&lt;=$G$3,'calculated data '!$A$3,D4032&lt;=$G$4,'calculated data '!$A$4,D4032&lt;=$G$6,'calculated data '!$A$5,D4032&gt;=$G$6,'calculated data '!$A$6)</f>
        <v>Target Market (Core IQR)</v>
      </c>
      <c r="F4032" s="10">
        <f t="shared" si="1"/>
        <v>-0.5107140739</v>
      </c>
    </row>
    <row r="4033" ht="14.25" customHeight="1">
      <c r="A4033" s="2" t="s">
        <v>237</v>
      </c>
      <c r="B4033" s="2" t="s">
        <v>238</v>
      </c>
      <c r="C4033" s="2">
        <v>1996.0</v>
      </c>
      <c r="D4033" s="9">
        <v>5760.2065</v>
      </c>
      <c r="E4033" s="10" t="str">
        <f t="array" ref="E4033">IFS(D4033&lt;=$G$3,'calculated data '!$A$3,D4033&lt;=$G$4,'calculated data '!$A$4,D4033&lt;=$G$6,'calculated data '!$A$5,D4033&gt;=$G$6,'calculated data '!$A$6)</f>
        <v>Target Market (Core IQR)</v>
      </c>
      <c r="F4033" s="10">
        <f t="shared" si="1"/>
        <v>-0.5107002435</v>
      </c>
    </row>
    <row r="4034" ht="14.25" customHeight="1">
      <c r="A4034" s="2" t="s">
        <v>265</v>
      </c>
      <c r="B4034" s="2" t="s">
        <v>266</v>
      </c>
      <c r="C4034" s="2">
        <v>1987.0</v>
      </c>
      <c r="D4034" s="9">
        <v>5773.2964</v>
      </c>
      <c r="E4034" s="10" t="str">
        <f t="array" ref="E4034">IFS(D4034&lt;=$G$3,'calculated data '!$A$3,D4034&lt;=$G$4,'calculated data '!$A$4,D4034&lt;=$G$6,'calculated data '!$A$5,D4034&gt;=$G$6,'calculated data '!$A$6)</f>
        <v>Target Market (Core IQR)</v>
      </c>
      <c r="F4034" s="10">
        <f t="shared" si="1"/>
        <v>-0.5103537571</v>
      </c>
    </row>
    <row r="4035" ht="14.25" customHeight="1">
      <c r="A4035" s="2" t="s">
        <v>223</v>
      </c>
      <c r="B4035" s="2" t="s">
        <v>224</v>
      </c>
      <c r="C4035" s="2">
        <v>2013.0</v>
      </c>
      <c r="D4035" s="9">
        <v>5777.3794</v>
      </c>
      <c r="E4035" s="10" t="str">
        <f t="array" ref="E4035">IFS(D4035&lt;=$G$3,'calculated data '!$A$3,D4035&lt;=$G$4,'calculated data '!$A$4,D4035&lt;=$G$6,'calculated data '!$A$5,D4035&gt;=$G$6,'calculated data '!$A$6)</f>
        <v>Target Market (Core IQR)</v>
      </c>
      <c r="F4035" s="10">
        <f t="shared" si="1"/>
        <v>-0.5102456811</v>
      </c>
    </row>
    <row r="4036" ht="14.25" customHeight="1">
      <c r="A4036" s="2" t="s">
        <v>159</v>
      </c>
      <c r="B4036" s="2" t="s">
        <v>160</v>
      </c>
      <c r="C4036" s="2">
        <v>2010.0</v>
      </c>
      <c r="D4036" s="9">
        <v>5779.07</v>
      </c>
      <c r="E4036" s="10" t="str">
        <f t="array" ref="E4036">IFS(D4036&lt;=$G$3,'calculated data '!$A$3,D4036&lt;=$G$4,'calculated data '!$A$4,D4036&lt;=$G$6,'calculated data '!$A$5,D4036&gt;=$G$6,'calculated data '!$A$6)</f>
        <v>Target Market (Core IQR)</v>
      </c>
      <c r="F4036" s="10">
        <f t="shared" si="1"/>
        <v>-0.5102009313</v>
      </c>
    </row>
    <row r="4037" ht="14.25" customHeight="1">
      <c r="A4037" s="2" t="s">
        <v>111</v>
      </c>
      <c r="B4037" s="2" t="s">
        <v>112</v>
      </c>
      <c r="C4037" s="2">
        <v>2021.0</v>
      </c>
      <c r="D4037" s="9">
        <v>5781.9146</v>
      </c>
      <c r="E4037" s="10" t="str">
        <f t="array" ref="E4037">IFS(D4037&lt;=$G$3,'calculated data '!$A$3,D4037&lt;=$G$4,'calculated data '!$A$4,D4037&lt;=$G$6,'calculated data '!$A$5,D4037&gt;=$G$6,'calculated data '!$A$6)</f>
        <v>Target Market (Core IQR)</v>
      </c>
      <c r="F4037" s="10">
        <f t="shared" si="1"/>
        <v>-0.5101256355</v>
      </c>
    </row>
    <row r="4038" ht="14.25" customHeight="1">
      <c r="A4038" s="2" t="s">
        <v>129</v>
      </c>
      <c r="B4038" s="2" t="s">
        <v>130</v>
      </c>
      <c r="C4038" s="2">
        <v>2001.0</v>
      </c>
      <c r="D4038" s="9">
        <v>5784.6504</v>
      </c>
      <c r="E4038" s="10" t="str">
        <f t="array" ref="E4038">IFS(D4038&lt;=$G$3,'calculated data '!$A$3,D4038&lt;=$G$4,'calculated data '!$A$4,D4038&lt;=$G$6,'calculated data '!$A$5,D4038&gt;=$G$6,'calculated data '!$A$6)</f>
        <v>Target Market (Core IQR)</v>
      </c>
      <c r="F4038" s="10">
        <f t="shared" si="1"/>
        <v>-0.5100532195</v>
      </c>
    </row>
    <row r="4039" ht="14.25" customHeight="1">
      <c r="A4039" s="2" t="s">
        <v>259</v>
      </c>
      <c r="B4039" s="2" t="s">
        <v>260</v>
      </c>
      <c r="C4039" s="2">
        <v>1988.0</v>
      </c>
      <c r="D4039" s="9">
        <v>5805.19</v>
      </c>
      <c r="E4039" s="10" t="str">
        <f t="array" ref="E4039">IFS(D4039&lt;=$G$3,'calculated data '!$A$3,D4039&lt;=$G$4,'calculated data '!$A$4,D4039&lt;=$G$6,'calculated data '!$A$5,D4039&gt;=$G$6,'calculated data '!$A$6)</f>
        <v>Target Market (Core IQR)</v>
      </c>
      <c r="F4039" s="10">
        <f t="shared" si="1"/>
        <v>-0.5095095415</v>
      </c>
    </row>
    <row r="4040" ht="14.25" customHeight="1">
      <c r="A4040" s="2" t="s">
        <v>291</v>
      </c>
      <c r="B4040" s="2" t="s">
        <v>292</v>
      </c>
      <c r="C4040" s="2">
        <v>1980.0</v>
      </c>
      <c r="D4040" s="9">
        <v>5808.398</v>
      </c>
      <c r="E4040" s="10" t="str">
        <f t="array" ref="E4040">IFS(D4040&lt;=$G$3,'calculated data '!$A$3,D4040&lt;=$G$4,'calculated data '!$A$4,D4040&lt;=$G$6,'calculated data '!$A$5,D4040&gt;=$G$6,'calculated data '!$A$6)</f>
        <v>Target Market (Core IQR)</v>
      </c>
      <c r="F4040" s="10">
        <f t="shared" si="1"/>
        <v>-0.5094246265</v>
      </c>
    </row>
    <row r="4041" ht="14.25" customHeight="1">
      <c r="A4041" s="2" t="s">
        <v>209</v>
      </c>
      <c r="B4041" s="2" t="s">
        <v>210</v>
      </c>
      <c r="C4041" s="2">
        <v>2018.0</v>
      </c>
      <c r="D4041" s="9">
        <v>5810.0845</v>
      </c>
      <c r="E4041" s="10" t="str">
        <f t="array" ref="E4041">IFS(D4041&lt;=$G$3,'calculated data '!$A$3,D4041&lt;=$G$4,'calculated data '!$A$4,D4041&lt;=$G$6,'calculated data '!$A$5,D4041&gt;=$G$6,'calculated data '!$A$6)</f>
        <v>Target Market (Core IQR)</v>
      </c>
      <c r="F4041" s="10">
        <f t="shared" si="1"/>
        <v>-0.5093799853</v>
      </c>
    </row>
    <row r="4042" ht="14.25" customHeight="1">
      <c r="A4042" s="2" t="s">
        <v>197</v>
      </c>
      <c r="B4042" s="2" t="s">
        <v>198</v>
      </c>
      <c r="C4042" s="2">
        <v>1986.0</v>
      </c>
      <c r="D4042" s="9">
        <v>5810.3228</v>
      </c>
      <c r="E4042" s="10" t="str">
        <f t="array" ref="E4042">IFS(D4042&lt;=$G$3,'calculated data '!$A$3,D4042&lt;=$G$4,'calculated data '!$A$4,D4042&lt;=$G$6,'calculated data '!$A$5,D4042&gt;=$G$6,'calculated data '!$A$6)</f>
        <v>Target Market (Core IQR)</v>
      </c>
      <c r="F4042" s="10">
        <f t="shared" si="1"/>
        <v>-0.5093736775</v>
      </c>
    </row>
    <row r="4043" ht="14.25" customHeight="1">
      <c r="A4043" s="2" t="s">
        <v>229</v>
      </c>
      <c r="B4043" s="2" t="s">
        <v>230</v>
      </c>
      <c r="C4043" s="2">
        <v>1984.0</v>
      </c>
      <c r="D4043" s="9">
        <v>5810.674</v>
      </c>
      <c r="E4043" s="10" t="str">
        <f t="array" ref="E4043">IFS(D4043&lt;=$G$3,'calculated data '!$A$3,D4043&lt;=$G$4,'calculated data '!$A$4,D4043&lt;=$G$6,'calculated data '!$A$5,D4043&gt;=$G$6,'calculated data '!$A$6)</f>
        <v>Target Market (Core IQR)</v>
      </c>
      <c r="F4043" s="10">
        <f t="shared" si="1"/>
        <v>-0.5093643813</v>
      </c>
    </row>
    <row r="4044" ht="14.25" customHeight="1">
      <c r="A4044" s="2" t="s">
        <v>239</v>
      </c>
      <c r="B4044" s="2" t="s">
        <v>240</v>
      </c>
      <c r="C4044" s="2">
        <v>2009.0</v>
      </c>
      <c r="D4044" s="9">
        <v>5810.702</v>
      </c>
      <c r="E4044" s="10" t="str">
        <f t="array" ref="E4044">IFS(D4044&lt;=$G$3,'calculated data '!$A$3,D4044&lt;=$G$4,'calculated data '!$A$4,D4044&lt;=$G$6,'calculated data '!$A$5,D4044&gt;=$G$6,'calculated data '!$A$6)</f>
        <v>Target Market (Core IQR)</v>
      </c>
      <c r="F4044" s="10">
        <f t="shared" si="1"/>
        <v>-0.5093636402</v>
      </c>
    </row>
    <row r="4045" ht="14.25" customHeight="1">
      <c r="A4045" s="2" t="s">
        <v>57</v>
      </c>
      <c r="B4045" s="2" t="s">
        <v>58</v>
      </c>
      <c r="C4045" s="2">
        <v>1920.0</v>
      </c>
      <c r="D4045" s="9">
        <v>5813.467</v>
      </c>
      <c r="E4045" s="10" t="str">
        <f t="array" ref="E4045">IFS(D4045&lt;=$G$3,'calculated data '!$A$3,D4045&lt;=$G$4,'calculated data '!$A$4,D4045&lt;=$G$6,'calculated data '!$A$5,D4045&gt;=$G$6,'calculated data '!$A$6)</f>
        <v>Target Market (Core IQR)</v>
      </c>
      <c r="F4045" s="10">
        <f t="shared" si="1"/>
        <v>-0.5092904513</v>
      </c>
    </row>
    <row r="4046" ht="14.25" customHeight="1">
      <c r="A4046" s="2" t="s">
        <v>269</v>
      </c>
      <c r="B4046" s="2" t="s">
        <v>270</v>
      </c>
      <c r="C4046" s="2">
        <v>2019.0</v>
      </c>
      <c r="D4046" s="9">
        <v>5817.771</v>
      </c>
      <c r="E4046" s="10" t="str">
        <f t="array" ref="E4046">IFS(D4046&lt;=$G$3,'calculated data '!$A$3,D4046&lt;=$G$4,'calculated data '!$A$4,D4046&lt;=$G$6,'calculated data '!$A$5,D4046&gt;=$G$6,'calculated data '!$A$6)</f>
        <v>Target Market (Core IQR)</v>
      </c>
      <c r="F4046" s="10">
        <f t="shared" si="1"/>
        <v>-0.5091765255</v>
      </c>
    </row>
    <row r="4047" ht="14.25" customHeight="1">
      <c r="A4047" s="2" t="s">
        <v>183</v>
      </c>
      <c r="B4047" s="2" t="s">
        <v>184</v>
      </c>
      <c r="C4047" s="2">
        <v>1988.0</v>
      </c>
      <c r="D4047" s="9">
        <v>5819.7817</v>
      </c>
      <c r="E4047" s="10" t="str">
        <f t="array" ref="E4047">IFS(D4047&lt;=$G$3,'calculated data '!$A$3,D4047&lt;=$G$4,'calculated data '!$A$4,D4047&lt;=$G$6,'calculated data '!$A$5,D4047&gt;=$G$6,'calculated data '!$A$6)</f>
        <v>Target Market (Core IQR)</v>
      </c>
      <c r="F4047" s="10">
        <f t="shared" si="1"/>
        <v>-0.5091233028</v>
      </c>
    </row>
    <row r="4048" ht="14.25" customHeight="1">
      <c r="A4048" s="2" t="s">
        <v>247</v>
      </c>
      <c r="B4048" s="2" t="s">
        <v>248</v>
      </c>
      <c r="C4048" s="2">
        <v>1998.0</v>
      </c>
      <c r="D4048" s="9">
        <v>5820.7817</v>
      </c>
      <c r="E4048" s="10" t="str">
        <f t="array" ref="E4048">IFS(D4048&lt;=$G$3,'calculated data '!$A$3,D4048&lt;=$G$4,'calculated data '!$A$4,D4048&lt;=$G$6,'calculated data '!$A$5,D4048&gt;=$G$6,'calculated data '!$A$6)</f>
        <v>Target Market (Core IQR)</v>
      </c>
      <c r="F4048" s="10">
        <f t="shared" si="1"/>
        <v>-0.509096833</v>
      </c>
    </row>
    <row r="4049" ht="14.25" customHeight="1">
      <c r="A4049" s="2" t="s">
        <v>223</v>
      </c>
      <c r="B4049" s="2" t="s">
        <v>224</v>
      </c>
      <c r="C4049" s="2">
        <v>2014.0</v>
      </c>
      <c r="D4049" s="9">
        <v>5826.4546</v>
      </c>
      <c r="E4049" s="10" t="str">
        <f t="array" ref="E4049">IFS(D4049&lt;=$G$3,'calculated data '!$A$3,D4049&lt;=$G$4,'calculated data '!$A$4,D4049&lt;=$G$6,'calculated data '!$A$5,D4049&gt;=$G$6,'calculated data '!$A$6)</f>
        <v>Target Market (Core IQR)</v>
      </c>
      <c r="F4049" s="10">
        <f t="shared" si="1"/>
        <v>-0.5089466728</v>
      </c>
    </row>
    <row r="4050" ht="14.25" customHeight="1">
      <c r="A4050" s="2" t="s">
        <v>237</v>
      </c>
      <c r="B4050" s="2" t="s">
        <v>238</v>
      </c>
      <c r="C4050" s="2">
        <v>1995.0</v>
      </c>
      <c r="D4050" s="9">
        <v>5832.403</v>
      </c>
      <c r="E4050" s="10" t="str">
        <f t="array" ref="E4050">IFS(D4050&lt;=$G$3,'calculated data '!$A$3,D4050&lt;=$G$4,'calculated data '!$A$4,D4050&lt;=$G$6,'calculated data '!$A$5,D4050&gt;=$G$6,'calculated data '!$A$6)</f>
        <v>Target Market (Core IQR)</v>
      </c>
      <c r="F4050" s="10">
        <f t="shared" si="1"/>
        <v>-0.5087892201</v>
      </c>
    </row>
    <row r="4051" ht="14.25" customHeight="1">
      <c r="A4051" s="2" t="s">
        <v>267</v>
      </c>
      <c r="B4051" s="2" t="s">
        <v>268</v>
      </c>
      <c r="C4051" s="2">
        <v>1987.0</v>
      </c>
      <c r="D4051" s="9">
        <v>5840.571</v>
      </c>
      <c r="E4051" s="10" t="str">
        <f t="array" ref="E4051">IFS(D4051&lt;=$G$3,'calculated data '!$A$3,D4051&lt;=$G$4,'calculated data '!$A$4,D4051&lt;=$G$6,'calculated data '!$A$5,D4051&gt;=$G$6,'calculated data '!$A$6)</f>
        <v>Target Market (Core IQR)</v>
      </c>
      <c r="F4051" s="10">
        <f t="shared" si="1"/>
        <v>-0.5085730152</v>
      </c>
    </row>
    <row r="4052" ht="14.25" customHeight="1">
      <c r="A4052" s="2" t="s">
        <v>281</v>
      </c>
      <c r="B4052" s="2" t="s">
        <v>282</v>
      </c>
      <c r="C4052" s="2">
        <v>1970.0</v>
      </c>
      <c r="D4052" s="9">
        <v>5842.2544</v>
      </c>
      <c r="E4052" s="10" t="str">
        <f t="array" ref="E4052">IFS(D4052&lt;=$G$3,'calculated data '!$A$3,D4052&lt;=$G$4,'calculated data '!$A$4,D4052&lt;=$G$6,'calculated data '!$A$5,D4052&gt;=$G$6,'calculated data '!$A$6)</f>
        <v>Target Market (Core IQR)</v>
      </c>
      <c r="F4052" s="10">
        <f t="shared" si="1"/>
        <v>-0.508528456</v>
      </c>
    </row>
    <row r="4053" ht="14.25" customHeight="1">
      <c r="A4053" s="2" t="s">
        <v>223</v>
      </c>
      <c r="B4053" s="2" t="s">
        <v>224</v>
      </c>
      <c r="C4053" s="2">
        <v>2008.0</v>
      </c>
      <c r="D4053" s="9">
        <v>5845.448</v>
      </c>
      <c r="E4053" s="10" t="str">
        <f t="array" ref="E4053">IFS(D4053&lt;=$G$3,'calculated data '!$A$3,D4053&lt;=$G$4,'calculated data '!$A$4,D4053&lt;=$G$6,'calculated data '!$A$5,D4053&gt;=$G$6,'calculated data '!$A$6)</f>
        <v>Target Market (Core IQR)</v>
      </c>
      <c r="F4053" s="10">
        <f t="shared" si="1"/>
        <v>-0.5084439222</v>
      </c>
    </row>
    <row r="4054" ht="14.25" customHeight="1">
      <c r="A4054" s="2" t="s">
        <v>169</v>
      </c>
      <c r="B4054" s="2" t="s">
        <v>170</v>
      </c>
      <c r="C4054" s="2">
        <v>1997.0</v>
      </c>
      <c r="D4054" s="9">
        <v>5847.3154</v>
      </c>
      <c r="E4054" s="10" t="str">
        <f t="array" ref="E4054">IFS(D4054&lt;=$G$3,'calculated data '!$A$3,D4054&lt;=$G$4,'calculated data '!$A$4,D4054&lt;=$G$6,'calculated data '!$A$5,D4054&gt;=$G$6,'calculated data '!$A$6)</f>
        <v>Target Market (Core IQR)</v>
      </c>
      <c r="F4054" s="10">
        <f t="shared" si="1"/>
        <v>-0.5083944926</v>
      </c>
    </row>
    <row r="4055" ht="14.25" customHeight="1">
      <c r="A4055" s="2" t="s">
        <v>239</v>
      </c>
      <c r="B4055" s="2" t="s">
        <v>240</v>
      </c>
      <c r="C4055" s="2">
        <v>2019.0</v>
      </c>
      <c r="D4055" s="9">
        <v>5847.509</v>
      </c>
      <c r="E4055" s="10" t="str">
        <f t="array" ref="E4055">IFS(D4055&lt;=$G$3,'calculated data '!$A$3,D4055&lt;=$G$4,'calculated data '!$A$4,D4055&lt;=$G$6,'calculated data '!$A$5,D4055&gt;=$G$6,'calculated data '!$A$6)</f>
        <v>Target Market (Core IQR)</v>
      </c>
      <c r="F4055" s="10">
        <f t="shared" si="1"/>
        <v>-0.5083893681</v>
      </c>
    </row>
    <row r="4056" ht="14.25" customHeight="1">
      <c r="A4056" s="2" t="s">
        <v>281</v>
      </c>
      <c r="B4056" s="2" t="s">
        <v>282</v>
      </c>
      <c r="C4056" s="2">
        <v>1975.0</v>
      </c>
      <c r="D4056" s="9">
        <v>5849.6597</v>
      </c>
      <c r="E4056" s="10" t="str">
        <f t="array" ref="E4056">IFS(D4056&lt;=$G$3,'calculated data '!$A$3,D4056&lt;=$G$4,'calculated data '!$A$4,D4056&lt;=$G$6,'calculated data '!$A$5,D4056&gt;=$G$6,'calculated data '!$A$6)</f>
        <v>Target Market (Core IQR)</v>
      </c>
      <c r="F4056" s="10">
        <f t="shared" si="1"/>
        <v>-0.5083324396</v>
      </c>
    </row>
    <row r="4057" ht="14.25" customHeight="1">
      <c r="A4057" s="2" t="s">
        <v>133</v>
      </c>
      <c r="B4057" s="2" t="s">
        <v>134</v>
      </c>
      <c r="C4057" s="2">
        <v>2012.0</v>
      </c>
      <c r="D4057" s="9">
        <v>5858.189</v>
      </c>
      <c r="E4057" s="10" t="str">
        <f t="array" ref="E4057">IFS(D4057&lt;=$G$3,'calculated data '!$A$3,D4057&lt;=$G$4,'calculated data '!$A$4,D4057&lt;=$G$6,'calculated data '!$A$5,D4057&gt;=$G$6,'calculated data '!$A$6)</f>
        <v>Target Market (Core IQR)</v>
      </c>
      <c r="F4057" s="10">
        <f t="shared" si="1"/>
        <v>-0.5081066711</v>
      </c>
    </row>
    <row r="4058" ht="14.25" customHeight="1">
      <c r="A4058" s="2" t="s">
        <v>275</v>
      </c>
      <c r="B4058" s="2" t="s">
        <v>276</v>
      </c>
      <c r="C4058" s="2">
        <v>1998.0</v>
      </c>
      <c r="D4058" s="9">
        <v>5864.072</v>
      </c>
      <c r="E4058" s="10" t="str">
        <f t="array" ref="E4058">IFS(D4058&lt;=$G$3,'calculated data '!$A$3,D4058&lt;=$G$4,'calculated data '!$A$4,D4058&lt;=$G$6,'calculated data '!$A$5,D4058&gt;=$G$6,'calculated data '!$A$6)</f>
        <v>Target Market (Core IQR)</v>
      </c>
      <c r="F4058" s="10">
        <f t="shared" si="1"/>
        <v>-0.5079509496</v>
      </c>
    </row>
    <row r="4059" ht="14.25" customHeight="1">
      <c r="A4059" s="2" t="s">
        <v>251</v>
      </c>
      <c r="B4059" s="2" t="s">
        <v>252</v>
      </c>
      <c r="C4059" s="2">
        <v>1997.0</v>
      </c>
      <c r="D4059" s="9">
        <v>5864.6724</v>
      </c>
      <c r="E4059" s="10" t="str">
        <f t="array" ref="E4059">IFS(D4059&lt;=$G$3,'calculated data '!$A$3,D4059&lt;=$G$4,'calculated data '!$A$4,D4059&lt;=$G$6,'calculated data '!$A$5,D4059&gt;=$G$6,'calculated data '!$A$6)</f>
        <v>Target Market (Core IQR)</v>
      </c>
      <c r="F4059" s="10">
        <f t="shared" si="1"/>
        <v>-0.5079350571</v>
      </c>
    </row>
    <row r="4060" ht="14.25" customHeight="1">
      <c r="A4060" s="2" t="s">
        <v>267</v>
      </c>
      <c r="B4060" s="2" t="s">
        <v>268</v>
      </c>
      <c r="C4060" s="2">
        <v>1988.0</v>
      </c>
      <c r="D4060" s="9">
        <v>5866.989</v>
      </c>
      <c r="E4060" s="10" t="str">
        <f t="array" ref="E4060">IFS(D4060&lt;=$G$3,'calculated data '!$A$3,D4060&lt;=$G$4,'calculated data '!$A$4,D4060&lt;=$G$6,'calculated data '!$A$5,D4060&gt;=$G$6,'calculated data '!$A$6)</f>
        <v>Target Market (Core IQR)</v>
      </c>
      <c r="F4060" s="10">
        <f t="shared" si="1"/>
        <v>-0.5078737373</v>
      </c>
    </row>
    <row r="4061" ht="14.25" customHeight="1">
      <c r="A4061" s="2" t="s">
        <v>199</v>
      </c>
      <c r="B4061" s="2" t="s">
        <v>200</v>
      </c>
      <c r="C4061" s="2">
        <v>2021.0</v>
      </c>
      <c r="D4061" s="9">
        <v>5875.3677</v>
      </c>
      <c r="E4061" s="10" t="str">
        <f t="array" ref="E4061">IFS(D4061&lt;=$G$3,'calculated data '!$A$3,D4061&lt;=$G$4,'calculated data '!$A$4,D4061&lt;=$G$6,'calculated data '!$A$5,D4061&gt;=$G$6,'calculated data '!$A$6)</f>
        <v>Target Market (Core IQR)</v>
      </c>
      <c r="F4061" s="10">
        <f t="shared" si="1"/>
        <v>-0.5076519552</v>
      </c>
    </row>
    <row r="4062" ht="14.25" customHeight="1">
      <c r="A4062" s="2" t="s">
        <v>261</v>
      </c>
      <c r="B4062" s="2" t="s">
        <v>262</v>
      </c>
      <c r="C4062" s="2">
        <v>1992.0</v>
      </c>
      <c r="D4062" s="9">
        <v>5877.006</v>
      </c>
      <c r="E4062" s="10" t="str">
        <f t="array" ref="E4062">IFS(D4062&lt;=$G$3,'calculated data '!$A$3,D4062&lt;=$G$4,'calculated data '!$A$4,D4062&lt;=$G$6,'calculated data '!$A$5,D4062&gt;=$G$6,'calculated data '!$A$6)</f>
        <v>Target Market (Core IQR)</v>
      </c>
      <c r="F4062" s="10">
        <f t="shared" si="1"/>
        <v>-0.5076085898</v>
      </c>
    </row>
    <row r="4063" ht="14.25" customHeight="1">
      <c r="A4063" s="2" t="s">
        <v>235</v>
      </c>
      <c r="B4063" s="2" t="s">
        <v>236</v>
      </c>
      <c r="C4063" s="2">
        <v>1988.0</v>
      </c>
      <c r="D4063" s="9">
        <v>5882.3403</v>
      </c>
      <c r="E4063" s="10" t="str">
        <f t="array" ref="E4063">IFS(D4063&lt;=$G$3,'calculated data '!$A$3,D4063&lt;=$G$4,'calculated data '!$A$4,D4063&lt;=$G$6,'calculated data '!$A$5,D4063&gt;=$G$6,'calculated data '!$A$6)</f>
        <v>Target Market (Core IQR)</v>
      </c>
      <c r="F4063" s="10">
        <f t="shared" si="1"/>
        <v>-0.5074673922</v>
      </c>
    </row>
    <row r="4064" ht="14.25" customHeight="1">
      <c r="A4064" s="2" t="s">
        <v>257</v>
      </c>
      <c r="B4064" s="2" t="s">
        <v>258</v>
      </c>
      <c r="C4064" s="2">
        <v>1971.0</v>
      </c>
      <c r="D4064" s="9">
        <v>5883.147</v>
      </c>
      <c r="E4064" s="10" t="str">
        <f t="array" ref="E4064">IFS(D4064&lt;=$G$3,'calculated data '!$A$3,D4064&lt;=$G$4,'calculated data '!$A$4,D4064&lt;=$G$6,'calculated data '!$A$5,D4064&gt;=$G$6,'calculated data '!$A$6)</f>
        <v>Target Market (Core IQR)</v>
      </c>
      <c r="F4064" s="10">
        <f t="shared" si="1"/>
        <v>-0.5074460391</v>
      </c>
    </row>
    <row r="4065" ht="14.25" customHeight="1">
      <c r="A4065" s="2" t="s">
        <v>129</v>
      </c>
      <c r="B4065" s="2" t="s">
        <v>130</v>
      </c>
      <c r="C4065" s="2">
        <v>2002.0</v>
      </c>
      <c r="D4065" s="9">
        <v>5884.434</v>
      </c>
      <c r="E4065" s="10" t="str">
        <f t="array" ref="E4065">IFS(D4065&lt;=$G$3,'calculated data '!$A$3,D4065&lt;=$G$4,'calculated data '!$A$4,D4065&lt;=$G$6,'calculated data '!$A$5,D4065&gt;=$G$6,'calculated data '!$A$6)</f>
        <v>Target Market (Core IQR)</v>
      </c>
      <c r="F4065" s="10">
        <f t="shared" si="1"/>
        <v>-0.5074119725</v>
      </c>
    </row>
    <row r="4066" ht="14.25" customHeight="1">
      <c r="A4066" s="2" t="s">
        <v>111</v>
      </c>
      <c r="B4066" s="2" t="s">
        <v>112</v>
      </c>
      <c r="C4066" s="2">
        <v>2022.0</v>
      </c>
      <c r="D4066" s="9">
        <v>5886.2896</v>
      </c>
      <c r="E4066" s="10" t="str">
        <f t="array" ref="E4066">IFS(D4066&lt;=$G$3,'calculated data '!$A$3,D4066&lt;=$G$4,'calculated data '!$A$4,D4066&lt;=$G$6,'calculated data '!$A$5,D4066&gt;=$G$6,'calculated data '!$A$6)</f>
        <v>Target Market (Core IQR)</v>
      </c>
      <c r="F4066" s="10">
        <f t="shared" si="1"/>
        <v>-0.5073628552</v>
      </c>
    </row>
    <row r="4067" ht="14.25" customHeight="1">
      <c r="A4067" s="2" t="s">
        <v>231</v>
      </c>
      <c r="B4067" s="2" t="s">
        <v>232</v>
      </c>
      <c r="C4067" s="2">
        <v>1976.0</v>
      </c>
      <c r="D4067" s="9">
        <v>5889.7256</v>
      </c>
      <c r="E4067" s="10" t="str">
        <f t="array" ref="E4067">IFS(D4067&lt;=$G$3,'calculated data '!$A$3,D4067&lt;=$G$4,'calculated data '!$A$4,D4067&lt;=$G$6,'calculated data '!$A$5,D4067&gt;=$G$6,'calculated data '!$A$6)</f>
        <v>Target Market (Core IQR)</v>
      </c>
      <c r="F4067" s="10">
        <f t="shared" si="1"/>
        <v>-0.5072719052</v>
      </c>
    </row>
    <row r="4068" ht="14.25" customHeight="1">
      <c r="A4068" s="2" t="s">
        <v>183</v>
      </c>
      <c r="B4068" s="2" t="s">
        <v>184</v>
      </c>
      <c r="C4068" s="2">
        <v>1982.0</v>
      </c>
      <c r="D4068" s="9">
        <v>5900.538</v>
      </c>
      <c r="E4068" s="10" t="str">
        <f t="array" ref="E4068">IFS(D4068&lt;=$G$3,'calculated data '!$A$3,D4068&lt;=$G$4,'calculated data '!$A$4,D4068&lt;=$G$6,'calculated data '!$A$5,D4068&gt;=$G$6,'calculated data '!$A$6)</f>
        <v>Target Market (Core IQR)</v>
      </c>
      <c r="F4068" s="10">
        <f t="shared" si="1"/>
        <v>-0.5069857036</v>
      </c>
    </row>
    <row r="4069" ht="14.25" customHeight="1">
      <c r="A4069" s="2" t="s">
        <v>183</v>
      </c>
      <c r="B4069" s="2" t="s">
        <v>184</v>
      </c>
      <c r="C4069" s="2">
        <v>1981.0</v>
      </c>
      <c r="D4069" s="9">
        <v>5902.247</v>
      </c>
      <c r="E4069" s="10" t="str">
        <f t="array" ref="E4069">IFS(D4069&lt;=$G$3,'calculated data '!$A$3,D4069&lt;=$G$4,'calculated data '!$A$4,D4069&lt;=$G$6,'calculated data '!$A$5,D4069&gt;=$G$6,'calculated data '!$A$6)</f>
        <v>Target Market (Core IQR)</v>
      </c>
      <c r="F4069" s="10">
        <f t="shared" si="1"/>
        <v>-0.5069404668</v>
      </c>
    </row>
    <row r="4070" ht="14.25" customHeight="1">
      <c r="A4070" s="2" t="s">
        <v>201</v>
      </c>
      <c r="B4070" s="2" t="s">
        <v>202</v>
      </c>
      <c r="C4070" s="2">
        <v>1980.0</v>
      </c>
      <c r="D4070" s="9">
        <v>5905.749</v>
      </c>
      <c r="E4070" s="10" t="str">
        <f t="array" ref="E4070">IFS(D4070&lt;=$G$3,'calculated data '!$A$3,D4070&lt;=$G$4,'calculated data '!$A$4,D4070&lt;=$G$6,'calculated data '!$A$5,D4070&gt;=$G$6,'calculated data '!$A$6)</f>
        <v>Target Market (Core IQR)</v>
      </c>
      <c r="F4070" s="10">
        <f t="shared" si="1"/>
        <v>-0.5068477698</v>
      </c>
    </row>
    <row r="4071" ht="14.25" customHeight="1">
      <c r="A4071" s="2" t="s">
        <v>267</v>
      </c>
      <c r="B4071" s="2" t="s">
        <v>268</v>
      </c>
      <c r="C4071" s="2">
        <v>1989.0</v>
      </c>
      <c r="D4071" s="9">
        <v>5906.56</v>
      </c>
      <c r="E4071" s="10" t="str">
        <f t="array" ref="E4071">IFS(D4071&lt;=$G$3,'calculated data '!$A$3,D4071&lt;=$G$4,'calculated data '!$A$4,D4071&lt;=$G$6,'calculated data '!$A$5,D4071&gt;=$G$6,'calculated data '!$A$6)</f>
        <v>Target Market (Core IQR)</v>
      </c>
      <c r="F4071" s="10">
        <f t="shared" si="1"/>
        <v>-0.5068263028</v>
      </c>
    </row>
    <row r="4072" ht="14.25" customHeight="1">
      <c r="A4072" s="2" t="s">
        <v>281</v>
      </c>
      <c r="B4072" s="2" t="s">
        <v>282</v>
      </c>
      <c r="C4072" s="2">
        <v>1973.0</v>
      </c>
      <c r="D4072" s="9">
        <v>5914.4736</v>
      </c>
      <c r="E4072" s="10" t="str">
        <f t="array" ref="E4072">IFS(D4072&lt;=$G$3,'calculated data '!$A$3,D4072&lt;=$G$4,'calculated data '!$A$4,D4072&lt;=$G$6,'calculated data '!$A$5,D4072&gt;=$G$6,'calculated data '!$A$6)</f>
        <v>Target Market (Core IQR)</v>
      </c>
      <c r="F4072" s="10">
        <f t="shared" si="1"/>
        <v>-0.5066168318</v>
      </c>
    </row>
    <row r="4073" ht="14.25" customHeight="1">
      <c r="A4073" s="2" t="s">
        <v>239</v>
      </c>
      <c r="B4073" s="2" t="s">
        <v>240</v>
      </c>
      <c r="C4073" s="2">
        <v>2004.0</v>
      </c>
      <c r="D4073" s="9">
        <v>5916.6973</v>
      </c>
      <c r="E4073" s="10" t="str">
        <f t="array" ref="E4073">IFS(D4073&lt;=$G$3,'calculated data '!$A$3,D4073&lt;=$G$4,'calculated data '!$A$4,D4073&lt;=$G$6,'calculated data '!$A$5,D4073&gt;=$G$6,'calculated data '!$A$6)</f>
        <v>Target Market (Core IQR)</v>
      </c>
      <c r="F4073" s="10">
        <f t="shared" si="1"/>
        <v>-0.506557971</v>
      </c>
    </row>
    <row r="4074" ht="14.25" customHeight="1">
      <c r="A4074" s="2" t="s">
        <v>133</v>
      </c>
      <c r="B4074" s="2" t="s">
        <v>134</v>
      </c>
      <c r="C4074" s="2">
        <v>2011.0</v>
      </c>
      <c r="D4074" s="9">
        <v>5919.414</v>
      </c>
      <c r="E4074" s="10" t="str">
        <f t="array" ref="E4074">IFS(D4074&lt;=$G$3,'calculated data '!$A$3,D4074&lt;=$G$4,'calculated data '!$A$4,D4074&lt;=$G$6,'calculated data '!$A$5,D4074&gt;=$G$6,'calculated data '!$A$6)</f>
        <v>Target Market (Core IQR)</v>
      </c>
      <c r="F4074" s="10">
        <f t="shared" si="1"/>
        <v>-0.5064860606</v>
      </c>
    </row>
    <row r="4075" ht="14.25" customHeight="1">
      <c r="A4075" s="2" t="s">
        <v>237</v>
      </c>
      <c r="B4075" s="2" t="s">
        <v>238</v>
      </c>
      <c r="C4075" s="2">
        <v>1994.0</v>
      </c>
      <c r="D4075" s="9">
        <v>5925.385</v>
      </c>
      <c r="E4075" s="10" t="str">
        <f t="array" ref="E4075">IFS(D4075&lt;=$G$3,'calculated data '!$A$3,D4075&lt;=$G$4,'calculated data '!$A$4,D4075&lt;=$G$6,'calculated data '!$A$5,D4075&gt;=$G$6,'calculated data '!$A$6)</f>
        <v>Target Market (Core IQR)</v>
      </c>
      <c r="F4075" s="10">
        <f t="shared" si="1"/>
        <v>-0.5063280097</v>
      </c>
    </row>
    <row r="4076" ht="14.25" customHeight="1">
      <c r="A4076" s="2" t="s">
        <v>165</v>
      </c>
      <c r="B4076" s="2" t="s">
        <v>166</v>
      </c>
      <c r="C4076" s="2">
        <v>2016.0</v>
      </c>
      <c r="D4076" s="9">
        <v>5929.287</v>
      </c>
      <c r="E4076" s="10" t="str">
        <f t="array" ref="E4076">IFS(D4076&lt;=$G$3,'calculated data '!$A$3,D4076&lt;=$G$4,'calculated data '!$A$4,D4076&lt;=$G$6,'calculated data '!$A$5,D4076&gt;=$G$6,'calculated data '!$A$6)</f>
        <v>Target Market (Core IQR)</v>
      </c>
      <c r="F4076" s="10">
        <f t="shared" si="1"/>
        <v>-0.5062247248</v>
      </c>
    </row>
    <row r="4077" ht="14.25" customHeight="1">
      <c r="A4077" s="2" t="s">
        <v>205</v>
      </c>
      <c r="B4077" s="2" t="s">
        <v>206</v>
      </c>
      <c r="C4077" s="2">
        <v>1993.0</v>
      </c>
      <c r="D4077" s="9">
        <v>5931.1436</v>
      </c>
      <c r="E4077" s="10" t="str">
        <f t="array" ref="E4077">IFS(D4077&lt;=$G$3,'calculated data '!$A$3,D4077&lt;=$G$4,'calculated data '!$A$4,D4077&lt;=$G$6,'calculated data '!$A$5,D4077&gt;=$G$6,'calculated data '!$A$6)</f>
        <v>Target Market (Core IQR)</v>
      </c>
      <c r="F4077" s="10">
        <f t="shared" si="1"/>
        <v>-0.506175581</v>
      </c>
    </row>
    <row r="4078" ht="14.25" customHeight="1">
      <c r="A4078" s="2" t="s">
        <v>111</v>
      </c>
      <c r="B4078" s="2" t="s">
        <v>112</v>
      </c>
      <c r="C4078" s="2">
        <v>2024.0</v>
      </c>
      <c r="D4078" s="9">
        <v>5931.5093</v>
      </c>
      <c r="E4078" s="10" t="str">
        <f t="array" ref="E4078">IFS(D4078&lt;=$G$3,'calculated data '!$A$3,D4078&lt;=$G$4,'calculated data '!$A$4,D4078&lt;=$G$6,'calculated data '!$A$5,D4078&gt;=$G$6,'calculated data '!$A$6)</f>
        <v>Target Market (Core IQR)</v>
      </c>
      <c r="F4078" s="10">
        <f t="shared" si="1"/>
        <v>-0.506165901</v>
      </c>
    </row>
    <row r="4079" ht="14.25" customHeight="1">
      <c r="A4079" s="2" t="s">
        <v>271</v>
      </c>
      <c r="B4079" s="2" t="s">
        <v>272</v>
      </c>
      <c r="C4079" s="2">
        <v>1969.0</v>
      </c>
      <c r="D4079" s="9">
        <v>5935.3423</v>
      </c>
      <c r="E4079" s="10" t="str">
        <f t="array" ref="E4079">IFS(D4079&lt;=$G$3,'calculated data '!$A$3,D4079&lt;=$G$4,'calculated data '!$A$4,D4079&lt;=$G$6,'calculated data '!$A$5,D4079&gt;=$G$6,'calculated data '!$A$6)</f>
        <v>Target Market (Core IQR)</v>
      </c>
      <c r="F4079" s="10">
        <f t="shared" si="1"/>
        <v>-0.5060644425</v>
      </c>
    </row>
    <row r="4080" ht="14.25" customHeight="1">
      <c r="A4080" s="2" t="s">
        <v>273</v>
      </c>
      <c r="B4080" s="2" t="s">
        <v>274</v>
      </c>
      <c r="C4080" s="2">
        <v>2012.0</v>
      </c>
      <c r="D4080" s="9">
        <v>5935.9785</v>
      </c>
      <c r="E4080" s="10" t="str">
        <f t="array" ref="E4080">IFS(D4080&lt;=$G$3,'calculated data '!$A$3,D4080&lt;=$G$4,'calculated data '!$A$4,D4080&lt;=$G$6,'calculated data '!$A$5,D4080&gt;=$G$6,'calculated data '!$A$6)</f>
        <v>Target Market (Core IQR)</v>
      </c>
      <c r="F4080" s="10">
        <f t="shared" si="1"/>
        <v>-0.5060476024</v>
      </c>
    </row>
    <row r="4081" ht="14.25" customHeight="1">
      <c r="A4081" s="2" t="s">
        <v>239</v>
      </c>
      <c r="B4081" s="2" t="s">
        <v>240</v>
      </c>
      <c r="C4081" s="2">
        <v>2005.0</v>
      </c>
      <c r="D4081" s="9">
        <v>5940.479</v>
      </c>
      <c r="E4081" s="10" t="str">
        <f t="array" ref="E4081">IFS(D4081&lt;=$G$3,'calculated data '!$A$3,D4081&lt;=$G$4,'calculated data '!$A$4,D4081&lt;=$G$6,'calculated data '!$A$5,D4081&gt;=$G$6,'calculated data '!$A$6)</f>
        <v>Target Market (Core IQR)</v>
      </c>
      <c r="F4081" s="10">
        <f t="shared" si="1"/>
        <v>-0.5059284753</v>
      </c>
    </row>
    <row r="4082" ht="14.25" customHeight="1">
      <c r="A4082" s="2" t="s">
        <v>41</v>
      </c>
      <c r="B4082" s="2" t="s">
        <v>42</v>
      </c>
      <c r="C4082" s="2">
        <v>2013.0</v>
      </c>
      <c r="D4082" s="9">
        <v>5951.2266</v>
      </c>
      <c r="E4082" s="10" t="str">
        <f t="array" ref="E4082">IFS(D4082&lt;=$G$3,'calculated data '!$A$3,D4082&lt;=$G$4,'calculated data '!$A$4,D4082&lt;=$G$6,'calculated data '!$A$5,D4082&gt;=$G$6,'calculated data '!$A$6)</f>
        <v>Target Market (Core IQR)</v>
      </c>
      <c r="F4082" s="10">
        <f t="shared" si="1"/>
        <v>-0.505643989</v>
      </c>
    </row>
    <row r="4083" ht="14.25" customHeight="1">
      <c r="A4083" s="2" t="s">
        <v>165</v>
      </c>
      <c r="B4083" s="2" t="s">
        <v>166</v>
      </c>
      <c r="C4083" s="2">
        <v>2020.0</v>
      </c>
      <c r="D4083" s="9">
        <v>5952.1333</v>
      </c>
      <c r="E4083" s="10" t="str">
        <f t="array" ref="E4083">IFS(D4083&lt;=$G$3,'calculated data '!$A$3,D4083&lt;=$G$4,'calculated data '!$A$4,D4083&lt;=$G$6,'calculated data '!$A$5,D4083&gt;=$G$6,'calculated data '!$A$6)</f>
        <v>Target Market (Core IQR)</v>
      </c>
      <c r="F4083" s="10">
        <f t="shared" si="1"/>
        <v>-0.5056199889</v>
      </c>
    </row>
    <row r="4084" ht="14.25" customHeight="1">
      <c r="A4084" s="2" t="s">
        <v>247</v>
      </c>
      <c r="B4084" s="2" t="s">
        <v>248</v>
      </c>
      <c r="C4084" s="2">
        <v>1999.0</v>
      </c>
      <c r="D4084" s="9">
        <v>5956.6216</v>
      </c>
      <c r="E4084" s="10" t="str">
        <f t="array" ref="E4084">IFS(D4084&lt;=$G$3,'calculated data '!$A$3,D4084&lt;=$G$4,'calculated data '!$A$4,D4084&lt;=$G$6,'calculated data '!$A$5,D4084&gt;=$G$6,'calculated data '!$A$6)</f>
        <v>Target Market (Core IQR)</v>
      </c>
      <c r="F4084" s="10">
        <f t="shared" si="1"/>
        <v>-0.5055011847</v>
      </c>
    </row>
    <row r="4085" ht="14.25" customHeight="1">
      <c r="A4085" s="2" t="s">
        <v>281</v>
      </c>
      <c r="B4085" s="2" t="s">
        <v>282</v>
      </c>
      <c r="C4085" s="2">
        <v>1976.0</v>
      </c>
      <c r="D4085" s="9">
        <v>5960.5615</v>
      </c>
      <c r="E4085" s="10" t="str">
        <f t="array" ref="E4085">IFS(D4085&lt;=$G$3,'calculated data '!$A$3,D4085&lt;=$G$4,'calculated data '!$A$4,D4085&lt;=$G$6,'calculated data '!$A$5,D4085&gt;=$G$6,'calculated data '!$A$6)</f>
        <v>Target Market (Core IQR)</v>
      </c>
      <c r="F4085" s="10">
        <f t="shared" si="1"/>
        <v>-0.5053968965</v>
      </c>
    </row>
    <row r="4086" ht="14.25" customHeight="1">
      <c r="A4086" s="2" t="s">
        <v>231</v>
      </c>
      <c r="B4086" s="2" t="s">
        <v>232</v>
      </c>
      <c r="C4086" s="2">
        <v>1981.0</v>
      </c>
      <c r="D4086" s="9">
        <v>5968.8027</v>
      </c>
      <c r="E4086" s="10" t="str">
        <f t="array" ref="E4086">IFS(D4086&lt;=$G$3,'calculated data '!$A$3,D4086&lt;=$G$4,'calculated data '!$A$4,D4086&lt;=$G$6,'calculated data '!$A$5,D4086&gt;=$G$6,'calculated data '!$A$6)</f>
        <v>Target Market (Core IQR)</v>
      </c>
      <c r="F4086" s="10">
        <f t="shared" si="1"/>
        <v>-0.505178754</v>
      </c>
    </row>
    <row r="4087" ht="14.25" customHeight="1">
      <c r="A4087" s="2" t="s">
        <v>223</v>
      </c>
      <c r="B4087" s="2" t="s">
        <v>224</v>
      </c>
      <c r="C4087" s="2">
        <v>2012.0</v>
      </c>
      <c r="D4087" s="9">
        <v>5970.8022</v>
      </c>
      <c r="E4087" s="10" t="str">
        <f t="array" ref="E4087">IFS(D4087&lt;=$G$3,'calculated data '!$A$3,D4087&lt;=$G$4,'calculated data '!$A$4,D4087&lt;=$G$6,'calculated data '!$A$5,D4087&gt;=$G$6,'calculated data '!$A$6)</f>
        <v>Target Market (Core IQR)</v>
      </c>
      <c r="F4087" s="10">
        <f t="shared" si="1"/>
        <v>-0.5051258278</v>
      </c>
    </row>
    <row r="4088" ht="14.25" customHeight="1">
      <c r="A4088" s="2" t="s">
        <v>169</v>
      </c>
      <c r="B4088" s="2" t="s">
        <v>170</v>
      </c>
      <c r="C4088" s="2">
        <v>1996.0</v>
      </c>
      <c r="D4088" s="9">
        <v>5974.5537</v>
      </c>
      <c r="E4088" s="10" t="str">
        <f t="array" ref="E4088">IFS(D4088&lt;=$G$3,'calculated data '!$A$3,D4088&lt;=$G$4,'calculated data '!$A$4,D4088&lt;=$G$6,'calculated data '!$A$5,D4088&gt;=$G$6,'calculated data '!$A$6)</f>
        <v>Target Market (Core IQR)</v>
      </c>
      <c r="F4088" s="10">
        <f t="shared" si="1"/>
        <v>-0.5050265265</v>
      </c>
    </row>
    <row r="4089" ht="14.25" customHeight="1">
      <c r="A4089" s="2" t="s">
        <v>41</v>
      </c>
      <c r="B4089" s="2" t="s">
        <v>42</v>
      </c>
      <c r="C4089" s="2">
        <v>2021.0</v>
      </c>
      <c r="D4089" s="9">
        <v>5979.873</v>
      </c>
      <c r="E4089" s="10" t="str">
        <f t="array" ref="E4089">IFS(D4089&lt;=$G$3,'calculated data '!$A$3,D4089&lt;=$G$4,'calculated data '!$A$4,D4089&lt;=$G$6,'calculated data '!$A$5,D4089&gt;=$G$6,'calculated data '!$A$6)</f>
        <v>Target Market (Core IQR)</v>
      </c>
      <c r="F4089" s="10">
        <f t="shared" si="1"/>
        <v>-0.5048857259</v>
      </c>
    </row>
    <row r="4090" ht="14.25" customHeight="1">
      <c r="A4090" s="2" t="s">
        <v>275</v>
      </c>
      <c r="B4090" s="2" t="s">
        <v>276</v>
      </c>
      <c r="C4090" s="2">
        <v>2012.0</v>
      </c>
      <c r="D4090" s="9">
        <v>5984.5786</v>
      </c>
      <c r="E4090" s="10" t="str">
        <f t="array" ref="E4090">IFS(D4090&lt;=$G$3,'calculated data '!$A$3,D4090&lt;=$G$4,'calculated data '!$A$4,D4090&lt;=$G$6,'calculated data '!$A$5,D4090&gt;=$G$6,'calculated data '!$A$6)</f>
        <v>Target Market (Core IQR)</v>
      </c>
      <c r="F4090" s="10">
        <f t="shared" si="1"/>
        <v>-0.5047611699</v>
      </c>
    </row>
    <row r="4091" ht="14.25" customHeight="1">
      <c r="A4091" s="2" t="s">
        <v>265</v>
      </c>
      <c r="B4091" s="2" t="s">
        <v>266</v>
      </c>
      <c r="C4091" s="2">
        <v>1983.0</v>
      </c>
      <c r="D4091" s="9">
        <v>5986.2593</v>
      </c>
      <c r="E4091" s="10" t="str">
        <f t="array" ref="E4091">IFS(D4091&lt;=$G$3,'calculated data '!$A$3,D4091&lt;=$G$4,'calculated data '!$A$4,D4091&lt;=$G$6,'calculated data '!$A$5,D4091&gt;=$G$6,'calculated data '!$A$6)</f>
        <v>Target Market (Core IQR)</v>
      </c>
      <c r="F4091" s="10">
        <f t="shared" si="1"/>
        <v>-0.5047166822</v>
      </c>
    </row>
    <row r="4092" ht="14.25" customHeight="1">
      <c r="A4092" s="2" t="s">
        <v>225</v>
      </c>
      <c r="B4092" s="2" t="s">
        <v>226</v>
      </c>
      <c r="C4092" s="2">
        <v>2006.0</v>
      </c>
      <c r="D4092" s="9">
        <v>5990.7676</v>
      </c>
      <c r="E4092" s="10" t="str">
        <f t="array" ref="E4092">IFS(D4092&lt;=$G$3,'calculated data '!$A$3,D4092&lt;=$G$4,'calculated data '!$A$4,D4092&lt;=$G$6,'calculated data '!$A$5,D4092&gt;=$G$6,'calculated data '!$A$6)</f>
        <v>Target Market (Core IQR)</v>
      </c>
      <c r="F4092" s="10">
        <f t="shared" si="1"/>
        <v>-0.5045973486</v>
      </c>
    </row>
    <row r="4093" ht="14.25" customHeight="1">
      <c r="A4093" s="2" t="s">
        <v>211</v>
      </c>
      <c r="B4093" s="2" t="s">
        <v>212</v>
      </c>
      <c r="C4093" s="2">
        <v>2014.0</v>
      </c>
      <c r="D4093" s="9">
        <v>5999.3345</v>
      </c>
      <c r="E4093" s="10" t="str">
        <f t="array" ref="E4093">IFS(D4093&lt;=$G$3,'calculated data '!$A$3,D4093&lt;=$G$4,'calculated data '!$A$4,D4093&lt;=$G$6,'calculated data '!$A$5,D4093&gt;=$G$6,'calculated data '!$A$6)</f>
        <v>Target Market (Core IQR)</v>
      </c>
      <c r="F4093" s="10">
        <f t="shared" si="1"/>
        <v>-0.5043705849</v>
      </c>
    </row>
    <row r="4094" ht="14.25" customHeight="1">
      <c r="A4094" s="2" t="s">
        <v>231</v>
      </c>
      <c r="B4094" s="2" t="s">
        <v>232</v>
      </c>
      <c r="C4094" s="2">
        <v>1979.0</v>
      </c>
      <c r="D4094" s="9">
        <v>6000.9116</v>
      </c>
      <c r="E4094" s="10" t="str">
        <f t="array" ref="E4094">IFS(D4094&lt;=$G$3,'calculated data '!$A$3,D4094&lt;=$G$4,'calculated data '!$A$4,D4094&lt;=$G$6,'calculated data '!$A$5,D4094&gt;=$G$6,'calculated data '!$A$6)</f>
        <v>Target Market (Core IQR)</v>
      </c>
      <c r="F4094" s="10">
        <f t="shared" si="1"/>
        <v>-0.5043288394</v>
      </c>
    </row>
    <row r="4095" ht="14.25" customHeight="1">
      <c r="A4095" s="2" t="s">
        <v>51</v>
      </c>
      <c r="B4095" s="2" t="s">
        <v>52</v>
      </c>
      <c r="C4095" s="2">
        <v>2014.0</v>
      </c>
      <c r="D4095" s="9">
        <v>6002.027</v>
      </c>
      <c r="E4095" s="10" t="str">
        <f t="array" ref="E4095">IFS(D4095&lt;=$G$3,'calculated data '!$A$3,D4095&lt;=$G$4,'calculated data '!$A$4,D4095&lt;=$G$6,'calculated data '!$A$5,D4095&gt;=$G$6,'calculated data '!$A$6)</f>
        <v>Target Market (Core IQR)</v>
      </c>
      <c r="F4095" s="10">
        <f t="shared" si="1"/>
        <v>-0.5042993151</v>
      </c>
    </row>
    <row r="4096" ht="14.25" customHeight="1">
      <c r="A4096" s="2" t="s">
        <v>251</v>
      </c>
      <c r="B4096" s="2" t="s">
        <v>252</v>
      </c>
      <c r="C4096" s="2">
        <v>1994.0</v>
      </c>
      <c r="D4096" s="9">
        <v>6007.9385</v>
      </c>
      <c r="E4096" s="10" t="str">
        <f t="array" ref="E4096">IFS(D4096&lt;=$G$3,'calculated data '!$A$3,D4096&lt;=$G$4,'calculated data '!$A$4,D4096&lt;=$G$6,'calculated data '!$A$5,D4096&gt;=$G$6,'calculated data '!$A$6)</f>
        <v>Target Market (Core IQR)</v>
      </c>
      <c r="F4096" s="10">
        <f t="shared" si="1"/>
        <v>-0.5041428392</v>
      </c>
    </row>
    <row r="4097" ht="14.25" customHeight="1">
      <c r="A4097" s="2" t="s">
        <v>275</v>
      </c>
      <c r="B4097" s="2" t="s">
        <v>276</v>
      </c>
      <c r="C4097" s="2">
        <v>1990.0</v>
      </c>
      <c r="D4097" s="9">
        <v>6010.0693</v>
      </c>
      <c r="E4097" s="10" t="str">
        <f t="array" ref="E4097">IFS(D4097&lt;=$G$3,'calculated data '!$A$3,D4097&lt;=$G$4,'calculated data '!$A$4,D4097&lt;=$G$6,'calculated data '!$A$5,D4097&gt;=$G$6,'calculated data '!$A$6)</f>
        <v>Target Market (Core IQR)</v>
      </c>
      <c r="F4097" s="10">
        <f t="shared" si="1"/>
        <v>-0.5040864374</v>
      </c>
    </row>
    <row r="4098" ht="14.25" customHeight="1">
      <c r="A4098" s="2" t="s">
        <v>243</v>
      </c>
      <c r="B4098" s="2" t="s">
        <v>244</v>
      </c>
      <c r="C4098" s="2">
        <v>2003.0</v>
      </c>
      <c r="D4098" s="9">
        <v>6010.2515</v>
      </c>
      <c r="E4098" s="10" t="str">
        <f t="array" ref="E4098">IFS(D4098&lt;=$G$3,'calculated data '!$A$3,D4098&lt;=$G$4,'calculated data '!$A$4,D4098&lt;=$G$6,'calculated data '!$A$5,D4098&gt;=$G$6,'calculated data '!$A$6)</f>
        <v>Target Market (Core IQR)</v>
      </c>
      <c r="F4098" s="10">
        <f t="shared" si="1"/>
        <v>-0.5040816146</v>
      </c>
    </row>
    <row r="4099" ht="14.25" customHeight="1">
      <c r="A4099" s="2" t="s">
        <v>145</v>
      </c>
      <c r="B4099" s="2" t="s">
        <v>146</v>
      </c>
      <c r="C4099" s="2">
        <v>2013.0</v>
      </c>
      <c r="D4099" s="9">
        <v>6010.3486</v>
      </c>
      <c r="E4099" s="10" t="str">
        <f t="array" ref="E4099">IFS(D4099&lt;=$G$3,'calculated data '!$A$3,D4099&lt;=$G$4,'calculated data '!$A$4,D4099&lt;=$G$6,'calculated data '!$A$5,D4099&gt;=$G$6,'calculated data '!$A$6)</f>
        <v>Target Market (Core IQR)</v>
      </c>
      <c r="F4099" s="10">
        <f t="shared" si="1"/>
        <v>-0.5040790444</v>
      </c>
    </row>
    <row r="4100" ht="14.25" customHeight="1">
      <c r="A4100" s="2" t="s">
        <v>275</v>
      </c>
      <c r="B4100" s="2" t="s">
        <v>276</v>
      </c>
      <c r="C4100" s="2">
        <v>2011.0</v>
      </c>
      <c r="D4100" s="9">
        <v>6010.7983</v>
      </c>
      <c r="E4100" s="10" t="str">
        <f t="array" ref="E4100">IFS(D4100&lt;=$G$3,'calculated data '!$A$3,D4100&lt;=$G$4,'calculated data '!$A$4,D4100&lt;=$G$6,'calculated data '!$A$5,D4100&gt;=$G$6,'calculated data '!$A$6)</f>
        <v>Target Market (Core IQR)</v>
      </c>
      <c r="F4100" s="10">
        <f t="shared" si="1"/>
        <v>-0.504067141</v>
      </c>
    </row>
    <row r="4101" ht="14.25" customHeight="1">
      <c r="A4101" s="2" t="s">
        <v>193</v>
      </c>
      <c r="B4101" s="2" t="s">
        <v>194</v>
      </c>
      <c r="C4101" s="2">
        <v>2023.0</v>
      </c>
      <c r="D4101" s="9">
        <v>6022.1016</v>
      </c>
      <c r="E4101" s="10" t="str">
        <f t="array" ref="E4101">IFS(D4101&lt;=$G$3,'calculated data '!$A$3,D4101&lt;=$G$4,'calculated data '!$A$4,D4101&lt;=$G$6,'calculated data '!$A$5,D4101&gt;=$G$6,'calculated data '!$A$6)</f>
        <v>Target Market (Core IQR)</v>
      </c>
      <c r="F4101" s="10">
        <f t="shared" si="1"/>
        <v>-0.5037679454</v>
      </c>
    </row>
    <row r="4102" ht="14.25" customHeight="1">
      <c r="A4102" s="2" t="s">
        <v>169</v>
      </c>
      <c r="B4102" s="2" t="s">
        <v>170</v>
      </c>
      <c r="C4102" s="2">
        <v>1995.0</v>
      </c>
      <c r="D4102" s="9">
        <v>6022.3335</v>
      </c>
      <c r="E4102" s="10" t="str">
        <f t="array" ref="E4102">IFS(D4102&lt;=$G$3,'calculated data '!$A$3,D4102&lt;=$G$4,'calculated data '!$A$4,D4102&lt;=$G$6,'calculated data '!$A$5,D4102&gt;=$G$6,'calculated data '!$A$6)</f>
        <v>Target Market (Core IQR)</v>
      </c>
      <c r="F4102" s="10">
        <f t="shared" si="1"/>
        <v>-0.5037618071</v>
      </c>
    </row>
    <row r="4103" ht="14.25" customHeight="1">
      <c r="A4103" s="2" t="s">
        <v>183</v>
      </c>
      <c r="B4103" s="2" t="s">
        <v>184</v>
      </c>
      <c r="C4103" s="2">
        <v>1991.0</v>
      </c>
      <c r="D4103" s="9">
        <v>6023.754</v>
      </c>
      <c r="E4103" s="10" t="str">
        <f t="array" ref="E4103">IFS(D4103&lt;=$G$3,'calculated data '!$A$3,D4103&lt;=$G$4,'calculated data '!$A$4,D4103&lt;=$G$6,'calculated data '!$A$5,D4103&gt;=$G$6,'calculated data '!$A$6)</f>
        <v>Target Market (Core IQR)</v>
      </c>
      <c r="F4103" s="10">
        <f t="shared" si="1"/>
        <v>-0.5037242068</v>
      </c>
    </row>
    <row r="4104" ht="14.25" customHeight="1">
      <c r="A4104" s="2" t="s">
        <v>227</v>
      </c>
      <c r="B4104" s="2" t="s">
        <v>228</v>
      </c>
      <c r="C4104" s="2">
        <v>1974.0</v>
      </c>
      <c r="D4104" s="9">
        <v>6029.9004</v>
      </c>
      <c r="E4104" s="10" t="str">
        <f t="array" ref="E4104">IFS(D4104&lt;=$G$3,'calculated data '!$A$3,D4104&lt;=$G$4,'calculated data '!$A$4,D4104&lt;=$G$6,'calculated data '!$A$5,D4104&gt;=$G$6,'calculated data '!$A$6)</f>
        <v>Target Market (Core IQR)</v>
      </c>
      <c r="F4104" s="10">
        <f t="shared" si="1"/>
        <v>-0.5035615131</v>
      </c>
    </row>
    <row r="4105" ht="14.25" customHeight="1">
      <c r="A4105" s="2" t="s">
        <v>183</v>
      </c>
      <c r="B4105" s="2" t="s">
        <v>184</v>
      </c>
      <c r="C4105" s="2">
        <v>1993.0</v>
      </c>
      <c r="D4105" s="9">
        <v>6031.447</v>
      </c>
      <c r="E4105" s="10" t="str">
        <f t="array" ref="E4105">IFS(D4105&lt;=$G$3,'calculated data '!$A$3,D4105&lt;=$G$4,'calculated data '!$A$4,D4105&lt;=$G$6,'calculated data '!$A$5,D4105&gt;=$G$6,'calculated data '!$A$6)</f>
        <v>Target Market (Core IQR)</v>
      </c>
      <c r="F4105" s="10">
        <f t="shared" si="1"/>
        <v>-0.503520575</v>
      </c>
    </row>
    <row r="4106" ht="14.25" customHeight="1">
      <c r="A4106" s="2" t="s">
        <v>245</v>
      </c>
      <c r="B4106" s="2" t="s">
        <v>246</v>
      </c>
      <c r="C4106" s="2">
        <v>1997.0</v>
      </c>
      <c r="D4106" s="9">
        <v>6033.0386</v>
      </c>
      <c r="E4106" s="10" t="str">
        <f t="array" ref="E4106">IFS(D4106&lt;=$G$3,'calculated data '!$A$3,D4106&lt;=$G$4,'calculated data '!$A$4,D4106&lt;=$G$6,'calculated data '!$A$5,D4106&gt;=$G$6,'calculated data '!$A$6)</f>
        <v>Target Market (Core IQR)</v>
      </c>
      <c r="F4106" s="10">
        <f t="shared" si="1"/>
        <v>-0.5034784458</v>
      </c>
    </row>
    <row r="4107" ht="14.25" customHeight="1">
      <c r="A4107" s="2" t="s">
        <v>281</v>
      </c>
      <c r="B4107" s="2" t="s">
        <v>282</v>
      </c>
      <c r="C4107" s="2">
        <v>1977.0</v>
      </c>
      <c r="D4107" s="9">
        <v>6033.102</v>
      </c>
      <c r="E4107" s="10" t="str">
        <f t="array" ref="E4107">IFS(D4107&lt;=$G$3,'calculated data '!$A$3,D4107&lt;=$G$4,'calculated data '!$A$4,D4107&lt;=$G$6,'calculated data '!$A$5,D4107&gt;=$G$6,'calculated data '!$A$6)</f>
        <v>Target Market (Core IQR)</v>
      </c>
      <c r="F4107" s="10">
        <f t="shared" si="1"/>
        <v>-0.5034767676</v>
      </c>
    </row>
    <row r="4108" ht="14.25" customHeight="1">
      <c r="A4108" s="2" t="s">
        <v>251</v>
      </c>
      <c r="B4108" s="2" t="s">
        <v>252</v>
      </c>
      <c r="C4108" s="2">
        <v>1993.0</v>
      </c>
      <c r="D4108" s="9">
        <v>6033.274</v>
      </c>
      <c r="E4108" s="10" t="str">
        <f t="array" ref="E4108">IFS(D4108&lt;=$G$3,'calculated data '!$A$3,D4108&lt;=$G$4,'calculated data '!$A$4,D4108&lt;=$G$6,'calculated data '!$A$5,D4108&gt;=$G$6,'calculated data '!$A$6)</f>
        <v>Target Market (Core IQR)</v>
      </c>
      <c r="F4108" s="10">
        <f t="shared" si="1"/>
        <v>-0.5034722148</v>
      </c>
    </row>
    <row r="4109" ht="14.25" customHeight="1">
      <c r="A4109" s="2" t="s">
        <v>111</v>
      </c>
      <c r="B4109" s="2" t="s">
        <v>112</v>
      </c>
      <c r="C4109" s="2">
        <v>2006.0</v>
      </c>
      <c r="D4109" s="9">
        <v>6039.8145</v>
      </c>
      <c r="E4109" s="10" t="str">
        <f t="array" ref="E4109">IFS(D4109&lt;=$G$3,'calculated data '!$A$3,D4109&lt;=$G$4,'calculated data '!$A$4,D4109&lt;=$G$6,'calculated data '!$A$5,D4109&gt;=$G$6,'calculated data '!$A$6)</f>
        <v>Target Market (Core IQR)</v>
      </c>
      <c r="F4109" s="10">
        <f t="shared" si="1"/>
        <v>-0.5032990894</v>
      </c>
    </row>
    <row r="4110" ht="14.25" customHeight="1">
      <c r="A4110" s="2" t="s">
        <v>263</v>
      </c>
      <c r="B4110" s="2" t="s">
        <v>264</v>
      </c>
      <c r="C4110" s="2">
        <v>1996.0</v>
      </c>
      <c r="D4110" s="9">
        <v>6045.41</v>
      </c>
      <c r="E4110" s="10" t="str">
        <f t="array" ref="E4110">IFS(D4110&lt;=$G$3,'calculated data '!$A$3,D4110&lt;=$G$4,'calculated data '!$A$4,D4110&lt;=$G$6,'calculated data '!$A$5,D4110&gt;=$G$6,'calculated data '!$A$6)</f>
        <v>Target Market (Core IQR)</v>
      </c>
      <c r="F4110" s="10">
        <f t="shared" si="1"/>
        <v>-0.5031509779</v>
      </c>
    </row>
    <row r="4111" ht="14.25" customHeight="1">
      <c r="A4111" s="2" t="s">
        <v>275</v>
      </c>
      <c r="B4111" s="2" t="s">
        <v>276</v>
      </c>
      <c r="C4111" s="2">
        <v>1986.0</v>
      </c>
      <c r="D4111" s="9">
        <v>6048.629</v>
      </c>
      <c r="E4111" s="10" t="str">
        <f t="array" ref="E4111">IFS(D4111&lt;=$G$3,'calculated data '!$A$3,D4111&lt;=$G$4,'calculated data '!$A$4,D4111&lt;=$G$6,'calculated data '!$A$5,D4111&gt;=$G$6,'calculated data '!$A$6)</f>
        <v>Target Market (Core IQR)</v>
      </c>
      <c r="F4111" s="10">
        <f t="shared" si="1"/>
        <v>-0.5030657718</v>
      </c>
    </row>
    <row r="4112" ht="14.25" customHeight="1">
      <c r="A4112" s="2" t="s">
        <v>243</v>
      </c>
      <c r="B4112" s="2" t="s">
        <v>244</v>
      </c>
      <c r="C4112" s="2">
        <v>1999.0</v>
      </c>
      <c r="D4112" s="9">
        <v>6051.055</v>
      </c>
      <c r="E4112" s="10" t="str">
        <f t="array" ref="E4112">IFS(D4112&lt;=$G$3,'calculated data '!$A$3,D4112&lt;=$G$4,'calculated data '!$A$4,D4112&lt;=$G$6,'calculated data '!$A$5,D4112&gt;=$G$6,'calculated data '!$A$6)</f>
        <v>Target Market (Core IQR)</v>
      </c>
      <c r="F4112" s="10">
        <f t="shared" si="1"/>
        <v>-0.5030015561</v>
      </c>
    </row>
    <row r="4113" ht="14.25" customHeight="1">
      <c r="A4113" s="2" t="s">
        <v>185</v>
      </c>
      <c r="B4113" s="2" t="s">
        <v>186</v>
      </c>
      <c r="C4113" s="2">
        <v>1999.0</v>
      </c>
      <c r="D4113" s="9">
        <v>6052.2686</v>
      </c>
      <c r="E4113" s="10" t="str">
        <f t="array" ref="E4113">IFS(D4113&lt;=$G$3,'calculated data '!$A$3,D4113&lt;=$G$4,'calculated data '!$A$4,D4113&lt;=$G$6,'calculated data '!$A$5,D4113&gt;=$G$6,'calculated data '!$A$6)</f>
        <v>Target Market (Core IQR)</v>
      </c>
      <c r="F4113" s="10">
        <f t="shared" si="1"/>
        <v>-0.5029694324</v>
      </c>
    </row>
    <row r="4114" ht="14.25" customHeight="1">
      <c r="A4114" s="2" t="s">
        <v>223</v>
      </c>
      <c r="B4114" s="2" t="s">
        <v>224</v>
      </c>
      <c r="C4114" s="2">
        <v>2010.0</v>
      </c>
      <c r="D4114" s="9">
        <v>6052.4414</v>
      </c>
      <c r="E4114" s="10" t="str">
        <f t="array" ref="E4114">IFS(D4114&lt;=$G$3,'calculated data '!$A$3,D4114&lt;=$G$4,'calculated data '!$A$4,D4114&lt;=$G$6,'calculated data '!$A$5,D4114&gt;=$G$6,'calculated data '!$A$6)</f>
        <v>Target Market (Core IQR)</v>
      </c>
      <c r="F4114" s="10">
        <f t="shared" si="1"/>
        <v>-0.5029648585</v>
      </c>
    </row>
    <row r="4115" ht="14.25" customHeight="1">
      <c r="A4115" s="2" t="s">
        <v>223</v>
      </c>
      <c r="B4115" s="2" t="s">
        <v>224</v>
      </c>
      <c r="C4115" s="2">
        <v>2011.0</v>
      </c>
      <c r="D4115" s="9">
        <v>6054.305</v>
      </c>
      <c r="E4115" s="10" t="str">
        <f t="array" ref="E4115">IFS(D4115&lt;=$G$3,'calculated data '!$A$3,D4115&lt;=$G$4,'calculated data '!$A$4,D4115&lt;=$G$6,'calculated data '!$A$5,D4115&gt;=$G$6,'calculated data '!$A$6)</f>
        <v>Target Market (Core IQR)</v>
      </c>
      <c r="F4115" s="10">
        <f t="shared" si="1"/>
        <v>-0.5029155294</v>
      </c>
    </row>
    <row r="4116" ht="14.25" customHeight="1">
      <c r="A4116" s="2" t="s">
        <v>205</v>
      </c>
      <c r="B4116" s="2" t="s">
        <v>206</v>
      </c>
      <c r="C4116" s="2">
        <v>1984.0</v>
      </c>
      <c r="D4116" s="9">
        <v>6056.506</v>
      </c>
      <c r="E4116" s="10" t="str">
        <f t="array" ref="E4116">IFS(D4116&lt;=$G$3,'calculated data '!$A$3,D4116&lt;=$G$4,'calculated data '!$A$4,D4116&lt;=$G$6,'calculated data '!$A$5,D4116&gt;=$G$6,'calculated data '!$A$6)</f>
        <v>Target Market (Core IQR)</v>
      </c>
      <c r="F4116" s="10">
        <f t="shared" si="1"/>
        <v>-0.5028572695</v>
      </c>
    </row>
    <row r="4117" ht="14.25" customHeight="1">
      <c r="A4117" s="2" t="s">
        <v>165</v>
      </c>
      <c r="B4117" s="2" t="s">
        <v>166</v>
      </c>
      <c r="C4117" s="2">
        <v>2017.0</v>
      </c>
      <c r="D4117" s="9">
        <v>6057.84</v>
      </c>
      <c r="E4117" s="10" t="str">
        <f t="array" ref="E4117">IFS(D4117&lt;=$G$3,'calculated data '!$A$3,D4117&lt;=$G$4,'calculated data '!$A$4,D4117&lt;=$G$6,'calculated data '!$A$5,D4117&gt;=$G$6,'calculated data '!$A$6)</f>
        <v>Target Market (Core IQR)</v>
      </c>
      <c r="F4117" s="10">
        <f t="shared" si="1"/>
        <v>-0.5028219589</v>
      </c>
    </row>
    <row r="4118" ht="14.25" customHeight="1">
      <c r="A4118" s="2" t="s">
        <v>41</v>
      </c>
      <c r="B4118" s="2" t="s">
        <v>42</v>
      </c>
      <c r="C4118" s="2">
        <v>2022.0</v>
      </c>
      <c r="D4118" s="9">
        <v>6059.8916</v>
      </c>
      <c r="E4118" s="10" t="str">
        <f t="array" ref="E4118">IFS(D4118&lt;=$G$3,'calculated data '!$A$3,D4118&lt;=$G$4,'calculated data '!$A$4,D4118&lt;=$G$6,'calculated data '!$A$5,D4118&gt;=$G$6,'calculated data '!$A$6)</f>
        <v>Target Market (Core IQR)</v>
      </c>
      <c r="F4118" s="10">
        <f t="shared" si="1"/>
        <v>-0.5027676535</v>
      </c>
    </row>
    <row r="4119" ht="14.25" customHeight="1">
      <c r="A4119" s="2" t="s">
        <v>265</v>
      </c>
      <c r="B4119" s="2" t="s">
        <v>266</v>
      </c>
      <c r="C4119" s="2">
        <v>1985.0</v>
      </c>
      <c r="D4119" s="9">
        <v>6061.115</v>
      </c>
      <c r="E4119" s="10" t="str">
        <f t="array" ref="E4119">IFS(D4119&lt;=$G$3,'calculated data '!$A$3,D4119&lt;=$G$4,'calculated data '!$A$4,D4119&lt;=$G$6,'calculated data '!$A$5,D4119&gt;=$G$6,'calculated data '!$A$6)</f>
        <v>Target Market (Core IQR)</v>
      </c>
      <c r="F4119" s="10">
        <f t="shared" si="1"/>
        <v>-0.5027352704</v>
      </c>
    </row>
    <row r="4120" ht="14.25" customHeight="1">
      <c r="A4120" s="2" t="s">
        <v>185</v>
      </c>
      <c r="B4120" s="2" t="s">
        <v>186</v>
      </c>
      <c r="C4120" s="2">
        <v>1998.0</v>
      </c>
      <c r="D4120" s="9">
        <v>6062.317</v>
      </c>
      <c r="E4120" s="10" t="str">
        <f t="array" ref="E4120">IFS(D4120&lt;=$G$3,'calculated data '!$A$3,D4120&lt;=$G$4,'calculated data '!$A$4,D4120&lt;=$G$6,'calculated data '!$A$5,D4120&gt;=$G$6,'calculated data '!$A$6)</f>
        <v>Target Market (Core IQR)</v>
      </c>
      <c r="F4120" s="10">
        <f t="shared" si="1"/>
        <v>-0.5027034538</v>
      </c>
    </row>
    <row r="4121" ht="14.25" customHeight="1">
      <c r="A4121" s="2" t="s">
        <v>275</v>
      </c>
      <c r="B4121" s="2" t="s">
        <v>276</v>
      </c>
      <c r="C4121" s="2">
        <v>1995.0</v>
      </c>
      <c r="D4121" s="9">
        <v>6064.011</v>
      </c>
      <c r="E4121" s="10" t="str">
        <f t="array" ref="E4121">IFS(D4121&lt;=$G$3,'calculated data '!$A$3,D4121&lt;=$G$4,'calculated data '!$A$4,D4121&lt;=$G$6,'calculated data '!$A$5,D4121&gt;=$G$6,'calculated data '!$A$6)</f>
        <v>Target Market (Core IQR)</v>
      </c>
      <c r="F4121" s="10">
        <f t="shared" si="1"/>
        <v>-0.502658614</v>
      </c>
    </row>
    <row r="4122" ht="14.25" customHeight="1">
      <c r="A4122" s="2" t="s">
        <v>133</v>
      </c>
      <c r="B4122" s="2" t="s">
        <v>134</v>
      </c>
      <c r="C4122" s="2">
        <v>2013.0</v>
      </c>
      <c r="D4122" s="9">
        <v>6072.122</v>
      </c>
      <c r="E4122" s="10" t="str">
        <f t="array" ref="E4122">IFS(D4122&lt;=$G$3,'calculated data '!$A$3,D4122&lt;=$G$4,'calculated data '!$A$4,D4122&lt;=$G$6,'calculated data '!$A$5,D4122&gt;=$G$6,'calculated data '!$A$6)</f>
        <v>Target Market (Core IQR)</v>
      </c>
      <c r="F4122" s="10">
        <f t="shared" si="1"/>
        <v>-0.5024439179</v>
      </c>
    </row>
    <row r="4123" ht="14.25" customHeight="1">
      <c r="A4123" s="2" t="s">
        <v>289</v>
      </c>
      <c r="B4123" s="2" t="s">
        <v>290</v>
      </c>
      <c r="C4123" s="2">
        <v>1981.0</v>
      </c>
      <c r="D4123" s="9">
        <v>6074.138</v>
      </c>
      <c r="E4123" s="10" t="str">
        <f t="array" ref="E4123">IFS(D4123&lt;=$G$3,'calculated data '!$A$3,D4123&lt;=$G$4,'calculated data '!$A$4,D4123&lt;=$G$6,'calculated data '!$A$5,D4123&gt;=$G$6,'calculated data '!$A$6)</f>
        <v>Target Market (Core IQR)</v>
      </c>
      <c r="F4123" s="10">
        <f t="shared" si="1"/>
        <v>-0.5023905549</v>
      </c>
    </row>
    <row r="4124" ht="14.25" customHeight="1">
      <c r="A4124" s="2" t="s">
        <v>205</v>
      </c>
      <c r="B4124" s="2" t="s">
        <v>206</v>
      </c>
      <c r="C4124" s="2">
        <v>1992.0</v>
      </c>
      <c r="D4124" s="9">
        <v>6074.228</v>
      </c>
      <c r="E4124" s="10" t="str">
        <f t="array" ref="E4124">IFS(D4124&lt;=$G$3,'calculated data '!$A$3,D4124&lt;=$G$4,'calculated data '!$A$4,D4124&lt;=$G$6,'calculated data '!$A$5,D4124&gt;=$G$6,'calculated data '!$A$6)</f>
        <v>Target Market (Core IQR)</v>
      </c>
      <c r="F4124" s="10">
        <f t="shared" si="1"/>
        <v>-0.5023881726</v>
      </c>
    </row>
    <row r="4125" ht="14.25" customHeight="1">
      <c r="A4125" s="2" t="s">
        <v>159</v>
      </c>
      <c r="B4125" s="2" t="s">
        <v>160</v>
      </c>
      <c r="C4125" s="2">
        <v>2011.0</v>
      </c>
      <c r="D4125" s="9">
        <v>6076.7983</v>
      </c>
      <c r="E4125" s="10" t="str">
        <f t="array" ref="E4125">IFS(D4125&lt;=$G$3,'calculated data '!$A$3,D4125&lt;=$G$4,'calculated data '!$A$4,D4125&lt;=$G$6,'calculated data '!$A$5,D4125&gt;=$G$6,'calculated data '!$A$6)</f>
        <v>Target Market (Core IQR)</v>
      </c>
      <c r="F4125" s="10">
        <f t="shared" si="1"/>
        <v>-0.5023201374</v>
      </c>
    </row>
    <row r="4126" ht="14.25" customHeight="1">
      <c r="A4126" s="2" t="s">
        <v>41</v>
      </c>
      <c r="B4126" s="2" t="s">
        <v>42</v>
      </c>
      <c r="C4126" s="2">
        <v>2023.0</v>
      </c>
      <c r="D4126" s="9">
        <v>6079.9126</v>
      </c>
      <c r="E4126" s="10" t="str">
        <f t="array" ref="E4126">IFS(D4126&lt;=$G$3,'calculated data '!$A$3,D4126&lt;=$G$4,'calculated data '!$A$4,D4126&lt;=$G$6,'calculated data '!$A$5,D4126&gt;=$G$6,'calculated data '!$A$6)</f>
        <v>Target Market (Core IQR)</v>
      </c>
      <c r="F4126" s="10">
        <f t="shared" si="1"/>
        <v>-0.5022377027</v>
      </c>
    </row>
    <row r="4127" ht="14.25" customHeight="1">
      <c r="A4127" s="2" t="s">
        <v>265</v>
      </c>
      <c r="B4127" s="2" t="s">
        <v>266</v>
      </c>
      <c r="C4127" s="2">
        <v>1989.0</v>
      </c>
      <c r="D4127" s="9">
        <v>6081.8115</v>
      </c>
      <c r="E4127" s="10" t="str">
        <f t="array" ref="E4127">IFS(D4127&lt;=$G$3,'calculated data '!$A$3,D4127&lt;=$G$4,'calculated data '!$A$4,D4127&lt;=$G$6,'calculated data '!$A$5,D4127&gt;=$G$6,'calculated data '!$A$6)</f>
        <v>Target Market (Core IQR)</v>
      </c>
      <c r="F4127" s="10">
        <f t="shared" si="1"/>
        <v>-0.5021874392</v>
      </c>
    </row>
    <row r="4128" ht="14.25" customHeight="1">
      <c r="A4128" s="2" t="s">
        <v>231</v>
      </c>
      <c r="B4128" s="2" t="s">
        <v>232</v>
      </c>
      <c r="C4128" s="2">
        <v>1980.0</v>
      </c>
      <c r="D4128" s="9">
        <v>6084.004</v>
      </c>
      <c r="E4128" s="10" t="str">
        <f t="array" ref="E4128">IFS(D4128&lt;=$G$3,'calculated data '!$A$3,D4128&lt;=$G$4,'calculated data '!$A$4,D4128&lt;=$G$6,'calculated data '!$A$5,D4128&gt;=$G$6,'calculated data '!$A$6)</f>
        <v>Target Market (Core IQR)</v>
      </c>
      <c r="F4128" s="10">
        <f t="shared" si="1"/>
        <v>-0.5021294043</v>
      </c>
    </row>
    <row r="4129" ht="14.25" customHeight="1">
      <c r="A4129" s="2" t="s">
        <v>203</v>
      </c>
      <c r="B4129" s="2" t="s">
        <v>204</v>
      </c>
      <c r="C4129" s="2">
        <v>1993.0</v>
      </c>
      <c r="D4129" s="9">
        <v>6084.1255</v>
      </c>
      <c r="E4129" s="10" t="str">
        <f t="array" ref="E4129">IFS(D4129&lt;=$G$3,'calculated data '!$A$3,D4129&lt;=$G$4,'calculated data '!$A$4,D4129&lt;=$G$6,'calculated data '!$A$5,D4129&gt;=$G$6,'calculated data '!$A$6)</f>
        <v>Target Market (Core IQR)</v>
      </c>
      <c r="F4129" s="10">
        <f t="shared" si="1"/>
        <v>-0.5021261882</v>
      </c>
    </row>
    <row r="4130" ht="14.25" customHeight="1">
      <c r="A4130" s="2" t="s">
        <v>51</v>
      </c>
      <c r="B4130" s="2" t="s">
        <v>52</v>
      </c>
      <c r="C4130" s="2">
        <v>2013.0</v>
      </c>
      <c r="D4130" s="9">
        <v>6086.9614</v>
      </c>
      <c r="E4130" s="10" t="str">
        <f t="array" ref="E4130">IFS(D4130&lt;=$G$3,'calculated data '!$A$3,D4130&lt;=$G$4,'calculated data '!$A$4,D4130&lt;=$G$6,'calculated data '!$A$5,D4130&gt;=$G$6,'calculated data '!$A$6)</f>
        <v>Target Market (Core IQR)</v>
      </c>
      <c r="F4130" s="10">
        <f t="shared" si="1"/>
        <v>-0.5020511227</v>
      </c>
    </row>
    <row r="4131" ht="14.25" customHeight="1">
      <c r="A4131" s="2" t="s">
        <v>57</v>
      </c>
      <c r="B4131" s="2" t="s">
        <v>58</v>
      </c>
      <c r="C4131" s="2">
        <v>1930.0</v>
      </c>
      <c r="D4131" s="9">
        <v>6088.9473</v>
      </c>
      <c r="E4131" s="10" t="str">
        <f t="array" ref="E4131">IFS(D4131&lt;=$G$3,'calculated data '!$A$3,D4131&lt;=$G$4,'calculated data '!$A$4,D4131&lt;=$G$6,'calculated data '!$A$5,D4131&gt;=$G$6,'calculated data '!$A$6)</f>
        <v>Target Market (Core IQR)</v>
      </c>
      <c r="F4131" s="10">
        <f t="shared" si="1"/>
        <v>-0.5019985564</v>
      </c>
    </row>
    <row r="4132" ht="14.25" customHeight="1">
      <c r="A4132" s="2" t="s">
        <v>41</v>
      </c>
      <c r="B4132" s="2" t="s">
        <v>42</v>
      </c>
      <c r="C4132" s="2">
        <v>2020.0</v>
      </c>
      <c r="D4132" s="9">
        <v>6090.1875</v>
      </c>
      <c r="E4132" s="10" t="str">
        <f t="array" ref="E4132">IFS(D4132&lt;=$G$3,'calculated data '!$A$3,D4132&lt;=$G$4,'calculated data '!$A$4,D4132&lt;=$G$6,'calculated data '!$A$5,D4132&gt;=$G$6,'calculated data '!$A$6)</f>
        <v>Target Market (Core IQR)</v>
      </c>
      <c r="F4132" s="10">
        <f t="shared" si="1"/>
        <v>-0.5019657286</v>
      </c>
    </row>
    <row r="4133" ht="14.25" customHeight="1">
      <c r="A4133" s="2" t="s">
        <v>195</v>
      </c>
      <c r="B4133" s="2" t="s">
        <v>196</v>
      </c>
      <c r="C4133" s="2">
        <v>2004.0</v>
      </c>
      <c r="D4133" s="9">
        <v>6092.892</v>
      </c>
      <c r="E4133" s="10" t="str">
        <f t="array" ref="E4133">IFS(D4133&lt;=$G$3,'calculated data '!$A$3,D4133&lt;=$G$4,'calculated data '!$A$4,D4133&lt;=$G$6,'calculated data '!$A$5,D4133&gt;=$G$6,'calculated data '!$A$6)</f>
        <v>Target Market (Core IQR)</v>
      </c>
      <c r="F4133" s="10">
        <f t="shared" si="1"/>
        <v>-0.5018941412</v>
      </c>
    </row>
    <row r="4134" ht="14.25" customHeight="1">
      <c r="A4134" s="2" t="s">
        <v>293</v>
      </c>
      <c r="B4134" s="2" t="s">
        <v>294</v>
      </c>
      <c r="C4134" s="2">
        <v>1986.0</v>
      </c>
      <c r="D4134" s="9">
        <v>6099.9517</v>
      </c>
      <c r="E4134" s="10" t="str">
        <f t="array" ref="E4134">IFS(D4134&lt;=$G$3,'calculated data '!$A$3,D4134&lt;=$G$4,'calculated data '!$A$4,D4134&lt;=$G$6,'calculated data '!$A$5,D4134&gt;=$G$6,'calculated data '!$A$6)</f>
        <v>Target Market (Core IQR)</v>
      </c>
      <c r="F4134" s="10">
        <f t="shared" si="1"/>
        <v>-0.5017072727</v>
      </c>
    </row>
    <row r="4135" ht="14.25" customHeight="1">
      <c r="A4135" s="2" t="s">
        <v>169</v>
      </c>
      <c r="B4135" s="2" t="s">
        <v>170</v>
      </c>
      <c r="C4135" s="2">
        <v>1994.0</v>
      </c>
      <c r="D4135" s="9">
        <v>6100.0557</v>
      </c>
      <c r="E4135" s="10" t="str">
        <f t="array" ref="E4135">IFS(D4135&lt;=$G$3,'calculated data '!$A$3,D4135&lt;=$G$4,'calculated data '!$A$4,D4135&lt;=$G$6,'calculated data '!$A$5,D4135&gt;=$G$6,'calculated data '!$A$6)</f>
        <v>Target Market (Core IQR)</v>
      </c>
      <c r="F4135" s="10">
        <f t="shared" si="1"/>
        <v>-0.5017045198</v>
      </c>
    </row>
    <row r="4136" ht="14.25" customHeight="1">
      <c r="A4136" s="2" t="s">
        <v>205</v>
      </c>
      <c r="B4136" s="2" t="s">
        <v>206</v>
      </c>
      <c r="C4136" s="2">
        <v>1994.0</v>
      </c>
      <c r="D4136" s="9">
        <v>6101.4126</v>
      </c>
      <c r="E4136" s="10" t="str">
        <f t="array" ref="E4136">IFS(D4136&lt;=$G$3,'calculated data '!$A$3,D4136&lt;=$G$4,'calculated data '!$A$4,D4136&lt;=$G$6,'calculated data '!$A$5,D4136&gt;=$G$6,'calculated data '!$A$6)</f>
        <v>Target Market (Core IQR)</v>
      </c>
      <c r="F4136" s="10">
        <f t="shared" si="1"/>
        <v>-0.501668603</v>
      </c>
    </row>
    <row r="4137" ht="14.25" customHeight="1">
      <c r="A4137" s="2" t="s">
        <v>205</v>
      </c>
      <c r="B4137" s="2" t="s">
        <v>206</v>
      </c>
      <c r="C4137" s="2">
        <v>1986.0</v>
      </c>
      <c r="D4137" s="9">
        <v>6105.7476</v>
      </c>
      <c r="E4137" s="10" t="str">
        <f t="array" ref="E4137">IFS(D4137&lt;=$G$3,'calculated data '!$A$3,D4137&lt;=$G$4,'calculated data '!$A$4,D4137&lt;=$G$6,'calculated data '!$A$5,D4137&gt;=$G$6,'calculated data '!$A$6)</f>
        <v>Target Market (Core IQR)</v>
      </c>
      <c r="F4137" s="10">
        <f t="shared" si="1"/>
        <v>-0.5015538566</v>
      </c>
    </row>
    <row r="4138" ht="14.25" customHeight="1">
      <c r="A4138" s="2" t="s">
        <v>223</v>
      </c>
      <c r="B4138" s="2" t="s">
        <v>224</v>
      </c>
      <c r="C4138" s="2">
        <v>2009.0</v>
      </c>
      <c r="D4138" s="9">
        <v>6106.59</v>
      </c>
      <c r="E4138" s="10" t="str">
        <f t="array" ref="E4138">IFS(D4138&lt;=$G$3,'calculated data '!$A$3,D4138&lt;=$G$4,'calculated data '!$A$4,D4138&lt;=$G$6,'calculated data '!$A$5,D4138&gt;=$G$6,'calculated data '!$A$6)</f>
        <v>Target Market (Core IQR)</v>
      </c>
      <c r="F4138" s="10">
        <f t="shared" si="1"/>
        <v>-0.5015315585</v>
      </c>
    </row>
    <row r="4139" ht="14.25" customHeight="1">
      <c r="A4139" s="2" t="s">
        <v>223</v>
      </c>
      <c r="B4139" s="2" t="s">
        <v>224</v>
      </c>
      <c r="C4139" s="2">
        <v>2021.0</v>
      </c>
      <c r="D4139" s="9">
        <v>6107.9785</v>
      </c>
      <c r="E4139" s="10" t="str">
        <f t="array" ref="E4139">IFS(D4139&lt;=$G$3,'calculated data '!$A$3,D4139&lt;=$G$4,'calculated data '!$A$4,D4139&lt;=$G$6,'calculated data '!$A$5,D4139&gt;=$G$6,'calculated data '!$A$6)</f>
        <v>Target Market (Core IQR)</v>
      </c>
      <c r="F4139" s="10">
        <f t="shared" si="1"/>
        <v>-0.5014948053</v>
      </c>
    </row>
    <row r="4140" ht="14.25" customHeight="1">
      <c r="A4140" s="2" t="s">
        <v>287</v>
      </c>
      <c r="B4140" s="2" t="s">
        <v>288</v>
      </c>
      <c r="C4140" s="2">
        <v>1989.0</v>
      </c>
      <c r="D4140" s="9">
        <v>6110.92</v>
      </c>
      <c r="E4140" s="10" t="str">
        <f t="array" ref="E4140">IFS(D4140&lt;=$G$3,'calculated data '!$A$3,D4140&lt;=$G$4,'calculated data '!$A$4,D4140&lt;=$G$6,'calculated data '!$A$5,D4140&gt;=$G$6,'calculated data '!$A$6)</f>
        <v>Target Market (Core IQR)</v>
      </c>
      <c r="F4140" s="10">
        <f t="shared" si="1"/>
        <v>-0.5014169445</v>
      </c>
    </row>
    <row r="4141" ht="14.25" customHeight="1">
      <c r="A4141" s="2" t="s">
        <v>269</v>
      </c>
      <c r="B4141" s="2" t="s">
        <v>270</v>
      </c>
      <c r="C4141" s="2">
        <v>2016.0</v>
      </c>
      <c r="D4141" s="9">
        <v>6111.2734</v>
      </c>
      <c r="E4141" s="10" t="str">
        <f t="array" ref="E4141">IFS(D4141&lt;=$G$3,'calculated data '!$A$3,D4141&lt;=$G$4,'calculated data '!$A$4,D4141&lt;=$G$6,'calculated data '!$A$5,D4141&gt;=$G$6,'calculated data '!$A$6)</f>
        <v>Target Market (Core IQR)</v>
      </c>
      <c r="F4141" s="10">
        <f t="shared" si="1"/>
        <v>-0.5014075901</v>
      </c>
    </row>
    <row r="4142" ht="14.25" customHeight="1">
      <c r="A4142" s="2" t="s">
        <v>281</v>
      </c>
      <c r="B4142" s="2" t="s">
        <v>282</v>
      </c>
      <c r="C4142" s="2">
        <v>1978.0</v>
      </c>
      <c r="D4142" s="9">
        <v>6113.334</v>
      </c>
      <c r="E4142" s="10" t="str">
        <f t="array" ref="E4142">IFS(D4142&lt;=$G$3,'calculated data '!$A$3,D4142&lt;=$G$4,'calculated data '!$A$4,D4142&lt;=$G$6,'calculated data '!$A$5,D4142&gt;=$G$6,'calculated data '!$A$6)</f>
        <v>Target Market (Core IQR)</v>
      </c>
      <c r="F4142" s="10">
        <f t="shared" si="1"/>
        <v>-0.5013530465</v>
      </c>
    </row>
    <row r="4143" ht="14.25" customHeight="1">
      <c r="A4143" s="2" t="s">
        <v>275</v>
      </c>
      <c r="B4143" s="2" t="s">
        <v>276</v>
      </c>
      <c r="C4143" s="2">
        <v>1997.0</v>
      </c>
      <c r="D4143" s="9">
        <v>6114.988</v>
      </c>
      <c r="E4143" s="10" t="str">
        <f t="array" ref="E4143">IFS(D4143&lt;=$G$3,'calculated data '!$A$3,D4143&lt;=$G$4,'calculated data '!$A$4,D4143&lt;=$G$6,'calculated data '!$A$5,D4143&gt;=$G$6,'calculated data '!$A$6)</f>
        <v>Target Market (Core IQR)</v>
      </c>
      <c r="F4143" s="10">
        <f t="shared" si="1"/>
        <v>-0.5013092656</v>
      </c>
    </row>
    <row r="4144" ht="14.25" customHeight="1">
      <c r="A4144" s="2" t="s">
        <v>279</v>
      </c>
      <c r="B4144" s="2" t="s">
        <v>280</v>
      </c>
      <c r="C4144" s="2">
        <v>1968.0</v>
      </c>
      <c r="D4144" s="9">
        <v>6116.238</v>
      </c>
      <c r="E4144" s="10" t="str">
        <f t="array" ref="E4144">IFS(D4144&lt;=$G$3,'calculated data '!$A$3,D4144&lt;=$G$4,'calculated data '!$A$4,D4144&lt;=$G$6,'calculated data '!$A$5,D4144&gt;=$G$6,'calculated data '!$A$6)</f>
        <v>Target Market (Core IQR)</v>
      </c>
      <c r="F4144" s="10">
        <f t="shared" si="1"/>
        <v>-0.5012761784</v>
      </c>
    </row>
    <row r="4145" ht="14.25" customHeight="1">
      <c r="A4145" s="2" t="s">
        <v>193</v>
      </c>
      <c r="B4145" s="2" t="s">
        <v>194</v>
      </c>
      <c r="C4145" s="2">
        <v>2025.0</v>
      </c>
      <c r="D4145" s="9">
        <v>6121.9565</v>
      </c>
      <c r="E4145" s="10" t="str">
        <f t="array" ref="E4145">IFS(D4145&lt;=$G$3,'calculated data '!$A$3,D4145&lt;=$G$4,'calculated data '!$A$4,D4145&lt;=$G$6,'calculated data '!$A$5,D4145&gt;=$G$6,'calculated data '!$A$6)</f>
        <v>Target Market (Core IQR)</v>
      </c>
      <c r="F4145" s="10">
        <f t="shared" si="1"/>
        <v>-0.5011248111</v>
      </c>
    </row>
    <row r="4146" ht="14.25" customHeight="1">
      <c r="A4146" s="2" t="s">
        <v>281</v>
      </c>
      <c r="B4146" s="2" t="s">
        <v>282</v>
      </c>
      <c r="C4146" s="2">
        <v>1990.0</v>
      </c>
      <c r="D4146" s="9">
        <v>6122.9136</v>
      </c>
      <c r="E4146" s="10" t="str">
        <f t="array" ref="E4146">IFS(D4146&lt;=$G$3,'calculated data '!$A$3,D4146&lt;=$G$4,'calculated data '!$A$4,D4146&lt;=$G$6,'calculated data '!$A$5,D4146&gt;=$G$6,'calculated data '!$A$6)</f>
        <v>Target Market (Core IQR)</v>
      </c>
      <c r="F4146" s="10">
        <f t="shared" si="1"/>
        <v>-0.5010994769</v>
      </c>
    </row>
    <row r="4147" ht="14.25" customHeight="1">
      <c r="A4147" s="2" t="s">
        <v>159</v>
      </c>
      <c r="B4147" s="2" t="s">
        <v>160</v>
      </c>
      <c r="C4147" s="2">
        <v>2012.0</v>
      </c>
      <c r="D4147" s="9">
        <v>6125.346</v>
      </c>
      <c r="E4147" s="10" t="str">
        <f t="array" ref="E4147">IFS(D4147&lt;=$G$3,'calculated data '!$A$3,D4147&lt;=$G$4,'calculated data '!$A$4,D4147&lt;=$G$6,'calculated data '!$A$5,D4147&gt;=$G$6,'calculated data '!$A$6)</f>
        <v>Target Market (Core IQR)</v>
      </c>
      <c r="F4147" s="10">
        <f t="shared" si="1"/>
        <v>-0.5010350919</v>
      </c>
    </row>
    <row r="4148" ht="14.25" customHeight="1">
      <c r="A4148" s="2" t="s">
        <v>265</v>
      </c>
      <c r="B4148" s="2" t="s">
        <v>266</v>
      </c>
      <c r="C4148" s="2">
        <v>1982.0</v>
      </c>
      <c r="D4148" s="9">
        <v>6128.2915</v>
      </c>
      <c r="E4148" s="10" t="str">
        <f t="array" ref="E4148">IFS(D4148&lt;=$G$3,'calculated data '!$A$3,D4148&lt;=$G$4,'calculated data '!$A$4,D4148&lt;=$G$6,'calculated data '!$A$5,D4148&gt;=$G$6,'calculated data '!$A$6)</f>
        <v>Target Market (Core IQR)</v>
      </c>
      <c r="F4148" s="10">
        <f t="shared" si="1"/>
        <v>-0.5009571252</v>
      </c>
    </row>
    <row r="4149" ht="14.25" customHeight="1">
      <c r="A4149" s="2" t="s">
        <v>159</v>
      </c>
      <c r="B4149" s="2" t="s">
        <v>160</v>
      </c>
      <c r="C4149" s="2">
        <v>2013.0</v>
      </c>
      <c r="D4149" s="9">
        <v>6128.8066</v>
      </c>
      <c r="E4149" s="10" t="str">
        <f t="array" ref="E4149">IFS(D4149&lt;=$G$3,'calculated data '!$A$3,D4149&lt;=$G$4,'calculated data '!$A$4,D4149&lt;=$G$6,'calculated data '!$A$5,D4149&gt;=$G$6,'calculated data '!$A$6)</f>
        <v>Target Market (Core IQR)</v>
      </c>
      <c r="F4149" s="10">
        <f t="shared" si="1"/>
        <v>-0.5009434907</v>
      </c>
    </row>
    <row r="4150" ht="14.25" customHeight="1">
      <c r="A4150" s="2" t="s">
        <v>205</v>
      </c>
      <c r="B4150" s="2" t="s">
        <v>206</v>
      </c>
      <c r="C4150" s="2">
        <v>1985.0</v>
      </c>
      <c r="D4150" s="9">
        <v>6128.847</v>
      </c>
      <c r="E4150" s="10" t="str">
        <f t="array" ref="E4150">IFS(D4150&lt;=$G$3,'calculated data '!$A$3,D4150&lt;=$G$4,'calculated data '!$A$4,D4150&lt;=$G$6,'calculated data '!$A$5,D4150&gt;=$G$6,'calculated data '!$A$6)</f>
        <v>Target Market (Core IQR)</v>
      </c>
      <c r="F4150" s="10">
        <f t="shared" si="1"/>
        <v>-0.5009424213</v>
      </c>
    </row>
    <row r="4151" ht="14.25" customHeight="1">
      <c r="A4151" s="2" t="s">
        <v>45</v>
      </c>
      <c r="B4151" s="2" t="s">
        <v>46</v>
      </c>
      <c r="C4151" s="2">
        <v>1983.0</v>
      </c>
      <c r="D4151" s="9">
        <v>6132.5977</v>
      </c>
      <c r="E4151" s="10" t="str">
        <f t="array" ref="E4151">IFS(D4151&lt;=$G$3,'calculated data '!$A$3,D4151&lt;=$G$4,'calculated data '!$A$4,D4151&lt;=$G$6,'calculated data '!$A$5,D4151&gt;=$G$6,'calculated data '!$A$6)</f>
        <v>Target Market (Core IQR)</v>
      </c>
      <c r="F4151" s="10">
        <f t="shared" si="1"/>
        <v>-0.5008431412</v>
      </c>
    </row>
    <row r="4152" ht="14.25" customHeight="1">
      <c r="A4152" s="2" t="s">
        <v>293</v>
      </c>
      <c r="B4152" s="2" t="s">
        <v>294</v>
      </c>
      <c r="C4152" s="2">
        <v>1985.0</v>
      </c>
      <c r="D4152" s="9">
        <v>6135.2427</v>
      </c>
      <c r="E4152" s="10" t="str">
        <f t="array" ref="E4152">IFS(D4152&lt;=$G$3,'calculated data '!$A$3,D4152&lt;=$G$4,'calculated data '!$A$4,D4152&lt;=$G$6,'calculated data '!$A$5,D4152&gt;=$G$6,'calculated data '!$A$6)</f>
        <v>Target Market (Core IQR)</v>
      </c>
      <c r="F4152" s="10">
        <f t="shared" si="1"/>
        <v>-0.5007731287</v>
      </c>
    </row>
    <row r="4153" ht="14.25" customHeight="1">
      <c r="A4153" s="2" t="s">
        <v>227</v>
      </c>
      <c r="B4153" s="2" t="s">
        <v>228</v>
      </c>
      <c r="C4153" s="2">
        <v>1975.0</v>
      </c>
      <c r="D4153" s="9">
        <v>6141.4966</v>
      </c>
      <c r="E4153" s="10" t="str">
        <f t="array" ref="E4153">IFS(D4153&lt;=$G$3,'calculated data '!$A$3,D4153&lt;=$G$4,'calculated data '!$A$4,D4153&lt;=$G$6,'calculated data '!$A$5,D4153&gt;=$G$6,'calculated data '!$A$6)</f>
        <v>Target Market (Core IQR)</v>
      </c>
      <c r="F4153" s="10">
        <f t="shared" si="1"/>
        <v>-0.5006075895</v>
      </c>
    </row>
    <row r="4154" ht="14.25" customHeight="1">
      <c r="A4154" s="2" t="s">
        <v>295</v>
      </c>
      <c r="B4154" s="2" t="s">
        <v>296</v>
      </c>
      <c r="C4154" s="2">
        <v>1996.0</v>
      </c>
      <c r="D4154" s="9">
        <v>6143.073</v>
      </c>
      <c r="E4154" s="10" t="str">
        <f t="array" ref="E4154">IFS(D4154&lt;=$G$3,'calculated data '!$A$3,D4154&lt;=$G$4,'calculated data '!$A$4,D4154&lt;=$G$6,'calculated data '!$A$5,D4154&gt;=$G$6,'calculated data '!$A$6)</f>
        <v>Target Market (Core IQR)</v>
      </c>
      <c r="F4154" s="10">
        <f t="shared" si="1"/>
        <v>-0.5005658626</v>
      </c>
    </row>
    <row r="4155" ht="14.25" customHeight="1">
      <c r="A4155" s="2" t="s">
        <v>159</v>
      </c>
      <c r="B4155" s="2" t="s">
        <v>160</v>
      </c>
      <c r="C4155" s="2">
        <v>2016.0</v>
      </c>
      <c r="D4155" s="9">
        <v>6153.4116</v>
      </c>
      <c r="E4155" s="10" t="str">
        <f t="array" ref="E4155">IFS(D4155&lt;=$G$3,'calculated data '!$A$3,D4155&lt;=$G$4,'calculated data '!$A$4,D4155&lt;=$G$6,'calculated data '!$A$5,D4155&gt;=$G$6,'calculated data '!$A$6)</f>
        <v>Target Market (Core IQR)</v>
      </c>
      <c r="F4155" s="10">
        <f t="shared" si="1"/>
        <v>-0.5002922024</v>
      </c>
    </row>
    <row r="4156" ht="14.25" customHeight="1">
      <c r="A4156" s="2" t="s">
        <v>269</v>
      </c>
      <c r="B4156" s="2" t="s">
        <v>270</v>
      </c>
      <c r="C4156" s="2">
        <v>2017.0</v>
      </c>
      <c r="D4156" s="9">
        <v>6155.3125</v>
      </c>
      <c r="E4156" s="10" t="str">
        <f t="array" ref="E4156">IFS(D4156&lt;=$G$3,'calculated data '!$A$3,D4156&lt;=$G$4,'calculated data '!$A$4,D4156&lt;=$G$6,'calculated data '!$A$5,D4156&gt;=$G$6,'calculated data '!$A$6)</f>
        <v>Target Market (Core IQR)</v>
      </c>
      <c r="F4156" s="10">
        <f t="shared" si="1"/>
        <v>-0.5002418861</v>
      </c>
    </row>
    <row r="4157" ht="14.25" customHeight="1">
      <c r="A4157" s="2" t="s">
        <v>197</v>
      </c>
      <c r="B4157" s="2" t="s">
        <v>198</v>
      </c>
      <c r="C4157" s="2">
        <v>1987.0</v>
      </c>
      <c r="D4157" s="9">
        <v>6161.6357</v>
      </c>
      <c r="E4157" s="10" t="str">
        <f t="array" ref="E4157">IFS(D4157&lt;=$G$3,'calculated data '!$A$3,D4157&lt;=$G$4,'calculated data '!$A$4,D4157&lt;=$G$6,'calculated data '!$A$5,D4157&gt;=$G$6,'calculated data '!$A$6)</f>
        <v>Target Market (Core IQR)</v>
      </c>
      <c r="F4157" s="10">
        <f t="shared" si="1"/>
        <v>-0.5000745126</v>
      </c>
    </row>
    <row r="4158" ht="14.25" customHeight="1">
      <c r="A4158" s="2" t="s">
        <v>159</v>
      </c>
      <c r="B4158" s="2" t="s">
        <v>160</v>
      </c>
      <c r="C4158" s="2">
        <v>2015.0</v>
      </c>
      <c r="D4158" s="9">
        <v>6166.0645</v>
      </c>
      <c r="E4158" s="10" t="str">
        <f t="array" ref="E4158">IFS(D4158&lt;=$G$3,'calculated data '!$A$3,D4158&lt;=$G$4,'calculated data '!$A$4,D4158&lt;=$G$6,'calculated data '!$A$5,D4158&gt;=$G$6,'calculated data '!$A$6)</f>
        <v>Target Market (Core IQR)</v>
      </c>
      <c r="F4158" s="10">
        <f t="shared" si="1"/>
        <v>-0.4999572833</v>
      </c>
    </row>
    <row r="4159" ht="14.25" customHeight="1">
      <c r="A4159" s="2" t="s">
        <v>281</v>
      </c>
      <c r="B4159" s="2" t="s">
        <v>282</v>
      </c>
      <c r="C4159" s="2">
        <v>1979.0</v>
      </c>
      <c r="D4159" s="9">
        <v>6166.6216</v>
      </c>
      <c r="E4159" s="10" t="str">
        <f t="array" ref="E4159">IFS(D4159&lt;=$G$3,'calculated data '!$A$3,D4159&lt;=$G$4,'calculated data '!$A$4,D4159&lt;=$G$6,'calculated data '!$A$5,D4159&gt;=$G$6,'calculated data '!$A$6)</f>
        <v>Target Market (Core IQR)</v>
      </c>
      <c r="F4159" s="10">
        <f t="shared" si="1"/>
        <v>-0.499942537</v>
      </c>
    </row>
    <row r="4160" ht="14.25" customHeight="1">
      <c r="A4160" s="2" t="s">
        <v>159</v>
      </c>
      <c r="B4160" s="2" t="s">
        <v>160</v>
      </c>
      <c r="C4160" s="2">
        <v>2014.0</v>
      </c>
      <c r="D4160" s="9">
        <v>6166.929</v>
      </c>
      <c r="E4160" s="10" t="str">
        <f t="array" ref="E4160">IFS(D4160&lt;=$G$3,'calculated data '!$A$3,D4160&lt;=$G$4,'calculated data '!$A$4,D4160&lt;=$G$6,'calculated data '!$A$5,D4160&gt;=$G$6,'calculated data '!$A$6)</f>
        <v>Target Market (Core IQR)</v>
      </c>
      <c r="F4160" s="10">
        <f t="shared" si="1"/>
        <v>-0.4999344002</v>
      </c>
    </row>
    <row r="4161" ht="14.25" customHeight="1">
      <c r="A4161" s="2" t="s">
        <v>261</v>
      </c>
      <c r="B4161" s="2" t="s">
        <v>262</v>
      </c>
      <c r="C4161" s="2">
        <v>1996.0</v>
      </c>
      <c r="D4161" s="9">
        <v>6168.313</v>
      </c>
      <c r="E4161" s="10" t="str">
        <f t="array" ref="E4161">IFS(D4161&lt;=$G$3,'calculated data '!$A$3,D4161&lt;=$G$4,'calculated data '!$A$4,D4161&lt;=$G$6,'calculated data '!$A$5,D4161&gt;=$G$6,'calculated data '!$A$6)</f>
        <v>Target Market (Core IQR)</v>
      </c>
      <c r="F4161" s="10">
        <f t="shared" si="1"/>
        <v>-0.4998977661</v>
      </c>
    </row>
    <row r="4162" ht="14.25" customHeight="1">
      <c r="A4162" s="2" t="s">
        <v>129</v>
      </c>
      <c r="B4162" s="2" t="s">
        <v>130</v>
      </c>
      <c r="C4162" s="2">
        <v>2004.0</v>
      </c>
      <c r="D4162" s="9">
        <v>6171.5967</v>
      </c>
      <c r="E4162" s="10" t="str">
        <f t="array" ref="E4162">IFS(D4162&lt;=$G$3,'calculated data '!$A$3,D4162&lt;=$G$4,'calculated data '!$A$4,D4162&lt;=$G$6,'calculated data '!$A$5,D4162&gt;=$G$6,'calculated data '!$A$6)</f>
        <v>Target Market (Core IQR)</v>
      </c>
      <c r="F4162" s="10">
        <f t="shared" si="1"/>
        <v>-0.4998108474</v>
      </c>
    </row>
    <row r="4163" ht="14.25" customHeight="1">
      <c r="A4163" s="2" t="s">
        <v>297</v>
      </c>
      <c r="B4163" s="2" t="s">
        <v>298</v>
      </c>
      <c r="C4163" s="2">
        <v>2001.0</v>
      </c>
      <c r="D4163" s="9">
        <v>6177.1333</v>
      </c>
      <c r="E4163" s="10" t="str">
        <f t="array" ref="E4163">IFS(D4163&lt;=$G$3,'calculated data '!$A$3,D4163&lt;=$G$4,'calculated data '!$A$4,D4163&lt;=$G$6,'calculated data '!$A$5,D4163&gt;=$G$6,'calculated data '!$A$6)</f>
        <v>Target Market (Core IQR)</v>
      </c>
      <c r="F4163" s="10">
        <f t="shared" si="1"/>
        <v>-0.4996642949</v>
      </c>
    </row>
    <row r="4164" ht="14.25" customHeight="1">
      <c r="A4164" s="2" t="s">
        <v>223</v>
      </c>
      <c r="B4164" s="2" t="s">
        <v>224</v>
      </c>
      <c r="C4164" s="2">
        <v>2020.0</v>
      </c>
      <c r="D4164" s="9">
        <v>6182.257</v>
      </c>
      <c r="E4164" s="10" t="str">
        <f t="array" ref="E4164">IFS(D4164&lt;=$G$3,'calculated data '!$A$3,D4164&lt;=$G$4,'calculated data '!$A$4,D4164&lt;=$G$6,'calculated data '!$A$5,D4164&gt;=$G$6,'calculated data '!$A$6)</f>
        <v>Target Market (Core IQR)</v>
      </c>
      <c r="F4164" s="10">
        <f t="shared" si="1"/>
        <v>-0.4995286719</v>
      </c>
    </row>
    <row r="4165" ht="14.25" customHeight="1">
      <c r="A4165" s="2" t="s">
        <v>41</v>
      </c>
      <c r="B4165" s="2" t="s">
        <v>42</v>
      </c>
      <c r="C4165" s="2">
        <v>2018.0</v>
      </c>
      <c r="D4165" s="9">
        <v>6183.7524</v>
      </c>
      <c r="E4165" s="10" t="str">
        <f t="array" ref="E4165">IFS(D4165&lt;=$G$3,'calculated data '!$A$3,D4165&lt;=$G$4,'calculated data '!$A$4,D4165&lt;=$G$6,'calculated data '!$A$5,D4165&gt;=$G$6,'calculated data '!$A$6)</f>
        <v>Target Market (Core IQR)</v>
      </c>
      <c r="F4165" s="10">
        <f t="shared" si="1"/>
        <v>-0.499489089</v>
      </c>
    </row>
    <row r="4166" ht="14.25" customHeight="1">
      <c r="A4166" s="2" t="s">
        <v>41</v>
      </c>
      <c r="B4166" s="2" t="s">
        <v>42</v>
      </c>
      <c r="C4166" s="2">
        <v>2019.0</v>
      </c>
      <c r="D4166" s="9">
        <v>6184.936</v>
      </c>
      <c r="E4166" s="10" t="str">
        <f t="array" ref="E4166">IFS(D4166&lt;=$G$3,'calculated data '!$A$3,D4166&lt;=$G$4,'calculated data '!$A$4,D4166&lt;=$G$6,'calculated data '!$A$5,D4166&gt;=$G$6,'calculated data '!$A$6)</f>
        <v>Target Market (Core IQR)</v>
      </c>
      <c r="F4166" s="10">
        <f t="shared" si="1"/>
        <v>-0.4994577594</v>
      </c>
    </row>
    <row r="4167" ht="14.25" customHeight="1">
      <c r="A4167" s="2" t="s">
        <v>281</v>
      </c>
      <c r="B4167" s="2" t="s">
        <v>282</v>
      </c>
      <c r="C4167" s="2">
        <v>1982.0</v>
      </c>
      <c r="D4167" s="9">
        <v>6188.3525</v>
      </c>
      <c r="E4167" s="10" t="str">
        <f t="array" ref="E4167">IFS(D4167&lt;=$G$3,'calculated data '!$A$3,D4167&lt;=$G$4,'calculated data '!$A$4,D4167&lt;=$G$6,'calculated data '!$A$5,D4167&gt;=$G$6,'calculated data '!$A$6)</f>
        <v>Target Market (Core IQR)</v>
      </c>
      <c r="F4167" s="10">
        <f t="shared" si="1"/>
        <v>-0.4993673255</v>
      </c>
    </row>
    <row r="4168" ht="14.25" customHeight="1">
      <c r="A4168" s="2" t="s">
        <v>281</v>
      </c>
      <c r="B4168" s="2" t="s">
        <v>282</v>
      </c>
      <c r="C4168" s="2">
        <v>1991.0</v>
      </c>
      <c r="D4168" s="9">
        <v>6189.6006</v>
      </c>
      <c r="E4168" s="10" t="str">
        <f t="array" ref="E4168">IFS(D4168&lt;=$G$3,'calculated data '!$A$3,D4168&lt;=$G$4,'calculated data '!$A$4,D4168&lt;=$G$6,'calculated data '!$A$5,D4168&gt;=$G$6,'calculated data '!$A$6)</f>
        <v>Target Market (Core IQR)</v>
      </c>
      <c r="F4168" s="10">
        <f t="shared" si="1"/>
        <v>-0.4993342886</v>
      </c>
    </row>
    <row r="4169" ht="14.25" customHeight="1">
      <c r="A4169" s="2" t="s">
        <v>239</v>
      </c>
      <c r="B4169" s="2" t="s">
        <v>240</v>
      </c>
      <c r="C4169" s="2">
        <v>2008.0</v>
      </c>
      <c r="D4169" s="9">
        <v>6189.895</v>
      </c>
      <c r="E4169" s="10" t="str">
        <f t="array" ref="E4169">IFS(D4169&lt;=$G$3,'calculated data '!$A$3,D4169&lt;=$G$4,'calculated data '!$A$4,D4169&lt;=$G$6,'calculated data '!$A$5,D4169&gt;=$G$6,'calculated data '!$A$6)</f>
        <v>Target Market (Core IQR)</v>
      </c>
      <c r="F4169" s="10">
        <f t="shared" si="1"/>
        <v>-0.4993264959</v>
      </c>
    </row>
    <row r="4170" ht="14.25" customHeight="1">
      <c r="A4170" s="2" t="s">
        <v>275</v>
      </c>
      <c r="B4170" s="2" t="s">
        <v>276</v>
      </c>
      <c r="C4170" s="2">
        <v>1996.0</v>
      </c>
      <c r="D4170" s="9">
        <v>6191.2773</v>
      </c>
      <c r="E4170" s="10" t="str">
        <f t="array" ref="E4170">IFS(D4170&lt;=$G$3,'calculated data '!$A$3,D4170&lt;=$G$4,'calculated data '!$A$4,D4170&lt;=$G$6,'calculated data '!$A$5,D4170&gt;=$G$6,'calculated data '!$A$6)</f>
        <v>Target Market (Core IQR)</v>
      </c>
      <c r="F4170" s="10">
        <f t="shared" si="1"/>
        <v>-0.4992899068</v>
      </c>
    </row>
    <row r="4171" ht="14.25" customHeight="1">
      <c r="A4171" s="2" t="s">
        <v>297</v>
      </c>
      <c r="B4171" s="2" t="s">
        <v>298</v>
      </c>
      <c r="C4171" s="2">
        <v>1994.0</v>
      </c>
      <c r="D4171" s="9">
        <v>6193.0796</v>
      </c>
      <c r="E4171" s="10" t="str">
        <f t="array" ref="E4171">IFS(D4171&lt;=$G$3,'calculated data '!$A$3,D4171&lt;=$G$4,'calculated data '!$A$4,D4171&lt;=$G$6,'calculated data '!$A$5,D4171&gt;=$G$6,'calculated data '!$A$6)</f>
        <v>Target Market (Core IQR)</v>
      </c>
      <c r="F4171" s="10">
        <f t="shared" si="1"/>
        <v>-0.4992422003</v>
      </c>
    </row>
    <row r="4172" ht="14.25" customHeight="1">
      <c r="A4172" s="2" t="s">
        <v>281</v>
      </c>
      <c r="B4172" s="2" t="s">
        <v>282</v>
      </c>
      <c r="C4172" s="2">
        <v>1981.0</v>
      </c>
      <c r="D4172" s="9">
        <v>6195.222</v>
      </c>
      <c r="E4172" s="10" t="str">
        <f t="array" ref="E4172">IFS(D4172&lt;=$G$3,'calculated data '!$A$3,D4172&lt;=$G$4,'calculated data '!$A$4,D4172&lt;=$G$6,'calculated data '!$A$5,D4172&gt;=$G$6,'calculated data '!$A$6)</f>
        <v>Target Market (Core IQR)</v>
      </c>
      <c r="F4172" s="10">
        <f t="shared" si="1"/>
        <v>-0.4991854916</v>
      </c>
    </row>
    <row r="4173" ht="14.25" customHeight="1">
      <c r="A4173" s="2" t="s">
        <v>281</v>
      </c>
      <c r="B4173" s="2" t="s">
        <v>282</v>
      </c>
      <c r="C4173" s="2">
        <v>2005.0</v>
      </c>
      <c r="D4173" s="9">
        <v>6195.8643</v>
      </c>
      <c r="E4173" s="10" t="str">
        <f t="array" ref="E4173">IFS(D4173&lt;=$G$3,'calculated data '!$A$3,D4173&lt;=$G$4,'calculated data '!$A$4,D4173&lt;=$G$6,'calculated data '!$A$5,D4173&gt;=$G$6,'calculated data '!$A$6)</f>
        <v>Target Market (Core IQR)</v>
      </c>
      <c r="F4173" s="10">
        <f t="shared" si="1"/>
        <v>-0.49916849</v>
      </c>
    </row>
    <row r="4174" ht="14.25" customHeight="1">
      <c r="A4174" s="2" t="s">
        <v>245</v>
      </c>
      <c r="B4174" s="2" t="s">
        <v>246</v>
      </c>
      <c r="C4174" s="2">
        <v>1996.0</v>
      </c>
      <c r="D4174" s="9">
        <v>6201.645</v>
      </c>
      <c r="E4174" s="10" t="str">
        <f t="array" ref="E4174">IFS(D4174&lt;=$G$3,'calculated data '!$A$3,D4174&lt;=$G$4,'calculated data '!$A$4,D4174&lt;=$G$6,'calculated data '!$A$5,D4174&gt;=$G$6,'calculated data '!$A$6)</f>
        <v>Target Market (Core IQR)</v>
      </c>
      <c r="F4174" s="10">
        <f t="shared" si="1"/>
        <v>-0.4990154763</v>
      </c>
    </row>
    <row r="4175" ht="14.25" customHeight="1">
      <c r="A4175" s="2" t="s">
        <v>225</v>
      </c>
      <c r="B4175" s="2" t="s">
        <v>226</v>
      </c>
      <c r="C4175" s="2">
        <v>2009.0</v>
      </c>
      <c r="D4175" s="9">
        <v>6203.9956</v>
      </c>
      <c r="E4175" s="10" t="str">
        <f t="array" ref="E4175">IFS(D4175&lt;=$G$3,'calculated data '!$A$3,D4175&lt;=$G$4,'calculated data '!$A$4,D4175&lt;=$G$6,'calculated data '!$A$5,D4175&gt;=$G$6,'calculated data '!$A$6)</f>
        <v>Target Market (Core IQR)</v>
      </c>
      <c r="F4175" s="10">
        <f t="shared" si="1"/>
        <v>-0.4989532565</v>
      </c>
    </row>
    <row r="4176" ht="14.25" customHeight="1">
      <c r="A4176" s="2" t="s">
        <v>245</v>
      </c>
      <c r="B4176" s="2" t="s">
        <v>246</v>
      </c>
      <c r="C4176" s="2">
        <v>1998.0</v>
      </c>
      <c r="D4176" s="9">
        <v>6204.1597</v>
      </c>
      <c r="E4176" s="10" t="str">
        <f t="array" ref="E4176">IFS(D4176&lt;=$G$3,'calculated data '!$A$3,D4176&lt;=$G$4,'calculated data '!$A$4,D4176&lt;=$G$6,'calculated data '!$A$5,D4176&gt;=$G$6,'calculated data '!$A$6)</f>
        <v>Target Market (Core IQR)</v>
      </c>
      <c r="F4176" s="10">
        <f t="shared" si="1"/>
        <v>-0.4989489129</v>
      </c>
    </row>
    <row r="4177" ht="14.25" customHeight="1">
      <c r="A4177" s="2" t="s">
        <v>41</v>
      </c>
      <c r="B4177" s="2" t="s">
        <v>42</v>
      </c>
      <c r="C4177" s="2">
        <v>2024.0</v>
      </c>
      <c r="D4177" s="9">
        <v>6204.3223</v>
      </c>
      <c r="E4177" s="10" t="str">
        <f t="array" ref="E4177">IFS(D4177&lt;=$G$3,'calculated data '!$A$3,D4177&lt;=$G$4,'calculated data '!$A$4,D4177&lt;=$G$6,'calculated data '!$A$5,D4177&gt;=$G$6,'calculated data '!$A$6)</f>
        <v>Target Market (Core IQR)</v>
      </c>
      <c r="F4177" s="10">
        <f t="shared" si="1"/>
        <v>-0.4989446089</v>
      </c>
    </row>
    <row r="4178" ht="14.25" customHeight="1">
      <c r="A4178" s="2" t="s">
        <v>281</v>
      </c>
      <c r="B4178" s="2" t="s">
        <v>282</v>
      </c>
      <c r="C4178" s="2">
        <v>2003.0</v>
      </c>
      <c r="D4178" s="9">
        <v>6205.3613</v>
      </c>
      <c r="E4178" s="10" t="str">
        <f t="array" ref="E4178">IFS(D4178&lt;=$G$3,'calculated data '!$A$3,D4178&lt;=$G$4,'calculated data '!$A$4,D4178&lt;=$G$6,'calculated data '!$A$5,D4178&gt;=$G$6,'calculated data '!$A$6)</f>
        <v>Target Market (Core IQR)</v>
      </c>
      <c r="F4178" s="10">
        <f t="shared" si="1"/>
        <v>-0.4989171068</v>
      </c>
    </row>
    <row r="4179" ht="14.25" customHeight="1">
      <c r="A4179" s="2" t="s">
        <v>261</v>
      </c>
      <c r="B4179" s="2" t="s">
        <v>262</v>
      </c>
      <c r="C4179" s="2">
        <v>1994.0</v>
      </c>
      <c r="D4179" s="9">
        <v>6205.4966</v>
      </c>
      <c r="E4179" s="10" t="str">
        <f t="array" ref="E4179">IFS(D4179&lt;=$G$3,'calculated data '!$A$3,D4179&lt;=$G$4,'calculated data '!$A$4,D4179&lt;=$G$6,'calculated data '!$A$5,D4179&gt;=$G$6,'calculated data '!$A$6)</f>
        <v>Target Market (Core IQR)</v>
      </c>
      <c r="F4179" s="10">
        <f t="shared" si="1"/>
        <v>-0.4989135255</v>
      </c>
    </row>
    <row r="4180" ht="14.25" customHeight="1">
      <c r="A4180" s="2" t="s">
        <v>253</v>
      </c>
      <c r="B4180" s="2" t="s">
        <v>254</v>
      </c>
      <c r="C4180" s="2">
        <v>2000.0</v>
      </c>
      <c r="D4180" s="9">
        <v>6216.7456</v>
      </c>
      <c r="E4180" s="10" t="str">
        <f t="array" ref="E4180">IFS(D4180&lt;=$G$3,'calculated data '!$A$3,D4180&lt;=$G$4,'calculated data '!$A$4,D4180&lt;=$G$6,'calculated data '!$A$5,D4180&gt;=$G$6,'calculated data '!$A$6)</f>
        <v>Target Market (Core IQR)</v>
      </c>
      <c r="F4180" s="10">
        <f t="shared" si="1"/>
        <v>-0.4986157672</v>
      </c>
    </row>
    <row r="4181" ht="14.25" customHeight="1">
      <c r="A4181" s="2" t="s">
        <v>41</v>
      </c>
      <c r="B4181" s="2" t="s">
        <v>42</v>
      </c>
      <c r="C4181" s="2">
        <v>2014.0</v>
      </c>
      <c r="D4181" s="9">
        <v>6217.404</v>
      </c>
      <c r="E4181" s="10" t="str">
        <f t="array" ref="E4181">IFS(D4181&lt;=$G$3,'calculated data '!$A$3,D4181&lt;=$G$4,'calculated data '!$A$4,D4181&lt;=$G$6,'calculated data '!$A$5,D4181&gt;=$G$6,'calculated data '!$A$6)</f>
        <v>Target Market (Core IQR)</v>
      </c>
      <c r="F4181" s="10">
        <f t="shared" si="1"/>
        <v>-0.4985983395</v>
      </c>
    </row>
    <row r="4182" ht="14.25" customHeight="1">
      <c r="A4182" s="2" t="s">
        <v>265</v>
      </c>
      <c r="B4182" s="2" t="s">
        <v>266</v>
      </c>
      <c r="C4182" s="2">
        <v>1984.0</v>
      </c>
      <c r="D4182" s="9">
        <v>6217.5815</v>
      </c>
      <c r="E4182" s="10" t="str">
        <f t="array" ref="E4182">IFS(D4182&lt;=$G$3,'calculated data '!$A$3,D4182&lt;=$G$4,'calculated data '!$A$4,D4182&lt;=$G$6,'calculated data '!$A$5,D4182&gt;=$G$6,'calculated data '!$A$6)</f>
        <v>Target Market (Core IQR)</v>
      </c>
      <c r="F4182" s="10">
        <f t="shared" si="1"/>
        <v>-0.4985936412</v>
      </c>
    </row>
    <row r="4183" ht="14.25" customHeight="1">
      <c r="A4183" s="2" t="s">
        <v>45</v>
      </c>
      <c r="B4183" s="2" t="s">
        <v>46</v>
      </c>
      <c r="C4183" s="2">
        <v>1986.0</v>
      </c>
      <c r="D4183" s="9">
        <v>6217.7715</v>
      </c>
      <c r="E4183" s="10" t="str">
        <f t="array" ref="E4183">IFS(D4183&lt;=$G$3,'calculated data '!$A$3,D4183&lt;=$G$4,'calculated data '!$A$4,D4183&lt;=$G$6,'calculated data '!$A$5,D4183&gt;=$G$6,'calculated data '!$A$6)</f>
        <v>Target Market (Core IQR)</v>
      </c>
      <c r="F4183" s="10">
        <f t="shared" si="1"/>
        <v>-0.4985886119</v>
      </c>
    </row>
    <row r="4184" ht="14.25" customHeight="1">
      <c r="A4184" s="2" t="s">
        <v>51</v>
      </c>
      <c r="B4184" s="2" t="s">
        <v>52</v>
      </c>
      <c r="C4184" s="2">
        <v>2015.0</v>
      </c>
      <c r="D4184" s="9">
        <v>6218.035</v>
      </c>
      <c r="E4184" s="10" t="str">
        <f t="array" ref="E4184">IFS(D4184&lt;=$G$3,'calculated data '!$A$3,D4184&lt;=$G$4,'calculated data '!$A$4,D4184&lt;=$G$6,'calculated data '!$A$5,D4184&gt;=$G$6,'calculated data '!$A$6)</f>
        <v>Target Market (Core IQR)</v>
      </c>
      <c r="F4184" s="10">
        <f t="shared" si="1"/>
        <v>-0.4985816371</v>
      </c>
    </row>
    <row r="4185" ht="14.25" customHeight="1">
      <c r="A4185" s="2" t="s">
        <v>243</v>
      </c>
      <c r="B4185" s="2" t="s">
        <v>244</v>
      </c>
      <c r="C4185" s="2">
        <v>2022.0</v>
      </c>
      <c r="D4185" s="9">
        <v>6222.074</v>
      </c>
      <c r="E4185" s="10" t="str">
        <f t="array" ref="E4185">IFS(D4185&lt;=$G$3,'calculated data '!$A$3,D4185&lt;=$G$4,'calculated data '!$A$4,D4185&lt;=$G$6,'calculated data '!$A$5,D4185&gt;=$G$6,'calculated data '!$A$6)</f>
        <v>Target Market (Core IQR)</v>
      </c>
      <c r="F4185" s="10">
        <f t="shared" si="1"/>
        <v>-0.4984747258</v>
      </c>
    </row>
    <row r="4186" ht="14.25" customHeight="1">
      <c r="A4186" s="2" t="s">
        <v>281</v>
      </c>
      <c r="B4186" s="2" t="s">
        <v>282</v>
      </c>
      <c r="C4186" s="2">
        <v>1980.0</v>
      </c>
      <c r="D4186" s="9">
        <v>6222.106</v>
      </c>
      <c r="E4186" s="10" t="str">
        <f t="array" ref="E4186">IFS(D4186&lt;=$G$3,'calculated data '!$A$3,D4186&lt;=$G$4,'calculated data '!$A$4,D4186&lt;=$G$6,'calculated data '!$A$5,D4186&gt;=$G$6,'calculated data '!$A$6)</f>
        <v>Target Market (Core IQR)</v>
      </c>
      <c r="F4186" s="10">
        <f t="shared" si="1"/>
        <v>-0.4984738788</v>
      </c>
    </row>
    <row r="4187" ht="14.25" customHeight="1">
      <c r="A4187" s="2" t="s">
        <v>265</v>
      </c>
      <c r="B4187" s="2" t="s">
        <v>266</v>
      </c>
      <c r="C4187" s="2">
        <v>1996.0</v>
      </c>
      <c r="D4187" s="9">
        <v>6223.767</v>
      </c>
      <c r="E4187" s="10" t="str">
        <f t="array" ref="E4187">IFS(D4187&lt;=$G$3,'calculated data '!$A$3,D4187&lt;=$G$4,'calculated data '!$A$4,D4187&lt;=$G$6,'calculated data '!$A$5,D4187&gt;=$G$6,'calculated data '!$A$6)</f>
        <v>Target Market (Core IQR)</v>
      </c>
      <c r="F4187" s="10">
        <f t="shared" si="1"/>
        <v>-0.4984299125</v>
      </c>
    </row>
    <row r="4188" ht="14.25" customHeight="1">
      <c r="A4188" s="2" t="s">
        <v>239</v>
      </c>
      <c r="B4188" s="2" t="s">
        <v>240</v>
      </c>
      <c r="C4188" s="2">
        <v>2003.0</v>
      </c>
      <c r="D4188" s="9">
        <v>6225.074</v>
      </c>
      <c r="E4188" s="10" t="str">
        <f t="array" ref="E4188">IFS(D4188&lt;=$G$3,'calculated data '!$A$3,D4188&lt;=$G$4,'calculated data '!$A$4,D4188&lt;=$G$6,'calculated data '!$A$5,D4188&gt;=$G$6,'calculated data '!$A$6)</f>
        <v>Target Market (Core IQR)</v>
      </c>
      <c r="F4188" s="10">
        <f t="shared" si="1"/>
        <v>-0.4983953165</v>
      </c>
    </row>
    <row r="4189" ht="14.25" customHeight="1">
      <c r="A4189" s="2" t="s">
        <v>225</v>
      </c>
      <c r="B4189" s="2" t="s">
        <v>226</v>
      </c>
      <c r="C4189" s="2">
        <v>2010.0</v>
      </c>
      <c r="D4189" s="9">
        <v>6230.5674</v>
      </c>
      <c r="E4189" s="10" t="str">
        <f t="array" ref="E4189">IFS(D4189&lt;=$G$3,'calculated data '!$A$3,D4189&lt;=$G$4,'calculated data '!$A$4,D4189&lt;=$G$6,'calculated data '!$A$5,D4189&gt;=$G$6,'calculated data '!$A$6)</f>
        <v>Target Market (Core IQR)</v>
      </c>
      <c r="F4189" s="10">
        <f t="shared" si="1"/>
        <v>-0.4982499076</v>
      </c>
    </row>
    <row r="4190" ht="14.25" customHeight="1">
      <c r="A4190" s="2" t="s">
        <v>261</v>
      </c>
      <c r="B4190" s="2" t="s">
        <v>262</v>
      </c>
      <c r="C4190" s="2">
        <v>1993.0</v>
      </c>
      <c r="D4190" s="9">
        <v>6238.651</v>
      </c>
      <c r="E4190" s="10" t="str">
        <f t="array" ref="E4190">IFS(D4190&lt;=$G$3,'calculated data '!$A$3,D4190&lt;=$G$4,'calculated data '!$A$4,D4190&lt;=$G$6,'calculated data '!$A$5,D4190&gt;=$G$6,'calculated data '!$A$6)</f>
        <v>Target Market (Core IQR)</v>
      </c>
      <c r="F4190" s="10">
        <f t="shared" si="1"/>
        <v>-0.4980359367</v>
      </c>
    </row>
    <row r="4191" ht="14.25" customHeight="1">
      <c r="A4191" s="2" t="s">
        <v>281</v>
      </c>
      <c r="B4191" s="2" t="s">
        <v>282</v>
      </c>
      <c r="C4191" s="2">
        <v>2002.0</v>
      </c>
      <c r="D4191" s="9">
        <v>6241.057</v>
      </c>
      <c r="E4191" s="10" t="str">
        <f t="array" ref="E4191">IFS(D4191&lt;=$G$3,'calculated data '!$A$3,D4191&lt;=$G$4,'calculated data '!$A$4,D4191&lt;=$G$6,'calculated data '!$A$5,D4191&gt;=$G$6,'calculated data '!$A$6)</f>
        <v>Target Market (Core IQR)</v>
      </c>
      <c r="F4191" s="10">
        <f t="shared" si="1"/>
        <v>-0.4979722505</v>
      </c>
    </row>
    <row r="4192" ht="14.25" customHeight="1">
      <c r="A4192" s="2" t="s">
        <v>183</v>
      </c>
      <c r="B4192" s="2" t="s">
        <v>184</v>
      </c>
      <c r="C4192" s="2">
        <v>1992.0</v>
      </c>
      <c r="D4192" s="9">
        <v>6241.285</v>
      </c>
      <c r="E4192" s="10" t="str">
        <f t="array" ref="E4192">IFS(D4192&lt;=$G$3,'calculated data '!$A$3,D4192&lt;=$G$4,'calculated data '!$A$4,D4192&lt;=$G$6,'calculated data '!$A$5,D4192&gt;=$G$6,'calculated data '!$A$6)</f>
        <v>Target Market (Core IQR)</v>
      </c>
      <c r="F4192" s="10">
        <f t="shared" si="1"/>
        <v>-0.4979662154</v>
      </c>
    </row>
    <row r="4193" ht="14.25" customHeight="1">
      <c r="A4193" s="2" t="s">
        <v>281</v>
      </c>
      <c r="B4193" s="2" t="s">
        <v>282</v>
      </c>
      <c r="C4193" s="2">
        <v>1984.0</v>
      </c>
      <c r="D4193" s="9">
        <v>6242.2236</v>
      </c>
      <c r="E4193" s="10" t="str">
        <f t="array" ref="E4193">IFS(D4193&lt;=$G$3,'calculated data '!$A$3,D4193&lt;=$G$4,'calculated data '!$A$4,D4193&lt;=$G$6,'calculated data '!$A$5,D4193&gt;=$G$6,'calculated data '!$A$6)</f>
        <v>Target Market (Core IQR)</v>
      </c>
      <c r="F4193" s="10">
        <f t="shared" si="1"/>
        <v>-0.4979413709</v>
      </c>
    </row>
    <row r="4194" ht="14.25" customHeight="1">
      <c r="A4194" s="2" t="s">
        <v>205</v>
      </c>
      <c r="B4194" s="2" t="s">
        <v>206</v>
      </c>
      <c r="C4194" s="2">
        <v>1988.0</v>
      </c>
      <c r="D4194" s="9">
        <v>6244.1216</v>
      </c>
      <c r="E4194" s="10" t="str">
        <f t="array" ref="E4194">IFS(D4194&lt;=$G$3,'calculated data '!$A$3,D4194&lt;=$G$4,'calculated data '!$A$4,D4194&lt;=$G$6,'calculated data '!$A$5,D4194&gt;=$G$6,'calculated data '!$A$6)</f>
        <v>Target Market (Core IQR)</v>
      </c>
      <c r="F4194" s="10">
        <f t="shared" si="1"/>
        <v>-0.4978911313</v>
      </c>
    </row>
    <row r="4195" ht="14.25" customHeight="1">
      <c r="A4195" s="2" t="s">
        <v>269</v>
      </c>
      <c r="B4195" s="2" t="s">
        <v>270</v>
      </c>
      <c r="C4195" s="2">
        <v>2015.0</v>
      </c>
      <c r="D4195" s="9">
        <v>6244.624</v>
      </c>
      <c r="E4195" s="10" t="str">
        <f t="array" ref="E4195">IFS(D4195&lt;=$G$3,'calculated data '!$A$3,D4195&lt;=$G$4,'calculated data '!$A$4,D4195&lt;=$G$6,'calculated data '!$A$5,D4195&gt;=$G$6,'calculated data '!$A$6)</f>
        <v>Target Market (Core IQR)</v>
      </c>
      <c r="F4195" s="10">
        <f t="shared" si="1"/>
        <v>-0.4978778329</v>
      </c>
    </row>
    <row r="4196" ht="14.25" customHeight="1">
      <c r="A4196" s="2" t="s">
        <v>31</v>
      </c>
      <c r="B4196" s="2" t="s">
        <v>32</v>
      </c>
      <c r="C4196" s="2">
        <v>1980.0</v>
      </c>
      <c r="D4196" s="9">
        <v>6245.5894</v>
      </c>
      <c r="E4196" s="10" t="str">
        <f t="array" ref="E4196">IFS(D4196&lt;=$G$3,'calculated data '!$A$3,D4196&lt;=$G$4,'calculated data '!$A$4,D4196&lt;=$G$6,'calculated data '!$A$5,D4196&gt;=$G$6,'calculated data '!$A$6)</f>
        <v>Target Market (Core IQR)</v>
      </c>
      <c r="F4196" s="10">
        <f t="shared" si="1"/>
        <v>-0.497852279</v>
      </c>
    </row>
    <row r="4197" ht="14.25" customHeight="1">
      <c r="A4197" s="2" t="s">
        <v>183</v>
      </c>
      <c r="B4197" s="2" t="s">
        <v>184</v>
      </c>
      <c r="C4197" s="2">
        <v>1999.0</v>
      </c>
      <c r="D4197" s="9">
        <v>6250.535</v>
      </c>
      <c r="E4197" s="10" t="str">
        <f t="array" ref="E4197">IFS(D4197&lt;=$G$3,'calculated data '!$A$3,D4197&lt;=$G$4,'calculated data '!$A$4,D4197&lt;=$G$6,'calculated data '!$A$5,D4197&gt;=$G$6,'calculated data '!$A$6)</f>
        <v>Target Market (Core IQR)</v>
      </c>
      <c r="F4197" s="10">
        <f t="shared" si="1"/>
        <v>-0.4977213702</v>
      </c>
    </row>
    <row r="4198" ht="14.25" customHeight="1">
      <c r="A4198" s="2" t="s">
        <v>239</v>
      </c>
      <c r="B4198" s="2" t="s">
        <v>240</v>
      </c>
      <c r="C4198" s="2">
        <v>2006.0</v>
      </c>
      <c r="D4198" s="9">
        <v>6252.654</v>
      </c>
      <c r="E4198" s="10" t="str">
        <f t="array" ref="E4198">IFS(D4198&lt;=$G$3,'calculated data '!$A$3,D4198&lt;=$G$4,'calculated data '!$A$4,D4198&lt;=$G$6,'calculated data '!$A$5,D4198&gt;=$G$6,'calculated data '!$A$6)</f>
        <v>Target Market (Core IQR)</v>
      </c>
      <c r="F4198" s="10">
        <f t="shared" si="1"/>
        <v>-0.4976652808</v>
      </c>
    </row>
    <row r="4199" ht="14.25" customHeight="1">
      <c r="A4199" s="2" t="s">
        <v>243</v>
      </c>
      <c r="B4199" s="2" t="s">
        <v>244</v>
      </c>
      <c r="C4199" s="2">
        <v>2024.0</v>
      </c>
      <c r="D4199" s="9">
        <v>6257.665</v>
      </c>
      <c r="E4199" s="10" t="str">
        <f t="array" ref="E4199">IFS(D4199&lt;=$G$3,'calculated data '!$A$3,D4199&lt;=$G$4,'calculated data '!$A$4,D4199&lt;=$G$6,'calculated data '!$A$5,D4199&gt;=$G$6,'calculated data '!$A$6)</f>
        <v>Target Market (Core IQR)</v>
      </c>
      <c r="F4199" s="10">
        <f t="shared" si="1"/>
        <v>-0.4975326409</v>
      </c>
    </row>
    <row r="4200" ht="14.25" customHeight="1">
      <c r="A4200" s="2" t="s">
        <v>129</v>
      </c>
      <c r="B4200" s="2" t="s">
        <v>130</v>
      </c>
      <c r="C4200" s="2">
        <v>2005.0</v>
      </c>
      <c r="D4200" s="9">
        <v>6258.0186</v>
      </c>
      <c r="E4200" s="10" t="str">
        <f t="array" ref="E4200">IFS(D4200&lt;=$G$3,'calculated data '!$A$3,D4200&lt;=$G$4,'calculated data '!$A$4,D4200&lt;=$G$6,'calculated data '!$A$5,D4200&gt;=$G$6,'calculated data '!$A$6)</f>
        <v>Target Market (Core IQR)</v>
      </c>
      <c r="F4200" s="10">
        <f t="shared" si="1"/>
        <v>-0.4975232812</v>
      </c>
    </row>
    <row r="4201" ht="14.25" customHeight="1">
      <c r="A4201" s="2" t="s">
        <v>209</v>
      </c>
      <c r="B4201" s="2" t="s">
        <v>210</v>
      </c>
      <c r="C4201" s="2">
        <v>2021.0</v>
      </c>
      <c r="D4201" s="9">
        <v>6263.1826</v>
      </c>
      <c r="E4201" s="10" t="str">
        <f t="array" ref="E4201">IFS(D4201&lt;=$G$3,'calculated data '!$A$3,D4201&lt;=$G$4,'calculated data '!$A$4,D4201&lt;=$G$6,'calculated data '!$A$5,D4201&gt;=$G$6,'calculated data '!$A$6)</f>
        <v>Target Market (Core IQR)</v>
      </c>
      <c r="F4201" s="10">
        <f t="shared" si="1"/>
        <v>-0.4973865914</v>
      </c>
    </row>
    <row r="4202" ht="14.25" customHeight="1">
      <c r="A4202" s="2" t="s">
        <v>281</v>
      </c>
      <c r="B4202" s="2" t="s">
        <v>282</v>
      </c>
      <c r="C4202" s="2">
        <v>1985.0</v>
      </c>
      <c r="D4202" s="9">
        <v>6263.4507</v>
      </c>
      <c r="E4202" s="10" t="str">
        <f t="array" ref="E4202">IFS(D4202&lt;=$G$3,'calculated data '!$A$3,D4202&lt;=$G$4,'calculated data '!$A$4,D4202&lt;=$G$6,'calculated data '!$A$5,D4202&gt;=$G$6,'calculated data '!$A$6)</f>
        <v>Target Market (Core IQR)</v>
      </c>
      <c r="F4202" s="10">
        <f t="shared" si="1"/>
        <v>-0.4973794949</v>
      </c>
    </row>
    <row r="4203" ht="14.25" customHeight="1">
      <c r="A4203" s="2" t="s">
        <v>203</v>
      </c>
      <c r="B4203" s="2" t="s">
        <v>204</v>
      </c>
      <c r="C4203" s="2">
        <v>1995.0</v>
      </c>
      <c r="D4203" s="9">
        <v>6263.6167</v>
      </c>
      <c r="E4203" s="10" t="str">
        <f t="array" ref="E4203">IFS(D4203&lt;=$G$3,'calculated data '!$A$3,D4203&lt;=$G$4,'calculated data '!$A$4,D4203&lt;=$G$6,'calculated data '!$A$5,D4203&gt;=$G$6,'calculated data '!$A$6)</f>
        <v>Target Market (Core IQR)</v>
      </c>
      <c r="F4203" s="10">
        <f t="shared" si="1"/>
        <v>-0.4973751009</v>
      </c>
    </row>
    <row r="4204" ht="14.25" customHeight="1">
      <c r="A4204" s="2" t="s">
        <v>223</v>
      </c>
      <c r="B4204" s="2" t="s">
        <v>224</v>
      </c>
      <c r="C4204" s="2">
        <v>2022.0</v>
      </c>
      <c r="D4204" s="9">
        <v>6267.296</v>
      </c>
      <c r="E4204" s="10" t="str">
        <f t="array" ref="E4204">IFS(D4204&lt;=$G$3,'calculated data '!$A$3,D4204&lt;=$G$4,'calculated data '!$A$4,D4204&lt;=$G$6,'calculated data '!$A$5,D4204&gt;=$G$6,'calculated data '!$A$6)</f>
        <v>Target Market (Core IQR)</v>
      </c>
      <c r="F4204" s="10">
        <f t="shared" si="1"/>
        <v>-0.4972777107</v>
      </c>
    </row>
    <row r="4205" ht="14.25" customHeight="1">
      <c r="A4205" s="2" t="s">
        <v>111</v>
      </c>
      <c r="B4205" s="2" t="s">
        <v>112</v>
      </c>
      <c r="C4205" s="2">
        <v>2009.0</v>
      </c>
      <c r="D4205" s="9">
        <v>6267.3047</v>
      </c>
      <c r="E4205" s="10" t="str">
        <f t="array" ref="E4205">IFS(D4205&lt;=$G$3,'calculated data '!$A$3,D4205&lt;=$G$4,'calculated data '!$A$4,D4205&lt;=$G$6,'calculated data '!$A$5,D4205&gt;=$G$6,'calculated data '!$A$6)</f>
        <v>Target Market (Core IQR)</v>
      </c>
      <c r="F4205" s="10">
        <f t="shared" si="1"/>
        <v>-0.4972774804</v>
      </c>
    </row>
    <row r="4206" ht="14.25" customHeight="1">
      <c r="A4206" s="2" t="s">
        <v>273</v>
      </c>
      <c r="B4206" s="2" t="s">
        <v>274</v>
      </c>
      <c r="C4206" s="2">
        <v>2011.0</v>
      </c>
      <c r="D4206" s="9">
        <v>6270.305</v>
      </c>
      <c r="E4206" s="10" t="str">
        <f t="array" ref="E4206">IFS(D4206&lt;=$G$3,'calculated data '!$A$3,D4206&lt;=$G$4,'calculated data '!$A$4,D4206&lt;=$G$6,'calculated data '!$A$5,D4206&gt;=$G$6,'calculated data '!$A$6)</f>
        <v>Target Market (Core IQR)</v>
      </c>
      <c r="F4206" s="10">
        <f t="shared" si="1"/>
        <v>-0.4971980632</v>
      </c>
    </row>
    <row r="4207" ht="14.25" customHeight="1">
      <c r="A4207" s="2" t="s">
        <v>183</v>
      </c>
      <c r="B4207" s="2" t="s">
        <v>184</v>
      </c>
      <c r="C4207" s="2">
        <v>1994.0</v>
      </c>
      <c r="D4207" s="9">
        <v>6277.501</v>
      </c>
      <c r="E4207" s="10" t="str">
        <f t="array" ref="E4207">IFS(D4207&lt;=$G$3,'calculated data '!$A$3,D4207&lt;=$G$4,'calculated data '!$A$4,D4207&lt;=$G$6,'calculated data '!$A$5,D4207&gt;=$G$6,'calculated data '!$A$6)</f>
        <v>Target Market (Core IQR)</v>
      </c>
      <c r="F4207" s="10">
        <f t="shared" si="1"/>
        <v>-0.4970075869</v>
      </c>
    </row>
    <row r="4208" ht="14.25" customHeight="1">
      <c r="A4208" s="2" t="s">
        <v>205</v>
      </c>
      <c r="B4208" s="2" t="s">
        <v>206</v>
      </c>
      <c r="C4208" s="2">
        <v>1991.0</v>
      </c>
      <c r="D4208" s="9">
        <v>6280.75</v>
      </c>
      <c r="E4208" s="10" t="str">
        <f t="array" ref="E4208">IFS(D4208&lt;=$G$3,'calculated data '!$A$3,D4208&lt;=$G$4,'calculated data '!$A$4,D4208&lt;=$G$6,'calculated data '!$A$5,D4208&gt;=$G$6,'calculated data '!$A$6)</f>
        <v>Target Market (Core IQR)</v>
      </c>
      <c r="F4208" s="10">
        <f t="shared" si="1"/>
        <v>-0.4969215867</v>
      </c>
    </row>
    <row r="4209" ht="14.25" customHeight="1">
      <c r="A4209" s="2" t="s">
        <v>289</v>
      </c>
      <c r="B4209" s="2" t="s">
        <v>290</v>
      </c>
      <c r="C4209" s="2">
        <v>1983.0</v>
      </c>
      <c r="D4209" s="9">
        <v>6280.88</v>
      </c>
      <c r="E4209" s="10" t="str">
        <f t="array" ref="E4209">IFS(D4209&lt;=$G$3,'calculated data '!$A$3,D4209&lt;=$G$4,'calculated data '!$A$4,D4209&lt;=$G$6,'calculated data '!$A$5,D4209&gt;=$G$6,'calculated data '!$A$6)</f>
        <v>Target Market (Core IQR)</v>
      </c>
      <c r="F4209" s="10">
        <f t="shared" si="1"/>
        <v>-0.4969181456</v>
      </c>
    </row>
    <row r="4210" ht="14.25" customHeight="1">
      <c r="A4210" s="2" t="s">
        <v>141</v>
      </c>
      <c r="B4210" s="2" t="s">
        <v>142</v>
      </c>
      <c r="C4210" s="2">
        <v>1990.0</v>
      </c>
      <c r="D4210" s="9">
        <v>6290.1387</v>
      </c>
      <c r="E4210" s="10" t="str">
        <f t="array" ref="E4210">IFS(D4210&lt;=$G$3,'calculated data '!$A$3,D4210&lt;=$G$4,'calculated data '!$A$4,D4210&lt;=$G$6,'calculated data '!$A$5,D4210&gt;=$G$6,'calculated data '!$A$6)</f>
        <v>Target Market (Core IQR)</v>
      </c>
      <c r="F4210" s="10">
        <f t="shared" si="1"/>
        <v>-0.4966730701</v>
      </c>
    </row>
    <row r="4211" ht="14.25" customHeight="1">
      <c r="A4211" s="2" t="s">
        <v>129</v>
      </c>
      <c r="B4211" s="2" t="s">
        <v>130</v>
      </c>
      <c r="C4211" s="2">
        <v>2006.0</v>
      </c>
      <c r="D4211" s="9">
        <v>6290.9043</v>
      </c>
      <c r="E4211" s="10" t="str">
        <f t="array" ref="E4211">IFS(D4211&lt;=$G$3,'calculated data '!$A$3,D4211&lt;=$G$4,'calculated data '!$A$4,D4211&lt;=$G$6,'calculated data '!$A$5,D4211&gt;=$G$6,'calculated data '!$A$6)</f>
        <v>Target Market (Core IQR)</v>
      </c>
      <c r="F4211" s="10">
        <f t="shared" si="1"/>
        <v>-0.4966528049</v>
      </c>
    </row>
    <row r="4212" ht="14.25" customHeight="1">
      <c r="A4212" s="2" t="s">
        <v>243</v>
      </c>
      <c r="B4212" s="2" t="s">
        <v>244</v>
      </c>
      <c r="C4212" s="2">
        <v>2004.0</v>
      </c>
      <c r="D4212" s="9">
        <v>6295.2373</v>
      </c>
      <c r="E4212" s="10" t="str">
        <f t="array" ref="E4212">IFS(D4212&lt;=$G$3,'calculated data '!$A$3,D4212&lt;=$G$4,'calculated data '!$A$4,D4212&lt;=$G$6,'calculated data '!$A$5,D4212&gt;=$G$6,'calculated data '!$A$6)</f>
        <v>Target Market (Core IQR)</v>
      </c>
      <c r="F4212" s="10">
        <f t="shared" si="1"/>
        <v>-0.4965381115</v>
      </c>
    </row>
    <row r="4213" ht="14.25" customHeight="1">
      <c r="A4213" s="2" t="s">
        <v>41</v>
      </c>
      <c r="B4213" s="2" t="s">
        <v>42</v>
      </c>
      <c r="C4213" s="2">
        <v>2009.0</v>
      </c>
      <c r="D4213" s="9">
        <v>6295.3696</v>
      </c>
      <c r="E4213" s="10" t="str">
        <f t="array" ref="E4213">IFS(D4213&lt;=$G$3,'calculated data '!$A$3,D4213&lt;=$G$4,'calculated data '!$A$4,D4213&lt;=$G$6,'calculated data '!$A$5,D4213&gt;=$G$6,'calculated data '!$A$6)</f>
        <v>Target Market (Core IQR)</v>
      </c>
      <c r="F4213" s="10">
        <f t="shared" si="1"/>
        <v>-0.4965346095</v>
      </c>
    </row>
    <row r="4214" ht="14.25" customHeight="1">
      <c r="A4214" s="2" t="s">
        <v>243</v>
      </c>
      <c r="B4214" s="2" t="s">
        <v>244</v>
      </c>
      <c r="C4214" s="2">
        <v>2023.0</v>
      </c>
      <c r="D4214" s="9">
        <v>6295.449</v>
      </c>
      <c r="E4214" s="10" t="str">
        <f t="array" ref="E4214">IFS(D4214&lt;=$G$3,'calculated data '!$A$3,D4214&lt;=$G$4,'calculated data '!$A$4,D4214&lt;=$G$6,'calculated data '!$A$5,D4214&gt;=$G$6,'calculated data '!$A$6)</f>
        <v>Target Market (Core IQR)</v>
      </c>
      <c r="F4214" s="10">
        <f t="shared" si="1"/>
        <v>-0.4965325078</v>
      </c>
    </row>
    <row r="4215" ht="14.25" customHeight="1">
      <c r="A4215" s="2" t="s">
        <v>281</v>
      </c>
      <c r="B4215" s="2" t="s">
        <v>282</v>
      </c>
      <c r="C4215" s="2">
        <v>1986.0</v>
      </c>
      <c r="D4215" s="9">
        <v>6297.775</v>
      </c>
      <c r="E4215" s="10" t="str">
        <f t="array" ref="E4215">IFS(D4215&lt;=$G$3,'calculated data '!$A$3,D4215&lt;=$G$4,'calculated data '!$A$4,D4215&lt;=$G$6,'calculated data '!$A$5,D4215&gt;=$G$6,'calculated data '!$A$6)</f>
        <v>Target Market (Core IQR)</v>
      </c>
      <c r="F4215" s="10">
        <f t="shared" si="1"/>
        <v>-0.4964709392</v>
      </c>
    </row>
    <row r="4216" ht="14.25" customHeight="1">
      <c r="A4216" s="2" t="s">
        <v>163</v>
      </c>
      <c r="B4216" s="2" t="s">
        <v>164</v>
      </c>
      <c r="C4216" s="2">
        <v>2012.0</v>
      </c>
      <c r="D4216" s="9">
        <v>6298.845</v>
      </c>
      <c r="E4216" s="10" t="str">
        <f t="array" ref="E4216">IFS(D4216&lt;=$G$3,'calculated data '!$A$3,D4216&lt;=$G$4,'calculated data '!$A$4,D4216&lt;=$G$6,'calculated data '!$A$5,D4216&gt;=$G$6,'calculated data '!$A$6)</f>
        <v>Target Market (Core IQR)</v>
      </c>
      <c r="F4216" s="10">
        <f t="shared" si="1"/>
        <v>-0.4964426166</v>
      </c>
    </row>
    <row r="4217" ht="14.25" customHeight="1">
      <c r="A4217" s="2" t="s">
        <v>193</v>
      </c>
      <c r="B4217" s="2" t="s">
        <v>194</v>
      </c>
      <c r="C4217" s="2">
        <v>2024.0</v>
      </c>
      <c r="D4217" s="9">
        <v>6299.828</v>
      </c>
      <c r="E4217" s="10" t="str">
        <f t="array" ref="E4217">IFS(D4217&lt;=$G$3,'calculated data '!$A$3,D4217&lt;=$G$4,'calculated data '!$A$4,D4217&lt;=$G$6,'calculated data '!$A$5,D4217&gt;=$G$6,'calculated data '!$A$6)</f>
        <v>Target Market (Core IQR)</v>
      </c>
      <c r="F4217" s="10">
        <f t="shared" si="1"/>
        <v>-0.4964165968</v>
      </c>
    </row>
    <row r="4218" ht="14.25" customHeight="1">
      <c r="A4218" s="2" t="s">
        <v>275</v>
      </c>
      <c r="B4218" s="2" t="s">
        <v>276</v>
      </c>
      <c r="C4218" s="2">
        <v>1999.0</v>
      </c>
      <c r="D4218" s="9">
        <v>6300.4375</v>
      </c>
      <c r="E4218" s="10" t="str">
        <f t="array" ref="E4218">IFS(D4218&lt;=$G$3,'calculated data '!$A$3,D4218&lt;=$G$4,'calculated data '!$A$4,D4218&lt;=$G$6,'calculated data '!$A$5,D4218&gt;=$G$6,'calculated data '!$A$6)</f>
        <v>Target Market (Core IQR)</v>
      </c>
      <c r="F4218" s="10">
        <f t="shared" si="1"/>
        <v>-0.4964004635</v>
      </c>
    </row>
    <row r="4219" ht="14.25" customHeight="1">
      <c r="A4219" s="2" t="s">
        <v>289</v>
      </c>
      <c r="B4219" s="2" t="s">
        <v>290</v>
      </c>
      <c r="C4219" s="2">
        <v>1987.0</v>
      </c>
      <c r="D4219" s="9">
        <v>6301.4595</v>
      </c>
      <c r="E4219" s="10" t="str">
        <f t="array" ref="E4219">IFS(D4219&lt;=$G$3,'calculated data '!$A$3,D4219&lt;=$G$4,'calculated data '!$A$4,D4219&lt;=$G$6,'calculated data '!$A$5,D4219&gt;=$G$6,'calculated data '!$A$6)</f>
        <v>Target Market (Core IQR)</v>
      </c>
      <c r="F4219" s="10">
        <f t="shared" si="1"/>
        <v>-0.4963734114</v>
      </c>
    </row>
    <row r="4220" ht="14.25" customHeight="1">
      <c r="A4220" s="2" t="s">
        <v>299</v>
      </c>
      <c r="B4220" s="2" t="s">
        <v>300</v>
      </c>
      <c r="C4220" s="2">
        <v>2020.0</v>
      </c>
      <c r="D4220" s="9">
        <v>6305.9175</v>
      </c>
      <c r="E4220" s="10" t="str">
        <f t="array" ref="E4220">IFS(D4220&lt;=$G$3,'calculated data '!$A$3,D4220&lt;=$G$4,'calculated data '!$A$4,D4220&lt;=$G$6,'calculated data '!$A$5,D4220&gt;=$G$6,'calculated data '!$A$6)</f>
        <v>Target Market (Core IQR)</v>
      </c>
      <c r="F4220" s="10">
        <f t="shared" si="1"/>
        <v>-0.4962554092</v>
      </c>
    </row>
    <row r="4221" ht="14.25" customHeight="1">
      <c r="A4221" s="2" t="s">
        <v>129</v>
      </c>
      <c r="B4221" s="2" t="s">
        <v>130</v>
      </c>
      <c r="C4221" s="2">
        <v>2003.0</v>
      </c>
      <c r="D4221" s="9">
        <v>6308.9395</v>
      </c>
      <c r="E4221" s="10" t="str">
        <f t="array" ref="E4221">IFS(D4221&lt;=$G$3,'calculated data '!$A$3,D4221&lt;=$G$4,'calculated data '!$A$4,D4221&lt;=$G$6,'calculated data '!$A$5,D4221&gt;=$G$6,'calculated data '!$A$6)</f>
        <v>Target Market (Core IQR)</v>
      </c>
      <c r="F4221" s="10">
        <f t="shared" si="1"/>
        <v>-0.4961754177</v>
      </c>
    </row>
    <row r="4222" ht="14.25" customHeight="1">
      <c r="A4222" s="2" t="s">
        <v>299</v>
      </c>
      <c r="B4222" s="2" t="s">
        <v>300</v>
      </c>
      <c r="C4222" s="2">
        <v>2005.0</v>
      </c>
      <c r="D4222" s="9">
        <v>6315.1167</v>
      </c>
      <c r="E4222" s="10" t="str">
        <f t="array" ref="E4222">IFS(D4222&lt;=$G$3,'calculated data '!$A$3,D4222&lt;=$G$4,'calculated data '!$A$4,D4222&lt;=$G$6,'calculated data '!$A$5,D4222&gt;=$G$6,'calculated data '!$A$6)</f>
        <v>Target Market (Core IQR)</v>
      </c>
      <c r="F4222" s="10">
        <f t="shared" si="1"/>
        <v>-0.4960119087</v>
      </c>
    </row>
    <row r="4223" ht="14.25" customHeight="1">
      <c r="A4223" s="2" t="s">
        <v>159</v>
      </c>
      <c r="B4223" s="2" t="s">
        <v>160</v>
      </c>
      <c r="C4223" s="2">
        <v>2020.0</v>
      </c>
      <c r="D4223" s="9">
        <v>6315.675</v>
      </c>
      <c r="E4223" s="10" t="str">
        <f t="array" ref="E4223">IFS(D4223&lt;=$G$3,'calculated data '!$A$3,D4223&lt;=$G$4,'calculated data '!$A$4,D4223&lt;=$G$6,'calculated data '!$A$5,D4223&gt;=$G$6,'calculated data '!$A$6)</f>
        <v>Target Market (Core IQR)</v>
      </c>
      <c r="F4223" s="10">
        <f t="shared" si="1"/>
        <v>-0.4959971306</v>
      </c>
    </row>
    <row r="4224" ht="14.25" customHeight="1">
      <c r="A4224" s="2" t="s">
        <v>205</v>
      </c>
      <c r="B4224" s="2" t="s">
        <v>206</v>
      </c>
      <c r="C4224" s="2">
        <v>1987.0</v>
      </c>
      <c r="D4224" s="9">
        <v>6317.2905</v>
      </c>
      <c r="E4224" s="10" t="str">
        <f t="array" ref="E4224">IFS(D4224&lt;=$G$3,'calculated data '!$A$3,D4224&lt;=$G$4,'calculated data '!$A$4,D4224&lt;=$G$6,'calculated data '!$A$5,D4224&gt;=$G$6,'calculated data '!$A$6)</f>
        <v>Target Market (Core IQR)</v>
      </c>
      <c r="F4224" s="10">
        <f t="shared" si="1"/>
        <v>-0.4959543688</v>
      </c>
    </row>
    <row r="4225" ht="14.25" customHeight="1">
      <c r="A4225" s="2" t="s">
        <v>165</v>
      </c>
      <c r="B4225" s="2" t="s">
        <v>166</v>
      </c>
      <c r="C4225" s="2">
        <v>2018.0</v>
      </c>
      <c r="D4225" s="9">
        <v>6320.4097</v>
      </c>
      <c r="E4225" s="10" t="str">
        <f t="array" ref="E4225">IFS(D4225&lt;=$G$3,'calculated data '!$A$3,D4225&lt;=$G$4,'calculated data '!$A$4,D4225&lt;=$G$6,'calculated data '!$A$5,D4225&gt;=$G$6,'calculated data '!$A$6)</f>
        <v>Target Market (Core IQR)</v>
      </c>
      <c r="F4225" s="10">
        <f t="shared" si="1"/>
        <v>-0.4958718043</v>
      </c>
    </row>
    <row r="4226" ht="14.25" customHeight="1">
      <c r="A4226" s="2" t="s">
        <v>169</v>
      </c>
      <c r="B4226" s="2" t="s">
        <v>170</v>
      </c>
      <c r="C4226" s="2">
        <v>1993.0</v>
      </c>
      <c r="D4226" s="9">
        <v>6330.0977</v>
      </c>
      <c r="E4226" s="10" t="str">
        <f t="array" ref="E4226">IFS(D4226&lt;=$G$3,'calculated data '!$A$3,D4226&lt;=$G$4,'calculated data '!$A$4,D4226&lt;=$G$6,'calculated data '!$A$5,D4226&gt;=$G$6,'calculated data '!$A$6)</f>
        <v>Target Market (Core IQR)</v>
      </c>
      <c r="F4226" s="10">
        <f t="shared" si="1"/>
        <v>-0.4956153654</v>
      </c>
    </row>
    <row r="4227" ht="14.25" customHeight="1">
      <c r="A4227" s="2" t="s">
        <v>225</v>
      </c>
      <c r="B4227" s="2" t="s">
        <v>226</v>
      </c>
      <c r="C4227" s="2">
        <v>2007.0</v>
      </c>
      <c r="D4227" s="9">
        <v>6331.773</v>
      </c>
      <c r="E4227" s="10" t="str">
        <f t="array" ref="E4227">IFS(D4227&lt;=$G$3,'calculated data '!$A$3,D4227&lt;=$G$4,'calculated data '!$A$4,D4227&lt;=$G$6,'calculated data '!$A$5,D4227&gt;=$G$6,'calculated data '!$A$6)</f>
        <v>Target Market (Core IQR)</v>
      </c>
      <c r="F4227" s="10">
        <f t="shared" si="1"/>
        <v>-0.4955710206</v>
      </c>
    </row>
    <row r="4228" ht="14.25" customHeight="1">
      <c r="A4228" s="2" t="s">
        <v>225</v>
      </c>
      <c r="B4228" s="2" t="s">
        <v>226</v>
      </c>
      <c r="C4228" s="2">
        <v>2011.0</v>
      </c>
      <c r="D4228" s="9">
        <v>6331.921</v>
      </c>
      <c r="E4228" s="10" t="str">
        <f t="array" ref="E4228">IFS(D4228&lt;=$G$3,'calculated data '!$A$3,D4228&lt;=$G$4,'calculated data '!$A$4,D4228&lt;=$G$6,'calculated data '!$A$5,D4228&gt;=$G$6,'calculated data '!$A$6)</f>
        <v>Target Market (Core IQR)</v>
      </c>
      <c r="F4228" s="10">
        <f t="shared" si="1"/>
        <v>-0.4955671031</v>
      </c>
    </row>
    <row r="4229" ht="14.25" customHeight="1">
      <c r="A4229" s="2" t="s">
        <v>205</v>
      </c>
      <c r="B4229" s="2" t="s">
        <v>206</v>
      </c>
      <c r="C4229" s="2">
        <v>1995.0</v>
      </c>
      <c r="D4229" s="9">
        <v>6335.132</v>
      </c>
      <c r="E4229" s="10" t="str">
        <f t="array" ref="E4229">IFS(D4229&lt;=$G$3,'calculated data '!$A$3,D4229&lt;=$G$4,'calculated data '!$A$4,D4229&lt;=$G$6,'calculated data '!$A$5,D4229&gt;=$G$6,'calculated data '!$A$6)</f>
        <v>Target Market (Core IQR)</v>
      </c>
      <c r="F4229" s="10">
        <f t="shared" si="1"/>
        <v>-0.4954821087</v>
      </c>
    </row>
    <row r="4230" ht="14.25" customHeight="1">
      <c r="A4230" s="2" t="s">
        <v>281</v>
      </c>
      <c r="B4230" s="2" t="s">
        <v>282</v>
      </c>
      <c r="C4230" s="2">
        <v>1972.0</v>
      </c>
      <c r="D4230" s="9">
        <v>6336.94</v>
      </c>
      <c r="E4230" s="10" t="str">
        <f t="array" ref="E4230">IFS(D4230&lt;=$G$3,'calculated data '!$A$3,D4230&lt;=$G$4,'calculated data '!$A$4,D4230&lt;=$G$6,'calculated data '!$A$5,D4230&gt;=$G$6,'calculated data '!$A$6)</f>
        <v>Target Market (Core IQR)</v>
      </c>
      <c r="F4230" s="10">
        <f t="shared" si="1"/>
        <v>-0.4954342514</v>
      </c>
    </row>
    <row r="4231" ht="14.25" customHeight="1">
      <c r="A4231" s="2" t="s">
        <v>231</v>
      </c>
      <c r="B4231" s="2" t="s">
        <v>232</v>
      </c>
      <c r="C4231" s="2">
        <v>1977.0</v>
      </c>
      <c r="D4231" s="9">
        <v>6342.0986</v>
      </c>
      <c r="E4231" s="10" t="str">
        <f t="array" ref="E4231">IFS(D4231&lt;=$G$3,'calculated data '!$A$3,D4231&lt;=$G$4,'calculated data '!$A$4,D4231&lt;=$G$6,'calculated data '!$A$5,D4231&gt;=$G$6,'calculated data '!$A$6)</f>
        <v>Target Market (Core IQR)</v>
      </c>
      <c r="F4231" s="10">
        <f t="shared" si="1"/>
        <v>-0.4952977045</v>
      </c>
    </row>
    <row r="4232" ht="14.25" customHeight="1">
      <c r="A4232" s="2" t="s">
        <v>263</v>
      </c>
      <c r="B4232" s="2" t="s">
        <v>264</v>
      </c>
      <c r="C4232" s="2">
        <v>1997.0</v>
      </c>
      <c r="D4232" s="9">
        <v>6347.6133</v>
      </c>
      <c r="E4232" s="10" t="str">
        <f t="array" ref="E4232">IFS(D4232&lt;=$G$3,'calculated data '!$A$3,D4232&lt;=$G$4,'calculated data '!$A$4,D4232&lt;=$G$6,'calculated data '!$A$5,D4232&gt;=$G$6,'calculated data '!$A$6)</f>
        <v>Target Market (Core IQR)</v>
      </c>
      <c r="F4232" s="10">
        <f t="shared" si="1"/>
        <v>-0.4951517318</v>
      </c>
    </row>
    <row r="4233" ht="14.25" customHeight="1">
      <c r="A4233" s="2" t="s">
        <v>231</v>
      </c>
      <c r="B4233" s="2" t="s">
        <v>232</v>
      </c>
      <c r="C4233" s="2">
        <v>1982.0</v>
      </c>
      <c r="D4233" s="9">
        <v>6359.7583</v>
      </c>
      <c r="E4233" s="10" t="str">
        <f t="array" ref="E4233">IFS(D4233&lt;=$G$3,'calculated data '!$A$3,D4233&lt;=$G$4,'calculated data '!$A$4,D4233&lt;=$G$6,'calculated data '!$A$5,D4233&gt;=$G$6,'calculated data '!$A$6)</f>
        <v>Target Market (Core IQR)</v>
      </c>
      <c r="F4233" s="10">
        <f t="shared" si="1"/>
        <v>-0.4948302567</v>
      </c>
    </row>
    <row r="4234" ht="14.25" customHeight="1">
      <c r="A4234" s="2" t="s">
        <v>205</v>
      </c>
      <c r="B4234" s="2" t="s">
        <v>206</v>
      </c>
      <c r="C4234" s="2">
        <v>1990.0</v>
      </c>
      <c r="D4234" s="9">
        <v>6367.5864</v>
      </c>
      <c r="E4234" s="10" t="str">
        <f t="array" ref="E4234">IFS(D4234&lt;=$G$3,'calculated data '!$A$3,D4234&lt;=$G$4,'calculated data '!$A$4,D4234&lt;=$G$6,'calculated data '!$A$5,D4234&gt;=$G$6,'calculated data '!$A$6)</f>
        <v>Target Market (Core IQR)</v>
      </c>
      <c r="F4234" s="10">
        <f t="shared" si="1"/>
        <v>-0.4946230488</v>
      </c>
    </row>
    <row r="4235" ht="14.25" customHeight="1">
      <c r="A4235" s="2" t="s">
        <v>165</v>
      </c>
      <c r="B4235" s="2" t="s">
        <v>166</v>
      </c>
      <c r="C4235" s="2">
        <v>2019.0</v>
      </c>
      <c r="D4235" s="9">
        <v>6374.3105</v>
      </c>
      <c r="E4235" s="10" t="str">
        <f t="array" ref="E4235">IFS(D4235&lt;=$G$3,'calculated data '!$A$3,D4235&lt;=$G$4,'calculated data '!$A$4,D4235&lt;=$G$6,'calculated data '!$A$5,D4235&gt;=$G$6,'calculated data '!$A$6)</f>
        <v>Target Market (Core IQR)</v>
      </c>
      <c r="F4235" s="10">
        <f t="shared" si="1"/>
        <v>-0.4944450636</v>
      </c>
    </row>
    <row r="4236" ht="14.25" customHeight="1">
      <c r="A4236" s="2" t="s">
        <v>299</v>
      </c>
      <c r="B4236" s="2" t="s">
        <v>300</v>
      </c>
      <c r="C4236" s="2">
        <v>2021.0</v>
      </c>
      <c r="D4236" s="9">
        <v>6376.3755</v>
      </c>
      <c r="E4236" s="10" t="str">
        <f t="array" ref="E4236">IFS(D4236&lt;=$G$3,'calculated data '!$A$3,D4236&lt;=$G$4,'calculated data '!$A$4,D4236&lt;=$G$6,'calculated data '!$A$5,D4236&gt;=$G$6,'calculated data '!$A$6)</f>
        <v>Target Market (Core IQR)</v>
      </c>
      <c r="F4236" s="10">
        <f t="shared" si="1"/>
        <v>-0.4943904035</v>
      </c>
    </row>
    <row r="4237" ht="14.25" customHeight="1">
      <c r="A4237" s="2" t="s">
        <v>159</v>
      </c>
      <c r="B4237" s="2" t="s">
        <v>160</v>
      </c>
      <c r="C4237" s="2">
        <v>2017.0</v>
      </c>
      <c r="D4237" s="9">
        <v>6378.668</v>
      </c>
      <c r="E4237" s="10" t="str">
        <f t="array" ref="E4237">IFS(D4237&lt;=$G$3,'calculated data '!$A$3,D4237&lt;=$G$4,'calculated data '!$A$4,D4237&lt;=$G$6,'calculated data '!$A$5,D4237&gt;=$G$6,'calculated data '!$A$6)</f>
        <v>Target Market (Core IQR)</v>
      </c>
      <c r="F4237" s="10">
        <f t="shared" si="1"/>
        <v>-0.4943297216</v>
      </c>
    </row>
    <row r="4238" ht="14.25" customHeight="1">
      <c r="A4238" s="2" t="s">
        <v>259</v>
      </c>
      <c r="B4238" s="2" t="s">
        <v>260</v>
      </c>
      <c r="C4238" s="2">
        <v>1989.0</v>
      </c>
      <c r="D4238" s="9">
        <v>6378.6836</v>
      </c>
      <c r="E4238" s="10" t="str">
        <f t="array" ref="E4238">IFS(D4238&lt;=$G$3,'calculated data '!$A$3,D4238&lt;=$G$4,'calculated data '!$A$4,D4238&lt;=$G$6,'calculated data '!$A$5,D4238&gt;=$G$6,'calculated data '!$A$6)</f>
        <v>Target Market (Core IQR)</v>
      </c>
      <c r="F4238" s="10">
        <f t="shared" si="1"/>
        <v>-0.4943293087</v>
      </c>
    </row>
    <row r="4239" ht="14.25" customHeight="1">
      <c r="A4239" s="2" t="s">
        <v>241</v>
      </c>
      <c r="B4239" s="2" t="s">
        <v>242</v>
      </c>
      <c r="C4239" s="2">
        <v>1989.0</v>
      </c>
      <c r="D4239" s="9">
        <v>6379.866</v>
      </c>
      <c r="E4239" s="10" t="str">
        <f t="array" ref="E4239">IFS(D4239&lt;=$G$3,'calculated data '!$A$3,D4239&lt;=$G$4,'calculated data '!$A$4,D4239&lt;=$G$6,'calculated data '!$A$5,D4239&gt;=$G$6,'calculated data '!$A$6)</f>
        <v>Target Market (Core IQR)</v>
      </c>
      <c r="F4239" s="10">
        <f t="shared" si="1"/>
        <v>-0.4942980109</v>
      </c>
    </row>
    <row r="4240" ht="14.25" customHeight="1">
      <c r="A4240" s="2" t="s">
        <v>253</v>
      </c>
      <c r="B4240" s="2" t="s">
        <v>254</v>
      </c>
      <c r="C4240" s="2">
        <v>2001.0</v>
      </c>
      <c r="D4240" s="9">
        <v>6383.7065</v>
      </c>
      <c r="E4240" s="10" t="str">
        <f t="array" ref="E4240">IFS(D4240&lt;=$G$3,'calculated data '!$A$3,D4240&lt;=$G$4,'calculated data '!$A$4,D4240&lt;=$G$6,'calculated data '!$A$5,D4240&gt;=$G$6,'calculated data '!$A$6)</f>
        <v>Target Market (Core IQR)</v>
      </c>
      <c r="F4240" s="10">
        <f t="shared" si="1"/>
        <v>-0.4941963538</v>
      </c>
    </row>
    <row r="4241" ht="14.25" customHeight="1">
      <c r="A4241" s="2" t="s">
        <v>301</v>
      </c>
      <c r="B4241" s="2" t="s">
        <v>302</v>
      </c>
      <c r="C4241" s="2">
        <v>1965.0</v>
      </c>
      <c r="D4241" s="9">
        <v>6392.212</v>
      </c>
      <c r="E4241" s="10" t="str">
        <f t="array" ref="E4241">IFS(D4241&lt;=$G$3,'calculated data '!$A$3,D4241&lt;=$G$4,'calculated data '!$A$4,D4241&lt;=$G$6,'calculated data '!$A$5,D4241&gt;=$G$6,'calculated data '!$A$6)</f>
        <v>Target Market (Core IQR)</v>
      </c>
      <c r="F4241" s="10">
        <f t="shared" si="1"/>
        <v>-0.4939712153</v>
      </c>
    </row>
    <row r="4242" ht="14.25" customHeight="1">
      <c r="A4242" s="2" t="s">
        <v>301</v>
      </c>
      <c r="B4242" s="2" t="s">
        <v>302</v>
      </c>
      <c r="C4242" s="2">
        <v>1967.0</v>
      </c>
      <c r="D4242" s="9">
        <v>6394.794</v>
      </c>
      <c r="E4242" s="10" t="str">
        <f t="array" ref="E4242">IFS(D4242&lt;=$G$3,'calculated data '!$A$3,D4242&lt;=$G$4,'calculated data '!$A$4,D4242&lt;=$G$6,'calculated data '!$A$5,D4242&gt;=$G$6,'calculated data '!$A$6)</f>
        <v>Target Market (Core IQR)</v>
      </c>
      <c r="F4242" s="10">
        <f t="shared" si="1"/>
        <v>-0.4939028704</v>
      </c>
    </row>
    <row r="4243" ht="14.25" customHeight="1">
      <c r="A4243" s="2" t="s">
        <v>205</v>
      </c>
      <c r="B4243" s="2" t="s">
        <v>206</v>
      </c>
      <c r="C4243" s="2">
        <v>1989.0</v>
      </c>
      <c r="D4243" s="9">
        <v>6399.1836</v>
      </c>
      <c r="E4243" s="10" t="str">
        <f t="array" ref="E4243">IFS(D4243&lt;=$G$3,'calculated data '!$A$3,D4243&lt;=$G$4,'calculated data '!$A$4,D4243&lt;=$G$6,'calculated data '!$A$5,D4243&gt;=$G$6,'calculated data '!$A$6)</f>
        <v>Target Market (Core IQR)</v>
      </c>
      <c r="F4243" s="10">
        <f t="shared" si="1"/>
        <v>-0.4937866788</v>
      </c>
    </row>
    <row r="4244" ht="14.25" customHeight="1">
      <c r="A4244" s="2" t="s">
        <v>279</v>
      </c>
      <c r="B4244" s="2" t="s">
        <v>280</v>
      </c>
      <c r="C4244" s="2">
        <v>1969.0</v>
      </c>
      <c r="D4244" s="9">
        <v>6399.915</v>
      </c>
      <c r="E4244" s="10" t="str">
        <f t="array" ref="E4244">IFS(D4244&lt;=$G$3,'calculated data '!$A$3,D4244&lt;=$G$4,'calculated data '!$A$4,D4244&lt;=$G$6,'calculated data '!$A$5,D4244&gt;=$G$6,'calculated data '!$A$6)</f>
        <v>Target Market (Core IQR)</v>
      </c>
      <c r="F4244" s="10">
        <f t="shared" si="1"/>
        <v>-0.4937673188</v>
      </c>
    </row>
    <row r="4245" ht="14.25" customHeight="1">
      <c r="A4245" s="2" t="s">
        <v>225</v>
      </c>
      <c r="B4245" s="2" t="s">
        <v>226</v>
      </c>
      <c r="C4245" s="2">
        <v>2008.0</v>
      </c>
      <c r="D4245" s="9">
        <v>6400.3726</v>
      </c>
      <c r="E4245" s="10" t="str">
        <f t="array" ref="E4245">IFS(D4245&lt;=$G$3,'calculated data '!$A$3,D4245&lt;=$G$4,'calculated data '!$A$4,D4245&lt;=$G$6,'calculated data '!$A$5,D4245&gt;=$G$6,'calculated data '!$A$6)</f>
        <v>Target Market (Core IQR)</v>
      </c>
      <c r="F4245" s="10">
        <f t="shared" si="1"/>
        <v>-0.4937552063</v>
      </c>
    </row>
    <row r="4246" ht="14.25" customHeight="1">
      <c r="A4246" s="2" t="s">
        <v>235</v>
      </c>
      <c r="B4246" s="2" t="s">
        <v>236</v>
      </c>
      <c r="C4246" s="2">
        <v>1987.0</v>
      </c>
      <c r="D4246" s="9">
        <v>6403.1343</v>
      </c>
      <c r="E4246" s="10" t="str">
        <f t="array" ref="E4246">IFS(D4246&lt;=$G$3,'calculated data '!$A$3,D4246&lt;=$G$4,'calculated data '!$A$4,D4246&lt;=$G$6,'calculated data '!$A$5,D4246&gt;=$G$6,'calculated data '!$A$6)</f>
        <v>Target Market (Core IQR)</v>
      </c>
      <c r="F4246" s="10">
        <f t="shared" si="1"/>
        <v>-0.4936821048</v>
      </c>
    </row>
    <row r="4247" ht="14.25" customHeight="1">
      <c r="A4247" s="2" t="s">
        <v>239</v>
      </c>
      <c r="B4247" s="2" t="s">
        <v>240</v>
      </c>
      <c r="C4247" s="2">
        <v>2007.0</v>
      </c>
      <c r="D4247" s="9">
        <v>6405.87</v>
      </c>
      <c r="E4247" s="10" t="str">
        <f t="array" ref="E4247">IFS(D4247&lt;=$G$3,'calculated data '!$A$3,D4247&lt;=$G$4,'calculated data '!$A$4,D4247&lt;=$G$6,'calculated data '!$A$5,D4247&gt;=$G$6,'calculated data '!$A$6)</f>
        <v>Target Market (Core IQR)</v>
      </c>
      <c r="F4247" s="10">
        <f t="shared" si="1"/>
        <v>-0.4936096915</v>
      </c>
    </row>
    <row r="4248" ht="14.25" customHeight="1">
      <c r="A4248" s="2" t="s">
        <v>281</v>
      </c>
      <c r="B4248" s="2" t="s">
        <v>282</v>
      </c>
      <c r="C4248" s="2">
        <v>1983.0</v>
      </c>
      <c r="D4248" s="9">
        <v>6413.819</v>
      </c>
      <c r="E4248" s="10" t="str">
        <f t="array" ref="E4248">IFS(D4248&lt;=$G$3,'calculated data '!$A$3,D4248&lt;=$G$4,'calculated data '!$A$4,D4248&lt;=$G$6,'calculated data '!$A$5,D4248&gt;=$G$6,'calculated data '!$A$6)</f>
        <v>Target Market (Core IQR)</v>
      </c>
      <c r="F4248" s="10">
        <f t="shared" si="1"/>
        <v>-0.4933992834</v>
      </c>
    </row>
    <row r="4249" ht="14.25" customHeight="1">
      <c r="A4249" s="2" t="s">
        <v>253</v>
      </c>
      <c r="B4249" s="2" t="s">
        <v>254</v>
      </c>
      <c r="C4249" s="2">
        <v>1991.0</v>
      </c>
      <c r="D4249" s="9">
        <v>6415.6206</v>
      </c>
      <c r="E4249" s="10" t="str">
        <f t="array" ref="E4249">IFS(D4249&lt;=$G$3,'calculated data '!$A$3,D4249&lt;=$G$4,'calculated data '!$A$4,D4249&lt;=$G$6,'calculated data '!$A$5,D4249&gt;=$G$6,'calculated data '!$A$6)</f>
        <v>Target Market (Core IQR)</v>
      </c>
      <c r="F4249" s="10">
        <f t="shared" si="1"/>
        <v>-0.4933515955</v>
      </c>
    </row>
    <row r="4250" ht="14.25" customHeight="1">
      <c r="A4250" s="2" t="s">
        <v>165</v>
      </c>
      <c r="B4250" s="2" t="s">
        <v>166</v>
      </c>
      <c r="C4250" s="2">
        <v>2021.0</v>
      </c>
      <c r="D4250" s="9">
        <v>6421.473</v>
      </c>
      <c r="E4250" s="10" t="str">
        <f t="array" ref="E4250">IFS(D4250&lt;=$G$3,'calculated data '!$A$3,D4250&lt;=$G$4,'calculated data '!$A$4,D4250&lt;=$G$6,'calculated data '!$A$5,D4250&gt;=$G$6,'calculated data '!$A$6)</f>
        <v>Target Market (Core IQR)</v>
      </c>
      <c r="F4250" s="10">
        <f t="shared" si="1"/>
        <v>-0.4931966839</v>
      </c>
    </row>
    <row r="4251" ht="14.25" customHeight="1">
      <c r="A4251" s="2" t="s">
        <v>261</v>
      </c>
      <c r="B4251" s="2" t="s">
        <v>262</v>
      </c>
      <c r="C4251" s="2">
        <v>1995.0</v>
      </c>
      <c r="D4251" s="9">
        <v>6421.8887</v>
      </c>
      <c r="E4251" s="10" t="str">
        <f t="array" ref="E4251">IFS(D4251&lt;=$G$3,'calculated data '!$A$3,D4251&lt;=$G$4,'calculated data '!$A$4,D4251&lt;=$G$6,'calculated data '!$A$5,D4251&gt;=$G$6,'calculated data '!$A$6)</f>
        <v>Target Market (Core IQR)</v>
      </c>
      <c r="F4251" s="10">
        <f t="shared" si="1"/>
        <v>-0.4931856805</v>
      </c>
    </row>
    <row r="4252" ht="14.25" customHeight="1">
      <c r="A4252" s="2" t="s">
        <v>297</v>
      </c>
      <c r="B4252" s="2" t="s">
        <v>298</v>
      </c>
      <c r="C4252" s="2">
        <v>2003.0</v>
      </c>
      <c r="D4252" s="9">
        <v>6423.026</v>
      </c>
      <c r="E4252" s="10" t="str">
        <f t="array" ref="E4252">IFS(D4252&lt;=$G$3,'calculated data '!$A$3,D4252&lt;=$G$4,'calculated data '!$A$4,D4252&lt;=$G$6,'calculated data '!$A$5,D4252&gt;=$G$6,'calculated data '!$A$6)</f>
        <v>Target Market (Core IQR)</v>
      </c>
      <c r="F4252" s="10">
        <f t="shared" si="1"/>
        <v>-0.4931555764</v>
      </c>
    </row>
    <row r="4253" ht="14.25" customHeight="1">
      <c r="A4253" s="2" t="s">
        <v>281</v>
      </c>
      <c r="B4253" s="2" t="s">
        <v>282</v>
      </c>
      <c r="C4253" s="2">
        <v>2004.0</v>
      </c>
      <c r="D4253" s="9">
        <v>6432.3057</v>
      </c>
      <c r="E4253" s="10" t="str">
        <f t="array" ref="E4253">IFS(D4253&lt;=$G$3,'calculated data '!$A$3,D4253&lt;=$G$4,'calculated data '!$A$4,D4253&lt;=$G$6,'calculated data '!$A$5,D4253&gt;=$G$6,'calculated data '!$A$6)</f>
        <v>Target Market (Core IQR)</v>
      </c>
      <c r="F4253" s="10">
        <f t="shared" si="1"/>
        <v>-0.4929099451</v>
      </c>
    </row>
    <row r="4254" ht="14.25" customHeight="1">
      <c r="A4254" s="2" t="s">
        <v>281</v>
      </c>
      <c r="B4254" s="2" t="s">
        <v>282</v>
      </c>
      <c r="C4254" s="2">
        <v>2001.0</v>
      </c>
      <c r="D4254" s="9">
        <v>6433.8096</v>
      </c>
      <c r="E4254" s="10" t="str">
        <f t="array" ref="E4254">IFS(D4254&lt;=$G$3,'calculated data '!$A$3,D4254&lt;=$G$4,'calculated data '!$A$4,D4254&lt;=$G$6,'calculated data '!$A$5,D4254&gt;=$G$6,'calculated data '!$A$6)</f>
        <v>Target Market (Core IQR)</v>
      </c>
      <c r="F4254" s="10">
        <f t="shared" si="1"/>
        <v>-0.4928701372</v>
      </c>
    </row>
    <row r="4255" ht="14.25" customHeight="1">
      <c r="A4255" s="2" t="s">
        <v>169</v>
      </c>
      <c r="B4255" s="2" t="s">
        <v>170</v>
      </c>
      <c r="C4255" s="2">
        <v>1992.0</v>
      </c>
      <c r="D4255" s="9">
        <v>6438.851</v>
      </c>
      <c r="E4255" s="10" t="str">
        <f t="array" ref="E4255">IFS(D4255&lt;=$G$3,'calculated data '!$A$3,D4255&lt;=$G$4,'calculated data '!$A$4,D4255&lt;=$G$6,'calculated data '!$A$5,D4255&gt;=$G$6,'calculated data '!$A$6)</f>
        <v>Target Market (Core IQR)</v>
      </c>
      <c r="F4255" s="10">
        <f t="shared" si="1"/>
        <v>-0.4927366926</v>
      </c>
    </row>
    <row r="4256" ht="14.25" customHeight="1">
      <c r="A4256" s="2" t="s">
        <v>289</v>
      </c>
      <c r="B4256" s="2" t="s">
        <v>290</v>
      </c>
      <c r="C4256" s="2">
        <v>1992.0</v>
      </c>
      <c r="D4256" s="9">
        <v>6443.433</v>
      </c>
      <c r="E4256" s="10" t="str">
        <f t="array" ref="E4256">IFS(D4256&lt;=$G$3,'calculated data '!$A$3,D4256&lt;=$G$4,'calculated data '!$A$4,D4256&lt;=$G$6,'calculated data '!$A$5,D4256&gt;=$G$6,'calculated data '!$A$6)</f>
        <v>Target Market (Core IQR)</v>
      </c>
      <c r="F4256" s="10">
        <f t="shared" si="1"/>
        <v>-0.4926154082</v>
      </c>
    </row>
    <row r="4257" ht="14.25" customHeight="1">
      <c r="A4257" s="2" t="s">
        <v>207</v>
      </c>
      <c r="B4257" s="2" t="s">
        <v>208</v>
      </c>
      <c r="C4257" s="2">
        <v>1978.0</v>
      </c>
      <c r="D4257" s="9">
        <v>6447.271</v>
      </c>
      <c r="E4257" s="10" t="str">
        <f t="array" ref="E4257">IFS(D4257&lt;=$G$3,'calculated data '!$A$3,D4257&lt;=$G$4,'calculated data '!$A$4,D4257&lt;=$G$6,'calculated data '!$A$5,D4257&gt;=$G$6,'calculated data '!$A$6)</f>
        <v>Target Market (Core IQR)</v>
      </c>
      <c r="F4257" s="10">
        <f t="shared" si="1"/>
        <v>-0.4925138173</v>
      </c>
    </row>
    <row r="4258" ht="14.25" customHeight="1">
      <c r="A4258" s="2" t="s">
        <v>257</v>
      </c>
      <c r="B4258" s="2" t="s">
        <v>258</v>
      </c>
      <c r="C4258" s="2">
        <v>1972.0</v>
      </c>
      <c r="D4258" s="9">
        <v>6447.612</v>
      </c>
      <c r="E4258" s="10" t="str">
        <f t="array" ref="E4258">IFS(D4258&lt;=$G$3,'calculated data '!$A$3,D4258&lt;=$G$4,'calculated data '!$A$4,D4258&lt;=$G$6,'calculated data '!$A$5,D4258&gt;=$G$6,'calculated data '!$A$6)</f>
        <v>Target Market (Core IQR)</v>
      </c>
      <c r="F4258" s="10">
        <f t="shared" si="1"/>
        <v>-0.4925047911</v>
      </c>
    </row>
    <row r="4259" ht="14.25" customHeight="1">
      <c r="A4259" s="2" t="s">
        <v>159</v>
      </c>
      <c r="B4259" s="2" t="s">
        <v>160</v>
      </c>
      <c r="C4259" s="2">
        <v>2018.0</v>
      </c>
      <c r="D4259" s="9">
        <v>6449.333</v>
      </c>
      <c r="E4259" s="10" t="str">
        <f t="array" ref="E4259">IFS(D4259&lt;=$G$3,'calculated data '!$A$3,D4259&lt;=$G$4,'calculated data '!$A$4,D4259&lt;=$G$6,'calculated data '!$A$5,D4259&gt;=$G$6,'calculated data '!$A$6)</f>
        <v>Target Market (Core IQR)</v>
      </c>
      <c r="F4259" s="10">
        <f t="shared" si="1"/>
        <v>-0.4924592367</v>
      </c>
    </row>
    <row r="4260" ht="14.25" customHeight="1">
      <c r="A4260" s="2" t="s">
        <v>275</v>
      </c>
      <c r="B4260" s="2" t="s">
        <v>276</v>
      </c>
      <c r="C4260" s="2">
        <v>2021.0</v>
      </c>
      <c r="D4260" s="9">
        <v>6450.6025</v>
      </c>
      <c r="E4260" s="10" t="str">
        <f t="array" ref="E4260">IFS(D4260&lt;=$G$3,'calculated data '!$A$3,D4260&lt;=$G$4,'calculated data '!$A$4,D4260&lt;=$G$6,'calculated data '!$A$5,D4260&gt;=$G$6,'calculated data '!$A$6)</f>
        <v>Target Market (Core IQR)</v>
      </c>
      <c r="F4260" s="10">
        <f t="shared" si="1"/>
        <v>-0.4924256333</v>
      </c>
    </row>
    <row r="4261" ht="14.25" customHeight="1">
      <c r="A4261" s="2" t="s">
        <v>243</v>
      </c>
      <c r="B4261" s="2" t="s">
        <v>244</v>
      </c>
      <c r="C4261" s="2">
        <v>2001.0</v>
      </c>
      <c r="D4261" s="9">
        <v>6452.129</v>
      </c>
      <c r="E4261" s="10" t="str">
        <f t="array" ref="E4261">IFS(D4261&lt;=$G$3,'calculated data '!$A$3,D4261&lt;=$G$4,'calculated data '!$A$4,D4261&lt;=$G$6,'calculated data '!$A$5,D4261&gt;=$G$6,'calculated data '!$A$6)</f>
        <v>Target Market (Core IQR)</v>
      </c>
      <c r="F4261" s="10">
        <f t="shared" si="1"/>
        <v>-0.4923852273</v>
      </c>
    </row>
    <row r="4262" ht="14.25" customHeight="1">
      <c r="A4262" s="2" t="s">
        <v>263</v>
      </c>
      <c r="B4262" s="2" t="s">
        <v>264</v>
      </c>
      <c r="C4262" s="2">
        <v>1998.0</v>
      </c>
      <c r="D4262" s="9">
        <v>6452.4487</v>
      </c>
      <c r="E4262" s="10" t="str">
        <f t="array" ref="E4262">IFS(D4262&lt;=$G$3,'calculated data '!$A$3,D4262&lt;=$G$4,'calculated data '!$A$4,D4262&lt;=$G$6,'calculated data '!$A$5,D4262&gt;=$G$6,'calculated data '!$A$6)</f>
        <v>Target Market (Core IQR)</v>
      </c>
      <c r="F4262" s="10">
        <f t="shared" si="1"/>
        <v>-0.4923767649</v>
      </c>
    </row>
    <row r="4263" ht="14.25" customHeight="1">
      <c r="A4263" s="2" t="s">
        <v>281</v>
      </c>
      <c r="B4263" s="2" t="s">
        <v>282</v>
      </c>
      <c r="C4263" s="2">
        <v>1974.0</v>
      </c>
      <c r="D4263" s="9">
        <v>6457.815</v>
      </c>
      <c r="E4263" s="10" t="str">
        <f t="array" ref="E4263">IFS(D4263&lt;=$G$3,'calculated data '!$A$3,D4263&lt;=$G$4,'calculated data '!$A$4,D4263&lt;=$G$6,'calculated data '!$A$5,D4263&gt;=$G$6,'calculated data '!$A$6)</f>
        <v>Target Market (Core IQR)</v>
      </c>
      <c r="F4263" s="10">
        <f t="shared" si="1"/>
        <v>-0.4922347202</v>
      </c>
    </row>
    <row r="4264" ht="14.25" customHeight="1">
      <c r="A4264" s="2" t="s">
        <v>249</v>
      </c>
      <c r="B4264" s="2" t="s">
        <v>250</v>
      </c>
      <c r="C4264" s="2">
        <v>1977.0</v>
      </c>
      <c r="D4264" s="9">
        <v>6459.532</v>
      </c>
      <c r="E4264" s="10" t="str">
        <f t="array" ref="E4264">IFS(D4264&lt;=$G$3,'calculated data '!$A$3,D4264&lt;=$G$4,'calculated data '!$A$4,D4264&lt;=$G$6,'calculated data '!$A$5,D4264&gt;=$G$6,'calculated data '!$A$6)</f>
        <v>Target Market (Core IQR)</v>
      </c>
      <c r="F4264" s="10">
        <f t="shared" si="1"/>
        <v>-0.4921892717</v>
      </c>
    </row>
    <row r="4265" ht="14.25" customHeight="1">
      <c r="A4265" s="2" t="s">
        <v>303</v>
      </c>
      <c r="B4265" s="2" t="s">
        <v>304</v>
      </c>
      <c r="C4265" s="2">
        <v>1997.0</v>
      </c>
      <c r="D4265" s="9">
        <v>6461.444</v>
      </c>
      <c r="E4265" s="10" t="str">
        <f t="array" ref="E4265">IFS(D4265&lt;=$G$3,'calculated data '!$A$3,D4265&lt;=$G$4,'calculated data '!$A$4,D4265&lt;=$G$6,'calculated data '!$A$5,D4265&gt;=$G$6,'calculated data '!$A$6)</f>
        <v>Target Market (Core IQR)</v>
      </c>
      <c r="F4265" s="10">
        <f t="shared" si="1"/>
        <v>-0.4921386615</v>
      </c>
    </row>
    <row r="4266" ht="14.25" customHeight="1">
      <c r="A4266" s="2" t="s">
        <v>183</v>
      </c>
      <c r="B4266" s="2" t="s">
        <v>184</v>
      </c>
      <c r="C4266" s="2">
        <v>1995.0</v>
      </c>
      <c r="D4266" s="9">
        <v>6467.2</v>
      </c>
      <c r="E4266" s="10" t="str">
        <f t="array" ref="E4266">IFS(D4266&lt;=$G$3,'calculated data '!$A$3,D4266&lt;=$G$4,'calculated data '!$A$4,D4266&lt;=$G$6,'calculated data '!$A$5,D4266&gt;=$G$6,'calculated data '!$A$6)</f>
        <v>Target Market (Core IQR)</v>
      </c>
      <c r="F4266" s="10">
        <f t="shared" si="1"/>
        <v>-0.4919863016</v>
      </c>
    </row>
    <row r="4267" ht="14.25" customHeight="1">
      <c r="A4267" s="2" t="s">
        <v>209</v>
      </c>
      <c r="B4267" s="2" t="s">
        <v>210</v>
      </c>
      <c r="C4267" s="2">
        <v>2019.0</v>
      </c>
      <c r="D4267" s="9">
        <v>6477.0215</v>
      </c>
      <c r="E4267" s="10" t="str">
        <f t="array" ref="E4267">IFS(D4267&lt;=$G$3,'calculated data '!$A$3,D4267&lt;=$G$4,'calculated data '!$A$4,D4267&lt;=$G$6,'calculated data '!$A$5,D4267&gt;=$G$6,'calculated data '!$A$6)</f>
        <v>Target Market (Core IQR)</v>
      </c>
      <c r="F4267" s="10">
        <f t="shared" si="1"/>
        <v>-0.491726329</v>
      </c>
    </row>
    <row r="4268" ht="14.25" customHeight="1">
      <c r="A4268" s="2" t="s">
        <v>45</v>
      </c>
      <c r="B4268" s="2" t="s">
        <v>46</v>
      </c>
      <c r="C4268" s="2">
        <v>1985.0</v>
      </c>
      <c r="D4268" s="9">
        <v>6489.7485</v>
      </c>
      <c r="E4268" s="10" t="str">
        <f t="array" ref="E4268">IFS(D4268&lt;=$G$3,'calculated data '!$A$3,D4268&lt;=$G$4,'calculated data '!$A$4,D4268&lt;=$G$6,'calculated data '!$A$5,D4268&gt;=$G$6,'calculated data '!$A$6)</f>
        <v>Target Market (Core IQR)</v>
      </c>
      <c r="F4268" s="10">
        <f t="shared" si="1"/>
        <v>-0.4913894485</v>
      </c>
    </row>
    <row r="4269" ht="14.25" customHeight="1">
      <c r="A4269" s="2" t="s">
        <v>227</v>
      </c>
      <c r="B4269" s="2" t="s">
        <v>228</v>
      </c>
      <c r="C4269" s="2">
        <v>1976.0</v>
      </c>
      <c r="D4269" s="9">
        <v>6491.9067</v>
      </c>
      <c r="E4269" s="10" t="str">
        <f t="array" ref="E4269">IFS(D4269&lt;=$G$3,'calculated data '!$A$3,D4269&lt;=$G$4,'calculated data '!$A$4,D4269&lt;=$G$6,'calculated data '!$A$5,D4269&gt;=$G$6,'calculated data '!$A$6)</f>
        <v>Target Market (Core IQR)</v>
      </c>
      <c r="F4269" s="10">
        <f t="shared" si="1"/>
        <v>-0.4913323214</v>
      </c>
    </row>
    <row r="4270" ht="14.25" customHeight="1">
      <c r="A4270" s="2" t="s">
        <v>281</v>
      </c>
      <c r="B4270" s="2" t="s">
        <v>282</v>
      </c>
      <c r="C4270" s="2">
        <v>2000.0</v>
      </c>
      <c r="D4270" s="9">
        <v>6492.5767</v>
      </c>
      <c r="E4270" s="10" t="str">
        <f t="array" ref="E4270">IFS(D4270&lt;=$G$3,'calculated data '!$A$3,D4270&lt;=$G$4,'calculated data '!$A$4,D4270&lt;=$G$6,'calculated data '!$A$5,D4270&gt;=$G$6,'calculated data '!$A$6)</f>
        <v>Target Market (Core IQR)</v>
      </c>
      <c r="F4270" s="10">
        <f t="shared" si="1"/>
        <v>-0.4913145867</v>
      </c>
    </row>
    <row r="4271" ht="14.25" customHeight="1">
      <c r="A4271" s="2" t="s">
        <v>197</v>
      </c>
      <c r="B4271" s="2" t="s">
        <v>198</v>
      </c>
      <c r="C4271" s="2">
        <v>1988.0</v>
      </c>
      <c r="D4271" s="9">
        <v>6503.9316</v>
      </c>
      <c r="E4271" s="10" t="str">
        <f t="array" ref="E4271">IFS(D4271&lt;=$G$3,'calculated data '!$A$3,D4271&lt;=$G$4,'calculated data '!$A$4,D4271&lt;=$G$6,'calculated data '!$A$5,D4271&gt;=$G$6,'calculated data '!$A$6)</f>
        <v>Target Market (Core IQR)</v>
      </c>
      <c r="F4271" s="10">
        <f t="shared" si="1"/>
        <v>-0.4910140253</v>
      </c>
    </row>
    <row r="4272" ht="14.25" customHeight="1">
      <c r="A4272" s="2" t="s">
        <v>265</v>
      </c>
      <c r="B4272" s="2" t="s">
        <v>266</v>
      </c>
      <c r="C4272" s="2">
        <v>1994.0</v>
      </c>
      <c r="D4272" s="9">
        <v>6505.708</v>
      </c>
      <c r="E4272" s="10" t="str">
        <f t="array" ref="E4272">IFS(D4272&lt;=$G$3,'calculated data '!$A$3,D4272&lt;=$G$4,'calculated data '!$A$4,D4272&lt;=$G$6,'calculated data '!$A$5,D4272&gt;=$G$6,'calculated data '!$A$6)</f>
        <v>Target Market (Core IQR)</v>
      </c>
      <c r="F4272" s="10">
        <f t="shared" si="1"/>
        <v>-0.4909670045</v>
      </c>
    </row>
    <row r="4273" ht="14.25" customHeight="1">
      <c r="A4273" s="2" t="s">
        <v>239</v>
      </c>
      <c r="B4273" s="2" t="s">
        <v>240</v>
      </c>
      <c r="C4273" s="2">
        <v>2000.0</v>
      </c>
      <c r="D4273" s="9">
        <v>6508.233</v>
      </c>
      <c r="E4273" s="10" t="str">
        <f t="array" ref="E4273">IFS(D4273&lt;=$G$3,'calculated data '!$A$3,D4273&lt;=$G$4,'calculated data '!$A$4,D4273&lt;=$G$6,'calculated data '!$A$5,D4273&gt;=$G$6,'calculated data '!$A$6)</f>
        <v>Target Market (Core IQR)</v>
      </c>
      <c r="F4273" s="10">
        <f t="shared" si="1"/>
        <v>-0.4909001683</v>
      </c>
    </row>
    <row r="4274" ht="14.25" customHeight="1">
      <c r="A4274" s="2" t="s">
        <v>299</v>
      </c>
      <c r="B4274" s="2" t="s">
        <v>300</v>
      </c>
      <c r="C4274" s="2">
        <v>2003.0</v>
      </c>
      <c r="D4274" s="9">
        <v>6508.634</v>
      </c>
      <c r="E4274" s="10" t="str">
        <f t="array" ref="E4274">IFS(D4274&lt;=$G$3,'calculated data '!$A$3,D4274&lt;=$G$4,'calculated data '!$A$4,D4274&lt;=$G$6,'calculated data '!$A$5,D4274&gt;=$G$6,'calculated data '!$A$6)</f>
        <v>Target Market (Core IQR)</v>
      </c>
      <c r="F4274" s="10">
        <f t="shared" si="1"/>
        <v>-0.490889554</v>
      </c>
    </row>
    <row r="4275" ht="14.25" customHeight="1">
      <c r="A4275" s="2" t="s">
        <v>301</v>
      </c>
      <c r="B4275" s="2" t="s">
        <v>302</v>
      </c>
      <c r="C4275" s="2">
        <v>1966.0</v>
      </c>
      <c r="D4275" s="9">
        <v>6515.5312</v>
      </c>
      <c r="E4275" s="10" t="str">
        <f t="array" ref="E4275">IFS(D4275&lt;=$G$3,'calculated data '!$A$3,D4275&lt;=$G$4,'calculated data '!$A$4,D4275&lt;=$G$6,'calculated data '!$A$5,D4275&gt;=$G$6,'calculated data '!$A$6)</f>
        <v>Target Market (Core IQR)</v>
      </c>
      <c r="F4275" s="10">
        <f t="shared" si="1"/>
        <v>-0.4907069868</v>
      </c>
    </row>
    <row r="4276" ht="14.25" customHeight="1">
      <c r="A4276" s="2" t="s">
        <v>41</v>
      </c>
      <c r="B4276" s="2" t="s">
        <v>42</v>
      </c>
      <c r="C4276" s="2">
        <v>2015.0</v>
      </c>
      <c r="D4276" s="9">
        <v>6516.4985</v>
      </c>
      <c r="E4276" s="10" t="str">
        <f t="array" ref="E4276">IFS(D4276&lt;=$G$3,'calculated data '!$A$3,D4276&lt;=$G$4,'calculated data '!$A$4,D4276&lt;=$G$6,'calculated data '!$A$5,D4276&gt;=$G$6,'calculated data '!$A$6)</f>
        <v>Target Market (Core IQR)</v>
      </c>
      <c r="F4276" s="10">
        <f t="shared" si="1"/>
        <v>-0.4906813826</v>
      </c>
    </row>
    <row r="4277" ht="14.25" customHeight="1">
      <c r="A4277" s="2" t="s">
        <v>255</v>
      </c>
      <c r="B4277" s="2" t="s">
        <v>256</v>
      </c>
      <c r="C4277" s="2">
        <v>2010.0</v>
      </c>
      <c r="D4277" s="9">
        <v>6517.6055</v>
      </c>
      <c r="E4277" s="10" t="str">
        <f t="array" ref="E4277">IFS(D4277&lt;=$G$3,'calculated data '!$A$3,D4277&lt;=$G$4,'calculated data '!$A$4,D4277&lt;=$G$6,'calculated data '!$A$5,D4277&gt;=$G$6,'calculated data '!$A$6)</f>
        <v>Target Market (Core IQR)</v>
      </c>
      <c r="F4277" s="10">
        <f t="shared" si="1"/>
        <v>-0.4906520806</v>
      </c>
    </row>
    <row r="4278" ht="14.25" customHeight="1">
      <c r="A4278" s="2" t="s">
        <v>261</v>
      </c>
      <c r="B4278" s="2" t="s">
        <v>262</v>
      </c>
      <c r="C4278" s="2">
        <v>1997.0</v>
      </c>
      <c r="D4278" s="9">
        <v>6520.789</v>
      </c>
      <c r="E4278" s="10" t="str">
        <f t="array" ref="E4278">IFS(D4278&lt;=$G$3,'calculated data '!$A$3,D4278&lt;=$G$4,'calculated data '!$A$4,D4278&lt;=$G$6,'calculated data '!$A$5,D4278&gt;=$G$6,'calculated data '!$A$6)</f>
        <v>Target Market (Core IQR)</v>
      </c>
      <c r="F4278" s="10">
        <f t="shared" si="1"/>
        <v>-0.4905678142</v>
      </c>
    </row>
    <row r="4279" ht="14.25" customHeight="1">
      <c r="A4279" s="2" t="s">
        <v>281</v>
      </c>
      <c r="B4279" s="2" t="s">
        <v>282</v>
      </c>
      <c r="C4279" s="2">
        <v>1988.0</v>
      </c>
      <c r="D4279" s="9">
        <v>6522.9756</v>
      </c>
      <c r="E4279" s="10" t="str">
        <f t="array" ref="E4279">IFS(D4279&lt;=$G$3,'calculated data '!$A$3,D4279&lt;=$G$4,'calculated data '!$A$4,D4279&lt;=$G$6,'calculated data '!$A$5,D4279&gt;=$G$6,'calculated data '!$A$6)</f>
        <v>Target Market (Core IQR)</v>
      </c>
      <c r="F4279" s="10">
        <f t="shared" si="1"/>
        <v>-0.4905099354</v>
      </c>
    </row>
    <row r="4280" ht="14.25" customHeight="1">
      <c r="A4280" s="2" t="s">
        <v>275</v>
      </c>
      <c r="B4280" s="2" t="s">
        <v>276</v>
      </c>
      <c r="C4280" s="2">
        <v>2013.0</v>
      </c>
      <c r="D4280" s="9">
        <v>6535.18</v>
      </c>
      <c r="E4280" s="10" t="str">
        <f t="array" ref="E4280">IFS(D4280&lt;=$G$3,'calculated data '!$A$3,D4280&lt;=$G$4,'calculated data '!$A$4,D4280&lt;=$G$6,'calculated data '!$A$5,D4280&gt;=$G$6,'calculated data '!$A$6)</f>
        <v>Target Market (Core IQR)</v>
      </c>
      <c r="F4280" s="10">
        <f t="shared" si="1"/>
        <v>-0.490186888</v>
      </c>
    </row>
    <row r="4281" ht="14.25" customHeight="1">
      <c r="A4281" s="2" t="s">
        <v>223</v>
      </c>
      <c r="B4281" s="2" t="s">
        <v>224</v>
      </c>
      <c r="C4281" s="2">
        <v>2023.0</v>
      </c>
      <c r="D4281" s="9">
        <v>6540.6587</v>
      </c>
      <c r="E4281" s="10" t="str">
        <f t="array" ref="E4281">IFS(D4281&lt;=$G$3,'calculated data '!$A$3,D4281&lt;=$G$4,'calculated data '!$A$4,D4281&lt;=$G$6,'calculated data '!$A$5,D4281&gt;=$G$6,'calculated data '!$A$6)</f>
        <v>Target Market (Core IQR)</v>
      </c>
      <c r="F4281" s="10">
        <f t="shared" si="1"/>
        <v>-0.4900418681</v>
      </c>
    </row>
    <row r="4282" ht="14.25" customHeight="1">
      <c r="A4282" s="2" t="s">
        <v>205</v>
      </c>
      <c r="B4282" s="2" t="s">
        <v>206</v>
      </c>
      <c r="C4282" s="2">
        <v>1996.0</v>
      </c>
      <c r="D4282" s="9">
        <v>6546.554</v>
      </c>
      <c r="E4282" s="10" t="str">
        <f t="array" ref="E4282">IFS(D4282&lt;=$G$3,'calculated data '!$A$3,D4282&lt;=$G$4,'calculated data '!$A$4,D4282&lt;=$G$6,'calculated data '!$A$5,D4282&gt;=$G$6,'calculated data '!$A$6)</f>
        <v>Target Market (Core IQR)</v>
      </c>
      <c r="F4282" s="10">
        <f t="shared" si="1"/>
        <v>-0.489885821</v>
      </c>
    </row>
    <row r="4283" ht="14.25" customHeight="1">
      <c r="A4283" s="2" t="s">
        <v>231</v>
      </c>
      <c r="B4283" s="2" t="s">
        <v>232</v>
      </c>
      <c r="C4283" s="2">
        <v>1983.0</v>
      </c>
      <c r="D4283" s="9">
        <v>6553.804</v>
      </c>
      <c r="E4283" s="10" t="str">
        <f t="array" ref="E4283">IFS(D4283&lt;=$G$3,'calculated data '!$A$3,D4283&lt;=$G$4,'calculated data '!$A$4,D4283&lt;=$G$6,'calculated data '!$A$5,D4283&gt;=$G$6,'calculated data '!$A$6)</f>
        <v>Target Market (Core IQR)</v>
      </c>
      <c r="F4283" s="10">
        <f t="shared" si="1"/>
        <v>-0.4896939153</v>
      </c>
    </row>
    <row r="4284" ht="14.25" customHeight="1">
      <c r="A4284" s="2" t="s">
        <v>269</v>
      </c>
      <c r="B4284" s="2" t="s">
        <v>270</v>
      </c>
      <c r="C4284" s="2">
        <v>2014.0</v>
      </c>
      <c r="D4284" s="9">
        <v>6556.0454</v>
      </c>
      <c r="E4284" s="10" t="str">
        <f t="array" ref="E4284">IFS(D4284&lt;=$G$3,'calculated data '!$A$3,D4284&lt;=$G$4,'calculated data '!$A$4,D4284&lt;=$G$6,'calculated data '!$A$5,D4284&gt;=$G$6,'calculated data '!$A$6)</f>
        <v>Target Market (Core IQR)</v>
      </c>
      <c r="F4284" s="10">
        <f t="shared" si="1"/>
        <v>-0.489634586</v>
      </c>
    </row>
    <row r="4285" ht="14.25" customHeight="1">
      <c r="A4285" s="2" t="s">
        <v>299</v>
      </c>
      <c r="B4285" s="2" t="s">
        <v>300</v>
      </c>
      <c r="C4285" s="2">
        <v>2004.0</v>
      </c>
      <c r="D4285" s="9">
        <v>6561.337</v>
      </c>
      <c r="E4285" s="10" t="str">
        <f t="array" ref="E4285">IFS(D4285&lt;=$G$3,'calculated data '!$A$3,D4285&lt;=$G$4,'calculated data '!$A$4,D4285&lt;=$G$6,'calculated data '!$A$5,D4285&gt;=$G$6,'calculated data '!$A$6)</f>
        <v>Target Market (Core IQR)</v>
      </c>
      <c r="F4285" s="10">
        <f t="shared" si="1"/>
        <v>-0.4894945187</v>
      </c>
    </row>
    <row r="4286" ht="14.25" customHeight="1">
      <c r="A4286" s="2" t="s">
        <v>305</v>
      </c>
      <c r="B4286" s="2" t="s">
        <v>306</v>
      </c>
      <c r="C4286" s="2">
        <v>2021.0</v>
      </c>
      <c r="D4286" s="9">
        <v>6564.7666</v>
      </c>
      <c r="E4286" s="10" t="str">
        <f t="array" ref="E4286">IFS(D4286&lt;=$G$3,'calculated data '!$A$3,D4286&lt;=$G$4,'calculated data '!$A$4,D4286&lt;=$G$6,'calculated data '!$A$5,D4286&gt;=$G$6,'calculated data '!$A$6)</f>
        <v>Target Market (Core IQR)</v>
      </c>
      <c r="F4286" s="10">
        <f t="shared" si="1"/>
        <v>-0.489403738</v>
      </c>
    </row>
    <row r="4287" ht="14.25" customHeight="1">
      <c r="A4287" s="2" t="s">
        <v>239</v>
      </c>
      <c r="B4287" s="2" t="s">
        <v>240</v>
      </c>
      <c r="C4287" s="2">
        <v>2001.0</v>
      </c>
      <c r="D4287" s="9">
        <v>6569.6787</v>
      </c>
      <c r="E4287" s="10" t="str">
        <f t="array" ref="E4287">IFS(D4287&lt;=$G$3,'calculated data '!$A$3,D4287&lt;=$G$4,'calculated data '!$A$4,D4287&lt;=$G$6,'calculated data '!$A$5,D4287&gt;=$G$6,'calculated data '!$A$6)</f>
        <v>Target Market (Core IQR)</v>
      </c>
      <c r="F4287" s="10">
        <f t="shared" si="1"/>
        <v>-0.489273716</v>
      </c>
    </row>
    <row r="4288" ht="14.25" customHeight="1">
      <c r="A4288" s="2" t="s">
        <v>231</v>
      </c>
      <c r="B4288" s="2" t="s">
        <v>232</v>
      </c>
      <c r="C4288" s="2">
        <v>1978.0</v>
      </c>
      <c r="D4288" s="9">
        <v>6569.683</v>
      </c>
      <c r="E4288" s="10" t="str">
        <f t="array" ref="E4288">IFS(D4288&lt;=$G$3,'calculated data '!$A$3,D4288&lt;=$G$4,'calculated data '!$A$4,D4288&lt;=$G$6,'calculated data '!$A$5,D4288&gt;=$G$6,'calculated data '!$A$6)</f>
        <v>Target Market (Core IQR)</v>
      </c>
      <c r="F4288" s="10">
        <f t="shared" si="1"/>
        <v>-0.4892736021</v>
      </c>
    </row>
    <row r="4289" ht="14.25" customHeight="1">
      <c r="A4289" s="2" t="s">
        <v>45</v>
      </c>
      <c r="B4289" s="2" t="s">
        <v>46</v>
      </c>
      <c r="C4289" s="2">
        <v>1984.0</v>
      </c>
      <c r="D4289" s="9">
        <v>6588.1113</v>
      </c>
      <c r="E4289" s="10" t="str">
        <f t="array" ref="E4289">IFS(D4289&lt;=$G$3,'calculated data '!$A$3,D4289&lt;=$G$4,'calculated data '!$A$4,D4289&lt;=$G$6,'calculated data '!$A$5,D4289&gt;=$G$6,'calculated data '!$A$6)</f>
        <v>Target Market (Core IQR)</v>
      </c>
      <c r="F4289" s="10">
        <f t="shared" si="1"/>
        <v>-0.4887858096</v>
      </c>
    </row>
    <row r="4290" ht="14.25" customHeight="1">
      <c r="A4290" s="2" t="s">
        <v>239</v>
      </c>
      <c r="B4290" s="2" t="s">
        <v>240</v>
      </c>
      <c r="C4290" s="2">
        <v>2002.0</v>
      </c>
      <c r="D4290" s="9">
        <v>6589.4956</v>
      </c>
      <c r="E4290" s="10" t="str">
        <f t="array" ref="E4290">IFS(D4290&lt;=$G$3,'calculated data '!$A$3,D4290&lt;=$G$4,'calculated data '!$A$4,D4290&lt;=$G$6,'calculated data '!$A$5,D4290&gt;=$G$6,'calculated data '!$A$6)</f>
        <v>Target Market (Core IQR)</v>
      </c>
      <c r="F4290" s="10">
        <f t="shared" si="1"/>
        <v>-0.4887491676</v>
      </c>
    </row>
    <row r="4291" ht="14.25" customHeight="1">
      <c r="A4291" s="2" t="s">
        <v>111</v>
      </c>
      <c r="B4291" s="2" t="s">
        <v>112</v>
      </c>
      <c r="C4291" s="2">
        <v>2018.0</v>
      </c>
      <c r="D4291" s="9">
        <v>6599.902</v>
      </c>
      <c r="E4291" s="10" t="str">
        <f t="array" ref="E4291">IFS(D4291&lt;=$G$3,'calculated data '!$A$3,D4291&lt;=$G$4,'calculated data '!$A$4,D4291&lt;=$G$6,'calculated data '!$A$5,D4291&gt;=$G$6,'calculated data '!$A$6)</f>
        <v>Target Market (Core IQR)</v>
      </c>
      <c r="F4291" s="10">
        <f t="shared" si="1"/>
        <v>-0.4884737127</v>
      </c>
    </row>
    <row r="4292" ht="14.25" customHeight="1">
      <c r="A4292" s="2" t="s">
        <v>289</v>
      </c>
      <c r="B4292" s="2" t="s">
        <v>290</v>
      </c>
      <c r="C4292" s="2">
        <v>1988.0</v>
      </c>
      <c r="D4292" s="9">
        <v>6616.2646</v>
      </c>
      <c r="E4292" s="10" t="str">
        <f t="array" ref="E4292">IFS(D4292&lt;=$G$3,'calculated data '!$A$3,D4292&lt;=$G$4,'calculated data '!$A$4,D4292&lt;=$G$6,'calculated data '!$A$5,D4292&gt;=$G$6,'calculated data '!$A$6)</f>
        <v>Target Market (Core IQR)</v>
      </c>
      <c r="F4292" s="10">
        <f t="shared" si="1"/>
        <v>-0.4880405988</v>
      </c>
    </row>
    <row r="4293" ht="14.25" customHeight="1">
      <c r="A4293" s="2" t="s">
        <v>297</v>
      </c>
      <c r="B4293" s="2" t="s">
        <v>298</v>
      </c>
      <c r="C4293" s="2">
        <v>2000.0</v>
      </c>
      <c r="D4293" s="9">
        <v>6619.5894</v>
      </c>
      <c r="E4293" s="10" t="str">
        <f t="array" ref="E4293">IFS(D4293&lt;=$G$3,'calculated data '!$A$3,D4293&lt;=$G$4,'calculated data '!$A$4,D4293&lt;=$G$6,'calculated data '!$A$5,D4293&gt;=$G$6,'calculated data '!$A$6)</f>
        <v>Target Market (Core IQR)</v>
      </c>
      <c r="F4293" s="10">
        <f t="shared" si="1"/>
        <v>-0.4879525922</v>
      </c>
    </row>
    <row r="4294" ht="14.25" customHeight="1">
      <c r="A4294" s="2" t="s">
        <v>293</v>
      </c>
      <c r="B4294" s="2" t="s">
        <v>294</v>
      </c>
      <c r="C4294" s="2">
        <v>1984.0</v>
      </c>
      <c r="D4294" s="9">
        <v>6620.474</v>
      </c>
      <c r="E4294" s="10" t="str">
        <f t="array" ref="E4294">IFS(D4294&lt;=$G$3,'calculated data '!$A$3,D4294&lt;=$G$4,'calculated data '!$A$4,D4294&lt;=$G$6,'calculated data '!$A$5,D4294&gt;=$G$6,'calculated data '!$A$6)</f>
        <v>Target Market (Core IQR)</v>
      </c>
      <c r="F4294" s="10">
        <f t="shared" si="1"/>
        <v>-0.487929177</v>
      </c>
    </row>
    <row r="4295" ht="14.25" customHeight="1">
      <c r="A4295" s="2" t="s">
        <v>243</v>
      </c>
      <c r="B4295" s="2" t="s">
        <v>244</v>
      </c>
      <c r="C4295" s="2">
        <v>2006.0</v>
      </c>
      <c r="D4295" s="9">
        <v>6620.7944</v>
      </c>
      <c r="E4295" s="10" t="str">
        <f t="array" ref="E4295">IFS(D4295&lt;=$G$3,'calculated data '!$A$3,D4295&lt;=$G$4,'calculated data '!$A$4,D4295&lt;=$G$6,'calculated data '!$A$5,D4295&gt;=$G$6,'calculated data '!$A$6)</f>
        <v>Target Market (Core IQR)</v>
      </c>
      <c r="F4295" s="10">
        <f t="shared" si="1"/>
        <v>-0.4879206961</v>
      </c>
    </row>
    <row r="4296" ht="14.25" customHeight="1">
      <c r="A4296" s="2" t="s">
        <v>211</v>
      </c>
      <c r="B4296" s="2" t="s">
        <v>212</v>
      </c>
      <c r="C4296" s="2">
        <v>2023.0</v>
      </c>
      <c r="D4296" s="9">
        <v>6629.5996</v>
      </c>
      <c r="E4296" s="10" t="str">
        <f t="array" ref="E4296">IFS(D4296&lt;=$G$3,'calculated data '!$A$3,D4296&lt;=$G$4,'calculated data '!$A$4,D4296&lt;=$G$6,'calculated data '!$A$5,D4296&gt;=$G$6,'calculated data '!$A$6)</f>
        <v>Target Market (Core IQR)</v>
      </c>
      <c r="F4296" s="10">
        <f t="shared" si="1"/>
        <v>-0.4876876247</v>
      </c>
    </row>
    <row r="4297" ht="14.25" customHeight="1">
      <c r="A4297" s="2" t="s">
        <v>251</v>
      </c>
      <c r="B4297" s="2" t="s">
        <v>252</v>
      </c>
      <c r="C4297" s="2">
        <v>1983.0</v>
      </c>
      <c r="D4297" s="9">
        <v>6632.96</v>
      </c>
      <c r="E4297" s="10" t="str">
        <f t="array" ref="E4297">IFS(D4297&lt;=$G$3,'calculated data '!$A$3,D4297&lt;=$G$4,'calculated data '!$A$4,D4297&lt;=$G$6,'calculated data '!$A$5,D4297&gt;=$G$6,'calculated data '!$A$6)</f>
        <v>Target Market (Core IQR)</v>
      </c>
      <c r="F4297" s="10">
        <f t="shared" si="1"/>
        <v>-0.4875986757</v>
      </c>
    </row>
    <row r="4298" ht="14.25" customHeight="1">
      <c r="A4298" s="2" t="s">
        <v>221</v>
      </c>
      <c r="B4298" s="2" t="s">
        <v>222</v>
      </c>
      <c r="C4298" s="2">
        <v>1973.0</v>
      </c>
      <c r="D4298" s="9">
        <v>6637.343</v>
      </c>
      <c r="E4298" s="10" t="str">
        <f t="array" ref="E4298">IFS(D4298&lt;=$G$3,'calculated data '!$A$3,D4298&lt;=$G$4,'calculated data '!$A$4,D4298&lt;=$G$6,'calculated data '!$A$5,D4298&gt;=$G$6,'calculated data '!$A$6)</f>
        <v>Target Market (Core IQR)</v>
      </c>
      <c r="F4298" s="10">
        <f t="shared" si="1"/>
        <v>-0.4874826588</v>
      </c>
    </row>
    <row r="4299" ht="14.25" customHeight="1">
      <c r="A4299" s="2" t="s">
        <v>275</v>
      </c>
      <c r="B4299" s="2" t="s">
        <v>276</v>
      </c>
      <c r="C4299" s="2">
        <v>2008.0</v>
      </c>
      <c r="D4299" s="9">
        <v>6637.7036</v>
      </c>
      <c r="E4299" s="10" t="str">
        <f t="array" ref="E4299">IFS(D4299&lt;=$G$3,'calculated data '!$A$3,D4299&lt;=$G$4,'calculated data '!$A$4,D4299&lt;=$G$6,'calculated data '!$A$5,D4299&gt;=$G$6,'calculated data '!$A$6)</f>
        <v>Target Market (Core IQR)</v>
      </c>
      <c r="F4299" s="10">
        <f t="shared" si="1"/>
        <v>-0.4874731138</v>
      </c>
    </row>
    <row r="4300" ht="14.25" customHeight="1">
      <c r="A4300" s="2" t="s">
        <v>299</v>
      </c>
      <c r="B4300" s="2" t="s">
        <v>300</v>
      </c>
      <c r="C4300" s="2">
        <v>2006.0</v>
      </c>
      <c r="D4300" s="9">
        <v>6649.0864</v>
      </c>
      <c r="E4300" s="10" t="str">
        <f t="array" ref="E4300">IFS(D4300&lt;=$G$3,'calculated data '!$A$3,D4300&lt;=$G$4,'calculated data '!$A$4,D4300&lt;=$G$6,'calculated data '!$A$5,D4300&gt;=$G$6,'calculated data '!$A$6)</f>
        <v>Target Market (Core IQR)</v>
      </c>
      <c r="F4300" s="10">
        <f t="shared" si="1"/>
        <v>-0.4871718139</v>
      </c>
    </row>
    <row r="4301" ht="14.25" customHeight="1">
      <c r="A4301" s="2" t="s">
        <v>129</v>
      </c>
      <c r="B4301" s="2" t="s">
        <v>130</v>
      </c>
      <c r="C4301" s="2">
        <v>2007.0</v>
      </c>
      <c r="D4301" s="9">
        <v>6653.1465</v>
      </c>
      <c r="E4301" s="10" t="str">
        <f t="array" ref="E4301">IFS(D4301&lt;=$G$3,'calculated data '!$A$3,D4301&lt;=$G$4,'calculated data '!$A$4,D4301&lt;=$G$6,'calculated data '!$A$5,D4301&gt;=$G$6,'calculated data '!$A$6)</f>
        <v>Target Market (Core IQR)</v>
      </c>
      <c r="F4301" s="10">
        <f t="shared" si="1"/>
        <v>-0.4870643441</v>
      </c>
    </row>
    <row r="4302" ht="14.25" customHeight="1">
      <c r="A4302" s="2" t="s">
        <v>281</v>
      </c>
      <c r="B4302" s="2" t="s">
        <v>282</v>
      </c>
      <c r="C4302" s="2">
        <v>1992.0</v>
      </c>
      <c r="D4302" s="9">
        <v>6660.077</v>
      </c>
      <c r="E4302" s="10" t="str">
        <f t="array" ref="E4302">IFS(D4302&lt;=$G$3,'calculated data '!$A$3,D4302&lt;=$G$4,'calculated data '!$A$4,D4302&lt;=$G$6,'calculated data '!$A$5,D4302&gt;=$G$6,'calculated data '!$A$6)</f>
        <v>Target Market (Core IQR)</v>
      </c>
      <c r="F4302" s="10">
        <f t="shared" si="1"/>
        <v>-0.4868808955</v>
      </c>
    </row>
    <row r="4303" ht="14.25" customHeight="1">
      <c r="A4303" s="2" t="s">
        <v>111</v>
      </c>
      <c r="B4303" s="2" t="s">
        <v>112</v>
      </c>
      <c r="C4303" s="2">
        <v>2007.0</v>
      </c>
      <c r="D4303" s="9">
        <v>6660.3784</v>
      </c>
      <c r="E4303" s="10" t="str">
        <f t="array" ref="E4303">IFS(D4303&lt;=$G$3,'calculated data '!$A$3,D4303&lt;=$G$4,'calculated data '!$A$4,D4303&lt;=$G$6,'calculated data '!$A$5,D4303&gt;=$G$6,'calculated data '!$A$6)</f>
        <v>Target Market (Core IQR)</v>
      </c>
      <c r="F4303" s="10">
        <f t="shared" si="1"/>
        <v>-0.4868729175</v>
      </c>
    </row>
    <row r="4304" ht="14.25" customHeight="1">
      <c r="A4304" s="2" t="s">
        <v>203</v>
      </c>
      <c r="B4304" s="2" t="s">
        <v>204</v>
      </c>
      <c r="C4304" s="2">
        <v>1996.0</v>
      </c>
      <c r="D4304" s="9">
        <v>6661.8354</v>
      </c>
      <c r="E4304" s="10" t="str">
        <f t="array" ref="E4304">IFS(D4304&lt;=$G$3,'calculated data '!$A$3,D4304&lt;=$G$4,'calculated data '!$A$4,D4304&lt;=$G$6,'calculated data '!$A$5,D4304&gt;=$G$6,'calculated data '!$A$6)</f>
        <v>Target Market (Core IQR)</v>
      </c>
      <c r="F4304" s="10">
        <f t="shared" si="1"/>
        <v>-0.4868343511</v>
      </c>
    </row>
    <row r="4305" ht="14.25" customHeight="1">
      <c r="A4305" s="2" t="s">
        <v>275</v>
      </c>
      <c r="B4305" s="2" t="s">
        <v>276</v>
      </c>
      <c r="C4305" s="2">
        <v>1982.0</v>
      </c>
      <c r="D4305" s="9">
        <v>6665.295</v>
      </c>
      <c r="E4305" s="10" t="str">
        <f t="array" ref="E4305">IFS(D4305&lt;=$G$3,'calculated data '!$A$3,D4305&lt;=$G$4,'calculated data '!$A$4,D4305&lt;=$G$6,'calculated data '!$A$5,D4305&gt;=$G$6,'calculated data '!$A$6)</f>
        <v>Target Market (Core IQR)</v>
      </c>
      <c r="F4305" s="10">
        <f t="shared" si="1"/>
        <v>-0.4867427763</v>
      </c>
    </row>
    <row r="4306" ht="14.25" customHeight="1">
      <c r="A4306" s="2" t="s">
        <v>197</v>
      </c>
      <c r="B4306" s="2" t="s">
        <v>198</v>
      </c>
      <c r="C4306" s="2">
        <v>1990.0</v>
      </c>
      <c r="D4306" s="9">
        <v>6666.7188</v>
      </c>
      <c r="E4306" s="10" t="str">
        <f t="array" ref="E4306">IFS(D4306&lt;=$G$3,'calculated data '!$A$3,D4306&lt;=$G$4,'calculated data '!$A$4,D4306&lt;=$G$6,'calculated data '!$A$5,D4306&gt;=$G$6,'calculated data '!$A$6)</f>
        <v>Target Market (Core IQR)</v>
      </c>
      <c r="F4306" s="10">
        <f t="shared" si="1"/>
        <v>-0.4867050887</v>
      </c>
    </row>
    <row r="4307" ht="14.25" customHeight="1">
      <c r="A4307" s="2" t="s">
        <v>223</v>
      </c>
      <c r="B4307" s="2" t="s">
        <v>224</v>
      </c>
      <c r="C4307" s="2">
        <v>2024.0</v>
      </c>
      <c r="D4307" s="9">
        <v>6671.544</v>
      </c>
      <c r="E4307" s="10" t="str">
        <f t="array" ref="E4307">IFS(D4307&lt;=$G$3,'calculated data '!$A$3,D4307&lt;=$G$4,'calculated data '!$A$4,D4307&lt;=$G$6,'calculated data '!$A$5,D4307&gt;=$G$6,'calculated data '!$A$6)</f>
        <v>Target Market (Core IQR)</v>
      </c>
      <c r="F4307" s="10">
        <f t="shared" si="1"/>
        <v>-0.4865773668</v>
      </c>
    </row>
    <row r="4308" ht="14.25" customHeight="1">
      <c r="A4308" s="2" t="s">
        <v>281</v>
      </c>
      <c r="B4308" s="2" t="s">
        <v>282</v>
      </c>
      <c r="C4308" s="2">
        <v>1989.0</v>
      </c>
      <c r="D4308" s="9">
        <v>6672.5415</v>
      </c>
      <c r="E4308" s="10" t="str">
        <f t="array" ref="E4308">IFS(D4308&lt;=$G$3,'calculated data '!$A$3,D4308&lt;=$G$4,'calculated data '!$A$4,D4308&lt;=$G$6,'calculated data '!$A$5,D4308&gt;=$G$6,'calculated data '!$A$6)</f>
        <v>Target Market (Core IQR)</v>
      </c>
      <c r="F4308" s="10">
        <f t="shared" si="1"/>
        <v>-0.4865509633</v>
      </c>
    </row>
    <row r="4309" ht="14.25" customHeight="1">
      <c r="A4309" s="2" t="s">
        <v>265</v>
      </c>
      <c r="B4309" s="2" t="s">
        <v>266</v>
      </c>
      <c r="C4309" s="2">
        <v>1981.0</v>
      </c>
      <c r="D4309" s="9">
        <v>6672.9873</v>
      </c>
      <c r="E4309" s="10" t="str">
        <f t="array" ref="E4309">IFS(D4309&lt;=$G$3,'calculated data '!$A$3,D4309&lt;=$G$4,'calculated data '!$A$4,D4309&lt;=$G$6,'calculated data '!$A$5,D4309&gt;=$G$6,'calculated data '!$A$6)</f>
        <v>Target Market (Core IQR)</v>
      </c>
      <c r="F4309" s="10">
        <f t="shared" si="1"/>
        <v>-0.4865391631</v>
      </c>
    </row>
    <row r="4310" ht="14.25" customHeight="1">
      <c r="A4310" s="2" t="s">
        <v>111</v>
      </c>
      <c r="B4310" s="2" t="s">
        <v>112</v>
      </c>
      <c r="C4310" s="2">
        <v>2010.0</v>
      </c>
      <c r="D4310" s="9">
        <v>6674.8013</v>
      </c>
      <c r="E4310" s="10" t="str">
        <f t="array" ref="E4310">IFS(D4310&lt;=$G$3,'calculated data '!$A$3,D4310&lt;=$G$4,'calculated data '!$A$4,D4310&lt;=$G$6,'calculated data '!$A$5,D4310&gt;=$G$6,'calculated data '!$A$6)</f>
        <v>Target Market (Core IQR)</v>
      </c>
      <c r="F4310" s="10">
        <f t="shared" si="1"/>
        <v>-0.4864911469</v>
      </c>
    </row>
    <row r="4311" ht="14.25" customHeight="1">
      <c r="A4311" s="2" t="s">
        <v>57</v>
      </c>
      <c r="B4311" s="2" t="s">
        <v>58</v>
      </c>
      <c r="C4311" s="2">
        <v>1940.0</v>
      </c>
      <c r="D4311" s="9">
        <v>6678.07</v>
      </c>
      <c r="E4311" s="10" t="str">
        <f t="array" ref="E4311">IFS(D4311&lt;=$G$3,'calculated data '!$A$3,D4311&lt;=$G$4,'calculated data '!$A$4,D4311&lt;=$G$6,'calculated data '!$A$5,D4311&gt;=$G$6,'calculated data '!$A$6)</f>
        <v>Target Market (Core IQR)</v>
      </c>
      <c r="F4311" s="10">
        <f t="shared" si="1"/>
        <v>-0.4864046253</v>
      </c>
    </row>
    <row r="4312" ht="14.25" customHeight="1">
      <c r="A4312" s="2" t="s">
        <v>233</v>
      </c>
      <c r="B4312" s="2" t="s">
        <v>234</v>
      </c>
      <c r="C4312" s="2">
        <v>1981.0</v>
      </c>
      <c r="D4312" s="9">
        <v>6678.178</v>
      </c>
      <c r="E4312" s="10" t="str">
        <f t="array" ref="E4312">IFS(D4312&lt;=$G$3,'calculated data '!$A$3,D4312&lt;=$G$4,'calculated data '!$A$4,D4312&lt;=$G$6,'calculated data '!$A$5,D4312&gt;=$G$6,'calculated data '!$A$6)</f>
        <v>Target Market (Core IQR)</v>
      </c>
      <c r="F4312" s="10">
        <f t="shared" si="1"/>
        <v>-0.4864017665</v>
      </c>
    </row>
    <row r="4313" ht="14.25" customHeight="1">
      <c r="A4313" s="2" t="s">
        <v>235</v>
      </c>
      <c r="B4313" s="2" t="s">
        <v>236</v>
      </c>
      <c r="C4313" s="2">
        <v>1986.0</v>
      </c>
      <c r="D4313" s="9">
        <v>6679.0947</v>
      </c>
      <c r="E4313" s="10" t="str">
        <f t="array" ref="E4313">IFS(D4313&lt;=$G$3,'calculated data '!$A$3,D4313&lt;=$G$4,'calculated data '!$A$4,D4313&lt;=$G$6,'calculated data '!$A$5,D4313&gt;=$G$6,'calculated data '!$A$6)</f>
        <v>Target Market (Core IQR)</v>
      </c>
      <c r="F4313" s="10">
        <f t="shared" si="1"/>
        <v>-0.4863775017</v>
      </c>
    </row>
    <row r="4314" ht="14.25" customHeight="1">
      <c r="A4314" s="2" t="s">
        <v>281</v>
      </c>
      <c r="B4314" s="2" t="s">
        <v>282</v>
      </c>
      <c r="C4314" s="2">
        <v>1999.0</v>
      </c>
      <c r="D4314" s="9">
        <v>6679.227</v>
      </c>
      <c r="E4314" s="10" t="str">
        <f t="array" ref="E4314">IFS(D4314&lt;=$G$3,'calculated data '!$A$3,D4314&lt;=$G$4,'calculated data '!$A$4,D4314&lt;=$G$6,'calculated data '!$A$5,D4314&gt;=$G$6,'calculated data '!$A$6)</f>
        <v>Target Market (Core IQR)</v>
      </c>
      <c r="F4314" s="10">
        <f t="shared" si="1"/>
        <v>-0.4863739998</v>
      </c>
    </row>
    <row r="4315" ht="14.25" customHeight="1">
      <c r="A4315" s="2" t="s">
        <v>129</v>
      </c>
      <c r="B4315" s="2" t="s">
        <v>130</v>
      </c>
      <c r="C4315" s="2">
        <v>2008.0</v>
      </c>
      <c r="D4315" s="9">
        <v>6680.594</v>
      </c>
      <c r="E4315" s="10" t="str">
        <f t="array" ref="E4315">IFS(D4315&lt;=$G$3,'calculated data '!$A$3,D4315&lt;=$G$4,'calculated data '!$A$4,D4315&lt;=$G$6,'calculated data '!$A$5,D4315&gt;=$G$6,'calculated data '!$A$6)</f>
        <v>Target Market (Core IQR)</v>
      </c>
      <c r="F4315" s="10">
        <f t="shared" si="1"/>
        <v>-0.4863378156</v>
      </c>
    </row>
    <row r="4316" ht="14.25" customHeight="1">
      <c r="A4316" s="2" t="s">
        <v>305</v>
      </c>
      <c r="B4316" s="2" t="s">
        <v>306</v>
      </c>
      <c r="C4316" s="2">
        <v>2023.0</v>
      </c>
      <c r="D4316" s="9">
        <v>6684.277</v>
      </c>
      <c r="E4316" s="10" t="str">
        <f t="array" ref="E4316">IFS(D4316&lt;=$G$3,'calculated data '!$A$3,D4316&lt;=$G$4,'calculated data '!$A$4,D4316&lt;=$G$6,'calculated data '!$A$5,D4316&gt;=$G$6,'calculated data '!$A$6)</f>
        <v>Target Market (Core IQR)</v>
      </c>
      <c r="F4316" s="10">
        <f t="shared" si="1"/>
        <v>-0.4862403275</v>
      </c>
    </row>
    <row r="4317" ht="14.25" customHeight="1">
      <c r="A4317" s="2" t="s">
        <v>111</v>
      </c>
      <c r="B4317" s="2" t="s">
        <v>112</v>
      </c>
      <c r="C4317" s="2">
        <v>2008.0</v>
      </c>
      <c r="D4317" s="9">
        <v>6684.652</v>
      </c>
      <c r="E4317" s="10" t="str">
        <f t="array" ref="E4317">IFS(D4317&lt;=$G$3,'calculated data '!$A$3,D4317&lt;=$G$4,'calculated data '!$A$4,D4317&lt;=$G$6,'calculated data '!$A$5,D4317&gt;=$G$6,'calculated data '!$A$6)</f>
        <v>Target Market (Core IQR)</v>
      </c>
      <c r="F4317" s="10">
        <f t="shared" si="1"/>
        <v>-0.4862304014</v>
      </c>
    </row>
    <row r="4318" ht="14.25" customHeight="1">
      <c r="A4318" s="2" t="s">
        <v>205</v>
      </c>
      <c r="B4318" s="2" t="s">
        <v>206</v>
      </c>
      <c r="C4318" s="2">
        <v>1997.0</v>
      </c>
      <c r="D4318" s="9">
        <v>6684.978</v>
      </c>
      <c r="E4318" s="10" t="str">
        <f t="array" ref="E4318">IFS(D4318&lt;=$G$3,'calculated data '!$A$3,D4318&lt;=$G$4,'calculated data '!$A$4,D4318&lt;=$G$6,'calculated data '!$A$5,D4318&gt;=$G$6,'calculated data '!$A$6)</f>
        <v>Target Market (Core IQR)</v>
      </c>
      <c r="F4318" s="10">
        <f t="shared" si="1"/>
        <v>-0.4862217722</v>
      </c>
    </row>
    <row r="4319" ht="14.25" customHeight="1">
      <c r="A4319" s="2" t="s">
        <v>165</v>
      </c>
      <c r="B4319" s="2" t="s">
        <v>166</v>
      </c>
      <c r="C4319" s="2">
        <v>2022.0</v>
      </c>
      <c r="D4319" s="9">
        <v>6685.4126</v>
      </c>
      <c r="E4319" s="10" t="str">
        <f t="array" ref="E4319">IFS(D4319&lt;=$G$3,'calculated data '!$A$3,D4319&lt;=$G$4,'calculated data '!$A$4,D4319&lt;=$G$6,'calculated data '!$A$5,D4319&gt;=$G$6,'calculated data '!$A$6)</f>
        <v>Target Market (Core IQR)</v>
      </c>
      <c r="F4319" s="10">
        <f t="shared" si="1"/>
        <v>-0.4862102685</v>
      </c>
    </row>
    <row r="4320" ht="14.25" customHeight="1">
      <c r="A4320" s="2" t="s">
        <v>133</v>
      </c>
      <c r="B4320" s="2" t="s">
        <v>134</v>
      </c>
      <c r="C4320" s="2">
        <v>2014.0</v>
      </c>
      <c r="D4320" s="9">
        <v>6685.5044</v>
      </c>
      <c r="E4320" s="10" t="str">
        <f t="array" ref="E4320">IFS(D4320&lt;=$G$3,'calculated data '!$A$3,D4320&lt;=$G$4,'calculated data '!$A$4,D4320&lt;=$G$6,'calculated data '!$A$5,D4320&gt;=$G$6,'calculated data '!$A$6)</f>
        <v>Target Market (Core IQR)</v>
      </c>
      <c r="F4320" s="10">
        <f t="shared" si="1"/>
        <v>-0.4862078385</v>
      </c>
    </row>
    <row r="4321" ht="14.25" customHeight="1">
      <c r="A4321" s="2" t="s">
        <v>223</v>
      </c>
      <c r="B4321" s="2" t="s">
        <v>224</v>
      </c>
      <c r="C4321" s="2">
        <v>2017.0</v>
      </c>
      <c r="D4321" s="9">
        <v>6688.36</v>
      </c>
      <c r="E4321" s="10" t="str">
        <f t="array" ref="E4321">IFS(D4321&lt;=$G$3,'calculated data '!$A$3,D4321&lt;=$G$4,'calculated data '!$A$4,D4321&lt;=$G$6,'calculated data '!$A$5,D4321&gt;=$G$6,'calculated data '!$A$6)</f>
        <v>Target Market (Core IQR)</v>
      </c>
      <c r="F4321" s="10">
        <f t="shared" si="1"/>
        <v>-0.4861322515</v>
      </c>
    </row>
    <row r="4322" ht="14.25" customHeight="1">
      <c r="A4322" s="2" t="s">
        <v>231</v>
      </c>
      <c r="B4322" s="2" t="s">
        <v>232</v>
      </c>
      <c r="C4322" s="2">
        <v>1984.0</v>
      </c>
      <c r="D4322" s="9">
        <v>6688.7207</v>
      </c>
      <c r="E4322" s="10" t="str">
        <f t="array" ref="E4322">IFS(D4322&lt;=$G$3,'calculated data '!$A$3,D4322&lt;=$G$4,'calculated data '!$A$4,D4322&lt;=$G$6,'calculated data '!$A$5,D4322&gt;=$G$6,'calculated data '!$A$6)</f>
        <v>Target Market (Core IQR)</v>
      </c>
      <c r="F4322" s="10">
        <f t="shared" si="1"/>
        <v>-0.4861227039</v>
      </c>
    </row>
    <row r="4323" ht="14.25" customHeight="1">
      <c r="A4323" s="2" t="s">
        <v>229</v>
      </c>
      <c r="B4323" s="2" t="s">
        <v>230</v>
      </c>
      <c r="C4323" s="2">
        <v>1985.0</v>
      </c>
      <c r="D4323" s="9">
        <v>6691.23</v>
      </c>
      <c r="E4323" s="10" t="str">
        <f t="array" ref="E4323">IFS(D4323&lt;=$G$3,'calculated data '!$A$3,D4323&lt;=$G$4,'calculated data '!$A$4,D4323&lt;=$G$6,'calculated data '!$A$5,D4323&gt;=$G$6,'calculated data '!$A$6)</f>
        <v>Target Market (Core IQR)</v>
      </c>
      <c r="F4323" s="10">
        <f t="shared" si="1"/>
        <v>-0.4860562833</v>
      </c>
    </row>
    <row r="4324" ht="14.25" customHeight="1">
      <c r="A4324" s="2" t="s">
        <v>307</v>
      </c>
      <c r="B4324" s="2" t="s">
        <v>308</v>
      </c>
      <c r="C4324" s="2">
        <v>1986.0</v>
      </c>
      <c r="D4324" s="9">
        <v>6695.265</v>
      </c>
      <c r="E4324" s="10" t="str">
        <f t="array" ref="E4324">IFS(D4324&lt;=$G$3,'calculated data '!$A$3,D4324&lt;=$G$4,'calculated data '!$A$4,D4324&lt;=$G$6,'calculated data '!$A$5,D4324&gt;=$G$6,'calculated data '!$A$6)</f>
        <v>Target Market (Core IQR)</v>
      </c>
      <c r="F4324" s="10">
        <f t="shared" si="1"/>
        <v>-0.4859494779</v>
      </c>
    </row>
    <row r="4325" ht="14.25" customHeight="1">
      <c r="A4325" s="2" t="s">
        <v>223</v>
      </c>
      <c r="B4325" s="2" t="s">
        <v>224</v>
      </c>
      <c r="C4325" s="2">
        <v>2015.0</v>
      </c>
      <c r="D4325" s="9">
        <v>6696.7646</v>
      </c>
      <c r="E4325" s="10" t="str">
        <f t="array" ref="E4325">IFS(D4325&lt;=$G$3,'calculated data '!$A$3,D4325&lt;=$G$4,'calculated data '!$A$4,D4325&lt;=$G$6,'calculated data '!$A$5,D4325&gt;=$G$6,'calculated data '!$A$6)</f>
        <v>Target Market (Core IQR)</v>
      </c>
      <c r="F4325" s="10">
        <f t="shared" si="1"/>
        <v>-0.4859097838</v>
      </c>
    </row>
    <row r="4326" ht="14.25" customHeight="1">
      <c r="A4326" s="2" t="s">
        <v>183</v>
      </c>
      <c r="B4326" s="2" t="s">
        <v>184</v>
      </c>
      <c r="C4326" s="2">
        <v>2000.0</v>
      </c>
      <c r="D4326" s="9">
        <v>6699.158</v>
      </c>
      <c r="E4326" s="10" t="str">
        <f t="array" ref="E4326">IFS(D4326&lt;=$G$3,'calculated data '!$A$3,D4326&lt;=$G$4,'calculated data '!$A$4,D4326&lt;=$G$6,'calculated data '!$A$5,D4326&gt;=$G$6,'calculated data '!$A$6)</f>
        <v>Target Market (Core IQR)</v>
      </c>
      <c r="F4326" s="10">
        <f t="shared" si="1"/>
        <v>-0.4858464311</v>
      </c>
    </row>
    <row r="4327" ht="14.25" customHeight="1">
      <c r="A4327" s="2" t="s">
        <v>259</v>
      </c>
      <c r="B4327" s="2" t="s">
        <v>260</v>
      </c>
      <c r="C4327" s="2">
        <v>1999.0</v>
      </c>
      <c r="D4327" s="9">
        <v>6701.3516</v>
      </c>
      <c r="E4327" s="10" t="str">
        <f t="array" ref="E4327">IFS(D4327&lt;=$G$3,'calculated data '!$A$3,D4327&lt;=$G$4,'calculated data '!$A$4,D4327&lt;=$G$6,'calculated data '!$A$5,D4327&gt;=$G$6,'calculated data '!$A$6)</f>
        <v>Target Market (Core IQR)</v>
      </c>
      <c r="F4327" s="10">
        <f t="shared" si="1"/>
        <v>-0.4857883671</v>
      </c>
    </row>
    <row r="4328" ht="14.25" customHeight="1">
      <c r="A4328" s="2" t="s">
        <v>111</v>
      </c>
      <c r="B4328" s="2" t="s">
        <v>112</v>
      </c>
      <c r="C4328" s="2">
        <v>2013.0</v>
      </c>
      <c r="D4328" s="9">
        <v>6704.5884</v>
      </c>
      <c r="E4328" s="10" t="str">
        <f t="array" ref="E4328">IFS(D4328&lt;=$G$3,'calculated data '!$A$3,D4328&lt;=$G$4,'calculated data '!$A$4,D4328&lt;=$G$6,'calculated data '!$A$5,D4328&gt;=$G$6,'calculated data '!$A$6)</f>
        <v>Target Market (Core IQR)</v>
      </c>
      <c r="F4328" s="10">
        <f t="shared" si="1"/>
        <v>-0.4857026898</v>
      </c>
    </row>
    <row r="4329" ht="14.25" customHeight="1">
      <c r="A4329" s="2" t="s">
        <v>197</v>
      </c>
      <c r="B4329" s="2" t="s">
        <v>198</v>
      </c>
      <c r="C4329" s="2">
        <v>1989.0</v>
      </c>
      <c r="D4329" s="9">
        <v>6706.148</v>
      </c>
      <c r="E4329" s="10" t="str">
        <f t="array" ref="E4329">IFS(D4329&lt;=$G$3,'calculated data '!$A$3,D4329&lt;=$G$4,'calculated data '!$A$4,D4329&lt;=$G$6,'calculated data '!$A$5,D4329&gt;=$G$6,'calculated data '!$A$6)</f>
        <v>Target Market (Core IQR)</v>
      </c>
      <c r="F4329" s="10">
        <f t="shared" si="1"/>
        <v>-0.4856614076</v>
      </c>
    </row>
    <row r="4330" ht="14.25" customHeight="1">
      <c r="A4330" s="2" t="s">
        <v>227</v>
      </c>
      <c r="B4330" s="2" t="s">
        <v>228</v>
      </c>
      <c r="C4330" s="2">
        <v>1977.0</v>
      </c>
      <c r="D4330" s="9">
        <v>6707.687</v>
      </c>
      <c r="E4330" s="10" t="str">
        <f t="array" ref="E4330">IFS(D4330&lt;=$G$3,'calculated data '!$A$3,D4330&lt;=$G$4,'calculated data '!$A$4,D4330&lt;=$G$6,'calculated data '!$A$5,D4330&gt;=$G$6,'calculated data '!$A$6)</f>
        <v>Target Market (Core IQR)</v>
      </c>
      <c r="F4330" s="10">
        <f t="shared" si="1"/>
        <v>-0.4856206706</v>
      </c>
    </row>
    <row r="4331" ht="14.25" customHeight="1">
      <c r="A4331" s="2" t="s">
        <v>225</v>
      </c>
      <c r="B4331" s="2" t="s">
        <v>226</v>
      </c>
      <c r="C4331" s="2">
        <v>2020.0</v>
      </c>
      <c r="D4331" s="9">
        <v>6708.879</v>
      </c>
      <c r="E4331" s="10" t="str">
        <f t="array" ref="E4331">IFS(D4331&lt;=$G$3,'calculated data '!$A$3,D4331&lt;=$G$4,'calculated data '!$A$4,D4331&lt;=$G$6,'calculated data '!$A$5,D4331&gt;=$G$6,'calculated data '!$A$6)</f>
        <v>Target Market (Core IQR)</v>
      </c>
      <c r="F4331" s="10">
        <f t="shared" si="1"/>
        <v>-0.4855891187</v>
      </c>
    </row>
    <row r="4332" ht="14.25" customHeight="1">
      <c r="A4332" s="2" t="s">
        <v>269</v>
      </c>
      <c r="B4332" s="2" t="s">
        <v>270</v>
      </c>
      <c r="C4332" s="2">
        <v>2018.0</v>
      </c>
      <c r="D4332" s="9">
        <v>6711.9897</v>
      </c>
      <c r="E4332" s="10" t="str">
        <f t="array" ref="E4332">IFS(D4332&lt;=$G$3,'calculated data '!$A$3,D4332&lt;=$G$4,'calculated data '!$A$4,D4332&lt;=$G$6,'calculated data '!$A$5,D4332&gt;=$G$6,'calculated data '!$A$6)</f>
        <v>Target Market (Core IQR)</v>
      </c>
      <c r="F4332" s="10">
        <f t="shared" si="1"/>
        <v>-0.4855067792</v>
      </c>
    </row>
    <row r="4333" ht="14.25" customHeight="1">
      <c r="A4333" s="2" t="s">
        <v>243</v>
      </c>
      <c r="B4333" s="2" t="s">
        <v>244</v>
      </c>
      <c r="C4333" s="2">
        <v>2005.0</v>
      </c>
      <c r="D4333" s="9">
        <v>6712.8003</v>
      </c>
      <c r="E4333" s="10" t="str">
        <f t="array" ref="E4333">IFS(D4333&lt;=$G$3,'calculated data '!$A$3,D4333&lt;=$G$4,'calculated data '!$A$4,D4333&lt;=$G$6,'calculated data '!$A$5,D4333&gt;=$G$6,'calculated data '!$A$6)</f>
        <v>Target Market (Core IQR)</v>
      </c>
      <c r="F4333" s="10">
        <f t="shared" si="1"/>
        <v>-0.4854853229</v>
      </c>
    </row>
    <row r="4334" ht="14.25" customHeight="1">
      <c r="A4334" s="2" t="s">
        <v>301</v>
      </c>
      <c r="B4334" s="2" t="s">
        <v>302</v>
      </c>
      <c r="C4334" s="2">
        <v>1968.0</v>
      </c>
      <c r="D4334" s="9">
        <v>6713.567</v>
      </c>
      <c r="E4334" s="10" t="str">
        <f t="array" ref="E4334">IFS(D4334&lt;=$G$3,'calculated data '!$A$3,D4334&lt;=$G$4,'calculated data '!$A$4,D4334&lt;=$G$6,'calculated data '!$A$5,D4334&gt;=$G$6,'calculated data '!$A$6)</f>
        <v>Target Market (Core IQR)</v>
      </c>
      <c r="F4334" s="10">
        <f t="shared" si="1"/>
        <v>-0.4854650285</v>
      </c>
    </row>
    <row r="4335" ht="14.25" customHeight="1">
      <c r="A4335" s="2" t="s">
        <v>307</v>
      </c>
      <c r="B4335" s="2" t="s">
        <v>308</v>
      </c>
      <c r="C4335" s="2">
        <v>1987.0</v>
      </c>
      <c r="D4335" s="9">
        <v>6718.596</v>
      </c>
      <c r="E4335" s="10" t="str">
        <f t="array" ref="E4335">IFS(D4335&lt;=$G$3,'calculated data '!$A$3,D4335&lt;=$G$4,'calculated data '!$A$4,D4335&lt;=$G$6,'calculated data '!$A$5,D4335&gt;=$G$6,'calculated data '!$A$6)</f>
        <v>Target Market (Core IQR)</v>
      </c>
      <c r="F4335" s="10">
        <f t="shared" si="1"/>
        <v>-0.4853319121</v>
      </c>
    </row>
    <row r="4336" ht="14.25" customHeight="1">
      <c r="A4336" s="2" t="s">
        <v>233</v>
      </c>
      <c r="B4336" s="2" t="s">
        <v>234</v>
      </c>
      <c r="C4336" s="2">
        <v>1982.0</v>
      </c>
      <c r="D4336" s="9">
        <v>6729.377</v>
      </c>
      <c r="E4336" s="10" t="str">
        <f t="array" ref="E4336">IFS(D4336&lt;=$G$3,'calculated data '!$A$3,D4336&lt;=$G$4,'calculated data '!$A$4,D4336&lt;=$G$6,'calculated data '!$A$5,D4336&gt;=$G$6,'calculated data '!$A$6)</f>
        <v>Target Market (Core IQR)</v>
      </c>
      <c r="F4336" s="10">
        <f t="shared" si="1"/>
        <v>-0.4850465417</v>
      </c>
    </row>
    <row r="4337" ht="14.25" customHeight="1">
      <c r="A4337" s="2" t="s">
        <v>303</v>
      </c>
      <c r="B4337" s="2" t="s">
        <v>304</v>
      </c>
      <c r="C4337" s="2">
        <v>1999.0</v>
      </c>
      <c r="D4337" s="9">
        <v>6735.0874</v>
      </c>
      <c r="E4337" s="10" t="str">
        <f t="array" ref="E4337">IFS(D4337&lt;=$G$3,'calculated data '!$A$3,D4337&lt;=$G$4,'calculated data '!$A$4,D4337&lt;=$G$6,'calculated data '!$A$5,D4337&gt;=$G$6,'calculated data '!$A$6)</f>
        <v>Target Market (Core IQR)</v>
      </c>
      <c r="F4337" s="10">
        <f t="shared" si="1"/>
        <v>-0.4848953889</v>
      </c>
    </row>
    <row r="4338" ht="14.25" customHeight="1">
      <c r="A4338" s="2" t="s">
        <v>221</v>
      </c>
      <c r="B4338" s="2" t="s">
        <v>222</v>
      </c>
      <c r="C4338" s="2">
        <v>1974.0</v>
      </c>
      <c r="D4338" s="9">
        <v>6739.9985</v>
      </c>
      <c r="E4338" s="10" t="str">
        <f t="array" ref="E4338">IFS(D4338&lt;=$G$3,'calculated data '!$A$3,D4338&lt;=$G$4,'calculated data '!$A$4,D4338&lt;=$G$6,'calculated data '!$A$5,D4338&gt;=$G$6,'calculated data '!$A$6)</f>
        <v>Target Market (Core IQR)</v>
      </c>
      <c r="F4338" s="10">
        <f t="shared" si="1"/>
        <v>-0.4847653933</v>
      </c>
    </row>
    <row r="4339" ht="14.25" customHeight="1">
      <c r="A4339" s="2" t="s">
        <v>281</v>
      </c>
      <c r="B4339" s="2" t="s">
        <v>282</v>
      </c>
      <c r="C4339" s="2">
        <v>1987.0</v>
      </c>
      <c r="D4339" s="9">
        <v>6745.438</v>
      </c>
      <c r="E4339" s="10" t="str">
        <f t="array" ref="E4339">IFS(D4339&lt;=$G$3,'calculated data '!$A$3,D4339&lt;=$G$4,'calculated data '!$A$4,D4339&lt;=$G$6,'calculated data '!$A$5,D4339&gt;=$G$6,'calculated data '!$A$6)</f>
        <v>Target Market (Core IQR)</v>
      </c>
      <c r="F4339" s="10">
        <f t="shared" si="1"/>
        <v>-0.4846214111</v>
      </c>
    </row>
    <row r="4340" ht="14.25" customHeight="1">
      <c r="A4340" s="2" t="s">
        <v>293</v>
      </c>
      <c r="B4340" s="2" t="s">
        <v>294</v>
      </c>
      <c r="C4340" s="2">
        <v>1983.0</v>
      </c>
      <c r="D4340" s="9">
        <v>6749.5312</v>
      </c>
      <c r="E4340" s="10" t="str">
        <f t="array" ref="E4340">IFS(D4340&lt;=$G$3,'calculated data '!$A$3,D4340&lt;=$G$4,'calculated data '!$A$4,D4340&lt;=$G$6,'calculated data '!$A$5,D4340&gt;=$G$6,'calculated data '!$A$6)</f>
        <v>Target Market (Core IQR)</v>
      </c>
      <c r="F4340" s="10">
        <f t="shared" si="1"/>
        <v>-0.4845130651</v>
      </c>
    </row>
    <row r="4341" ht="14.25" customHeight="1">
      <c r="A4341" s="2" t="s">
        <v>289</v>
      </c>
      <c r="B4341" s="2" t="s">
        <v>290</v>
      </c>
      <c r="C4341" s="2">
        <v>1984.0</v>
      </c>
      <c r="D4341" s="9">
        <v>6754.8843</v>
      </c>
      <c r="E4341" s="10" t="str">
        <f t="array" ref="E4341">IFS(D4341&lt;=$G$3,'calculated data '!$A$3,D4341&lt;=$G$4,'calculated data '!$A$4,D4341&lt;=$G$6,'calculated data '!$A$5,D4341&gt;=$G$6,'calculated data '!$A$6)</f>
        <v>Target Market (Core IQR)</v>
      </c>
      <c r="F4341" s="10">
        <f t="shared" si="1"/>
        <v>-0.4843713699</v>
      </c>
    </row>
    <row r="4342" ht="14.25" customHeight="1">
      <c r="A4342" s="2" t="s">
        <v>289</v>
      </c>
      <c r="B4342" s="2" t="s">
        <v>290</v>
      </c>
      <c r="C4342" s="2">
        <v>1985.0</v>
      </c>
      <c r="D4342" s="9">
        <v>6758.88</v>
      </c>
      <c r="E4342" s="10" t="str">
        <f t="array" ref="E4342">IFS(D4342&lt;=$G$3,'calculated data '!$A$3,D4342&lt;=$G$4,'calculated data '!$A$4,D4342&lt;=$G$6,'calculated data '!$A$5,D4342&gt;=$G$6,'calculated data '!$A$6)</f>
        <v>Target Market (Core IQR)</v>
      </c>
      <c r="F4342" s="10">
        <f t="shared" si="1"/>
        <v>-0.4842656047</v>
      </c>
    </row>
    <row r="4343" ht="14.25" customHeight="1">
      <c r="A4343" s="2" t="s">
        <v>305</v>
      </c>
      <c r="B4343" s="2" t="s">
        <v>306</v>
      </c>
      <c r="C4343" s="2">
        <v>2024.0</v>
      </c>
      <c r="D4343" s="9">
        <v>6763.3564</v>
      </c>
      <c r="E4343" s="10" t="str">
        <f t="array" ref="E4343">IFS(D4343&lt;=$G$3,'calculated data '!$A$3,D4343&lt;=$G$4,'calculated data '!$A$4,D4343&lt;=$G$6,'calculated data '!$A$5,D4343&gt;=$G$6,'calculated data '!$A$6)</f>
        <v>Target Market (Core IQR)</v>
      </c>
      <c r="F4343" s="10">
        <f t="shared" si="1"/>
        <v>-0.4841471155</v>
      </c>
    </row>
    <row r="4344" ht="14.25" customHeight="1">
      <c r="A4344" s="2" t="s">
        <v>303</v>
      </c>
      <c r="B4344" s="2" t="s">
        <v>304</v>
      </c>
      <c r="C4344" s="2">
        <v>1998.0</v>
      </c>
      <c r="D4344" s="9">
        <v>6766.343</v>
      </c>
      <c r="E4344" s="10" t="str">
        <f t="array" ref="E4344">IFS(D4344&lt;=$G$3,'calculated data '!$A$3,D4344&lt;=$G$4,'calculated data '!$A$4,D4344&lt;=$G$6,'calculated data '!$A$5,D4344&gt;=$G$6,'calculated data '!$A$6)</f>
        <v>Target Market (Core IQR)</v>
      </c>
      <c r="F4344" s="10">
        <f t="shared" si="1"/>
        <v>-0.4840680609</v>
      </c>
    </row>
    <row r="4345" ht="14.25" customHeight="1">
      <c r="A4345" s="2" t="s">
        <v>223</v>
      </c>
      <c r="B4345" s="2" t="s">
        <v>224</v>
      </c>
      <c r="C4345" s="2">
        <v>2018.0</v>
      </c>
      <c r="D4345" s="9">
        <v>6772.3584</v>
      </c>
      <c r="E4345" s="10" t="str">
        <f t="array" ref="E4345">IFS(D4345&lt;=$G$3,'calculated data '!$A$3,D4345&lt;=$G$4,'calculated data '!$A$4,D4345&lt;=$G$6,'calculated data '!$A$5,D4345&gt;=$G$6,'calculated data '!$A$6)</f>
        <v>Target Market (Core IQR)</v>
      </c>
      <c r="F4345" s="10">
        <f t="shared" si="1"/>
        <v>-0.4839088348</v>
      </c>
    </row>
    <row r="4346" ht="14.25" customHeight="1">
      <c r="A4346" s="2" t="s">
        <v>51</v>
      </c>
      <c r="B4346" s="2" t="s">
        <v>52</v>
      </c>
      <c r="C4346" s="2">
        <v>2016.0</v>
      </c>
      <c r="D4346" s="9">
        <v>6783.4575</v>
      </c>
      <c r="E4346" s="10" t="str">
        <f t="array" ref="E4346">IFS(D4346&lt;=$G$3,'calculated data '!$A$3,D4346&lt;=$G$4,'calculated data '!$A$4,D4346&lt;=$G$6,'calculated data '!$A$5,D4346&gt;=$G$6,'calculated data '!$A$6)</f>
        <v>Target Market (Core IQR)</v>
      </c>
      <c r="F4346" s="10">
        <f t="shared" si="1"/>
        <v>-0.4836150444</v>
      </c>
    </row>
    <row r="4347" ht="14.25" customHeight="1">
      <c r="A4347" s="2" t="s">
        <v>191</v>
      </c>
      <c r="B4347" s="2" t="s">
        <v>192</v>
      </c>
      <c r="C4347" s="2">
        <v>2000.0</v>
      </c>
      <c r="D4347" s="9">
        <v>6794.599</v>
      </c>
      <c r="E4347" s="10" t="str">
        <f t="array" ref="E4347">IFS(D4347&lt;=$G$3,'calculated data '!$A$3,D4347&lt;=$G$4,'calculated data '!$A$4,D4347&lt;=$G$6,'calculated data '!$A$5,D4347&gt;=$G$6,'calculated data '!$A$6)</f>
        <v>Target Market (Core IQR)</v>
      </c>
      <c r="F4347" s="10">
        <f t="shared" si="1"/>
        <v>-0.4833201316</v>
      </c>
    </row>
    <row r="4348" ht="14.25" customHeight="1">
      <c r="A4348" s="2" t="s">
        <v>243</v>
      </c>
      <c r="B4348" s="2" t="s">
        <v>244</v>
      </c>
      <c r="C4348" s="2">
        <v>2021.0</v>
      </c>
      <c r="D4348" s="9">
        <v>6798.687</v>
      </c>
      <c r="E4348" s="10" t="str">
        <f t="array" ref="E4348">IFS(D4348&lt;=$G$3,'calculated data '!$A$3,D4348&lt;=$G$4,'calculated data '!$A$4,D4348&lt;=$G$6,'calculated data '!$A$5,D4348&gt;=$G$6,'calculated data '!$A$6)</f>
        <v>Target Market (Core IQR)</v>
      </c>
      <c r="F4348" s="10">
        <f t="shared" si="1"/>
        <v>-0.4832119233</v>
      </c>
    </row>
    <row r="4349" ht="14.25" customHeight="1">
      <c r="A4349" s="2" t="s">
        <v>129</v>
      </c>
      <c r="B4349" s="2" t="s">
        <v>130</v>
      </c>
      <c r="C4349" s="2">
        <v>2009.0</v>
      </c>
      <c r="D4349" s="9">
        <v>6804.1006</v>
      </c>
      <c r="E4349" s="10" t="str">
        <f t="array" ref="E4349">IFS(D4349&lt;=$G$3,'calculated data '!$A$3,D4349&lt;=$G$4,'calculated data '!$A$4,D4349&lt;=$G$6,'calculated data '!$A$5,D4349&gt;=$G$6,'calculated data '!$A$6)</f>
        <v>Target Market (Core IQR)</v>
      </c>
      <c r="F4349" s="10">
        <f t="shared" si="1"/>
        <v>-0.4830686267</v>
      </c>
    </row>
    <row r="4350" ht="14.25" customHeight="1">
      <c r="A4350" s="2" t="s">
        <v>303</v>
      </c>
      <c r="B4350" s="2" t="s">
        <v>304</v>
      </c>
      <c r="C4350" s="2">
        <v>2001.0</v>
      </c>
      <c r="D4350" s="9">
        <v>6804.768</v>
      </c>
      <c r="E4350" s="10" t="str">
        <f t="array" ref="E4350">IFS(D4350&lt;=$G$3,'calculated data '!$A$3,D4350&lt;=$G$4,'calculated data '!$A$4,D4350&lt;=$G$6,'calculated data '!$A$5,D4350&gt;=$G$6,'calculated data '!$A$6)</f>
        <v>Target Market (Core IQR)</v>
      </c>
      <c r="F4350" s="10">
        <f t="shared" si="1"/>
        <v>-0.4830509608</v>
      </c>
    </row>
    <row r="4351" ht="14.25" customHeight="1">
      <c r="A4351" s="2" t="s">
        <v>185</v>
      </c>
      <c r="B4351" s="2" t="s">
        <v>186</v>
      </c>
      <c r="C4351" s="2">
        <v>2001.0</v>
      </c>
      <c r="D4351" s="9">
        <v>6808.6406</v>
      </c>
      <c r="E4351" s="10" t="str">
        <f t="array" ref="E4351">IFS(D4351&lt;=$G$3,'calculated data '!$A$3,D4351&lt;=$G$4,'calculated data '!$A$4,D4351&lt;=$G$6,'calculated data '!$A$5,D4351&gt;=$G$6,'calculated data '!$A$6)</f>
        <v>Target Market (Core IQR)</v>
      </c>
      <c r="F4351" s="10">
        <f t="shared" si="1"/>
        <v>-0.482948454</v>
      </c>
    </row>
    <row r="4352" ht="14.25" customHeight="1">
      <c r="A4352" s="2" t="s">
        <v>205</v>
      </c>
      <c r="B4352" s="2" t="s">
        <v>206</v>
      </c>
      <c r="C4352" s="2">
        <v>1998.0</v>
      </c>
      <c r="D4352" s="9">
        <v>6814.3613</v>
      </c>
      <c r="E4352" s="10" t="str">
        <f t="array" ref="E4352">IFS(D4352&lt;=$G$3,'calculated data '!$A$3,D4352&lt;=$G$4,'calculated data '!$A$4,D4352&lt;=$G$6,'calculated data '!$A$5,D4352&gt;=$G$6,'calculated data '!$A$6)</f>
        <v>Target Market (Core IQR)</v>
      </c>
      <c r="F4352" s="10">
        <f t="shared" si="1"/>
        <v>-0.4827970285</v>
      </c>
    </row>
    <row r="4353" ht="14.25" customHeight="1">
      <c r="A4353" s="2" t="s">
        <v>159</v>
      </c>
      <c r="B4353" s="2" t="s">
        <v>160</v>
      </c>
      <c r="C4353" s="2">
        <v>2023.0</v>
      </c>
      <c r="D4353" s="9">
        <v>6816.1904</v>
      </c>
      <c r="E4353" s="10" t="str">
        <f t="array" ref="E4353">IFS(D4353&lt;=$G$3,'calculated data '!$A$3,D4353&lt;=$G$4,'calculated data '!$A$4,D4353&lt;=$G$6,'calculated data '!$A$5,D4353&gt;=$G$6,'calculated data '!$A$6)</f>
        <v>Target Market (Core IQR)</v>
      </c>
      <c r="F4353" s="10">
        <f t="shared" si="1"/>
        <v>-0.4827486127</v>
      </c>
    </row>
    <row r="4354" ht="14.25" customHeight="1">
      <c r="A4354" s="2" t="s">
        <v>309</v>
      </c>
      <c r="B4354" s="2" t="s">
        <v>310</v>
      </c>
      <c r="C4354" s="2">
        <v>1965.0</v>
      </c>
      <c r="D4354" s="9">
        <v>6822.079</v>
      </c>
      <c r="E4354" s="10" t="str">
        <f t="array" ref="E4354">IFS(D4354&lt;=$G$3,'calculated data '!$A$3,D4354&lt;=$G$4,'calculated data '!$A$4,D4354&lt;=$G$6,'calculated data '!$A$5,D4354&gt;=$G$6,'calculated data '!$A$6)</f>
        <v>Target Market (Core IQR)</v>
      </c>
      <c r="F4354" s="10">
        <f t="shared" si="1"/>
        <v>-0.4825927429</v>
      </c>
    </row>
    <row r="4355" ht="14.25" customHeight="1">
      <c r="A4355" s="2" t="s">
        <v>289</v>
      </c>
      <c r="B4355" s="2" t="s">
        <v>290</v>
      </c>
      <c r="C4355" s="2">
        <v>1995.0</v>
      </c>
      <c r="D4355" s="9">
        <v>6825.274</v>
      </c>
      <c r="E4355" s="10" t="str">
        <f t="array" ref="E4355">IFS(D4355&lt;=$G$3,'calculated data '!$A$3,D4355&lt;=$G$4,'calculated data '!$A$4,D4355&lt;=$G$6,'calculated data '!$A$5,D4355&gt;=$G$6,'calculated data '!$A$6)</f>
        <v>Target Market (Core IQR)</v>
      </c>
      <c r="F4355" s="10">
        <f t="shared" si="1"/>
        <v>-0.482508172</v>
      </c>
    </row>
    <row r="4356" ht="14.25" customHeight="1">
      <c r="A4356" s="2" t="s">
        <v>293</v>
      </c>
      <c r="B4356" s="2" t="s">
        <v>294</v>
      </c>
      <c r="C4356" s="2">
        <v>1987.0</v>
      </c>
      <c r="D4356" s="9">
        <v>6832.0513</v>
      </c>
      <c r="E4356" s="10" t="str">
        <f t="array" ref="E4356">IFS(D4356&lt;=$G$3,'calculated data '!$A$3,D4356&lt;=$G$4,'calculated data '!$A$4,D4356&lt;=$G$6,'calculated data '!$A$5,D4356&gt;=$G$6,'calculated data '!$A$6)</f>
        <v>Target Market (Core IQR)</v>
      </c>
      <c r="F4356" s="10">
        <f t="shared" si="1"/>
        <v>-0.4823287786</v>
      </c>
    </row>
    <row r="4357" ht="14.25" customHeight="1">
      <c r="A4357" s="2" t="s">
        <v>243</v>
      </c>
      <c r="B4357" s="2" t="s">
        <v>244</v>
      </c>
      <c r="C4357" s="2">
        <v>2007.0</v>
      </c>
      <c r="D4357" s="9">
        <v>6833.5107</v>
      </c>
      <c r="E4357" s="10" t="str">
        <f t="array" ref="E4357">IFS(D4357&lt;=$G$3,'calculated data '!$A$3,D4357&lt;=$G$4,'calculated data '!$A$4,D4357&lt;=$G$6,'calculated data '!$A$5,D4357&gt;=$G$6,'calculated data '!$A$6)</f>
        <v>Target Market (Core IQR)</v>
      </c>
      <c r="F4357" s="10">
        <f t="shared" si="1"/>
        <v>-0.4822901486</v>
      </c>
    </row>
    <row r="4358" ht="14.25" customHeight="1">
      <c r="A4358" s="2" t="s">
        <v>229</v>
      </c>
      <c r="B4358" s="2" t="s">
        <v>230</v>
      </c>
      <c r="C4358" s="2">
        <v>1986.0</v>
      </c>
      <c r="D4358" s="9">
        <v>6835.4614</v>
      </c>
      <c r="E4358" s="10" t="str">
        <f t="array" ref="E4358">IFS(D4358&lt;=$G$3,'calculated data '!$A$3,D4358&lt;=$G$4,'calculated data '!$A$4,D4358&lt;=$G$6,'calculated data '!$A$5,D4358&gt;=$G$6,'calculated data '!$A$6)</f>
        <v>Target Market (Core IQR)</v>
      </c>
      <c r="F4358" s="10">
        <f t="shared" si="1"/>
        <v>-0.4822385141</v>
      </c>
    </row>
    <row r="4359" ht="14.25" customHeight="1">
      <c r="A4359" s="2" t="s">
        <v>159</v>
      </c>
      <c r="B4359" s="2" t="s">
        <v>160</v>
      </c>
      <c r="C4359" s="2">
        <v>2022.0</v>
      </c>
      <c r="D4359" s="9">
        <v>6838.2817</v>
      </c>
      <c r="E4359" s="10" t="str">
        <f t="array" ref="E4359">IFS(D4359&lt;=$G$3,'calculated data '!$A$3,D4359&lt;=$G$4,'calculated data '!$A$4,D4359&lt;=$G$6,'calculated data '!$A$5,D4359&gt;=$G$6,'calculated data '!$A$6)</f>
        <v>Target Market (Core IQR)</v>
      </c>
      <c r="F4359" s="10">
        <f t="shared" si="1"/>
        <v>-0.4821638615</v>
      </c>
    </row>
    <row r="4360" ht="14.25" customHeight="1">
      <c r="A4360" s="2" t="s">
        <v>211</v>
      </c>
      <c r="B4360" s="2" t="s">
        <v>212</v>
      </c>
      <c r="C4360" s="2">
        <v>2015.0</v>
      </c>
      <c r="D4360" s="9">
        <v>6838.798</v>
      </c>
      <c r="E4360" s="10" t="str">
        <f t="array" ref="E4360">IFS(D4360&lt;=$G$3,'calculated data '!$A$3,D4360&lt;=$G$4,'calculated data '!$A$4,D4360&lt;=$G$6,'calculated data '!$A$5,D4360&gt;=$G$6,'calculated data '!$A$6)</f>
        <v>Target Market (Core IQR)</v>
      </c>
      <c r="F4360" s="10">
        <f t="shared" si="1"/>
        <v>-0.4821501951</v>
      </c>
    </row>
    <row r="4361" ht="14.25" customHeight="1">
      <c r="A4361" s="2" t="s">
        <v>305</v>
      </c>
      <c r="B4361" s="2" t="s">
        <v>306</v>
      </c>
      <c r="C4361" s="2">
        <v>2022.0</v>
      </c>
      <c r="D4361" s="9">
        <v>6844.557</v>
      </c>
      <c r="E4361" s="10" t="str">
        <f t="array" ref="E4361">IFS(D4361&lt;=$G$3,'calculated data '!$A$3,D4361&lt;=$G$4,'calculated data '!$A$4,D4361&lt;=$G$6,'calculated data '!$A$5,D4361&gt;=$G$6,'calculated data '!$A$6)</f>
        <v>Target Market (Core IQR)</v>
      </c>
      <c r="F4361" s="10">
        <f t="shared" si="1"/>
        <v>-0.4819977558</v>
      </c>
    </row>
    <row r="4362" ht="14.25" customHeight="1">
      <c r="A4362" s="2" t="s">
        <v>295</v>
      </c>
      <c r="B4362" s="2" t="s">
        <v>296</v>
      </c>
      <c r="C4362" s="2">
        <v>1993.0</v>
      </c>
      <c r="D4362" s="9">
        <v>6852.7524</v>
      </c>
      <c r="E4362" s="10" t="str">
        <f t="array" ref="E4362">IFS(D4362&lt;=$G$3,'calculated data '!$A$3,D4362&lt;=$G$4,'calculated data '!$A$4,D4362&lt;=$G$6,'calculated data '!$A$5,D4362&gt;=$G$6,'calculated data '!$A$6)</f>
        <v>Target Market (Core IQR)</v>
      </c>
      <c r="F4362" s="10">
        <f t="shared" si="1"/>
        <v>-0.4817808256</v>
      </c>
    </row>
    <row r="4363" ht="14.25" customHeight="1">
      <c r="A4363" s="2" t="s">
        <v>259</v>
      </c>
      <c r="B4363" s="2" t="s">
        <v>260</v>
      </c>
      <c r="C4363" s="2">
        <v>1996.0</v>
      </c>
      <c r="D4363" s="9">
        <v>6853.3267</v>
      </c>
      <c r="E4363" s="10" t="str">
        <f t="array" ref="E4363">IFS(D4363&lt;=$G$3,'calculated data '!$A$3,D4363&lt;=$G$4,'calculated data '!$A$4,D4363&lt;=$G$6,'calculated data '!$A$5,D4363&gt;=$G$6,'calculated data '!$A$6)</f>
        <v>Target Market (Core IQR)</v>
      </c>
      <c r="F4363" s="10">
        <f t="shared" si="1"/>
        <v>-0.4817656241</v>
      </c>
    </row>
    <row r="4364" ht="14.25" customHeight="1">
      <c r="A4364" s="2" t="s">
        <v>259</v>
      </c>
      <c r="B4364" s="2" t="s">
        <v>260</v>
      </c>
      <c r="C4364" s="2">
        <v>1990.0</v>
      </c>
      <c r="D4364" s="9">
        <v>6855.6313</v>
      </c>
      <c r="E4364" s="10" t="str">
        <f t="array" ref="E4364">IFS(D4364&lt;=$G$3,'calculated data '!$A$3,D4364&lt;=$G$4,'calculated data '!$A$4,D4364&lt;=$G$6,'calculated data '!$A$5,D4364&gt;=$G$6,'calculated data '!$A$6)</f>
        <v>Target Market (Core IQR)</v>
      </c>
      <c r="F4364" s="10">
        <f t="shared" si="1"/>
        <v>-0.4817046219</v>
      </c>
    </row>
    <row r="4365" ht="14.25" customHeight="1">
      <c r="A4365" s="2" t="s">
        <v>45</v>
      </c>
      <c r="B4365" s="2" t="s">
        <v>46</v>
      </c>
      <c r="C4365" s="2">
        <v>1987.0</v>
      </c>
      <c r="D4365" s="9">
        <v>6859.222</v>
      </c>
      <c r="E4365" s="10" t="str">
        <f t="array" ref="E4365">IFS(D4365&lt;=$G$3,'calculated data '!$A$3,D4365&lt;=$G$4,'calculated data '!$A$4,D4365&lt;=$G$6,'calculated data '!$A$5,D4365&gt;=$G$6,'calculated data '!$A$6)</f>
        <v>Target Market (Core IQR)</v>
      </c>
      <c r="F4365" s="10">
        <f t="shared" si="1"/>
        <v>-0.4816095769</v>
      </c>
    </row>
    <row r="4366" ht="14.25" customHeight="1">
      <c r="A4366" s="2" t="s">
        <v>305</v>
      </c>
      <c r="B4366" s="2" t="s">
        <v>306</v>
      </c>
      <c r="C4366" s="2">
        <v>2020.0</v>
      </c>
      <c r="D4366" s="9">
        <v>6859.322</v>
      </c>
      <c r="E4366" s="10" t="str">
        <f t="array" ref="E4366">IFS(D4366&lt;=$G$3,'calculated data '!$A$3,D4366&lt;=$G$4,'calculated data '!$A$4,D4366&lt;=$G$6,'calculated data '!$A$5,D4366&gt;=$G$6,'calculated data '!$A$6)</f>
        <v>Target Market (Core IQR)</v>
      </c>
      <c r="F4366" s="10">
        <f t="shared" si="1"/>
        <v>-0.48160693</v>
      </c>
    </row>
    <row r="4367" ht="14.25" customHeight="1">
      <c r="A4367" s="2" t="s">
        <v>141</v>
      </c>
      <c r="B4367" s="2" t="s">
        <v>142</v>
      </c>
      <c r="C4367" s="2">
        <v>1991.0</v>
      </c>
      <c r="D4367" s="9">
        <v>6859.3843</v>
      </c>
      <c r="E4367" s="10" t="str">
        <f t="array" ref="E4367">IFS(D4367&lt;=$G$3,'calculated data '!$A$3,D4367&lt;=$G$4,'calculated data '!$A$4,D4367&lt;=$G$6,'calculated data '!$A$5,D4367&gt;=$G$6,'calculated data '!$A$6)</f>
        <v>Target Market (Core IQR)</v>
      </c>
      <c r="F4367" s="10">
        <f t="shared" si="1"/>
        <v>-0.4816052809</v>
      </c>
    </row>
    <row r="4368" ht="14.25" customHeight="1">
      <c r="A4368" s="2" t="s">
        <v>233</v>
      </c>
      <c r="B4368" s="2" t="s">
        <v>234</v>
      </c>
      <c r="C4368" s="2">
        <v>1979.0</v>
      </c>
      <c r="D4368" s="9">
        <v>6860.06</v>
      </c>
      <c r="E4368" s="10" t="str">
        <f t="array" ref="E4368">IFS(D4368&lt;=$G$3,'calculated data '!$A$3,D4368&lt;=$G$4,'calculated data '!$A$4,D4368&lt;=$G$6,'calculated data '!$A$5,D4368&gt;=$G$6,'calculated data '!$A$6)</f>
        <v>Target Market (Core IQR)</v>
      </c>
      <c r="F4368" s="10">
        <f t="shared" si="1"/>
        <v>-0.4815873953</v>
      </c>
    </row>
    <row r="4369" ht="14.25" customHeight="1">
      <c r="A4369" s="2" t="s">
        <v>299</v>
      </c>
      <c r="B4369" s="2" t="s">
        <v>300</v>
      </c>
      <c r="C4369" s="2">
        <v>1995.0</v>
      </c>
      <c r="D4369" s="9">
        <v>6863.0107</v>
      </c>
      <c r="E4369" s="10" t="str">
        <f t="array" ref="E4369">IFS(D4369&lt;=$G$3,'calculated data '!$A$3,D4369&lt;=$G$4,'calculated data '!$A$4,D4369&lt;=$G$6,'calculated data '!$A$5,D4369&gt;=$G$6,'calculated data '!$A$6)</f>
        <v>Target Market (Core IQR)</v>
      </c>
      <c r="F4369" s="10">
        <f t="shared" si="1"/>
        <v>-0.481509291</v>
      </c>
    </row>
    <row r="4370" ht="14.25" customHeight="1">
      <c r="A4370" s="2" t="s">
        <v>111</v>
      </c>
      <c r="B4370" s="2" t="s">
        <v>112</v>
      </c>
      <c r="C4370" s="2">
        <v>2012.0</v>
      </c>
      <c r="D4370" s="9">
        <v>6863.855</v>
      </c>
      <c r="E4370" s="10" t="str">
        <f t="array" ref="E4370">IFS(D4370&lt;=$G$3,'calculated data '!$A$3,D4370&lt;=$G$4,'calculated data '!$A$4,D4370&lt;=$G$6,'calculated data '!$A$5,D4370&gt;=$G$6,'calculated data '!$A$6)</f>
        <v>Target Market (Core IQR)</v>
      </c>
      <c r="F4370" s="10">
        <f t="shared" si="1"/>
        <v>-0.4814869426</v>
      </c>
    </row>
    <row r="4371" ht="14.25" customHeight="1">
      <c r="A4371" s="2" t="s">
        <v>297</v>
      </c>
      <c r="B4371" s="2" t="s">
        <v>298</v>
      </c>
      <c r="C4371" s="2">
        <v>1995.0</v>
      </c>
      <c r="D4371" s="9">
        <v>6870.065</v>
      </c>
      <c r="E4371" s="10" t="str">
        <f t="array" ref="E4371">IFS(D4371&lt;=$G$3,'calculated data '!$A$3,D4371&lt;=$G$4,'calculated data '!$A$4,D4371&lt;=$G$6,'calculated data '!$A$5,D4371&gt;=$G$6,'calculated data '!$A$6)</f>
        <v>Target Market (Core IQR)</v>
      </c>
      <c r="F4371" s="10">
        <f t="shared" si="1"/>
        <v>-0.4813225654</v>
      </c>
    </row>
    <row r="4372" ht="14.25" customHeight="1">
      <c r="A4372" s="2" t="s">
        <v>41</v>
      </c>
      <c r="B4372" s="2" t="s">
        <v>42</v>
      </c>
      <c r="C4372" s="2">
        <v>2016.0</v>
      </c>
      <c r="D4372" s="9">
        <v>6870.513</v>
      </c>
      <c r="E4372" s="10" t="str">
        <f t="array" ref="E4372">IFS(D4372&lt;=$G$3,'calculated data '!$A$3,D4372&lt;=$G$4,'calculated data '!$A$4,D4372&lt;=$G$6,'calculated data '!$A$5,D4372&gt;=$G$6,'calculated data '!$A$6)</f>
        <v>Target Market (Core IQR)</v>
      </c>
      <c r="F4372" s="10">
        <f t="shared" si="1"/>
        <v>-0.481310707</v>
      </c>
    </row>
    <row r="4373" ht="14.25" customHeight="1">
      <c r="A4373" s="2" t="s">
        <v>209</v>
      </c>
      <c r="B4373" s="2" t="s">
        <v>210</v>
      </c>
      <c r="C4373" s="2">
        <v>2022.0</v>
      </c>
      <c r="D4373" s="9">
        <v>6872.5845</v>
      </c>
      <c r="E4373" s="10" t="str">
        <f t="array" ref="E4373">IFS(D4373&lt;=$G$3,'calculated data '!$A$3,D4373&lt;=$G$4,'calculated data '!$A$4,D4373&lt;=$G$6,'calculated data '!$A$5,D4373&gt;=$G$6,'calculated data '!$A$6)</f>
        <v>Target Market (Core IQR)</v>
      </c>
      <c r="F4373" s="10">
        <f t="shared" si="1"/>
        <v>-0.4812558749</v>
      </c>
    </row>
    <row r="4374" ht="14.25" customHeight="1">
      <c r="A4374" s="2" t="s">
        <v>269</v>
      </c>
      <c r="B4374" s="2" t="s">
        <v>270</v>
      </c>
      <c r="C4374" s="2">
        <v>2013.0</v>
      </c>
      <c r="D4374" s="9">
        <v>6875.813</v>
      </c>
      <c r="E4374" s="10" t="str">
        <f t="array" ref="E4374">IFS(D4374&lt;=$G$3,'calculated data '!$A$3,D4374&lt;=$G$4,'calculated data '!$A$4,D4374&lt;=$G$6,'calculated data '!$A$5,D4374&gt;=$G$6,'calculated data '!$A$6)</f>
        <v>Target Market (Core IQR)</v>
      </c>
      <c r="F4374" s="10">
        <f t="shared" si="1"/>
        <v>-0.4811704173</v>
      </c>
    </row>
    <row r="4375" ht="14.25" customHeight="1">
      <c r="A4375" s="2" t="s">
        <v>275</v>
      </c>
      <c r="B4375" s="2" t="s">
        <v>276</v>
      </c>
      <c r="C4375" s="2">
        <v>1981.0</v>
      </c>
      <c r="D4375" s="9">
        <v>6878.0864</v>
      </c>
      <c r="E4375" s="10" t="str">
        <f t="array" ref="E4375">IFS(D4375&lt;=$G$3,'calculated data '!$A$3,D4375&lt;=$G$4,'calculated data '!$A$4,D4375&lt;=$G$6,'calculated data '!$A$5,D4375&gt;=$G$6,'calculated data '!$A$6)</f>
        <v>Target Market (Core IQR)</v>
      </c>
      <c r="F4375" s="10">
        <f t="shared" si="1"/>
        <v>-0.481110241</v>
      </c>
    </row>
    <row r="4376" ht="14.25" customHeight="1">
      <c r="A4376" s="2" t="s">
        <v>127</v>
      </c>
      <c r="B4376" s="2" t="s">
        <v>128</v>
      </c>
      <c r="C4376" s="2">
        <v>2004.0</v>
      </c>
      <c r="D4376" s="9">
        <v>6878.5938</v>
      </c>
      <c r="E4376" s="10" t="str">
        <f t="array" ref="E4376">IFS(D4376&lt;=$G$3,'calculated data '!$A$3,D4376&lt;=$G$4,'calculated data '!$A$4,D4376&lt;=$G$6,'calculated data '!$A$5,D4376&gt;=$G$6,'calculated data '!$A$6)</f>
        <v>Target Market (Core IQR)</v>
      </c>
      <c r="F4376" s="10">
        <f t="shared" si="1"/>
        <v>-0.4810968102</v>
      </c>
    </row>
    <row r="4377" ht="14.25" customHeight="1">
      <c r="A4377" s="2" t="s">
        <v>261</v>
      </c>
      <c r="B4377" s="2" t="s">
        <v>262</v>
      </c>
      <c r="C4377" s="2">
        <v>1998.0</v>
      </c>
      <c r="D4377" s="9">
        <v>6881.3496</v>
      </c>
      <c r="E4377" s="10" t="str">
        <f t="array" ref="E4377">IFS(D4377&lt;=$G$3,'calculated data '!$A$3,D4377&lt;=$G$4,'calculated data '!$A$4,D4377&lt;=$G$6,'calculated data '!$A$5,D4377&gt;=$G$6,'calculated data '!$A$6)</f>
        <v>Target Market (Core IQR)</v>
      </c>
      <c r="F4377" s="10">
        <f t="shared" si="1"/>
        <v>-0.4810238649</v>
      </c>
    </row>
    <row r="4378" ht="14.25" customHeight="1">
      <c r="A4378" s="2" t="s">
        <v>279</v>
      </c>
      <c r="B4378" s="2" t="s">
        <v>280</v>
      </c>
      <c r="C4378" s="2">
        <v>1970.0</v>
      </c>
      <c r="D4378" s="9">
        <v>6889.381</v>
      </c>
      <c r="E4378" s="10" t="str">
        <f t="array" ref="E4378">IFS(D4378&lt;=$G$3,'calculated data '!$A$3,D4378&lt;=$G$4,'calculated data '!$A$4,D4378&lt;=$G$6,'calculated data '!$A$5,D4378&gt;=$G$6,'calculated data '!$A$6)</f>
        <v>Target Market (Core IQR)</v>
      </c>
      <c r="F4378" s="10">
        <f t="shared" si="1"/>
        <v>-0.4808112757</v>
      </c>
    </row>
    <row r="4379" ht="14.25" customHeight="1">
      <c r="A4379" s="2" t="s">
        <v>275</v>
      </c>
      <c r="B4379" s="2" t="s">
        <v>276</v>
      </c>
      <c r="C4379" s="2">
        <v>1980.0</v>
      </c>
      <c r="D4379" s="9">
        <v>6898.8</v>
      </c>
      <c r="E4379" s="10" t="str">
        <f t="array" ref="E4379">IFS(D4379&lt;=$G$3,'calculated data '!$A$3,D4379&lt;=$G$4,'calculated data '!$A$4,D4379&lt;=$G$6,'calculated data '!$A$5,D4379&gt;=$G$6,'calculated data '!$A$6)</f>
        <v>Target Market (Core IQR)</v>
      </c>
      <c r="F4379" s="10">
        <f t="shared" si="1"/>
        <v>-0.4805619571</v>
      </c>
    </row>
    <row r="4380" ht="14.25" customHeight="1">
      <c r="A4380" s="2" t="s">
        <v>281</v>
      </c>
      <c r="B4380" s="2" t="s">
        <v>282</v>
      </c>
      <c r="C4380" s="2">
        <v>1993.0</v>
      </c>
      <c r="D4380" s="9">
        <v>6898.9106</v>
      </c>
      <c r="E4380" s="10" t="str">
        <f t="array" ref="E4380">IFS(D4380&lt;=$G$3,'calculated data '!$A$3,D4380&lt;=$G$4,'calculated data '!$A$4,D4380&lt;=$G$6,'calculated data '!$A$5,D4380&gt;=$G$6,'calculated data '!$A$6)</f>
        <v>Target Market (Core IQR)</v>
      </c>
      <c r="F4380" s="10">
        <f t="shared" si="1"/>
        <v>-0.4805590296</v>
      </c>
    </row>
    <row r="4381" ht="14.25" customHeight="1">
      <c r="A4381" s="2" t="s">
        <v>159</v>
      </c>
      <c r="B4381" s="2" t="s">
        <v>160</v>
      </c>
      <c r="C4381" s="2">
        <v>2024.0</v>
      </c>
      <c r="D4381" s="9">
        <v>6899.797</v>
      </c>
      <c r="E4381" s="10" t="str">
        <f t="array" ref="E4381">IFS(D4381&lt;=$G$3,'calculated data '!$A$3,D4381&lt;=$G$4,'calculated data '!$A$4,D4381&lt;=$G$6,'calculated data '!$A$5,D4381&gt;=$G$6,'calculated data '!$A$6)</f>
        <v>Target Market (Core IQR)</v>
      </c>
      <c r="F4381" s="10">
        <f t="shared" si="1"/>
        <v>-0.4805355668</v>
      </c>
    </row>
    <row r="4382" ht="14.25" customHeight="1">
      <c r="A4382" s="2" t="s">
        <v>259</v>
      </c>
      <c r="B4382" s="2" t="s">
        <v>260</v>
      </c>
      <c r="C4382" s="2">
        <v>1997.0</v>
      </c>
      <c r="D4382" s="9">
        <v>6902.57</v>
      </c>
      <c r="E4382" s="10" t="str">
        <f t="array" ref="E4382">IFS(D4382&lt;=$G$3,'calculated data '!$A$3,D4382&lt;=$G$4,'calculated data '!$A$4,D4382&lt;=$G$6,'calculated data '!$A$5,D4382&gt;=$G$6,'calculated data '!$A$6)</f>
        <v>Target Market (Core IQR)</v>
      </c>
      <c r="F4382" s="10">
        <f t="shared" si="1"/>
        <v>-0.4804621662</v>
      </c>
    </row>
    <row r="4383" ht="14.25" customHeight="1">
      <c r="A4383" s="2" t="s">
        <v>273</v>
      </c>
      <c r="B4383" s="2" t="s">
        <v>274</v>
      </c>
      <c r="C4383" s="2">
        <v>2022.0</v>
      </c>
      <c r="D4383" s="9">
        <v>6909.168</v>
      </c>
      <c r="E4383" s="10" t="str">
        <f t="array" ref="E4383">IFS(D4383&lt;=$G$3,'calculated data '!$A$3,D4383&lt;=$G$4,'calculated data '!$A$4,D4383&lt;=$G$6,'calculated data '!$A$5,D4383&gt;=$G$6,'calculated data '!$A$6)</f>
        <v>Target Market (Core IQR)</v>
      </c>
      <c r="F4383" s="10">
        <f t="shared" si="1"/>
        <v>-0.4802875188</v>
      </c>
    </row>
    <row r="4384" ht="14.25" customHeight="1">
      <c r="A4384" s="2" t="s">
        <v>183</v>
      </c>
      <c r="B4384" s="2" t="s">
        <v>184</v>
      </c>
      <c r="C4384" s="2">
        <v>2001.0</v>
      </c>
      <c r="D4384" s="9">
        <v>6911.933</v>
      </c>
      <c r="E4384" s="10" t="str">
        <f t="array" ref="E4384">IFS(D4384&lt;=$G$3,'calculated data '!$A$3,D4384&lt;=$G$4,'calculated data '!$A$4,D4384&lt;=$G$6,'calculated data '!$A$5,D4384&gt;=$G$6,'calculated data '!$A$6)</f>
        <v>Target Market (Core IQR)</v>
      </c>
      <c r="F4384" s="10">
        <f t="shared" si="1"/>
        <v>-0.4802143299</v>
      </c>
    </row>
    <row r="4385" ht="14.25" customHeight="1">
      <c r="A4385" s="2" t="s">
        <v>197</v>
      </c>
      <c r="B4385" s="2" t="s">
        <v>198</v>
      </c>
      <c r="C4385" s="2">
        <v>1991.0</v>
      </c>
      <c r="D4385" s="9">
        <v>6913.2734</v>
      </c>
      <c r="E4385" s="10" t="str">
        <f t="array" ref="E4385">IFS(D4385&lt;=$G$3,'calculated data '!$A$3,D4385&lt;=$G$4,'calculated data '!$A$4,D4385&lt;=$G$6,'calculated data '!$A$5,D4385&gt;=$G$6,'calculated data '!$A$6)</f>
        <v>Target Market (Core IQR)</v>
      </c>
      <c r="F4385" s="10">
        <f t="shared" si="1"/>
        <v>-0.4801788498</v>
      </c>
    </row>
    <row r="4386" ht="14.25" customHeight="1">
      <c r="A4386" s="2" t="s">
        <v>227</v>
      </c>
      <c r="B4386" s="2" t="s">
        <v>228</v>
      </c>
      <c r="C4386" s="2">
        <v>1983.0</v>
      </c>
      <c r="D4386" s="9">
        <v>6914.946</v>
      </c>
      <c r="E4386" s="10" t="str">
        <f t="array" ref="E4386">IFS(D4386&lt;=$G$3,'calculated data '!$A$3,D4386&lt;=$G$4,'calculated data '!$A$4,D4386&lt;=$G$6,'calculated data '!$A$5,D4386&gt;=$G$6,'calculated data '!$A$6)</f>
        <v>Target Market (Core IQR)</v>
      </c>
      <c r="F4386" s="10">
        <f t="shared" si="1"/>
        <v>-0.4801345765</v>
      </c>
    </row>
    <row r="4387" ht="14.25" customHeight="1">
      <c r="A4387" s="2" t="s">
        <v>41</v>
      </c>
      <c r="B4387" s="2" t="s">
        <v>42</v>
      </c>
      <c r="C4387" s="2">
        <v>2017.0</v>
      </c>
      <c r="D4387" s="9">
        <v>6916.5264</v>
      </c>
      <c r="E4387" s="10" t="str">
        <f t="array" ref="E4387">IFS(D4387&lt;=$G$3,'calculated data '!$A$3,D4387&lt;=$G$4,'calculated data '!$A$4,D4387&lt;=$G$6,'calculated data '!$A$5,D4387&gt;=$G$6,'calculated data '!$A$6)</f>
        <v>Target Market (Core IQR)</v>
      </c>
      <c r="F4387" s="10">
        <f t="shared" si="1"/>
        <v>-0.4800927437</v>
      </c>
    </row>
    <row r="4388" ht="14.25" customHeight="1">
      <c r="A4388" s="2" t="s">
        <v>303</v>
      </c>
      <c r="B4388" s="2" t="s">
        <v>304</v>
      </c>
      <c r="C4388" s="2">
        <v>2000.0</v>
      </c>
      <c r="D4388" s="9">
        <v>6921.8765</v>
      </c>
      <c r="E4388" s="10" t="str">
        <f t="array" ref="E4388">IFS(D4388&lt;=$G$3,'calculated data '!$A$3,D4388&lt;=$G$4,'calculated data '!$A$4,D4388&lt;=$G$6,'calculated data '!$A$5,D4388&gt;=$G$6,'calculated data '!$A$6)</f>
        <v>Target Market (Core IQR)</v>
      </c>
      <c r="F4388" s="10">
        <f t="shared" si="1"/>
        <v>-0.4799511279</v>
      </c>
    </row>
    <row r="4389" ht="14.25" customHeight="1">
      <c r="A4389" s="2" t="s">
        <v>203</v>
      </c>
      <c r="B4389" s="2" t="s">
        <v>204</v>
      </c>
      <c r="C4389" s="2">
        <v>1994.0</v>
      </c>
      <c r="D4389" s="9">
        <v>6926.663</v>
      </c>
      <c r="E4389" s="10" t="str">
        <f t="array" ref="E4389">IFS(D4389&lt;=$G$3,'calculated data '!$A$3,D4389&lt;=$G$4,'calculated data '!$A$4,D4389&lt;=$G$6,'calculated data '!$A$5,D4389&gt;=$G$6,'calculated data '!$A$6)</f>
        <v>Target Market (Core IQR)</v>
      </c>
      <c r="F4389" s="10">
        <f t="shared" si="1"/>
        <v>-0.4798244305</v>
      </c>
    </row>
    <row r="4390" ht="14.25" customHeight="1">
      <c r="A4390" s="2" t="s">
        <v>311</v>
      </c>
      <c r="B4390" s="2" t="s">
        <v>312</v>
      </c>
      <c r="C4390" s="2">
        <v>1980.0</v>
      </c>
      <c r="D4390" s="9">
        <v>6927.354</v>
      </c>
      <c r="E4390" s="10" t="str">
        <f t="array" ref="E4390">IFS(D4390&lt;=$G$3,'calculated data '!$A$3,D4390&lt;=$G$4,'calculated data '!$A$4,D4390&lt;=$G$6,'calculated data '!$A$5,D4390&gt;=$G$6,'calculated data '!$A$6)</f>
        <v>Target Market (Core IQR)</v>
      </c>
      <c r="F4390" s="10">
        <f t="shared" si="1"/>
        <v>-0.4798061399</v>
      </c>
    </row>
    <row r="4391" ht="14.25" customHeight="1">
      <c r="A4391" s="2" t="s">
        <v>183</v>
      </c>
      <c r="B4391" s="2" t="s">
        <v>184</v>
      </c>
      <c r="C4391" s="2">
        <v>1996.0</v>
      </c>
      <c r="D4391" s="9">
        <v>6931.21</v>
      </c>
      <c r="E4391" s="10" t="str">
        <f t="array" ref="E4391">IFS(D4391&lt;=$G$3,'calculated data '!$A$3,D4391&lt;=$G$4,'calculated data '!$A$4,D4391&lt;=$G$6,'calculated data '!$A$5,D4391&gt;=$G$6,'calculated data '!$A$6)</f>
        <v>Target Market (Core IQR)</v>
      </c>
      <c r="F4391" s="10">
        <f t="shared" si="1"/>
        <v>-0.4797040725</v>
      </c>
    </row>
    <row r="4392" ht="14.25" customHeight="1">
      <c r="A4392" s="2" t="s">
        <v>195</v>
      </c>
      <c r="B4392" s="2" t="s">
        <v>196</v>
      </c>
      <c r="C4392" s="2">
        <v>2021.0</v>
      </c>
      <c r="D4392" s="9">
        <v>6934.6626</v>
      </c>
      <c r="E4392" s="10" t="str">
        <f t="array" ref="E4392">IFS(D4392&lt;=$G$3,'calculated data '!$A$3,D4392&lt;=$G$4,'calculated data '!$A$4,D4392&lt;=$G$6,'calculated data '!$A$5,D4392&gt;=$G$6,'calculated data '!$A$6)</f>
        <v>Target Market (Core IQR)</v>
      </c>
      <c r="F4392" s="10">
        <f t="shared" si="1"/>
        <v>-0.479612683</v>
      </c>
    </row>
    <row r="4393" ht="14.25" customHeight="1">
      <c r="A4393" s="2" t="s">
        <v>39</v>
      </c>
      <c r="B4393" s="2" t="s">
        <v>40</v>
      </c>
      <c r="C4393" s="2">
        <v>1984.0</v>
      </c>
      <c r="D4393" s="9">
        <v>6935.5737</v>
      </c>
      <c r="E4393" s="10" t="str">
        <f t="array" ref="E4393">IFS(D4393&lt;=$G$3,'calculated data '!$A$3,D4393&lt;=$G$4,'calculated data '!$A$4,D4393&lt;=$G$6,'calculated data '!$A$5,D4393&gt;=$G$6,'calculated data '!$A$6)</f>
        <v>Target Market (Core IQR)</v>
      </c>
      <c r="F4393" s="10">
        <f t="shared" si="1"/>
        <v>-0.4795885665</v>
      </c>
    </row>
    <row r="4394" ht="14.25" customHeight="1">
      <c r="A4394" s="2" t="s">
        <v>159</v>
      </c>
      <c r="B4394" s="2" t="s">
        <v>160</v>
      </c>
      <c r="C4394" s="2">
        <v>2021.0</v>
      </c>
      <c r="D4394" s="9">
        <v>6937.147</v>
      </c>
      <c r="E4394" s="10" t="str">
        <f t="array" ref="E4394">IFS(D4394&lt;=$G$3,'calculated data '!$A$3,D4394&lt;=$G$4,'calculated data '!$A$4,D4394&lt;=$G$6,'calculated data '!$A$5,D4394&gt;=$G$6,'calculated data '!$A$6)</f>
        <v>Target Market (Core IQR)</v>
      </c>
      <c r="F4394" s="10">
        <f t="shared" si="1"/>
        <v>-0.4795469216</v>
      </c>
    </row>
    <row r="4395" ht="14.25" customHeight="1">
      <c r="A4395" s="2" t="s">
        <v>183</v>
      </c>
      <c r="B4395" s="2" t="s">
        <v>184</v>
      </c>
      <c r="C4395" s="2">
        <v>2003.0</v>
      </c>
      <c r="D4395" s="9">
        <v>6937.4414</v>
      </c>
      <c r="E4395" s="10" t="str">
        <f t="array" ref="E4395">IFS(D4395&lt;=$G$3,'calculated data '!$A$3,D4395&lt;=$G$4,'calculated data '!$A$4,D4395&lt;=$G$6,'calculated data '!$A$5,D4395&gt;=$G$6,'calculated data '!$A$6)</f>
        <v>Target Market (Core IQR)</v>
      </c>
      <c r="F4395" s="10">
        <f t="shared" si="1"/>
        <v>-0.4795391289</v>
      </c>
    </row>
    <row r="4396" ht="14.25" customHeight="1">
      <c r="A4396" s="2" t="s">
        <v>191</v>
      </c>
      <c r="B4396" s="2" t="s">
        <v>192</v>
      </c>
      <c r="C4396" s="2">
        <v>2002.0</v>
      </c>
      <c r="D4396" s="9">
        <v>6939.5356</v>
      </c>
      <c r="E4396" s="10" t="str">
        <f t="array" ref="E4396">IFS(D4396&lt;=$G$3,'calculated data '!$A$3,D4396&lt;=$G$4,'calculated data '!$A$4,D4396&lt;=$G$6,'calculated data '!$A$5,D4396&gt;=$G$6,'calculated data '!$A$6)</f>
        <v>Target Market (Core IQR)</v>
      </c>
      <c r="F4396" s="10">
        <f t="shared" si="1"/>
        <v>-0.4794836959</v>
      </c>
    </row>
    <row r="4397" ht="14.25" customHeight="1">
      <c r="A4397" s="2" t="s">
        <v>299</v>
      </c>
      <c r="B4397" s="2" t="s">
        <v>300</v>
      </c>
      <c r="C4397" s="2">
        <v>2002.0</v>
      </c>
      <c r="D4397" s="9">
        <v>6944.132</v>
      </c>
      <c r="E4397" s="10" t="str">
        <f t="array" ref="E4397">IFS(D4397&lt;=$G$3,'calculated data '!$A$3,D4397&lt;=$G$4,'calculated data '!$A$4,D4397&lt;=$G$6,'calculated data '!$A$5,D4397&gt;=$G$6,'calculated data '!$A$6)</f>
        <v>Target Market (Core IQR)</v>
      </c>
      <c r="F4397" s="10">
        <f t="shared" si="1"/>
        <v>-0.4793620304</v>
      </c>
    </row>
    <row r="4398" ht="14.25" customHeight="1">
      <c r="A4398" s="2" t="s">
        <v>159</v>
      </c>
      <c r="B4398" s="2" t="s">
        <v>160</v>
      </c>
      <c r="C4398" s="2">
        <v>2019.0</v>
      </c>
      <c r="D4398" s="9">
        <v>6945.425</v>
      </c>
      <c r="E4398" s="10" t="str">
        <f t="array" ref="E4398">IFS(D4398&lt;=$G$3,'calculated data '!$A$3,D4398&lt;=$G$4,'calculated data '!$A$4,D4398&lt;=$G$6,'calculated data '!$A$5,D4398&gt;=$G$6,'calculated data '!$A$6)</f>
        <v>Target Market (Core IQR)</v>
      </c>
      <c r="F4398" s="10">
        <f t="shared" si="1"/>
        <v>-0.479327805</v>
      </c>
    </row>
    <row r="4399" ht="14.25" customHeight="1">
      <c r="A4399" s="2" t="s">
        <v>289</v>
      </c>
      <c r="B4399" s="2" t="s">
        <v>290</v>
      </c>
      <c r="C4399" s="2">
        <v>1986.0</v>
      </c>
      <c r="D4399" s="9">
        <v>6953.273</v>
      </c>
      <c r="E4399" s="10" t="str">
        <f t="array" ref="E4399">IFS(D4399&lt;=$G$3,'calculated data '!$A$3,D4399&lt;=$G$4,'calculated data '!$A$4,D4399&lt;=$G$6,'calculated data '!$A$5,D4399&gt;=$G$6,'calculated data '!$A$6)</f>
        <v>Target Market (Core IQR)</v>
      </c>
      <c r="F4399" s="10">
        <f t="shared" si="1"/>
        <v>-0.4791200704</v>
      </c>
    </row>
    <row r="4400" ht="14.25" customHeight="1">
      <c r="A4400" s="2" t="s">
        <v>313</v>
      </c>
      <c r="B4400" s="2" t="s">
        <v>314</v>
      </c>
      <c r="C4400" s="2">
        <v>1975.0</v>
      </c>
      <c r="D4400" s="9">
        <v>6964.1675</v>
      </c>
      <c r="E4400" s="10" t="str">
        <f t="array" ref="E4400">IFS(D4400&lt;=$G$3,'calculated data '!$A$3,D4400&lt;=$G$4,'calculated data '!$A$4,D4400&lt;=$G$6,'calculated data '!$A$5,D4400&gt;=$G$6,'calculated data '!$A$6)</f>
        <v>Target Market (Core IQR)</v>
      </c>
      <c r="F4400" s="10">
        <f t="shared" si="1"/>
        <v>-0.4788316957</v>
      </c>
    </row>
    <row r="4401" ht="14.25" customHeight="1">
      <c r="A4401" s="2" t="s">
        <v>265</v>
      </c>
      <c r="B4401" s="2" t="s">
        <v>266</v>
      </c>
      <c r="C4401" s="2">
        <v>1993.0</v>
      </c>
      <c r="D4401" s="9">
        <v>6964.649</v>
      </c>
      <c r="E4401" s="10" t="str">
        <f t="array" ref="E4401">IFS(D4401&lt;=$G$3,'calculated data '!$A$3,D4401&lt;=$G$4,'calculated data '!$A$4,D4401&lt;=$G$6,'calculated data '!$A$5,D4401&gt;=$G$6,'calculated data '!$A$6)</f>
        <v>Target Market (Core IQR)</v>
      </c>
      <c r="F4401" s="10">
        <f t="shared" si="1"/>
        <v>-0.4788189505</v>
      </c>
    </row>
    <row r="4402" ht="14.25" customHeight="1">
      <c r="A4402" s="2" t="s">
        <v>227</v>
      </c>
      <c r="B4402" s="2" t="s">
        <v>228</v>
      </c>
      <c r="C4402" s="2">
        <v>1981.0</v>
      </c>
      <c r="D4402" s="9">
        <v>6968.941</v>
      </c>
      <c r="E4402" s="10" t="str">
        <f t="array" ref="E4402">IFS(D4402&lt;=$G$3,'calculated data '!$A$3,D4402&lt;=$G$4,'calculated data '!$A$4,D4402&lt;=$G$6,'calculated data '!$A$5,D4402&gt;=$G$6,'calculated data '!$A$6)</f>
        <v>Target Market (Core IQR)</v>
      </c>
      <c r="F4402" s="10">
        <f t="shared" si="1"/>
        <v>-0.4787053423</v>
      </c>
    </row>
    <row r="4403" ht="14.25" customHeight="1">
      <c r="A4403" s="2" t="s">
        <v>183</v>
      </c>
      <c r="B4403" s="2" t="s">
        <v>184</v>
      </c>
      <c r="C4403" s="2">
        <v>2002.0</v>
      </c>
      <c r="D4403" s="9">
        <v>6972.197</v>
      </c>
      <c r="E4403" s="10" t="str">
        <f t="array" ref="E4403">IFS(D4403&lt;=$G$3,'calculated data '!$A$3,D4403&lt;=$G$4,'calculated data '!$A$4,D4403&lt;=$G$6,'calculated data '!$A$5,D4403&gt;=$G$6,'calculated data '!$A$6)</f>
        <v>Target Market (Core IQR)</v>
      </c>
      <c r="F4403" s="10">
        <f t="shared" si="1"/>
        <v>-0.4786191568</v>
      </c>
    </row>
    <row r="4404" ht="14.25" customHeight="1">
      <c r="A4404" s="2" t="s">
        <v>259</v>
      </c>
      <c r="B4404" s="2" t="s">
        <v>260</v>
      </c>
      <c r="C4404" s="2">
        <v>1991.0</v>
      </c>
      <c r="D4404" s="9">
        <v>6982.897</v>
      </c>
      <c r="E4404" s="10" t="str">
        <f t="array" ref="E4404">IFS(D4404&lt;=$G$3,'calculated data '!$A$3,D4404&lt;=$G$4,'calculated data '!$A$4,D4404&lt;=$G$6,'calculated data '!$A$5,D4404&gt;=$G$6,'calculated data '!$A$6)</f>
        <v>Target Market (Core IQR)</v>
      </c>
      <c r="F4404" s="10">
        <f t="shared" si="1"/>
        <v>-0.4783359305</v>
      </c>
    </row>
    <row r="4405" ht="14.25" customHeight="1">
      <c r="A4405" s="2" t="s">
        <v>245</v>
      </c>
      <c r="B4405" s="2" t="s">
        <v>246</v>
      </c>
      <c r="C4405" s="2">
        <v>1994.0</v>
      </c>
      <c r="D4405" s="9">
        <v>6990.1973</v>
      </c>
      <c r="E4405" s="10" t="str">
        <f t="array" ref="E4405">IFS(D4405&lt;=$G$3,'calculated data '!$A$3,D4405&lt;=$G$4,'calculated data '!$A$4,D4405&lt;=$G$6,'calculated data '!$A$5,D4405&gt;=$G$6,'calculated data '!$A$6)</f>
        <v>Target Market (Core IQR)</v>
      </c>
      <c r="F4405" s="10">
        <f t="shared" si="1"/>
        <v>-0.4781426934</v>
      </c>
    </row>
    <row r="4406" ht="14.25" customHeight="1">
      <c r="A4406" s="2" t="s">
        <v>243</v>
      </c>
      <c r="B4406" s="2" t="s">
        <v>244</v>
      </c>
      <c r="C4406" s="2">
        <v>2020.0</v>
      </c>
      <c r="D4406" s="9">
        <v>6990.977</v>
      </c>
      <c r="E4406" s="10" t="str">
        <f t="array" ref="E4406">IFS(D4406&lt;=$G$3,'calculated data '!$A$3,D4406&lt;=$G$4,'calculated data '!$A$4,D4406&lt;=$G$6,'calculated data '!$A$5,D4406&gt;=$G$6,'calculated data '!$A$6)</f>
        <v>Target Market (Core IQR)</v>
      </c>
      <c r="F4406" s="10">
        <f t="shared" si="1"/>
        <v>-0.4781220549</v>
      </c>
    </row>
    <row r="4407" ht="14.25" customHeight="1">
      <c r="A4407" s="2" t="s">
        <v>275</v>
      </c>
      <c r="B4407" s="2" t="s">
        <v>276</v>
      </c>
      <c r="C4407" s="2">
        <v>2002.0</v>
      </c>
      <c r="D4407" s="9">
        <v>6991.956</v>
      </c>
      <c r="E4407" s="10" t="str">
        <f t="array" ref="E4407">IFS(D4407&lt;=$G$3,'calculated data '!$A$3,D4407&lt;=$G$4,'calculated data '!$A$4,D4407&lt;=$G$6,'calculated data '!$A$5,D4407&gt;=$G$6,'calculated data '!$A$6)</f>
        <v>Target Market (Core IQR)</v>
      </c>
      <c r="F4407" s="10">
        <f t="shared" si="1"/>
        <v>-0.478096141</v>
      </c>
    </row>
    <row r="4408" ht="14.25" customHeight="1">
      <c r="A4408" s="2" t="s">
        <v>183</v>
      </c>
      <c r="B4408" s="2" t="s">
        <v>184</v>
      </c>
      <c r="C4408" s="2">
        <v>1998.0</v>
      </c>
      <c r="D4408" s="9">
        <v>6994.0986</v>
      </c>
      <c r="E4408" s="10" t="str">
        <f t="array" ref="E4408">IFS(D4408&lt;=$G$3,'calculated data '!$A$3,D4408&lt;=$G$4,'calculated data '!$A$4,D4408&lt;=$G$6,'calculated data '!$A$5,D4408&gt;=$G$6,'calculated data '!$A$6)</f>
        <v>Target Market (Core IQR)</v>
      </c>
      <c r="F4408" s="10">
        <f t="shared" si="1"/>
        <v>-0.4780394269</v>
      </c>
    </row>
    <row r="4409" ht="14.25" customHeight="1">
      <c r="A4409" s="2" t="s">
        <v>273</v>
      </c>
      <c r="B4409" s="2" t="s">
        <v>274</v>
      </c>
      <c r="C4409" s="2">
        <v>2023.0</v>
      </c>
      <c r="D4409" s="9">
        <v>7003.885</v>
      </c>
      <c r="E4409" s="10" t="str">
        <f t="array" ref="E4409">IFS(D4409&lt;=$G$3,'calculated data '!$A$3,D4409&lt;=$G$4,'calculated data '!$A$4,D4409&lt;=$G$6,'calculated data '!$A$5,D4409&gt;=$G$6,'calculated data '!$A$6)</f>
        <v>Target Market (Core IQR)</v>
      </c>
      <c r="F4409" s="10">
        <f t="shared" si="1"/>
        <v>-0.4777803834</v>
      </c>
    </row>
    <row r="4410" ht="14.25" customHeight="1">
      <c r="A4410" s="2" t="s">
        <v>111</v>
      </c>
      <c r="B4410" s="2" t="s">
        <v>112</v>
      </c>
      <c r="C4410" s="2">
        <v>2019.0</v>
      </c>
      <c r="D4410" s="9">
        <v>7017.119</v>
      </c>
      <c r="E4410" s="10" t="str">
        <f t="array" ref="E4410">IFS(D4410&lt;=$G$3,'calculated data '!$A$3,D4410&lt;=$G$4,'calculated data '!$A$4,D4410&lt;=$G$6,'calculated data '!$A$5,D4410&gt;=$G$6,'calculated data '!$A$6)</f>
        <v>Target Market (Core IQR)</v>
      </c>
      <c r="F4410" s="10">
        <f t="shared" si="1"/>
        <v>-0.4774300827</v>
      </c>
    </row>
    <row r="4411" ht="14.25" customHeight="1">
      <c r="A4411" s="2" t="s">
        <v>313</v>
      </c>
      <c r="B4411" s="2" t="s">
        <v>314</v>
      </c>
      <c r="C4411" s="2">
        <v>1982.0</v>
      </c>
      <c r="D4411" s="9">
        <v>7017.9653</v>
      </c>
      <c r="E4411" s="10" t="str">
        <f t="array" ref="E4411">IFS(D4411&lt;=$G$3,'calculated data '!$A$3,D4411&lt;=$G$4,'calculated data '!$A$4,D4411&lt;=$G$6,'calculated data '!$A$5,D4411&gt;=$G$6,'calculated data '!$A$6)</f>
        <v>Target Market (Core IQR)</v>
      </c>
      <c r="F4411" s="10">
        <f t="shared" si="1"/>
        <v>-0.4774076813</v>
      </c>
    </row>
    <row r="4412" ht="14.25" customHeight="1">
      <c r="A4412" s="2" t="s">
        <v>267</v>
      </c>
      <c r="B4412" s="2" t="s">
        <v>268</v>
      </c>
      <c r="C4412" s="2">
        <v>1990.0</v>
      </c>
      <c r="D4412" s="9">
        <v>7023.431</v>
      </c>
      <c r="E4412" s="10" t="str">
        <f t="array" ref="E4412">IFS(D4412&lt;=$G$3,'calculated data '!$A$3,D4412&lt;=$G$4,'calculated data '!$A$4,D4412&lt;=$G$6,'calculated data '!$A$5,D4412&gt;=$G$6,'calculated data '!$A$6)</f>
        <v>Target Market (Core IQR)</v>
      </c>
      <c r="F4412" s="10">
        <f t="shared" si="1"/>
        <v>-0.4772630056</v>
      </c>
    </row>
    <row r="4413" ht="14.25" customHeight="1">
      <c r="A4413" s="2" t="s">
        <v>295</v>
      </c>
      <c r="B4413" s="2" t="s">
        <v>296</v>
      </c>
      <c r="C4413" s="2">
        <v>1994.0</v>
      </c>
      <c r="D4413" s="9">
        <v>7033.086</v>
      </c>
      <c r="E4413" s="10" t="str">
        <f t="array" ref="E4413">IFS(D4413&lt;=$G$3,'calculated data '!$A$3,D4413&lt;=$G$4,'calculated data '!$A$4,D4413&lt;=$G$6,'calculated data '!$A$5,D4413&gt;=$G$6,'calculated data '!$A$6)</f>
        <v>Target Market (Core IQR)</v>
      </c>
      <c r="F4413" s="10">
        <f t="shared" si="1"/>
        <v>-0.4770074402</v>
      </c>
    </row>
    <row r="4414" ht="14.25" customHeight="1">
      <c r="A4414" s="2" t="s">
        <v>273</v>
      </c>
      <c r="B4414" s="2" t="s">
        <v>274</v>
      </c>
      <c r="C4414" s="2">
        <v>2021.0</v>
      </c>
      <c r="D4414" s="9">
        <v>7039.4976</v>
      </c>
      <c r="E4414" s="10" t="str">
        <f t="array" ref="E4414">IFS(D4414&lt;=$G$3,'calculated data '!$A$3,D4414&lt;=$G$4,'calculated data '!$A$4,D4414&lt;=$G$6,'calculated data '!$A$5,D4414&gt;=$G$6,'calculated data '!$A$6)</f>
        <v>Target Market (Core IQR)</v>
      </c>
      <c r="F4414" s="10">
        <f t="shared" si="1"/>
        <v>-0.4768377267</v>
      </c>
    </row>
    <row r="4415" ht="14.25" customHeight="1">
      <c r="A4415" s="2" t="s">
        <v>223</v>
      </c>
      <c r="B4415" s="2" t="s">
        <v>224</v>
      </c>
      <c r="C4415" s="2">
        <v>2016.0</v>
      </c>
      <c r="D4415" s="9">
        <v>7039.8496</v>
      </c>
      <c r="E4415" s="10" t="str">
        <f t="array" ref="E4415">IFS(D4415&lt;=$G$3,'calculated data '!$A$3,D4415&lt;=$G$4,'calculated data '!$A$4,D4415&lt;=$G$6,'calculated data '!$A$5,D4415&gt;=$G$6,'calculated data '!$A$6)</f>
        <v>Target Market (Core IQR)</v>
      </c>
      <c r="F4415" s="10">
        <f t="shared" si="1"/>
        <v>-0.4768284093</v>
      </c>
    </row>
    <row r="4416" ht="14.25" customHeight="1">
      <c r="A4416" s="2" t="s">
        <v>289</v>
      </c>
      <c r="B4416" s="2" t="s">
        <v>290</v>
      </c>
      <c r="C4416" s="2">
        <v>1990.0</v>
      </c>
      <c r="D4416" s="9">
        <v>7048.021</v>
      </c>
      <c r="E4416" s="10" t="str">
        <f t="array" ref="E4416">IFS(D4416&lt;=$G$3,'calculated data '!$A$3,D4416&lt;=$G$4,'calculated data '!$A$4,D4416&lt;=$G$6,'calculated data '!$A$5,D4416&gt;=$G$6,'calculated data '!$A$6)</f>
        <v>Target Market (Core IQR)</v>
      </c>
      <c r="F4416" s="10">
        <f t="shared" si="1"/>
        <v>-0.4766121144</v>
      </c>
    </row>
    <row r="4417" ht="14.25" customHeight="1">
      <c r="A4417" s="2" t="s">
        <v>297</v>
      </c>
      <c r="B4417" s="2" t="s">
        <v>298</v>
      </c>
      <c r="C4417" s="2">
        <v>2004.0</v>
      </c>
      <c r="D4417" s="9">
        <v>7060.5864</v>
      </c>
      <c r="E4417" s="10" t="str">
        <f t="array" ref="E4417">IFS(D4417&lt;=$G$3,'calculated data '!$A$3,D4417&lt;=$G$4,'calculated data '!$A$4,D4417&lt;=$G$6,'calculated data '!$A$5,D4417&gt;=$G$6,'calculated data '!$A$6)</f>
        <v>Target Market (Core IQR)</v>
      </c>
      <c r="F4417" s="10">
        <f t="shared" si="1"/>
        <v>-0.4762795114</v>
      </c>
    </row>
    <row r="4418" ht="14.25" customHeight="1">
      <c r="A4418" s="2" t="s">
        <v>303</v>
      </c>
      <c r="B4418" s="2" t="s">
        <v>304</v>
      </c>
      <c r="C4418" s="2">
        <v>2003.0</v>
      </c>
      <c r="D4418" s="9">
        <v>7071.1685</v>
      </c>
      <c r="E4418" s="10" t="str">
        <f t="array" ref="E4418">IFS(D4418&lt;=$G$3,'calculated data '!$A$3,D4418&lt;=$G$4,'calculated data '!$A$4,D4418&lt;=$G$6,'calculated data '!$A$5,D4418&gt;=$G$6,'calculated data '!$A$6)</f>
        <v>Target Market (Core IQR)</v>
      </c>
      <c r="F4418" s="10">
        <f t="shared" si="1"/>
        <v>-0.4759994059</v>
      </c>
    </row>
    <row r="4419" ht="14.25" customHeight="1">
      <c r="A4419" s="2" t="s">
        <v>299</v>
      </c>
      <c r="B4419" s="2" t="s">
        <v>300</v>
      </c>
      <c r="C4419" s="2">
        <v>2019.0</v>
      </c>
      <c r="D4419" s="9">
        <v>7083.414</v>
      </c>
      <c r="E4419" s="10" t="str">
        <f t="array" ref="E4419">IFS(D4419&lt;=$G$3,'calculated data '!$A$3,D4419&lt;=$G$4,'calculated data '!$A$4,D4419&lt;=$G$6,'calculated data '!$A$5,D4419&gt;=$G$6,'calculated data '!$A$6)</f>
        <v>Target Market (Core IQR)</v>
      </c>
      <c r="F4419" s="10">
        <f t="shared" si="1"/>
        <v>-0.4756752705</v>
      </c>
    </row>
    <row r="4420" ht="14.25" customHeight="1">
      <c r="A4420" s="2" t="s">
        <v>305</v>
      </c>
      <c r="B4420" s="2" t="s">
        <v>306</v>
      </c>
      <c r="C4420" s="2">
        <v>2009.0</v>
      </c>
      <c r="D4420" s="9">
        <v>7094.3774</v>
      </c>
      <c r="E4420" s="10" t="str">
        <f t="array" ref="E4420">IFS(D4420&lt;=$G$3,'calculated data '!$A$3,D4420&lt;=$G$4,'calculated data '!$A$4,D4420&lt;=$G$6,'calculated data '!$A$5,D4420&gt;=$G$6,'calculated data '!$A$6)</f>
        <v>Target Market (Core IQR)</v>
      </c>
      <c r="F4420" s="10">
        <f t="shared" si="1"/>
        <v>-0.4753850721</v>
      </c>
    </row>
    <row r="4421" ht="14.25" customHeight="1">
      <c r="A4421" s="2" t="s">
        <v>299</v>
      </c>
      <c r="B4421" s="2" t="s">
        <v>300</v>
      </c>
      <c r="C4421" s="2">
        <v>2010.0</v>
      </c>
      <c r="D4421" s="9">
        <v>7097.546</v>
      </c>
      <c r="E4421" s="10" t="str">
        <f t="array" ref="E4421">IFS(D4421&lt;=$G$3,'calculated data '!$A$3,D4421&lt;=$G$4,'calculated data '!$A$4,D4421&lt;=$G$6,'calculated data '!$A$5,D4421&gt;=$G$6,'calculated data '!$A$6)</f>
        <v>Target Market (Core IQR)</v>
      </c>
      <c r="F4421" s="10">
        <f t="shared" si="1"/>
        <v>-0.4753012</v>
      </c>
    </row>
    <row r="4422" ht="14.25" customHeight="1">
      <c r="A4422" s="2" t="s">
        <v>195</v>
      </c>
      <c r="B4422" s="2" t="s">
        <v>196</v>
      </c>
      <c r="C4422" s="2">
        <v>2015.0</v>
      </c>
      <c r="D4422" s="9">
        <v>7102.826</v>
      </c>
      <c r="E4422" s="10" t="str">
        <f t="array" ref="E4422">IFS(D4422&lt;=$G$3,'calculated data '!$A$3,D4422&lt;=$G$4,'calculated data '!$A$4,D4422&lt;=$G$6,'calculated data '!$A$5,D4422&gt;=$G$6,'calculated data '!$A$6)</f>
        <v>Target Market (Core IQR)</v>
      </c>
      <c r="F4422" s="10">
        <f t="shared" si="1"/>
        <v>-0.4751614397</v>
      </c>
    </row>
    <row r="4423" ht="14.25" customHeight="1">
      <c r="A4423" s="2" t="s">
        <v>309</v>
      </c>
      <c r="B4423" s="2" t="s">
        <v>310</v>
      </c>
      <c r="C4423" s="2">
        <v>1966.0</v>
      </c>
      <c r="D4423" s="9">
        <v>7104.275</v>
      </c>
      <c r="E4423" s="10" t="str">
        <f t="array" ref="E4423">IFS(D4423&lt;=$G$3,'calculated data '!$A$3,D4423&lt;=$G$4,'calculated data '!$A$4,D4423&lt;=$G$6,'calculated data '!$A$5,D4423&gt;=$G$6,'calculated data '!$A$6)</f>
        <v>Target Market (Core IQR)</v>
      </c>
      <c r="F4423" s="10">
        <f t="shared" si="1"/>
        <v>-0.4751230851</v>
      </c>
    </row>
    <row r="4424" ht="14.25" customHeight="1">
      <c r="A4424" s="2" t="s">
        <v>313</v>
      </c>
      <c r="B4424" s="2" t="s">
        <v>314</v>
      </c>
      <c r="C4424" s="2">
        <v>1985.0</v>
      </c>
      <c r="D4424" s="9">
        <v>7115.9717</v>
      </c>
      <c r="E4424" s="10" t="str">
        <f t="array" ref="E4424">IFS(D4424&lt;=$G$3,'calculated data '!$A$3,D4424&lt;=$G$4,'calculated data '!$A$4,D4424&lt;=$G$6,'calculated data '!$A$5,D4424&gt;=$G$6,'calculated data '!$A$6)</f>
        <v>Target Market (Core IQR)</v>
      </c>
      <c r="F4424" s="10">
        <f t="shared" si="1"/>
        <v>-0.4748134763</v>
      </c>
    </row>
    <row r="4425" ht="14.25" customHeight="1">
      <c r="A4425" s="2" t="s">
        <v>229</v>
      </c>
      <c r="B4425" s="2" t="s">
        <v>230</v>
      </c>
      <c r="C4425" s="2">
        <v>1987.0</v>
      </c>
      <c r="D4425" s="9">
        <v>7120.436</v>
      </c>
      <c r="E4425" s="10" t="str">
        <f t="array" ref="E4425">IFS(D4425&lt;=$G$3,'calculated data '!$A$3,D4425&lt;=$G$4,'calculated data '!$A$4,D4425&lt;=$G$6,'calculated data '!$A$5,D4425&gt;=$G$6,'calculated data '!$A$6)</f>
        <v>Target Market (Core IQR)</v>
      </c>
      <c r="F4425" s="10">
        <f t="shared" si="1"/>
        <v>-0.4746953074</v>
      </c>
    </row>
    <row r="4426" ht="14.25" customHeight="1">
      <c r="A4426" s="2" t="s">
        <v>255</v>
      </c>
      <c r="B4426" s="2" t="s">
        <v>256</v>
      </c>
      <c r="C4426" s="2">
        <v>2020.0</v>
      </c>
      <c r="D4426" s="9">
        <v>7121.196</v>
      </c>
      <c r="E4426" s="10" t="str">
        <f t="array" ref="E4426">IFS(D4426&lt;=$G$3,'calculated data '!$A$3,D4426&lt;=$G$4,'calculated data '!$A$4,D4426&lt;=$G$6,'calculated data '!$A$5,D4426&gt;=$G$6,'calculated data '!$A$6)</f>
        <v>Target Market (Core IQR)</v>
      </c>
      <c r="F4426" s="10">
        <f t="shared" si="1"/>
        <v>-0.4746751904</v>
      </c>
    </row>
    <row r="4427" ht="14.25" customHeight="1">
      <c r="A4427" s="2" t="s">
        <v>227</v>
      </c>
      <c r="B4427" s="2" t="s">
        <v>228</v>
      </c>
      <c r="C4427" s="2">
        <v>1982.0</v>
      </c>
      <c r="D4427" s="9">
        <v>7122.461</v>
      </c>
      <c r="E4427" s="10" t="str">
        <f t="array" ref="E4427">IFS(D4427&lt;=$G$3,'calculated data '!$A$3,D4427&lt;=$G$4,'calculated data '!$A$4,D4427&lt;=$G$6,'calculated data '!$A$5,D4427&gt;=$G$6,'calculated data '!$A$6)</f>
        <v>Target Market (Core IQR)</v>
      </c>
      <c r="F4427" s="10">
        <f t="shared" si="1"/>
        <v>-0.4746417062</v>
      </c>
    </row>
    <row r="4428" ht="14.25" customHeight="1">
      <c r="A4428" s="2" t="s">
        <v>245</v>
      </c>
      <c r="B4428" s="2" t="s">
        <v>246</v>
      </c>
      <c r="C4428" s="2">
        <v>1999.0</v>
      </c>
      <c r="D4428" s="9">
        <v>7124.4316</v>
      </c>
      <c r="E4428" s="10" t="str">
        <f t="array" ref="E4428">IFS(D4428&lt;=$G$3,'calculated data '!$A$3,D4428&lt;=$G$4,'calculated data '!$A$4,D4428&lt;=$G$6,'calculated data '!$A$5,D4428&gt;=$G$6,'calculated data '!$A$6)</f>
        <v>Target Market (Core IQR)</v>
      </c>
      <c r="F4428" s="10">
        <f t="shared" si="1"/>
        <v>-0.4745895449</v>
      </c>
    </row>
    <row r="4429" ht="14.25" customHeight="1">
      <c r="A4429" s="2" t="s">
        <v>313</v>
      </c>
      <c r="B4429" s="2" t="s">
        <v>314</v>
      </c>
      <c r="C4429" s="2">
        <v>1983.0</v>
      </c>
      <c r="D4429" s="9">
        <v>7125.7495</v>
      </c>
      <c r="E4429" s="10" t="str">
        <f t="array" ref="E4429">IFS(D4429&lt;=$G$3,'calculated data '!$A$3,D4429&lt;=$G$4,'calculated data '!$A$4,D4429&lt;=$G$6,'calculated data '!$A$5,D4429&gt;=$G$6,'calculated data '!$A$6)</f>
        <v>Target Market (Core IQR)</v>
      </c>
      <c r="F4429" s="10">
        <f t="shared" si="1"/>
        <v>-0.4745546604</v>
      </c>
    </row>
    <row r="4430" ht="14.25" customHeight="1">
      <c r="A4430" s="2" t="s">
        <v>265</v>
      </c>
      <c r="B4430" s="2" t="s">
        <v>266</v>
      </c>
      <c r="C4430" s="2">
        <v>1992.0</v>
      </c>
      <c r="D4430" s="9">
        <v>7126.0596</v>
      </c>
      <c r="E4430" s="10" t="str">
        <f t="array" ref="E4430">IFS(D4430&lt;=$G$3,'calculated data '!$A$3,D4430&lt;=$G$4,'calculated data '!$A$4,D4430&lt;=$G$6,'calculated data '!$A$5,D4430&gt;=$G$6,'calculated data '!$A$6)</f>
        <v>Target Market (Core IQR)</v>
      </c>
      <c r="F4430" s="10">
        <f t="shared" si="1"/>
        <v>-0.4745464521</v>
      </c>
    </row>
    <row r="4431" ht="14.25" customHeight="1">
      <c r="A4431" s="2" t="s">
        <v>313</v>
      </c>
      <c r="B4431" s="2" t="s">
        <v>314</v>
      </c>
      <c r="C4431" s="2">
        <v>1976.0</v>
      </c>
      <c r="D4431" s="9">
        <v>7126.4077</v>
      </c>
      <c r="E4431" s="10" t="str">
        <f t="array" ref="E4431">IFS(D4431&lt;=$G$3,'calculated data '!$A$3,D4431&lt;=$G$4,'calculated data '!$A$4,D4431&lt;=$G$6,'calculated data '!$A$5,D4431&gt;=$G$6,'calculated data '!$A$6)</f>
        <v>Target Market (Core IQR)</v>
      </c>
      <c r="F4431" s="10">
        <f t="shared" si="1"/>
        <v>-0.474537238</v>
      </c>
    </row>
    <row r="4432" ht="14.25" customHeight="1">
      <c r="A4432" s="2" t="s">
        <v>195</v>
      </c>
      <c r="B4432" s="2" t="s">
        <v>196</v>
      </c>
      <c r="C4432" s="2">
        <v>2016.0</v>
      </c>
      <c r="D4432" s="9">
        <v>7136.4707</v>
      </c>
      <c r="E4432" s="10" t="str">
        <f t="array" ref="E4432">IFS(D4432&lt;=$G$3,'calculated data '!$A$3,D4432&lt;=$G$4,'calculated data '!$A$4,D4432&lt;=$G$6,'calculated data '!$A$5,D4432&gt;=$G$6,'calculated data '!$A$6)</f>
        <v>Target Market (Core IQR)</v>
      </c>
      <c r="F4432" s="10">
        <f t="shared" si="1"/>
        <v>-0.4742708729</v>
      </c>
    </row>
    <row r="4433" ht="14.25" customHeight="1">
      <c r="A4433" s="2" t="s">
        <v>241</v>
      </c>
      <c r="B4433" s="2" t="s">
        <v>242</v>
      </c>
      <c r="C4433" s="2">
        <v>1990.0</v>
      </c>
      <c r="D4433" s="9">
        <v>7137.5566</v>
      </c>
      <c r="E4433" s="10" t="str">
        <f t="array" ref="E4433">IFS(D4433&lt;=$G$3,'calculated data '!$A$3,D4433&lt;=$G$4,'calculated data '!$A$4,D4433&lt;=$G$6,'calculated data '!$A$5,D4433&gt;=$G$6,'calculated data '!$A$6)</f>
        <v>Target Market (Core IQR)</v>
      </c>
      <c r="F4433" s="10">
        <f t="shared" si="1"/>
        <v>-0.4742421294</v>
      </c>
    </row>
    <row r="4434" ht="14.25" customHeight="1">
      <c r="A4434" s="2" t="s">
        <v>205</v>
      </c>
      <c r="B4434" s="2" t="s">
        <v>206</v>
      </c>
      <c r="C4434" s="2">
        <v>1999.0</v>
      </c>
      <c r="D4434" s="9">
        <v>7138.641</v>
      </c>
      <c r="E4434" s="10" t="str">
        <f t="array" ref="E4434">IFS(D4434&lt;=$G$3,'calculated data '!$A$3,D4434&lt;=$G$4,'calculated data '!$A$4,D4434&lt;=$G$6,'calculated data '!$A$5,D4434&gt;=$G$6,'calculated data '!$A$6)</f>
        <v>Target Market (Core IQR)</v>
      </c>
      <c r="F4434" s="10">
        <f t="shared" si="1"/>
        <v>-0.4742134256</v>
      </c>
    </row>
    <row r="4435" ht="14.25" customHeight="1">
      <c r="A4435" s="2" t="s">
        <v>51</v>
      </c>
      <c r="B4435" s="2" t="s">
        <v>52</v>
      </c>
      <c r="C4435" s="2">
        <v>2017.0</v>
      </c>
      <c r="D4435" s="9">
        <v>7141.9062</v>
      </c>
      <c r="E4435" s="10" t="str">
        <f t="array" ref="E4435">IFS(D4435&lt;=$G$3,'calculated data '!$A$3,D4435&lt;=$G$4,'calculated data '!$A$4,D4435&lt;=$G$6,'calculated data '!$A$5,D4435&gt;=$G$6,'calculated data '!$A$6)</f>
        <v>Target Market (Core IQR)</v>
      </c>
      <c r="F4435" s="10">
        <f t="shared" si="1"/>
        <v>-0.4741269966</v>
      </c>
    </row>
    <row r="4436" ht="14.25" customHeight="1">
      <c r="A4436" s="2" t="s">
        <v>263</v>
      </c>
      <c r="B4436" s="2" t="s">
        <v>264</v>
      </c>
      <c r="C4436" s="2">
        <v>1999.0</v>
      </c>
      <c r="D4436" s="9">
        <v>7147.4883</v>
      </c>
      <c r="E4436" s="10" t="str">
        <f t="array" ref="E4436">IFS(D4436&lt;=$G$3,'calculated data '!$A$3,D4436&lt;=$G$4,'calculated data '!$A$4,D4436&lt;=$G$6,'calculated data '!$A$5,D4436&gt;=$G$6,'calculated data '!$A$6)</f>
        <v>Target Market (Core IQR)</v>
      </c>
      <c r="F4436" s="10">
        <f t="shared" si="1"/>
        <v>-0.4739792398</v>
      </c>
    </row>
    <row r="4437" ht="14.25" customHeight="1">
      <c r="A4437" s="2" t="s">
        <v>231</v>
      </c>
      <c r="B4437" s="2" t="s">
        <v>232</v>
      </c>
      <c r="C4437" s="2">
        <v>1985.0</v>
      </c>
      <c r="D4437" s="9">
        <v>7152.977</v>
      </c>
      <c r="E4437" s="10" t="str">
        <f t="array" ref="E4437">IFS(D4437&lt;=$G$3,'calculated data '!$A$3,D4437&lt;=$G$4,'calculated data '!$A$4,D4437&lt;=$G$6,'calculated data '!$A$5,D4437&gt;=$G$6,'calculated data '!$A$6)</f>
        <v>Target Market (Core IQR)</v>
      </c>
      <c r="F4437" s="10">
        <f t="shared" si="1"/>
        <v>-0.4738339552</v>
      </c>
    </row>
    <row r="4438" ht="14.25" customHeight="1">
      <c r="A4438" s="2" t="s">
        <v>301</v>
      </c>
      <c r="B4438" s="2" t="s">
        <v>302</v>
      </c>
      <c r="C4438" s="2">
        <v>1969.0</v>
      </c>
      <c r="D4438" s="9">
        <v>7153.5464</v>
      </c>
      <c r="E4438" s="10" t="str">
        <f t="array" ref="E4438">IFS(D4438&lt;=$G$3,'calculated data '!$A$3,D4438&lt;=$G$4,'calculated data '!$A$4,D4438&lt;=$G$6,'calculated data '!$A$5,D4438&gt;=$G$6,'calculated data '!$A$6)</f>
        <v>Target Market (Core IQR)</v>
      </c>
      <c r="F4438" s="10">
        <f t="shared" si="1"/>
        <v>-0.4738188834</v>
      </c>
    </row>
    <row r="4439" ht="14.25" customHeight="1">
      <c r="A4439" s="2" t="s">
        <v>183</v>
      </c>
      <c r="B4439" s="2" t="s">
        <v>184</v>
      </c>
      <c r="C4439" s="2">
        <v>1997.0</v>
      </c>
      <c r="D4439" s="9">
        <v>7155.5312</v>
      </c>
      <c r="E4439" s="10" t="str">
        <f t="array" ref="E4439">IFS(D4439&lt;=$G$3,'calculated data '!$A$3,D4439&lt;=$G$4,'calculated data '!$A$4,D4439&lt;=$G$6,'calculated data '!$A$5,D4439&gt;=$G$6,'calculated data '!$A$6)</f>
        <v>Target Market (Core IQR)</v>
      </c>
      <c r="F4439" s="10">
        <f t="shared" si="1"/>
        <v>-0.4737663462</v>
      </c>
    </row>
    <row r="4440" ht="14.25" customHeight="1">
      <c r="A4440" s="2" t="s">
        <v>165</v>
      </c>
      <c r="B4440" s="2" t="s">
        <v>166</v>
      </c>
      <c r="C4440" s="2">
        <v>2023.0</v>
      </c>
      <c r="D4440" s="9">
        <v>7156.851</v>
      </c>
      <c r="E4440" s="10" t="str">
        <f t="array" ref="E4440">IFS(D4440&lt;=$G$3,'calculated data '!$A$3,D4440&lt;=$G$4,'calculated data '!$A$4,D4440&lt;=$G$6,'calculated data '!$A$5,D4440&gt;=$G$6,'calculated data '!$A$6)</f>
        <v>Target Market (Core IQR)</v>
      </c>
      <c r="F4440" s="10">
        <f t="shared" si="1"/>
        <v>-0.4737314114</v>
      </c>
    </row>
    <row r="4441" ht="14.25" customHeight="1">
      <c r="A4441" s="2" t="s">
        <v>241</v>
      </c>
      <c r="B4441" s="2" t="s">
        <v>242</v>
      </c>
      <c r="C4441" s="2">
        <v>1991.0</v>
      </c>
      <c r="D4441" s="9">
        <v>7157.8374</v>
      </c>
      <c r="E4441" s="10" t="str">
        <f t="array" ref="E4441">IFS(D4441&lt;=$G$3,'calculated data '!$A$3,D4441&lt;=$G$4,'calculated data '!$A$4,D4441&lt;=$G$6,'calculated data '!$A$5,D4441&gt;=$G$6,'calculated data '!$A$6)</f>
        <v>Target Market (Core IQR)</v>
      </c>
      <c r="F4441" s="10">
        <f t="shared" si="1"/>
        <v>-0.4737053017</v>
      </c>
    </row>
    <row r="4442" ht="14.25" customHeight="1">
      <c r="A4442" s="2" t="s">
        <v>297</v>
      </c>
      <c r="B4442" s="2" t="s">
        <v>298</v>
      </c>
      <c r="C4442" s="2">
        <v>1996.0</v>
      </c>
      <c r="D4442" s="9">
        <v>7162.7534</v>
      </c>
      <c r="E4442" s="10" t="str">
        <f t="array" ref="E4442">IFS(D4442&lt;=$G$3,'calculated data '!$A$3,D4442&lt;=$G$4,'calculated data '!$A$4,D4442&lt;=$G$6,'calculated data '!$A$5,D4442&gt;=$G$6,'calculated data '!$A$6)</f>
        <v>Target Market (Core IQR)</v>
      </c>
      <c r="F4442" s="10">
        <f t="shared" si="1"/>
        <v>-0.4735751764</v>
      </c>
    </row>
    <row r="4443" ht="14.25" customHeight="1">
      <c r="A4443" s="2" t="s">
        <v>111</v>
      </c>
      <c r="B4443" s="2" t="s">
        <v>112</v>
      </c>
      <c r="C4443" s="2">
        <v>2015.0</v>
      </c>
      <c r="D4443" s="9">
        <v>7164.889</v>
      </c>
      <c r="E4443" s="10" t="str">
        <f t="array" ref="E4443">IFS(D4443&lt;=$G$3,'calculated data '!$A$3,D4443&lt;=$G$4,'calculated data '!$A$4,D4443&lt;=$G$6,'calculated data '!$A$5,D4443&gt;=$G$6,'calculated data '!$A$6)</f>
        <v>Target Market (Core IQR)</v>
      </c>
      <c r="F4443" s="10">
        <f t="shared" si="1"/>
        <v>-0.4735186476</v>
      </c>
    </row>
    <row r="4444" ht="14.25" customHeight="1">
      <c r="A4444" s="2" t="s">
        <v>227</v>
      </c>
      <c r="B4444" s="2" t="s">
        <v>228</v>
      </c>
      <c r="C4444" s="2">
        <v>1984.0</v>
      </c>
      <c r="D4444" s="9">
        <v>7166.358</v>
      </c>
      <c r="E4444" s="10" t="str">
        <f t="array" ref="E4444">IFS(D4444&lt;=$G$3,'calculated data '!$A$3,D4444&lt;=$G$4,'calculated data '!$A$4,D4444&lt;=$G$6,'calculated data '!$A$5,D4444&gt;=$G$6,'calculated data '!$A$6)</f>
        <v>Target Market (Core IQR)</v>
      </c>
      <c r="F4444" s="10">
        <f t="shared" si="1"/>
        <v>-0.4734797635</v>
      </c>
    </row>
    <row r="4445" ht="14.25" customHeight="1">
      <c r="A4445" s="2" t="s">
        <v>159</v>
      </c>
      <c r="B4445" s="2" t="s">
        <v>160</v>
      </c>
      <c r="C4445" s="2">
        <v>2025.0</v>
      </c>
      <c r="D4445" s="9">
        <v>7172.2573</v>
      </c>
      <c r="E4445" s="10" t="str">
        <f t="array" ref="E4445">IFS(D4445&lt;=$G$3,'calculated data '!$A$3,D4445&lt;=$G$4,'calculated data '!$A$4,D4445&lt;=$G$6,'calculated data '!$A$5,D4445&gt;=$G$6,'calculated data '!$A$6)</f>
        <v>Target Market (Core IQR)</v>
      </c>
      <c r="F4445" s="10">
        <f t="shared" si="1"/>
        <v>-0.4733236105</v>
      </c>
    </row>
    <row r="4446" ht="14.25" customHeight="1">
      <c r="A4446" s="2" t="s">
        <v>313</v>
      </c>
      <c r="B4446" s="2" t="s">
        <v>314</v>
      </c>
      <c r="C4446" s="2">
        <v>1965.0</v>
      </c>
      <c r="D4446" s="9">
        <v>7177.998</v>
      </c>
      <c r="E4446" s="10" t="str">
        <f t="array" ref="E4446">IFS(D4446&lt;=$G$3,'calculated data '!$A$3,D4446&lt;=$G$4,'calculated data '!$A$4,D4446&lt;=$G$6,'calculated data '!$A$5,D4446&gt;=$G$6,'calculated data '!$A$6)</f>
        <v>Target Market (Core IQR)</v>
      </c>
      <c r="F4446" s="10">
        <f t="shared" si="1"/>
        <v>-0.4731716556</v>
      </c>
    </row>
    <row r="4447" ht="14.25" customHeight="1">
      <c r="A4447" s="2" t="s">
        <v>255</v>
      </c>
      <c r="B4447" s="2" t="s">
        <v>256</v>
      </c>
      <c r="C4447" s="2">
        <v>2011.0</v>
      </c>
      <c r="D4447" s="9">
        <v>7184.42</v>
      </c>
      <c r="E4447" s="10" t="str">
        <f t="array" ref="E4447">IFS(D4447&lt;=$G$3,'calculated data '!$A$3,D4447&lt;=$G$4,'calculated data '!$A$4,D4447&lt;=$G$6,'calculated data '!$A$5,D4447&gt;=$G$6,'calculated data '!$A$6)</f>
        <v>Target Market (Core IQR)</v>
      </c>
      <c r="F4447" s="10">
        <f t="shared" si="1"/>
        <v>-0.4730016669</v>
      </c>
    </row>
    <row r="4448" ht="14.25" customHeight="1">
      <c r="A4448" s="2" t="s">
        <v>303</v>
      </c>
      <c r="B4448" s="2" t="s">
        <v>304</v>
      </c>
      <c r="C4448" s="2">
        <v>2002.0</v>
      </c>
      <c r="D4448" s="9">
        <v>7188.687</v>
      </c>
      <c r="E4448" s="10" t="str">
        <f t="array" ref="E4448">IFS(D4448&lt;=$G$3,'calculated data '!$A$3,D4448&lt;=$G$4,'calculated data '!$A$4,D4448&lt;=$G$6,'calculated data '!$A$5,D4448&gt;=$G$6,'calculated data '!$A$6)</f>
        <v>Target Market (Core IQR)</v>
      </c>
      <c r="F4448" s="10">
        <f t="shared" si="1"/>
        <v>-0.4728887204</v>
      </c>
    </row>
    <row r="4449" ht="14.25" customHeight="1">
      <c r="A4449" s="2" t="s">
        <v>197</v>
      </c>
      <c r="B4449" s="2" t="s">
        <v>198</v>
      </c>
      <c r="C4449" s="2">
        <v>1992.0</v>
      </c>
      <c r="D4449" s="9">
        <v>7191.152</v>
      </c>
      <c r="E4449" s="10" t="str">
        <f t="array" ref="E4449">IFS(D4449&lt;=$G$3,'calculated data '!$A$3,D4449&lt;=$G$4,'calculated data '!$A$4,D4449&lt;=$G$6,'calculated data '!$A$5,D4449&gt;=$G$6,'calculated data '!$A$6)</f>
        <v>Target Market (Core IQR)</v>
      </c>
      <c r="F4449" s="10">
        <f t="shared" si="1"/>
        <v>-0.4728234725</v>
      </c>
    </row>
    <row r="4450" ht="14.25" customHeight="1">
      <c r="A4450" s="2" t="s">
        <v>315</v>
      </c>
      <c r="B4450" s="2" t="s">
        <v>316</v>
      </c>
      <c r="C4450" s="2">
        <v>1994.0</v>
      </c>
      <c r="D4450" s="9">
        <v>7191.3955</v>
      </c>
      <c r="E4450" s="10" t="str">
        <f t="array" ref="E4450">IFS(D4450&lt;=$G$3,'calculated data '!$A$3,D4450&lt;=$G$4,'calculated data '!$A$4,D4450&lt;=$G$6,'calculated data '!$A$5,D4450&gt;=$G$6,'calculated data '!$A$6)</f>
        <v>Target Market (Core IQR)</v>
      </c>
      <c r="F4450" s="10">
        <f t="shared" si="1"/>
        <v>-0.4728170271</v>
      </c>
    </row>
    <row r="4451" ht="14.25" customHeight="1">
      <c r="A4451" s="2" t="s">
        <v>275</v>
      </c>
      <c r="B4451" s="2" t="s">
        <v>276</v>
      </c>
      <c r="C4451" s="2">
        <v>2014.0</v>
      </c>
      <c r="D4451" s="9">
        <v>7192.553</v>
      </c>
      <c r="E4451" s="10" t="str">
        <f t="array" ref="E4451">IFS(D4451&lt;=$G$3,'calculated data '!$A$3,D4451&lt;=$G$4,'calculated data '!$A$4,D4451&lt;=$G$6,'calculated data '!$A$5,D4451&gt;=$G$6,'calculated data '!$A$6)</f>
        <v>Target Market (Core IQR)</v>
      </c>
      <c r="F4451" s="10">
        <f t="shared" si="1"/>
        <v>-0.4727863884</v>
      </c>
    </row>
    <row r="4452" ht="14.25" customHeight="1">
      <c r="A4452" s="2" t="s">
        <v>163</v>
      </c>
      <c r="B4452" s="2" t="s">
        <v>164</v>
      </c>
      <c r="C4452" s="2">
        <v>2022.0</v>
      </c>
      <c r="D4452" s="9">
        <v>7193.5723</v>
      </c>
      <c r="E4452" s="10" t="str">
        <f t="array" ref="E4452">IFS(D4452&lt;=$G$3,'calculated data '!$A$3,D4452&lt;=$G$4,'calculated data '!$A$4,D4452&lt;=$G$6,'calculated data '!$A$5,D4452&gt;=$G$6,'calculated data '!$A$6)</f>
        <v>Target Market (Core IQR)</v>
      </c>
      <c r="F4452" s="10">
        <f t="shared" si="1"/>
        <v>-0.4727594078</v>
      </c>
    </row>
    <row r="4453" ht="14.25" customHeight="1">
      <c r="A4453" s="2" t="s">
        <v>281</v>
      </c>
      <c r="B4453" s="2" t="s">
        <v>282</v>
      </c>
      <c r="C4453" s="2">
        <v>2006.0</v>
      </c>
      <c r="D4453" s="9">
        <v>7197.0493</v>
      </c>
      <c r="E4453" s="10" t="str">
        <f t="array" ref="E4453">IFS(D4453&lt;=$G$3,'calculated data '!$A$3,D4453&lt;=$G$4,'calculated data '!$A$4,D4453&lt;=$G$6,'calculated data '!$A$5,D4453&gt;=$G$6,'calculated data '!$A$6)</f>
        <v>Target Market (Core IQR)</v>
      </c>
      <c r="F4453" s="10">
        <f t="shared" si="1"/>
        <v>-0.4726673724</v>
      </c>
    </row>
    <row r="4454" ht="14.25" customHeight="1">
      <c r="A4454" s="2" t="s">
        <v>281</v>
      </c>
      <c r="B4454" s="2" t="s">
        <v>282</v>
      </c>
      <c r="C4454" s="2">
        <v>2007.0</v>
      </c>
      <c r="D4454" s="9">
        <v>7198.7427</v>
      </c>
      <c r="E4454" s="10" t="str">
        <f t="array" ref="E4454">IFS(D4454&lt;=$G$3,'calculated data '!$A$3,D4454&lt;=$G$4,'calculated data '!$A$4,D4454&lt;=$G$6,'calculated data '!$A$5,D4454&gt;=$G$6,'calculated data '!$A$6)</f>
        <v>Target Market (Core IQR)</v>
      </c>
      <c r="F4454" s="10">
        <f t="shared" si="1"/>
        <v>-0.4726225486</v>
      </c>
    </row>
    <row r="4455" ht="14.25" customHeight="1">
      <c r="A4455" s="2" t="s">
        <v>223</v>
      </c>
      <c r="B4455" s="2" t="s">
        <v>224</v>
      </c>
      <c r="C4455" s="2">
        <v>2019.0</v>
      </c>
      <c r="D4455" s="9">
        <v>7204.653</v>
      </c>
      <c r="E4455" s="10" t="str">
        <f t="array" ref="E4455">IFS(D4455&lt;=$G$3,'calculated data '!$A$3,D4455&lt;=$G$4,'calculated data '!$A$4,D4455&lt;=$G$6,'calculated data '!$A$5,D4455&gt;=$G$6,'calculated data '!$A$6)</f>
        <v>Target Market (Core IQR)</v>
      </c>
      <c r="F4455" s="10">
        <f t="shared" si="1"/>
        <v>-0.4724661044</v>
      </c>
    </row>
    <row r="4456" ht="14.25" customHeight="1">
      <c r="A4456" s="2" t="s">
        <v>251</v>
      </c>
      <c r="B4456" s="2" t="s">
        <v>252</v>
      </c>
      <c r="C4456" s="2">
        <v>2006.0</v>
      </c>
      <c r="D4456" s="9">
        <v>7209.875</v>
      </c>
      <c r="E4456" s="10" t="str">
        <f t="array" ref="E4456">IFS(D4456&lt;=$G$3,'calculated data '!$A$3,D4456&lt;=$G$4,'calculated data '!$A$4,D4456&lt;=$G$6,'calculated data '!$A$5,D4456&gt;=$G$6,'calculated data '!$A$6)</f>
        <v>Target Market (Core IQR)</v>
      </c>
      <c r="F4456" s="10">
        <f t="shared" si="1"/>
        <v>-0.4723278794</v>
      </c>
    </row>
    <row r="4457" ht="14.25" customHeight="1">
      <c r="A4457" s="2" t="s">
        <v>289</v>
      </c>
      <c r="B4457" s="2" t="s">
        <v>290</v>
      </c>
      <c r="C4457" s="2">
        <v>1993.0</v>
      </c>
      <c r="D4457" s="9">
        <v>7211.8384</v>
      </c>
      <c r="E4457" s="10" t="str">
        <f t="array" ref="E4457">IFS(D4457&lt;=$G$3,'calculated data '!$A$3,D4457&lt;=$G$4,'calculated data '!$A$4,D4457&lt;=$G$6,'calculated data '!$A$5,D4457&gt;=$G$6,'calculated data '!$A$6)</f>
        <v>Target Market (Core IQR)</v>
      </c>
      <c r="F4457" s="10">
        <f t="shared" si="1"/>
        <v>-0.4722759086</v>
      </c>
    </row>
    <row r="4458" ht="14.25" customHeight="1">
      <c r="A4458" s="2" t="s">
        <v>265</v>
      </c>
      <c r="B4458" s="2" t="s">
        <v>266</v>
      </c>
      <c r="C4458" s="2">
        <v>1986.0</v>
      </c>
      <c r="D4458" s="9">
        <v>7213.218</v>
      </c>
      <c r="E4458" s="10" t="str">
        <f t="array" ref="E4458">IFS(D4458&lt;=$G$3,'calculated data '!$A$3,D4458&lt;=$G$4,'calculated data '!$A$4,D4458&lt;=$G$6,'calculated data '!$A$5,D4458&gt;=$G$6,'calculated data '!$A$6)</f>
        <v>Target Market (Core IQR)</v>
      </c>
      <c r="F4458" s="10">
        <f t="shared" si="1"/>
        <v>-0.472239391</v>
      </c>
    </row>
    <row r="4459" ht="14.25" customHeight="1">
      <c r="A4459" s="2" t="s">
        <v>253</v>
      </c>
      <c r="B4459" s="2" t="s">
        <v>254</v>
      </c>
      <c r="C4459" s="2">
        <v>2002.0</v>
      </c>
      <c r="D4459" s="9">
        <v>7213.592</v>
      </c>
      <c r="E4459" s="10" t="str">
        <f t="array" ref="E4459">IFS(D4459&lt;=$G$3,'calculated data '!$A$3,D4459&lt;=$G$4,'calculated data '!$A$4,D4459&lt;=$G$6,'calculated data '!$A$5,D4459&gt;=$G$6,'calculated data '!$A$6)</f>
        <v>Target Market (Core IQR)</v>
      </c>
      <c r="F4459" s="10">
        <f t="shared" si="1"/>
        <v>-0.4722294913</v>
      </c>
    </row>
    <row r="4460" ht="14.25" customHeight="1">
      <c r="A4460" s="2" t="s">
        <v>129</v>
      </c>
      <c r="B4460" s="2" t="s">
        <v>130</v>
      </c>
      <c r="C4460" s="2">
        <v>2010.0</v>
      </c>
      <c r="D4460" s="9">
        <v>7215.14</v>
      </c>
      <c r="E4460" s="10" t="str">
        <f t="array" ref="E4460">IFS(D4460&lt;=$G$3,'calculated data '!$A$3,D4460&lt;=$G$4,'calculated data '!$A$4,D4460&lt;=$G$6,'calculated data '!$A$5,D4460&gt;=$G$6,'calculated data '!$A$6)</f>
        <v>Target Market (Core IQR)</v>
      </c>
      <c r="F4460" s="10">
        <f t="shared" si="1"/>
        <v>-0.4721885161</v>
      </c>
    </row>
    <row r="4461" ht="14.25" customHeight="1">
      <c r="A4461" s="2" t="s">
        <v>281</v>
      </c>
      <c r="B4461" s="2" t="s">
        <v>282</v>
      </c>
      <c r="C4461" s="2">
        <v>1994.0</v>
      </c>
      <c r="D4461" s="9">
        <v>7218.861</v>
      </c>
      <c r="E4461" s="10" t="str">
        <f t="array" ref="E4461">IFS(D4461&lt;=$G$3,'calculated data '!$A$3,D4461&lt;=$G$4,'calculated data '!$A$4,D4461&lt;=$G$6,'calculated data '!$A$5,D4461&gt;=$G$6,'calculated data '!$A$6)</f>
        <v>Target Market (Core IQR)</v>
      </c>
      <c r="F4461" s="10">
        <f t="shared" si="1"/>
        <v>-0.4720900222</v>
      </c>
    </row>
    <row r="4462" ht="14.25" customHeight="1">
      <c r="A4462" s="2" t="s">
        <v>293</v>
      </c>
      <c r="B4462" s="2" t="s">
        <v>294</v>
      </c>
      <c r="C4462" s="2">
        <v>1991.0</v>
      </c>
      <c r="D4462" s="9">
        <v>7218.911</v>
      </c>
      <c r="E4462" s="10" t="str">
        <f t="array" ref="E4462">IFS(D4462&lt;=$G$3,'calculated data '!$A$3,D4462&lt;=$G$4,'calculated data '!$A$4,D4462&lt;=$G$6,'calculated data '!$A$5,D4462&gt;=$G$6,'calculated data '!$A$6)</f>
        <v>Target Market (Core IQR)</v>
      </c>
      <c r="F4462" s="10">
        <f t="shared" si="1"/>
        <v>-0.4720886987</v>
      </c>
    </row>
    <row r="4463" ht="14.25" customHeight="1">
      <c r="A4463" s="2" t="s">
        <v>289</v>
      </c>
      <c r="B4463" s="2" t="s">
        <v>290</v>
      </c>
      <c r="C4463" s="2">
        <v>1996.0</v>
      </c>
      <c r="D4463" s="9">
        <v>7222.4927</v>
      </c>
      <c r="E4463" s="10" t="str">
        <f t="array" ref="E4463">IFS(D4463&lt;=$G$3,'calculated data '!$A$3,D4463&lt;=$G$4,'calculated data '!$A$4,D4463&lt;=$G$6,'calculated data '!$A$5,D4463&gt;=$G$6,'calculated data '!$A$6)</f>
        <v>Target Market (Core IQR)</v>
      </c>
      <c r="F4463" s="10">
        <f t="shared" si="1"/>
        <v>-0.471993892</v>
      </c>
    </row>
    <row r="4464" ht="14.25" customHeight="1">
      <c r="A4464" s="2" t="s">
        <v>313</v>
      </c>
      <c r="B4464" s="2" t="s">
        <v>314</v>
      </c>
      <c r="C4464" s="2">
        <v>1986.0</v>
      </c>
      <c r="D4464" s="9">
        <v>7226.088</v>
      </c>
      <c r="E4464" s="10" t="str">
        <f t="array" ref="E4464">IFS(D4464&lt;=$G$3,'calculated data '!$A$3,D4464&lt;=$G$4,'calculated data '!$A$4,D4464&lt;=$G$6,'calculated data '!$A$5,D4464&gt;=$G$6,'calculated data '!$A$6)</f>
        <v>Target Market (Core IQR)</v>
      </c>
      <c r="F4464" s="10">
        <f t="shared" si="1"/>
        <v>-0.4718987253</v>
      </c>
    </row>
    <row r="4465" ht="14.25" customHeight="1">
      <c r="A4465" s="2" t="s">
        <v>111</v>
      </c>
      <c r="B4465" s="2" t="s">
        <v>112</v>
      </c>
      <c r="C4465" s="2">
        <v>2014.0</v>
      </c>
      <c r="D4465" s="9">
        <v>7229.522</v>
      </c>
      <c r="E4465" s="10" t="str">
        <f t="array" ref="E4465">IFS(D4465&lt;=$G$3,'calculated data '!$A$3,D4465&lt;=$G$4,'calculated data '!$A$4,D4465&lt;=$G$6,'calculated data '!$A$5,D4465&gt;=$G$6,'calculated data '!$A$6)</f>
        <v>Target Market (Core IQR)</v>
      </c>
      <c r="F4465" s="10">
        <f t="shared" si="1"/>
        <v>-0.4718078282</v>
      </c>
    </row>
    <row r="4466" ht="14.25" customHeight="1">
      <c r="A4466" s="2" t="s">
        <v>227</v>
      </c>
      <c r="B4466" s="2" t="s">
        <v>228</v>
      </c>
      <c r="C4466" s="2">
        <v>1978.0</v>
      </c>
      <c r="D4466" s="9">
        <v>7230.8726</v>
      </c>
      <c r="E4466" s="10" t="str">
        <f t="array" ref="E4466">IFS(D4466&lt;=$G$3,'calculated data '!$A$3,D4466&lt;=$G$4,'calculated data '!$A$4,D4466&lt;=$G$6,'calculated data '!$A$5,D4466&gt;=$G$6,'calculated data '!$A$6)</f>
        <v>Target Market (Core IQR)</v>
      </c>
      <c r="F4466" s="10">
        <f t="shared" si="1"/>
        <v>-0.4717720781</v>
      </c>
    </row>
    <row r="4467" ht="14.25" customHeight="1">
      <c r="A4467" s="2" t="s">
        <v>243</v>
      </c>
      <c r="B4467" s="2" t="s">
        <v>244</v>
      </c>
      <c r="C4467" s="2">
        <v>2008.0</v>
      </c>
      <c r="D4467" s="9">
        <v>7235.0747</v>
      </c>
      <c r="E4467" s="10" t="str">
        <f t="array" ref="E4467">IFS(D4467&lt;=$G$3,'calculated data '!$A$3,D4467&lt;=$G$4,'calculated data '!$A$4,D4467&lt;=$G$6,'calculated data '!$A$5,D4467&gt;=$G$6,'calculated data '!$A$6)</f>
        <v>Target Market (Core IQR)</v>
      </c>
      <c r="F4467" s="10">
        <f t="shared" si="1"/>
        <v>-0.4716608496</v>
      </c>
    </row>
    <row r="4468" ht="14.25" customHeight="1">
      <c r="A4468" s="2" t="s">
        <v>259</v>
      </c>
      <c r="B4468" s="2" t="s">
        <v>260</v>
      </c>
      <c r="C4468" s="2">
        <v>1998.0</v>
      </c>
      <c r="D4468" s="9">
        <v>7237.88</v>
      </c>
      <c r="E4468" s="10" t="str">
        <f t="array" ref="E4468">IFS(D4468&lt;=$G$3,'calculated data '!$A$3,D4468&lt;=$G$4,'calculated data '!$A$4,D4468&lt;=$G$6,'calculated data '!$A$5,D4468&gt;=$G$6,'calculated data '!$A$6)</f>
        <v>Target Market (Core IQR)</v>
      </c>
      <c r="F4468" s="10">
        <f t="shared" si="1"/>
        <v>-0.471586594</v>
      </c>
    </row>
    <row r="4469" ht="14.25" customHeight="1">
      <c r="A4469" s="2" t="s">
        <v>315</v>
      </c>
      <c r="B4469" s="2" t="s">
        <v>316</v>
      </c>
      <c r="C4469" s="2">
        <v>1999.0</v>
      </c>
      <c r="D4469" s="9">
        <v>7242.8047</v>
      </c>
      <c r="E4469" s="10" t="str">
        <f t="array" ref="E4469">IFS(D4469&lt;=$G$3,'calculated data '!$A$3,D4469&lt;=$G$4,'calculated data '!$A$4,D4469&lt;=$G$6,'calculated data '!$A$5,D4469&gt;=$G$6,'calculated data '!$A$6)</f>
        <v>Target Market (Core IQR)</v>
      </c>
      <c r="F4469" s="10">
        <f t="shared" si="1"/>
        <v>-0.4714562384</v>
      </c>
    </row>
    <row r="4470" ht="14.25" customHeight="1">
      <c r="A4470" s="2" t="s">
        <v>289</v>
      </c>
      <c r="B4470" s="2" t="s">
        <v>290</v>
      </c>
      <c r="C4470" s="2">
        <v>1989.0</v>
      </c>
      <c r="D4470" s="9">
        <v>7244.064</v>
      </c>
      <c r="E4470" s="10" t="str">
        <f t="array" ref="E4470">IFS(D4470&lt;=$G$3,'calculated data '!$A$3,D4470&lt;=$G$4,'calculated data '!$A$4,D4470&lt;=$G$6,'calculated data '!$A$5,D4470&gt;=$G$6,'calculated data '!$A$6)</f>
        <v>Target Market (Core IQR)</v>
      </c>
      <c r="F4470" s="10">
        <f t="shared" si="1"/>
        <v>-0.471422905</v>
      </c>
    </row>
    <row r="4471" ht="14.25" customHeight="1">
      <c r="A4471" s="2" t="s">
        <v>277</v>
      </c>
      <c r="B4471" s="2" t="s">
        <v>278</v>
      </c>
      <c r="C4471" s="2">
        <v>1992.0</v>
      </c>
      <c r="D4471" s="9">
        <v>7245.1953</v>
      </c>
      <c r="E4471" s="10" t="str">
        <f t="array" ref="E4471">IFS(D4471&lt;=$G$3,'calculated data '!$A$3,D4471&lt;=$G$4,'calculated data '!$A$4,D4471&lt;=$G$6,'calculated data '!$A$5,D4471&gt;=$G$6,'calculated data '!$A$6)</f>
        <v>Target Market (Core IQR)</v>
      </c>
      <c r="F4471" s="10">
        <f t="shared" si="1"/>
        <v>-0.4713929598</v>
      </c>
    </row>
    <row r="4472" ht="14.25" customHeight="1">
      <c r="A4472" s="2" t="s">
        <v>195</v>
      </c>
      <c r="B4472" s="2" t="s">
        <v>196</v>
      </c>
      <c r="C4472" s="2">
        <v>2009.0</v>
      </c>
      <c r="D4472" s="9">
        <v>7248.1343</v>
      </c>
      <c r="E4472" s="10" t="str">
        <f t="array" ref="E4472">IFS(D4472&lt;=$G$3,'calculated data '!$A$3,D4472&lt;=$G$4,'calculated data '!$A$4,D4472&lt;=$G$6,'calculated data '!$A$5,D4472&gt;=$G$6,'calculated data '!$A$6)</f>
        <v>Target Market (Core IQR)</v>
      </c>
      <c r="F4472" s="10">
        <f t="shared" si="1"/>
        <v>-0.4713151652</v>
      </c>
    </row>
    <row r="4473" ht="14.25" customHeight="1">
      <c r="A4473" s="2" t="s">
        <v>265</v>
      </c>
      <c r="B4473" s="2" t="s">
        <v>266</v>
      </c>
      <c r="C4473" s="2">
        <v>1980.0</v>
      </c>
      <c r="D4473" s="9">
        <v>7256.829</v>
      </c>
      <c r="E4473" s="10" t="str">
        <f t="array" ref="E4473">IFS(D4473&lt;=$G$3,'calculated data '!$A$3,D4473&lt;=$G$4,'calculated data '!$A$4,D4473&lt;=$G$6,'calculated data '!$A$5,D4473&gt;=$G$6,'calculated data '!$A$6)</f>
        <v>Target Market (Core IQR)</v>
      </c>
      <c r="F4473" s="10">
        <f t="shared" si="1"/>
        <v>-0.4710850187</v>
      </c>
    </row>
    <row r="4474" ht="14.25" customHeight="1">
      <c r="A4474" s="2" t="s">
        <v>305</v>
      </c>
      <c r="B4474" s="2" t="s">
        <v>306</v>
      </c>
      <c r="C4474" s="2">
        <v>2019.0</v>
      </c>
      <c r="D4474" s="9">
        <v>7261.892</v>
      </c>
      <c r="E4474" s="10" t="str">
        <f t="array" ref="E4474">IFS(D4474&lt;=$G$3,'calculated data '!$A$3,D4474&lt;=$G$4,'calculated data '!$A$4,D4474&lt;=$G$6,'calculated data '!$A$5,D4474&gt;=$G$6,'calculated data '!$A$6)</f>
        <v>Target Market (Core IQR)</v>
      </c>
      <c r="F4474" s="10">
        <f t="shared" si="1"/>
        <v>-0.4709510023</v>
      </c>
    </row>
    <row r="4475" ht="14.25" customHeight="1">
      <c r="A4475" s="2" t="s">
        <v>251</v>
      </c>
      <c r="B4475" s="2" t="s">
        <v>252</v>
      </c>
      <c r="C4475" s="2">
        <v>1986.0</v>
      </c>
      <c r="D4475" s="9">
        <v>7284.4517</v>
      </c>
      <c r="E4475" s="10" t="str">
        <f t="array" ref="E4475">IFS(D4475&lt;=$G$3,'calculated data '!$A$3,D4475&lt;=$G$4,'calculated data '!$A$4,D4475&lt;=$G$6,'calculated data '!$A$5,D4475&gt;=$G$6,'calculated data '!$A$6)</f>
        <v>Target Market (Core IQR)</v>
      </c>
      <c r="F4475" s="10">
        <f t="shared" si="1"/>
        <v>-0.4703538527</v>
      </c>
    </row>
    <row r="4476" ht="14.25" customHeight="1">
      <c r="A4476" s="2" t="s">
        <v>311</v>
      </c>
      <c r="B4476" s="2" t="s">
        <v>312</v>
      </c>
      <c r="C4476" s="2">
        <v>1991.0</v>
      </c>
      <c r="D4476" s="9">
        <v>7287.0986</v>
      </c>
      <c r="E4476" s="10" t="str">
        <f t="array" ref="E4476">IFS(D4476&lt;=$G$3,'calculated data '!$A$3,D4476&lt;=$G$4,'calculated data '!$A$4,D4476&lt;=$G$6,'calculated data '!$A$5,D4476&gt;=$G$6,'calculated data '!$A$6)</f>
        <v>Target Market (Core IQR)</v>
      </c>
      <c r="F4476" s="10">
        <f t="shared" si="1"/>
        <v>-0.4702837899</v>
      </c>
    </row>
    <row r="4477" ht="14.25" customHeight="1">
      <c r="A4477" s="2" t="s">
        <v>195</v>
      </c>
      <c r="B4477" s="2" t="s">
        <v>196</v>
      </c>
      <c r="C4477" s="2">
        <v>2006.0</v>
      </c>
      <c r="D4477" s="9">
        <v>7287.683</v>
      </c>
      <c r="E4477" s="10" t="str">
        <f t="array" ref="E4477">IFS(D4477&lt;=$G$3,'calculated data '!$A$3,D4477&lt;=$G$4,'calculated data '!$A$4,D4477&lt;=$G$6,'calculated data '!$A$5,D4477&gt;=$G$6,'calculated data '!$A$6)</f>
        <v>Target Market (Core IQR)</v>
      </c>
      <c r="F4477" s="10">
        <f t="shared" si="1"/>
        <v>-0.470268321</v>
      </c>
    </row>
    <row r="4478" ht="14.25" customHeight="1">
      <c r="A4478" s="2" t="s">
        <v>313</v>
      </c>
      <c r="B4478" s="2" t="s">
        <v>314</v>
      </c>
      <c r="C4478" s="2">
        <v>1984.0</v>
      </c>
      <c r="D4478" s="9">
        <v>7288.0923</v>
      </c>
      <c r="E4478" s="10" t="str">
        <f t="array" ref="E4478">IFS(D4478&lt;=$G$3,'calculated data '!$A$3,D4478&lt;=$G$4,'calculated data '!$A$4,D4478&lt;=$G$6,'calculated data '!$A$5,D4478&gt;=$G$6,'calculated data '!$A$6)</f>
        <v>Target Market (Core IQR)</v>
      </c>
      <c r="F4478" s="10">
        <f t="shared" si="1"/>
        <v>-0.4702574869</v>
      </c>
    </row>
    <row r="4479" ht="14.25" customHeight="1">
      <c r="A4479" s="2" t="s">
        <v>129</v>
      </c>
      <c r="B4479" s="2" t="s">
        <v>130</v>
      </c>
      <c r="C4479" s="2">
        <v>2013.0</v>
      </c>
      <c r="D4479" s="9">
        <v>7288.545</v>
      </c>
      <c r="E4479" s="10" t="str">
        <f t="array" ref="E4479">IFS(D4479&lt;=$G$3,'calculated data '!$A$3,D4479&lt;=$G$4,'calculated data '!$A$4,D4479&lt;=$G$6,'calculated data '!$A$5,D4479&gt;=$G$6,'calculated data '!$A$6)</f>
        <v>Target Market (Core IQR)</v>
      </c>
      <c r="F4479" s="10">
        <f t="shared" si="1"/>
        <v>-0.4702455041</v>
      </c>
    </row>
    <row r="4480" ht="14.25" customHeight="1">
      <c r="A4480" s="2" t="s">
        <v>281</v>
      </c>
      <c r="B4480" s="2" t="s">
        <v>282</v>
      </c>
      <c r="C4480" s="2">
        <v>1995.0</v>
      </c>
      <c r="D4480" s="9">
        <v>7290.798</v>
      </c>
      <c r="E4480" s="10" t="str">
        <f t="array" ref="E4480">IFS(D4480&lt;=$G$3,'calculated data '!$A$3,D4480&lt;=$G$4,'calculated data '!$A$4,D4480&lt;=$G$6,'calculated data '!$A$5,D4480&gt;=$G$6,'calculated data '!$A$6)</f>
        <v>Target Market (Core IQR)</v>
      </c>
      <c r="F4480" s="10">
        <f t="shared" si="1"/>
        <v>-0.4701858677</v>
      </c>
    </row>
    <row r="4481" ht="14.25" customHeight="1">
      <c r="A4481" s="2" t="s">
        <v>277</v>
      </c>
      <c r="B4481" s="2" t="s">
        <v>278</v>
      </c>
      <c r="C4481" s="2">
        <v>1991.0</v>
      </c>
      <c r="D4481" s="9">
        <v>7292.91</v>
      </c>
      <c r="E4481" s="10" t="str">
        <f t="array" ref="E4481">IFS(D4481&lt;=$G$3,'calculated data '!$A$3,D4481&lt;=$G$4,'calculated data '!$A$4,D4481&lt;=$G$6,'calculated data '!$A$5,D4481&gt;=$G$6,'calculated data '!$A$6)</f>
        <v>Target Market (Core IQR)</v>
      </c>
      <c r="F4481" s="10">
        <f t="shared" si="1"/>
        <v>-0.4701299636</v>
      </c>
    </row>
    <row r="4482" ht="14.25" customHeight="1">
      <c r="A4482" s="2" t="s">
        <v>129</v>
      </c>
      <c r="B4482" s="2" t="s">
        <v>130</v>
      </c>
      <c r="C4482" s="2">
        <v>2016.0</v>
      </c>
      <c r="D4482" s="9">
        <v>7300.6504</v>
      </c>
      <c r="E4482" s="10" t="str">
        <f t="array" ref="E4482">IFS(D4482&lt;=$G$3,'calculated data '!$A$3,D4482&lt;=$G$4,'calculated data '!$A$4,D4482&lt;=$G$6,'calculated data '!$A$5,D4482&gt;=$G$6,'calculated data '!$A$6)</f>
        <v>Target Market (Core IQR)</v>
      </c>
      <c r="F4482" s="10">
        <f t="shared" si="1"/>
        <v>-0.4699250771</v>
      </c>
    </row>
    <row r="4483" ht="14.25" customHeight="1">
      <c r="A4483" s="2" t="s">
        <v>273</v>
      </c>
      <c r="B4483" s="2" t="s">
        <v>274</v>
      </c>
      <c r="C4483" s="2">
        <v>2024.0</v>
      </c>
      <c r="D4483" s="9">
        <v>7301.054</v>
      </c>
      <c r="E4483" s="10" t="str">
        <f t="array" ref="E4483">IFS(D4483&lt;=$G$3,'calculated data '!$A$3,D4483&lt;=$G$4,'calculated data '!$A$4,D4483&lt;=$G$6,'calculated data '!$A$5,D4483&gt;=$G$6,'calculated data '!$A$6)</f>
        <v>Target Market (Core IQR)</v>
      </c>
      <c r="F4483" s="10">
        <f t="shared" si="1"/>
        <v>-0.4699143939</v>
      </c>
    </row>
    <row r="4484" ht="14.25" customHeight="1">
      <c r="A4484" s="2" t="s">
        <v>221</v>
      </c>
      <c r="B4484" s="2" t="s">
        <v>222</v>
      </c>
      <c r="C4484" s="2">
        <v>1975.0</v>
      </c>
      <c r="D4484" s="9">
        <v>7311.4556</v>
      </c>
      <c r="E4484" s="10" t="str">
        <f t="array" ref="E4484">IFS(D4484&lt;=$G$3,'calculated data '!$A$3,D4484&lt;=$G$4,'calculated data '!$A$4,D4484&lt;=$G$6,'calculated data '!$A$5,D4484&gt;=$G$6,'calculated data '!$A$6)</f>
        <v>Target Market (Core IQR)</v>
      </c>
      <c r="F4484" s="10">
        <f t="shared" si="1"/>
        <v>-0.4696390662</v>
      </c>
    </row>
    <row r="4485" ht="14.25" customHeight="1">
      <c r="A4485" s="2" t="s">
        <v>313</v>
      </c>
      <c r="B4485" s="2" t="s">
        <v>314</v>
      </c>
      <c r="C4485" s="2">
        <v>1977.0</v>
      </c>
      <c r="D4485" s="9">
        <v>7335.121</v>
      </c>
      <c r="E4485" s="10" t="str">
        <f t="array" ref="E4485">IFS(D4485&lt;=$G$3,'calculated data '!$A$3,D4485&lt;=$G$4,'calculated data '!$A$4,D4485&lt;=$G$6,'calculated data '!$A$5,D4485&gt;=$G$6,'calculated data '!$A$6)</f>
        <v>Target Market (Core IQR)</v>
      </c>
      <c r="F4485" s="10">
        <f t="shared" si="1"/>
        <v>-0.4690126489</v>
      </c>
    </row>
    <row r="4486" ht="14.25" customHeight="1">
      <c r="A4486" s="2" t="s">
        <v>281</v>
      </c>
      <c r="B4486" s="2" t="s">
        <v>282</v>
      </c>
      <c r="C4486" s="2">
        <v>1996.0</v>
      </c>
      <c r="D4486" s="9">
        <v>7335.188</v>
      </c>
      <c r="E4486" s="10" t="str">
        <f t="array" ref="E4486">IFS(D4486&lt;=$G$3,'calculated data '!$A$3,D4486&lt;=$G$4,'calculated data '!$A$4,D4486&lt;=$G$6,'calculated data '!$A$5,D4486&gt;=$G$6,'calculated data '!$A$6)</f>
        <v>Target Market (Core IQR)</v>
      </c>
      <c r="F4486" s="10">
        <f t="shared" si="1"/>
        <v>-0.4690108755</v>
      </c>
    </row>
    <row r="4487" ht="14.25" customHeight="1">
      <c r="A4487" s="2" t="s">
        <v>293</v>
      </c>
      <c r="B4487" s="2" t="s">
        <v>294</v>
      </c>
      <c r="C4487" s="2">
        <v>1989.0</v>
      </c>
      <c r="D4487" s="9">
        <v>7346.9404</v>
      </c>
      <c r="E4487" s="10" t="str">
        <f t="array" ref="E4487">IFS(D4487&lt;=$G$3,'calculated data '!$A$3,D4487&lt;=$G$4,'calculated data '!$A$4,D4487&lt;=$G$6,'calculated data '!$A$5,D4487&gt;=$G$6,'calculated data '!$A$6)</f>
        <v>Target Market (Core IQR)</v>
      </c>
      <c r="F4487" s="10">
        <f t="shared" si="1"/>
        <v>-0.4686997924</v>
      </c>
    </row>
    <row r="4488" ht="14.25" customHeight="1">
      <c r="A4488" s="2" t="s">
        <v>265</v>
      </c>
      <c r="B4488" s="2" t="s">
        <v>266</v>
      </c>
      <c r="C4488" s="2">
        <v>2011.0</v>
      </c>
      <c r="D4488" s="9">
        <v>7350.667</v>
      </c>
      <c r="E4488" s="10" t="str">
        <f t="array" ref="E4488">IFS(D4488&lt;=$G$3,'calculated data '!$A$3,D4488&lt;=$G$4,'calculated data '!$A$4,D4488&lt;=$G$6,'calculated data '!$A$5,D4488&gt;=$G$6,'calculated data '!$A$6)</f>
        <v>Target Market (Core IQR)</v>
      </c>
      <c r="F4488" s="10">
        <f t="shared" si="1"/>
        <v>-0.4686011502</v>
      </c>
    </row>
    <row r="4489" ht="14.25" customHeight="1">
      <c r="A4489" s="2" t="s">
        <v>185</v>
      </c>
      <c r="B4489" s="2" t="s">
        <v>186</v>
      </c>
      <c r="C4489" s="2">
        <v>2002.0</v>
      </c>
      <c r="D4489" s="9">
        <v>7353.3613</v>
      </c>
      <c r="E4489" s="10" t="str">
        <f t="array" ref="E4489">IFS(D4489&lt;=$G$3,'calculated data '!$A$3,D4489&lt;=$G$4,'calculated data '!$A$4,D4489&lt;=$G$6,'calculated data '!$A$5,D4489&gt;=$G$6,'calculated data '!$A$6)</f>
        <v>Target Market (Core IQR)</v>
      </c>
      <c r="F4489" s="10">
        <f t="shared" si="1"/>
        <v>-0.4685298327</v>
      </c>
    </row>
    <row r="4490" ht="14.25" customHeight="1">
      <c r="A4490" s="2" t="s">
        <v>253</v>
      </c>
      <c r="B4490" s="2" t="s">
        <v>254</v>
      </c>
      <c r="C4490" s="2">
        <v>2020.0</v>
      </c>
      <c r="D4490" s="9">
        <v>7353.772</v>
      </c>
      <c r="E4490" s="10" t="str">
        <f t="array" ref="E4490">IFS(D4490&lt;=$G$3,'calculated data '!$A$3,D4490&lt;=$G$4,'calculated data '!$A$4,D4490&lt;=$G$6,'calculated data '!$A$5,D4490&gt;=$G$6,'calculated data '!$A$6)</f>
        <v>Target Market (Core IQR)</v>
      </c>
      <c r="F4490" s="10">
        <f t="shared" si="1"/>
        <v>-0.4685189616</v>
      </c>
    </row>
    <row r="4491" ht="14.25" customHeight="1">
      <c r="A4491" s="2" t="s">
        <v>233</v>
      </c>
      <c r="B4491" s="2" t="s">
        <v>234</v>
      </c>
      <c r="C4491" s="2">
        <v>1980.0</v>
      </c>
      <c r="D4491" s="9">
        <v>7356.602</v>
      </c>
      <c r="E4491" s="10" t="str">
        <f t="array" ref="E4491">IFS(D4491&lt;=$G$3,'calculated data '!$A$3,D4491&lt;=$G$4,'calculated data '!$A$4,D4491&lt;=$G$6,'calculated data '!$A$5,D4491&gt;=$G$6,'calculated data '!$A$6)</f>
        <v>Target Market (Core IQR)</v>
      </c>
      <c r="F4491" s="10">
        <f t="shared" si="1"/>
        <v>-0.4684440522</v>
      </c>
    </row>
    <row r="4492" ht="14.25" customHeight="1">
      <c r="A4492" s="2" t="s">
        <v>129</v>
      </c>
      <c r="B4492" s="2" t="s">
        <v>130</v>
      </c>
      <c r="C4492" s="2">
        <v>2014.0</v>
      </c>
      <c r="D4492" s="9">
        <v>7358.5566</v>
      </c>
      <c r="E4492" s="10" t="str">
        <f t="array" ref="E4492">IFS(D4492&lt;=$G$3,'calculated data '!$A$3,D4492&lt;=$G$4,'calculated data '!$A$4,D4492&lt;=$G$6,'calculated data '!$A$5,D4492&gt;=$G$6,'calculated data '!$A$6)</f>
        <v>Target Market (Core IQR)</v>
      </c>
      <c r="F4492" s="10">
        <f t="shared" si="1"/>
        <v>-0.4683923144</v>
      </c>
    </row>
    <row r="4493" ht="14.25" customHeight="1">
      <c r="A4493" s="2" t="s">
        <v>183</v>
      </c>
      <c r="B4493" s="2" t="s">
        <v>184</v>
      </c>
      <c r="C4493" s="2">
        <v>2004.0</v>
      </c>
      <c r="D4493" s="9">
        <v>7370.7163</v>
      </c>
      <c r="E4493" s="10" t="str">
        <f t="array" ref="E4493">IFS(D4493&lt;=$G$3,'calculated data '!$A$3,D4493&lt;=$G$4,'calculated data '!$A$4,D4493&lt;=$G$6,'calculated data '!$A$5,D4493&gt;=$G$6,'calculated data '!$A$6)</f>
        <v>Target Market (Core IQR)</v>
      </c>
      <c r="F4493" s="10">
        <f t="shared" si="1"/>
        <v>-0.4680704502</v>
      </c>
    </row>
    <row r="4494" ht="14.25" customHeight="1">
      <c r="A4494" s="2" t="s">
        <v>315</v>
      </c>
      <c r="B4494" s="2" t="s">
        <v>316</v>
      </c>
      <c r="C4494" s="2">
        <v>1995.0</v>
      </c>
      <c r="D4494" s="9">
        <v>7372.2876</v>
      </c>
      <c r="E4494" s="10" t="str">
        <f t="array" ref="E4494">IFS(D4494&lt;=$G$3,'calculated data '!$A$3,D4494&lt;=$G$4,'calculated data '!$A$4,D4494&lt;=$G$6,'calculated data '!$A$5,D4494&gt;=$G$6,'calculated data '!$A$6)</f>
        <v>Target Market (Core IQR)</v>
      </c>
      <c r="F4494" s="10">
        <f t="shared" si="1"/>
        <v>-0.4680288583</v>
      </c>
    </row>
    <row r="4495" ht="14.25" customHeight="1">
      <c r="A4495" s="2" t="s">
        <v>275</v>
      </c>
      <c r="B4495" s="2" t="s">
        <v>276</v>
      </c>
      <c r="C4495" s="2">
        <v>2020.0</v>
      </c>
      <c r="D4495" s="9">
        <v>7372.4404</v>
      </c>
      <c r="E4495" s="10" t="str">
        <f t="array" ref="E4495">IFS(D4495&lt;=$G$3,'calculated data '!$A$3,D4495&lt;=$G$4,'calculated data '!$A$4,D4495&lt;=$G$6,'calculated data '!$A$5,D4495&gt;=$G$6,'calculated data '!$A$6)</f>
        <v>Target Market (Core IQR)</v>
      </c>
      <c r="F4495" s="10">
        <f t="shared" si="1"/>
        <v>-0.4680248137</v>
      </c>
    </row>
    <row r="4496" ht="14.25" customHeight="1">
      <c r="A4496" s="2" t="s">
        <v>301</v>
      </c>
      <c r="B4496" s="2" t="s">
        <v>302</v>
      </c>
      <c r="C4496" s="2">
        <v>1970.0</v>
      </c>
      <c r="D4496" s="9">
        <v>7373.1685</v>
      </c>
      <c r="E4496" s="10" t="str">
        <f t="array" ref="E4496">IFS(D4496&lt;=$G$3,'calculated data '!$A$3,D4496&lt;=$G$4,'calculated data '!$A$4,D4496&lt;=$G$6,'calculated data '!$A$5,D4496&gt;=$G$6,'calculated data '!$A$6)</f>
        <v>Target Market (Core IQR)</v>
      </c>
      <c r="F4496" s="10">
        <f t="shared" si="1"/>
        <v>-0.4680055411</v>
      </c>
    </row>
    <row r="4497" ht="14.25" customHeight="1">
      <c r="A4497" s="2" t="s">
        <v>245</v>
      </c>
      <c r="B4497" s="2" t="s">
        <v>246</v>
      </c>
      <c r="C4497" s="2">
        <v>1993.0</v>
      </c>
      <c r="D4497" s="9">
        <v>7375.9326</v>
      </c>
      <c r="E4497" s="10" t="str">
        <f t="array" ref="E4497">IFS(D4497&lt;=$G$3,'calculated data '!$A$3,D4497&lt;=$G$4,'calculated data '!$A$4,D4497&lt;=$G$6,'calculated data '!$A$5,D4497&gt;=$G$6,'calculated data '!$A$6)</f>
        <v>Target Market (Core IQR)</v>
      </c>
      <c r="F4497" s="10">
        <f t="shared" si="1"/>
        <v>-0.467932376</v>
      </c>
    </row>
    <row r="4498" ht="14.25" customHeight="1">
      <c r="A4498" s="2" t="s">
        <v>255</v>
      </c>
      <c r="B4498" s="2" t="s">
        <v>256</v>
      </c>
      <c r="C4498" s="2">
        <v>2012.0</v>
      </c>
      <c r="D4498" s="9">
        <v>7381.7354</v>
      </c>
      <c r="E4498" s="10" t="str">
        <f t="array" ref="E4498">IFS(D4498&lt;=$G$3,'calculated data '!$A$3,D4498&lt;=$G$4,'calculated data '!$A$4,D4498&lt;=$G$6,'calculated data '!$A$5,D4498&gt;=$G$6,'calculated data '!$A$6)</f>
        <v>Target Market (Core IQR)</v>
      </c>
      <c r="F4498" s="10">
        <f t="shared" si="1"/>
        <v>-0.4677787774</v>
      </c>
    </row>
    <row r="4499" ht="14.25" customHeight="1">
      <c r="A4499" s="2" t="s">
        <v>209</v>
      </c>
      <c r="B4499" s="2" t="s">
        <v>210</v>
      </c>
      <c r="C4499" s="2">
        <v>2024.0</v>
      </c>
      <c r="D4499" s="9">
        <v>7385.741</v>
      </c>
      <c r="E4499" s="10" t="str">
        <f t="array" ref="E4499">IFS(D4499&lt;=$G$3,'calculated data '!$A$3,D4499&lt;=$G$4,'calculated data '!$A$4,D4499&lt;=$G$6,'calculated data '!$A$5,D4499&gt;=$G$6,'calculated data '!$A$6)</f>
        <v>Target Market (Core IQR)</v>
      </c>
      <c r="F4499" s="10">
        <f t="shared" si="1"/>
        <v>-0.4676727501</v>
      </c>
    </row>
    <row r="4500" ht="14.25" customHeight="1">
      <c r="A4500" s="2" t="s">
        <v>261</v>
      </c>
      <c r="B4500" s="2" t="s">
        <v>262</v>
      </c>
      <c r="C4500" s="2">
        <v>2001.0</v>
      </c>
      <c r="D4500" s="9">
        <v>7386.503</v>
      </c>
      <c r="E4500" s="10" t="str">
        <f t="array" ref="E4500">IFS(D4500&lt;=$G$3,'calculated data '!$A$3,D4500&lt;=$G$4,'calculated data '!$A$4,D4500&lt;=$G$6,'calculated data '!$A$5,D4500&gt;=$G$6,'calculated data '!$A$6)</f>
        <v>Target Market (Core IQR)</v>
      </c>
      <c r="F4500" s="10">
        <f t="shared" si="1"/>
        <v>-0.4676525802</v>
      </c>
    </row>
    <row r="4501" ht="14.25" customHeight="1">
      <c r="A4501" s="2" t="s">
        <v>297</v>
      </c>
      <c r="B4501" s="2" t="s">
        <v>298</v>
      </c>
      <c r="C4501" s="2">
        <v>2002.0</v>
      </c>
      <c r="D4501" s="9">
        <v>7386.652</v>
      </c>
      <c r="E4501" s="10" t="str">
        <f t="array" ref="E4501">IFS(D4501&lt;=$G$3,'calculated data '!$A$3,D4501&lt;=$G$4,'calculated data '!$A$4,D4501&lt;=$G$6,'calculated data '!$A$5,D4501&gt;=$G$6,'calculated data '!$A$6)</f>
        <v>Target Market (Core IQR)</v>
      </c>
      <c r="F4501" s="10">
        <f t="shared" si="1"/>
        <v>-0.4676486362</v>
      </c>
    </row>
    <row r="4502" ht="14.25" customHeight="1">
      <c r="A4502" s="2" t="s">
        <v>261</v>
      </c>
      <c r="B4502" s="2" t="s">
        <v>262</v>
      </c>
      <c r="C4502" s="2">
        <v>2000.0</v>
      </c>
      <c r="D4502" s="9">
        <v>7388.2344</v>
      </c>
      <c r="E4502" s="10" t="str">
        <f t="array" ref="E4502">IFS(D4502&lt;=$G$3,'calculated data '!$A$3,D4502&lt;=$G$4,'calculated data '!$A$4,D4502&lt;=$G$6,'calculated data '!$A$5,D4502&gt;=$G$6,'calculated data '!$A$6)</f>
        <v>Target Market (Core IQR)</v>
      </c>
      <c r="F4502" s="10">
        <f t="shared" si="1"/>
        <v>-0.4676067505</v>
      </c>
    </row>
    <row r="4503" ht="14.25" customHeight="1">
      <c r="A4503" s="2" t="s">
        <v>133</v>
      </c>
      <c r="B4503" s="2" t="s">
        <v>134</v>
      </c>
      <c r="C4503" s="2">
        <v>2015.0</v>
      </c>
      <c r="D4503" s="9">
        <v>7391.6045</v>
      </c>
      <c r="E4503" s="10" t="str">
        <f t="array" ref="E4503">IFS(D4503&lt;=$G$3,'calculated data '!$A$3,D4503&lt;=$G$4,'calculated data '!$A$4,D4503&lt;=$G$6,'calculated data '!$A$5,D4503&gt;=$G$6,'calculated data '!$A$6)</f>
        <v>Target Market (Core IQR)</v>
      </c>
      <c r="F4503" s="10">
        <f t="shared" si="1"/>
        <v>-0.4675175448</v>
      </c>
    </row>
    <row r="4504" ht="14.25" customHeight="1">
      <c r="A4504" s="2" t="s">
        <v>243</v>
      </c>
      <c r="B4504" s="2" t="s">
        <v>244</v>
      </c>
      <c r="C4504" s="2">
        <v>2009.0</v>
      </c>
      <c r="D4504" s="9">
        <v>7396.02</v>
      </c>
      <c r="E4504" s="10" t="str">
        <f t="array" ref="E4504">IFS(D4504&lt;=$G$3,'calculated data '!$A$3,D4504&lt;=$G$4,'calculated data '!$A$4,D4504&lt;=$G$6,'calculated data '!$A$5,D4504&gt;=$G$6,'calculated data '!$A$6)</f>
        <v>Target Market (Core IQR)</v>
      </c>
      <c r="F4504" s="10">
        <f t="shared" si="1"/>
        <v>-0.4674006676</v>
      </c>
    </row>
    <row r="4505" ht="14.25" customHeight="1">
      <c r="A4505" s="2" t="s">
        <v>205</v>
      </c>
      <c r="B4505" s="2" t="s">
        <v>206</v>
      </c>
      <c r="C4505" s="2">
        <v>2000.0</v>
      </c>
      <c r="D4505" s="9">
        <v>7397.4414</v>
      </c>
      <c r="E4505" s="10" t="str">
        <f t="array" ref="E4505">IFS(D4505&lt;=$G$3,'calculated data '!$A$3,D4505&lt;=$G$4,'calculated data '!$A$4,D4505&lt;=$G$6,'calculated data '!$A$5,D4505&gt;=$G$6,'calculated data '!$A$6)</f>
        <v>Target Market (Core IQR)</v>
      </c>
      <c r="F4505" s="10">
        <f t="shared" si="1"/>
        <v>-0.4673630435</v>
      </c>
    </row>
    <row r="4506" ht="14.25" customHeight="1">
      <c r="A4506" s="2" t="s">
        <v>313</v>
      </c>
      <c r="B4506" s="2" t="s">
        <v>314</v>
      </c>
      <c r="C4506" s="2">
        <v>1987.0</v>
      </c>
      <c r="D4506" s="9">
        <v>7403.6914</v>
      </c>
      <c r="E4506" s="10" t="str">
        <f t="array" ref="E4506">IFS(D4506&lt;=$G$3,'calculated data '!$A$3,D4506&lt;=$G$4,'calculated data '!$A$4,D4506&lt;=$G$6,'calculated data '!$A$5,D4506&gt;=$G$6,'calculated data '!$A$6)</f>
        <v>Target Market (Core IQR)</v>
      </c>
      <c r="F4506" s="10">
        <f t="shared" si="1"/>
        <v>-0.4671976075</v>
      </c>
    </row>
    <row r="4507" ht="14.25" customHeight="1">
      <c r="A4507" s="2" t="s">
        <v>317</v>
      </c>
      <c r="B4507" s="2" t="s">
        <v>318</v>
      </c>
      <c r="C4507" s="2">
        <v>1965.0</v>
      </c>
      <c r="D4507" s="9">
        <v>7409.634</v>
      </c>
      <c r="E4507" s="10" t="str">
        <f t="array" ref="E4507">IFS(D4507&lt;=$G$3,'calculated data '!$A$3,D4507&lt;=$G$4,'calculated data '!$A$4,D4507&lt;=$G$6,'calculated data '!$A$5,D4507&gt;=$G$6,'calculated data '!$A$6)</f>
        <v>Target Market (Core IQR)</v>
      </c>
      <c r="F4507" s="10">
        <f t="shared" si="1"/>
        <v>-0.4670403084</v>
      </c>
    </row>
    <row r="4508" ht="14.25" customHeight="1">
      <c r="A4508" s="2" t="s">
        <v>259</v>
      </c>
      <c r="B4508" s="2" t="s">
        <v>260</v>
      </c>
      <c r="C4508" s="2">
        <v>1995.0</v>
      </c>
      <c r="D4508" s="9">
        <v>7412.3823</v>
      </c>
      <c r="E4508" s="10" t="str">
        <f t="array" ref="E4508">IFS(D4508&lt;=$G$3,'calculated data '!$A$3,D4508&lt;=$G$4,'calculated data '!$A$4,D4508&lt;=$G$6,'calculated data '!$A$5,D4508&gt;=$G$6,'calculated data '!$A$6)</f>
        <v>Target Market (Core IQR)</v>
      </c>
      <c r="F4508" s="10">
        <f t="shared" si="1"/>
        <v>-0.4669675616</v>
      </c>
    </row>
    <row r="4509" ht="14.25" customHeight="1">
      <c r="A4509" s="2" t="s">
        <v>141</v>
      </c>
      <c r="B4509" s="2" t="s">
        <v>142</v>
      </c>
      <c r="C4509" s="2">
        <v>1992.0</v>
      </c>
      <c r="D4509" s="9">
        <v>7413.394</v>
      </c>
      <c r="E4509" s="10" t="str">
        <f t="array" ref="E4509">IFS(D4509&lt;=$G$3,'calculated data '!$A$3,D4509&lt;=$G$4,'calculated data '!$A$4,D4509&lt;=$G$6,'calculated data '!$A$5,D4509&gt;=$G$6,'calculated data '!$A$6)</f>
        <v>Target Market (Core IQR)</v>
      </c>
      <c r="F4509" s="10">
        <f t="shared" si="1"/>
        <v>-0.4669407821</v>
      </c>
    </row>
    <row r="4510" ht="14.25" customHeight="1">
      <c r="A4510" s="2" t="s">
        <v>243</v>
      </c>
      <c r="B4510" s="2" t="s">
        <v>244</v>
      </c>
      <c r="C4510" s="2">
        <v>1990.0</v>
      </c>
      <c r="D4510" s="9">
        <v>7418.7095</v>
      </c>
      <c r="E4510" s="10" t="str">
        <f t="array" ref="E4510">IFS(D4510&lt;=$G$3,'calculated data '!$A$3,D4510&lt;=$G$4,'calculated data '!$A$4,D4510&lt;=$G$6,'calculated data '!$A$5,D4510&gt;=$G$6,'calculated data '!$A$6)</f>
        <v>Target Market (Core IQR)</v>
      </c>
      <c r="F4510" s="10">
        <f t="shared" si="1"/>
        <v>-0.4668000822</v>
      </c>
    </row>
    <row r="4511" ht="14.25" customHeight="1">
      <c r="A4511" s="2" t="s">
        <v>165</v>
      </c>
      <c r="B4511" s="2" t="s">
        <v>166</v>
      </c>
      <c r="C4511" s="2">
        <v>2025.0</v>
      </c>
      <c r="D4511" s="9">
        <v>7419.336</v>
      </c>
      <c r="E4511" s="10" t="str">
        <f t="array" ref="E4511">IFS(D4511&lt;=$G$3,'calculated data '!$A$3,D4511&lt;=$G$4,'calculated data '!$A$4,D4511&lt;=$G$6,'calculated data '!$A$5,D4511&gt;=$G$6,'calculated data '!$A$6)</f>
        <v>Target Market (Core IQR)</v>
      </c>
      <c r="F4511" s="10">
        <f t="shared" si="1"/>
        <v>-0.4667834989</v>
      </c>
    </row>
    <row r="4512" ht="14.25" customHeight="1">
      <c r="A4512" s="2" t="s">
        <v>281</v>
      </c>
      <c r="B4512" s="2" t="s">
        <v>282</v>
      </c>
      <c r="C4512" s="2">
        <v>2008.0</v>
      </c>
      <c r="D4512" s="9">
        <v>7421.273</v>
      </c>
      <c r="E4512" s="10" t="str">
        <f t="array" ref="E4512">IFS(D4512&lt;=$G$3,'calculated data '!$A$3,D4512&lt;=$G$4,'calculated data '!$A$4,D4512&lt;=$G$6,'calculated data '!$A$5,D4512&gt;=$G$6,'calculated data '!$A$6)</f>
        <v>Target Market (Core IQR)</v>
      </c>
      <c r="F4512" s="10">
        <f t="shared" si="1"/>
        <v>-0.4667322269</v>
      </c>
    </row>
    <row r="4513" ht="14.25" customHeight="1">
      <c r="A4513" s="2" t="s">
        <v>251</v>
      </c>
      <c r="B4513" s="2" t="s">
        <v>252</v>
      </c>
      <c r="C4513" s="2">
        <v>1982.0</v>
      </c>
      <c r="D4513" s="9">
        <v>7423.481</v>
      </c>
      <c r="E4513" s="10" t="str">
        <f t="array" ref="E4513">IFS(D4513&lt;=$G$3,'calculated data '!$A$3,D4513&lt;=$G$4,'calculated data '!$A$4,D4513&lt;=$G$6,'calculated data '!$A$5,D4513&gt;=$G$6,'calculated data '!$A$6)</f>
        <v>Target Market (Core IQR)</v>
      </c>
      <c r="F4513" s="10">
        <f t="shared" si="1"/>
        <v>-0.4666737817</v>
      </c>
    </row>
    <row r="4514" ht="14.25" customHeight="1">
      <c r="A4514" s="2" t="s">
        <v>165</v>
      </c>
      <c r="B4514" s="2" t="s">
        <v>166</v>
      </c>
      <c r="C4514" s="2">
        <v>2024.0</v>
      </c>
      <c r="D4514" s="9">
        <v>7431.7744</v>
      </c>
      <c r="E4514" s="10" t="str">
        <f t="array" ref="E4514">IFS(D4514&lt;=$G$3,'calculated data '!$A$3,D4514&lt;=$G$4,'calculated data '!$A$4,D4514&lt;=$G$6,'calculated data '!$A$5,D4514&gt;=$G$6,'calculated data '!$A$6)</f>
        <v>Target Market (Core IQR)</v>
      </c>
      <c r="F4514" s="10">
        <f t="shared" si="1"/>
        <v>-0.4664542575</v>
      </c>
    </row>
    <row r="4515" ht="14.25" customHeight="1">
      <c r="A4515" s="2" t="s">
        <v>229</v>
      </c>
      <c r="B4515" s="2" t="s">
        <v>230</v>
      </c>
      <c r="C4515" s="2">
        <v>1988.0</v>
      </c>
      <c r="D4515" s="9">
        <v>7433.426</v>
      </c>
      <c r="E4515" s="10" t="str">
        <f t="array" ref="E4515">IFS(D4515&lt;=$G$3,'calculated data '!$A$3,D4515&lt;=$G$4,'calculated data '!$A$4,D4515&lt;=$G$6,'calculated data '!$A$5,D4515&gt;=$G$6,'calculated data '!$A$6)</f>
        <v>Target Market (Core IQR)</v>
      </c>
      <c r="F4515" s="10">
        <f t="shared" si="1"/>
        <v>-0.4664105401</v>
      </c>
    </row>
    <row r="4516" ht="14.25" customHeight="1">
      <c r="A4516" s="2" t="s">
        <v>305</v>
      </c>
      <c r="B4516" s="2" t="s">
        <v>306</v>
      </c>
      <c r="C4516" s="2">
        <v>2004.0</v>
      </c>
      <c r="D4516" s="9">
        <v>7436.644</v>
      </c>
      <c r="E4516" s="10" t="str">
        <f t="array" ref="E4516">IFS(D4516&lt;=$G$3,'calculated data '!$A$3,D4516&lt;=$G$4,'calculated data '!$A$4,D4516&lt;=$G$6,'calculated data '!$A$5,D4516&gt;=$G$6,'calculated data '!$A$6)</f>
        <v>Target Market (Core IQR)</v>
      </c>
      <c r="F4516" s="10">
        <f t="shared" si="1"/>
        <v>-0.4663253604</v>
      </c>
    </row>
    <row r="4517" ht="14.25" customHeight="1">
      <c r="A4517" s="2" t="s">
        <v>225</v>
      </c>
      <c r="B4517" s="2" t="s">
        <v>226</v>
      </c>
      <c r="C4517" s="2">
        <v>2013.0</v>
      </c>
      <c r="D4517" s="9">
        <v>7439.076</v>
      </c>
      <c r="E4517" s="10" t="str">
        <f t="array" ref="E4517">IFS(D4517&lt;=$G$3,'calculated data '!$A$3,D4517&lt;=$G$4,'calculated data '!$A$4,D4517&lt;=$G$6,'calculated data '!$A$5,D4517&gt;=$G$6,'calculated data '!$A$6)</f>
        <v>Target Market (Core IQR)</v>
      </c>
      <c r="F4517" s="10">
        <f t="shared" si="1"/>
        <v>-0.466260986</v>
      </c>
    </row>
    <row r="4518" ht="14.25" customHeight="1">
      <c r="A4518" s="2" t="s">
        <v>129</v>
      </c>
      <c r="B4518" s="2" t="s">
        <v>130</v>
      </c>
      <c r="C4518" s="2">
        <v>2015.0</v>
      </c>
      <c r="D4518" s="9">
        <v>7439.3545</v>
      </c>
      <c r="E4518" s="10" t="str">
        <f t="array" ref="E4518">IFS(D4518&lt;=$G$3,'calculated data '!$A$3,D4518&lt;=$G$4,'calculated data '!$A$4,D4518&lt;=$G$6,'calculated data '!$A$5,D4518&gt;=$G$6,'calculated data '!$A$6)</f>
        <v>Target Market (Core IQR)</v>
      </c>
      <c r="F4518" s="10">
        <f t="shared" si="1"/>
        <v>-0.4662536141</v>
      </c>
    </row>
    <row r="4519" ht="14.25" customHeight="1">
      <c r="A4519" s="2" t="s">
        <v>225</v>
      </c>
      <c r="B4519" s="2" t="s">
        <v>226</v>
      </c>
      <c r="C4519" s="2">
        <v>2014.0</v>
      </c>
      <c r="D4519" s="9">
        <v>7439.6064</v>
      </c>
      <c r="E4519" s="10" t="str">
        <f t="array" ref="E4519">IFS(D4519&lt;=$G$3,'calculated data '!$A$3,D4519&lt;=$G$4,'calculated data '!$A$4,D4519&lt;=$G$6,'calculated data '!$A$5,D4519&gt;=$G$6,'calculated data '!$A$6)</f>
        <v>Target Market (Core IQR)</v>
      </c>
      <c r="F4519" s="10">
        <f t="shared" si="1"/>
        <v>-0.4662469464</v>
      </c>
    </row>
    <row r="4520" ht="14.25" customHeight="1">
      <c r="A4520" s="2" t="s">
        <v>253</v>
      </c>
      <c r="B4520" s="2" t="s">
        <v>254</v>
      </c>
      <c r="C4520" s="2">
        <v>2003.0</v>
      </c>
      <c r="D4520" s="9">
        <v>7441.479</v>
      </c>
      <c r="E4520" s="10" t="str">
        <f t="array" ref="E4520">IFS(D4520&lt;=$G$3,'calculated data '!$A$3,D4520&lt;=$G$4,'calculated data '!$A$4,D4520&lt;=$G$6,'calculated data '!$A$5,D4520&gt;=$G$6,'calculated data '!$A$6)</f>
        <v>Target Market (Core IQR)</v>
      </c>
      <c r="F4520" s="10">
        <f t="shared" si="1"/>
        <v>-0.4661973792</v>
      </c>
    </row>
    <row r="4521" ht="14.25" customHeight="1">
      <c r="A4521" s="2" t="s">
        <v>265</v>
      </c>
      <c r="B4521" s="2" t="s">
        <v>266</v>
      </c>
      <c r="C4521" s="2">
        <v>1995.0</v>
      </c>
      <c r="D4521" s="9">
        <v>7450.0195</v>
      </c>
      <c r="E4521" s="10" t="str">
        <f t="array" ref="E4521">IFS(D4521&lt;=$G$3,'calculated data '!$A$3,D4521&lt;=$G$4,'calculated data '!$A$4,D4521&lt;=$G$6,'calculated data '!$A$5,D4521&gt;=$G$6,'calculated data '!$A$6)</f>
        <v>Target Market (Core IQR)</v>
      </c>
      <c r="F4521" s="10">
        <f t="shared" si="1"/>
        <v>-0.4659713143</v>
      </c>
    </row>
    <row r="4522" ht="14.25" customHeight="1">
      <c r="A4522" s="2" t="s">
        <v>305</v>
      </c>
      <c r="B4522" s="2" t="s">
        <v>306</v>
      </c>
      <c r="C4522" s="2">
        <v>2003.0</v>
      </c>
      <c r="D4522" s="9">
        <v>7451.31</v>
      </c>
      <c r="E4522" s="10" t="str">
        <f t="array" ref="E4522">IFS(D4522&lt;=$G$3,'calculated data '!$A$3,D4522&lt;=$G$4,'calculated data '!$A$4,D4522&lt;=$G$6,'calculated data '!$A$5,D4522&gt;=$G$6,'calculated data '!$A$6)</f>
        <v>Target Market (Core IQR)</v>
      </c>
      <c r="F4522" s="10">
        <f t="shared" si="1"/>
        <v>-0.465937155</v>
      </c>
    </row>
    <row r="4523" ht="14.25" customHeight="1">
      <c r="A4523" s="2" t="s">
        <v>281</v>
      </c>
      <c r="B4523" s="2" t="s">
        <v>282</v>
      </c>
      <c r="C4523" s="2">
        <v>2009.0</v>
      </c>
      <c r="D4523" s="9">
        <v>7460.927</v>
      </c>
      <c r="E4523" s="10" t="str">
        <f t="array" ref="E4523">IFS(D4523&lt;=$G$3,'calculated data '!$A$3,D4523&lt;=$G$4,'calculated data '!$A$4,D4523&lt;=$G$6,'calculated data '!$A$5,D4523&gt;=$G$6,'calculated data '!$A$6)</f>
        <v>Target Market (Core IQR)</v>
      </c>
      <c r="F4523" s="10">
        <f t="shared" si="1"/>
        <v>-0.4656825954</v>
      </c>
    </row>
    <row r="4524" ht="14.25" customHeight="1">
      <c r="A4524" s="2" t="s">
        <v>251</v>
      </c>
      <c r="B4524" s="2" t="s">
        <v>252</v>
      </c>
      <c r="C4524" s="2">
        <v>1984.0</v>
      </c>
      <c r="D4524" s="9">
        <v>7468.793</v>
      </c>
      <c r="E4524" s="10" t="str">
        <f t="array" ref="E4524">IFS(D4524&lt;=$G$3,'calculated data '!$A$3,D4524&lt;=$G$4,'calculated data '!$A$4,D4524&lt;=$G$6,'calculated data '!$A$5,D4524&gt;=$G$6,'calculated data '!$A$6)</f>
        <v>Target Market (Core IQR)</v>
      </c>
      <c r="F4524" s="10">
        <f t="shared" si="1"/>
        <v>-0.4654743844</v>
      </c>
    </row>
    <row r="4525" ht="14.25" customHeight="1">
      <c r="A4525" s="2" t="s">
        <v>299</v>
      </c>
      <c r="B4525" s="2" t="s">
        <v>300</v>
      </c>
      <c r="C4525" s="2">
        <v>2011.0</v>
      </c>
      <c r="D4525" s="9">
        <v>7469.3306</v>
      </c>
      <c r="E4525" s="10" t="str">
        <f t="array" ref="E4525">IFS(D4525&lt;=$G$3,'calculated data '!$A$3,D4525&lt;=$G$4,'calculated data '!$A$4,D4525&lt;=$G$6,'calculated data '!$A$5,D4525&gt;=$G$6,'calculated data '!$A$6)</f>
        <v>Target Market (Core IQR)</v>
      </c>
      <c r="F4525" s="10">
        <f t="shared" si="1"/>
        <v>-0.4654601542</v>
      </c>
    </row>
    <row r="4526" ht="14.25" customHeight="1">
      <c r="A4526" s="2" t="s">
        <v>305</v>
      </c>
      <c r="B4526" s="2" t="s">
        <v>306</v>
      </c>
      <c r="C4526" s="2">
        <v>2008.0</v>
      </c>
      <c r="D4526" s="9">
        <v>7469.989</v>
      </c>
      <c r="E4526" s="10" t="str">
        <f t="array" ref="E4526">IFS(D4526&lt;=$G$3,'calculated data '!$A$3,D4526&lt;=$G$4,'calculated data '!$A$4,D4526&lt;=$G$6,'calculated data '!$A$5,D4526&gt;=$G$6,'calculated data '!$A$6)</f>
        <v>Target Market (Core IQR)</v>
      </c>
      <c r="F4526" s="10">
        <f t="shared" si="1"/>
        <v>-0.4654427266</v>
      </c>
    </row>
    <row r="4527" ht="14.25" customHeight="1">
      <c r="A4527" s="2" t="s">
        <v>227</v>
      </c>
      <c r="B4527" s="2" t="s">
        <v>228</v>
      </c>
      <c r="C4527" s="2">
        <v>1980.0</v>
      </c>
      <c r="D4527" s="9">
        <v>7470.457</v>
      </c>
      <c r="E4527" s="10" t="str">
        <f t="array" ref="E4527">IFS(D4527&lt;=$G$3,'calculated data '!$A$3,D4527&lt;=$G$4,'calculated data '!$A$4,D4527&lt;=$G$6,'calculated data '!$A$5,D4527&gt;=$G$6,'calculated data '!$A$6)</f>
        <v>Target Market (Core IQR)</v>
      </c>
      <c r="F4527" s="10">
        <f t="shared" si="1"/>
        <v>-0.4654303387</v>
      </c>
    </row>
    <row r="4528" ht="14.25" customHeight="1">
      <c r="A4528" s="2" t="s">
        <v>225</v>
      </c>
      <c r="B4528" s="2" t="s">
        <v>226</v>
      </c>
      <c r="C4528" s="2">
        <v>2012.0</v>
      </c>
      <c r="D4528" s="9">
        <v>7473.803</v>
      </c>
      <c r="E4528" s="10" t="str">
        <f t="array" ref="E4528">IFS(D4528&lt;=$G$3,'calculated data '!$A$3,D4528&lt;=$G$4,'calculated data '!$A$4,D4528&lt;=$G$6,'calculated data '!$A$5,D4528&gt;=$G$6,'calculated data '!$A$6)</f>
        <v>Target Market (Core IQR)</v>
      </c>
      <c r="F4528" s="10">
        <f t="shared" si="1"/>
        <v>-0.4653417709</v>
      </c>
    </row>
    <row r="4529" ht="14.25" customHeight="1">
      <c r="A4529" s="2" t="s">
        <v>203</v>
      </c>
      <c r="B4529" s="2" t="s">
        <v>204</v>
      </c>
      <c r="C4529" s="2">
        <v>1999.0</v>
      </c>
      <c r="D4529" s="9">
        <v>7491.3223</v>
      </c>
      <c r="E4529" s="10" t="str">
        <f t="array" ref="E4529">IFS(D4529&lt;=$G$3,'calculated data '!$A$3,D4529&lt;=$G$4,'calculated data '!$A$4,D4529&lt;=$G$6,'calculated data '!$A$5,D4529&gt;=$G$6,'calculated data '!$A$6)</f>
        <v>Target Market (Core IQR)</v>
      </c>
      <c r="F4529" s="10">
        <f t="shared" si="1"/>
        <v>-0.4648780394</v>
      </c>
    </row>
    <row r="4530" ht="14.25" customHeight="1">
      <c r="A4530" s="2" t="s">
        <v>191</v>
      </c>
      <c r="B4530" s="2" t="s">
        <v>192</v>
      </c>
      <c r="C4530" s="2">
        <v>2001.0</v>
      </c>
      <c r="D4530" s="9">
        <v>7494.7505</v>
      </c>
      <c r="E4530" s="10" t="str">
        <f t="array" ref="E4530">IFS(D4530&lt;=$G$3,'calculated data '!$A$3,D4530&lt;=$G$4,'calculated data '!$A$4,D4530&lt;=$G$6,'calculated data '!$A$5,D4530&gt;=$G$6,'calculated data '!$A$6)</f>
        <v>Target Market (Core IQR)</v>
      </c>
      <c r="F4530" s="10">
        <f t="shared" si="1"/>
        <v>-0.4647872958</v>
      </c>
    </row>
    <row r="4531" ht="14.25" customHeight="1">
      <c r="A4531" s="2" t="s">
        <v>255</v>
      </c>
      <c r="B4531" s="2" t="s">
        <v>256</v>
      </c>
      <c r="C4531" s="2">
        <v>2013.0</v>
      </c>
      <c r="D4531" s="9">
        <v>7497.98</v>
      </c>
      <c r="E4531" s="10" t="str">
        <f t="array" ref="E4531">IFS(D4531&lt;=$G$3,'calculated data '!$A$3,D4531&lt;=$G$4,'calculated data '!$A$4,D4531&lt;=$G$6,'calculated data '!$A$5,D4531&gt;=$G$6,'calculated data '!$A$6)</f>
        <v>Target Market (Core IQR)</v>
      </c>
      <c r="F4531" s="10">
        <f t="shared" si="1"/>
        <v>-0.4647018118</v>
      </c>
    </row>
    <row r="4532" ht="14.25" customHeight="1">
      <c r="A4532" s="2" t="s">
        <v>299</v>
      </c>
      <c r="B4532" s="2" t="s">
        <v>300</v>
      </c>
      <c r="C4532" s="2">
        <v>2017.0</v>
      </c>
      <c r="D4532" s="9">
        <v>7503.813</v>
      </c>
      <c r="E4532" s="10" t="str">
        <f t="array" ref="E4532">IFS(D4532&lt;=$G$3,'calculated data '!$A$3,D4532&lt;=$G$4,'calculated data '!$A$4,D4532&lt;=$G$6,'calculated data '!$A$5,D4532&gt;=$G$6,'calculated data '!$A$6)</f>
        <v>Target Market (Core IQR)</v>
      </c>
      <c r="F4532" s="10">
        <f t="shared" si="1"/>
        <v>-0.4645474137</v>
      </c>
    </row>
    <row r="4533" ht="14.25" customHeight="1">
      <c r="A4533" s="2" t="s">
        <v>111</v>
      </c>
      <c r="B4533" s="2" t="s">
        <v>112</v>
      </c>
      <c r="C4533" s="2">
        <v>2016.0</v>
      </c>
      <c r="D4533" s="9">
        <v>7504.7373</v>
      </c>
      <c r="E4533" s="10" t="str">
        <f t="array" ref="E4533">IFS(D4533&lt;=$G$3,'calculated data '!$A$3,D4533&lt;=$G$4,'calculated data '!$A$4,D4533&lt;=$G$6,'calculated data '!$A$5,D4533&gt;=$G$6,'calculated data '!$A$6)</f>
        <v>Target Market (Core IQR)</v>
      </c>
      <c r="F4533" s="10">
        <f t="shared" si="1"/>
        <v>-0.4645229477</v>
      </c>
    </row>
    <row r="4534" ht="14.25" customHeight="1">
      <c r="A4534" s="2" t="s">
        <v>313</v>
      </c>
      <c r="B4534" s="2" t="s">
        <v>314</v>
      </c>
      <c r="C4534" s="2">
        <v>1978.0</v>
      </c>
      <c r="D4534" s="9">
        <v>7509.219</v>
      </c>
      <c r="E4534" s="10" t="str">
        <f t="array" ref="E4534">IFS(D4534&lt;=$G$3,'calculated data '!$A$3,D4534&lt;=$G$4,'calculated data '!$A$4,D4534&lt;=$G$6,'calculated data '!$A$5,D4534&gt;=$G$6,'calculated data '!$A$6)</f>
        <v>Target Market (Core IQR)</v>
      </c>
      <c r="F4534" s="10">
        <f t="shared" si="1"/>
        <v>-0.4644043182</v>
      </c>
    </row>
    <row r="4535" ht="14.25" customHeight="1">
      <c r="A4535" s="2" t="s">
        <v>233</v>
      </c>
      <c r="B4535" s="2" t="s">
        <v>234</v>
      </c>
      <c r="C4535" s="2">
        <v>1983.0</v>
      </c>
      <c r="D4535" s="9">
        <v>7514.9707</v>
      </c>
      <c r="E4535" s="10" t="str">
        <f t="array" ref="E4535">IFS(D4535&lt;=$G$3,'calculated data '!$A$3,D4535&lt;=$G$4,'calculated data '!$A$4,D4535&lt;=$G$6,'calculated data '!$A$5,D4535&gt;=$G$6,'calculated data '!$A$6)</f>
        <v>Target Market (Core IQR)</v>
      </c>
      <c r="F4535" s="10">
        <f t="shared" si="1"/>
        <v>-0.4642520722</v>
      </c>
    </row>
    <row r="4536" ht="14.25" customHeight="1">
      <c r="A4536" s="2" t="s">
        <v>259</v>
      </c>
      <c r="B4536" s="2" t="s">
        <v>260</v>
      </c>
      <c r="C4536" s="2">
        <v>1994.0</v>
      </c>
      <c r="D4536" s="9">
        <v>7518.793</v>
      </c>
      <c r="E4536" s="10" t="str">
        <f t="array" ref="E4536">IFS(D4536&lt;=$G$3,'calculated data '!$A$3,D4536&lt;=$G$4,'calculated data '!$A$4,D4536&lt;=$G$6,'calculated data '!$A$5,D4536&gt;=$G$6,'calculated data '!$A$6)</f>
        <v>Target Market (Core IQR)</v>
      </c>
      <c r="F4536" s="10">
        <f t="shared" si="1"/>
        <v>-0.4641508968</v>
      </c>
    </row>
    <row r="4537" ht="14.25" customHeight="1">
      <c r="A4537" s="2" t="s">
        <v>227</v>
      </c>
      <c r="B4537" s="2" t="s">
        <v>228</v>
      </c>
      <c r="C4537" s="2">
        <v>1985.0</v>
      </c>
      <c r="D4537" s="9">
        <v>7525.1924</v>
      </c>
      <c r="E4537" s="10" t="str">
        <f t="array" ref="E4537">IFS(D4537&lt;=$G$3,'calculated data '!$A$3,D4537&lt;=$G$4,'calculated data '!$A$4,D4537&lt;=$G$6,'calculated data '!$A$5,D4537&gt;=$G$6,'calculated data '!$A$6)</f>
        <v>Target Market (Core IQR)</v>
      </c>
      <c r="F4537" s="10">
        <f t="shared" si="1"/>
        <v>-0.4639815063</v>
      </c>
    </row>
    <row r="4538" ht="14.25" customHeight="1">
      <c r="A4538" s="2" t="s">
        <v>305</v>
      </c>
      <c r="B4538" s="2" t="s">
        <v>306</v>
      </c>
      <c r="C4538" s="2">
        <v>2018.0</v>
      </c>
      <c r="D4538" s="9">
        <v>7534.4546</v>
      </c>
      <c r="E4538" s="10" t="str">
        <f t="array" ref="E4538">IFS(D4538&lt;=$G$3,'calculated data '!$A$3,D4538&lt;=$G$4,'calculated data '!$A$4,D4538&lt;=$G$6,'calculated data '!$A$5,D4538&gt;=$G$6,'calculated data '!$A$6)</f>
        <v>Target Market (Core IQR)</v>
      </c>
      <c r="F4538" s="10">
        <f t="shared" si="1"/>
        <v>-0.4637363382</v>
      </c>
    </row>
    <row r="4539" ht="14.25" customHeight="1">
      <c r="A4539" s="2" t="s">
        <v>163</v>
      </c>
      <c r="B4539" s="2" t="s">
        <v>164</v>
      </c>
      <c r="C4539" s="2">
        <v>2020.0</v>
      </c>
      <c r="D4539" s="9">
        <v>7536.788</v>
      </c>
      <c r="E4539" s="10" t="str">
        <f t="array" ref="E4539">IFS(D4539&lt;=$G$3,'calculated data '!$A$3,D4539&lt;=$G$4,'calculated data '!$A$4,D4539&lt;=$G$6,'calculated data '!$A$5,D4539&gt;=$G$6,'calculated data '!$A$6)</f>
        <v>Target Market (Core IQR)</v>
      </c>
      <c r="F4539" s="10">
        <f t="shared" si="1"/>
        <v>-0.4636745737</v>
      </c>
    </row>
    <row r="4540" ht="14.25" customHeight="1">
      <c r="A4540" s="2" t="s">
        <v>261</v>
      </c>
      <c r="B4540" s="2" t="s">
        <v>262</v>
      </c>
      <c r="C4540" s="2">
        <v>1999.0</v>
      </c>
      <c r="D4540" s="9">
        <v>7539.751</v>
      </c>
      <c r="E4540" s="10" t="str">
        <f t="array" ref="E4540">IFS(D4540&lt;=$G$3,'calculated data '!$A$3,D4540&lt;=$G$4,'calculated data '!$A$4,D4540&lt;=$G$6,'calculated data '!$A$5,D4540&gt;=$G$6,'calculated data '!$A$6)</f>
        <v>Target Market (Core IQR)</v>
      </c>
      <c r="F4540" s="10">
        <f t="shared" si="1"/>
        <v>-0.4635961438</v>
      </c>
    </row>
    <row r="4541" ht="14.25" customHeight="1">
      <c r="A4541" s="2" t="s">
        <v>203</v>
      </c>
      <c r="B4541" s="2" t="s">
        <v>204</v>
      </c>
      <c r="C4541" s="2">
        <v>1998.0</v>
      </c>
      <c r="D4541" s="9">
        <v>7542.1963</v>
      </c>
      <c r="E4541" s="10" t="str">
        <f t="array" ref="E4541">IFS(D4541&lt;=$G$3,'calculated data '!$A$3,D4541&lt;=$G$4,'calculated data '!$A$4,D4541&lt;=$G$6,'calculated data '!$A$5,D4541&gt;=$G$6,'calculated data '!$A$6)</f>
        <v>Target Market (Core IQR)</v>
      </c>
      <c r="F4541" s="10">
        <f t="shared" si="1"/>
        <v>-0.4635314173</v>
      </c>
    </row>
    <row r="4542" ht="14.25" customHeight="1">
      <c r="A4542" s="2" t="s">
        <v>227</v>
      </c>
      <c r="B4542" s="2" t="s">
        <v>228</v>
      </c>
      <c r="C4542" s="2">
        <v>1979.0</v>
      </c>
      <c r="D4542" s="9">
        <v>7545.4683</v>
      </c>
      <c r="E4542" s="10" t="str">
        <f t="array" ref="E4542">IFS(D4542&lt;=$G$3,'calculated data '!$A$3,D4542&lt;=$G$4,'calculated data '!$A$4,D4542&lt;=$G$6,'calculated data '!$A$5,D4542&gt;=$G$6,'calculated data '!$A$6)</f>
        <v>Target Market (Core IQR)</v>
      </c>
      <c r="F4542" s="10">
        <f t="shared" si="1"/>
        <v>-0.4634448083</v>
      </c>
    </row>
    <row r="4543" ht="14.25" customHeight="1">
      <c r="A4543" s="2" t="s">
        <v>261</v>
      </c>
      <c r="B4543" s="2" t="s">
        <v>262</v>
      </c>
      <c r="C4543" s="2">
        <v>2002.0</v>
      </c>
      <c r="D4543" s="9">
        <v>7551.25</v>
      </c>
      <c r="E4543" s="10" t="str">
        <f t="array" ref="E4543">IFS(D4543&lt;=$G$3,'calculated data '!$A$3,D4543&lt;=$G$4,'calculated data '!$A$4,D4543&lt;=$G$6,'calculated data '!$A$5,D4543&gt;=$G$6,'calculated data '!$A$6)</f>
        <v>Target Market (Core IQR)</v>
      </c>
      <c r="F4543" s="10">
        <f t="shared" si="1"/>
        <v>-0.4632917681</v>
      </c>
    </row>
    <row r="4544" ht="14.25" customHeight="1">
      <c r="A4544" s="2" t="s">
        <v>129</v>
      </c>
      <c r="B4544" s="2" t="s">
        <v>130</v>
      </c>
      <c r="C4544" s="2">
        <v>2011.0</v>
      </c>
      <c r="D4544" s="9">
        <v>7554.4854</v>
      </c>
      <c r="E4544" s="10" t="str">
        <f t="array" ref="E4544">IFS(D4544&lt;=$G$3,'calculated data '!$A$3,D4544&lt;=$G$4,'calculated data '!$A$4,D4544&lt;=$G$6,'calculated data '!$A$5,D4544&gt;=$G$6,'calculated data '!$A$6)</f>
        <v>Target Market (Core IQR)</v>
      </c>
      <c r="F4544" s="10">
        <f t="shared" si="1"/>
        <v>-0.4632061279</v>
      </c>
    </row>
    <row r="4545" ht="14.25" customHeight="1">
      <c r="A4545" s="2" t="s">
        <v>271</v>
      </c>
      <c r="B4545" s="2" t="s">
        <v>272</v>
      </c>
      <c r="C4545" s="2">
        <v>1970.0</v>
      </c>
      <c r="D4545" s="9">
        <v>7554.5044</v>
      </c>
      <c r="E4545" s="10" t="str">
        <f t="array" ref="E4545">IFS(D4545&lt;=$G$3,'calculated data '!$A$3,D4545&lt;=$G$4,'calculated data '!$A$4,D4545&lt;=$G$6,'calculated data '!$A$5,D4545&gt;=$G$6,'calculated data '!$A$6)</f>
        <v>Target Market (Core IQR)</v>
      </c>
      <c r="F4545" s="10">
        <f t="shared" si="1"/>
        <v>-0.463205625</v>
      </c>
    </row>
    <row r="4546" ht="14.25" customHeight="1">
      <c r="A4546" s="2" t="s">
        <v>313</v>
      </c>
      <c r="B4546" s="2" t="s">
        <v>314</v>
      </c>
      <c r="C4546" s="2">
        <v>1968.0</v>
      </c>
      <c r="D4546" s="9">
        <v>7554.851</v>
      </c>
      <c r="E4546" s="10" t="str">
        <f t="array" ref="E4546">IFS(D4546&lt;=$G$3,'calculated data '!$A$3,D4546&lt;=$G$4,'calculated data '!$A$4,D4546&lt;=$G$6,'calculated data '!$A$5,D4546&gt;=$G$6,'calculated data '!$A$6)</f>
        <v>Target Market (Core IQR)</v>
      </c>
      <c r="F4546" s="10">
        <f t="shared" si="1"/>
        <v>-0.4631964506</v>
      </c>
    </row>
    <row r="4547" ht="14.25" customHeight="1">
      <c r="A4547" s="2" t="s">
        <v>281</v>
      </c>
      <c r="B4547" s="2" t="s">
        <v>282</v>
      </c>
      <c r="C4547" s="2">
        <v>1997.0</v>
      </c>
      <c r="D4547" s="9">
        <v>7556.173</v>
      </c>
      <c r="E4547" s="10" t="str">
        <f t="array" ref="E4547">IFS(D4547&lt;=$G$3,'calculated data '!$A$3,D4547&lt;=$G$4,'calculated data '!$A$4,D4547&lt;=$G$6,'calculated data '!$A$5,D4547&gt;=$G$6,'calculated data '!$A$6)</f>
        <v>Target Market (Core IQR)</v>
      </c>
      <c r="F4547" s="10">
        <f t="shared" si="1"/>
        <v>-0.4631614575</v>
      </c>
    </row>
    <row r="4548" ht="14.25" customHeight="1">
      <c r="A4548" s="2" t="s">
        <v>257</v>
      </c>
      <c r="B4548" s="2" t="s">
        <v>258</v>
      </c>
      <c r="C4548" s="2">
        <v>1973.0</v>
      </c>
      <c r="D4548" s="9">
        <v>7558.6963</v>
      </c>
      <c r="E4548" s="10" t="str">
        <f t="array" ref="E4548">IFS(D4548&lt;=$G$3,'calculated data '!$A$3,D4548&lt;=$G$4,'calculated data '!$A$4,D4548&lt;=$G$6,'calculated data '!$A$5,D4548&gt;=$G$6,'calculated data '!$A$6)</f>
        <v>Target Market (Core IQR)</v>
      </c>
      <c r="F4548" s="10">
        <f t="shared" si="1"/>
        <v>-0.4630946664</v>
      </c>
    </row>
    <row r="4549" ht="14.25" customHeight="1">
      <c r="A4549" s="2" t="s">
        <v>211</v>
      </c>
      <c r="B4549" s="2" t="s">
        <v>212</v>
      </c>
      <c r="C4549" s="2">
        <v>2020.0</v>
      </c>
      <c r="D4549" s="9">
        <v>7560.656</v>
      </c>
      <c r="E4549" s="10" t="str">
        <f t="array" ref="E4549">IFS(D4549&lt;=$G$3,'calculated data '!$A$3,D4549&lt;=$G$4,'calculated data '!$A$4,D4549&lt;=$G$6,'calculated data '!$A$5,D4549&gt;=$G$6,'calculated data '!$A$6)</f>
        <v>Target Market (Core IQR)</v>
      </c>
      <c r="F4549" s="10">
        <f t="shared" si="1"/>
        <v>-0.4630427937</v>
      </c>
    </row>
    <row r="4550" ht="14.25" customHeight="1">
      <c r="A4550" s="2" t="s">
        <v>301</v>
      </c>
      <c r="B4550" s="2" t="s">
        <v>302</v>
      </c>
      <c r="C4550" s="2">
        <v>1971.0</v>
      </c>
      <c r="D4550" s="9">
        <v>7561.391</v>
      </c>
      <c r="E4550" s="10" t="str">
        <f t="array" ref="E4550">IFS(D4550&lt;=$G$3,'calculated data '!$A$3,D4550&lt;=$G$4,'calculated data '!$A$4,D4550&lt;=$G$6,'calculated data '!$A$5,D4550&gt;=$G$6,'calculated data '!$A$6)</f>
        <v>Target Market (Core IQR)</v>
      </c>
      <c r="F4550" s="10">
        <f t="shared" si="1"/>
        <v>-0.4630233384</v>
      </c>
    </row>
    <row r="4551" ht="14.25" customHeight="1">
      <c r="A4551" s="2" t="s">
        <v>163</v>
      </c>
      <c r="B4551" s="2" t="s">
        <v>164</v>
      </c>
      <c r="C4551" s="2">
        <v>2013.0</v>
      </c>
      <c r="D4551" s="9">
        <v>7561.438</v>
      </c>
      <c r="E4551" s="10" t="str">
        <f t="array" ref="E4551">IFS(D4551&lt;=$G$3,'calculated data '!$A$3,D4551&lt;=$G$4,'calculated data '!$A$4,D4551&lt;=$G$6,'calculated data '!$A$5,D4551&gt;=$G$6,'calculated data '!$A$6)</f>
        <v>Target Market (Core IQR)</v>
      </c>
      <c r="F4551" s="10">
        <f t="shared" si="1"/>
        <v>-0.4630220943</v>
      </c>
    </row>
    <row r="4552" ht="14.25" customHeight="1">
      <c r="A4552" s="2" t="s">
        <v>265</v>
      </c>
      <c r="B4552" s="2" t="s">
        <v>266</v>
      </c>
      <c r="C4552" s="2">
        <v>2008.0</v>
      </c>
      <c r="D4552" s="9">
        <v>7562.2686</v>
      </c>
      <c r="E4552" s="10" t="str">
        <f t="array" ref="E4552">IFS(D4552&lt;=$G$3,'calculated data '!$A$3,D4552&lt;=$G$4,'calculated data '!$A$4,D4552&lt;=$G$6,'calculated data '!$A$5,D4552&gt;=$G$6,'calculated data '!$A$6)</f>
        <v>Target Market (Core IQR)</v>
      </c>
      <c r="F4552" s="10">
        <f t="shared" si="1"/>
        <v>-0.4630001085</v>
      </c>
    </row>
    <row r="4553" ht="14.25" customHeight="1">
      <c r="A4553" s="2" t="s">
        <v>205</v>
      </c>
      <c r="B4553" s="2" t="s">
        <v>206</v>
      </c>
      <c r="C4553" s="2">
        <v>2001.0</v>
      </c>
      <c r="D4553" s="9">
        <v>7568.916</v>
      </c>
      <c r="E4553" s="10" t="str">
        <f t="array" ref="E4553">IFS(D4553&lt;=$G$3,'calculated data '!$A$3,D4553&lt;=$G$4,'calculated data '!$A$4,D4553&lt;=$G$6,'calculated data '!$A$5,D4553&gt;=$G$6,'calculated data '!$A$6)</f>
        <v>Target Market (Core IQR)</v>
      </c>
      <c r="F4553" s="10">
        <f t="shared" si="1"/>
        <v>-0.4628241535</v>
      </c>
    </row>
    <row r="4554" ht="14.25" customHeight="1">
      <c r="A4554" s="2" t="s">
        <v>251</v>
      </c>
      <c r="B4554" s="2" t="s">
        <v>252</v>
      </c>
      <c r="C4554" s="2">
        <v>1998.0</v>
      </c>
      <c r="D4554" s="9">
        <v>7570.988</v>
      </c>
      <c r="E4554" s="10" t="str">
        <f t="array" ref="E4554">IFS(D4554&lt;=$G$3,'calculated data '!$A$3,D4554&lt;=$G$4,'calculated data '!$A$4,D4554&lt;=$G$6,'calculated data '!$A$5,D4554&gt;=$G$6,'calculated data '!$A$6)</f>
        <v>Target Market (Core IQR)</v>
      </c>
      <c r="F4554" s="10">
        <f t="shared" si="1"/>
        <v>-0.4627693082</v>
      </c>
    </row>
    <row r="4555" ht="14.25" customHeight="1">
      <c r="A4555" s="2" t="s">
        <v>313</v>
      </c>
      <c r="B4555" s="2" t="s">
        <v>314</v>
      </c>
      <c r="C4555" s="2">
        <v>1966.0</v>
      </c>
      <c r="D4555" s="9">
        <v>7571.3906</v>
      </c>
      <c r="E4555" s="10" t="str">
        <f t="array" ref="E4555">IFS(D4555&lt;=$G$3,'calculated data '!$A$3,D4555&lt;=$G$4,'calculated data '!$A$4,D4555&lt;=$G$6,'calculated data '!$A$5,D4555&gt;=$G$6,'calculated data '!$A$6)</f>
        <v>Target Market (Core IQR)</v>
      </c>
      <c r="F4555" s="10">
        <f t="shared" si="1"/>
        <v>-0.4627586515</v>
      </c>
    </row>
    <row r="4556" ht="14.25" customHeight="1">
      <c r="A4556" s="2" t="s">
        <v>281</v>
      </c>
      <c r="B4556" s="2" t="s">
        <v>282</v>
      </c>
      <c r="C4556" s="2">
        <v>1998.0</v>
      </c>
      <c r="D4556" s="9">
        <v>7572.881</v>
      </c>
      <c r="E4556" s="10" t="str">
        <f t="array" ref="E4556">IFS(D4556&lt;=$G$3,'calculated data '!$A$3,D4556&lt;=$G$4,'calculated data '!$A$4,D4556&lt;=$G$6,'calculated data '!$A$5,D4556&gt;=$G$6,'calculated data '!$A$6)</f>
        <v>Target Market (Core IQR)</v>
      </c>
      <c r="F4556" s="10">
        <f t="shared" si="1"/>
        <v>-0.4627192009</v>
      </c>
    </row>
    <row r="4557" ht="14.25" customHeight="1">
      <c r="A4557" s="2" t="s">
        <v>319</v>
      </c>
      <c r="B4557" s="2" t="s">
        <v>320</v>
      </c>
      <c r="C4557" s="2">
        <v>1965.0</v>
      </c>
      <c r="D4557" s="9">
        <v>7576.371</v>
      </c>
      <c r="E4557" s="10" t="str">
        <f t="array" ref="E4557">IFS(D4557&lt;=$G$3,'calculated data '!$A$3,D4557&lt;=$G$4,'calculated data '!$A$4,D4557&lt;=$G$6,'calculated data '!$A$5,D4557&gt;=$G$6,'calculated data '!$A$6)</f>
        <v>Target Market (Core IQR)</v>
      </c>
      <c r="F4557" s="10">
        <f t="shared" si="1"/>
        <v>-0.4626268215</v>
      </c>
    </row>
    <row r="4558" ht="14.25" customHeight="1">
      <c r="A4558" s="2" t="s">
        <v>163</v>
      </c>
      <c r="B4558" s="2" t="s">
        <v>164</v>
      </c>
      <c r="C4558" s="2">
        <v>2021.0</v>
      </c>
      <c r="D4558" s="9">
        <v>7579.0283</v>
      </c>
      <c r="E4558" s="10" t="str">
        <f t="array" ref="E4558">IFS(D4558&lt;=$G$3,'calculated data '!$A$3,D4558&lt;=$G$4,'calculated data '!$A$4,D4558&lt;=$G$6,'calculated data '!$A$5,D4558&gt;=$G$6,'calculated data '!$A$6)</f>
        <v>Target Market (Core IQR)</v>
      </c>
      <c r="F4558" s="10">
        <f t="shared" si="1"/>
        <v>-0.4625564834</v>
      </c>
    </row>
    <row r="4559" ht="14.25" customHeight="1">
      <c r="A4559" s="2" t="s">
        <v>313</v>
      </c>
      <c r="B4559" s="2" t="s">
        <v>314</v>
      </c>
      <c r="C4559" s="2">
        <v>1967.0</v>
      </c>
      <c r="D4559" s="9">
        <v>7579.606</v>
      </c>
      <c r="E4559" s="10" t="str">
        <f t="array" ref="E4559">IFS(D4559&lt;=$G$3,'calculated data '!$A$3,D4559&lt;=$G$4,'calculated data '!$A$4,D4559&lt;=$G$6,'calculated data '!$A$5,D4559&gt;=$G$6,'calculated data '!$A$6)</f>
        <v>Target Market (Core IQR)</v>
      </c>
      <c r="F4559" s="10">
        <f t="shared" si="1"/>
        <v>-0.4625411919</v>
      </c>
    </row>
    <row r="4560" ht="14.25" customHeight="1">
      <c r="A4560" s="2" t="s">
        <v>253</v>
      </c>
      <c r="B4560" s="2" t="s">
        <v>254</v>
      </c>
      <c r="C4560" s="2">
        <v>2010.0</v>
      </c>
      <c r="D4560" s="9">
        <v>7582.6333</v>
      </c>
      <c r="E4560" s="10" t="str">
        <f t="array" ref="E4560">IFS(D4560&lt;=$G$3,'calculated data '!$A$3,D4560&lt;=$G$4,'calculated data '!$A$4,D4560&lt;=$G$6,'calculated data '!$A$5,D4560&gt;=$G$6,'calculated data '!$A$6)</f>
        <v>Target Market (Core IQR)</v>
      </c>
      <c r="F4560" s="10">
        <f t="shared" si="1"/>
        <v>-0.46246106</v>
      </c>
    </row>
    <row r="4561" ht="14.25" customHeight="1">
      <c r="A4561" s="2" t="s">
        <v>299</v>
      </c>
      <c r="B4561" s="2" t="s">
        <v>300</v>
      </c>
      <c r="C4561" s="2">
        <v>2022.0</v>
      </c>
      <c r="D4561" s="9">
        <v>7590.5044</v>
      </c>
      <c r="E4561" s="10" t="str">
        <f t="array" ref="E4561">IFS(D4561&lt;=$G$3,'calculated data '!$A$3,D4561&lt;=$G$4,'calculated data '!$A$4,D4561&lt;=$G$6,'calculated data '!$A$5,D4561&gt;=$G$6,'calculated data '!$A$6)</f>
        <v>Target Market (Core IQR)</v>
      </c>
      <c r="F4561" s="10">
        <f t="shared" si="1"/>
        <v>-0.4622527139</v>
      </c>
    </row>
    <row r="4562" ht="14.25" customHeight="1">
      <c r="A4562" s="2" t="s">
        <v>315</v>
      </c>
      <c r="B4562" s="2" t="s">
        <v>316</v>
      </c>
      <c r="C4562" s="2">
        <v>2000.0</v>
      </c>
      <c r="D4562" s="9">
        <v>7592.8037</v>
      </c>
      <c r="E4562" s="10" t="str">
        <f t="array" ref="E4562">IFS(D4562&lt;=$G$3,'calculated data '!$A$3,D4562&lt;=$G$4,'calculated data '!$A$4,D4562&lt;=$G$6,'calculated data '!$A$5,D4562&gt;=$G$6,'calculated data '!$A$6)</f>
        <v>Target Market (Core IQR)</v>
      </c>
      <c r="F4562" s="10">
        <f t="shared" si="1"/>
        <v>-0.462191852</v>
      </c>
    </row>
    <row r="4563" ht="14.25" customHeight="1">
      <c r="A4563" s="2" t="s">
        <v>299</v>
      </c>
      <c r="B4563" s="2" t="s">
        <v>300</v>
      </c>
      <c r="C4563" s="2">
        <v>2007.0</v>
      </c>
      <c r="D4563" s="9">
        <v>7616.677</v>
      </c>
      <c r="E4563" s="10" t="str">
        <f t="array" ref="E4563">IFS(D4563&lt;=$G$3,'calculated data '!$A$3,D4563&lt;=$G$4,'calculated data '!$A$4,D4563&lt;=$G$6,'calculated data '!$A$5,D4563&gt;=$G$6,'calculated data '!$A$6)</f>
        <v>Target Market (Core IQR)</v>
      </c>
      <c r="F4563" s="10">
        <f t="shared" si="1"/>
        <v>-0.4615599317</v>
      </c>
    </row>
    <row r="4564" ht="14.25" customHeight="1">
      <c r="A4564" s="2" t="s">
        <v>255</v>
      </c>
      <c r="B4564" s="2" t="s">
        <v>256</v>
      </c>
      <c r="C4564" s="2">
        <v>2014.0</v>
      </c>
      <c r="D4564" s="9">
        <v>7633.6763</v>
      </c>
      <c r="E4564" s="10" t="str">
        <f t="array" ref="E4564">IFS(D4564&lt;=$G$3,'calculated data '!$A$3,D4564&lt;=$G$4,'calculated data '!$A$4,D4564&lt;=$G$6,'calculated data '!$A$5,D4564&gt;=$G$6,'calculated data '!$A$6)</f>
        <v>Target Market (Core IQR)</v>
      </c>
      <c r="F4564" s="10">
        <f t="shared" si="1"/>
        <v>-0.4611099645</v>
      </c>
    </row>
    <row r="4565" ht="14.25" customHeight="1">
      <c r="A4565" s="2" t="s">
        <v>251</v>
      </c>
      <c r="B4565" s="2" t="s">
        <v>252</v>
      </c>
      <c r="C4565" s="2">
        <v>1985.0</v>
      </c>
      <c r="D4565" s="9">
        <v>7634.4316</v>
      </c>
      <c r="E4565" s="10" t="str">
        <f t="array" ref="E4565">IFS(D4565&lt;=$G$3,'calculated data '!$A$3,D4565&lt;=$G$4,'calculated data '!$A$4,D4565&lt;=$G$6,'calculated data '!$A$5,D4565&gt;=$G$6,'calculated data '!$A$6)</f>
        <v>Target Market (Core IQR)</v>
      </c>
      <c r="F4565" s="10">
        <f t="shared" si="1"/>
        <v>-0.4610899719</v>
      </c>
    </row>
    <row r="4566" ht="14.25" customHeight="1">
      <c r="A4566" s="2" t="s">
        <v>321</v>
      </c>
      <c r="B4566" s="2" t="s">
        <v>322</v>
      </c>
      <c r="C4566" s="2">
        <v>2023.0</v>
      </c>
      <c r="D4566" s="9">
        <v>7638.028</v>
      </c>
      <c r="E4566" s="10" t="str">
        <f t="array" ref="E4566">IFS(D4566&lt;=$G$3,'calculated data '!$A$3,D4566&lt;=$G$4,'calculated data '!$A$4,D4566&lt;=$G$6,'calculated data '!$A$5,D4566&gt;=$G$6,'calculated data '!$A$6)</f>
        <v>Target Market (Core IQR)</v>
      </c>
      <c r="F4566" s="10">
        <f t="shared" si="1"/>
        <v>-0.4609947761</v>
      </c>
    </row>
    <row r="4567" ht="14.25" customHeight="1">
      <c r="A4567" s="2" t="s">
        <v>229</v>
      </c>
      <c r="B4567" s="2" t="s">
        <v>230</v>
      </c>
      <c r="C4567" s="2">
        <v>1989.0</v>
      </c>
      <c r="D4567" s="9">
        <v>7642.789</v>
      </c>
      <c r="E4567" s="10" t="str">
        <f t="array" ref="E4567">IFS(D4567&lt;=$G$3,'calculated data '!$A$3,D4567&lt;=$G$4,'calculated data '!$A$4,D4567&lt;=$G$6,'calculated data '!$A$5,D4567&gt;=$G$6,'calculated data '!$A$6)</f>
        <v>Target Market (Core IQR)</v>
      </c>
      <c r="F4567" s="10">
        <f t="shared" si="1"/>
        <v>-0.4608687536</v>
      </c>
    </row>
    <row r="4568" ht="14.25" customHeight="1">
      <c r="A4568" s="2" t="s">
        <v>305</v>
      </c>
      <c r="B4568" s="2" t="s">
        <v>306</v>
      </c>
      <c r="C4568" s="2">
        <v>2007.0</v>
      </c>
      <c r="D4568" s="9">
        <v>7646.1675</v>
      </c>
      <c r="E4568" s="10" t="str">
        <f t="array" ref="E4568">IFS(D4568&lt;=$G$3,'calculated data '!$A$3,D4568&lt;=$G$4,'calculated data '!$A$4,D4568&lt;=$G$6,'calculated data '!$A$5,D4568&gt;=$G$6,'calculated data '!$A$6)</f>
        <v>Target Market (Core IQR)</v>
      </c>
      <c r="F4568" s="10">
        <f t="shared" si="1"/>
        <v>-0.4607793255</v>
      </c>
    </row>
    <row r="4569" ht="14.25" customHeight="1">
      <c r="A4569" s="2" t="s">
        <v>205</v>
      </c>
      <c r="B4569" s="2" t="s">
        <v>206</v>
      </c>
      <c r="C4569" s="2">
        <v>2002.0</v>
      </c>
      <c r="D4569" s="9">
        <v>7646.7417</v>
      </c>
      <c r="E4569" s="10" t="str">
        <f t="array" ref="E4569">IFS(D4569&lt;=$G$3,'calculated data '!$A$3,D4569&lt;=$G$4,'calculated data '!$A$4,D4569&lt;=$G$6,'calculated data '!$A$5,D4569&gt;=$G$6,'calculated data '!$A$6)</f>
        <v>Target Market (Core IQR)</v>
      </c>
      <c r="F4569" s="10">
        <f t="shared" si="1"/>
        <v>-0.4607641266</v>
      </c>
    </row>
    <row r="4570" ht="14.25" customHeight="1">
      <c r="A4570" s="2" t="s">
        <v>197</v>
      </c>
      <c r="B4570" s="2" t="s">
        <v>198</v>
      </c>
      <c r="C4570" s="2">
        <v>1993.0</v>
      </c>
      <c r="D4570" s="9">
        <v>7651.449</v>
      </c>
      <c r="E4570" s="10" t="str">
        <f t="array" ref="E4570">IFS(D4570&lt;=$G$3,'calculated data '!$A$3,D4570&lt;=$G$4,'calculated data '!$A$4,D4570&lt;=$G$6,'calculated data '!$A$5,D4570&gt;=$G$6,'calculated data '!$A$6)</f>
        <v>Target Market (Core IQR)</v>
      </c>
      <c r="F4570" s="10">
        <f t="shared" si="1"/>
        <v>-0.4606395256</v>
      </c>
    </row>
    <row r="4571" ht="14.25" customHeight="1">
      <c r="A4571" s="2" t="s">
        <v>299</v>
      </c>
      <c r="B4571" s="2" t="s">
        <v>300</v>
      </c>
      <c r="C4571" s="2">
        <v>2024.0</v>
      </c>
      <c r="D4571" s="9">
        <v>7651.543</v>
      </c>
      <c r="E4571" s="10" t="str">
        <f t="array" ref="E4571">IFS(D4571&lt;=$G$3,'calculated data '!$A$3,D4571&lt;=$G$4,'calculated data '!$A$4,D4571&lt;=$G$6,'calculated data '!$A$5,D4571&gt;=$G$6,'calculated data '!$A$6)</f>
        <v>Target Market (Core IQR)</v>
      </c>
      <c r="F4571" s="10">
        <f t="shared" si="1"/>
        <v>-0.4606370374</v>
      </c>
    </row>
    <row r="4572" ht="14.25" customHeight="1">
      <c r="A4572" s="2" t="s">
        <v>195</v>
      </c>
      <c r="B4572" s="2" t="s">
        <v>196</v>
      </c>
      <c r="C4572" s="2">
        <v>2017.0</v>
      </c>
      <c r="D4572" s="9">
        <v>7652.6836</v>
      </c>
      <c r="E4572" s="10" t="str">
        <f t="array" ref="E4572">IFS(D4572&lt;=$G$3,'calculated data '!$A$3,D4572&lt;=$G$4,'calculated data '!$A$4,D4572&lt;=$G$6,'calculated data '!$A$5,D4572&gt;=$G$6,'calculated data '!$A$6)</f>
        <v>Target Market (Core IQR)</v>
      </c>
      <c r="F4572" s="10">
        <f t="shared" si="1"/>
        <v>-0.460606846</v>
      </c>
    </row>
    <row r="4573" ht="14.25" customHeight="1">
      <c r="A4573" s="2" t="s">
        <v>253</v>
      </c>
      <c r="B4573" s="2" t="s">
        <v>254</v>
      </c>
      <c r="C4573" s="2">
        <v>2007.0</v>
      </c>
      <c r="D4573" s="9">
        <v>7655.4966</v>
      </c>
      <c r="E4573" s="10" t="str">
        <f t="array" ref="E4573">IFS(D4573&lt;=$G$3,'calculated data '!$A$3,D4573&lt;=$G$4,'calculated data '!$A$4,D4573&lt;=$G$6,'calculated data '!$A$5,D4573&gt;=$G$6,'calculated data '!$A$6)</f>
        <v>Target Market (Core IQR)</v>
      </c>
      <c r="F4573" s="10">
        <f t="shared" si="1"/>
        <v>-0.4605323866</v>
      </c>
    </row>
    <row r="4574" ht="14.25" customHeight="1">
      <c r="A4574" s="2" t="s">
        <v>211</v>
      </c>
      <c r="B4574" s="2" t="s">
        <v>212</v>
      </c>
      <c r="C4574" s="2">
        <v>2016.0</v>
      </c>
      <c r="D4574" s="9">
        <v>7659.0054</v>
      </c>
      <c r="E4574" s="10" t="str">
        <f t="array" ref="E4574">IFS(D4574&lt;=$G$3,'calculated data '!$A$3,D4574&lt;=$G$4,'calculated data '!$A$4,D4574&lt;=$G$6,'calculated data '!$A$5,D4574&gt;=$G$6,'calculated data '!$A$6)</f>
        <v>Target Market (Core IQR)</v>
      </c>
      <c r="F4574" s="10">
        <f t="shared" si="1"/>
        <v>-0.4604395095</v>
      </c>
    </row>
    <row r="4575" ht="14.25" customHeight="1">
      <c r="A4575" s="2" t="s">
        <v>297</v>
      </c>
      <c r="B4575" s="2" t="s">
        <v>298</v>
      </c>
      <c r="C4575" s="2">
        <v>1997.0</v>
      </c>
      <c r="D4575" s="9">
        <v>7667.2837</v>
      </c>
      <c r="E4575" s="10" t="str">
        <f t="array" ref="E4575">IFS(D4575&lt;=$G$3,'calculated data '!$A$3,D4575&lt;=$G$4,'calculated data '!$A$4,D4575&lt;=$G$6,'calculated data '!$A$5,D4575&gt;=$G$6,'calculated data '!$A$6)</f>
        <v>Target Market (Core IQR)</v>
      </c>
      <c r="F4575" s="10">
        <f t="shared" si="1"/>
        <v>-0.460220385</v>
      </c>
    </row>
    <row r="4576" ht="14.25" customHeight="1">
      <c r="A4576" s="2" t="s">
        <v>315</v>
      </c>
      <c r="B4576" s="2" t="s">
        <v>316</v>
      </c>
      <c r="C4576" s="2">
        <v>2001.0</v>
      </c>
      <c r="D4576" s="9">
        <v>7669.3545</v>
      </c>
      <c r="E4576" s="10" t="str">
        <f t="array" ref="E4576">IFS(D4576&lt;=$G$3,'calculated data '!$A$3,D4576&lt;=$G$4,'calculated data '!$A$4,D4576&lt;=$G$6,'calculated data '!$A$5,D4576&gt;=$G$6,'calculated data '!$A$6)</f>
        <v>Target Market (Core IQR)</v>
      </c>
      <c r="F4576" s="10">
        <f t="shared" si="1"/>
        <v>-0.4601655714</v>
      </c>
    </row>
    <row r="4577" ht="14.25" customHeight="1">
      <c r="A4577" s="2" t="s">
        <v>261</v>
      </c>
      <c r="B4577" s="2" t="s">
        <v>262</v>
      </c>
      <c r="C4577" s="2">
        <v>2004.0</v>
      </c>
      <c r="D4577" s="9">
        <v>7672.9023</v>
      </c>
      <c r="E4577" s="10" t="str">
        <f t="array" ref="E4577">IFS(D4577&lt;=$G$3,'calculated data '!$A$3,D4577&lt;=$G$4,'calculated data '!$A$4,D4577&lt;=$G$6,'calculated data '!$A$5,D4577&gt;=$G$6,'calculated data '!$A$6)</f>
        <v>Target Market (Core IQR)</v>
      </c>
      <c r="F4577" s="10">
        <f t="shared" si="1"/>
        <v>-0.4600716621</v>
      </c>
    </row>
    <row r="4578" ht="14.25" customHeight="1">
      <c r="A4578" s="2" t="s">
        <v>321</v>
      </c>
      <c r="B4578" s="2" t="s">
        <v>322</v>
      </c>
      <c r="C4578" s="2">
        <v>2024.0</v>
      </c>
      <c r="D4578" s="9">
        <v>7673.817</v>
      </c>
      <c r="E4578" s="10" t="str">
        <f t="array" ref="E4578">IFS(D4578&lt;=$G$3,'calculated data '!$A$3,D4578&lt;=$G$4,'calculated data '!$A$4,D4578&lt;=$G$6,'calculated data '!$A$5,D4578&gt;=$G$6,'calculated data '!$A$6)</f>
        <v>Target Market (Core IQR)</v>
      </c>
      <c r="F4578" s="10">
        <f t="shared" si="1"/>
        <v>-0.4600474502</v>
      </c>
    </row>
    <row r="4579" ht="14.25" customHeight="1">
      <c r="A4579" s="2" t="s">
        <v>293</v>
      </c>
      <c r="B4579" s="2" t="s">
        <v>294</v>
      </c>
      <c r="C4579" s="2">
        <v>1995.0</v>
      </c>
      <c r="D4579" s="9">
        <v>7676.8345</v>
      </c>
      <c r="E4579" s="10" t="str">
        <f t="array" ref="E4579">IFS(D4579&lt;=$G$3,'calculated data '!$A$3,D4579&lt;=$G$4,'calculated data '!$A$4,D4579&lt;=$G$6,'calculated data '!$A$5,D4579&gt;=$G$6,'calculated data '!$A$6)</f>
        <v>Target Market (Core IQR)</v>
      </c>
      <c r="F4579" s="10">
        <f t="shared" si="1"/>
        <v>-0.4599675777</v>
      </c>
    </row>
    <row r="4580" ht="14.25" customHeight="1">
      <c r="A4580" s="2" t="s">
        <v>289</v>
      </c>
      <c r="B4580" s="2" t="s">
        <v>290</v>
      </c>
      <c r="C4580" s="2">
        <v>1994.0</v>
      </c>
      <c r="D4580" s="9">
        <v>7678.588</v>
      </c>
      <c r="E4580" s="10" t="str">
        <f t="array" ref="E4580">IFS(D4580&lt;=$G$3,'calculated data '!$A$3,D4580&lt;=$G$4,'calculated data '!$A$4,D4580&lt;=$G$6,'calculated data '!$A$5,D4580&gt;=$G$6,'calculated data '!$A$6)</f>
        <v>Target Market (Core IQR)</v>
      </c>
      <c r="F4580" s="10">
        <f t="shared" si="1"/>
        <v>-0.459921163</v>
      </c>
    </row>
    <row r="4581" ht="14.25" customHeight="1">
      <c r="A4581" s="2" t="s">
        <v>243</v>
      </c>
      <c r="B4581" s="2" t="s">
        <v>244</v>
      </c>
      <c r="C4581" s="2">
        <v>2019.0</v>
      </c>
      <c r="D4581" s="9">
        <v>7681.0674</v>
      </c>
      <c r="E4581" s="10" t="str">
        <f t="array" ref="E4581">IFS(D4581&lt;=$G$3,'calculated data '!$A$3,D4581&lt;=$G$4,'calculated data '!$A$4,D4581&lt;=$G$6,'calculated data '!$A$5,D4581&gt;=$G$6,'calculated data '!$A$6)</f>
        <v>Target Market (Core IQR)</v>
      </c>
      <c r="F4581" s="10">
        <f t="shared" si="1"/>
        <v>-0.4598555339</v>
      </c>
    </row>
    <row r="4582" ht="14.25" customHeight="1">
      <c r="A4582" s="2" t="s">
        <v>231</v>
      </c>
      <c r="B4582" s="2" t="s">
        <v>232</v>
      </c>
      <c r="C4582" s="2">
        <v>1986.0</v>
      </c>
      <c r="D4582" s="9">
        <v>7682.4595</v>
      </c>
      <c r="E4582" s="10" t="str">
        <f t="array" ref="E4582">IFS(D4582&lt;=$G$3,'calculated data '!$A$3,D4582&lt;=$G$4,'calculated data '!$A$4,D4582&lt;=$G$6,'calculated data '!$A$5,D4582&gt;=$G$6,'calculated data '!$A$6)</f>
        <v>Target Market (Core IQR)</v>
      </c>
      <c r="F4582" s="10">
        <f t="shared" si="1"/>
        <v>-0.4598186853</v>
      </c>
    </row>
    <row r="4583" ht="14.25" customHeight="1">
      <c r="A4583" s="2" t="s">
        <v>225</v>
      </c>
      <c r="B4583" s="2" t="s">
        <v>226</v>
      </c>
      <c r="C4583" s="2">
        <v>2015.0</v>
      </c>
      <c r="D4583" s="9">
        <v>7687.6973</v>
      </c>
      <c r="E4583" s="10" t="str">
        <f t="array" ref="E4583">IFS(D4583&lt;=$G$3,'calculated data '!$A$3,D4583&lt;=$G$4,'calculated data '!$A$4,D4583&lt;=$G$6,'calculated data '!$A$5,D4583&gt;=$G$6,'calculated data '!$A$6)</f>
        <v>Target Market (Core IQR)</v>
      </c>
      <c r="F4583" s="10">
        <f t="shared" si="1"/>
        <v>-0.4596800421</v>
      </c>
    </row>
    <row r="4584" ht="14.25" customHeight="1">
      <c r="A4584" s="2" t="s">
        <v>163</v>
      </c>
      <c r="B4584" s="2" t="s">
        <v>164</v>
      </c>
      <c r="C4584" s="2">
        <v>2014.0</v>
      </c>
      <c r="D4584" s="9">
        <v>7695.9297</v>
      </c>
      <c r="E4584" s="10" t="str">
        <f t="array" ref="E4584">IFS(D4584&lt;=$G$3,'calculated data '!$A$3,D4584&lt;=$G$4,'calculated data '!$A$4,D4584&lt;=$G$6,'calculated data '!$A$5,D4584&gt;=$G$6,'calculated data '!$A$6)</f>
        <v>Target Market (Core IQR)</v>
      </c>
      <c r="F4584" s="10">
        <f t="shared" si="1"/>
        <v>-0.4594621325</v>
      </c>
    </row>
    <row r="4585" ht="14.25" customHeight="1">
      <c r="A4585" s="2" t="s">
        <v>243</v>
      </c>
      <c r="B4585" s="2" t="s">
        <v>244</v>
      </c>
      <c r="C4585" s="2">
        <v>2010.0</v>
      </c>
      <c r="D4585" s="9">
        <v>7701.005</v>
      </c>
      <c r="E4585" s="10" t="str">
        <f t="array" ref="E4585">IFS(D4585&lt;=$G$3,'calculated data '!$A$3,D4585&lt;=$G$4,'calculated data '!$A$4,D4585&lt;=$G$6,'calculated data '!$A$5,D4585&gt;=$G$6,'calculated data '!$A$6)</f>
        <v>Target Market (Core IQR)</v>
      </c>
      <c r="F4585" s="10">
        <f t="shared" si="1"/>
        <v>-0.4593277906</v>
      </c>
    </row>
    <row r="4586" ht="14.25" customHeight="1">
      <c r="A4586" s="2" t="s">
        <v>297</v>
      </c>
      <c r="B4586" s="2" t="s">
        <v>298</v>
      </c>
      <c r="C4586" s="2">
        <v>1999.0</v>
      </c>
      <c r="D4586" s="9">
        <v>7708.78</v>
      </c>
      <c r="E4586" s="10" t="str">
        <f t="array" ref="E4586">IFS(D4586&lt;=$G$3,'calculated data '!$A$3,D4586&lt;=$G$4,'calculated data '!$A$4,D4586&lt;=$G$6,'calculated data '!$A$5,D4586&gt;=$G$6,'calculated data '!$A$6)</f>
        <v>Target Market (Core IQR)</v>
      </c>
      <c r="F4586" s="10">
        <f t="shared" si="1"/>
        <v>-0.4591219883</v>
      </c>
    </row>
    <row r="4587" ht="14.25" customHeight="1">
      <c r="A4587" s="2" t="s">
        <v>253</v>
      </c>
      <c r="B4587" s="2" t="s">
        <v>254</v>
      </c>
      <c r="C4587" s="2">
        <v>2006.0</v>
      </c>
      <c r="D4587" s="9">
        <v>7711.4033</v>
      </c>
      <c r="E4587" s="10" t="str">
        <f t="array" ref="E4587">IFS(D4587&lt;=$G$3,'calculated data '!$A$3,D4587&lt;=$G$4,'calculated data '!$A$4,D4587&lt;=$G$6,'calculated data '!$A$5,D4587&gt;=$G$6,'calculated data '!$A$6)</f>
        <v>Target Market (Core IQR)</v>
      </c>
      <c r="F4587" s="10">
        <f t="shared" si="1"/>
        <v>-0.4590525502</v>
      </c>
    </row>
    <row r="4588" ht="14.25" customHeight="1">
      <c r="A4588" s="2" t="s">
        <v>163</v>
      </c>
      <c r="B4588" s="2" t="s">
        <v>164</v>
      </c>
      <c r="C4588" s="2">
        <v>2015.0</v>
      </c>
      <c r="D4588" s="9">
        <v>7712.7065</v>
      </c>
      <c r="E4588" s="10" t="str">
        <f t="array" ref="E4588">IFS(D4588&lt;=$G$3,'calculated data '!$A$3,D4588&lt;=$G$4,'calculated data '!$A$4,D4588&lt;=$G$6,'calculated data '!$A$5,D4588&gt;=$G$6,'calculated data '!$A$6)</f>
        <v>Target Market (Core IQR)</v>
      </c>
      <c r="F4588" s="10">
        <f t="shared" si="1"/>
        <v>-0.4590180548</v>
      </c>
    </row>
    <row r="4589" ht="14.25" customHeight="1">
      <c r="A4589" s="2" t="s">
        <v>209</v>
      </c>
      <c r="B4589" s="2" t="s">
        <v>210</v>
      </c>
      <c r="C4589" s="2">
        <v>2023.0</v>
      </c>
      <c r="D4589" s="9">
        <v>7717.7236</v>
      </c>
      <c r="E4589" s="10" t="str">
        <f t="array" ref="E4589">IFS(D4589&lt;=$G$3,'calculated data '!$A$3,D4589&lt;=$G$4,'calculated data '!$A$4,D4589&lt;=$G$6,'calculated data '!$A$5,D4589&gt;=$G$6,'calculated data '!$A$6)</f>
        <v>Target Market (Core IQR)</v>
      </c>
      <c r="F4589" s="10">
        <f t="shared" si="1"/>
        <v>-0.4588852534</v>
      </c>
    </row>
    <row r="4590" ht="14.25" customHeight="1">
      <c r="A4590" s="2" t="s">
        <v>317</v>
      </c>
      <c r="B4590" s="2" t="s">
        <v>318</v>
      </c>
      <c r="C4590" s="2">
        <v>1966.0</v>
      </c>
      <c r="D4590" s="9">
        <v>7719.777</v>
      </c>
      <c r="E4590" s="10" t="str">
        <f t="array" ref="E4590">IFS(D4590&lt;=$G$3,'calculated data '!$A$3,D4590&lt;=$G$4,'calculated data '!$A$4,D4590&lt;=$G$6,'calculated data '!$A$5,D4590&gt;=$G$6,'calculated data '!$A$6)</f>
        <v>Target Market (Core IQR)</v>
      </c>
      <c r="F4590" s="10">
        <f t="shared" si="1"/>
        <v>-0.4588309004</v>
      </c>
    </row>
    <row r="4591" ht="14.25" customHeight="1">
      <c r="A4591" s="2" t="s">
        <v>253</v>
      </c>
      <c r="B4591" s="2" t="s">
        <v>254</v>
      </c>
      <c r="C4591" s="2">
        <v>2012.0</v>
      </c>
      <c r="D4591" s="9">
        <v>7727.7363</v>
      </c>
      <c r="E4591" s="10" t="str">
        <f t="array" ref="E4591">IFS(D4591&lt;=$G$3,'calculated data '!$A$3,D4591&lt;=$G$4,'calculated data '!$A$4,D4591&lt;=$G$6,'calculated data '!$A$5,D4591&gt;=$G$6,'calculated data '!$A$6)</f>
        <v>Target Market (Core IQR)</v>
      </c>
      <c r="F4591" s="10">
        <f t="shared" si="1"/>
        <v>-0.4586202197</v>
      </c>
    </row>
    <row r="4592" ht="14.25" customHeight="1">
      <c r="A4592" s="2" t="s">
        <v>323</v>
      </c>
      <c r="B4592" s="2" t="s">
        <v>324</v>
      </c>
      <c r="C4592" s="2">
        <v>1981.0</v>
      </c>
      <c r="D4592" s="9">
        <v>7732.148</v>
      </c>
      <c r="E4592" s="10" t="str">
        <f t="array" ref="E4592">IFS(D4592&lt;=$G$3,'calculated data '!$A$3,D4592&lt;=$G$4,'calculated data '!$A$4,D4592&lt;=$G$6,'calculated data '!$A$5,D4592&gt;=$G$6,'calculated data '!$A$6)</f>
        <v>Target Market (Core IQR)</v>
      </c>
      <c r="F4592" s="10">
        <f t="shared" si="1"/>
        <v>-0.4585034431</v>
      </c>
    </row>
    <row r="4593" ht="14.25" customHeight="1">
      <c r="A4593" s="2" t="s">
        <v>45</v>
      </c>
      <c r="B4593" s="2" t="s">
        <v>46</v>
      </c>
      <c r="C4593" s="2">
        <v>1988.0</v>
      </c>
      <c r="D4593" s="9">
        <v>7732.5312</v>
      </c>
      <c r="E4593" s="10" t="str">
        <f t="array" ref="E4593">IFS(D4593&lt;=$G$3,'calculated data '!$A$3,D4593&lt;=$G$4,'calculated data '!$A$4,D4593&lt;=$G$6,'calculated data '!$A$5,D4593&gt;=$G$6,'calculated data '!$A$6)</f>
        <v>Target Market (Core IQR)</v>
      </c>
      <c r="F4593" s="10">
        <f t="shared" si="1"/>
        <v>-0.4584932999</v>
      </c>
    </row>
    <row r="4594" ht="14.25" customHeight="1">
      <c r="A4594" s="2" t="s">
        <v>211</v>
      </c>
      <c r="B4594" s="2" t="s">
        <v>212</v>
      </c>
      <c r="C4594" s="2">
        <v>2022.0</v>
      </c>
      <c r="D4594" s="9">
        <v>7732.6597</v>
      </c>
      <c r="E4594" s="10" t="str">
        <f t="array" ref="E4594">IFS(D4594&lt;=$G$3,'calculated data '!$A$3,D4594&lt;=$G$4,'calculated data '!$A$4,D4594&lt;=$G$6,'calculated data '!$A$5,D4594&gt;=$G$6,'calculated data '!$A$6)</f>
        <v>Target Market (Core IQR)</v>
      </c>
      <c r="F4594" s="10">
        <f t="shared" si="1"/>
        <v>-0.4584898986</v>
      </c>
    </row>
    <row r="4595" ht="14.25" customHeight="1">
      <c r="A4595" s="2" t="s">
        <v>211</v>
      </c>
      <c r="B4595" s="2" t="s">
        <v>212</v>
      </c>
      <c r="C4595" s="2">
        <v>2017.0</v>
      </c>
      <c r="D4595" s="9">
        <v>7744.288</v>
      </c>
      <c r="E4595" s="10" t="str">
        <f t="array" ref="E4595">IFS(D4595&lt;=$G$3,'calculated data '!$A$3,D4595&lt;=$G$4,'calculated data '!$A$4,D4595&lt;=$G$6,'calculated data '!$A$5,D4595&gt;=$G$6,'calculated data '!$A$6)</f>
        <v>Target Market (Core IQR)</v>
      </c>
      <c r="F4595" s="10">
        <f t="shared" si="1"/>
        <v>-0.4581821004</v>
      </c>
    </row>
    <row r="4596" ht="14.25" customHeight="1">
      <c r="A4596" s="2" t="s">
        <v>195</v>
      </c>
      <c r="B4596" s="2" t="s">
        <v>196</v>
      </c>
      <c r="C4596" s="2">
        <v>2008.0</v>
      </c>
      <c r="D4596" s="9">
        <v>7744.4204</v>
      </c>
      <c r="E4596" s="10" t="str">
        <f t="array" ref="E4596">IFS(D4596&lt;=$G$3,'calculated data '!$A$3,D4596&lt;=$G$4,'calculated data '!$A$4,D4596&lt;=$G$6,'calculated data '!$A$5,D4596&gt;=$G$6,'calculated data '!$A$6)</f>
        <v>Target Market (Core IQR)</v>
      </c>
      <c r="F4596" s="10">
        <f t="shared" si="1"/>
        <v>-0.4581785958</v>
      </c>
    </row>
    <row r="4597" ht="14.25" customHeight="1">
      <c r="A4597" s="2" t="s">
        <v>317</v>
      </c>
      <c r="B4597" s="2" t="s">
        <v>318</v>
      </c>
      <c r="C4597" s="2">
        <v>1967.0</v>
      </c>
      <c r="D4597" s="9">
        <v>7744.864</v>
      </c>
      <c r="E4597" s="10" t="str">
        <f t="array" ref="E4597">IFS(D4597&lt;=$G$3,'calculated data '!$A$3,D4597&lt;=$G$4,'calculated data '!$A$4,D4597&lt;=$G$6,'calculated data '!$A$5,D4597&gt;=$G$6,'calculated data '!$A$6)</f>
        <v>Target Market (Core IQR)</v>
      </c>
      <c r="F4597" s="10">
        <f t="shared" si="1"/>
        <v>-0.4581668538</v>
      </c>
    </row>
    <row r="4598" ht="14.25" customHeight="1">
      <c r="A4598" s="2" t="s">
        <v>303</v>
      </c>
      <c r="B4598" s="2" t="s">
        <v>304</v>
      </c>
      <c r="C4598" s="2">
        <v>2004.0</v>
      </c>
      <c r="D4598" s="9">
        <v>7747.934</v>
      </c>
      <c r="E4598" s="10" t="str">
        <f t="array" ref="E4598">IFS(D4598&lt;=$G$3,'calculated data '!$A$3,D4598&lt;=$G$4,'calculated data '!$A$4,D4598&lt;=$G$6,'calculated data '!$A$5,D4598&gt;=$G$6,'calculated data '!$A$6)</f>
        <v>Target Market (Core IQR)</v>
      </c>
      <c r="F4598" s="10">
        <f t="shared" si="1"/>
        <v>-0.4580855916</v>
      </c>
    </row>
    <row r="4599" ht="14.25" customHeight="1">
      <c r="A4599" s="2" t="s">
        <v>195</v>
      </c>
      <c r="B4599" s="2" t="s">
        <v>196</v>
      </c>
      <c r="C4599" s="2">
        <v>2005.0</v>
      </c>
      <c r="D4599" s="9">
        <v>7752.106</v>
      </c>
      <c r="E4599" s="10" t="str">
        <f t="array" ref="E4599">IFS(D4599&lt;=$G$3,'calculated data '!$A$3,D4599&lt;=$G$4,'calculated data '!$A$4,D4599&lt;=$G$6,'calculated data '!$A$5,D4599&gt;=$G$6,'calculated data '!$A$6)</f>
        <v>Target Market (Core IQR)</v>
      </c>
      <c r="F4599" s="10">
        <f t="shared" si="1"/>
        <v>-0.4579751598</v>
      </c>
    </row>
    <row r="4600" ht="14.25" customHeight="1">
      <c r="A4600" s="2" t="s">
        <v>289</v>
      </c>
      <c r="B4600" s="2" t="s">
        <v>290</v>
      </c>
      <c r="C4600" s="2">
        <v>2011.0</v>
      </c>
      <c r="D4600" s="9">
        <v>7754.171</v>
      </c>
      <c r="E4600" s="10" t="str">
        <f t="array" ref="E4600">IFS(D4600&lt;=$G$3,'calculated data '!$A$3,D4600&lt;=$G$4,'calculated data '!$A$4,D4600&lt;=$G$6,'calculated data '!$A$5,D4600&gt;=$G$6,'calculated data '!$A$6)</f>
        <v>Target Market (Core IQR)</v>
      </c>
      <c r="F4600" s="10">
        <f t="shared" si="1"/>
        <v>-0.4579204998</v>
      </c>
    </row>
    <row r="4601" ht="14.25" customHeight="1">
      <c r="A4601" s="2" t="s">
        <v>305</v>
      </c>
      <c r="B4601" s="2" t="s">
        <v>306</v>
      </c>
      <c r="C4601" s="2">
        <v>2000.0</v>
      </c>
      <c r="D4601" s="9">
        <v>7757.7915</v>
      </c>
      <c r="E4601" s="10" t="str">
        <f t="array" ref="E4601">IFS(D4601&lt;=$G$3,'calculated data '!$A$3,D4601&lt;=$G$4,'calculated data '!$A$4,D4601&lt;=$G$6,'calculated data '!$A$5,D4601&gt;=$G$6,'calculated data '!$A$6)</f>
        <v>Target Market (Core IQR)</v>
      </c>
      <c r="F4601" s="10">
        <f t="shared" si="1"/>
        <v>-0.4578246661</v>
      </c>
    </row>
    <row r="4602" ht="14.25" customHeight="1">
      <c r="A4602" s="2" t="s">
        <v>305</v>
      </c>
      <c r="B4602" s="2" t="s">
        <v>306</v>
      </c>
      <c r="C4602" s="2">
        <v>2006.0</v>
      </c>
      <c r="D4602" s="9">
        <v>7758.772</v>
      </c>
      <c r="E4602" s="10" t="str">
        <f t="array" ref="E4602">IFS(D4602&lt;=$G$3,'calculated data '!$A$3,D4602&lt;=$G$4,'calculated data '!$A$4,D4602&lt;=$G$6,'calculated data '!$A$5,D4602&gt;=$G$6,'calculated data '!$A$6)</f>
        <v>Target Market (Core IQR)</v>
      </c>
      <c r="F4602" s="10">
        <f t="shared" si="1"/>
        <v>-0.4577987125</v>
      </c>
    </row>
    <row r="4603" ht="14.25" customHeight="1">
      <c r="A4603" s="2" t="s">
        <v>185</v>
      </c>
      <c r="B4603" s="2" t="s">
        <v>186</v>
      </c>
      <c r="C4603" s="2">
        <v>2003.0</v>
      </c>
      <c r="D4603" s="9">
        <v>7758.977</v>
      </c>
      <c r="E4603" s="10" t="str">
        <f t="array" ref="E4603">IFS(D4603&lt;=$G$3,'calculated data '!$A$3,D4603&lt;=$G$4,'calculated data '!$A$4,D4603&lt;=$G$6,'calculated data '!$A$5,D4603&gt;=$G$6,'calculated data '!$A$6)</f>
        <v>Target Market (Core IQR)</v>
      </c>
      <c r="F4603" s="10">
        <f t="shared" si="1"/>
        <v>-0.4577932862</v>
      </c>
    </row>
    <row r="4604" ht="14.25" customHeight="1">
      <c r="A4604" s="2" t="s">
        <v>259</v>
      </c>
      <c r="B4604" s="2" t="s">
        <v>260</v>
      </c>
      <c r="C4604" s="2">
        <v>1993.0</v>
      </c>
      <c r="D4604" s="9">
        <v>7765.4766</v>
      </c>
      <c r="E4604" s="10" t="str">
        <f t="array" ref="E4604">IFS(D4604&lt;=$G$3,'calculated data '!$A$3,D4604&lt;=$G$4,'calculated data '!$A$4,D4604&lt;=$G$6,'calculated data '!$A$5,D4604&gt;=$G$6,'calculated data '!$A$6)</f>
        <v>Target Market (Core IQR)</v>
      </c>
      <c r="F4604" s="10">
        <f t="shared" si="1"/>
        <v>-0.4576212434</v>
      </c>
    </row>
    <row r="4605" ht="14.25" customHeight="1">
      <c r="A4605" s="2" t="s">
        <v>227</v>
      </c>
      <c r="B4605" s="2" t="s">
        <v>228</v>
      </c>
      <c r="C4605" s="2">
        <v>1990.0</v>
      </c>
      <c r="D4605" s="9">
        <v>7766.05</v>
      </c>
      <c r="E4605" s="10" t="str">
        <f t="array" ref="E4605">IFS(D4605&lt;=$G$3,'calculated data '!$A$3,D4605&lt;=$G$4,'calculated data '!$A$4,D4605&lt;=$G$6,'calculated data '!$A$5,D4605&gt;=$G$6,'calculated data '!$A$6)</f>
        <v>Target Market (Core IQR)</v>
      </c>
      <c r="F4605" s="10">
        <f t="shared" si="1"/>
        <v>-0.4576060656</v>
      </c>
    </row>
    <row r="4606" ht="14.25" customHeight="1">
      <c r="A4606" s="2" t="s">
        <v>299</v>
      </c>
      <c r="B4606" s="2" t="s">
        <v>300</v>
      </c>
      <c r="C4606" s="2">
        <v>2015.0</v>
      </c>
      <c r="D4606" s="9">
        <v>7766.9336</v>
      </c>
      <c r="E4606" s="10" t="str">
        <f t="array" ref="E4606">IFS(D4606&lt;=$G$3,'calculated data '!$A$3,D4606&lt;=$G$4,'calculated data '!$A$4,D4606&lt;=$G$6,'calculated data '!$A$5,D4606&gt;=$G$6,'calculated data '!$A$6)</f>
        <v>Target Market (Core IQR)</v>
      </c>
      <c r="F4606" s="10">
        <f t="shared" si="1"/>
        <v>-0.457582677</v>
      </c>
    </row>
    <row r="4607" ht="14.25" customHeight="1">
      <c r="A4607" s="2" t="s">
        <v>261</v>
      </c>
      <c r="B4607" s="2" t="s">
        <v>262</v>
      </c>
      <c r="C4607" s="2">
        <v>2003.0</v>
      </c>
      <c r="D4607" s="9">
        <v>7776.1743</v>
      </c>
      <c r="E4607" s="10" t="str">
        <f t="array" ref="E4607">IFS(D4607&lt;=$G$3,'calculated data '!$A$3,D4607&lt;=$G$4,'calculated data '!$A$4,D4607&lt;=$G$6,'calculated data '!$A$5,D4607&gt;=$G$6,'calculated data '!$A$6)</f>
        <v>Target Market (Core IQR)</v>
      </c>
      <c r="F4607" s="10">
        <f t="shared" si="1"/>
        <v>-0.4573380779</v>
      </c>
    </row>
    <row r="4608" ht="14.25" customHeight="1">
      <c r="A4608" s="2" t="s">
        <v>229</v>
      </c>
      <c r="B4608" s="2" t="s">
        <v>230</v>
      </c>
      <c r="C4608" s="2">
        <v>1990.0</v>
      </c>
      <c r="D4608" s="9">
        <v>7786.4272</v>
      </c>
      <c r="E4608" s="10" t="str">
        <f t="array" ref="E4608">IFS(D4608&lt;=$G$3,'calculated data '!$A$3,D4608&lt;=$G$4,'calculated data '!$A$4,D4608&lt;=$G$6,'calculated data '!$A$5,D4608&gt;=$G$6,'calculated data '!$A$6)</f>
        <v>Target Market (Core IQR)</v>
      </c>
      <c r="F4608" s="10">
        <f t="shared" si="1"/>
        <v>-0.4570666862</v>
      </c>
    </row>
    <row r="4609" ht="14.25" customHeight="1">
      <c r="A4609" s="2" t="s">
        <v>299</v>
      </c>
      <c r="B4609" s="2" t="s">
        <v>300</v>
      </c>
      <c r="C4609" s="2">
        <v>2016.0</v>
      </c>
      <c r="D4609" s="9">
        <v>7790.0654</v>
      </c>
      <c r="E4609" s="10" t="str">
        <f t="array" ref="E4609">IFS(D4609&lt;=$G$3,'calculated data '!$A$3,D4609&lt;=$G$4,'calculated data '!$A$4,D4609&lt;=$G$6,'calculated data '!$A$5,D4609&gt;=$G$6,'calculated data '!$A$6)</f>
        <v>Target Market (Core IQR)</v>
      </c>
      <c r="F4609" s="10">
        <f t="shared" si="1"/>
        <v>-0.456970384</v>
      </c>
    </row>
    <row r="4610" ht="14.25" customHeight="1">
      <c r="A4610" s="2" t="s">
        <v>293</v>
      </c>
      <c r="B4610" s="2" t="s">
        <v>294</v>
      </c>
      <c r="C4610" s="2">
        <v>1992.0</v>
      </c>
      <c r="D4610" s="9">
        <v>7791.8643</v>
      </c>
      <c r="E4610" s="10" t="str">
        <f t="array" ref="E4610">IFS(D4610&lt;=$G$3,'calculated data '!$A$3,D4610&lt;=$G$4,'calculated data '!$A$4,D4610&lt;=$G$6,'calculated data '!$A$5,D4610&gt;=$G$6,'calculated data '!$A$6)</f>
        <v>Target Market (Core IQR)</v>
      </c>
      <c r="F4610" s="10">
        <f t="shared" si="1"/>
        <v>-0.4569227675</v>
      </c>
    </row>
    <row r="4611" ht="14.25" customHeight="1">
      <c r="A4611" s="2" t="s">
        <v>183</v>
      </c>
      <c r="B4611" s="2" t="s">
        <v>184</v>
      </c>
      <c r="C4611" s="2">
        <v>2005.0</v>
      </c>
      <c r="D4611" s="9">
        <v>7808.063</v>
      </c>
      <c r="E4611" s="10" t="str">
        <f t="array" ref="E4611">IFS(D4611&lt;=$G$3,'calculated data '!$A$3,D4611&lt;=$G$4,'calculated data '!$A$4,D4611&lt;=$G$6,'calculated data '!$A$5,D4611&gt;=$G$6,'calculated data '!$A$6)</f>
        <v>Target Market (Core IQR)</v>
      </c>
      <c r="F4611" s="10">
        <f t="shared" si="1"/>
        <v>-0.456493992</v>
      </c>
    </row>
    <row r="4612" ht="14.25" customHeight="1">
      <c r="A4612" s="2" t="s">
        <v>129</v>
      </c>
      <c r="B4612" s="2" t="s">
        <v>130</v>
      </c>
      <c r="C4612" s="2">
        <v>2017.0</v>
      </c>
      <c r="D4612" s="9">
        <v>7808.801</v>
      </c>
      <c r="E4612" s="10" t="str">
        <f t="array" ref="E4612">IFS(D4612&lt;=$G$3,'calculated data '!$A$3,D4612&lt;=$G$4,'calculated data '!$A$4,D4612&lt;=$G$6,'calculated data '!$A$5,D4612&gt;=$G$6,'calculated data '!$A$6)</f>
        <v>Target Market (Core IQR)</v>
      </c>
      <c r="F4612" s="10">
        <f t="shared" si="1"/>
        <v>-0.4564744573</v>
      </c>
    </row>
    <row r="4613" ht="14.25" customHeight="1">
      <c r="A4613" s="2" t="s">
        <v>243</v>
      </c>
      <c r="B4613" s="2" t="s">
        <v>244</v>
      </c>
      <c r="C4613" s="2">
        <v>2011.0</v>
      </c>
      <c r="D4613" s="9">
        <v>7822.1074</v>
      </c>
      <c r="E4613" s="10" t="str">
        <f t="array" ref="E4613">IFS(D4613&lt;=$G$3,'calculated data '!$A$3,D4613&lt;=$G$4,'calculated data '!$A$4,D4613&lt;=$G$6,'calculated data '!$A$5,D4613&gt;=$G$6,'calculated data '!$A$6)</f>
        <v>Target Market (Core IQR)</v>
      </c>
      <c r="F4613" s="10">
        <f t="shared" si="1"/>
        <v>-0.4561222402</v>
      </c>
    </row>
    <row r="4614" ht="14.25" customHeight="1">
      <c r="A4614" s="2" t="s">
        <v>265</v>
      </c>
      <c r="B4614" s="2" t="s">
        <v>266</v>
      </c>
      <c r="C4614" s="2">
        <v>1990.0</v>
      </c>
      <c r="D4614" s="9">
        <v>7828.0337</v>
      </c>
      <c r="E4614" s="10" t="str">
        <f t="array" ref="E4614">IFS(D4614&lt;=$G$3,'calculated data '!$A$3,D4614&lt;=$G$4,'calculated data '!$A$4,D4614&lt;=$G$6,'calculated data '!$A$5,D4614&gt;=$G$6,'calculated data '!$A$6)</f>
        <v>Target Market (Core IQR)</v>
      </c>
      <c r="F4614" s="10">
        <f t="shared" si="1"/>
        <v>-0.4559653725</v>
      </c>
    </row>
    <row r="4615" ht="14.25" customHeight="1">
      <c r="A4615" s="2" t="s">
        <v>297</v>
      </c>
      <c r="B4615" s="2" t="s">
        <v>298</v>
      </c>
      <c r="C4615" s="2">
        <v>2006.0</v>
      </c>
      <c r="D4615" s="9">
        <v>7841.375</v>
      </c>
      <c r="E4615" s="10" t="str">
        <f t="array" ref="E4615">IFS(D4615&lt;=$G$3,'calculated data '!$A$3,D4615&lt;=$G$4,'calculated data '!$A$4,D4615&lt;=$G$6,'calculated data '!$A$5,D4615&gt;=$G$6,'calculated data '!$A$6)</f>
        <v>Target Market (Core IQR)</v>
      </c>
      <c r="F4615" s="10">
        <f t="shared" si="1"/>
        <v>-0.4556122316</v>
      </c>
    </row>
    <row r="4616" ht="14.25" customHeight="1">
      <c r="A4616" s="2" t="s">
        <v>227</v>
      </c>
      <c r="B4616" s="2" t="s">
        <v>228</v>
      </c>
      <c r="C4616" s="2">
        <v>1986.0</v>
      </c>
      <c r="D4616" s="9">
        <v>7843.717</v>
      </c>
      <c r="E4616" s="10" t="str">
        <f t="array" ref="E4616">IFS(D4616&lt;=$G$3,'calculated data '!$A$3,D4616&lt;=$G$4,'calculated data '!$A$4,D4616&lt;=$G$6,'calculated data '!$A$5,D4616&gt;=$G$6,'calculated data '!$A$6)</f>
        <v>Target Market (Core IQR)</v>
      </c>
      <c r="F4616" s="10">
        <f t="shared" si="1"/>
        <v>-0.4555502395</v>
      </c>
    </row>
    <row r="4617" ht="14.25" customHeight="1">
      <c r="A4617" s="2" t="s">
        <v>111</v>
      </c>
      <c r="B4617" s="2" t="s">
        <v>112</v>
      </c>
      <c r="C4617" s="2">
        <v>2011.0</v>
      </c>
      <c r="D4617" s="9">
        <v>7844.374</v>
      </c>
      <c r="E4617" s="10" t="str">
        <f t="array" ref="E4617">IFS(D4617&lt;=$G$3,'calculated data '!$A$3,D4617&lt;=$G$4,'calculated data '!$A$4,D4617&lt;=$G$6,'calculated data '!$A$5,D4617&gt;=$G$6,'calculated data '!$A$6)</f>
        <v>Target Market (Core IQR)</v>
      </c>
      <c r="F4617" s="10">
        <f t="shared" si="1"/>
        <v>-0.4555328489</v>
      </c>
    </row>
    <row r="4618" ht="14.25" customHeight="1">
      <c r="A4618" s="2" t="s">
        <v>313</v>
      </c>
      <c r="B4618" s="2" t="s">
        <v>314</v>
      </c>
      <c r="C4618" s="2">
        <v>1981.0</v>
      </c>
      <c r="D4618" s="9">
        <v>7844.6514</v>
      </c>
      <c r="E4618" s="10" t="str">
        <f t="array" ref="E4618">IFS(D4618&lt;=$G$3,'calculated data '!$A$3,D4618&lt;=$G$4,'calculated data '!$A$4,D4618&lt;=$G$6,'calculated data '!$A$5,D4618&gt;=$G$6,'calculated data '!$A$6)</f>
        <v>Target Market (Core IQR)</v>
      </c>
      <c r="F4618" s="10">
        <f t="shared" si="1"/>
        <v>-0.4555255062</v>
      </c>
    </row>
    <row r="4619" ht="14.25" customHeight="1">
      <c r="A4619" s="2" t="s">
        <v>313</v>
      </c>
      <c r="B4619" s="2" t="s">
        <v>314</v>
      </c>
      <c r="C4619" s="2">
        <v>1979.0</v>
      </c>
      <c r="D4619" s="9">
        <v>7847.2095</v>
      </c>
      <c r="E4619" s="10" t="str">
        <f t="array" ref="E4619">IFS(D4619&lt;=$G$3,'calculated data '!$A$3,D4619&lt;=$G$4,'calculated data '!$A$4,D4619&lt;=$G$6,'calculated data '!$A$5,D4619&gt;=$G$6,'calculated data '!$A$6)</f>
        <v>Target Market (Core IQR)</v>
      </c>
      <c r="F4619" s="10">
        <f t="shared" si="1"/>
        <v>-0.4554577939</v>
      </c>
    </row>
    <row r="4620" ht="14.25" customHeight="1">
      <c r="A4620" s="2" t="s">
        <v>265</v>
      </c>
      <c r="B4620" s="2" t="s">
        <v>266</v>
      </c>
      <c r="C4620" s="2">
        <v>2009.0</v>
      </c>
      <c r="D4620" s="9">
        <v>7848.731</v>
      </c>
      <c r="E4620" s="10" t="str">
        <f t="array" ref="E4620">IFS(D4620&lt;=$G$3,'calculated data '!$A$3,D4620&lt;=$G$4,'calculated data '!$A$4,D4620&lt;=$G$6,'calculated data '!$A$5,D4620&gt;=$G$6,'calculated data '!$A$6)</f>
        <v>Target Market (Core IQR)</v>
      </c>
      <c r="F4620" s="10">
        <f t="shared" si="1"/>
        <v>-0.4554175202</v>
      </c>
    </row>
    <row r="4621" ht="14.25" customHeight="1">
      <c r="A4621" s="2" t="s">
        <v>317</v>
      </c>
      <c r="B4621" s="2" t="s">
        <v>318</v>
      </c>
      <c r="C4621" s="2">
        <v>1968.0</v>
      </c>
      <c r="D4621" s="9">
        <v>7849.139</v>
      </c>
      <c r="E4621" s="10" t="str">
        <f t="array" ref="E4621">IFS(D4621&lt;=$G$3,'calculated data '!$A$3,D4621&lt;=$G$4,'calculated data '!$A$4,D4621&lt;=$G$6,'calculated data '!$A$5,D4621&gt;=$G$6,'calculated data '!$A$6)</f>
        <v>Target Market (Core IQR)</v>
      </c>
      <c r="F4621" s="10">
        <f t="shared" si="1"/>
        <v>-0.4554067205</v>
      </c>
    </row>
    <row r="4622" ht="14.25" customHeight="1">
      <c r="A4622" s="2" t="s">
        <v>129</v>
      </c>
      <c r="B4622" s="2" t="s">
        <v>130</v>
      </c>
      <c r="C4622" s="2">
        <v>2012.0</v>
      </c>
      <c r="D4622" s="9">
        <v>7851.9746</v>
      </c>
      <c r="E4622" s="10" t="str">
        <f t="array" ref="E4622">IFS(D4622&lt;=$G$3,'calculated data '!$A$3,D4622&lt;=$G$4,'calculated data '!$A$4,D4622&lt;=$G$6,'calculated data '!$A$5,D4622&gt;=$G$6,'calculated data '!$A$6)</f>
        <v>Target Market (Core IQR)</v>
      </c>
      <c r="F4622" s="10">
        <f t="shared" si="1"/>
        <v>-0.4553316629</v>
      </c>
    </row>
    <row r="4623" ht="14.25" customHeight="1">
      <c r="A4623" s="2" t="s">
        <v>195</v>
      </c>
      <c r="B4623" s="2" t="s">
        <v>196</v>
      </c>
      <c r="C4623" s="2">
        <v>2014.0</v>
      </c>
      <c r="D4623" s="9">
        <v>7854.3477</v>
      </c>
      <c r="E4623" s="10" t="str">
        <f t="array" ref="E4623">IFS(D4623&lt;=$G$3,'calculated data '!$A$3,D4623&lt;=$G$4,'calculated data '!$A$4,D4623&lt;=$G$6,'calculated data '!$A$5,D4623&gt;=$G$6,'calculated data '!$A$6)</f>
        <v>Target Market (Core IQR)</v>
      </c>
      <c r="F4623" s="10">
        <f t="shared" si="1"/>
        <v>-0.4552688475</v>
      </c>
    </row>
    <row r="4624" ht="14.25" customHeight="1">
      <c r="A4624" s="2" t="s">
        <v>235</v>
      </c>
      <c r="B4624" s="2" t="s">
        <v>236</v>
      </c>
      <c r="C4624" s="2">
        <v>1985.0</v>
      </c>
      <c r="D4624" s="9">
        <v>7857.137</v>
      </c>
      <c r="E4624" s="10" t="str">
        <f t="array" ref="E4624">IFS(D4624&lt;=$G$3,'calculated data '!$A$3,D4624&lt;=$G$4,'calculated data '!$A$4,D4624&lt;=$G$6,'calculated data '!$A$5,D4624&gt;=$G$6,'calculated data '!$A$6)</f>
        <v>Target Market (Core IQR)</v>
      </c>
      <c r="F4624" s="10">
        <f t="shared" si="1"/>
        <v>-0.4551950154</v>
      </c>
    </row>
    <row r="4625" ht="14.25" customHeight="1">
      <c r="A4625" s="2" t="s">
        <v>287</v>
      </c>
      <c r="B4625" s="2" t="s">
        <v>288</v>
      </c>
      <c r="C4625" s="2">
        <v>1988.0</v>
      </c>
      <c r="D4625" s="9">
        <v>7857.7505</v>
      </c>
      <c r="E4625" s="10" t="str">
        <f t="array" ref="E4625">IFS(D4625&lt;=$G$3,'calculated data '!$A$3,D4625&lt;=$G$4,'calculated data '!$A$4,D4625&lt;=$G$6,'calculated data '!$A$5,D4625&gt;=$G$6,'calculated data '!$A$6)</f>
        <v>Target Market (Core IQR)</v>
      </c>
      <c r="F4625" s="10">
        <f t="shared" si="1"/>
        <v>-0.4551787762</v>
      </c>
    </row>
    <row r="4626" ht="14.25" customHeight="1">
      <c r="A4626" s="2" t="s">
        <v>191</v>
      </c>
      <c r="B4626" s="2" t="s">
        <v>192</v>
      </c>
      <c r="C4626" s="2">
        <v>2003.0</v>
      </c>
      <c r="D4626" s="9">
        <v>7858.1035</v>
      </c>
      <c r="E4626" s="10" t="str">
        <f t="array" ref="E4626">IFS(D4626&lt;=$G$3,'calculated data '!$A$3,D4626&lt;=$G$4,'calculated data '!$A$4,D4626&lt;=$G$6,'calculated data '!$A$5,D4626&gt;=$G$6,'calculated data '!$A$6)</f>
        <v>Target Market (Core IQR)</v>
      </c>
      <c r="F4626" s="10">
        <f t="shared" si="1"/>
        <v>-0.4551694324</v>
      </c>
    </row>
    <row r="4627" ht="14.25" customHeight="1">
      <c r="A4627" s="2" t="s">
        <v>305</v>
      </c>
      <c r="B4627" s="2" t="s">
        <v>306</v>
      </c>
      <c r="C4627" s="2">
        <v>2002.0</v>
      </c>
      <c r="D4627" s="9">
        <v>7863.2065</v>
      </c>
      <c r="E4627" s="10" t="str">
        <f t="array" ref="E4627">IFS(D4627&lt;=$G$3,'calculated data '!$A$3,D4627&lt;=$G$4,'calculated data '!$A$4,D4627&lt;=$G$6,'calculated data '!$A$5,D4627&gt;=$G$6,'calculated data '!$A$6)</f>
        <v>Target Market (Core IQR)</v>
      </c>
      <c r="F4627" s="10">
        <f t="shared" si="1"/>
        <v>-0.4550343573</v>
      </c>
    </row>
    <row r="4628" ht="14.25" customHeight="1">
      <c r="A4628" s="2" t="s">
        <v>297</v>
      </c>
      <c r="B4628" s="2" t="s">
        <v>298</v>
      </c>
      <c r="C4628" s="2">
        <v>1998.0</v>
      </c>
      <c r="D4628" s="9">
        <v>7864.9</v>
      </c>
      <c r="E4628" s="10" t="str">
        <f t="array" ref="E4628">IFS(D4628&lt;=$G$3,'calculated data '!$A$3,D4628&lt;=$G$4,'calculated data '!$A$4,D4628&lt;=$G$6,'calculated data '!$A$5,D4628&gt;=$G$6,'calculated data '!$A$6)</f>
        <v>Target Market (Core IQR)</v>
      </c>
      <c r="F4628" s="10">
        <f t="shared" si="1"/>
        <v>-0.4549895308</v>
      </c>
    </row>
    <row r="4629" ht="14.25" customHeight="1">
      <c r="A4629" s="2" t="s">
        <v>251</v>
      </c>
      <c r="B4629" s="2" t="s">
        <v>252</v>
      </c>
      <c r="C4629" s="2">
        <v>1980.0</v>
      </c>
      <c r="D4629" s="9">
        <v>7867.423</v>
      </c>
      <c r="E4629" s="10" t="str">
        <f t="array" ref="E4629">IFS(D4629&lt;=$G$3,'calculated data '!$A$3,D4629&lt;=$G$4,'calculated data '!$A$4,D4629&lt;=$G$6,'calculated data '!$A$5,D4629&gt;=$G$6,'calculated data '!$A$6)</f>
        <v>Target Market (Core IQR)</v>
      </c>
      <c r="F4629" s="10">
        <f t="shared" si="1"/>
        <v>-0.4549227476</v>
      </c>
    </row>
    <row r="4630" ht="14.25" customHeight="1">
      <c r="A4630" s="2" t="s">
        <v>281</v>
      </c>
      <c r="B4630" s="2" t="s">
        <v>282</v>
      </c>
      <c r="C4630" s="2">
        <v>2010.0</v>
      </c>
      <c r="D4630" s="9">
        <v>7868.712</v>
      </c>
      <c r="E4630" s="10" t="str">
        <f t="array" ref="E4630">IFS(D4630&lt;=$G$3,'calculated data '!$A$3,D4630&lt;=$G$4,'calculated data '!$A$4,D4630&lt;=$G$6,'calculated data '!$A$5,D4630&gt;=$G$6,'calculated data '!$A$6)</f>
        <v>Target Market (Core IQR)</v>
      </c>
      <c r="F4630" s="10">
        <f t="shared" si="1"/>
        <v>-0.4548886281</v>
      </c>
    </row>
    <row r="4631" ht="14.25" customHeight="1">
      <c r="A4631" s="2" t="s">
        <v>293</v>
      </c>
      <c r="B4631" s="2" t="s">
        <v>294</v>
      </c>
      <c r="C4631" s="2">
        <v>1982.0</v>
      </c>
      <c r="D4631" s="9">
        <v>7871.122</v>
      </c>
      <c r="E4631" s="10" t="str">
        <f t="array" ref="E4631">IFS(D4631&lt;=$G$3,'calculated data '!$A$3,D4631&lt;=$G$4,'calculated data '!$A$4,D4631&lt;=$G$6,'calculated data '!$A$5,D4631&gt;=$G$6,'calculated data '!$A$6)</f>
        <v>Target Market (Core IQR)</v>
      </c>
      <c r="F4631" s="10">
        <f t="shared" si="1"/>
        <v>-0.454824836</v>
      </c>
    </row>
    <row r="4632" ht="14.25" customHeight="1">
      <c r="A4632" s="2" t="s">
        <v>227</v>
      </c>
      <c r="B4632" s="2" t="s">
        <v>228</v>
      </c>
      <c r="C4632" s="2">
        <v>1992.0</v>
      </c>
      <c r="D4632" s="9">
        <v>7872.723</v>
      </c>
      <c r="E4632" s="10" t="str">
        <f t="array" ref="E4632">IFS(D4632&lt;=$G$3,'calculated data '!$A$3,D4632&lt;=$G$4,'calculated data '!$A$4,D4632&lt;=$G$6,'calculated data '!$A$5,D4632&gt;=$G$6,'calculated data '!$A$6)</f>
        <v>Target Market (Core IQR)</v>
      </c>
      <c r="F4632" s="10">
        <f t="shared" si="1"/>
        <v>-0.4547824579</v>
      </c>
    </row>
    <row r="4633" ht="14.25" customHeight="1">
      <c r="A4633" s="2" t="s">
        <v>325</v>
      </c>
      <c r="B4633" s="2" t="s">
        <v>326</v>
      </c>
      <c r="C4633" s="2">
        <v>1999.0</v>
      </c>
      <c r="D4633" s="9">
        <v>7874.202</v>
      </c>
      <c r="E4633" s="10" t="str">
        <f t="array" ref="E4633">IFS(D4633&lt;=$G$3,'calculated data '!$A$3,D4633&lt;=$G$4,'calculated data '!$A$4,D4633&lt;=$G$6,'calculated data '!$A$5,D4633&gt;=$G$6,'calculated data '!$A$6)</f>
        <v>Target Market (Core IQR)</v>
      </c>
      <c r="F4633" s="10">
        <f t="shared" si="1"/>
        <v>-0.4547433091</v>
      </c>
    </row>
    <row r="4634" ht="14.25" customHeight="1">
      <c r="A4634" s="2" t="s">
        <v>243</v>
      </c>
      <c r="B4634" s="2" t="s">
        <v>244</v>
      </c>
      <c r="C4634" s="2">
        <v>2012.0</v>
      </c>
      <c r="D4634" s="9">
        <v>7876.9204</v>
      </c>
      <c r="E4634" s="10" t="str">
        <f t="array" ref="E4634">IFS(D4634&lt;=$G$3,'calculated data '!$A$3,D4634&lt;=$G$4,'calculated data '!$A$4,D4634&lt;=$G$6,'calculated data '!$A$5,D4634&gt;=$G$6,'calculated data '!$A$6)</f>
        <v>Target Market (Core IQR)</v>
      </c>
      <c r="F4634" s="10">
        <f t="shared" si="1"/>
        <v>-0.4546713538</v>
      </c>
    </row>
    <row r="4635" ht="14.25" customHeight="1">
      <c r="A4635" s="2" t="s">
        <v>255</v>
      </c>
      <c r="B4635" s="2" t="s">
        <v>256</v>
      </c>
      <c r="C4635" s="2">
        <v>2015.0</v>
      </c>
      <c r="D4635" s="9">
        <v>7877.141</v>
      </c>
      <c r="E4635" s="10" t="str">
        <f t="array" ref="E4635">IFS(D4635&lt;=$G$3,'calculated data '!$A$3,D4635&lt;=$G$4,'calculated data '!$A$4,D4635&lt;=$G$6,'calculated data '!$A$5,D4635&gt;=$G$6,'calculated data '!$A$6)</f>
        <v>Target Market (Core IQR)</v>
      </c>
      <c r="F4635" s="10">
        <f t="shared" si="1"/>
        <v>-0.4546655145</v>
      </c>
    </row>
    <row r="4636" ht="14.25" customHeight="1">
      <c r="A4636" s="2" t="s">
        <v>227</v>
      </c>
      <c r="B4636" s="2" t="s">
        <v>228</v>
      </c>
      <c r="C4636" s="2">
        <v>1991.0</v>
      </c>
      <c r="D4636" s="9">
        <v>7892.4434</v>
      </c>
      <c r="E4636" s="10" t="str">
        <f t="array" ref="E4636">IFS(D4636&lt;=$G$3,'calculated data '!$A$3,D4636&lt;=$G$4,'calculated data '!$A$4,D4636&lt;=$G$6,'calculated data '!$A$5,D4636&gt;=$G$6,'calculated data '!$A$6)</f>
        <v>Target Market (Core IQR)</v>
      </c>
      <c r="F4636" s="10">
        <f t="shared" si="1"/>
        <v>-0.4542604638</v>
      </c>
    </row>
    <row r="4637" ht="14.25" customHeight="1">
      <c r="A4637" s="2" t="s">
        <v>211</v>
      </c>
      <c r="B4637" s="2" t="s">
        <v>212</v>
      </c>
      <c r="C4637" s="2">
        <v>2019.0</v>
      </c>
      <c r="D4637" s="9">
        <v>7898.018</v>
      </c>
      <c r="E4637" s="10" t="str">
        <f t="array" ref="E4637">IFS(D4637&lt;=$G$3,'calculated data '!$A$3,D4637&lt;=$G$4,'calculated data '!$A$4,D4637&lt;=$G$6,'calculated data '!$A$5,D4637&gt;=$G$6,'calculated data '!$A$6)</f>
        <v>Target Market (Core IQR)</v>
      </c>
      <c r="F4637" s="10">
        <f t="shared" si="1"/>
        <v>-0.4541129055</v>
      </c>
    </row>
    <row r="4638" ht="14.25" customHeight="1">
      <c r="A4638" s="2" t="s">
        <v>39</v>
      </c>
      <c r="B4638" s="2" t="s">
        <v>40</v>
      </c>
      <c r="C4638" s="2">
        <v>1983.0</v>
      </c>
      <c r="D4638" s="9">
        <v>7899.4336</v>
      </c>
      <c r="E4638" s="10" t="str">
        <f t="array" ref="E4638">IFS(D4638&lt;=$G$3,'calculated data '!$A$3,D4638&lt;=$G$4,'calculated data '!$A$4,D4638&lt;=$G$6,'calculated data '!$A$5,D4638&gt;=$G$6,'calculated data '!$A$6)</f>
        <v>Target Market (Core IQR)</v>
      </c>
      <c r="F4638" s="10">
        <f t="shared" si="1"/>
        <v>-0.454075435</v>
      </c>
    </row>
    <row r="4639" ht="14.25" customHeight="1">
      <c r="A4639" s="2" t="s">
        <v>211</v>
      </c>
      <c r="B4639" s="2" t="s">
        <v>212</v>
      </c>
      <c r="C4639" s="2">
        <v>2024.0</v>
      </c>
      <c r="D4639" s="9">
        <v>7907.9434</v>
      </c>
      <c r="E4639" s="10" t="str">
        <f t="array" ref="E4639">IFS(D4639&lt;=$G$3,'calculated data '!$A$3,D4639&lt;=$G$4,'calculated data '!$A$4,D4639&lt;=$G$6,'calculated data '!$A$5,D4639&gt;=$G$6,'calculated data '!$A$6)</f>
        <v>Target Market (Core IQR)</v>
      </c>
      <c r="F4639" s="10">
        <f t="shared" si="1"/>
        <v>-0.4538501827</v>
      </c>
    </row>
    <row r="4640" ht="14.25" customHeight="1">
      <c r="A4640" s="2" t="s">
        <v>293</v>
      </c>
      <c r="B4640" s="2" t="s">
        <v>294</v>
      </c>
      <c r="C4640" s="2">
        <v>1988.0</v>
      </c>
      <c r="D4640" s="9">
        <v>7911.378</v>
      </c>
      <c r="E4640" s="10" t="str">
        <f t="array" ref="E4640">IFS(D4640&lt;=$G$3,'calculated data '!$A$3,D4640&lt;=$G$4,'calculated data '!$A$4,D4640&lt;=$G$6,'calculated data '!$A$5,D4640&gt;=$G$6,'calculated data '!$A$6)</f>
        <v>Target Market (Core IQR)</v>
      </c>
      <c r="F4640" s="10">
        <f t="shared" si="1"/>
        <v>-0.4537592697</v>
      </c>
    </row>
    <row r="4641" ht="14.25" customHeight="1">
      <c r="A4641" s="2" t="s">
        <v>281</v>
      </c>
      <c r="B4641" s="2" t="s">
        <v>282</v>
      </c>
      <c r="C4641" s="2">
        <v>2011.0</v>
      </c>
      <c r="D4641" s="9">
        <v>7917.2935</v>
      </c>
      <c r="E4641" s="10" t="str">
        <f t="array" ref="E4641">IFS(D4641&lt;=$G$3,'calculated data '!$A$3,D4641&lt;=$G$4,'calculated data '!$A$4,D4641&lt;=$G$6,'calculated data '!$A$5,D4641&gt;=$G$6,'calculated data '!$A$6)</f>
        <v>Target Market (Core IQR)</v>
      </c>
      <c r="F4641" s="10">
        <f t="shared" si="1"/>
        <v>-0.4536026879</v>
      </c>
    </row>
    <row r="4642" ht="14.25" customHeight="1">
      <c r="A4642" s="2" t="s">
        <v>227</v>
      </c>
      <c r="B4642" s="2" t="s">
        <v>228</v>
      </c>
      <c r="C4642" s="2">
        <v>1987.0</v>
      </c>
      <c r="D4642" s="9">
        <v>7922.5312</v>
      </c>
      <c r="E4642" s="10" t="str">
        <f t="array" ref="E4642">IFS(D4642&lt;=$G$3,'calculated data '!$A$3,D4642&lt;=$G$4,'calculated data '!$A$4,D4642&lt;=$G$6,'calculated data '!$A$5,D4642&gt;=$G$6,'calculated data '!$A$6)</f>
        <v>Target Market (Core IQR)</v>
      </c>
      <c r="F4642" s="10">
        <f t="shared" si="1"/>
        <v>-0.4534640472</v>
      </c>
    </row>
    <row r="4643" ht="14.25" customHeight="1">
      <c r="A4643" s="2" t="s">
        <v>305</v>
      </c>
      <c r="B4643" s="2" t="s">
        <v>306</v>
      </c>
      <c r="C4643" s="2">
        <v>2005.0</v>
      </c>
      <c r="D4643" s="9">
        <v>7924.9673</v>
      </c>
      <c r="E4643" s="10" t="str">
        <f t="array" ref="E4643">IFS(D4643&lt;=$G$3,'calculated data '!$A$3,D4643&lt;=$G$4,'calculated data '!$A$4,D4643&lt;=$G$6,'calculated data '!$A$5,D4643&gt;=$G$6,'calculated data '!$A$6)</f>
        <v>Target Market (Core IQR)</v>
      </c>
      <c r="F4643" s="10">
        <f t="shared" si="1"/>
        <v>-0.4533995643</v>
      </c>
    </row>
    <row r="4644" ht="14.25" customHeight="1">
      <c r="A4644" s="2" t="s">
        <v>133</v>
      </c>
      <c r="B4644" s="2" t="s">
        <v>134</v>
      </c>
      <c r="C4644" s="2">
        <v>2016.0</v>
      </c>
      <c r="D4644" s="9">
        <v>7932.8394</v>
      </c>
      <c r="E4644" s="10" t="str">
        <f t="array" ref="E4644">IFS(D4644&lt;=$G$3,'calculated data '!$A$3,D4644&lt;=$G$4,'calculated data '!$A$4,D4644&lt;=$G$6,'calculated data '!$A$5,D4644&gt;=$G$6,'calculated data '!$A$6)</f>
        <v>Target Market (Core IQR)</v>
      </c>
      <c r="F4644" s="10">
        <f t="shared" si="1"/>
        <v>-0.4531911918</v>
      </c>
    </row>
    <row r="4645" ht="14.25" customHeight="1">
      <c r="A4645" s="2" t="s">
        <v>303</v>
      </c>
      <c r="B4645" s="2" t="s">
        <v>304</v>
      </c>
      <c r="C4645" s="2">
        <v>2005.0</v>
      </c>
      <c r="D4645" s="9">
        <v>7940.0825</v>
      </c>
      <c r="E4645" s="10" t="str">
        <f t="array" ref="E4645">IFS(D4645&lt;=$G$3,'calculated data '!$A$3,D4645&lt;=$G$4,'calculated data '!$A$4,D4645&lt;=$G$6,'calculated data '!$A$5,D4645&gt;=$G$6,'calculated data '!$A$6)</f>
        <v>Target Market (Core IQR)</v>
      </c>
      <c r="F4645" s="10">
        <f t="shared" si="1"/>
        <v>-0.4529994687</v>
      </c>
    </row>
    <row r="4646" ht="14.25" customHeight="1">
      <c r="A4646" s="2" t="s">
        <v>195</v>
      </c>
      <c r="B4646" s="2" t="s">
        <v>196</v>
      </c>
      <c r="C4646" s="2">
        <v>2011.0</v>
      </c>
      <c r="D4646" s="9">
        <v>7942.397</v>
      </c>
      <c r="E4646" s="10" t="str">
        <f t="array" ref="E4646">IFS(D4646&lt;=$G$3,'calculated data '!$A$3,D4646&lt;=$G$4,'calculated data '!$A$4,D4646&lt;=$G$6,'calculated data '!$A$5,D4646&gt;=$G$6,'calculated data '!$A$6)</f>
        <v>Target Market (Core IQR)</v>
      </c>
      <c r="F4646" s="10">
        <f t="shared" si="1"/>
        <v>-0.4529382045</v>
      </c>
    </row>
    <row r="4647" ht="14.25" customHeight="1">
      <c r="A4647" s="2" t="s">
        <v>313</v>
      </c>
      <c r="B4647" s="2" t="s">
        <v>314</v>
      </c>
      <c r="C4647" s="2">
        <v>1974.0</v>
      </c>
      <c r="D4647" s="9">
        <v>7944.696</v>
      </c>
      <c r="E4647" s="10" t="str">
        <f t="array" ref="E4647">IFS(D4647&lt;=$G$3,'calculated data '!$A$3,D4647&lt;=$G$4,'calculated data '!$A$4,D4647&lt;=$G$6,'calculated data '!$A$5,D4647&gt;=$G$6,'calculated data '!$A$6)</f>
        <v>Target Market (Core IQR)</v>
      </c>
      <c r="F4647" s="10">
        <f t="shared" si="1"/>
        <v>-0.4528773505</v>
      </c>
    </row>
    <row r="4648" ht="14.25" customHeight="1">
      <c r="A4648" s="2" t="s">
        <v>225</v>
      </c>
      <c r="B4648" s="2" t="s">
        <v>226</v>
      </c>
      <c r="C4648" s="2">
        <v>2021.0</v>
      </c>
      <c r="D4648" s="9">
        <v>7951.008</v>
      </c>
      <c r="E4648" s="10" t="str">
        <f t="array" ref="E4648">IFS(D4648&lt;=$G$3,'calculated data '!$A$3,D4648&lt;=$G$4,'calculated data '!$A$4,D4648&lt;=$G$6,'calculated data '!$A$5,D4648&gt;=$G$6,'calculated data '!$A$6)</f>
        <v>Target Market (Core IQR)</v>
      </c>
      <c r="F4648" s="10">
        <f t="shared" si="1"/>
        <v>-0.4527102734</v>
      </c>
    </row>
    <row r="4649" ht="14.25" customHeight="1">
      <c r="A4649" s="2" t="s">
        <v>265</v>
      </c>
      <c r="B4649" s="2" t="s">
        <v>266</v>
      </c>
      <c r="C4649" s="2">
        <v>2014.0</v>
      </c>
      <c r="D4649" s="9">
        <v>7952.3394</v>
      </c>
      <c r="E4649" s="10" t="str">
        <f t="array" ref="E4649">IFS(D4649&lt;=$G$3,'calculated data '!$A$3,D4649&lt;=$G$4,'calculated data '!$A$4,D4649&lt;=$G$6,'calculated data '!$A$5,D4649&gt;=$G$6,'calculated data '!$A$6)</f>
        <v>Target Market (Core IQR)</v>
      </c>
      <c r="F4649" s="10">
        <f t="shared" si="1"/>
        <v>-0.4526750316</v>
      </c>
    </row>
    <row r="4650" ht="14.25" customHeight="1">
      <c r="A4650" s="2" t="s">
        <v>229</v>
      </c>
      <c r="B4650" s="2" t="s">
        <v>230</v>
      </c>
      <c r="C4650" s="2">
        <v>1991.0</v>
      </c>
      <c r="D4650" s="9">
        <v>7953.9756</v>
      </c>
      <c r="E4650" s="10" t="str">
        <f t="array" ref="E4650">IFS(D4650&lt;=$G$3,'calculated data '!$A$3,D4650&lt;=$G$4,'calculated data '!$A$4,D4650&lt;=$G$6,'calculated data '!$A$5,D4650&gt;=$G$6,'calculated data '!$A$6)</f>
        <v>Target Market (Core IQR)</v>
      </c>
      <c r="F4650" s="10">
        <f t="shared" si="1"/>
        <v>-0.4526317218</v>
      </c>
    </row>
    <row r="4651" ht="14.25" customHeight="1">
      <c r="A4651" s="2" t="s">
        <v>313</v>
      </c>
      <c r="B4651" s="2" t="s">
        <v>314</v>
      </c>
      <c r="C4651" s="2">
        <v>1980.0</v>
      </c>
      <c r="D4651" s="9">
        <v>7955.475</v>
      </c>
      <c r="E4651" s="10" t="str">
        <f t="array" ref="E4651">IFS(D4651&lt;=$G$3,'calculated data '!$A$3,D4651&lt;=$G$4,'calculated data '!$A$4,D4651&lt;=$G$6,'calculated data '!$A$5,D4651&gt;=$G$6,'calculated data '!$A$6)</f>
        <v>Target Market (Core IQR)</v>
      </c>
      <c r="F4651" s="10">
        <f t="shared" si="1"/>
        <v>-0.4525920331</v>
      </c>
    </row>
    <row r="4652" ht="14.25" customHeight="1">
      <c r="A4652" s="2" t="s">
        <v>323</v>
      </c>
      <c r="B4652" s="2" t="s">
        <v>324</v>
      </c>
      <c r="C4652" s="2">
        <v>1982.0</v>
      </c>
      <c r="D4652" s="9">
        <v>7961.7944</v>
      </c>
      <c r="E4652" s="10" t="str">
        <f t="array" ref="E4652">IFS(D4652&lt;=$G$3,'calculated data '!$A$3,D4652&lt;=$G$4,'calculated data '!$A$4,D4652&lt;=$G$6,'calculated data '!$A$5,D4652&gt;=$G$6,'calculated data '!$A$6)</f>
        <v>Target Market (Core IQR)</v>
      </c>
      <c r="F4652" s="10">
        <f t="shared" si="1"/>
        <v>-0.4524247601</v>
      </c>
    </row>
    <row r="4653" ht="14.25" customHeight="1">
      <c r="A4653" s="2" t="s">
        <v>299</v>
      </c>
      <c r="B4653" s="2" t="s">
        <v>300</v>
      </c>
      <c r="C4653" s="2">
        <v>2008.0</v>
      </c>
      <c r="D4653" s="9">
        <v>7964.552</v>
      </c>
      <c r="E4653" s="10" t="str">
        <f t="array" ref="E4653">IFS(D4653&lt;=$G$3,'calculated data '!$A$3,D4653&lt;=$G$4,'calculated data '!$A$4,D4653&lt;=$G$6,'calculated data '!$A$5,D4653&gt;=$G$6,'calculated data '!$A$6)</f>
        <v>Target Market (Core IQR)</v>
      </c>
      <c r="F4653" s="10">
        <f t="shared" si="1"/>
        <v>-0.4523517671</v>
      </c>
    </row>
    <row r="4654" ht="14.25" customHeight="1">
      <c r="A4654" s="2" t="s">
        <v>313</v>
      </c>
      <c r="B4654" s="2" t="s">
        <v>314</v>
      </c>
      <c r="C4654" s="2">
        <v>1969.0</v>
      </c>
      <c r="D4654" s="9">
        <v>7966.8643</v>
      </c>
      <c r="E4654" s="10" t="str">
        <f t="array" ref="E4654">IFS(D4654&lt;=$G$3,'calculated data '!$A$3,D4654&lt;=$G$4,'calculated data '!$A$4,D4654&lt;=$G$6,'calculated data '!$A$5,D4654&gt;=$G$6,'calculated data '!$A$6)</f>
        <v>Target Market (Core IQR)</v>
      </c>
      <c r="F4654" s="10">
        <f t="shared" si="1"/>
        <v>-0.4522905611</v>
      </c>
    </row>
    <row r="4655" ht="14.25" customHeight="1">
      <c r="A4655" s="2" t="s">
        <v>129</v>
      </c>
      <c r="B4655" s="2" t="s">
        <v>130</v>
      </c>
      <c r="C4655" s="2">
        <v>2020.0</v>
      </c>
      <c r="D4655" s="9">
        <v>7969.3877</v>
      </c>
      <c r="E4655" s="10" t="str">
        <f t="array" ref="E4655">IFS(D4655&lt;=$G$3,'calculated data '!$A$3,D4655&lt;=$G$4,'calculated data '!$A$4,D4655&lt;=$G$6,'calculated data '!$A$5,D4655&gt;=$G$6,'calculated data '!$A$6)</f>
        <v>Target Market (Core IQR)</v>
      </c>
      <c r="F4655" s="10">
        <f t="shared" si="1"/>
        <v>-0.4522237674</v>
      </c>
    </row>
    <row r="4656" ht="14.25" customHeight="1">
      <c r="A4656" s="2" t="s">
        <v>225</v>
      </c>
      <c r="B4656" s="2" t="s">
        <v>226</v>
      </c>
      <c r="C4656" s="2">
        <v>2016.0</v>
      </c>
      <c r="D4656" s="9">
        <v>7971.4727</v>
      </c>
      <c r="E4656" s="10" t="str">
        <f t="array" ref="E4656">IFS(D4656&lt;=$G$3,'calculated data '!$A$3,D4656&lt;=$G$4,'calculated data '!$A$4,D4656&lt;=$G$6,'calculated data '!$A$5,D4656&gt;=$G$6,'calculated data '!$A$6)</f>
        <v>Target Market (Core IQR)</v>
      </c>
      <c r="F4656" s="10">
        <f t="shared" si="1"/>
        <v>-0.4521685779</v>
      </c>
    </row>
    <row r="4657" ht="14.25" customHeight="1">
      <c r="A4657" s="2" t="s">
        <v>205</v>
      </c>
      <c r="B4657" s="2" t="s">
        <v>206</v>
      </c>
      <c r="C4657" s="2">
        <v>2003.0</v>
      </c>
      <c r="D4657" s="9">
        <v>7974.7246</v>
      </c>
      <c r="E4657" s="10" t="str">
        <f t="array" ref="E4657">IFS(D4657&lt;=$G$3,'calculated data '!$A$3,D4657&lt;=$G$4,'calculated data '!$A$4,D4657&lt;=$G$6,'calculated data '!$A$5,D4657&gt;=$G$6,'calculated data '!$A$6)</f>
        <v>Target Market (Core IQR)</v>
      </c>
      <c r="F4657" s="10">
        <f t="shared" si="1"/>
        <v>-0.4520825009</v>
      </c>
    </row>
    <row r="4658" ht="14.25" customHeight="1">
      <c r="A4658" s="2" t="s">
        <v>275</v>
      </c>
      <c r="B4658" s="2" t="s">
        <v>276</v>
      </c>
      <c r="C4658" s="2">
        <v>2003.0</v>
      </c>
      <c r="D4658" s="9">
        <v>7978.8716</v>
      </c>
      <c r="E4658" s="10" t="str">
        <f t="array" ref="E4658">IFS(D4658&lt;=$G$3,'calculated data '!$A$3,D4658&lt;=$G$4,'calculated data '!$A$4,D4658&lt;=$G$6,'calculated data '!$A$5,D4658&gt;=$G$6,'calculated data '!$A$6)</f>
        <v>Target Market (Core IQR)</v>
      </c>
      <c r="F4658" s="10">
        <f t="shared" si="1"/>
        <v>-0.4519727309</v>
      </c>
    </row>
    <row r="4659" ht="14.25" customHeight="1">
      <c r="A4659" s="2" t="s">
        <v>253</v>
      </c>
      <c r="B4659" s="2" t="s">
        <v>254</v>
      </c>
      <c r="C4659" s="2">
        <v>2008.0</v>
      </c>
      <c r="D4659" s="9">
        <v>7983.493</v>
      </c>
      <c r="E4659" s="10" t="str">
        <f t="array" ref="E4659">IFS(D4659&lt;=$G$3,'calculated data '!$A$3,D4659&lt;=$G$4,'calculated data '!$A$4,D4659&lt;=$G$6,'calculated data '!$A$5,D4659&gt;=$G$6,'calculated data '!$A$6)</f>
        <v>Target Market (Core IQR)</v>
      </c>
      <c r="F4659" s="10">
        <f t="shared" si="1"/>
        <v>-0.4518504036</v>
      </c>
    </row>
    <row r="4660" ht="14.25" customHeight="1">
      <c r="A4660" s="2" t="s">
        <v>263</v>
      </c>
      <c r="B4660" s="2" t="s">
        <v>264</v>
      </c>
      <c r="C4660" s="2">
        <v>2004.0</v>
      </c>
      <c r="D4660" s="9">
        <v>7985.0566</v>
      </c>
      <c r="E4660" s="10" t="str">
        <f t="array" ref="E4660">IFS(D4660&lt;=$G$3,'calculated data '!$A$3,D4660&lt;=$G$4,'calculated data '!$A$4,D4660&lt;=$G$6,'calculated data '!$A$5,D4660&gt;=$G$6,'calculated data '!$A$6)</f>
        <v>Target Market (Core IQR)</v>
      </c>
      <c r="F4660" s="10">
        <f t="shared" si="1"/>
        <v>-0.4518090155</v>
      </c>
    </row>
    <row r="4661" ht="14.25" customHeight="1">
      <c r="A4661" s="2" t="s">
        <v>317</v>
      </c>
      <c r="B4661" s="2" t="s">
        <v>318</v>
      </c>
      <c r="C4661" s="2">
        <v>1985.0</v>
      </c>
      <c r="D4661" s="9">
        <v>7993.1016</v>
      </c>
      <c r="E4661" s="10" t="str">
        <f t="array" ref="E4661">IFS(D4661&lt;=$G$3,'calculated data '!$A$3,D4661&lt;=$G$4,'calculated data '!$A$4,D4661&lt;=$G$6,'calculated data '!$A$5,D4661&gt;=$G$6,'calculated data '!$A$6)</f>
        <v>Target Market (Core IQR)</v>
      </c>
      <c r="F4661" s="10">
        <f t="shared" si="1"/>
        <v>-0.4515960663</v>
      </c>
    </row>
    <row r="4662" ht="14.25" customHeight="1">
      <c r="A4662" s="2" t="s">
        <v>325</v>
      </c>
      <c r="B4662" s="2" t="s">
        <v>326</v>
      </c>
      <c r="C4662" s="2">
        <v>2002.0</v>
      </c>
      <c r="D4662" s="9">
        <v>7993.6553</v>
      </c>
      <c r="E4662" s="10" t="str">
        <f t="array" ref="E4662">IFS(D4662&lt;=$G$3,'calculated data '!$A$3,D4662&lt;=$G$4,'calculated data '!$A$4,D4662&lt;=$G$6,'calculated data '!$A$5,D4662&gt;=$G$6,'calculated data '!$A$6)</f>
        <v>Target Market (Core IQR)</v>
      </c>
      <c r="F4662" s="10">
        <f t="shared" si="1"/>
        <v>-0.45158141</v>
      </c>
    </row>
    <row r="4663" ht="14.25" customHeight="1">
      <c r="A4663" s="2" t="s">
        <v>111</v>
      </c>
      <c r="B4663" s="2" t="s">
        <v>112</v>
      </c>
      <c r="C4663" s="2">
        <v>2017.0</v>
      </c>
      <c r="D4663" s="9">
        <v>8000.856</v>
      </c>
      <c r="E4663" s="10" t="str">
        <f t="array" ref="E4663">IFS(D4663&lt;=$G$3,'calculated data '!$A$3,D4663&lt;=$G$4,'calculated data '!$A$4,D4663&lt;=$G$6,'calculated data '!$A$5,D4663&gt;=$G$6,'calculated data '!$A$6)</f>
        <v>Target Market (Core IQR)</v>
      </c>
      <c r="F4663" s="10">
        <f t="shared" si="1"/>
        <v>-0.4513908093</v>
      </c>
    </row>
    <row r="4664" ht="14.25" customHeight="1">
      <c r="A4664" s="2" t="s">
        <v>273</v>
      </c>
      <c r="B4664" s="2" t="s">
        <v>274</v>
      </c>
      <c r="C4664" s="2">
        <v>2018.0</v>
      </c>
      <c r="D4664" s="9">
        <v>8003.1733</v>
      </c>
      <c r="E4664" s="10" t="str">
        <f t="array" ref="E4664">IFS(D4664&lt;=$G$3,'calculated data '!$A$3,D4664&lt;=$G$4,'calculated data '!$A$4,D4664&lt;=$G$6,'calculated data '!$A$5,D4664&gt;=$G$6,'calculated data '!$A$6)</f>
        <v>Target Market (Core IQR)</v>
      </c>
      <c r="F4664" s="10">
        <f t="shared" si="1"/>
        <v>-0.4513294709</v>
      </c>
    </row>
    <row r="4665" ht="14.25" customHeight="1">
      <c r="A4665" s="2" t="s">
        <v>299</v>
      </c>
      <c r="B4665" s="2" t="s">
        <v>300</v>
      </c>
      <c r="C4665" s="2">
        <v>2009.0</v>
      </c>
      <c r="D4665" s="9">
        <v>8012.048</v>
      </c>
      <c r="E4665" s="10" t="str">
        <f t="array" ref="E4665">IFS(D4665&lt;=$G$3,'calculated data '!$A$3,D4665&lt;=$G$4,'calculated data '!$A$4,D4665&lt;=$G$6,'calculated data '!$A$5,D4665&gt;=$G$6,'calculated data '!$A$6)</f>
        <v>Target Market (Core IQR)</v>
      </c>
      <c r="F4665" s="10">
        <f t="shared" si="1"/>
        <v>-0.4510945598</v>
      </c>
    </row>
    <row r="4666" ht="14.25" customHeight="1">
      <c r="A4666" s="2" t="s">
        <v>299</v>
      </c>
      <c r="B4666" s="2" t="s">
        <v>300</v>
      </c>
      <c r="C4666" s="2">
        <v>2023.0</v>
      </c>
      <c r="D4666" s="9">
        <v>8018.535</v>
      </c>
      <c r="E4666" s="10" t="str">
        <f t="array" ref="E4666">IFS(D4666&lt;=$G$3,'calculated data '!$A$3,D4666&lt;=$G$4,'calculated data '!$A$4,D4666&lt;=$G$6,'calculated data '!$A$5,D4666&gt;=$G$6,'calculated data '!$A$6)</f>
        <v>Target Market (Core IQR)</v>
      </c>
      <c r="F4666" s="10">
        <f t="shared" si="1"/>
        <v>-0.4509228506</v>
      </c>
    </row>
    <row r="4667" ht="14.25" customHeight="1">
      <c r="A4667" s="2" t="s">
        <v>305</v>
      </c>
      <c r="B4667" s="2" t="s">
        <v>306</v>
      </c>
      <c r="C4667" s="2">
        <v>1986.0</v>
      </c>
      <c r="D4667" s="9">
        <v>8018.981</v>
      </c>
      <c r="E4667" s="10" t="str">
        <f t="array" ref="E4667">IFS(D4667&lt;=$G$3,'calculated data '!$A$3,D4667&lt;=$G$4,'calculated data '!$A$4,D4667&lt;=$G$6,'calculated data '!$A$5,D4667&gt;=$G$6,'calculated data '!$A$6)</f>
        <v>Target Market (Core IQR)</v>
      </c>
      <c r="F4667" s="10">
        <f t="shared" si="1"/>
        <v>-0.4509110451</v>
      </c>
    </row>
    <row r="4668" ht="14.25" customHeight="1">
      <c r="A4668" s="2" t="s">
        <v>203</v>
      </c>
      <c r="B4668" s="2" t="s">
        <v>204</v>
      </c>
      <c r="C4668" s="2">
        <v>2000.0</v>
      </c>
      <c r="D4668" s="9">
        <v>8029.1514</v>
      </c>
      <c r="E4668" s="10" t="str">
        <f t="array" ref="E4668">IFS(D4668&lt;=$G$3,'calculated data '!$A$3,D4668&lt;=$G$4,'calculated data '!$A$4,D4668&lt;=$G$6,'calculated data '!$A$5,D4668&gt;=$G$6,'calculated data '!$A$6)</f>
        <v>Target Market (Core IQR)</v>
      </c>
      <c r="F4668" s="10">
        <f t="shared" si="1"/>
        <v>-0.4506418371</v>
      </c>
    </row>
    <row r="4669" ht="14.25" customHeight="1">
      <c r="A4669" s="2" t="s">
        <v>227</v>
      </c>
      <c r="B4669" s="2" t="s">
        <v>228</v>
      </c>
      <c r="C4669" s="2">
        <v>1988.0</v>
      </c>
      <c r="D4669" s="9">
        <v>8030.876</v>
      </c>
      <c r="E4669" s="10" t="str">
        <f t="array" ref="E4669">IFS(D4669&lt;=$G$3,'calculated data '!$A$3,D4669&lt;=$G$4,'calculated data '!$A$4,D4669&lt;=$G$6,'calculated data '!$A$5,D4669&gt;=$G$6,'calculated data '!$A$6)</f>
        <v>Target Market (Core IQR)</v>
      </c>
      <c r="F4669" s="10">
        <f t="shared" si="1"/>
        <v>-0.4505961874</v>
      </c>
    </row>
    <row r="4670" ht="14.25" customHeight="1">
      <c r="A4670" s="2" t="s">
        <v>303</v>
      </c>
      <c r="B4670" s="2" t="s">
        <v>304</v>
      </c>
      <c r="C4670" s="2">
        <v>1995.0</v>
      </c>
      <c r="D4670" s="9">
        <v>8032.041</v>
      </c>
      <c r="E4670" s="10" t="str">
        <f t="array" ref="E4670">IFS(D4670&lt;=$G$3,'calculated data '!$A$3,D4670&lt;=$G$4,'calculated data '!$A$4,D4670&lt;=$G$6,'calculated data '!$A$5,D4670&gt;=$G$6,'calculated data '!$A$6)</f>
        <v>Target Market (Core IQR)</v>
      </c>
      <c r="F4670" s="10">
        <f t="shared" si="1"/>
        <v>-0.4505653501</v>
      </c>
    </row>
    <row r="4671" ht="14.25" customHeight="1">
      <c r="A4671" s="2" t="s">
        <v>261</v>
      </c>
      <c r="B4671" s="2" t="s">
        <v>262</v>
      </c>
      <c r="C4671" s="2">
        <v>2005.0</v>
      </c>
      <c r="D4671" s="9">
        <v>8036.1406</v>
      </c>
      <c r="E4671" s="10" t="str">
        <f t="array" ref="E4671">IFS(D4671&lt;=$G$3,'calculated data '!$A$3,D4671&lt;=$G$4,'calculated data '!$A$4,D4671&lt;=$G$6,'calculated data '!$A$5,D4671&gt;=$G$6,'calculated data '!$A$6)</f>
        <v>Target Market (Core IQR)</v>
      </c>
      <c r="F4671" s="10">
        <f t="shared" si="1"/>
        <v>-0.4504568347</v>
      </c>
    </row>
    <row r="4672" ht="14.25" customHeight="1">
      <c r="A4672" s="2" t="s">
        <v>197</v>
      </c>
      <c r="B4672" s="2" t="s">
        <v>198</v>
      </c>
      <c r="C4672" s="2">
        <v>1994.0</v>
      </c>
      <c r="D4672" s="9">
        <v>8042.966</v>
      </c>
      <c r="E4672" s="10" t="str">
        <f t="array" ref="E4672">IFS(D4672&lt;=$G$3,'calculated data '!$A$3,D4672&lt;=$G$4,'calculated data '!$A$4,D4672&lt;=$G$6,'calculated data '!$A$5,D4672&gt;=$G$6,'calculated data '!$A$6)</f>
        <v>Target Market (Core IQR)</v>
      </c>
      <c r="F4672" s="10">
        <f t="shared" si="1"/>
        <v>-0.4502761681</v>
      </c>
    </row>
    <row r="4673" ht="14.25" customHeight="1">
      <c r="A4673" s="2" t="s">
        <v>253</v>
      </c>
      <c r="B4673" s="2" t="s">
        <v>254</v>
      </c>
      <c r="C4673" s="2">
        <v>2005.0</v>
      </c>
      <c r="D4673" s="9">
        <v>8044.378</v>
      </c>
      <c r="E4673" s="10" t="str">
        <f t="array" ref="E4673">IFS(D4673&lt;=$G$3,'calculated data '!$A$3,D4673&lt;=$G$4,'calculated data '!$A$4,D4673&lt;=$G$6,'calculated data '!$A$5,D4673&gt;=$G$6,'calculated data '!$A$6)</f>
        <v>Target Market (Core IQR)</v>
      </c>
      <c r="F4673" s="10">
        <f t="shared" si="1"/>
        <v>-0.4502387928</v>
      </c>
    </row>
    <row r="4674" ht="14.25" customHeight="1">
      <c r="A4674" s="2" t="s">
        <v>251</v>
      </c>
      <c r="B4674" s="2" t="s">
        <v>252</v>
      </c>
      <c r="C4674" s="2">
        <v>2005.0</v>
      </c>
      <c r="D4674" s="9">
        <v>8049.3306</v>
      </c>
      <c r="E4674" s="10" t="str">
        <f t="array" ref="E4674">IFS(D4674&lt;=$G$3,'calculated data '!$A$3,D4674&lt;=$G$4,'calculated data '!$A$4,D4674&lt;=$G$6,'calculated data '!$A$5,D4674&gt;=$G$6,'calculated data '!$A$6)</f>
        <v>Target Market (Core IQR)</v>
      </c>
      <c r="F4674" s="10">
        <f t="shared" si="1"/>
        <v>-0.4501076987</v>
      </c>
    </row>
    <row r="4675" ht="14.25" customHeight="1">
      <c r="A4675" s="2" t="s">
        <v>303</v>
      </c>
      <c r="B4675" s="2" t="s">
        <v>304</v>
      </c>
      <c r="C4675" s="2">
        <v>1996.0</v>
      </c>
      <c r="D4675" s="9">
        <v>8053.0483</v>
      </c>
      <c r="E4675" s="10" t="str">
        <f t="array" ref="E4675">IFS(D4675&lt;=$G$3,'calculated data '!$A$3,D4675&lt;=$G$4,'calculated data '!$A$4,D4675&lt;=$G$6,'calculated data '!$A$5,D4675&gt;=$G$6,'calculated data '!$A$6)</f>
        <v>Target Market (Core IQR)</v>
      </c>
      <c r="F4675" s="10">
        <f t="shared" si="1"/>
        <v>-0.4500092921</v>
      </c>
    </row>
    <row r="4676" ht="14.25" customHeight="1">
      <c r="A4676" s="2" t="s">
        <v>227</v>
      </c>
      <c r="B4676" s="2" t="s">
        <v>228</v>
      </c>
      <c r="C4676" s="2">
        <v>1989.0</v>
      </c>
      <c r="D4676" s="9">
        <v>8059.646</v>
      </c>
      <c r="E4676" s="10" t="str">
        <f t="array" ref="E4676">IFS(D4676&lt;=$G$3,'calculated data '!$A$3,D4676&lt;=$G$4,'calculated data '!$A$4,D4676&lt;=$G$6,'calculated data '!$A$5,D4676&gt;=$G$6,'calculated data '!$A$6)</f>
        <v>Target Market (Core IQR)</v>
      </c>
      <c r="F4676" s="10">
        <f t="shared" si="1"/>
        <v>-0.4498346526</v>
      </c>
    </row>
    <row r="4677" ht="14.25" customHeight="1">
      <c r="A4677" s="2" t="s">
        <v>211</v>
      </c>
      <c r="B4677" s="2" t="s">
        <v>212</v>
      </c>
      <c r="C4677" s="2">
        <v>2018.0</v>
      </c>
      <c r="D4677" s="9">
        <v>8063.859</v>
      </c>
      <c r="E4677" s="10" t="str">
        <f t="array" ref="E4677">IFS(D4677&lt;=$G$3,'calculated data '!$A$3,D4677&lt;=$G$4,'calculated data '!$A$4,D4677&lt;=$G$6,'calculated data '!$A$5,D4677&gt;=$G$6,'calculated data '!$A$6)</f>
        <v>Target Market (Core IQR)</v>
      </c>
      <c r="F4677" s="10">
        <f t="shared" si="1"/>
        <v>-0.4497231356</v>
      </c>
    </row>
    <row r="4678" ht="14.25" customHeight="1">
      <c r="A4678" s="2" t="s">
        <v>221</v>
      </c>
      <c r="B4678" s="2" t="s">
        <v>222</v>
      </c>
      <c r="C4678" s="2">
        <v>1976.0</v>
      </c>
      <c r="D4678" s="9">
        <v>8071.214</v>
      </c>
      <c r="E4678" s="10" t="str">
        <f t="array" ref="E4678">IFS(D4678&lt;=$G$3,'calculated data '!$A$3,D4678&lt;=$G$4,'calculated data '!$A$4,D4678&lt;=$G$6,'calculated data '!$A$5,D4678&gt;=$G$6,'calculated data '!$A$6)</f>
        <v>Target Market (Core IQR)</v>
      </c>
      <c r="F4678" s="10">
        <f t="shared" si="1"/>
        <v>-0.4495284506</v>
      </c>
    </row>
    <row r="4679" ht="14.25" customHeight="1">
      <c r="A4679" s="2" t="s">
        <v>253</v>
      </c>
      <c r="B4679" s="2" t="s">
        <v>254</v>
      </c>
      <c r="C4679" s="2">
        <v>2004.0</v>
      </c>
      <c r="D4679" s="9">
        <v>8072.544</v>
      </c>
      <c r="E4679" s="10" t="str">
        <f t="array" ref="E4679">IFS(D4679&lt;=$G$3,'calculated data '!$A$3,D4679&lt;=$G$4,'calculated data '!$A$4,D4679&lt;=$G$6,'calculated data '!$A$5,D4679&gt;=$G$6,'calculated data '!$A$6)</f>
        <v>Target Market (Core IQR)</v>
      </c>
      <c r="F4679" s="10">
        <f t="shared" si="1"/>
        <v>-0.4494932458</v>
      </c>
    </row>
    <row r="4680" ht="14.25" customHeight="1">
      <c r="A4680" s="2" t="s">
        <v>233</v>
      </c>
      <c r="B4680" s="2" t="s">
        <v>234</v>
      </c>
      <c r="C4680" s="2">
        <v>1984.0</v>
      </c>
      <c r="D4680" s="9">
        <v>8078.1387</v>
      </c>
      <c r="E4680" s="10" t="str">
        <f t="array" ref="E4680">IFS(D4680&lt;=$G$3,'calculated data '!$A$3,D4680&lt;=$G$4,'calculated data '!$A$4,D4680&lt;=$G$6,'calculated data '!$A$5,D4680&gt;=$G$6,'calculated data '!$A$6)</f>
        <v>Target Market (Core IQR)</v>
      </c>
      <c r="F4680" s="10">
        <f t="shared" si="1"/>
        <v>-0.4493451555</v>
      </c>
    </row>
    <row r="4681" ht="14.25" customHeight="1">
      <c r="A4681" s="2" t="s">
        <v>255</v>
      </c>
      <c r="B4681" s="2" t="s">
        <v>256</v>
      </c>
      <c r="C4681" s="2">
        <v>2017.0</v>
      </c>
      <c r="D4681" s="9">
        <v>8079.1016</v>
      </c>
      <c r="E4681" s="10" t="str">
        <f t="array" ref="E4681">IFS(D4681&lt;=$G$3,'calculated data '!$A$3,D4681&lt;=$G$4,'calculated data '!$A$4,D4681&lt;=$G$6,'calculated data '!$A$5,D4681&gt;=$G$6,'calculated data '!$A$6)</f>
        <v>Target Market (Core IQR)</v>
      </c>
      <c r="F4681" s="10">
        <f t="shared" si="1"/>
        <v>-0.4493196677</v>
      </c>
    </row>
    <row r="4682" ht="14.25" customHeight="1">
      <c r="A4682" s="2" t="s">
        <v>243</v>
      </c>
      <c r="B4682" s="2" t="s">
        <v>244</v>
      </c>
      <c r="C4682" s="2">
        <v>2013.0</v>
      </c>
      <c r="D4682" s="9">
        <v>8094.9346</v>
      </c>
      <c r="E4682" s="10" t="str">
        <f t="array" ref="E4682">IFS(D4682&lt;=$G$3,'calculated data '!$A$3,D4682&lt;=$G$4,'calculated data '!$A$4,D4682&lt;=$G$6,'calculated data '!$A$5,D4682&gt;=$G$6,'calculated data '!$A$6)</f>
        <v>Target Market (Core IQR)</v>
      </c>
      <c r="F4682" s="10">
        <f t="shared" si="1"/>
        <v>-0.4489005722</v>
      </c>
    </row>
    <row r="4683" ht="14.25" customHeight="1">
      <c r="A4683" s="2" t="s">
        <v>289</v>
      </c>
      <c r="B4683" s="2" t="s">
        <v>290</v>
      </c>
      <c r="C4683" s="2">
        <v>2009.0</v>
      </c>
      <c r="D4683" s="9">
        <v>8095.1562</v>
      </c>
      <c r="E4683" s="10" t="str">
        <f t="array" ref="E4683">IFS(D4683&lt;=$G$3,'calculated data '!$A$3,D4683&lt;=$G$4,'calculated data '!$A$4,D4683&lt;=$G$6,'calculated data '!$A$5,D4683&gt;=$G$6,'calculated data '!$A$6)</f>
        <v>Target Market (Core IQR)</v>
      </c>
      <c r="F4683" s="10">
        <f t="shared" si="1"/>
        <v>-0.4488947065</v>
      </c>
    </row>
    <row r="4684" ht="14.25" customHeight="1">
      <c r="A4684" s="2" t="s">
        <v>51</v>
      </c>
      <c r="B4684" s="2" t="s">
        <v>52</v>
      </c>
      <c r="C4684" s="2">
        <v>2018.0</v>
      </c>
      <c r="D4684" s="9">
        <v>8095.7344</v>
      </c>
      <c r="E4684" s="10" t="str">
        <f t="array" ref="E4684">IFS(D4684&lt;=$G$3,'calculated data '!$A$3,D4684&lt;=$G$4,'calculated data '!$A$4,D4684&lt;=$G$6,'calculated data '!$A$5,D4684&gt;=$G$6,'calculated data '!$A$6)</f>
        <v>Target Market (Core IQR)</v>
      </c>
      <c r="F4684" s="10">
        <f t="shared" si="1"/>
        <v>-0.4488794017</v>
      </c>
    </row>
    <row r="4685" ht="14.25" customHeight="1">
      <c r="A4685" s="2" t="s">
        <v>243</v>
      </c>
      <c r="B4685" s="2" t="s">
        <v>244</v>
      </c>
      <c r="C4685" s="2">
        <v>2018.0</v>
      </c>
      <c r="D4685" s="9">
        <v>8095.821</v>
      </c>
      <c r="E4685" s="10" t="str">
        <f t="array" ref="E4685">IFS(D4685&lt;=$G$3,'calculated data '!$A$3,D4685&lt;=$G$4,'calculated data '!$A$4,D4685&lt;=$G$6,'calculated data '!$A$5,D4685&gt;=$G$6,'calculated data '!$A$6)</f>
        <v>Target Market (Core IQR)</v>
      </c>
      <c r="F4685" s="10">
        <f t="shared" si="1"/>
        <v>-0.4488771094</v>
      </c>
    </row>
    <row r="4686" ht="14.25" customHeight="1">
      <c r="A4686" s="2" t="s">
        <v>227</v>
      </c>
      <c r="B4686" s="2" t="s">
        <v>228</v>
      </c>
      <c r="C4686" s="2">
        <v>1993.0</v>
      </c>
      <c r="D4686" s="9">
        <v>8096.6724</v>
      </c>
      <c r="E4686" s="10" t="str">
        <f t="array" ref="E4686">IFS(D4686&lt;=$G$3,'calculated data '!$A$3,D4686&lt;=$G$4,'calculated data '!$A$4,D4686&lt;=$G$6,'calculated data '!$A$5,D4686&gt;=$G$6,'calculated data '!$A$6)</f>
        <v>Target Market (Core IQR)</v>
      </c>
      <c r="F4686" s="10">
        <f t="shared" si="1"/>
        <v>-0.448854573</v>
      </c>
    </row>
    <row r="4687" ht="14.25" customHeight="1">
      <c r="A4687" s="2" t="s">
        <v>261</v>
      </c>
      <c r="B4687" s="2" t="s">
        <v>262</v>
      </c>
      <c r="C4687" s="2">
        <v>2020.0</v>
      </c>
      <c r="D4687" s="9">
        <v>8103.2383</v>
      </c>
      <c r="E4687" s="10" t="str">
        <f t="array" ref="E4687">IFS(D4687&lt;=$G$3,'calculated data '!$A$3,D4687&lt;=$G$4,'calculated data '!$A$4,D4687&lt;=$G$6,'calculated data '!$A$5,D4687&gt;=$G$6,'calculated data '!$A$6)</f>
        <v>Target Market (Core IQR)</v>
      </c>
      <c r="F4687" s="10">
        <f t="shared" si="1"/>
        <v>-0.4486807753</v>
      </c>
    </row>
    <row r="4688" ht="14.25" customHeight="1">
      <c r="A4688" s="2" t="s">
        <v>163</v>
      </c>
      <c r="B4688" s="2" t="s">
        <v>164</v>
      </c>
      <c r="C4688" s="2">
        <v>2023.0</v>
      </c>
      <c r="D4688" s="9">
        <v>8104.585</v>
      </c>
      <c r="E4688" s="10" t="str">
        <f t="array" ref="E4688">IFS(D4688&lt;=$G$3,'calculated data '!$A$3,D4688&lt;=$G$4,'calculated data '!$A$4,D4688&lt;=$G$6,'calculated data '!$A$5,D4688&gt;=$G$6,'calculated data '!$A$6)</f>
        <v>Target Market (Core IQR)</v>
      </c>
      <c r="F4688" s="10">
        <f t="shared" si="1"/>
        <v>-0.4486451285</v>
      </c>
    </row>
    <row r="4689" ht="14.25" customHeight="1">
      <c r="A4689" s="2" t="s">
        <v>133</v>
      </c>
      <c r="B4689" s="2" t="s">
        <v>134</v>
      </c>
      <c r="C4689" s="2">
        <v>2017.0</v>
      </c>
      <c r="D4689" s="9">
        <v>8107.2754</v>
      </c>
      <c r="E4689" s="10" t="str">
        <f t="array" ref="E4689">IFS(D4689&lt;=$G$3,'calculated data '!$A$3,D4689&lt;=$G$4,'calculated data '!$A$4,D4689&lt;=$G$6,'calculated data '!$A$5,D4689&gt;=$G$6,'calculated data '!$A$6)</f>
        <v>Target Market (Core IQR)</v>
      </c>
      <c r="F4689" s="10">
        <f t="shared" si="1"/>
        <v>-0.4485739143</v>
      </c>
    </row>
    <row r="4690" ht="14.25" customHeight="1">
      <c r="A4690" s="2" t="s">
        <v>305</v>
      </c>
      <c r="B4690" s="2" t="s">
        <v>306</v>
      </c>
      <c r="C4690" s="2">
        <v>2001.0</v>
      </c>
      <c r="D4690" s="9">
        <v>8111.225</v>
      </c>
      <c r="E4690" s="10" t="str">
        <f t="array" ref="E4690">IFS(D4690&lt;=$G$3,'calculated data '!$A$3,D4690&lt;=$G$4,'calculated data '!$A$4,D4690&lt;=$G$6,'calculated data '!$A$5,D4690&gt;=$G$6,'calculated data '!$A$6)</f>
        <v>Target Market (Core IQR)</v>
      </c>
      <c r="F4690" s="10">
        <f t="shared" si="1"/>
        <v>-0.4484693694</v>
      </c>
    </row>
    <row r="4691" ht="14.25" customHeight="1">
      <c r="A4691" s="2" t="s">
        <v>293</v>
      </c>
      <c r="B4691" s="2" t="s">
        <v>294</v>
      </c>
      <c r="C4691" s="2">
        <v>1990.0</v>
      </c>
      <c r="D4691" s="9">
        <v>8123.4478</v>
      </c>
      <c r="E4691" s="10" t="str">
        <f t="array" ref="E4691">IFS(D4691&lt;=$G$3,'calculated data '!$A$3,D4691&lt;=$G$4,'calculated data '!$A$4,D4691&lt;=$G$6,'calculated data '!$A$5,D4691&gt;=$G$6,'calculated data '!$A$6)</f>
        <v>Target Market (Core IQR)</v>
      </c>
      <c r="F4691" s="10">
        <f t="shared" si="1"/>
        <v>-0.4481458349</v>
      </c>
    </row>
    <row r="4692" ht="14.25" customHeight="1">
      <c r="A4692" s="2" t="s">
        <v>301</v>
      </c>
      <c r="B4692" s="2" t="s">
        <v>302</v>
      </c>
      <c r="C4692" s="2">
        <v>1972.0</v>
      </c>
      <c r="D4692" s="9">
        <v>8128.5215</v>
      </c>
      <c r="E4692" s="10" t="str">
        <f t="array" ref="E4692">IFS(D4692&lt;=$G$3,'calculated data '!$A$3,D4692&lt;=$G$4,'calculated data '!$A$4,D4692&lt;=$G$6,'calculated data '!$A$5,D4692&gt;=$G$6,'calculated data '!$A$6)</f>
        <v>Target Market (Core IQR)</v>
      </c>
      <c r="F4692" s="10">
        <f t="shared" si="1"/>
        <v>-0.4480115353</v>
      </c>
    </row>
    <row r="4693" ht="14.25" customHeight="1">
      <c r="A4693" s="2" t="s">
        <v>253</v>
      </c>
      <c r="B4693" s="2" t="s">
        <v>254</v>
      </c>
      <c r="C4693" s="2">
        <v>2009.0</v>
      </c>
      <c r="D4693" s="9">
        <v>8136.838</v>
      </c>
      <c r="E4693" s="10" t="str">
        <f t="array" ref="E4693">IFS(D4693&lt;=$G$3,'calculated data '!$A$3,D4693&lt;=$G$4,'calculated data '!$A$4,D4693&lt;=$G$6,'calculated data '!$A$5,D4693&gt;=$G$6,'calculated data '!$A$6)</f>
        <v>Target Market (Core IQR)</v>
      </c>
      <c r="F4693" s="10">
        <f t="shared" si="1"/>
        <v>-0.4477913996</v>
      </c>
    </row>
    <row r="4694" ht="14.25" customHeight="1">
      <c r="A4694" s="2" t="s">
        <v>129</v>
      </c>
      <c r="B4694" s="2" t="s">
        <v>130</v>
      </c>
      <c r="C4694" s="2">
        <v>2018.0</v>
      </c>
      <c r="D4694" s="9">
        <v>8142.4785</v>
      </c>
      <c r="E4694" s="10" t="str">
        <f t="array" ref="E4694">IFS(D4694&lt;=$G$3,'calculated data '!$A$3,D4694&lt;=$G$4,'calculated data '!$A$4,D4694&lt;=$G$6,'calculated data '!$A$5,D4694&gt;=$G$6,'calculated data '!$A$6)</f>
        <v>Target Market (Core IQR)</v>
      </c>
      <c r="F4694" s="10">
        <f t="shared" si="1"/>
        <v>-0.447642097</v>
      </c>
    </row>
    <row r="4695" ht="14.25" customHeight="1">
      <c r="A4695" s="2" t="s">
        <v>317</v>
      </c>
      <c r="B4695" s="2" t="s">
        <v>318</v>
      </c>
      <c r="C4695" s="2">
        <v>1986.0</v>
      </c>
      <c r="D4695" s="9">
        <v>8143.111</v>
      </c>
      <c r="E4695" s="10" t="str">
        <f t="array" ref="E4695">IFS(D4695&lt;=$G$3,'calculated data '!$A$3,D4695&lt;=$G$4,'calculated data '!$A$4,D4695&lt;=$G$6,'calculated data '!$A$5,D4695&gt;=$G$6,'calculated data '!$A$6)</f>
        <v>Target Market (Core IQR)</v>
      </c>
      <c r="F4695" s="10">
        <f t="shared" si="1"/>
        <v>-0.4476253549</v>
      </c>
    </row>
    <row r="4696" ht="14.25" customHeight="1">
      <c r="A4696" s="2" t="s">
        <v>183</v>
      </c>
      <c r="B4696" s="2" t="s">
        <v>184</v>
      </c>
      <c r="C4696" s="2">
        <v>2006.0</v>
      </c>
      <c r="D4696" s="9">
        <v>8145.564</v>
      </c>
      <c r="E4696" s="10" t="str">
        <f t="array" ref="E4696">IFS(D4696&lt;=$G$3,'calculated data '!$A$3,D4696&lt;=$G$4,'calculated data '!$A$4,D4696&lt;=$G$6,'calculated data '!$A$5,D4696&gt;=$G$6,'calculated data '!$A$6)</f>
        <v>Target Market (Core IQR)</v>
      </c>
      <c r="F4696" s="10">
        <f t="shared" si="1"/>
        <v>-0.4475604246</v>
      </c>
    </row>
    <row r="4697" ht="14.25" customHeight="1">
      <c r="A4697" s="2" t="s">
        <v>293</v>
      </c>
      <c r="B4697" s="2" t="s">
        <v>294</v>
      </c>
      <c r="C4697" s="2">
        <v>1994.0</v>
      </c>
      <c r="D4697" s="9">
        <v>8149.4995</v>
      </c>
      <c r="E4697" s="10" t="str">
        <f t="array" ref="E4697">IFS(D4697&lt;=$G$3,'calculated data '!$A$3,D4697&lt;=$G$4,'calculated data '!$A$4,D4697&lt;=$G$6,'calculated data '!$A$5,D4697&gt;=$G$6,'calculated data '!$A$6)</f>
        <v>Target Market (Core IQR)</v>
      </c>
      <c r="F4697" s="10">
        <f t="shared" si="1"/>
        <v>-0.4474562529</v>
      </c>
    </row>
    <row r="4698" ht="14.25" customHeight="1">
      <c r="A4698" s="2" t="s">
        <v>211</v>
      </c>
      <c r="B4698" s="2" t="s">
        <v>212</v>
      </c>
      <c r="C4698" s="2">
        <v>2021.0</v>
      </c>
      <c r="D4698" s="9">
        <v>8164.098</v>
      </c>
      <c r="E4698" s="10" t="str">
        <f t="array" ref="E4698">IFS(D4698&lt;=$G$3,'calculated data '!$A$3,D4698&lt;=$G$4,'calculated data '!$A$4,D4698&lt;=$G$6,'calculated data '!$A$5,D4698&gt;=$G$6,'calculated data '!$A$6)</f>
        <v>Target Market (Core IQR)</v>
      </c>
      <c r="F4698" s="10">
        <f t="shared" si="1"/>
        <v>-0.4470698342</v>
      </c>
    </row>
    <row r="4699" ht="14.25" customHeight="1">
      <c r="A4699" s="2" t="s">
        <v>39</v>
      </c>
      <c r="B4699" s="2" t="s">
        <v>40</v>
      </c>
      <c r="C4699" s="2">
        <v>1982.0</v>
      </c>
      <c r="D4699" s="9">
        <v>8165.9404</v>
      </c>
      <c r="E4699" s="10" t="str">
        <f t="array" ref="E4699">IFS(D4699&lt;=$G$3,'calculated data '!$A$3,D4699&lt;=$G$4,'calculated data '!$A$4,D4699&lt;=$G$6,'calculated data '!$A$5,D4699&gt;=$G$6,'calculated data '!$A$6)</f>
        <v>Target Market (Core IQR)</v>
      </c>
      <c r="F4699" s="10">
        <f t="shared" si="1"/>
        <v>-0.4470210663</v>
      </c>
    </row>
    <row r="4700" ht="14.25" customHeight="1">
      <c r="A4700" s="2" t="s">
        <v>195</v>
      </c>
      <c r="B4700" s="2" t="s">
        <v>196</v>
      </c>
      <c r="C4700" s="2">
        <v>2020.0</v>
      </c>
      <c r="D4700" s="9">
        <v>8166.849</v>
      </c>
      <c r="E4700" s="10" t="str">
        <f t="array" ref="E4700">IFS(D4700&lt;=$G$3,'calculated data '!$A$3,D4700&lt;=$G$4,'calculated data '!$A$4,D4700&lt;=$G$6,'calculated data '!$A$5,D4700&gt;=$G$6,'calculated data '!$A$6)</f>
        <v>Target Market (Core IQR)</v>
      </c>
      <c r="F4700" s="10">
        <f t="shared" si="1"/>
        <v>-0.4469970159</v>
      </c>
    </row>
    <row r="4701" ht="14.25" customHeight="1">
      <c r="A4701" s="2" t="s">
        <v>275</v>
      </c>
      <c r="B4701" s="2" t="s">
        <v>276</v>
      </c>
      <c r="C4701" s="2">
        <v>2010.0</v>
      </c>
      <c r="D4701" s="9">
        <v>8167.1333</v>
      </c>
      <c r="E4701" s="10" t="str">
        <f t="array" ref="E4701">IFS(D4701&lt;=$G$3,'calculated data '!$A$3,D4701&lt;=$G$4,'calculated data '!$A$4,D4701&lt;=$G$6,'calculated data '!$A$5,D4701&gt;=$G$6,'calculated data '!$A$6)</f>
        <v>Target Market (Core IQR)</v>
      </c>
      <c r="F4701" s="10">
        <f t="shared" si="1"/>
        <v>-0.4469894906</v>
      </c>
    </row>
    <row r="4702" ht="14.25" customHeight="1">
      <c r="A4702" s="2" t="s">
        <v>299</v>
      </c>
      <c r="B4702" s="2" t="s">
        <v>300</v>
      </c>
      <c r="C4702" s="2">
        <v>2001.0</v>
      </c>
      <c r="D4702" s="9">
        <v>8168.0117</v>
      </c>
      <c r="E4702" s="10" t="str">
        <f t="array" ref="E4702">IFS(D4702&lt;=$G$3,'calculated data '!$A$3,D4702&lt;=$G$4,'calculated data '!$A$4,D4702&lt;=$G$6,'calculated data '!$A$5,D4702&gt;=$G$6,'calculated data '!$A$6)</f>
        <v>Target Market (Core IQR)</v>
      </c>
      <c r="F4702" s="10">
        <f t="shared" si="1"/>
        <v>-0.4469662395</v>
      </c>
    </row>
    <row r="4703" ht="14.25" customHeight="1">
      <c r="A4703" s="2" t="s">
        <v>195</v>
      </c>
      <c r="B4703" s="2" t="s">
        <v>196</v>
      </c>
      <c r="C4703" s="2">
        <v>2010.0</v>
      </c>
      <c r="D4703" s="9">
        <v>8168.3145</v>
      </c>
      <c r="E4703" s="10" t="str">
        <f t="array" ref="E4703">IFS(D4703&lt;=$G$3,'calculated data '!$A$3,D4703&lt;=$G$4,'calculated data '!$A$4,D4703&lt;=$G$6,'calculated data '!$A$5,D4703&gt;=$G$6,'calculated data '!$A$6)</f>
        <v>Target Market (Core IQR)</v>
      </c>
      <c r="F4703" s="10">
        <f t="shared" si="1"/>
        <v>-0.4469582245</v>
      </c>
    </row>
    <row r="4704" ht="14.25" customHeight="1">
      <c r="A4704" s="2" t="s">
        <v>183</v>
      </c>
      <c r="B4704" s="2" t="s">
        <v>184</v>
      </c>
      <c r="C4704" s="2">
        <v>2020.0</v>
      </c>
      <c r="D4704" s="9">
        <v>8168.556</v>
      </c>
      <c r="E4704" s="10" t="str">
        <f t="array" ref="E4704">IFS(D4704&lt;=$G$3,'calculated data '!$A$3,D4704&lt;=$G$4,'calculated data '!$A$4,D4704&lt;=$G$6,'calculated data '!$A$5,D4704&gt;=$G$6,'calculated data '!$A$6)</f>
        <v>Target Market (Core IQR)</v>
      </c>
      <c r="F4704" s="10">
        <f t="shared" si="1"/>
        <v>-0.4469518321</v>
      </c>
    </row>
    <row r="4705" ht="14.25" customHeight="1">
      <c r="A4705" s="2" t="s">
        <v>195</v>
      </c>
      <c r="B4705" s="2" t="s">
        <v>196</v>
      </c>
      <c r="C4705" s="2">
        <v>2022.0</v>
      </c>
      <c r="D4705" s="9">
        <v>8174.766</v>
      </c>
      <c r="E4705" s="10" t="str">
        <f t="array" ref="E4705">IFS(D4705&lt;=$G$3,'calculated data '!$A$3,D4705&lt;=$G$4,'calculated data '!$A$4,D4705&lt;=$G$6,'calculated data '!$A$5,D4705&gt;=$G$6,'calculated data '!$A$6)</f>
        <v>Target Market (Core IQR)</v>
      </c>
      <c r="F4705" s="10">
        <f t="shared" si="1"/>
        <v>-0.4467874549</v>
      </c>
    </row>
    <row r="4706" ht="14.25" customHeight="1">
      <c r="A4706" s="2" t="s">
        <v>287</v>
      </c>
      <c r="B4706" s="2" t="s">
        <v>288</v>
      </c>
      <c r="C4706" s="2">
        <v>1984.0</v>
      </c>
      <c r="D4706" s="9">
        <v>8175.3364</v>
      </c>
      <c r="E4706" s="10" t="str">
        <f t="array" ref="E4706">IFS(D4706&lt;=$G$3,'calculated data '!$A$3,D4706&lt;=$G$4,'calculated data '!$A$4,D4706&lt;=$G$6,'calculated data '!$A$5,D4706&gt;=$G$6,'calculated data '!$A$6)</f>
        <v>Target Market (Core IQR)</v>
      </c>
      <c r="F4706" s="10">
        <f t="shared" si="1"/>
        <v>-0.4467723566</v>
      </c>
    </row>
    <row r="4707" ht="14.25" customHeight="1">
      <c r="A4707" s="2" t="s">
        <v>197</v>
      </c>
      <c r="B4707" s="2" t="s">
        <v>198</v>
      </c>
      <c r="C4707" s="2">
        <v>1995.0</v>
      </c>
      <c r="D4707" s="9">
        <v>8180.4688</v>
      </c>
      <c r="E4707" s="10" t="str">
        <f t="array" ref="E4707">IFS(D4707&lt;=$G$3,'calculated data '!$A$3,D4707&lt;=$G$4,'calculated data '!$A$4,D4707&lt;=$G$6,'calculated data '!$A$5,D4707&gt;=$G$6,'calculated data '!$A$6)</f>
        <v>Target Market (Core IQR)</v>
      </c>
      <c r="F4707" s="10">
        <f t="shared" si="1"/>
        <v>-0.4466365032</v>
      </c>
    </row>
    <row r="4708" ht="14.25" customHeight="1">
      <c r="A4708" s="2" t="s">
        <v>229</v>
      </c>
      <c r="B4708" s="2" t="s">
        <v>230</v>
      </c>
      <c r="C4708" s="2">
        <v>1992.0</v>
      </c>
      <c r="D4708" s="9">
        <v>8181.8066</v>
      </c>
      <c r="E4708" s="10" t="str">
        <f t="array" ref="E4708">IFS(D4708&lt;=$G$3,'calculated data '!$A$3,D4708&lt;=$G$4,'calculated data '!$A$4,D4708&lt;=$G$6,'calculated data '!$A$5,D4708&gt;=$G$6,'calculated data '!$A$6)</f>
        <v>Target Market (Core IQR)</v>
      </c>
      <c r="F4708" s="10">
        <f t="shared" si="1"/>
        <v>-0.446601092</v>
      </c>
    </row>
    <row r="4709" ht="14.25" customHeight="1">
      <c r="A4709" s="2" t="s">
        <v>299</v>
      </c>
      <c r="B4709" s="2" t="s">
        <v>300</v>
      </c>
      <c r="C4709" s="2">
        <v>2018.0</v>
      </c>
      <c r="D4709" s="9">
        <v>8185.475</v>
      </c>
      <c r="E4709" s="10" t="str">
        <f t="array" ref="E4709">IFS(D4709&lt;=$G$3,'calculated data '!$A$3,D4709&lt;=$G$4,'calculated data '!$A$4,D4709&lt;=$G$6,'calculated data '!$A$5,D4709&gt;=$G$6,'calculated data '!$A$6)</f>
        <v>Target Market (Core IQR)</v>
      </c>
      <c r="F4709" s="10">
        <f t="shared" si="1"/>
        <v>-0.4465039903</v>
      </c>
    </row>
    <row r="4710" ht="14.25" customHeight="1">
      <c r="A4710" s="2" t="s">
        <v>255</v>
      </c>
      <c r="B4710" s="2" t="s">
        <v>256</v>
      </c>
      <c r="C4710" s="2">
        <v>2021.0</v>
      </c>
      <c r="D4710" s="9">
        <v>8186.0664</v>
      </c>
      <c r="E4710" s="10" t="str">
        <f t="array" ref="E4710">IFS(D4710&lt;=$G$3,'calculated data '!$A$3,D4710&lt;=$G$4,'calculated data '!$A$4,D4710&lt;=$G$6,'calculated data '!$A$5,D4710&gt;=$G$6,'calculated data '!$A$6)</f>
        <v>Target Market (Core IQR)</v>
      </c>
      <c r="F4710" s="10">
        <f t="shared" si="1"/>
        <v>-0.4464883361</v>
      </c>
    </row>
    <row r="4711" ht="14.25" customHeight="1">
      <c r="A4711" s="2" t="s">
        <v>293</v>
      </c>
      <c r="B4711" s="2" t="s">
        <v>294</v>
      </c>
      <c r="C4711" s="2">
        <v>1996.0</v>
      </c>
      <c r="D4711" s="9">
        <v>8188.9277</v>
      </c>
      <c r="E4711" s="10" t="str">
        <f t="array" ref="E4711">IFS(D4711&lt;=$G$3,'calculated data '!$A$3,D4711&lt;=$G$4,'calculated data '!$A$4,D4711&lt;=$G$6,'calculated data '!$A$5,D4711&gt;=$G$6,'calculated data '!$A$6)</f>
        <v>Target Market (Core IQR)</v>
      </c>
      <c r="F4711" s="10">
        <f t="shared" si="1"/>
        <v>-0.4464125982</v>
      </c>
    </row>
    <row r="4712" ht="14.25" customHeight="1">
      <c r="A4712" s="2" t="s">
        <v>305</v>
      </c>
      <c r="B4712" s="2" t="s">
        <v>306</v>
      </c>
      <c r="C4712" s="2">
        <v>2011.0</v>
      </c>
      <c r="D4712" s="9">
        <v>8191.3027</v>
      </c>
      <c r="E4712" s="10" t="str">
        <f t="array" ref="E4712">IFS(D4712&lt;=$G$3,'calculated data '!$A$3,D4712&lt;=$G$4,'calculated data '!$A$4,D4712&lt;=$G$6,'calculated data '!$A$5,D4712&gt;=$G$6,'calculated data '!$A$6)</f>
        <v>Target Market (Core IQR)</v>
      </c>
      <c r="F4712" s="10">
        <f t="shared" si="1"/>
        <v>-0.4463497326</v>
      </c>
    </row>
    <row r="4713" ht="14.25" customHeight="1">
      <c r="A4713" s="2" t="s">
        <v>225</v>
      </c>
      <c r="B4713" s="2" t="s">
        <v>226</v>
      </c>
      <c r="C4713" s="2">
        <v>2019.0</v>
      </c>
      <c r="D4713" s="9">
        <v>8193.27</v>
      </c>
      <c r="E4713" s="10" t="str">
        <f t="array" ref="E4713">IFS(D4713&lt;=$G$3,'calculated data '!$A$3,D4713&lt;=$G$4,'calculated data '!$A$4,D4713&lt;=$G$6,'calculated data '!$A$5,D4713&gt;=$G$6,'calculated data '!$A$6)</f>
        <v>Target Market (Core IQR)</v>
      </c>
      <c r="F4713" s="10">
        <f t="shared" si="1"/>
        <v>-0.4462976586</v>
      </c>
    </row>
    <row r="4714" ht="14.25" customHeight="1">
      <c r="A4714" s="2" t="s">
        <v>305</v>
      </c>
      <c r="B4714" s="2" t="s">
        <v>306</v>
      </c>
      <c r="C4714" s="2">
        <v>2010.0</v>
      </c>
      <c r="D4714" s="9">
        <v>8195.28</v>
      </c>
      <c r="E4714" s="10" t="str">
        <f t="array" ref="E4714">IFS(D4714&lt;=$G$3,'calculated data '!$A$3,D4714&lt;=$G$4,'calculated data '!$A$4,D4714&lt;=$G$6,'calculated data '!$A$5,D4714&gt;=$G$6,'calculated data '!$A$6)</f>
        <v>Target Market (Core IQR)</v>
      </c>
      <c r="F4714" s="10">
        <f t="shared" si="1"/>
        <v>-0.4462444544</v>
      </c>
    </row>
    <row r="4715" ht="14.25" customHeight="1">
      <c r="A4715" s="2" t="s">
        <v>313</v>
      </c>
      <c r="B4715" s="2" t="s">
        <v>314</v>
      </c>
      <c r="C4715" s="2">
        <v>1973.0</v>
      </c>
      <c r="D4715" s="9">
        <v>8199.351</v>
      </c>
      <c r="E4715" s="10" t="str">
        <f t="array" ref="E4715">IFS(D4715&lt;=$G$3,'calculated data '!$A$3,D4715&lt;=$G$4,'calculated data '!$A$4,D4715&lt;=$G$6,'calculated data '!$A$5,D4715&gt;=$G$6,'calculated data '!$A$6)</f>
        <v>Target Market (Core IQR)</v>
      </c>
      <c r="F4715" s="10">
        <f t="shared" si="1"/>
        <v>-0.4461366961</v>
      </c>
    </row>
    <row r="4716" ht="14.25" customHeight="1">
      <c r="A4716" s="2" t="s">
        <v>207</v>
      </c>
      <c r="B4716" s="2" t="s">
        <v>208</v>
      </c>
      <c r="C4716" s="2">
        <v>1979.0</v>
      </c>
      <c r="D4716" s="9">
        <v>8203.89</v>
      </c>
      <c r="E4716" s="10" t="str">
        <f t="array" ref="E4716">IFS(D4716&lt;=$G$3,'calculated data '!$A$3,D4716&lt;=$G$4,'calculated data '!$A$4,D4716&lt;=$G$6,'calculated data '!$A$5,D4716&gt;=$G$6,'calculated data '!$A$6)</f>
        <v>Target Market (Core IQR)</v>
      </c>
      <c r="F4716" s="10">
        <f t="shared" si="1"/>
        <v>-0.4460165499</v>
      </c>
    </row>
    <row r="4717" ht="14.25" customHeight="1">
      <c r="A4717" s="2" t="s">
        <v>51</v>
      </c>
      <c r="B4717" s="2" t="s">
        <v>52</v>
      </c>
      <c r="C4717" s="2">
        <v>2019.0</v>
      </c>
      <c r="D4717" s="9">
        <v>8204.153</v>
      </c>
      <c r="E4717" s="10" t="str">
        <f t="array" ref="E4717">IFS(D4717&lt;=$G$3,'calculated data '!$A$3,D4717&lt;=$G$4,'calculated data '!$A$4,D4717&lt;=$G$6,'calculated data '!$A$5,D4717&gt;=$G$6,'calculated data '!$A$6)</f>
        <v>Target Market (Core IQR)</v>
      </c>
      <c r="F4717" s="10">
        <f t="shared" si="1"/>
        <v>-0.4460095883</v>
      </c>
    </row>
    <row r="4718" ht="14.25" customHeight="1">
      <c r="A4718" s="2" t="s">
        <v>317</v>
      </c>
      <c r="B4718" s="2" t="s">
        <v>318</v>
      </c>
      <c r="C4718" s="2">
        <v>1969.0</v>
      </c>
      <c r="D4718" s="9">
        <v>8205.284</v>
      </c>
      <c r="E4718" s="10" t="str">
        <f t="array" ref="E4718">IFS(D4718&lt;=$G$3,'calculated data '!$A$3,D4718&lt;=$G$4,'calculated data '!$A$4,D4718&lt;=$G$6,'calculated data '!$A$5,D4718&gt;=$G$6,'calculated data '!$A$6)</f>
        <v>Target Market (Core IQR)</v>
      </c>
      <c r="F4718" s="10">
        <f t="shared" si="1"/>
        <v>-0.445979651</v>
      </c>
    </row>
    <row r="4719" ht="14.25" customHeight="1">
      <c r="A4719" s="2" t="s">
        <v>233</v>
      </c>
      <c r="B4719" s="2" t="s">
        <v>234</v>
      </c>
      <c r="C4719" s="2">
        <v>1991.0</v>
      </c>
      <c r="D4719" s="9">
        <v>8207.108</v>
      </c>
      <c r="E4719" s="10" t="str">
        <f t="array" ref="E4719">IFS(D4719&lt;=$G$3,'calculated data '!$A$3,D4719&lt;=$G$4,'calculated data '!$A$4,D4719&lt;=$G$6,'calculated data '!$A$5,D4719&gt;=$G$6,'calculated data '!$A$6)</f>
        <v>Target Market (Core IQR)</v>
      </c>
      <c r="F4719" s="10">
        <f t="shared" si="1"/>
        <v>-0.4459313702</v>
      </c>
    </row>
    <row r="4720" ht="14.25" customHeight="1">
      <c r="A4720" s="2" t="s">
        <v>129</v>
      </c>
      <c r="B4720" s="2" t="s">
        <v>130</v>
      </c>
      <c r="C4720" s="2">
        <v>2021.0</v>
      </c>
      <c r="D4720" s="9">
        <v>8210.708</v>
      </c>
      <c r="E4720" s="10" t="str">
        <f t="array" ref="E4720">IFS(D4720&lt;=$G$3,'calculated data '!$A$3,D4720&lt;=$G$4,'calculated data '!$A$4,D4720&lt;=$G$6,'calculated data '!$A$5,D4720&gt;=$G$6,'calculated data '!$A$6)</f>
        <v>Target Market (Core IQR)</v>
      </c>
      <c r="F4720" s="10">
        <f t="shared" si="1"/>
        <v>-0.4458360791</v>
      </c>
    </row>
    <row r="4721" ht="14.25" customHeight="1">
      <c r="A4721" s="2" t="s">
        <v>57</v>
      </c>
      <c r="B4721" s="2" t="s">
        <v>58</v>
      </c>
      <c r="C4721" s="2">
        <v>1950.0</v>
      </c>
      <c r="D4721" s="9">
        <v>8211.487</v>
      </c>
      <c r="E4721" s="10" t="str">
        <f t="array" ref="E4721">IFS(D4721&lt;=$G$3,'calculated data '!$A$3,D4721&lt;=$G$4,'calculated data '!$A$4,D4721&lt;=$G$6,'calculated data '!$A$5,D4721&gt;=$G$6,'calculated data '!$A$6)</f>
        <v>Target Market (Core IQR)</v>
      </c>
      <c r="F4721" s="10">
        <f t="shared" si="1"/>
        <v>-0.4458154592</v>
      </c>
    </row>
    <row r="4722" ht="14.25" customHeight="1">
      <c r="A4722" s="2" t="s">
        <v>323</v>
      </c>
      <c r="B4722" s="2" t="s">
        <v>324</v>
      </c>
      <c r="C4722" s="2">
        <v>1980.0</v>
      </c>
      <c r="D4722" s="9">
        <v>8211.828</v>
      </c>
      <c r="E4722" s="10" t="str">
        <f t="array" ref="E4722">IFS(D4722&lt;=$G$3,'calculated data '!$A$3,D4722&lt;=$G$4,'calculated data '!$A$4,D4722&lt;=$G$6,'calculated data '!$A$5,D4722&gt;=$G$6,'calculated data '!$A$6)</f>
        <v>Target Market (Core IQR)</v>
      </c>
      <c r="F4722" s="10">
        <f t="shared" si="1"/>
        <v>-0.445806433</v>
      </c>
    </row>
    <row r="4723" ht="14.25" customHeight="1">
      <c r="A4723" s="2" t="s">
        <v>289</v>
      </c>
      <c r="B4723" s="2" t="s">
        <v>290</v>
      </c>
      <c r="C4723" s="2">
        <v>2010.0</v>
      </c>
      <c r="D4723" s="9">
        <v>8215.607</v>
      </c>
      <c r="E4723" s="10" t="str">
        <f t="array" ref="E4723">IFS(D4723&lt;=$G$3,'calculated data '!$A$3,D4723&lt;=$G$4,'calculated data '!$A$4,D4723&lt;=$G$6,'calculated data '!$A$5,D4723&gt;=$G$6,'calculated data '!$A$6)</f>
        <v>Target Market (Core IQR)</v>
      </c>
      <c r="F4723" s="10">
        <f t="shared" si="1"/>
        <v>-0.4457064038</v>
      </c>
    </row>
    <row r="4724" ht="14.25" customHeight="1">
      <c r="A4724" s="2" t="s">
        <v>39</v>
      </c>
      <c r="B4724" s="2" t="s">
        <v>40</v>
      </c>
      <c r="C4724" s="2">
        <v>1981.0</v>
      </c>
      <c r="D4724" s="9">
        <v>8216.31</v>
      </c>
      <c r="E4724" s="10" t="str">
        <f t="array" ref="E4724">IFS(D4724&lt;=$G$3,'calculated data '!$A$3,D4724&lt;=$G$4,'calculated data '!$A$4,D4724&lt;=$G$6,'calculated data '!$A$5,D4724&gt;=$G$6,'calculated data '!$A$6)</f>
        <v>Target Market (Core IQR)</v>
      </c>
      <c r="F4724" s="10">
        <f t="shared" si="1"/>
        <v>-0.4456877956</v>
      </c>
    </row>
    <row r="4725" ht="14.25" customHeight="1">
      <c r="A4725" s="2" t="s">
        <v>183</v>
      </c>
      <c r="B4725" s="2" t="s">
        <v>184</v>
      </c>
      <c r="C4725" s="2">
        <v>2007.0</v>
      </c>
      <c r="D4725" s="9">
        <v>8220.123</v>
      </c>
      <c r="E4725" s="10" t="str">
        <f t="array" ref="E4725">IFS(D4725&lt;=$G$3,'calculated data '!$A$3,D4725&lt;=$G$4,'calculated data '!$A$4,D4725&lt;=$G$6,'calculated data '!$A$5,D4725&gt;=$G$6,'calculated data '!$A$6)</f>
        <v>Target Market (Core IQR)</v>
      </c>
      <c r="F4725" s="10">
        <f t="shared" si="1"/>
        <v>-0.4455868664</v>
      </c>
    </row>
    <row r="4726" ht="14.25" customHeight="1">
      <c r="A4726" s="2" t="s">
        <v>265</v>
      </c>
      <c r="B4726" s="2" t="s">
        <v>266</v>
      </c>
      <c r="C4726" s="2">
        <v>2007.0</v>
      </c>
      <c r="D4726" s="9">
        <v>8224.294</v>
      </c>
      <c r="E4726" s="10" t="str">
        <f t="array" ref="E4726">IFS(D4726&lt;=$G$3,'calculated data '!$A$3,D4726&lt;=$G$4,'calculated data '!$A$4,D4726&lt;=$G$6,'calculated data '!$A$5,D4726&gt;=$G$6,'calculated data '!$A$6)</f>
        <v>Target Market (Core IQR)</v>
      </c>
      <c r="F4726" s="10">
        <f t="shared" si="1"/>
        <v>-0.4454764611</v>
      </c>
    </row>
    <row r="4727" ht="14.25" customHeight="1">
      <c r="A4727" s="2" t="s">
        <v>253</v>
      </c>
      <c r="B4727" s="2" t="s">
        <v>254</v>
      </c>
      <c r="C4727" s="2">
        <v>2011.0</v>
      </c>
      <c r="D4727" s="9">
        <v>8232.201</v>
      </c>
      <c r="E4727" s="10" t="str">
        <f t="array" ref="E4727">IFS(D4727&lt;=$G$3,'calculated data '!$A$3,D4727&lt;=$G$4,'calculated data '!$A$4,D4727&lt;=$G$6,'calculated data '!$A$5,D4727&gt;=$G$6,'calculated data '!$A$6)</f>
        <v>Target Market (Core IQR)</v>
      </c>
      <c r="F4727" s="10">
        <f t="shared" si="1"/>
        <v>-0.4452671648</v>
      </c>
    </row>
    <row r="4728" ht="14.25" customHeight="1">
      <c r="A4728" s="2" t="s">
        <v>259</v>
      </c>
      <c r="B4728" s="2" t="s">
        <v>260</v>
      </c>
      <c r="C4728" s="2">
        <v>1992.0</v>
      </c>
      <c r="D4728" s="9">
        <v>8235.484</v>
      </c>
      <c r="E4728" s="10" t="str">
        <f t="array" ref="E4728">IFS(D4728&lt;=$G$3,'calculated data '!$A$3,D4728&lt;=$G$4,'calculated data '!$A$4,D4728&lt;=$G$6,'calculated data '!$A$5,D4728&gt;=$G$6,'calculated data '!$A$6)</f>
        <v>Target Market (Core IQR)</v>
      </c>
      <c r="F4728" s="10">
        <f t="shared" si="1"/>
        <v>-0.4451802646</v>
      </c>
    </row>
    <row r="4729" ht="14.25" customHeight="1">
      <c r="A4729" s="2" t="s">
        <v>39</v>
      </c>
      <c r="B4729" s="2" t="s">
        <v>40</v>
      </c>
      <c r="C4729" s="2">
        <v>1980.0</v>
      </c>
      <c r="D4729" s="9">
        <v>8256.35</v>
      </c>
      <c r="E4729" s="10" t="str">
        <f t="array" ref="E4729">IFS(D4729&lt;=$G$3,'calculated data '!$A$3,D4729&lt;=$G$4,'calculated data '!$A$4,D4729&lt;=$G$6,'calculated data '!$A$5,D4729&gt;=$G$6,'calculated data '!$A$6)</f>
        <v>Target Market (Core IQR)</v>
      </c>
      <c r="F4729" s="10">
        <f t="shared" si="1"/>
        <v>-0.4446279467</v>
      </c>
    </row>
    <row r="4730" ht="14.25" customHeight="1">
      <c r="A4730" s="2" t="s">
        <v>313</v>
      </c>
      <c r="B4730" s="2" t="s">
        <v>314</v>
      </c>
      <c r="C4730" s="2">
        <v>1970.0</v>
      </c>
      <c r="D4730" s="9">
        <v>8259.244</v>
      </c>
      <c r="E4730" s="10" t="str">
        <f t="array" ref="E4730">IFS(D4730&lt;=$G$3,'calculated data '!$A$3,D4730&lt;=$G$4,'calculated data '!$A$4,D4730&lt;=$G$6,'calculated data '!$A$5,D4730&gt;=$G$6,'calculated data '!$A$6)</f>
        <v>Target Market (Core IQR)</v>
      </c>
      <c r="F4730" s="10">
        <f t="shared" si="1"/>
        <v>-0.4445513433</v>
      </c>
    </row>
    <row r="4731" ht="14.25" customHeight="1">
      <c r="A4731" s="2" t="s">
        <v>235</v>
      </c>
      <c r="B4731" s="2" t="s">
        <v>236</v>
      </c>
      <c r="C4731" s="2">
        <v>1984.0</v>
      </c>
      <c r="D4731" s="9">
        <v>8260.6045</v>
      </c>
      <c r="E4731" s="10" t="str">
        <f t="array" ref="E4731">IFS(D4731&lt;=$G$3,'calculated data '!$A$3,D4731&lt;=$G$4,'calculated data '!$A$4,D4731&lt;=$G$6,'calculated data '!$A$5,D4731&gt;=$G$6,'calculated data '!$A$6)</f>
        <v>Target Market (Core IQR)</v>
      </c>
      <c r="F4731" s="10">
        <f t="shared" si="1"/>
        <v>-0.4445153312</v>
      </c>
    </row>
    <row r="4732" ht="14.25" customHeight="1">
      <c r="A4732" s="2" t="s">
        <v>225</v>
      </c>
      <c r="B4732" s="2" t="s">
        <v>226</v>
      </c>
      <c r="C4732" s="2">
        <v>2017.0</v>
      </c>
      <c r="D4732" s="9">
        <v>8260.953</v>
      </c>
      <c r="E4732" s="10" t="str">
        <f t="array" ref="E4732">IFS(D4732&lt;=$G$3,'calculated data '!$A$3,D4732&lt;=$G$4,'calculated data '!$A$4,D4732&lt;=$G$6,'calculated data '!$A$5,D4732&gt;=$G$6,'calculated data '!$A$6)</f>
        <v>Target Market (Core IQR)</v>
      </c>
      <c r="F4732" s="10">
        <f t="shared" si="1"/>
        <v>-0.4445061065</v>
      </c>
    </row>
    <row r="4733" ht="14.25" customHeight="1">
      <c r="A4733" s="2" t="s">
        <v>263</v>
      </c>
      <c r="B4733" s="2" t="s">
        <v>264</v>
      </c>
      <c r="C4733" s="2">
        <v>2014.0</v>
      </c>
      <c r="D4733" s="9">
        <v>8261.616</v>
      </c>
      <c r="E4733" s="10" t="str">
        <f t="array" ref="E4733">IFS(D4733&lt;=$G$3,'calculated data '!$A$3,D4733&lt;=$G$4,'calculated data '!$A$4,D4733&lt;=$G$6,'calculated data '!$A$5,D4733&gt;=$G$6,'calculated data '!$A$6)</f>
        <v>Target Market (Core IQR)</v>
      </c>
      <c r="F4733" s="10">
        <f t="shared" si="1"/>
        <v>-0.444488557</v>
      </c>
    </row>
    <row r="4734" ht="14.25" customHeight="1">
      <c r="A4734" s="2" t="s">
        <v>243</v>
      </c>
      <c r="B4734" s="2" t="s">
        <v>244</v>
      </c>
      <c r="C4734" s="2">
        <v>2017.0</v>
      </c>
      <c r="D4734" s="9">
        <v>8261.7</v>
      </c>
      <c r="E4734" s="10" t="str">
        <f t="array" ref="E4734">IFS(D4734&lt;=$G$3,'calculated data '!$A$3,D4734&lt;=$G$4,'calculated data '!$A$4,D4734&lt;=$G$6,'calculated data '!$A$5,D4734&gt;=$G$6,'calculated data '!$A$6)</f>
        <v>Target Market (Core IQR)</v>
      </c>
      <c r="F4734" s="10">
        <f t="shared" si="1"/>
        <v>-0.4444863336</v>
      </c>
    </row>
    <row r="4735" ht="14.25" customHeight="1">
      <c r="A4735" s="2" t="s">
        <v>205</v>
      </c>
      <c r="B4735" s="2" t="s">
        <v>206</v>
      </c>
      <c r="C4735" s="2">
        <v>2004.0</v>
      </c>
      <c r="D4735" s="9">
        <v>8265.982</v>
      </c>
      <c r="E4735" s="10" t="str">
        <f t="array" ref="E4735">IFS(D4735&lt;=$G$3,'calculated data '!$A$3,D4735&lt;=$G$4,'calculated data '!$A$4,D4735&lt;=$G$6,'calculated data '!$A$5,D4735&gt;=$G$6,'calculated data '!$A$6)</f>
        <v>Target Market (Core IQR)</v>
      </c>
      <c r="F4735" s="10">
        <f t="shared" si="1"/>
        <v>-0.4443729901</v>
      </c>
    </row>
    <row r="4736" ht="14.25" customHeight="1">
      <c r="A4736" s="2" t="s">
        <v>185</v>
      </c>
      <c r="B4736" s="2" t="s">
        <v>186</v>
      </c>
      <c r="C4736" s="2">
        <v>2011.0</v>
      </c>
      <c r="D4736" s="9">
        <v>8266.168</v>
      </c>
      <c r="E4736" s="10" t="str">
        <f t="array" ref="E4736">IFS(D4736&lt;=$G$3,'calculated data '!$A$3,D4736&lt;=$G$4,'calculated data '!$A$4,D4736&lt;=$G$6,'calculated data '!$A$5,D4736&gt;=$G$6,'calculated data '!$A$6)</f>
        <v>Target Market (Core IQR)</v>
      </c>
      <c r="F4736" s="10">
        <f t="shared" si="1"/>
        <v>-0.4443680667</v>
      </c>
    </row>
    <row r="4737" ht="14.25" customHeight="1">
      <c r="A4737" s="2" t="s">
        <v>255</v>
      </c>
      <c r="B4737" s="2" t="s">
        <v>256</v>
      </c>
      <c r="C4737" s="2">
        <v>2018.0</v>
      </c>
      <c r="D4737" s="9">
        <v>8276.188</v>
      </c>
      <c r="E4737" s="10" t="str">
        <f t="array" ref="E4737">IFS(D4737&lt;=$G$3,'calculated data '!$A$3,D4737&lt;=$G$4,'calculated data '!$A$4,D4737&lt;=$G$6,'calculated data '!$A$5,D4737&gt;=$G$6,'calculated data '!$A$6)</f>
        <v>Target Market (Core IQR)</v>
      </c>
      <c r="F4737" s="10">
        <f t="shared" si="1"/>
        <v>-0.4441028398</v>
      </c>
    </row>
    <row r="4738" ht="14.25" customHeight="1">
      <c r="A4738" s="2" t="s">
        <v>289</v>
      </c>
      <c r="B4738" s="2" t="s">
        <v>290</v>
      </c>
      <c r="C4738" s="2">
        <v>1997.0</v>
      </c>
      <c r="D4738" s="9">
        <v>8280.438</v>
      </c>
      <c r="E4738" s="10" t="str">
        <f t="array" ref="E4738">IFS(D4738&lt;=$G$3,'calculated data '!$A$3,D4738&lt;=$G$4,'calculated data '!$A$4,D4738&lt;=$G$6,'calculated data '!$A$5,D4738&gt;=$G$6,'calculated data '!$A$6)</f>
        <v>Target Market (Core IQR)</v>
      </c>
      <c r="F4738" s="10">
        <f t="shared" si="1"/>
        <v>-0.4439903434</v>
      </c>
    </row>
    <row r="4739" ht="14.25" customHeight="1">
      <c r="A4739" s="2" t="s">
        <v>243</v>
      </c>
      <c r="B4739" s="2" t="s">
        <v>244</v>
      </c>
      <c r="C4739" s="2">
        <v>2014.0</v>
      </c>
      <c r="D4739" s="9">
        <v>8291.814</v>
      </c>
      <c r="E4739" s="10" t="str">
        <f t="array" ref="E4739">IFS(D4739&lt;=$G$3,'calculated data '!$A$3,D4739&lt;=$G$4,'calculated data '!$A$4,D4739&lt;=$G$6,'calculated data '!$A$5,D4739&gt;=$G$6,'calculated data '!$A$6)</f>
        <v>Target Market (Core IQR)</v>
      </c>
      <c r="F4739" s="10">
        <f t="shared" si="1"/>
        <v>-0.4436892235</v>
      </c>
    </row>
    <row r="4740" ht="14.25" customHeight="1">
      <c r="A4740" s="2" t="s">
        <v>241</v>
      </c>
      <c r="B4740" s="2" t="s">
        <v>242</v>
      </c>
      <c r="C4740" s="2">
        <v>1994.0</v>
      </c>
      <c r="D4740" s="9">
        <v>8291.994</v>
      </c>
      <c r="E4740" s="10" t="str">
        <f t="array" ref="E4740">IFS(D4740&lt;=$G$3,'calculated data '!$A$3,D4740&lt;=$G$4,'calculated data '!$A$4,D4740&lt;=$G$6,'calculated data '!$A$5,D4740&gt;=$G$6,'calculated data '!$A$6)</f>
        <v>Target Market (Core IQR)</v>
      </c>
      <c r="F4740" s="10">
        <f t="shared" si="1"/>
        <v>-0.4436844589</v>
      </c>
    </row>
    <row r="4741" ht="14.25" customHeight="1">
      <c r="A4741" s="2" t="s">
        <v>253</v>
      </c>
      <c r="B4741" s="2" t="s">
        <v>254</v>
      </c>
      <c r="C4741" s="2">
        <v>2015.0</v>
      </c>
      <c r="D4741" s="9">
        <v>8292.746</v>
      </c>
      <c r="E4741" s="10" t="str">
        <f t="array" ref="E4741">IFS(D4741&lt;=$G$3,'calculated data '!$A$3,D4741&lt;=$G$4,'calculated data '!$A$4,D4741&lt;=$G$6,'calculated data '!$A$5,D4741&gt;=$G$6,'calculated data '!$A$6)</f>
        <v>Target Market (Core IQR)</v>
      </c>
      <c r="F4741" s="10">
        <f t="shared" si="1"/>
        <v>-0.4436645537</v>
      </c>
    </row>
    <row r="4742" ht="14.25" customHeight="1">
      <c r="A4742" s="2" t="s">
        <v>265</v>
      </c>
      <c r="B4742" s="2" t="s">
        <v>266</v>
      </c>
      <c r="C4742" s="2">
        <v>2004.0</v>
      </c>
      <c r="D4742" s="9">
        <v>8297.543</v>
      </c>
      <c r="E4742" s="10" t="str">
        <f t="array" ref="E4742">IFS(D4742&lt;=$G$3,'calculated data '!$A$3,D4742&lt;=$G$4,'calculated data '!$A$4,D4742&lt;=$G$6,'calculated data '!$A$5,D4742&gt;=$G$6,'calculated data '!$A$6)</f>
        <v>Target Market (Core IQR)</v>
      </c>
      <c r="F4742" s="10">
        <f t="shared" si="1"/>
        <v>-0.4435375783</v>
      </c>
    </row>
    <row r="4743" ht="14.25" customHeight="1">
      <c r="A4743" s="2" t="s">
        <v>255</v>
      </c>
      <c r="B4743" s="2" t="s">
        <v>256</v>
      </c>
      <c r="C4743" s="2">
        <v>2016.0</v>
      </c>
      <c r="D4743" s="9">
        <v>8300.878</v>
      </c>
      <c r="E4743" s="10" t="str">
        <f t="array" ref="E4743">IFS(D4743&lt;=$G$3,'calculated data '!$A$3,D4743&lt;=$G$4,'calculated data '!$A$4,D4743&lt;=$G$6,'calculated data '!$A$5,D4743&gt;=$G$6,'calculated data '!$A$6)</f>
        <v>Target Market (Core IQR)</v>
      </c>
      <c r="F4743" s="10">
        <f t="shared" si="1"/>
        <v>-0.4434493017</v>
      </c>
    </row>
    <row r="4744" ht="14.25" customHeight="1">
      <c r="A4744" s="2" t="s">
        <v>303</v>
      </c>
      <c r="B4744" s="2" t="s">
        <v>304</v>
      </c>
      <c r="C4744" s="2">
        <v>2006.0</v>
      </c>
      <c r="D4744" s="9">
        <v>8309.95</v>
      </c>
      <c r="E4744" s="10" t="str">
        <f t="array" ref="E4744">IFS(D4744&lt;=$G$3,'calculated data '!$A$3,D4744&lt;=$G$4,'calculated data '!$A$4,D4744&lt;=$G$6,'calculated data '!$A$5,D4744&gt;=$G$6,'calculated data '!$A$6)</f>
        <v>Target Market (Core IQR)</v>
      </c>
      <c r="F4744" s="10">
        <f t="shared" si="1"/>
        <v>-0.4432091681</v>
      </c>
    </row>
    <row r="4745" ht="14.25" customHeight="1">
      <c r="A4745" s="2" t="s">
        <v>45</v>
      </c>
      <c r="B4745" s="2" t="s">
        <v>46</v>
      </c>
      <c r="C4745" s="2">
        <v>1989.0</v>
      </c>
      <c r="D4745" s="9">
        <v>8311.842</v>
      </c>
      <c r="E4745" s="10" t="str">
        <f t="array" ref="E4745">IFS(D4745&lt;=$G$3,'calculated data '!$A$3,D4745&lt;=$G$4,'calculated data '!$A$4,D4745&lt;=$G$6,'calculated data '!$A$5,D4745&gt;=$G$6,'calculated data '!$A$6)</f>
        <v>Target Market (Core IQR)</v>
      </c>
      <c r="F4745" s="10">
        <f t="shared" si="1"/>
        <v>-0.4431590873</v>
      </c>
    </row>
    <row r="4746" ht="14.25" customHeight="1">
      <c r="A4746" s="2" t="s">
        <v>321</v>
      </c>
      <c r="B4746" s="2" t="s">
        <v>322</v>
      </c>
      <c r="C4746" s="2">
        <v>2021.0</v>
      </c>
      <c r="D4746" s="9">
        <v>8313.423</v>
      </c>
      <c r="E4746" s="10" t="str">
        <f t="array" ref="E4746">IFS(D4746&lt;=$G$3,'calculated data '!$A$3,D4746&lt;=$G$4,'calculated data '!$A$4,D4746&lt;=$G$6,'calculated data '!$A$5,D4746&gt;=$G$6,'calculated data '!$A$6)</f>
        <v>Target Market (Core IQR)</v>
      </c>
      <c r="F4746" s="10">
        <f t="shared" si="1"/>
        <v>-0.4431172387</v>
      </c>
    </row>
    <row r="4747" ht="14.25" customHeight="1">
      <c r="A4747" s="2" t="s">
        <v>203</v>
      </c>
      <c r="B4747" s="2" t="s">
        <v>204</v>
      </c>
      <c r="C4747" s="2">
        <v>2001.0</v>
      </c>
      <c r="D4747" s="9">
        <v>8315.537</v>
      </c>
      <c r="E4747" s="10" t="str">
        <f t="array" ref="E4747">IFS(D4747&lt;=$G$3,'calculated data '!$A$3,D4747&lt;=$G$4,'calculated data '!$A$4,D4747&lt;=$G$6,'calculated data '!$A$5,D4747&gt;=$G$6,'calculated data '!$A$6)</f>
        <v>Target Market (Core IQR)</v>
      </c>
      <c r="F4747" s="10">
        <f t="shared" si="1"/>
        <v>-0.4430612816</v>
      </c>
    </row>
    <row r="4748" ht="14.25" customHeight="1">
      <c r="A4748" s="2" t="s">
        <v>195</v>
      </c>
      <c r="B4748" s="2" t="s">
        <v>196</v>
      </c>
      <c r="C4748" s="2">
        <v>2013.0</v>
      </c>
      <c r="D4748" s="9">
        <v>8320.795</v>
      </c>
      <c r="E4748" s="10" t="str">
        <f t="array" ref="E4748">IFS(D4748&lt;=$G$3,'calculated data '!$A$3,D4748&lt;=$G$4,'calculated data '!$A$4,D4748&lt;=$G$6,'calculated data '!$A$5,D4748&gt;=$G$6,'calculated data '!$A$6)</f>
        <v>Target Market (Core IQR)</v>
      </c>
      <c r="F4748" s="10">
        <f t="shared" si="1"/>
        <v>-0.4429221036</v>
      </c>
    </row>
    <row r="4749" ht="14.25" customHeight="1">
      <c r="A4749" s="2" t="s">
        <v>141</v>
      </c>
      <c r="B4749" s="2" t="s">
        <v>142</v>
      </c>
      <c r="C4749" s="2">
        <v>1993.0</v>
      </c>
      <c r="D4749" s="9">
        <v>8321.011</v>
      </c>
      <c r="E4749" s="10" t="str">
        <f t="array" ref="E4749">IFS(D4749&lt;=$G$3,'calculated data '!$A$3,D4749&lt;=$G$4,'calculated data '!$A$4,D4749&lt;=$G$6,'calculated data '!$A$5,D4749&gt;=$G$6,'calculated data '!$A$6)</f>
        <v>Target Market (Core IQR)</v>
      </c>
      <c r="F4749" s="10">
        <f t="shared" si="1"/>
        <v>-0.4429163862</v>
      </c>
    </row>
    <row r="4750" ht="14.25" customHeight="1">
      <c r="A4750" s="2" t="s">
        <v>205</v>
      </c>
      <c r="B4750" s="2" t="s">
        <v>206</v>
      </c>
      <c r="C4750" s="2">
        <v>2005.0</v>
      </c>
      <c r="D4750" s="9">
        <v>8321.761</v>
      </c>
      <c r="E4750" s="10" t="str">
        <f t="array" ref="E4750">IFS(D4750&lt;=$G$3,'calculated data '!$A$3,D4750&lt;=$G$4,'calculated data '!$A$4,D4750&lt;=$G$6,'calculated data '!$A$5,D4750&gt;=$G$6,'calculated data '!$A$6)</f>
        <v>Target Market (Core IQR)</v>
      </c>
      <c r="F4750" s="10">
        <f t="shared" si="1"/>
        <v>-0.4428965339</v>
      </c>
    </row>
    <row r="4751" ht="14.25" customHeight="1">
      <c r="A4751" s="2" t="s">
        <v>257</v>
      </c>
      <c r="B4751" s="2" t="s">
        <v>258</v>
      </c>
      <c r="C4751" s="2">
        <v>1974.0</v>
      </c>
      <c r="D4751" s="9">
        <v>8326.394</v>
      </c>
      <c r="E4751" s="10" t="str">
        <f t="array" ref="E4751">IFS(D4751&lt;=$G$3,'calculated data '!$A$3,D4751&lt;=$G$4,'calculated data '!$A$4,D4751&lt;=$G$6,'calculated data '!$A$5,D4751&gt;=$G$6,'calculated data '!$A$6)</f>
        <v>Target Market (Core IQR)</v>
      </c>
      <c r="F4751" s="10">
        <f t="shared" si="1"/>
        <v>-0.4427738995</v>
      </c>
    </row>
    <row r="4752" ht="14.25" customHeight="1">
      <c r="A4752" s="2" t="s">
        <v>225</v>
      </c>
      <c r="B4752" s="2" t="s">
        <v>226</v>
      </c>
      <c r="C4752" s="2">
        <v>2018.0</v>
      </c>
      <c r="D4752" s="9">
        <v>8327.178</v>
      </c>
      <c r="E4752" s="10" t="str">
        <f t="array" ref="E4752">IFS(D4752&lt;=$G$3,'calculated data '!$A$3,D4752&lt;=$G$4,'calculated data '!$A$4,D4752&lt;=$G$6,'calculated data '!$A$5,D4752&gt;=$G$6,'calculated data '!$A$6)</f>
        <v>Target Market (Core IQR)</v>
      </c>
      <c r="F4752" s="10">
        <f t="shared" si="1"/>
        <v>-0.4427531472</v>
      </c>
    </row>
    <row r="4753" ht="14.25" customHeight="1">
      <c r="A4753" s="2" t="s">
        <v>195</v>
      </c>
      <c r="B4753" s="2" t="s">
        <v>196</v>
      </c>
      <c r="C4753" s="2">
        <v>2023.0</v>
      </c>
      <c r="D4753" s="9">
        <v>8330.702</v>
      </c>
      <c r="E4753" s="10" t="str">
        <f t="array" ref="E4753">IFS(D4753&lt;=$G$3,'calculated data '!$A$3,D4753&lt;=$G$4,'calculated data '!$A$4,D4753&lt;=$G$6,'calculated data '!$A$5,D4753&gt;=$G$6,'calculated data '!$A$6)</f>
        <v>Target Market (Core IQR)</v>
      </c>
      <c r="F4753" s="10">
        <f t="shared" si="1"/>
        <v>-0.4426598678</v>
      </c>
    </row>
    <row r="4754" ht="14.25" customHeight="1">
      <c r="A4754" s="2" t="s">
        <v>261</v>
      </c>
      <c r="B4754" s="2" t="s">
        <v>262</v>
      </c>
      <c r="C4754" s="2">
        <v>2009.0</v>
      </c>
      <c r="D4754" s="9">
        <v>8330.891</v>
      </c>
      <c r="E4754" s="10" t="str">
        <f t="array" ref="E4754">IFS(D4754&lt;=$G$3,'calculated data '!$A$3,D4754&lt;=$G$4,'calculated data '!$A$4,D4754&lt;=$G$6,'calculated data '!$A$5,D4754&gt;=$G$6,'calculated data '!$A$6)</f>
        <v>Target Market (Core IQR)</v>
      </c>
      <c r="F4754" s="10">
        <f t="shared" si="1"/>
        <v>-0.442654865</v>
      </c>
    </row>
    <row r="4755" ht="14.25" customHeight="1">
      <c r="A4755" s="2" t="s">
        <v>185</v>
      </c>
      <c r="B4755" s="2" t="s">
        <v>186</v>
      </c>
      <c r="C4755" s="2">
        <v>2013.0</v>
      </c>
      <c r="D4755" s="9">
        <v>8331.03</v>
      </c>
      <c r="E4755" s="10" t="str">
        <f t="array" ref="E4755">IFS(D4755&lt;=$G$3,'calculated data '!$A$3,D4755&lt;=$G$4,'calculated data '!$A$4,D4755&lt;=$G$6,'calculated data '!$A$5,D4755&gt;=$G$6,'calculated data '!$A$6)</f>
        <v>Target Market (Core IQR)</v>
      </c>
      <c r="F4755" s="10">
        <f t="shared" si="1"/>
        <v>-0.4426511857</v>
      </c>
    </row>
    <row r="4756" ht="14.25" customHeight="1">
      <c r="A4756" s="2" t="s">
        <v>273</v>
      </c>
      <c r="B4756" s="2" t="s">
        <v>274</v>
      </c>
      <c r="C4756" s="2">
        <v>2020.0</v>
      </c>
      <c r="D4756" s="9">
        <v>8332.383</v>
      </c>
      <c r="E4756" s="10" t="str">
        <f t="array" ref="E4756">IFS(D4756&lt;=$G$3,'calculated data '!$A$3,D4756&lt;=$G$4,'calculated data '!$A$4,D4756&lt;=$G$6,'calculated data '!$A$5,D4756&gt;=$G$6,'calculated data '!$A$6)</f>
        <v>Target Market (Core IQR)</v>
      </c>
      <c r="F4756" s="10">
        <f t="shared" si="1"/>
        <v>-0.4426153722</v>
      </c>
    </row>
    <row r="4757" ht="14.25" customHeight="1">
      <c r="A4757" s="2" t="s">
        <v>255</v>
      </c>
      <c r="B4757" s="2" t="s">
        <v>256</v>
      </c>
      <c r="C4757" s="2">
        <v>2019.0</v>
      </c>
      <c r="D4757" s="9">
        <v>8349.961</v>
      </c>
      <c r="E4757" s="10" t="str">
        <f t="array" ref="E4757">IFS(D4757&lt;=$G$3,'calculated data '!$A$3,D4757&lt;=$G$4,'calculated data '!$A$4,D4757&lt;=$G$6,'calculated data '!$A$5,D4757&gt;=$G$6,'calculated data '!$A$6)</f>
        <v>Target Market (Core IQR)</v>
      </c>
      <c r="F4757" s="10">
        <f t="shared" si="1"/>
        <v>-0.4421500869</v>
      </c>
    </row>
    <row r="4758" ht="14.25" customHeight="1">
      <c r="A4758" s="2" t="s">
        <v>271</v>
      </c>
      <c r="B4758" s="2" t="s">
        <v>272</v>
      </c>
      <c r="C4758" s="2">
        <v>1971.0</v>
      </c>
      <c r="D4758" s="9">
        <v>8353.298</v>
      </c>
      <c r="E4758" s="10" t="str">
        <f t="array" ref="E4758">IFS(D4758&lt;=$G$3,'calculated data '!$A$3,D4758&lt;=$G$4,'calculated data '!$A$4,D4758&lt;=$G$6,'calculated data '!$A$5,D4758&gt;=$G$6,'calculated data '!$A$6)</f>
        <v>Target Market (Core IQR)</v>
      </c>
      <c r="F4758" s="10">
        <f t="shared" si="1"/>
        <v>-0.4420617573</v>
      </c>
    </row>
    <row r="4759" ht="14.25" customHeight="1">
      <c r="A4759" s="2" t="s">
        <v>321</v>
      </c>
      <c r="B4759" s="2" t="s">
        <v>322</v>
      </c>
      <c r="C4759" s="2">
        <v>2020.0</v>
      </c>
      <c r="D4759" s="9">
        <v>8354.511</v>
      </c>
      <c r="E4759" s="10" t="str">
        <f t="array" ref="E4759">IFS(D4759&lt;=$G$3,'calculated data '!$A$3,D4759&lt;=$G$4,'calculated data '!$A$4,D4759&lt;=$G$6,'calculated data '!$A$5,D4759&gt;=$G$6,'calculated data '!$A$6)</f>
        <v>Target Market (Core IQR)</v>
      </c>
      <c r="F4759" s="10">
        <f t="shared" si="1"/>
        <v>-0.4420296495</v>
      </c>
    </row>
    <row r="4760" ht="14.25" customHeight="1">
      <c r="A4760" s="2" t="s">
        <v>227</v>
      </c>
      <c r="B4760" s="2" t="s">
        <v>228</v>
      </c>
      <c r="C4760" s="2">
        <v>1994.0</v>
      </c>
      <c r="D4760" s="9">
        <v>8357.585</v>
      </c>
      <c r="E4760" s="10" t="str">
        <f t="array" ref="E4760">IFS(D4760&lt;=$G$3,'calculated data '!$A$3,D4760&lt;=$G$4,'calculated data '!$A$4,D4760&lt;=$G$6,'calculated data '!$A$5,D4760&gt;=$G$6,'calculated data '!$A$6)</f>
        <v>Target Market (Core IQR)</v>
      </c>
      <c r="F4760" s="10">
        <f t="shared" si="1"/>
        <v>-0.4419482815</v>
      </c>
    </row>
    <row r="4761" ht="14.25" customHeight="1">
      <c r="A4761" s="2" t="s">
        <v>293</v>
      </c>
      <c r="B4761" s="2" t="s">
        <v>294</v>
      </c>
      <c r="C4761" s="2">
        <v>1981.0</v>
      </c>
      <c r="D4761" s="9">
        <v>8360.745</v>
      </c>
      <c r="E4761" s="10" t="str">
        <f t="array" ref="E4761">IFS(D4761&lt;=$G$3,'calculated data '!$A$3,D4761&lt;=$G$4,'calculated data '!$A$4,D4761&lt;=$G$6,'calculated data '!$A$5,D4761&gt;=$G$6,'calculated data '!$A$6)</f>
        <v>Target Market (Core IQR)</v>
      </c>
      <c r="F4761" s="10">
        <f t="shared" si="1"/>
        <v>-0.4418646371</v>
      </c>
    </row>
    <row r="4762" ht="14.25" customHeight="1">
      <c r="A4762" s="2" t="s">
        <v>99</v>
      </c>
      <c r="B4762" s="2" t="s">
        <v>100</v>
      </c>
      <c r="C4762" s="2">
        <v>2001.0</v>
      </c>
      <c r="D4762" s="9">
        <v>8367.658</v>
      </c>
      <c r="E4762" s="10" t="str">
        <f t="array" ref="E4762">IFS(D4762&lt;=$G$3,'calculated data '!$A$3,D4762&lt;=$G$4,'calculated data '!$A$4,D4762&lt;=$G$6,'calculated data '!$A$5,D4762&gt;=$G$6,'calculated data '!$A$6)</f>
        <v>Target Market (Core IQR)</v>
      </c>
      <c r="F4762" s="10">
        <f t="shared" si="1"/>
        <v>-0.4416816517</v>
      </c>
    </row>
    <row r="4763" ht="14.25" customHeight="1">
      <c r="A4763" s="2" t="s">
        <v>275</v>
      </c>
      <c r="B4763" s="2" t="s">
        <v>276</v>
      </c>
      <c r="C4763" s="2">
        <v>2000.0</v>
      </c>
      <c r="D4763" s="9">
        <v>8367.793</v>
      </c>
      <c r="E4763" s="10" t="str">
        <f t="array" ref="E4763">IFS(D4763&lt;=$G$3,'calculated data '!$A$3,D4763&lt;=$G$4,'calculated data '!$A$4,D4763&lt;=$G$6,'calculated data '!$A$5,D4763&gt;=$G$6,'calculated data '!$A$6)</f>
        <v>Target Market (Core IQR)</v>
      </c>
      <c r="F4763" s="10">
        <f t="shared" si="1"/>
        <v>-0.4416780783</v>
      </c>
    </row>
    <row r="4764" ht="14.25" customHeight="1">
      <c r="A4764" s="2" t="s">
        <v>261</v>
      </c>
      <c r="B4764" s="2" t="s">
        <v>262</v>
      </c>
      <c r="C4764" s="2">
        <v>2012.0</v>
      </c>
      <c r="D4764" s="9">
        <v>8368.356</v>
      </c>
      <c r="E4764" s="10" t="str">
        <f t="array" ref="E4764">IFS(D4764&lt;=$G$3,'calculated data '!$A$3,D4764&lt;=$G$4,'calculated data '!$A$4,D4764&lt;=$G$6,'calculated data '!$A$5,D4764&gt;=$G$6,'calculated data '!$A$6)</f>
        <v>Target Market (Core IQR)</v>
      </c>
      <c r="F4764" s="10">
        <f t="shared" si="1"/>
        <v>-0.4416631758</v>
      </c>
    </row>
    <row r="4765" ht="14.25" customHeight="1">
      <c r="A4765" s="2" t="s">
        <v>229</v>
      </c>
      <c r="B4765" s="2" t="s">
        <v>230</v>
      </c>
      <c r="C4765" s="2">
        <v>1993.0</v>
      </c>
      <c r="D4765" s="9">
        <v>8368.374</v>
      </c>
      <c r="E4765" s="10" t="str">
        <f t="array" ref="E4765">IFS(D4765&lt;=$G$3,'calculated data '!$A$3,D4765&lt;=$G$4,'calculated data '!$A$4,D4765&lt;=$G$6,'calculated data '!$A$5,D4765&gt;=$G$6,'calculated data '!$A$6)</f>
        <v>Target Market (Core IQR)</v>
      </c>
      <c r="F4765" s="10">
        <f t="shared" si="1"/>
        <v>-0.4416626994</v>
      </c>
    </row>
    <row r="4766" ht="14.25" customHeight="1">
      <c r="A4766" s="2" t="s">
        <v>299</v>
      </c>
      <c r="B4766" s="2" t="s">
        <v>300</v>
      </c>
      <c r="C4766" s="2">
        <v>2013.0</v>
      </c>
      <c r="D4766" s="9">
        <v>8369.903</v>
      </c>
      <c r="E4766" s="10" t="str">
        <f t="array" ref="E4766">IFS(D4766&lt;=$G$3,'calculated data '!$A$3,D4766&lt;=$G$4,'calculated data '!$A$4,D4766&lt;=$G$6,'calculated data '!$A$5,D4766&gt;=$G$6,'calculated data '!$A$6)</f>
        <v>Target Market (Core IQR)</v>
      </c>
      <c r="F4766" s="10">
        <f t="shared" si="1"/>
        <v>-0.4416222271</v>
      </c>
    </row>
    <row r="4767" ht="14.25" customHeight="1">
      <c r="A4767" s="2" t="s">
        <v>261</v>
      </c>
      <c r="B4767" s="2" t="s">
        <v>262</v>
      </c>
      <c r="C4767" s="2">
        <v>2011.0</v>
      </c>
      <c r="D4767" s="9">
        <v>8370.705</v>
      </c>
      <c r="E4767" s="10" t="str">
        <f t="array" ref="E4767">IFS(D4767&lt;=$G$3,'calculated data '!$A$3,D4767&lt;=$G$4,'calculated data '!$A$4,D4767&lt;=$G$6,'calculated data '!$A$5,D4767&gt;=$G$6,'calculated data '!$A$6)</f>
        <v>Target Market (Core IQR)</v>
      </c>
      <c r="F4767" s="10">
        <f t="shared" si="1"/>
        <v>-0.4416009984</v>
      </c>
    </row>
    <row r="4768" ht="14.25" customHeight="1">
      <c r="A4768" s="2" t="s">
        <v>241</v>
      </c>
      <c r="B4768" s="2" t="s">
        <v>242</v>
      </c>
      <c r="C4768" s="2">
        <v>1993.0</v>
      </c>
      <c r="D4768" s="9">
        <v>8374.746</v>
      </c>
      <c r="E4768" s="10" t="str">
        <f t="array" ref="E4768">IFS(D4768&lt;=$G$3,'calculated data '!$A$3,D4768&lt;=$G$4,'calculated data '!$A$4,D4768&lt;=$G$6,'calculated data '!$A$5,D4768&gt;=$G$6,'calculated data '!$A$6)</f>
        <v>Target Market (Core IQR)</v>
      </c>
      <c r="F4768" s="10">
        <f t="shared" si="1"/>
        <v>-0.4414940341</v>
      </c>
    </row>
    <row r="4769" ht="14.25" customHeight="1">
      <c r="A4769" s="2" t="s">
        <v>269</v>
      </c>
      <c r="B4769" s="2" t="s">
        <v>270</v>
      </c>
      <c r="C4769" s="2">
        <v>1982.0</v>
      </c>
      <c r="D4769" s="9">
        <v>8380.237</v>
      </c>
      <c r="E4769" s="10" t="str">
        <f t="array" ref="E4769">IFS(D4769&lt;=$G$3,'calculated data '!$A$3,D4769&lt;=$G$4,'calculated data '!$A$4,D4769&lt;=$G$6,'calculated data '!$A$5,D4769&gt;=$G$6,'calculated data '!$A$6)</f>
        <v>Target Market (Core IQR)</v>
      </c>
      <c r="F4769" s="10">
        <f t="shared" si="1"/>
        <v>-0.4413486887</v>
      </c>
    </row>
    <row r="4770" ht="14.25" customHeight="1">
      <c r="A4770" s="2" t="s">
        <v>263</v>
      </c>
      <c r="B4770" s="2" t="s">
        <v>264</v>
      </c>
      <c r="C4770" s="2">
        <v>2009.0</v>
      </c>
      <c r="D4770" s="9">
        <v>8380.905</v>
      </c>
      <c r="E4770" s="10" t="str">
        <f t="array" ref="E4770">IFS(D4770&lt;=$G$3,'calculated data '!$A$3,D4770&lt;=$G$4,'calculated data '!$A$4,D4770&lt;=$G$6,'calculated data '!$A$5,D4770&gt;=$G$6,'calculated data '!$A$6)</f>
        <v>Target Market (Core IQR)</v>
      </c>
      <c r="F4770" s="10">
        <f t="shared" si="1"/>
        <v>-0.4413310069</v>
      </c>
    </row>
    <row r="4771" ht="14.25" customHeight="1">
      <c r="A4771" s="2" t="s">
        <v>261</v>
      </c>
      <c r="B4771" s="2" t="s">
        <v>262</v>
      </c>
      <c r="C4771" s="2">
        <v>2006.0</v>
      </c>
      <c r="D4771" s="9">
        <v>8383.152</v>
      </c>
      <c r="E4771" s="10" t="str">
        <f t="array" ref="E4771">IFS(D4771&lt;=$G$3,'calculated data '!$A$3,D4771&lt;=$G$4,'calculated data '!$A$4,D4771&lt;=$G$6,'calculated data '!$A$5,D4771&gt;=$G$6,'calculated data '!$A$6)</f>
        <v>Target Market (Core IQR)</v>
      </c>
      <c r="F4771" s="10">
        <f t="shared" si="1"/>
        <v>-0.4412715294</v>
      </c>
    </row>
    <row r="4772" ht="14.25" customHeight="1">
      <c r="A4772" s="2" t="s">
        <v>163</v>
      </c>
      <c r="B4772" s="2" t="s">
        <v>164</v>
      </c>
      <c r="C4772" s="2">
        <v>2019.0</v>
      </c>
      <c r="D4772" s="9">
        <v>8386.997</v>
      </c>
      <c r="E4772" s="10" t="str">
        <f t="array" ref="E4772">IFS(D4772&lt;=$G$3,'calculated data '!$A$3,D4772&lt;=$G$4,'calculated data '!$A$4,D4772&lt;=$G$6,'calculated data '!$A$5,D4772&gt;=$G$6,'calculated data '!$A$6)</f>
        <v>Target Market (Core IQR)</v>
      </c>
      <c r="F4772" s="10">
        <f t="shared" si="1"/>
        <v>-0.4411697532</v>
      </c>
    </row>
    <row r="4773" ht="14.25" customHeight="1">
      <c r="A4773" s="2" t="s">
        <v>313</v>
      </c>
      <c r="B4773" s="2" t="s">
        <v>314</v>
      </c>
      <c r="C4773" s="2">
        <v>1988.0</v>
      </c>
      <c r="D4773" s="9">
        <v>8391.752</v>
      </c>
      <c r="E4773" s="10" t="str">
        <f t="array" ref="E4773">IFS(D4773&lt;=$G$3,'calculated data '!$A$3,D4773&lt;=$G$4,'calculated data '!$A$4,D4773&lt;=$G$6,'calculated data '!$A$5,D4773&gt;=$G$6,'calculated data '!$A$6)</f>
        <v>Target Market (Core IQR)</v>
      </c>
      <c r="F4773" s="10">
        <f t="shared" si="1"/>
        <v>-0.4410438895</v>
      </c>
    </row>
    <row r="4774" ht="14.25" customHeight="1">
      <c r="A4774" s="2" t="s">
        <v>231</v>
      </c>
      <c r="B4774" s="2" t="s">
        <v>232</v>
      </c>
      <c r="C4774" s="2">
        <v>1987.0</v>
      </c>
      <c r="D4774" s="9">
        <v>8394.069</v>
      </c>
      <c r="E4774" s="10" t="str">
        <f t="array" ref="E4774">IFS(D4774&lt;=$G$3,'calculated data '!$A$3,D4774&lt;=$G$4,'calculated data '!$A$4,D4774&lt;=$G$6,'calculated data '!$A$5,D4774&gt;=$G$6,'calculated data '!$A$6)</f>
        <v>Target Market (Core IQR)</v>
      </c>
      <c r="F4774" s="10">
        <f t="shared" si="1"/>
        <v>-0.4409825591</v>
      </c>
    </row>
    <row r="4775" ht="14.25" customHeight="1">
      <c r="A4775" s="2" t="s">
        <v>249</v>
      </c>
      <c r="B4775" s="2" t="s">
        <v>250</v>
      </c>
      <c r="C4775" s="2">
        <v>1978.0</v>
      </c>
      <c r="D4775" s="9">
        <v>8395.425</v>
      </c>
      <c r="E4775" s="10" t="str">
        <f t="array" ref="E4775">IFS(D4775&lt;=$G$3,'calculated data '!$A$3,D4775&lt;=$G$4,'calculated data '!$A$4,D4775&lt;=$G$6,'calculated data '!$A$5,D4775&gt;=$G$6,'calculated data '!$A$6)</f>
        <v>Target Market (Core IQR)</v>
      </c>
      <c r="F4775" s="10">
        <f t="shared" si="1"/>
        <v>-0.4409466661</v>
      </c>
    </row>
    <row r="4776" ht="14.25" customHeight="1">
      <c r="A4776" s="2" t="s">
        <v>275</v>
      </c>
      <c r="B4776" s="2" t="s">
        <v>276</v>
      </c>
      <c r="C4776" s="2">
        <v>2015.0</v>
      </c>
      <c r="D4776" s="9">
        <v>8396.482</v>
      </c>
      <c r="E4776" s="10" t="str">
        <f t="array" ref="E4776">IFS(D4776&lt;=$G$3,'calculated data '!$A$3,D4776&lt;=$G$4,'calculated data '!$A$4,D4776&lt;=$G$6,'calculated data '!$A$5,D4776&gt;=$G$6,'calculated data '!$A$6)</f>
        <v>Target Market (Core IQR)</v>
      </c>
      <c r="F4776" s="10">
        <f t="shared" si="1"/>
        <v>-0.4409186876</v>
      </c>
    </row>
    <row r="4777" ht="14.25" customHeight="1">
      <c r="A4777" s="2" t="s">
        <v>261</v>
      </c>
      <c r="B4777" s="2" t="s">
        <v>262</v>
      </c>
      <c r="C4777" s="2">
        <v>2010.0</v>
      </c>
      <c r="D4777" s="9">
        <v>8397.651</v>
      </c>
      <c r="E4777" s="10" t="str">
        <f t="array" ref="E4777">IFS(D4777&lt;=$G$3,'calculated data '!$A$3,D4777&lt;=$G$4,'calculated data '!$A$4,D4777&lt;=$G$6,'calculated data '!$A$5,D4777&gt;=$G$6,'calculated data '!$A$6)</f>
        <v>Target Market (Core IQR)</v>
      </c>
      <c r="F4777" s="10">
        <f t="shared" si="1"/>
        <v>-0.4408877445</v>
      </c>
    </row>
    <row r="4778" ht="14.25" customHeight="1">
      <c r="A4778" s="2" t="s">
        <v>265</v>
      </c>
      <c r="B4778" s="2" t="s">
        <v>266</v>
      </c>
      <c r="C4778" s="2">
        <v>2012.0</v>
      </c>
      <c r="D4778" s="9">
        <v>8398.775</v>
      </c>
      <c r="E4778" s="10" t="str">
        <f t="array" ref="E4778">IFS(D4778&lt;=$G$3,'calculated data '!$A$3,D4778&lt;=$G$4,'calculated data '!$A$4,D4778&lt;=$G$6,'calculated data '!$A$5,D4778&gt;=$G$6,'calculated data '!$A$6)</f>
        <v>Target Market (Core IQR)</v>
      </c>
      <c r="F4778" s="10">
        <f t="shared" si="1"/>
        <v>-0.4408579925</v>
      </c>
    </row>
    <row r="4779" ht="14.25" customHeight="1">
      <c r="A4779" s="2" t="s">
        <v>315</v>
      </c>
      <c r="B4779" s="2" t="s">
        <v>316</v>
      </c>
      <c r="C4779" s="2">
        <v>2002.0</v>
      </c>
      <c r="D4779" s="9">
        <v>8401.969</v>
      </c>
      <c r="E4779" s="10" t="str">
        <f t="array" ref="E4779">IFS(D4779&lt;=$G$3,'calculated data '!$A$3,D4779&lt;=$G$4,'calculated data '!$A$4,D4779&lt;=$G$6,'calculated data '!$A$5,D4779&gt;=$G$6,'calculated data '!$A$6)</f>
        <v>Target Market (Core IQR)</v>
      </c>
      <c r="F4779" s="10">
        <f t="shared" si="1"/>
        <v>-0.4407734481</v>
      </c>
    </row>
    <row r="4780" ht="14.25" customHeight="1">
      <c r="A4780" s="2" t="s">
        <v>241</v>
      </c>
      <c r="B4780" s="2" t="s">
        <v>242</v>
      </c>
      <c r="C4780" s="2">
        <v>1992.0</v>
      </c>
      <c r="D4780" s="9">
        <v>8403.564</v>
      </c>
      <c r="E4780" s="10" t="str">
        <f t="array" ref="E4780">IFS(D4780&lt;=$G$3,'calculated data '!$A$3,D4780&lt;=$G$4,'calculated data '!$A$4,D4780&lt;=$G$6,'calculated data '!$A$5,D4780&gt;=$G$6,'calculated data '!$A$6)</f>
        <v>Target Market (Core IQR)</v>
      </c>
      <c r="F4780" s="10">
        <f t="shared" si="1"/>
        <v>-0.4407312288</v>
      </c>
    </row>
    <row r="4781" ht="14.25" customHeight="1">
      <c r="A4781" s="2" t="s">
        <v>289</v>
      </c>
      <c r="B4781" s="2" t="s">
        <v>290</v>
      </c>
      <c r="C4781" s="2">
        <v>2012.0</v>
      </c>
      <c r="D4781" s="9">
        <v>8405.116</v>
      </c>
      <c r="E4781" s="10" t="str">
        <f t="array" ref="E4781">IFS(D4781&lt;=$G$3,'calculated data '!$A$3,D4781&lt;=$G$4,'calculated data '!$A$4,D4781&lt;=$G$6,'calculated data '!$A$5,D4781&gt;=$G$6,'calculated data '!$A$6)</f>
        <v>Target Market (Core IQR)</v>
      </c>
      <c r="F4781" s="10">
        <f t="shared" si="1"/>
        <v>-0.4406901478</v>
      </c>
    </row>
    <row r="4782" ht="14.25" customHeight="1">
      <c r="A4782" s="2" t="s">
        <v>39</v>
      </c>
      <c r="B4782" s="2" t="s">
        <v>40</v>
      </c>
      <c r="C4782" s="2">
        <v>1985.0</v>
      </c>
      <c r="D4782" s="9">
        <v>8406.615</v>
      </c>
      <c r="E4782" s="10" t="str">
        <f t="array" ref="E4782">IFS(D4782&lt;=$G$3,'calculated data '!$A$3,D4782&lt;=$G$4,'calculated data '!$A$4,D4782&lt;=$G$6,'calculated data '!$A$5,D4782&gt;=$G$6,'calculated data '!$A$6)</f>
        <v>Target Market (Core IQR)</v>
      </c>
      <c r="F4782" s="10">
        <f t="shared" si="1"/>
        <v>-0.4406504696</v>
      </c>
    </row>
    <row r="4783" ht="14.25" customHeight="1">
      <c r="A4783" s="2" t="s">
        <v>297</v>
      </c>
      <c r="B4783" s="2" t="s">
        <v>298</v>
      </c>
      <c r="C4783" s="2">
        <v>2005.0</v>
      </c>
      <c r="D4783" s="9">
        <v>8406.679</v>
      </c>
      <c r="E4783" s="10" t="str">
        <f t="array" ref="E4783">IFS(D4783&lt;=$G$3,'calculated data '!$A$3,D4783&lt;=$G$4,'calculated data '!$A$4,D4783&lt;=$G$6,'calculated data '!$A$5,D4783&gt;=$G$6,'calculated data '!$A$6)</f>
        <v>Target Market (Core IQR)</v>
      </c>
      <c r="F4783" s="10">
        <f t="shared" si="1"/>
        <v>-0.4406487756</v>
      </c>
    </row>
    <row r="4784" ht="14.25" customHeight="1">
      <c r="A4784" s="2" t="s">
        <v>299</v>
      </c>
      <c r="B4784" s="2" t="s">
        <v>300</v>
      </c>
      <c r="C4784" s="2">
        <v>2014.0</v>
      </c>
      <c r="D4784" s="9">
        <v>8409.271</v>
      </c>
      <c r="E4784" s="10" t="str">
        <f t="array" ref="E4784">IFS(D4784&lt;=$G$3,'calculated data '!$A$3,D4784&lt;=$G$4,'calculated data '!$A$4,D4784&lt;=$G$6,'calculated data '!$A$5,D4784&gt;=$G$6,'calculated data '!$A$6)</f>
        <v>Target Market (Core IQR)</v>
      </c>
      <c r="F4784" s="10">
        <f t="shared" si="1"/>
        <v>-0.440580166</v>
      </c>
    </row>
    <row r="4785" ht="14.25" customHeight="1">
      <c r="A4785" s="2" t="s">
        <v>243</v>
      </c>
      <c r="B4785" s="2" t="s">
        <v>244</v>
      </c>
      <c r="C4785" s="2">
        <v>2016.0</v>
      </c>
      <c r="D4785" s="9">
        <v>8412.105</v>
      </c>
      <c r="E4785" s="10" t="str">
        <f t="array" ref="E4785">IFS(D4785&lt;=$G$3,'calculated data '!$A$3,D4785&lt;=$G$4,'calculated data '!$A$4,D4785&lt;=$G$6,'calculated data '!$A$5,D4785&gt;=$G$6,'calculated data '!$A$6)</f>
        <v>Target Market (Core IQR)</v>
      </c>
      <c r="F4785" s="10">
        <f t="shared" si="1"/>
        <v>-0.4405051507</v>
      </c>
    </row>
    <row r="4786" ht="14.25" customHeight="1">
      <c r="A4786" s="2" t="s">
        <v>99</v>
      </c>
      <c r="B4786" s="2" t="s">
        <v>100</v>
      </c>
      <c r="C4786" s="2">
        <v>2003.0</v>
      </c>
      <c r="D4786" s="9">
        <v>8413.009</v>
      </c>
      <c r="E4786" s="10" t="str">
        <f t="array" ref="E4786">IFS(D4786&lt;=$G$3,'calculated data '!$A$3,D4786&lt;=$G$4,'calculated data '!$A$4,D4786&lt;=$G$6,'calculated data '!$A$5,D4786&gt;=$G$6,'calculated data '!$A$6)</f>
        <v>Target Market (Core IQR)</v>
      </c>
      <c r="F4786" s="10">
        <f t="shared" si="1"/>
        <v>-0.440481222</v>
      </c>
    </row>
    <row r="4787" ht="14.25" customHeight="1">
      <c r="A4787" s="2" t="s">
        <v>321</v>
      </c>
      <c r="B4787" s="2" t="s">
        <v>322</v>
      </c>
      <c r="C4787" s="2">
        <v>2022.0</v>
      </c>
      <c r="D4787" s="9">
        <v>8414.643</v>
      </c>
      <c r="E4787" s="10" t="str">
        <f t="array" ref="E4787">IFS(D4787&lt;=$G$3,'calculated data '!$A$3,D4787&lt;=$G$4,'calculated data '!$A$4,D4787&lt;=$G$6,'calculated data '!$A$5,D4787&gt;=$G$6,'calculated data '!$A$6)</f>
        <v>Target Market (Core IQR)</v>
      </c>
      <c r="F4787" s="10">
        <f t="shared" si="1"/>
        <v>-0.4404379705</v>
      </c>
    </row>
    <row r="4788" ht="14.25" customHeight="1">
      <c r="A4788" s="2" t="s">
        <v>195</v>
      </c>
      <c r="B4788" s="2" t="s">
        <v>196</v>
      </c>
      <c r="C4788" s="2">
        <v>2024.0</v>
      </c>
      <c r="D4788" s="9">
        <v>8416.186</v>
      </c>
      <c r="E4788" s="10" t="str">
        <f t="array" ref="E4788">IFS(D4788&lt;=$G$3,'calculated data '!$A$3,D4788&lt;=$G$4,'calculated data '!$A$4,D4788&lt;=$G$6,'calculated data '!$A$5,D4788&gt;=$G$6,'calculated data '!$A$6)</f>
        <v>Target Market (Core IQR)</v>
      </c>
      <c r="F4788" s="10">
        <f t="shared" si="1"/>
        <v>-0.4403971276</v>
      </c>
    </row>
    <row r="4789" ht="14.25" customHeight="1">
      <c r="A4789" s="2" t="s">
        <v>317</v>
      </c>
      <c r="B4789" s="2" t="s">
        <v>318</v>
      </c>
      <c r="C4789" s="2">
        <v>1987.0</v>
      </c>
      <c r="D4789" s="9">
        <v>8418.683</v>
      </c>
      <c r="E4789" s="10" t="str">
        <f t="array" ref="E4789">IFS(D4789&lt;=$G$3,'calculated data '!$A$3,D4789&lt;=$G$4,'calculated data '!$A$4,D4789&lt;=$G$6,'calculated data '!$A$5,D4789&gt;=$G$6,'calculated data '!$A$6)</f>
        <v>Target Market (Core IQR)</v>
      </c>
      <c r="F4789" s="10">
        <f t="shared" si="1"/>
        <v>-0.4403310327</v>
      </c>
    </row>
    <row r="4790" ht="14.25" customHeight="1">
      <c r="A4790" s="2" t="s">
        <v>263</v>
      </c>
      <c r="B4790" s="2" t="s">
        <v>264</v>
      </c>
      <c r="C4790" s="2">
        <v>2011.0</v>
      </c>
      <c r="D4790" s="9">
        <v>8425.691</v>
      </c>
      <c r="E4790" s="10" t="str">
        <f t="array" ref="E4790">IFS(D4790&lt;=$G$3,'calculated data '!$A$3,D4790&lt;=$G$4,'calculated data '!$A$4,D4790&lt;=$G$6,'calculated data '!$A$5,D4790&gt;=$G$6,'calculated data '!$A$6)</f>
        <v>Target Market (Core IQR)</v>
      </c>
      <c r="F4790" s="10">
        <f t="shared" si="1"/>
        <v>-0.4401455327</v>
      </c>
    </row>
    <row r="4791" ht="14.25" customHeight="1">
      <c r="A4791" s="2" t="s">
        <v>269</v>
      </c>
      <c r="B4791" s="2" t="s">
        <v>270</v>
      </c>
      <c r="C4791" s="2">
        <v>1980.0</v>
      </c>
      <c r="D4791" s="9">
        <v>8429.496</v>
      </c>
      <c r="E4791" s="10" t="str">
        <f t="array" ref="E4791">IFS(D4791&lt;=$G$3,'calculated data '!$A$3,D4791&lt;=$G$4,'calculated data '!$A$4,D4791&lt;=$G$6,'calculated data '!$A$5,D4791&gt;=$G$6,'calculated data '!$A$6)</f>
        <v>Target Market (Core IQR)</v>
      </c>
      <c r="F4791" s="10">
        <f t="shared" si="1"/>
        <v>-0.4400448153</v>
      </c>
    </row>
    <row r="4792" ht="14.25" customHeight="1">
      <c r="A4792" s="2" t="s">
        <v>303</v>
      </c>
      <c r="B4792" s="2" t="s">
        <v>304</v>
      </c>
      <c r="C4792" s="2">
        <v>1994.0</v>
      </c>
      <c r="D4792" s="9">
        <v>8430.774</v>
      </c>
      <c r="E4792" s="10" t="str">
        <f t="array" ref="E4792">IFS(D4792&lt;=$G$3,'calculated data '!$A$3,D4792&lt;=$G$4,'calculated data '!$A$4,D4792&lt;=$G$6,'calculated data '!$A$5,D4792&gt;=$G$6,'calculated data '!$A$6)</f>
        <v>Target Market (Core IQR)</v>
      </c>
      <c r="F4792" s="10">
        <f t="shared" si="1"/>
        <v>-0.4400109869</v>
      </c>
    </row>
    <row r="4793" ht="14.25" customHeight="1">
      <c r="A4793" s="2" t="s">
        <v>327</v>
      </c>
      <c r="B4793" s="2" t="s">
        <v>328</v>
      </c>
      <c r="C4793" s="2">
        <v>1986.0</v>
      </c>
      <c r="D4793" s="9">
        <v>8452.607</v>
      </c>
      <c r="E4793" s="10" t="str">
        <f t="array" ref="E4793">IFS(D4793&lt;=$G$3,'calculated data '!$A$3,D4793&lt;=$G$4,'calculated data '!$A$4,D4793&lt;=$G$6,'calculated data '!$A$5,D4793&gt;=$G$6,'calculated data '!$A$6)</f>
        <v>Target Market (Core IQR)</v>
      </c>
      <c r="F4793" s="10">
        <f t="shared" si="1"/>
        <v>-0.4394330728</v>
      </c>
    </row>
    <row r="4794" ht="14.25" customHeight="1">
      <c r="A4794" s="2" t="s">
        <v>261</v>
      </c>
      <c r="B4794" s="2" t="s">
        <v>262</v>
      </c>
      <c r="C4794" s="2">
        <v>2013.0</v>
      </c>
      <c r="D4794" s="9">
        <v>8453.235</v>
      </c>
      <c r="E4794" s="10" t="str">
        <f t="array" ref="E4794">IFS(D4794&lt;=$G$3,'calculated data '!$A$3,D4794&lt;=$G$4,'calculated data '!$A$4,D4794&lt;=$G$6,'calculated data '!$A$5,D4794&gt;=$G$6,'calculated data '!$A$6)</f>
        <v>Target Market (Core IQR)</v>
      </c>
      <c r="F4794" s="10">
        <f t="shared" si="1"/>
        <v>-0.4394164498</v>
      </c>
    </row>
    <row r="4795" ht="14.25" customHeight="1">
      <c r="A4795" s="2" t="s">
        <v>293</v>
      </c>
      <c r="B4795" s="2" t="s">
        <v>294</v>
      </c>
      <c r="C4795" s="2">
        <v>1993.0</v>
      </c>
      <c r="D4795" s="9">
        <v>8459.587</v>
      </c>
      <c r="E4795" s="10" t="str">
        <f t="array" ref="E4795">IFS(D4795&lt;=$G$3,'calculated data '!$A$3,D4795&lt;=$G$4,'calculated data '!$A$4,D4795&lt;=$G$6,'calculated data '!$A$5,D4795&gt;=$G$6,'calculated data '!$A$6)</f>
        <v>Target Market (Core IQR)</v>
      </c>
      <c r="F4795" s="10">
        <f t="shared" si="1"/>
        <v>-0.439248314</v>
      </c>
    </row>
    <row r="4796" ht="14.25" customHeight="1">
      <c r="A4796" s="2" t="s">
        <v>183</v>
      </c>
      <c r="B4796" s="2" t="s">
        <v>184</v>
      </c>
      <c r="C4796" s="2">
        <v>2008.0</v>
      </c>
      <c r="D4796" s="9">
        <v>8474.574</v>
      </c>
      <c r="E4796" s="10" t="str">
        <f t="array" ref="E4796">IFS(D4796&lt;=$G$3,'calculated data '!$A$3,D4796&lt;=$G$4,'calculated data '!$A$4,D4796&lt;=$G$6,'calculated data '!$A$5,D4796&gt;=$G$6,'calculated data '!$A$6)</f>
        <v>Target Market (Core IQR)</v>
      </c>
      <c r="F4796" s="10">
        <f t="shared" si="1"/>
        <v>-0.4388516118</v>
      </c>
    </row>
    <row r="4797" ht="14.25" customHeight="1">
      <c r="A4797" s="2" t="s">
        <v>315</v>
      </c>
      <c r="B4797" s="2" t="s">
        <v>316</v>
      </c>
      <c r="C4797" s="2">
        <v>1996.0</v>
      </c>
      <c r="D4797" s="9">
        <v>8482.272</v>
      </c>
      <c r="E4797" s="10" t="str">
        <f t="array" ref="E4797">IFS(D4797&lt;=$G$3,'calculated data '!$A$3,D4797&lt;=$G$4,'calculated data '!$A$4,D4797&lt;=$G$6,'calculated data '!$A$5,D4797&gt;=$G$6,'calculated data '!$A$6)</f>
        <v>Target Market (Core IQR)</v>
      </c>
      <c r="F4797" s="10">
        <f t="shared" si="1"/>
        <v>-0.4386478477</v>
      </c>
    </row>
    <row r="4798" ht="14.25" customHeight="1">
      <c r="A4798" s="2" t="s">
        <v>287</v>
      </c>
      <c r="B4798" s="2" t="s">
        <v>288</v>
      </c>
      <c r="C4798" s="2">
        <v>1982.0</v>
      </c>
      <c r="D4798" s="9">
        <v>8483.944</v>
      </c>
      <c r="E4798" s="10" t="str">
        <f t="array" ref="E4798">IFS(D4798&lt;=$G$3,'calculated data '!$A$3,D4798&lt;=$G$4,'calculated data '!$A$4,D4798&lt;=$G$6,'calculated data '!$A$5,D4798&gt;=$G$6,'calculated data '!$A$6)</f>
        <v>Target Market (Core IQR)</v>
      </c>
      <c r="F4798" s="10">
        <f t="shared" si="1"/>
        <v>-0.4386035903</v>
      </c>
    </row>
    <row r="4799" ht="14.25" customHeight="1">
      <c r="A4799" s="2" t="s">
        <v>197</v>
      </c>
      <c r="B4799" s="2" t="s">
        <v>198</v>
      </c>
      <c r="C4799" s="2">
        <v>1998.0</v>
      </c>
      <c r="D4799" s="9">
        <v>8485.235</v>
      </c>
      <c r="E4799" s="10" t="str">
        <f t="array" ref="E4799">IFS(D4799&lt;=$G$3,'calculated data '!$A$3,D4799&lt;=$G$4,'calculated data '!$A$4,D4799&lt;=$G$6,'calculated data '!$A$5,D4799&gt;=$G$6,'calculated data '!$A$6)</f>
        <v>Target Market (Core IQR)</v>
      </c>
      <c r="F4799" s="10">
        <f t="shared" si="1"/>
        <v>-0.4385694178</v>
      </c>
    </row>
    <row r="4800" ht="14.25" customHeight="1">
      <c r="A4800" s="2" t="s">
        <v>255</v>
      </c>
      <c r="B4800" s="2" t="s">
        <v>256</v>
      </c>
      <c r="C4800" s="2">
        <v>2022.0</v>
      </c>
      <c r="D4800" s="9">
        <v>8492.352</v>
      </c>
      <c r="E4800" s="10" t="str">
        <f t="array" ref="E4800">IFS(D4800&lt;=$G$3,'calculated data '!$A$3,D4800&lt;=$G$4,'calculated data '!$A$4,D4800&lt;=$G$6,'calculated data '!$A$5,D4800&gt;=$G$6,'calculated data '!$A$6)</f>
        <v>Target Market (Core IQR)</v>
      </c>
      <c r="F4800" s="10">
        <f t="shared" si="1"/>
        <v>-0.4383810326</v>
      </c>
    </row>
    <row r="4801" ht="14.25" customHeight="1">
      <c r="A4801" s="2" t="s">
        <v>265</v>
      </c>
      <c r="B4801" s="2" t="s">
        <v>266</v>
      </c>
      <c r="C4801" s="2">
        <v>2013.0</v>
      </c>
      <c r="D4801" s="9">
        <v>8494.182</v>
      </c>
      <c r="E4801" s="10" t="str">
        <f t="array" ref="E4801">IFS(D4801&lt;=$G$3,'calculated data '!$A$3,D4801&lt;=$G$4,'calculated data '!$A$4,D4801&lt;=$G$6,'calculated data '!$A$5,D4801&gt;=$G$6,'calculated data '!$A$6)</f>
        <v>Target Market (Core IQR)</v>
      </c>
      <c r="F4801" s="10">
        <f t="shared" si="1"/>
        <v>-0.4383325929</v>
      </c>
    </row>
    <row r="4802" ht="14.25" customHeight="1">
      <c r="A4802" s="2" t="s">
        <v>277</v>
      </c>
      <c r="B4802" s="2" t="s">
        <v>278</v>
      </c>
      <c r="C4802" s="2">
        <v>1995.0</v>
      </c>
      <c r="D4802" s="9">
        <v>8500.435</v>
      </c>
      <c r="E4802" s="10" t="str">
        <f t="array" ref="E4802">IFS(D4802&lt;=$G$3,'calculated data '!$A$3,D4802&lt;=$G$4,'calculated data '!$A$4,D4802&lt;=$G$6,'calculated data '!$A$5,D4802&gt;=$G$6,'calculated data '!$A$6)</f>
        <v>Target Market (Core IQR)</v>
      </c>
      <c r="F4802" s="10">
        <f t="shared" si="1"/>
        <v>-0.4381670776</v>
      </c>
    </row>
    <row r="4803" ht="14.25" customHeight="1">
      <c r="A4803" s="2" t="s">
        <v>281</v>
      </c>
      <c r="B4803" s="2" t="s">
        <v>282</v>
      </c>
      <c r="C4803" s="2">
        <v>2012.0</v>
      </c>
      <c r="D4803" s="9">
        <v>8502.842</v>
      </c>
      <c r="E4803" s="10" t="str">
        <f t="array" ref="E4803">IFS(D4803&lt;=$G$3,'calculated data '!$A$3,D4803&lt;=$G$4,'calculated data '!$A$4,D4803&lt;=$G$6,'calculated data '!$A$5,D4803&gt;=$G$6,'calculated data '!$A$6)</f>
        <v>Target Market (Core IQR)</v>
      </c>
      <c r="F4803" s="10">
        <f t="shared" si="1"/>
        <v>-0.4381033649</v>
      </c>
    </row>
    <row r="4804" ht="14.25" customHeight="1">
      <c r="A4804" s="2" t="s">
        <v>253</v>
      </c>
      <c r="B4804" s="2" t="s">
        <v>254</v>
      </c>
      <c r="C4804" s="2">
        <v>1990.0</v>
      </c>
      <c r="D4804" s="9">
        <v>8505.582</v>
      </c>
      <c r="E4804" s="10" t="str">
        <f t="array" ref="E4804">IFS(D4804&lt;=$G$3,'calculated data '!$A$3,D4804&lt;=$G$4,'calculated data '!$A$4,D4804&lt;=$G$6,'calculated data '!$A$5,D4804&gt;=$G$6,'calculated data '!$A$6)</f>
        <v>Target Market (Core IQR)</v>
      </c>
      <c r="F4804" s="10">
        <f t="shared" si="1"/>
        <v>-0.4380308378</v>
      </c>
    </row>
    <row r="4805" ht="14.25" customHeight="1">
      <c r="A4805" s="2" t="s">
        <v>83</v>
      </c>
      <c r="B4805" s="2" t="s">
        <v>84</v>
      </c>
      <c r="C4805" s="2">
        <v>2016.0</v>
      </c>
      <c r="D4805" s="9">
        <v>8507.049</v>
      </c>
      <c r="E4805" s="10" t="str">
        <f t="array" ref="E4805">IFS(D4805&lt;=$G$3,'calculated data '!$A$3,D4805&lt;=$G$4,'calculated data '!$A$4,D4805&lt;=$G$6,'calculated data '!$A$5,D4805&gt;=$G$6,'calculated data '!$A$6)</f>
        <v>Target Market (Core IQR)</v>
      </c>
      <c r="F4805" s="10">
        <f t="shared" si="1"/>
        <v>-0.4379920067</v>
      </c>
    </row>
    <row r="4806" ht="14.25" customHeight="1">
      <c r="A4806" s="2" t="s">
        <v>275</v>
      </c>
      <c r="B4806" s="2" t="s">
        <v>276</v>
      </c>
      <c r="C4806" s="2">
        <v>2022.0</v>
      </c>
      <c r="D4806" s="9">
        <v>8510.406</v>
      </c>
      <c r="E4806" s="10" t="str">
        <f t="array" ref="E4806">IFS(D4806&lt;=$G$3,'calculated data '!$A$3,D4806&lt;=$G$4,'calculated data '!$A$4,D4806&lt;=$G$6,'calculated data '!$A$5,D4806&gt;=$G$6,'calculated data '!$A$6)</f>
        <v>Target Market (Core IQR)</v>
      </c>
      <c r="F4806" s="10">
        <f t="shared" si="1"/>
        <v>-0.4379031477</v>
      </c>
    </row>
    <row r="4807" ht="14.25" customHeight="1">
      <c r="A4807" s="2" t="s">
        <v>195</v>
      </c>
      <c r="B4807" s="2" t="s">
        <v>196</v>
      </c>
      <c r="C4807" s="2">
        <v>2000.0</v>
      </c>
      <c r="D4807" s="9">
        <v>8510.754</v>
      </c>
      <c r="E4807" s="10" t="str">
        <f t="array" ref="E4807">IFS(D4807&lt;=$G$3,'calculated data '!$A$3,D4807&lt;=$G$4,'calculated data '!$A$4,D4807&lt;=$G$6,'calculated data '!$A$5,D4807&gt;=$G$6,'calculated data '!$A$6)</f>
        <v>Target Market (Core IQR)</v>
      </c>
      <c r="F4807" s="10">
        <f t="shared" si="1"/>
        <v>-0.4378939362</v>
      </c>
    </row>
    <row r="4808" ht="14.25" customHeight="1">
      <c r="A4808" s="2" t="s">
        <v>203</v>
      </c>
      <c r="B4808" s="2" t="s">
        <v>204</v>
      </c>
      <c r="C4808" s="2">
        <v>2002.0</v>
      </c>
      <c r="D4808" s="9">
        <v>8511.827</v>
      </c>
      <c r="E4808" s="10" t="str">
        <f t="array" ref="E4808">IFS(D4808&lt;=$G$3,'calculated data '!$A$3,D4808&lt;=$G$4,'calculated data '!$A$4,D4808&lt;=$G$6,'calculated data '!$A$5,D4808&gt;=$G$6,'calculated data '!$A$6)</f>
        <v>Target Market (Core IQR)</v>
      </c>
      <c r="F4808" s="10">
        <f t="shared" si="1"/>
        <v>-0.4378655342</v>
      </c>
    </row>
    <row r="4809" ht="14.25" customHeight="1">
      <c r="A4809" s="2" t="s">
        <v>129</v>
      </c>
      <c r="B4809" s="2" t="s">
        <v>130</v>
      </c>
      <c r="C4809" s="2">
        <v>2019.0</v>
      </c>
      <c r="D4809" s="9">
        <v>8520.321</v>
      </c>
      <c r="E4809" s="10" t="str">
        <f t="array" ref="E4809">IFS(D4809&lt;=$G$3,'calculated data '!$A$3,D4809&lt;=$G$4,'calculated data '!$A$4,D4809&lt;=$G$6,'calculated data '!$A$5,D4809&gt;=$G$6,'calculated data '!$A$6)</f>
        <v>Target Market (Core IQR)</v>
      </c>
      <c r="F4809" s="10">
        <f t="shared" si="1"/>
        <v>-0.4376407001</v>
      </c>
    </row>
    <row r="4810" ht="14.25" customHeight="1">
      <c r="A4810" s="2" t="s">
        <v>243</v>
      </c>
      <c r="B4810" s="2" t="s">
        <v>244</v>
      </c>
      <c r="C4810" s="2">
        <v>2015.0</v>
      </c>
      <c r="D4810" s="9">
        <v>8520.548</v>
      </c>
      <c r="E4810" s="10" t="str">
        <f t="array" ref="E4810">IFS(D4810&lt;=$G$3,'calculated data '!$A$3,D4810&lt;=$G$4,'calculated data '!$A$4,D4810&lt;=$G$6,'calculated data '!$A$5,D4810&gt;=$G$6,'calculated data '!$A$6)</f>
        <v>Target Market (Core IQR)</v>
      </c>
      <c r="F4810" s="10">
        <f t="shared" si="1"/>
        <v>-0.4376346915</v>
      </c>
    </row>
    <row r="4811" ht="14.25" customHeight="1">
      <c r="A4811" s="2" t="s">
        <v>185</v>
      </c>
      <c r="B4811" s="2" t="s">
        <v>186</v>
      </c>
      <c r="C4811" s="2">
        <v>2004.0</v>
      </c>
      <c r="D4811" s="9">
        <v>8534.022</v>
      </c>
      <c r="E4811" s="10" t="str">
        <f t="array" ref="E4811">IFS(D4811&lt;=$G$3,'calculated data '!$A$3,D4811&lt;=$G$4,'calculated data '!$A$4,D4811&lt;=$G$6,'calculated data '!$A$5,D4811&gt;=$G$6,'calculated data '!$A$6)</f>
        <v>Target Market (Core IQR)</v>
      </c>
      <c r="F4811" s="10">
        <f t="shared" si="1"/>
        <v>-0.4372780381</v>
      </c>
    </row>
    <row r="4812" ht="14.25" customHeight="1">
      <c r="A4812" s="2" t="s">
        <v>197</v>
      </c>
      <c r="B4812" s="2" t="s">
        <v>198</v>
      </c>
      <c r="C4812" s="2">
        <v>1997.0</v>
      </c>
      <c r="D4812" s="9">
        <v>8540.806</v>
      </c>
      <c r="E4812" s="10" t="str">
        <f t="array" ref="E4812">IFS(D4812&lt;=$G$3,'calculated data '!$A$3,D4812&lt;=$G$4,'calculated data '!$A$4,D4812&lt;=$G$6,'calculated data '!$A$5,D4812&gt;=$G$6,'calculated data '!$A$6)</f>
        <v>Target Market (Core IQR)</v>
      </c>
      <c r="F4812" s="10">
        <f t="shared" si="1"/>
        <v>-0.4370984673</v>
      </c>
    </row>
    <row r="4813" ht="14.25" customHeight="1">
      <c r="A4813" s="2" t="s">
        <v>279</v>
      </c>
      <c r="B4813" s="2" t="s">
        <v>280</v>
      </c>
      <c r="C4813" s="2">
        <v>1971.0</v>
      </c>
      <c r="D4813" s="9">
        <v>8542.485</v>
      </c>
      <c r="E4813" s="10" t="str">
        <f t="array" ref="E4813">IFS(D4813&lt;=$G$3,'calculated data '!$A$3,D4813&lt;=$G$4,'calculated data '!$A$4,D4813&lt;=$G$6,'calculated data '!$A$5,D4813&gt;=$G$6,'calculated data '!$A$6)</f>
        <v>Target Market (Core IQR)</v>
      </c>
      <c r="F4813" s="10">
        <f t="shared" si="1"/>
        <v>-0.4370540246</v>
      </c>
    </row>
    <row r="4814" ht="14.25" customHeight="1">
      <c r="A4814" s="2" t="s">
        <v>261</v>
      </c>
      <c r="B4814" s="2" t="s">
        <v>262</v>
      </c>
      <c r="C4814" s="2">
        <v>2015.0</v>
      </c>
      <c r="D4814" s="9">
        <v>8542.498</v>
      </c>
      <c r="E4814" s="10" t="str">
        <f t="array" ref="E4814">IFS(D4814&lt;=$G$3,'calculated data '!$A$3,D4814&lt;=$G$4,'calculated data '!$A$4,D4814&lt;=$G$6,'calculated data '!$A$5,D4814&gt;=$G$6,'calculated data '!$A$6)</f>
        <v>Target Market (Core IQR)</v>
      </c>
      <c r="F4814" s="10">
        <f t="shared" si="1"/>
        <v>-0.4370536805</v>
      </c>
    </row>
    <row r="4815" ht="14.25" customHeight="1">
      <c r="A4815" s="2" t="s">
        <v>301</v>
      </c>
      <c r="B4815" s="2" t="s">
        <v>302</v>
      </c>
      <c r="C4815" s="2">
        <v>1973.0</v>
      </c>
      <c r="D4815" s="9">
        <v>8543.349</v>
      </c>
      <c r="E4815" s="10" t="str">
        <f t="array" ref="E4815">IFS(D4815&lt;=$G$3,'calculated data '!$A$3,D4815&lt;=$G$4,'calculated data '!$A$4,D4815&lt;=$G$6,'calculated data '!$A$5,D4815&gt;=$G$6,'calculated data '!$A$6)</f>
        <v>Target Market (Core IQR)</v>
      </c>
      <c r="F4815" s="10">
        <f t="shared" si="1"/>
        <v>-0.4370311547</v>
      </c>
    </row>
    <row r="4816" ht="14.25" customHeight="1">
      <c r="A4816" s="2" t="s">
        <v>259</v>
      </c>
      <c r="B4816" s="2" t="s">
        <v>260</v>
      </c>
      <c r="C4816" s="2">
        <v>2000.0</v>
      </c>
      <c r="D4816" s="9">
        <v>8543.656</v>
      </c>
      <c r="E4816" s="10" t="str">
        <f t="array" ref="E4816">IFS(D4816&lt;=$G$3,'calculated data '!$A$3,D4816&lt;=$G$4,'calculated data '!$A$4,D4816&lt;=$G$6,'calculated data '!$A$5,D4816&gt;=$G$6,'calculated data '!$A$6)</f>
        <v>Target Market (Core IQR)</v>
      </c>
      <c r="F4816" s="10">
        <f t="shared" si="1"/>
        <v>-0.4370230285</v>
      </c>
    </row>
    <row r="4817" ht="14.25" customHeight="1">
      <c r="A4817" s="2" t="s">
        <v>263</v>
      </c>
      <c r="B4817" s="2" t="s">
        <v>264</v>
      </c>
      <c r="C4817" s="2">
        <v>2006.0</v>
      </c>
      <c r="D4817" s="9">
        <v>8546.778</v>
      </c>
      <c r="E4817" s="10" t="str">
        <f t="array" ref="E4817">IFS(D4817&lt;=$G$3,'calculated data '!$A$3,D4817&lt;=$G$4,'calculated data '!$A$4,D4817&lt;=$G$6,'calculated data '!$A$5,D4817&gt;=$G$6,'calculated data '!$A$6)</f>
        <v>Target Market (Core IQR)</v>
      </c>
      <c r="F4817" s="10">
        <f t="shared" si="1"/>
        <v>-0.4369403899</v>
      </c>
    </row>
    <row r="4818" ht="14.25" customHeight="1">
      <c r="A4818" s="2" t="s">
        <v>83</v>
      </c>
      <c r="B4818" s="2" t="s">
        <v>84</v>
      </c>
      <c r="C4818" s="2">
        <v>2022.0</v>
      </c>
      <c r="D4818" s="9">
        <v>8549.83</v>
      </c>
      <c r="E4818" s="10" t="str">
        <f t="array" ref="E4818">IFS(D4818&lt;=$G$3,'calculated data '!$A$3,D4818&lt;=$G$4,'calculated data '!$A$4,D4818&lt;=$G$6,'calculated data '!$A$5,D4818&gt;=$G$6,'calculated data '!$A$6)</f>
        <v>Target Market (Core IQR)</v>
      </c>
      <c r="F4818" s="10">
        <f t="shared" si="1"/>
        <v>-0.4368596042</v>
      </c>
    </row>
    <row r="4819" ht="14.25" customHeight="1">
      <c r="A4819" s="2" t="s">
        <v>251</v>
      </c>
      <c r="B4819" s="2" t="s">
        <v>252</v>
      </c>
      <c r="C4819" s="2">
        <v>2008.0</v>
      </c>
      <c r="D4819" s="9">
        <v>8550.095</v>
      </c>
      <c r="E4819" s="10" t="str">
        <f t="array" ref="E4819">IFS(D4819&lt;=$G$3,'calculated data '!$A$3,D4819&lt;=$G$4,'calculated data '!$A$4,D4819&lt;=$G$6,'calculated data '!$A$5,D4819&gt;=$G$6,'calculated data '!$A$6)</f>
        <v>Target Market (Core IQR)</v>
      </c>
      <c r="F4819" s="10">
        <f t="shared" si="1"/>
        <v>-0.4368525898</v>
      </c>
    </row>
    <row r="4820" ht="14.25" customHeight="1">
      <c r="A4820" s="2" t="s">
        <v>299</v>
      </c>
      <c r="B4820" s="2" t="s">
        <v>300</v>
      </c>
      <c r="C4820" s="2">
        <v>2000.0</v>
      </c>
      <c r="D4820" s="9">
        <v>8554.152</v>
      </c>
      <c r="E4820" s="10" t="str">
        <f t="array" ref="E4820">IFS(D4820&lt;=$G$3,'calculated data '!$A$3,D4820&lt;=$G$4,'calculated data '!$A$4,D4820&lt;=$G$6,'calculated data '!$A$5,D4820&gt;=$G$6,'calculated data '!$A$6)</f>
        <v>Target Market (Core IQR)</v>
      </c>
      <c r="F4820" s="10">
        <f t="shared" si="1"/>
        <v>-0.436745202</v>
      </c>
    </row>
    <row r="4821" ht="14.25" customHeight="1">
      <c r="A4821" s="2" t="s">
        <v>275</v>
      </c>
      <c r="B4821" s="2" t="s">
        <v>276</v>
      </c>
      <c r="C4821" s="2">
        <v>2001.0</v>
      </c>
      <c r="D4821" s="9">
        <v>8554.315</v>
      </c>
      <c r="E4821" s="10" t="str">
        <f t="array" ref="E4821">IFS(D4821&lt;=$G$3,'calculated data '!$A$3,D4821&lt;=$G$4,'calculated data '!$A$4,D4821&lt;=$G$6,'calculated data '!$A$5,D4821&gt;=$G$6,'calculated data '!$A$6)</f>
        <v>Target Market (Core IQR)</v>
      </c>
      <c r="F4821" s="10">
        <f t="shared" si="1"/>
        <v>-0.4367408874</v>
      </c>
    </row>
    <row r="4822" ht="14.25" customHeight="1">
      <c r="A4822" s="2" t="s">
        <v>319</v>
      </c>
      <c r="B4822" s="2" t="s">
        <v>320</v>
      </c>
      <c r="C4822" s="2">
        <v>1966.0</v>
      </c>
      <c r="D4822" s="9">
        <v>8563.817</v>
      </c>
      <c r="E4822" s="10" t="str">
        <f t="array" ref="E4822">IFS(D4822&lt;=$G$3,'calculated data '!$A$3,D4822&lt;=$G$4,'calculated data '!$A$4,D4822&lt;=$G$6,'calculated data '!$A$5,D4822&gt;=$G$6,'calculated data '!$A$6)</f>
        <v>Target Market (Core IQR)</v>
      </c>
      <c r="F4822" s="10">
        <f t="shared" si="1"/>
        <v>-0.4364893718</v>
      </c>
    </row>
    <row r="4823" ht="14.25" customHeight="1">
      <c r="A4823" s="2" t="s">
        <v>261</v>
      </c>
      <c r="B4823" s="2" t="s">
        <v>262</v>
      </c>
      <c r="C4823" s="2">
        <v>2014.0</v>
      </c>
      <c r="D4823" s="9">
        <v>8564.41</v>
      </c>
      <c r="E4823" s="10" t="str">
        <f t="array" ref="E4823">IFS(D4823&lt;=$G$3,'calculated data '!$A$3,D4823&lt;=$G$4,'calculated data '!$A$4,D4823&lt;=$G$6,'calculated data '!$A$5,D4823&gt;=$G$6,'calculated data '!$A$6)</f>
        <v>Target Market (Core IQR)</v>
      </c>
      <c r="F4823" s="10">
        <f t="shared" si="1"/>
        <v>-0.4364736753</v>
      </c>
    </row>
    <row r="4824" ht="14.25" customHeight="1">
      <c r="A4824" s="2" t="s">
        <v>197</v>
      </c>
      <c r="B4824" s="2" t="s">
        <v>198</v>
      </c>
      <c r="C4824" s="2">
        <v>1996.0</v>
      </c>
      <c r="D4824" s="9">
        <v>8564.728</v>
      </c>
      <c r="E4824" s="10" t="str">
        <f t="array" ref="E4824">IFS(D4824&lt;=$G$3,'calculated data '!$A$3,D4824&lt;=$G$4,'calculated data '!$A$4,D4824&lt;=$G$6,'calculated data '!$A$5,D4824&gt;=$G$6,'calculated data '!$A$6)</f>
        <v>Target Market (Core IQR)</v>
      </c>
      <c r="F4824" s="10">
        <f t="shared" si="1"/>
        <v>-0.4364652579</v>
      </c>
    </row>
    <row r="4825" ht="14.25" customHeight="1">
      <c r="A4825" s="2" t="s">
        <v>269</v>
      </c>
      <c r="B4825" s="2" t="s">
        <v>270</v>
      </c>
      <c r="C4825" s="2">
        <v>1981.0</v>
      </c>
      <c r="D4825" s="9">
        <v>8564.899</v>
      </c>
      <c r="E4825" s="10" t="str">
        <f t="array" ref="E4825">IFS(D4825&lt;=$G$3,'calculated data '!$A$3,D4825&lt;=$G$4,'calculated data '!$A$4,D4825&lt;=$G$6,'calculated data '!$A$5,D4825&gt;=$G$6,'calculated data '!$A$6)</f>
        <v>Target Market (Core IQR)</v>
      </c>
      <c r="F4825" s="10">
        <f t="shared" si="1"/>
        <v>-0.4364607316</v>
      </c>
    </row>
    <row r="4826" ht="14.25" customHeight="1">
      <c r="A4826" s="2" t="s">
        <v>275</v>
      </c>
      <c r="B4826" s="2" t="s">
        <v>276</v>
      </c>
      <c r="C4826" s="2">
        <v>2016.0</v>
      </c>
      <c r="D4826" s="9">
        <v>8567.062</v>
      </c>
      <c r="E4826" s="10" t="str">
        <f t="array" ref="E4826">IFS(D4826&lt;=$G$3,'calculated data '!$A$3,D4826&lt;=$G$4,'calculated data '!$A$4,D4826&lt;=$G$6,'calculated data '!$A$5,D4826&gt;=$G$6,'calculated data '!$A$6)</f>
        <v>Target Market (Core IQR)</v>
      </c>
      <c r="F4826" s="10">
        <f t="shared" si="1"/>
        <v>-0.4364034775</v>
      </c>
    </row>
    <row r="4827" ht="14.25" customHeight="1">
      <c r="A4827" s="2" t="s">
        <v>225</v>
      </c>
      <c r="B4827" s="2" t="s">
        <v>226</v>
      </c>
      <c r="C4827" s="2">
        <v>2022.0</v>
      </c>
      <c r="D4827" s="9">
        <v>8570.585</v>
      </c>
      <c r="E4827" s="10" t="str">
        <f t="array" ref="E4827">IFS(D4827&lt;=$G$3,'calculated data '!$A$3,D4827&lt;=$G$4,'calculated data '!$A$4,D4827&lt;=$G$6,'calculated data '!$A$5,D4827&gt;=$G$6,'calculated data '!$A$6)</f>
        <v>Target Market (Core IQR)</v>
      </c>
      <c r="F4827" s="10">
        <f t="shared" si="1"/>
        <v>-0.4363102246</v>
      </c>
    </row>
    <row r="4828" ht="14.25" customHeight="1">
      <c r="A4828" s="2" t="s">
        <v>289</v>
      </c>
      <c r="B4828" s="2" t="s">
        <v>290</v>
      </c>
      <c r="C4828" s="2">
        <v>2007.0</v>
      </c>
      <c r="D4828" s="9">
        <v>8575.337</v>
      </c>
      <c r="E4828" s="10" t="str">
        <f t="array" ref="E4828">IFS(D4828&lt;=$G$3,'calculated data '!$A$3,D4828&lt;=$G$4,'calculated data '!$A$4,D4828&lt;=$G$6,'calculated data '!$A$5,D4828&gt;=$G$6,'calculated data '!$A$6)</f>
        <v>Target Market (Core IQR)</v>
      </c>
      <c r="F4828" s="10">
        <f t="shared" si="1"/>
        <v>-0.4361844403</v>
      </c>
    </row>
    <row r="4829" ht="14.25" customHeight="1">
      <c r="A4829" s="2" t="s">
        <v>325</v>
      </c>
      <c r="B4829" s="2" t="s">
        <v>326</v>
      </c>
      <c r="C4829" s="2">
        <v>2000.0</v>
      </c>
      <c r="D4829" s="9">
        <v>8587.992</v>
      </c>
      <c r="E4829" s="10" t="str">
        <f t="array" ref="E4829">IFS(D4829&lt;=$G$3,'calculated data '!$A$3,D4829&lt;=$G$4,'calculated data '!$A$4,D4829&lt;=$G$6,'calculated data '!$A$5,D4829&gt;=$G$6,'calculated data '!$A$6)</f>
        <v>Target Market (Core IQR)</v>
      </c>
      <c r="F4829" s="10">
        <f t="shared" si="1"/>
        <v>-0.4358494656</v>
      </c>
    </row>
    <row r="4830" ht="14.25" customHeight="1">
      <c r="A4830" s="2" t="s">
        <v>293</v>
      </c>
      <c r="B4830" s="2" t="s">
        <v>294</v>
      </c>
      <c r="C4830" s="2">
        <v>2002.0</v>
      </c>
      <c r="D4830" s="9">
        <v>8588.449</v>
      </c>
      <c r="E4830" s="10" t="str">
        <f t="array" ref="E4830">IFS(D4830&lt;=$G$3,'calculated data '!$A$3,D4830&lt;=$G$4,'calculated data '!$A$4,D4830&lt;=$G$6,'calculated data '!$A$5,D4830&gt;=$G$6,'calculated data '!$A$6)</f>
        <v>Target Market (Core IQR)</v>
      </c>
      <c r="F4830" s="10">
        <f t="shared" si="1"/>
        <v>-0.4358373689</v>
      </c>
    </row>
    <row r="4831" ht="14.25" customHeight="1">
      <c r="A4831" s="2" t="s">
        <v>255</v>
      </c>
      <c r="B4831" s="2" t="s">
        <v>256</v>
      </c>
      <c r="C4831" s="2">
        <v>2023.0</v>
      </c>
      <c r="D4831" s="9">
        <v>8591.456</v>
      </c>
      <c r="E4831" s="10" t="str">
        <f t="array" ref="E4831">IFS(D4831&lt;=$G$3,'calculated data '!$A$3,D4831&lt;=$G$4,'calculated data '!$A$4,D4831&lt;=$G$6,'calculated data '!$A$5,D4831&gt;=$G$6,'calculated data '!$A$6)</f>
        <v>Target Market (Core IQR)</v>
      </c>
      <c r="F4831" s="10">
        <f t="shared" si="1"/>
        <v>-0.4357577744</v>
      </c>
    </row>
    <row r="4832" ht="14.25" customHeight="1">
      <c r="A4832" s="2" t="s">
        <v>45</v>
      </c>
      <c r="B4832" s="2" t="s">
        <v>46</v>
      </c>
      <c r="C4832" s="2">
        <v>1990.0</v>
      </c>
      <c r="D4832" s="9">
        <v>8593.396</v>
      </c>
      <c r="E4832" s="10" t="str">
        <f t="array" ref="E4832">IFS(D4832&lt;=$G$3,'calculated data '!$A$3,D4832&lt;=$G$4,'calculated data '!$A$4,D4832&lt;=$G$6,'calculated data '!$A$5,D4832&gt;=$G$6,'calculated data '!$A$6)</f>
        <v>Target Market (Core IQR)</v>
      </c>
      <c r="F4832" s="10">
        <f t="shared" si="1"/>
        <v>-0.4357064231</v>
      </c>
    </row>
    <row r="4833" ht="14.25" customHeight="1">
      <c r="A4833" s="2" t="s">
        <v>291</v>
      </c>
      <c r="B4833" s="2" t="s">
        <v>292</v>
      </c>
      <c r="C4833" s="2">
        <v>1981.0</v>
      </c>
      <c r="D4833" s="9">
        <v>8605.059</v>
      </c>
      <c r="E4833" s="10" t="str">
        <f t="array" ref="E4833">IFS(D4833&lt;=$G$3,'calculated data '!$A$3,D4833&lt;=$G$4,'calculated data '!$A$4,D4833&lt;=$G$6,'calculated data '!$A$5,D4833&gt;=$G$6,'calculated data '!$A$6)</f>
        <v>Target Market (Core IQR)</v>
      </c>
      <c r="F4833" s="10">
        <f t="shared" si="1"/>
        <v>-0.4353977064</v>
      </c>
    </row>
    <row r="4834" ht="14.25" customHeight="1">
      <c r="A4834" s="2" t="s">
        <v>263</v>
      </c>
      <c r="B4834" s="2" t="s">
        <v>264</v>
      </c>
      <c r="C4834" s="2">
        <v>2008.0</v>
      </c>
      <c r="D4834" s="9">
        <v>8607.035</v>
      </c>
      <c r="E4834" s="10" t="str">
        <f t="array" ref="E4834">IFS(D4834&lt;=$G$3,'calculated data '!$A$3,D4834&lt;=$G$4,'calculated data '!$A$4,D4834&lt;=$G$6,'calculated data '!$A$5,D4834&gt;=$G$6,'calculated data '!$A$6)</f>
        <v>Target Market (Core IQR)</v>
      </c>
      <c r="F4834" s="10">
        <f t="shared" si="1"/>
        <v>-0.4353454021</v>
      </c>
    </row>
    <row r="4835" ht="14.25" customHeight="1">
      <c r="A4835" s="2" t="s">
        <v>205</v>
      </c>
      <c r="B4835" s="2" t="s">
        <v>206</v>
      </c>
      <c r="C4835" s="2">
        <v>2006.0</v>
      </c>
      <c r="D4835" s="9">
        <v>8608.583</v>
      </c>
      <c r="E4835" s="10" t="str">
        <f t="array" ref="E4835">IFS(D4835&lt;=$G$3,'calculated data '!$A$3,D4835&lt;=$G$4,'calculated data '!$A$4,D4835&lt;=$G$6,'calculated data '!$A$5,D4835&gt;=$G$6,'calculated data '!$A$6)</f>
        <v>Target Market (Core IQR)</v>
      </c>
      <c r="F4835" s="10">
        <f t="shared" si="1"/>
        <v>-0.435304427</v>
      </c>
    </row>
    <row r="4836" ht="14.25" customHeight="1">
      <c r="A4836" s="2" t="s">
        <v>195</v>
      </c>
      <c r="B4836" s="2" t="s">
        <v>196</v>
      </c>
      <c r="C4836" s="2">
        <v>2001.0</v>
      </c>
      <c r="D4836" s="9">
        <v>8615.149</v>
      </c>
      <c r="E4836" s="10" t="str">
        <f t="array" ref="E4836">IFS(D4836&lt;=$G$3,'calculated data '!$A$3,D4836&lt;=$G$4,'calculated data '!$A$4,D4836&lt;=$G$6,'calculated data '!$A$5,D4836&gt;=$G$6,'calculated data '!$A$6)</f>
        <v>Target Market (Core IQR)</v>
      </c>
      <c r="F4836" s="10">
        <f t="shared" si="1"/>
        <v>-0.4351306266</v>
      </c>
    </row>
    <row r="4837" ht="14.25" customHeight="1">
      <c r="A4837" s="2" t="s">
        <v>185</v>
      </c>
      <c r="B4837" s="2" t="s">
        <v>186</v>
      </c>
      <c r="C4837" s="2">
        <v>2005.0</v>
      </c>
      <c r="D4837" s="9">
        <v>8616.67</v>
      </c>
      <c r="E4837" s="10" t="str">
        <f t="array" ref="E4837">IFS(D4837&lt;=$G$3,'calculated data '!$A$3,D4837&lt;=$G$4,'calculated data '!$A$4,D4837&lt;=$G$6,'calculated data '!$A$5,D4837&gt;=$G$6,'calculated data '!$A$6)</f>
        <v>Target Market (Core IQR)</v>
      </c>
      <c r="F4837" s="10">
        <f t="shared" si="1"/>
        <v>-0.4350903661</v>
      </c>
    </row>
    <row r="4838" ht="14.25" customHeight="1">
      <c r="A4838" s="2" t="s">
        <v>263</v>
      </c>
      <c r="B4838" s="2" t="s">
        <v>264</v>
      </c>
      <c r="C4838" s="2">
        <v>2013.0</v>
      </c>
      <c r="D4838" s="9">
        <v>8620.207</v>
      </c>
      <c r="E4838" s="10" t="str">
        <f t="array" ref="E4838">IFS(D4838&lt;=$G$3,'calculated data '!$A$3,D4838&lt;=$G$4,'calculated data '!$A$4,D4838&lt;=$G$6,'calculated data '!$A$5,D4838&gt;=$G$6,'calculated data '!$A$6)</f>
        <v>Target Market (Core IQR)</v>
      </c>
      <c r="F4838" s="10">
        <f t="shared" si="1"/>
        <v>-0.4349967426</v>
      </c>
    </row>
    <row r="4839" ht="14.25" customHeight="1">
      <c r="A4839" s="2" t="s">
        <v>313</v>
      </c>
      <c r="B4839" s="2" t="s">
        <v>314</v>
      </c>
      <c r="C4839" s="2">
        <v>1972.0</v>
      </c>
      <c r="D4839" s="9">
        <v>8621.629</v>
      </c>
      <c r="E4839" s="10" t="str">
        <f t="array" ref="E4839">IFS(D4839&lt;=$G$3,'calculated data '!$A$3,D4839&lt;=$G$4,'calculated data '!$A$4,D4839&lt;=$G$6,'calculated data '!$A$5,D4839&gt;=$G$6,'calculated data '!$A$6)</f>
        <v>Target Market (Core IQR)</v>
      </c>
      <c r="F4839" s="10">
        <f t="shared" si="1"/>
        <v>-0.4349591026</v>
      </c>
    </row>
    <row r="4840" ht="14.25" customHeight="1">
      <c r="A4840" s="2" t="s">
        <v>327</v>
      </c>
      <c r="B4840" s="2" t="s">
        <v>328</v>
      </c>
      <c r="C4840" s="2">
        <v>1985.0</v>
      </c>
      <c r="D4840" s="9">
        <v>8624.834</v>
      </c>
      <c r="E4840" s="10" t="str">
        <f t="array" ref="E4840">IFS(D4840&lt;=$G$3,'calculated data '!$A$3,D4840&lt;=$G$4,'calculated data '!$A$4,D4840&lt;=$G$6,'calculated data '!$A$5,D4840&gt;=$G$6,'calculated data '!$A$6)</f>
        <v>Target Market (Core IQR)</v>
      </c>
      <c r="F4840" s="10">
        <f t="shared" si="1"/>
        <v>-0.434874267</v>
      </c>
    </row>
    <row r="4841" ht="14.25" customHeight="1">
      <c r="A4841" s="2" t="s">
        <v>253</v>
      </c>
      <c r="B4841" s="2" t="s">
        <v>254</v>
      </c>
      <c r="C4841" s="2">
        <v>2019.0</v>
      </c>
      <c r="D4841" s="9">
        <v>8630.006</v>
      </c>
      <c r="E4841" s="10" t="str">
        <f t="array" ref="E4841">IFS(D4841&lt;=$G$3,'calculated data '!$A$3,D4841&lt;=$G$4,'calculated data '!$A$4,D4841&lt;=$G$6,'calculated data '!$A$5,D4841&gt;=$G$6,'calculated data '!$A$6)</f>
        <v>Target Market (Core IQR)</v>
      </c>
      <c r="F4841" s="10">
        <f t="shared" si="1"/>
        <v>-0.4347373655</v>
      </c>
    </row>
    <row r="4842" ht="14.25" customHeight="1">
      <c r="A4842" s="2" t="s">
        <v>263</v>
      </c>
      <c r="B4842" s="2" t="s">
        <v>264</v>
      </c>
      <c r="C4842" s="2">
        <v>2005.0</v>
      </c>
      <c r="D4842" s="9">
        <v>8632.461</v>
      </c>
      <c r="E4842" s="10" t="str">
        <f t="array" ref="E4842">IFS(D4842&lt;=$G$3,'calculated data '!$A$3,D4842&lt;=$G$4,'calculated data '!$A$4,D4842&lt;=$G$6,'calculated data '!$A$5,D4842&gt;=$G$6,'calculated data '!$A$6)</f>
        <v>Target Market (Core IQR)</v>
      </c>
      <c r="F4842" s="10">
        <f t="shared" si="1"/>
        <v>-0.4346723823</v>
      </c>
    </row>
    <row r="4843" ht="14.25" customHeight="1">
      <c r="A4843" s="2" t="s">
        <v>281</v>
      </c>
      <c r="B4843" s="2" t="s">
        <v>282</v>
      </c>
      <c r="C4843" s="2">
        <v>2020.0</v>
      </c>
      <c r="D4843" s="9">
        <v>8634.025</v>
      </c>
      <c r="E4843" s="10" t="str">
        <f t="array" ref="E4843">IFS(D4843&lt;=$G$3,'calculated data '!$A$3,D4843&lt;=$G$4,'calculated data '!$A$4,D4843&lt;=$G$6,'calculated data '!$A$5,D4843&gt;=$G$6,'calculated data '!$A$6)</f>
        <v>Target Market (Core IQR)</v>
      </c>
      <c r="F4843" s="10">
        <f t="shared" si="1"/>
        <v>-0.4346309836</v>
      </c>
    </row>
    <row r="4844" ht="14.25" customHeight="1">
      <c r="A4844" s="2" t="s">
        <v>185</v>
      </c>
      <c r="B4844" s="2" t="s">
        <v>186</v>
      </c>
      <c r="C4844" s="2">
        <v>2006.0</v>
      </c>
      <c r="D4844" s="9">
        <v>8634.947</v>
      </c>
      <c r="E4844" s="10" t="str">
        <f t="array" ref="E4844">IFS(D4844&lt;=$G$3,'calculated data '!$A$3,D4844&lt;=$G$4,'calculated data '!$A$4,D4844&lt;=$G$6,'calculated data '!$A$5,D4844&gt;=$G$6,'calculated data '!$A$6)</f>
        <v>Target Market (Core IQR)</v>
      </c>
      <c r="F4844" s="10">
        <f t="shared" si="1"/>
        <v>-0.4346065785</v>
      </c>
    </row>
    <row r="4845" ht="14.25" customHeight="1">
      <c r="A4845" s="2" t="s">
        <v>39</v>
      </c>
      <c r="B4845" s="2" t="s">
        <v>40</v>
      </c>
      <c r="C4845" s="2">
        <v>1986.0</v>
      </c>
      <c r="D4845" s="9">
        <v>8646.75</v>
      </c>
      <c r="E4845" s="10" t="str">
        <f t="array" ref="E4845">IFS(D4845&lt;=$G$3,'calculated data '!$A$3,D4845&lt;=$G$4,'calculated data '!$A$4,D4845&lt;=$G$6,'calculated data '!$A$5,D4845&gt;=$G$6,'calculated data '!$A$6)</f>
        <v>Target Market (Core IQR)</v>
      </c>
      <c r="F4845" s="10">
        <f t="shared" si="1"/>
        <v>-0.434294156</v>
      </c>
    </row>
    <row r="4846" ht="14.25" customHeight="1">
      <c r="A4846" s="2" t="s">
        <v>317</v>
      </c>
      <c r="B4846" s="2" t="s">
        <v>318</v>
      </c>
      <c r="C4846" s="2">
        <v>1988.0</v>
      </c>
      <c r="D4846" s="9">
        <v>8660.01</v>
      </c>
      <c r="E4846" s="10" t="str">
        <f t="array" ref="E4846">IFS(D4846&lt;=$G$3,'calculated data '!$A$3,D4846&lt;=$G$4,'calculated data '!$A$4,D4846&lt;=$G$6,'calculated data '!$A$5,D4846&gt;=$G$6,'calculated data '!$A$6)</f>
        <v>Target Market (Core IQR)</v>
      </c>
      <c r="F4846" s="10">
        <f t="shared" si="1"/>
        <v>-0.4339431671</v>
      </c>
    </row>
    <row r="4847" ht="14.25" customHeight="1">
      <c r="A4847" s="2" t="s">
        <v>311</v>
      </c>
      <c r="B4847" s="2" t="s">
        <v>312</v>
      </c>
      <c r="C4847" s="2">
        <v>2003.0</v>
      </c>
      <c r="D4847" s="9">
        <v>8661.503</v>
      </c>
      <c r="E4847" s="10" t="str">
        <f t="array" ref="E4847">IFS(D4847&lt;=$G$3,'calculated data '!$A$3,D4847&lt;=$G$4,'calculated data '!$A$4,D4847&lt;=$G$6,'calculated data '!$A$5,D4847&gt;=$G$6,'calculated data '!$A$6)</f>
        <v>Target Market (Core IQR)</v>
      </c>
      <c r="F4847" s="10">
        <f t="shared" si="1"/>
        <v>-0.4339036477</v>
      </c>
    </row>
    <row r="4848" ht="14.25" customHeight="1">
      <c r="A4848" s="2" t="s">
        <v>241</v>
      </c>
      <c r="B4848" s="2" t="s">
        <v>242</v>
      </c>
      <c r="C4848" s="2">
        <v>1996.0</v>
      </c>
      <c r="D4848" s="9">
        <v>8662.659</v>
      </c>
      <c r="E4848" s="10" t="str">
        <f t="array" ref="E4848">IFS(D4848&lt;=$G$3,'calculated data '!$A$3,D4848&lt;=$G$4,'calculated data '!$A$4,D4848&lt;=$G$6,'calculated data '!$A$5,D4848&gt;=$G$6,'calculated data '!$A$6)</f>
        <v>Target Market (Core IQR)</v>
      </c>
      <c r="F4848" s="10">
        <f t="shared" si="1"/>
        <v>-0.4338730487</v>
      </c>
    </row>
    <row r="4849" ht="14.25" customHeight="1">
      <c r="A4849" s="2" t="s">
        <v>163</v>
      </c>
      <c r="B4849" s="2" t="s">
        <v>164</v>
      </c>
      <c r="C4849" s="2">
        <v>2018.0</v>
      </c>
      <c r="D4849" s="9">
        <v>8662.943</v>
      </c>
      <c r="E4849" s="10" t="str">
        <f t="array" ref="E4849">IFS(D4849&lt;=$G$3,'calculated data '!$A$3,D4849&lt;=$G$4,'calculated data '!$A$4,D4849&lt;=$G$6,'calculated data '!$A$5,D4849&gt;=$G$6,'calculated data '!$A$6)</f>
        <v>Target Market (Core IQR)</v>
      </c>
      <c r="F4849" s="10">
        <f t="shared" si="1"/>
        <v>-0.4338655313</v>
      </c>
    </row>
    <row r="4850" ht="14.25" customHeight="1">
      <c r="A4850" s="2" t="s">
        <v>203</v>
      </c>
      <c r="B4850" s="2" t="s">
        <v>204</v>
      </c>
      <c r="C4850" s="2">
        <v>2004.0</v>
      </c>
      <c r="D4850" s="9">
        <v>8669.782</v>
      </c>
      <c r="E4850" s="10" t="str">
        <f t="array" ref="E4850">IFS(D4850&lt;=$G$3,'calculated data '!$A$3,D4850&lt;=$G$4,'calculated data '!$A$4,D4850&lt;=$G$6,'calculated data '!$A$5,D4850&gt;=$G$6,'calculated data '!$A$6)</f>
        <v>Target Market (Core IQR)</v>
      </c>
      <c r="F4850" s="10">
        <f t="shared" si="1"/>
        <v>-0.4336845047</v>
      </c>
    </row>
    <row r="4851" ht="14.25" customHeight="1">
      <c r="A4851" s="2" t="s">
        <v>253</v>
      </c>
      <c r="B4851" s="2" t="s">
        <v>254</v>
      </c>
      <c r="C4851" s="2">
        <v>2023.0</v>
      </c>
      <c r="D4851" s="9">
        <v>8671.463</v>
      </c>
      <c r="E4851" s="10" t="str">
        <f t="array" ref="E4851">IFS(D4851&lt;=$G$3,'calculated data '!$A$3,D4851&lt;=$G$4,'calculated data '!$A$4,D4851&lt;=$G$6,'calculated data '!$A$5,D4851&gt;=$G$6,'calculated data '!$A$6)</f>
        <v>Target Market (Core IQR)</v>
      </c>
      <c r="F4851" s="10">
        <f t="shared" si="1"/>
        <v>-0.433640009</v>
      </c>
    </row>
    <row r="4852" ht="14.25" customHeight="1">
      <c r="A4852" s="2" t="s">
        <v>205</v>
      </c>
      <c r="B4852" s="2" t="s">
        <v>206</v>
      </c>
      <c r="C4852" s="2">
        <v>2020.0</v>
      </c>
      <c r="D4852" s="9">
        <v>8674.417</v>
      </c>
      <c r="E4852" s="10" t="str">
        <f t="array" ref="E4852">IFS(D4852&lt;=$G$3,'calculated data '!$A$3,D4852&lt;=$G$4,'calculated data '!$A$4,D4852&lt;=$G$6,'calculated data '!$A$5,D4852&gt;=$G$6,'calculated data '!$A$6)</f>
        <v>Target Market (Core IQR)</v>
      </c>
      <c r="F4852" s="10">
        <f t="shared" si="1"/>
        <v>-0.4335618174</v>
      </c>
    </row>
    <row r="4853" ht="14.25" customHeight="1">
      <c r="A4853" s="2" t="s">
        <v>297</v>
      </c>
      <c r="B4853" s="2" t="s">
        <v>298</v>
      </c>
      <c r="C4853" s="2">
        <v>1993.0</v>
      </c>
      <c r="D4853" s="9">
        <v>8676.13</v>
      </c>
      <c r="E4853" s="10" t="str">
        <f t="array" ref="E4853">IFS(D4853&lt;=$G$3,'calculated data '!$A$3,D4853&lt;=$G$4,'calculated data '!$A$4,D4853&lt;=$G$6,'calculated data '!$A$5,D4853&gt;=$G$6,'calculated data '!$A$6)</f>
        <v>Target Market (Core IQR)</v>
      </c>
      <c r="F4853" s="10">
        <f t="shared" si="1"/>
        <v>-0.4335164747</v>
      </c>
    </row>
    <row r="4854" ht="14.25" customHeight="1">
      <c r="A4854" s="2" t="s">
        <v>295</v>
      </c>
      <c r="B4854" s="2" t="s">
        <v>296</v>
      </c>
      <c r="C4854" s="2">
        <v>1992.0</v>
      </c>
      <c r="D4854" s="9">
        <v>8677.138</v>
      </c>
      <c r="E4854" s="10" t="str">
        <f t="array" ref="E4854">IFS(D4854&lt;=$G$3,'calculated data '!$A$3,D4854&lt;=$G$4,'calculated data '!$A$4,D4854&lt;=$G$6,'calculated data '!$A$5,D4854&gt;=$G$6,'calculated data '!$A$6)</f>
        <v>Target Market (Core IQR)</v>
      </c>
      <c r="F4854" s="10">
        <f t="shared" si="1"/>
        <v>-0.4334897932</v>
      </c>
    </row>
    <row r="4855" ht="14.25" customHeight="1">
      <c r="A4855" s="2" t="s">
        <v>265</v>
      </c>
      <c r="B4855" s="2" t="s">
        <v>266</v>
      </c>
      <c r="C4855" s="2">
        <v>2005.0</v>
      </c>
      <c r="D4855" s="9">
        <v>8679.99</v>
      </c>
      <c r="E4855" s="10" t="str">
        <f t="array" ref="E4855">IFS(D4855&lt;=$G$3,'calculated data '!$A$3,D4855&lt;=$G$4,'calculated data '!$A$4,D4855&lt;=$G$6,'calculated data '!$A$5,D4855&gt;=$G$6,'calculated data '!$A$6)</f>
        <v>Target Market (Core IQR)</v>
      </c>
      <c r="F4855" s="10">
        <f t="shared" si="1"/>
        <v>-0.4334143015</v>
      </c>
    </row>
    <row r="4856" ht="14.25" customHeight="1">
      <c r="A4856" s="2" t="s">
        <v>265</v>
      </c>
      <c r="B4856" s="2" t="s">
        <v>266</v>
      </c>
      <c r="C4856" s="2">
        <v>1991.0</v>
      </c>
      <c r="D4856" s="9">
        <v>8680.396</v>
      </c>
      <c r="E4856" s="10" t="str">
        <f t="array" ref="E4856">IFS(D4856&lt;=$G$3,'calculated data '!$A$3,D4856&lt;=$G$4,'calculated data '!$A$4,D4856&lt;=$G$6,'calculated data '!$A$5,D4856&gt;=$G$6,'calculated data '!$A$6)</f>
        <v>Target Market (Core IQR)</v>
      </c>
      <c r="F4856" s="10">
        <f t="shared" si="1"/>
        <v>-0.4334035547</v>
      </c>
    </row>
    <row r="4857" ht="14.25" customHeight="1">
      <c r="A4857" s="2" t="s">
        <v>241</v>
      </c>
      <c r="B4857" s="2" t="s">
        <v>242</v>
      </c>
      <c r="C4857" s="2">
        <v>1995.0</v>
      </c>
      <c r="D4857" s="9">
        <v>8684.609</v>
      </c>
      <c r="E4857" s="10" t="str">
        <f t="array" ref="E4857">IFS(D4857&lt;=$G$3,'calculated data '!$A$3,D4857&lt;=$G$4,'calculated data '!$A$4,D4857&lt;=$G$6,'calculated data '!$A$5,D4857&gt;=$G$6,'calculated data '!$A$6)</f>
        <v>Target Market (Core IQR)</v>
      </c>
      <c r="F4857" s="10">
        <f t="shared" si="1"/>
        <v>-0.4332920377</v>
      </c>
    </row>
    <row r="4858" ht="14.25" customHeight="1">
      <c r="A4858" s="2" t="s">
        <v>229</v>
      </c>
      <c r="B4858" s="2" t="s">
        <v>230</v>
      </c>
      <c r="C4858" s="2">
        <v>1994.0</v>
      </c>
      <c r="D4858" s="9">
        <v>8685.786</v>
      </c>
      <c r="E4858" s="10" t="str">
        <f t="array" ref="E4858">IFS(D4858&lt;=$G$3,'calculated data '!$A$3,D4858&lt;=$G$4,'calculated data '!$A$4,D4858&lt;=$G$6,'calculated data '!$A$5,D4858&gt;=$G$6,'calculated data '!$A$6)</f>
        <v>Target Market (Core IQR)</v>
      </c>
      <c r="F4858" s="10">
        <f t="shared" si="1"/>
        <v>-0.4332608828</v>
      </c>
    </row>
    <row r="4859" ht="14.25" customHeight="1">
      <c r="A4859" s="2" t="s">
        <v>31</v>
      </c>
      <c r="B4859" s="2" t="s">
        <v>32</v>
      </c>
      <c r="C4859" s="2">
        <v>1981.0</v>
      </c>
      <c r="D4859" s="9">
        <v>8685.922</v>
      </c>
      <c r="E4859" s="10" t="str">
        <f t="array" ref="E4859">IFS(D4859&lt;=$G$3,'calculated data '!$A$3,D4859&lt;=$G$4,'calculated data '!$A$4,D4859&lt;=$G$6,'calculated data '!$A$5,D4859&gt;=$G$6,'calculated data '!$A$6)</f>
        <v>Target Market (Core IQR)</v>
      </c>
      <c r="F4859" s="10">
        <f t="shared" si="1"/>
        <v>-0.4332572829</v>
      </c>
    </row>
    <row r="4860" ht="14.25" customHeight="1">
      <c r="A4860" s="2" t="s">
        <v>241</v>
      </c>
      <c r="B4860" s="2" t="s">
        <v>242</v>
      </c>
      <c r="C4860" s="2">
        <v>1997.0</v>
      </c>
      <c r="D4860" s="9">
        <v>8686.618</v>
      </c>
      <c r="E4860" s="10" t="str">
        <f t="array" ref="E4860">IFS(D4860&lt;=$G$3,'calculated data '!$A$3,D4860&lt;=$G$4,'calculated data '!$A$4,D4860&lt;=$G$6,'calculated data '!$A$5,D4860&gt;=$G$6,'calculated data '!$A$6)</f>
        <v>Target Market (Core IQR)</v>
      </c>
      <c r="F4860" s="10">
        <f t="shared" si="1"/>
        <v>-0.43323886</v>
      </c>
    </row>
    <row r="4861" ht="14.25" customHeight="1">
      <c r="A4861" s="2" t="s">
        <v>263</v>
      </c>
      <c r="B4861" s="2" t="s">
        <v>264</v>
      </c>
      <c r="C4861" s="2">
        <v>2010.0</v>
      </c>
      <c r="D4861" s="9">
        <v>8694.755</v>
      </c>
      <c r="E4861" s="10" t="str">
        <f t="array" ref="E4861">IFS(D4861&lt;=$G$3,'calculated data '!$A$3,D4861&lt;=$G$4,'calculated data '!$A$4,D4861&lt;=$G$6,'calculated data '!$A$5,D4861&gt;=$G$6,'calculated data '!$A$6)</f>
        <v>Target Market (Core IQR)</v>
      </c>
      <c r="F4861" s="10">
        <f t="shared" si="1"/>
        <v>-0.4330234756</v>
      </c>
    </row>
    <row r="4862" ht="14.25" customHeight="1">
      <c r="A4862" s="2" t="s">
        <v>263</v>
      </c>
      <c r="B4862" s="2" t="s">
        <v>264</v>
      </c>
      <c r="C4862" s="2">
        <v>2007.0</v>
      </c>
      <c r="D4862" s="9">
        <v>8700.519</v>
      </c>
      <c r="E4862" s="10" t="str">
        <f t="array" ref="E4862">IFS(D4862&lt;=$G$3,'calculated data '!$A$3,D4862&lt;=$G$4,'calculated data '!$A$4,D4862&lt;=$G$6,'calculated data '!$A$5,D4862&gt;=$G$6,'calculated data '!$A$6)</f>
        <v>Target Market (Core IQR)</v>
      </c>
      <c r="F4862" s="10">
        <f t="shared" si="1"/>
        <v>-0.4328709039</v>
      </c>
    </row>
    <row r="4863" ht="14.25" customHeight="1">
      <c r="A4863" s="2" t="s">
        <v>251</v>
      </c>
      <c r="B4863" s="2" t="s">
        <v>252</v>
      </c>
      <c r="C4863" s="2">
        <v>2001.0</v>
      </c>
      <c r="D4863" s="9">
        <v>8706.017</v>
      </c>
      <c r="E4863" s="10" t="str">
        <f t="array" ref="E4863">IFS(D4863&lt;=$G$3,'calculated data '!$A$3,D4863&lt;=$G$4,'calculated data '!$A$4,D4863&lt;=$G$6,'calculated data '!$A$5,D4863&gt;=$G$6,'calculated data '!$A$6)</f>
        <v>Target Market (Core IQR)</v>
      </c>
      <c r="F4863" s="10">
        <f t="shared" si="1"/>
        <v>-0.4327253733</v>
      </c>
    </row>
    <row r="4864" ht="14.25" customHeight="1">
      <c r="A4864" s="2" t="s">
        <v>317</v>
      </c>
      <c r="B4864" s="2" t="s">
        <v>318</v>
      </c>
      <c r="C4864" s="2">
        <v>1989.0</v>
      </c>
      <c r="D4864" s="9">
        <v>8709.854</v>
      </c>
      <c r="E4864" s="10" t="str">
        <f t="array" ref="E4864">IFS(D4864&lt;=$G$3,'calculated data '!$A$3,D4864&lt;=$G$4,'calculated data '!$A$4,D4864&lt;=$G$6,'calculated data '!$A$5,D4864&gt;=$G$6,'calculated data '!$A$6)</f>
        <v>Target Market (Core IQR)</v>
      </c>
      <c r="F4864" s="10">
        <f t="shared" si="1"/>
        <v>-0.4326238088</v>
      </c>
    </row>
    <row r="4865" ht="14.25" customHeight="1">
      <c r="A4865" s="2" t="s">
        <v>317</v>
      </c>
      <c r="B4865" s="2" t="s">
        <v>318</v>
      </c>
      <c r="C4865" s="2">
        <v>1970.0</v>
      </c>
      <c r="D4865" s="9">
        <v>8709.92</v>
      </c>
      <c r="E4865" s="10" t="str">
        <f t="array" ref="E4865">IFS(D4865&lt;=$G$3,'calculated data '!$A$3,D4865&lt;=$G$4,'calculated data '!$A$4,D4865&lt;=$G$6,'calculated data '!$A$5,D4865&gt;=$G$6,'calculated data '!$A$6)</f>
        <v>Target Market (Core IQR)</v>
      </c>
      <c r="F4865" s="10">
        <f t="shared" si="1"/>
        <v>-0.4326220618</v>
      </c>
    </row>
    <row r="4866" ht="14.25" customHeight="1">
      <c r="A4866" s="2" t="s">
        <v>287</v>
      </c>
      <c r="B4866" s="2" t="s">
        <v>288</v>
      </c>
      <c r="C4866" s="2">
        <v>1986.0</v>
      </c>
      <c r="D4866" s="9">
        <v>8718.37</v>
      </c>
      <c r="E4866" s="10" t="str">
        <f t="array" ref="E4866">IFS(D4866&lt;=$G$3,'calculated data '!$A$3,D4866&lt;=$G$4,'calculated data '!$A$4,D4866&lt;=$G$6,'calculated data '!$A$5,D4866&gt;=$G$6,'calculated data '!$A$6)</f>
        <v>Target Market (Core IQR)</v>
      </c>
      <c r="F4866" s="10">
        <f t="shared" si="1"/>
        <v>-0.4323983924</v>
      </c>
    </row>
    <row r="4867" ht="14.25" customHeight="1">
      <c r="A4867" s="2" t="s">
        <v>287</v>
      </c>
      <c r="B4867" s="2" t="s">
        <v>288</v>
      </c>
      <c r="C4867" s="2">
        <v>1983.0</v>
      </c>
      <c r="D4867" s="9">
        <v>8720.335</v>
      </c>
      <c r="E4867" s="10" t="str">
        <f t="array" ref="E4867">IFS(D4867&lt;=$G$3,'calculated data '!$A$3,D4867&lt;=$G$4,'calculated data '!$A$4,D4867&lt;=$G$6,'calculated data '!$A$5,D4867&gt;=$G$6,'calculated data '!$A$6)</f>
        <v>Target Market (Core IQR)</v>
      </c>
      <c r="F4867" s="10">
        <f t="shared" si="1"/>
        <v>-0.4323463794</v>
      </c>
    </row>
    <row r="4868" ht="14.25" customHeight="1">
      <c r="A4868" s="2" t="s">
        <v>277</v>
      </c>
      <c r="B4868" s="2" t="s">
        <v>278</v>
      </c>
      <c r="C4868" s="2">
        <v>1993.0</v>
      </c>
      <c r="D4868" s="9">
        <v>8723.111</v>
      </c>
      <c r="E4868" s="10" t="str">
        <f t="array" ref="E4868">IFS(D4868&lt;=$G$3,'calculated data '!$A$3,D4868&lt;=$G$4,'calculated data '!$A$4,D4868&lt;=$G$6,'calculated data '!$A$5,D4868&gt;=$G$6,'calculated data '!$A$6)</f>
        <v>Target Market (Core IQR)</v>
      </c>
      <c r="F4868" s="10">
        <f t="shared" si="1"/>
        <v>-0.4322728993</v>
      </c>
    </row>
    <row r="4869" ht="14.25" customHeight="1">
      <c r="A4869" s="2" t="s">
        <v>195</v>
      </c>
      <c r="B4869" s="2" t="s">
        <v>196</v>
      </c>
      <c r="C4869" s="2">
        <v>2012.0</v>
      </c>
      <c r="D4869" s="9">
        <v>8728.501</v>
      </c>
      <c r="E4869" s="10" t="str">
        <f t="array" ref="E4869">IFS(D4869&lt;=$G$3,'calculated data '!$A$3,D4869&lt;=$G$4,'calculated data '!$A$4,D4869&lt;=$G$6,'calculated data '!$A$5,D4869&gt;=$G$6,'calculated data '!$A$6)</f>
        <v>Target Market (Core IQR)</v>
      </c>
      <c r="F4869" s="10">
        <f t="shared" si="1"/>
        <v>-0.4321302274</v>
      </c>
    </row>
    <row r="4870" ht="14.25" customHeight="1">
      <c r="A4870" s="2" t="s">
        <v>197</v>
      </c>
      <c r="B4870" s="2" t="s">
        <v>198</v>
      </c>
      <c r="C4870" s="2">
        <v>1999.0</v>
      </c>
      <c r="D4870" s="9">
        <v>8731.852</v>
      </c>
      <c r="E4870" s="10" t="str">
        <f t="array" ref="E4870">IFS(D4870&lt;=$G$3,'calculated data '!$A$3,D4870&lt;=$G$4,'calculated data '!$A$4,D4870&lt;=$G$6,'calculated data '!$A$5,D4870&gt;=$G$6,'calculated data '!$A$6)</f>
        <v>Target Market (Core IQR)</v>
      </c>
      <c r="F4870" s="10">
        <f t="shared" si="1"/>
        <v>-0.4320415272</v>
      </c>
    </row>
    <row r="4871" ht="14.25" customHeight="1">
      <c r="A4871" s="2" t="s">
        <v>325</v>
      </c>
      <c r="B4871" s="2" t="s">
        <v>326</v>
      </c>
      <c r="C4871" s="2">
        <v>2001.0</v>
      </c>
      <c r="D4871" s="9">
        <v>8735.807</v>
      </c>
      <c r="E4871" s="10" t="str">
        <f t="array" ref="E4871">IFS(D4871&lt;=$G$3,'calculated data '!$A$3,D4871&lt;=$G$4,'calculated data '!$A$4,D4871&lt;=$G$6,'calculated data '!$A$5,D4871&gt;=$G$6,'calculated data '!$A$6)</f>
        <v>Target Market (Core IQR)</v>
      </c>
      <c r="F4871" s="10">
        <f t="shared" si="1"/>
        <v>-0.4319368394</v>
      </c>
    </row>
    <row r="4872" ht="14.25" customHeight="1">
      <c r="A4872" s="2" t="s">
        <v>261</v>
      </c>
      <c r="B4872" s="2" t="s">
        <v>262</v>
      </c>
      <c r="C4872" s="2">
        <v>2008.0</v>
      </c>
      <c r="D4872" s="9">
        <v>8737.468</v>
      </c>
      <c r="E4872" s="10" t="str">
        <f t="array" ref="E4872">IFS(D4872&lt;=$G$3,'calculated data '!$A$3,D4872&lt;=$G$4,'calculated data '!$A$4,D4872&lt;=$G$6,'calculated data '!$A$5,D4872&gt;=$G$6,'calculated data '!$A$6)</f>
        <v>Target Market (Core IQR)</v>
      </c>
      <c r="F4872" s="10">
        <f t="shared" si="1"/>
        <v>-0.4318928731</v>
      </c>
    </row>
    <row r="4873" ht="14.25" customHeight="1">
      <c r="A4873" s="2" t="s">
        <v>299</v>
      </c>
      <c r="B4873" s="2" t="s">
        <v>300</v>
      </c>
      <c r="C4873" s="2">
        <v>1994.0</v>
      </c>
      <c r="D4873" s="9">
        <v>8738.146</v>
      </c>
      <c r="E4873" s="10" t="str">
        <f t="array" ref="E4873">IFS(D4873&lt;=$G$3,'calculated data '!$A$3,D4873&lt;=$G$4,'calculated data '!$A$4,D4873&lt;=$G$6,'calculated data '!$A$5,D4873&gt;=$G$6,'calculated data '!$A$6)</f>
        <v>Target Market (Core IQR)</v>
      </c>
      <c r="F4873" s="10">
        <f t="shared" si="1"/>
        <v>-0.4318749266</v>
      </c>
    </row>
    <row r="4874" ht="14.25" customHeight="1">
      <c r="A4874" s="2" t="s">
        <v>231</v>
      </c>
      <c r="B4874" s="2" t="s">
        <v>232</v>
      </c>
      <c r="C4874" s="2">
        <v>1988.0</v>
      </c>
      <c r="D4874" s="9">
        <v>8740.935</v>
      </c>
      <c r="E4874" s="10" t="str">
        <f t="array" ref="E4874">IFS(D4874&lt;=$G$3,'calculated data '!$A$3,D4874&lt;=$G$4,'calculated data '!$A$4,D4874&lt;=$G$6,'calculated data '!$A$5,D4874&gt;=$G$6,'calculated data '!$A$6)</f>
        <v>Target Market (Core IQR)</v>
      </c>
      <c r="F4874" s="10">
        <f t="shared" si="1"/>
        <v>-0.4318011025</v>
      </c>
    </row>
    <row r="4875" ht="14.25" customHeight="1">
      <c r="A4875" s="2" t="s">
        <v>325</v>
      </c>
      <c r="B4875" s="2" t="s">
        <v>326</v>
      </c>
      <c r="C4875" s="2">
        <v>2003.0</v>
      </c>
      <c r="D4875" s="9">
        <v>8742.533</v>
      </c>
      <c r="E4875" s="10" t="str">
        <f t="array" ref="E4875">IFS(D4875&lt;=$G$3,'calculated data '!$A$3,D4875&lt;=$G$4,'calculated data '!$A$4,D4875&lt;=$G$6,'calculated data '!$A$5,D4875&gt;=$G$6,'calculated data '!$A$6)</f>
        <v>Target Market (Core IQR)</v>
      </c>
      <c r="F4875" s="10">
        <f t="shared" si="1"/>
        <v>-0.4317588038</v>
      </c>
    </row>
    <row r="4876" ht="14.25" customHeight="1">
      <c r="A4876" s="2" t="s">
        <v>289</v>
      </c>
      <c r="B4876" s="2" t="s">
        <v>290</v>
      </c>
      <c r="C4876" s="2">
        <v>1999.0</v>
      </c>
      <c r="D4876" s="9">
        <v>8746.636</v>
      </c>
      <c r="E4876" s="10" t="str">
        <f t="array" ref="E4876">IFS(D4876&lt;=$G$3,'calculated data '!$A$3,D4876&lt;=$G$4,'calculated data '!$A$4,D4876&lt;=$G$6,'calculated data '!$A$5,D4876&gt;=$G$6,'calculated data '!$A$6)</f>
        <v>Target Market (Core IQR)</v>
      </c>
      <c r="F4876" s="10">
        <f t="shared" si="1"/>
        <v>-0.4316501984</v>
      </c>
    </row>
    <row r="4877" ht="14.25" customHeight="1">
      <c r="A4877" s="2" t="s">
        <v>275</v>
      </c>
      <c r="B4877" s="2" t="s">
        <v>276</v>
      </c>
      <c r="C4877" s="2">
        <v>2017.0</v>
      </c>
      <c r="D4877" s="9">
        <v>8747.131</v>
      </c>
      <c r="E4877" s="10" t="str">
        <f t="array" ref="E4877">IFS(D4877&lt;=$G$3,'calculated data '!$A$3,D4877&lt;=$G$4,'calculated data '!$A$4,D4877&lt;=$G$6,'calculated data '!$A$5,D4877&gt;=$G$6,'calculated data '!$A$6)</f>
        <v>Target Market (Core IQR)</v>
      </c>
      <c r="F4877" s="10">
        <f t="shared" si="1"/>
        <v>-0.4316370959</v>
      </c>
    </row>
    <row r="4878" ht="14.25" customHeight="1">
      <c r="A4878" s="2" t="s">
        <v>265</v>
      </c>
      <c r="B4878" s="2" t="s">
        <v>266</v>
      </c>
      <c r="C4878" s="2">
        <v>2016.0</v>
      </c>
      <c r="D4878" s="9">
        <v>8750.693</v>
      </c>
      <c r="E4878" s="10" t="str">
        <f t="array" ref="E4878">IFS(D4878&lt;=$G$3,'calculated data '!$A$3,D4878&lt;=$G$4,'calculated data '!$A$4,D4878&lt;=$G$6,'calculated data '!$A$5,D4878&gt;=$G$6,'calculated data '!$A$6)</f>
        <v>Target Market (Core IQR)</v>
      </c>
      <c r="F4878" s="10">
        <f t="shared" si="1"/>
        <v>-0.4315428107</v>
      </c>
    </row>
    <row r="4879" ht="14.25" customHeight="1">
      <c r="A4879" s="2" t="s">
        <v>227</v>
      </c>
      <c r="B4879" s="2" t="s">
        <v>228</v>
      </c>
      <c r="C4879" s="2">
        <v>1995.0</v>
      </c>
      <c r="D4879" s="9">
        <v>8753.333</v>
      </c>
      <c r="E4879" s="10" t="str">
        <f t="array" ref="E4879">IFS(D4879&lt;=$G$3,'calculated data '!$A$3,D4879&lt;=$G$4,'calculated data '!$A$4,D4879&lt;=$G$6,'calculated data '!$A$5,D4879&gt;=$G$6,'calculated data '!$A$6)</f>
        <v>Target Market (Core IQR)</v>
      </c>
      <c r="F4879" s="10">
        <f t="shared" si="1"/>
        <v>-0.4314729305</v>
      </c>
    </row>
    <row r="4880" ht="14.25" customHeight="1">
      <c r="A4880" s="2" t="s">
        <v>203</v>
      </c>
      <c r="B4880" s="2" t="s">
        <v>204</v>
      </c>
      <c r="C4880" s="2">
        <v>1997.0</v>
      </c>
      <c r="D4880" s="9">
        <v>8756.489</v>
      </c>
      <c r="E4880" s="10" t="str">
        <f t="array" ref="E4880">IFS(D4880&lt;=$G$3,'calculated data '!$A$3,D4880&lt;=$G$4,'calculated data '!$A$4,D4880&lt;=$G$6,'calculated data '!$A$5,D4880&gt;=$G$6,'calculated data '!$A$6)</f>
        <v>Target Market (Core IQR)</v>
      </c>
      <c r="F4880" s="10">
        <f t="shared" si="1"/>
        <v>-0.431389392</v>
      </c>
    </row>
    <row r="4881" ht="14.25" customHeight="1">
      <c r="A4881" s="2" t="s">
        <v>313</v>
      </c>
      <c r="B4881" s="2" t="s">
        <v>314</v>
      </c>
      <c r="C4881" s="2">
        <v>1971.0</v>
      </c>
      <c r="D4881" s="9">
        <v>8760.252</v>
      </c>
      <c r="E4881" s="10" t="str">
        <f t="array" ref="E4881">IFS(D4881&lt;=$G$3,'calculated data '!$A$3,D4881&lt;=$G$4,'calculated data '!$A$4,D4881&lt;=$G$6,'calculated data '!$A$5,D4881&gt;=$G$6,'calculated data '!$A$6)</f>
        <v>Target Market (Core IQR)</v>
      </c>
      <c r="F4881" s="10">
        <f t="shared" si="1"/>
        <v>-0.4312897863</v>
      </c>
    </row>
    <row r="4882" ht="14.25" customHeight="1">
      <c r="A4882" s="2" t="s">
        <v>259</v>
      </c>
      <c r="B4882" s="2" t="s">
        <v>260</v>
      </c>
      <c r="C4882" s="2">
        <v>2001.0</v>
      </c>
      <c r="D4882" s="9">
        <v>8774.433</v>
      </c>
      <c r="E4882" s="10" t="str">
        <f t="array" ref="E4882">IFS(D4882&lt;=$G$3,'calculated data '!$A$3,D4882&lt;=$G$4,'calculated data '!$A$4,D4882&lt;=$G$6,'calculated data '!$A$5,D4882&gt;=$G$6,'calculated data '!$A$6)</f>
        <v>Target Market (Core IQR)</v>
      </c>
      <c r="F4882" s="10">
        <f t="shared" si="1"/>
        <v>-0.4309144188</v>
      </c>
    </row>
    <row r="4883" ht="14.25" customHeight="1">
      <c r="A4883" s="2" t="s">
        <v>299</v>
      </c>
      <c r="B4883" s="2" t="s">
        <v>300</v>
      </c>
      <c r="C4883" s="2">
        <v>1997.0</v>
      </c>
      <c r="D4883" s="9">
        <v>8775.691</v>
      </c>
      <c r="E4883" s="10" t="str">
        <f t="array" ref="E4883">IFS(D4883&lt;=$G$3,'calculated data '!$A$3,D4883&lt;=$G$4,'calculated data '!$A$4,D4883&lt;=$G$6,'calculated data '!$A$5,D4883&gt;=$G$6,'calculated data '!$A$6)</f>
        <v>Target Market (Core IQR)</v>
      </c>
      <c r="F4883" s="10">
        <f t="shared" si="1"/>
        <v>-0.4308811198</v>
      </c>
    </row>
    <row r="4884" ht="14.25" customHeight="1">
      <c r="A4884" s="2" t="s">
        <v>289</v>
      </c>
      <c r="B4884" s="2" t="s">
        <v>290</v>
      </c>
      <c r="C4884" s="2">
        <v>2013.0</v>
      </c>
      <c r="D4884" s="9">
        <v>8780.315</v>
      </c>
      <c r="E4884" s="10" t="str">
        <f t="array" ref="E4884">IFS(D4884&lt;=$G$3,'calculated data '!$A$3,D4884&lt;=$G$4,'calculated data '!$A$4,D4884&lt;=$G$6,'calculated data '!$A$5,D4884&gt;=$G$6,'calculated data '!$A$6)</f>
        <v>Target Market (Core IQR)</v>
      </c>
      <c r="F4884" s="10">
        <f t="shared" si="1"/>
        <v>-0.4307587237</v>
      </c>
    </row>
    <row r="4885" ht="14.25" customHeight="1">
      <c r="A4885" s="2" t="s">
        <v>329</v>
      </c>
      <c r="B4885" s="2" t="s">
        <v>330</v>
      </c>
      <c r="C4885" s="2">
        <v>1983.0</v>
      </c>
      <c r="D4885" s="9">
        <v>8781.343</v>
      </c>
      <c r="E4885" s="10" t="str">
        <f t="array" ref="E4885">IFS(D4885&lt;=$G$3,'calculated data '!$A$3,D4885&lt;=$G$4,'calculated data '!$A$4,D4885&lt;=$G$6,'calculated data '!$A$5,D4885&gt;=$G$6,'calculated data '!$A$6)</f>
        <v>Target Market (Core IQR)</v>
      </c>
      <c r="F4885" s="10">
        <f t="shared" si="1"/>
        <v>-0.4307315128</v>
      </c>
    </row>
    <row r="4886" ht="14.25" customHeight="1">
      <c r="A4886" s="2" t="s">
        <v>231</v>
      </c>
      <c r="B4886" s="2" t="s">
        <v>232</v>
      </c>
      <c r="C4886" s="2">
        <v>1989.0</v>
      </c>
      <c r="D4886" s="9">
        <v>8784.688</v>
      </c>
      <c r="E4886" s="10" t="str">
        <f t="array" ref="E4886">IFS(D4886&lt;=$G$3,'calculated data '!$A$3,D4886&lt;=$G$4,'calculated data '!$A$4,D4886&lt;=$G$6,'calculated data '!$A$5,D4886&gt;=$G$6,'calculated data '!$A$6)</f>
        <v>Target Market (Core IQR)</v>
      </c>
      <c r="F4886" s="10">
        <f t="shared" si="1"/>
        <v>-0.4306429715</v>
      </c>
    </row>
    <row r="4887" ht="14.25" customHeight="1">
      <c r="A4887" s="2" t="s">
        <v>273</v>
      </c>
      <c r="B4887" s="2" t="s">
        <v>274</v>
      </c>
      <c r="C4887" s="2">
        <v>2019.0</v>
      </c>
      <c r="D4887" s="9">
        <v>8788.403</v>
      </c>
      <c r="E4887" s="10" t="str">
        <f t="array" ref="E4887">IFS(D4887&lt;=$G$3,'calculated data '!$A$3,D4887&lt;=$G$4,'calculated data '!$A$4,D4887&lt;=$G$6,'calculated data '!$A$5,D4887&gt;=$G$6,'calculated data '!$A$6)</f>
        <v>Target Market (Core IQR)</v>
      </c>
      <c r="F4887" s="10">
        <f t="shared" si="1"/>
        <v>-0.4305446364</v>
      </c>
    </row>
    <row r="4888" ht="14.25" customHeight="1">
      <c r="A4888" s="2" t="s">
        <v>289</v>
      </c>
      <c r="B4888" s="2" t="s">
        <v>290</v>
      </c>
      <c r="C4888" s="2">
        <v>1998.0</v>
      </c>
      <c r="D4888" s="9">
        <v>8789.375</v>
      </c>
      <c r="E4888" s="10" t="str">
        <f t="array" ref="E4888">IFS(D4888&lt;=$G$3,'calculated data '!$A$3,D4888&lt;=$G$4,'calculated data '!$A$4,D4888&lt;=$G$6,'calculated data '!$A$5,D4888&gt;=$G$6,'calculated data '!$A$6)</f>
        <v>Target Market (Core IQR)</v>
      </c>
      <c r="F4888" s="10">
        <f t="shared" si="1"/>
        <v>-0.4305189078</v>
      </c>
    </row>
    <row r="4889" ht="14.25" customHeight="1">
      <c r="A4889" s="2" t="s">
        <v>315</v>
      </c>
      <c r="B4889" s="2" t="s">
        <v>316</v>
      </c>
      <c r="C4889" s="2">
        <v>2010.0</v>
      </c>
      <c r="D4889" s="9">
        <v>8803.365</v>
      </c>
      <c r="E4889" s="10" t="str">
        <f t="array" ref="E4889">IFS(D4889&lt;=$G$3,'calculated data '!$A$3,D4889&lt;=$G$4,'calculated data '!$A$4,D4889&lt;=$G$6,'calculated data '!$A$5,D4889&gt;=$G$6,'calculated data '!$A$6)</f>
        <v>Target Market (Core IQR)</v>
      </c>
      <c r="F4889" s="10">
        <f t="shared" si="1"/>
        <v>-0.4301485959</v>
      </c>
    </row>
    <row r="4890" ht="14.25" customHeight="1">
      <c r="A4890" s="2" t="s">
        <v>251</v>
      </c>
      <c r="B4890" s="2" t="s">
        <v>252</v>
      </c>
      <c r="C4890" s="2">
        <v>2002.0</v>
      </c>
      <c r="D4890" s="9">
        <v>8808.692</v>
      </c>
      <c r="E4890" s="10" t="str">
        <f t="array" ref="E4890">IFS(D4890&lt;=$G$3,'calculated data '!$A$3,D4890&lt;=$G$4,'calculated data '!$A$4,D4890&lt;=$G$6,'calculated data '!$A$5,D4890&gt;=$G$6,'calculated data '!$A$6)</f>
        <v>Target Market (Core IQR)</v>
      </c>
      <c r="F4890" s="10">
        <f t="shared" si="1"/>
        <v>-0.4300075916</v>
      </c>
    </row>
    <row r="4891" ht="14.25" customHeight="1">
      <c r="A4891" s="2" t="s">
        <v>263</v>
      </c>
      <c r="B4891" s="2" t="s">
        <v>264</v>
      </c>
      <c r="C4891" s="2">
        <v>2003.0</v>
      </c>
      <c r="D4891" s="9">
        <v>8811.658</v>
      </c>
      <c r="E4891" s="10" t="str">
        <f t="array" ref="E4891">IFS(D4891&lt;=$G$3,'calculated data '!$A$3,D4891&lt;=$G$4,'calculated data '!$A$4,D4891&lt;=$G$6,'calculated data '!$A$5,D4891&gt;=$G$6,'calculated data '!$A$6)</f>
        <v>Target Market (Core IQR)</v>
      </c>
      <c r="F4891" s="10">
        <f t="shared" si="1"/>
        <v>-0.4299290823</v>
      </c>
    </row>
    <row r="4892" ht="14.25" customHeight="1">
      <c r="A4892" s="2" t="s">
        <v>315</v>
      </c>
      <c r="B4892" s="2" t="s">
        <v>316</v>
      </c>
      <c r="C4892" s="2">
        <v>1998.0</v>
      </c>
      <c r="D4892" s="9">
        <v>8812.478</v>
      </c>
      <c r="E4892" s="10" t="str">
        <f t="array" ref="E4892">IFS(D4892&lt;=$G$3,'calculated data '!$A$3,D4892&lt;=$G$4,'calculated data '!$A$4,D4892&lt;=$G$6,'calculated data '!$A$5,D4892&gt;=$G$6,'calculated data '!$A$6)</f>
        <v>Target Market (Core IQR)</v>
      </c>
      <c r="F4892" s="10">
        <f t="shared" si="1"/>
        <v>-0.4299073771</v>
      </c>
    </row>
    <row r="4893" ht="14.25" customHeight="1">
      <c r="A4893" s="2" t="s">
        <v>273</v>
      </c>
      <c r="B4893" s="2" t="s">
        <v>274</v>
      </c>
      <c r="C4893" s="2">
        <v>2010.0</v>
      </c>
      <c r="D4893" s="9">
        <v>8815.287</v>
      </c>
      <c r="E4893" s="10" t="str">
        <f t="array" ref="E4893">IFS(D4893&lt;=$G$3,'calculated data '!$A$3,D4893&lt;=$G$4,'calculated data '!$A$4,D4893&lt;=$G$6,'calculated data '!$A$5,D4893&gt;=$G$6,'calculated data '!$A$6)</f>
        <v>Target Market (Core IQR)</v>
      </c>
      <c r="F4893" s="10">
        <f t="shared" si="1"/>
        <v>-0.4298330236</v>
      </c>
    </row>
    <row r="4894" ht="14.25" customHeight="1">
      <c r="A4894" s="2" t="s">
        <v>259</v>
      </c>
      <c r="B4894" s="2" t="s">
        <v>260</v>
      </c>
      <c r="C4894" s="2">
        <v>2004.0</v>
      </c>
      <c r="D4894" s="9">
        <v>8820.595</v>
      </c>
      <c r="E4894" s="10" t="str">
        <f t="array" ref="E4894">IFS(D4894&lt;=$G$3,'calculated data '!$A$3,D4894&lt;=$G$4,'calculated data '!$A$4,D4894&lt;=$G$6,'calculated data '!$A$5,D4894&gt;=$G$6,'calculated data '!$A$6)</f>
        <v>Target Market (Core IQR)</v>
      </c>
      <c r="F4894" s="10">
        <f t="shared" si="1"/>
        <v>-0.4296925221</v>
      </c>
    </row>
    <row r="4895" ht="14.25" customHeight="1">
      <c r="A4895" s="2" t="s">
        <v>185</v>
      </c>
      <c r="B4895" s="2" t="s">
        <v>186</v>
      </c>
      <c r="C4895" s="2">
        <v>2014.0</v>
      </c>
      <c r="D4895" s="9">
        <v>8823.8125</v>
      </c>
      <c r="E4895" s="10" t="str">
        <f t="array" ref="E4895">IFS(D4895&lt;=$G$3,'calculated data '!$A$3,D4895&lt;=$G$4,'calculated data '!$A$4,D4895&lt;=$G$6,'calculated data '!$A$5,D4895&gt;=$G$6,'calculated data '!$A$6)</f>
        <v>Target Market (Core IQR)</v>
      </c>
      <c r="F4895" s="10">
        <f t="shared" si="1"/>
        <v>-0.4296073557</v>
      </c>
    </row>
    <row r="4896" ht="14.25" customHeight="1">
      <c r="A4896" s="2" t="s">
        <v>321</v>
      </c>
      <c r="B4896" s="2" t="s">
        <v>322</v>
      </c>
      <c r="C4896" s="2">
        <v>2016.0</v>
      </c>
      <c r="D4896" s="9">
        <v>8825.617</v>
      </c>
      <c r="E4896" s="10" t="str">
        <f t="array" ref="E4896">IFS(D4896&lt;=$G$3,'calculated data '!$A$3,D4896&lt;=$G$4,'calculated data '!$A$4,D4896&lt;=$G$6,'calculated data '!$A$5,D4896&gt;=$G$6,'calculated data '!$A$6)</f>
        <v>Target Market (Core IQR)</v>
      </c>
      <c r="F4896" s="10">
        <f t="shared" si="1"/>
        <v>-0.429559591</v>
      </c>
    </row>
    <row r="4897" ht="14.25" customHeight="1">
      <c r="A4897" s="2" t="s">
        <v>241</v>
      </c>
      <c r="B4897" s="2" t="s">
        <v>242</v>
      </c>
      <c r="C4897" s="2">
        <v>1998.0</v>
      </c>
      <c r="D4897" s="9">
        <v>8832.1875</v>
      </c>
      <c r="E4897" s="10" t="str">
        <f t="array" ref="E4897">IFS(D4897&lt;=$G$3,'calculated data '!$A$3,D4897&lt;=$G$4,'calculated data '!$A$4,D4897&lt;=$G$6,'calculated data '!$A$5,D4897&gt;=$G$6,'calculated data '!$A$6)</f>
        <v>Target Market (Core IQR)</v>
      </c>
      <c r="F4897" s="10">
        <f t="shared" si="1"/>
        <v>-0.4293856715</v>
      </c>
    </row>
    <row r="4898" ht="14.25" customHeight="1">
      <c r="A4898" s="2" t="s">
        <v>273</v>
      </c>
      <c r="B4898" s="2" t="s">
        <v>274</v>
      </c>
      <c r="C4898" s="2">
        <v>2017.0</v>
      </c>
      <c r="D4898" s="9">
        <v>8832.858</v>
      </c>
      <c r="E4898" s="10" t="str">
        <f t="array" ref="E4898">IFS(D4898&lt;=$G$3,'calculated data '!$A$3,D4898&lt;=$G$4,'calculated data '!$A$4,D4898&lt;=$G$6,'calculated data '!$A$5,D4898&gt;=$G$6,'calculated data '!$A$6)</f>
        <v>Target Market (Core IQR)</v>
      </c>
      <c r="F4898" s="10">
        <f t="shared" si="1"/>
        <v>-0.4293679236</v>
      </c>
    </row>
    <row r="4899" ht="14.25" customHeight="1">
      <c r="A4899" s="2" t="s">
        <v>251</v>
      </c>
      <c r="B4899" s="2" t="s">
        <v>252</v>
      </c>
      <c r="C4899" s="2">
        <v>2009.0</v>
      </c>
      <c r="D4899" s="9">
        <v>8835.036</v>
      </c>
      <c r="E4899" s="10" t="str">
        <f t="array" ref="E4899">IFS(D4899&lt;=$G$3,'calculated data '!$A$3,D4899&lt;=$G$4,'calculated data '!$A$4,D4899&lt;=$G$6,'calculated data '!$A$5,D4899&gt;=$G$6,'calculated data '!$A$6)</f>
        <v>Target Market (Core IQR)</v>
      </c>
      <c r="F4899" s="10">
        <f t="shared" si="1"/>
        <v>-0.4293102725</v>
      </c>
    </row>
    <row r="4900" ht="14.25" customHeight="1">
      <c r="A4900" s="2" t="s">
        <v>281</v>
      </c>
      <c r="B4900" s="2" t="s">
        <v>282</v>
      </c>
      <c r="C4900" s="2">
        <v>2013.0</v>
      </c>
      <c r="D4900" s="9">
        <v>8844.286</v>
      </c>
      <c r="E4900" s="10" t="str">
        <f t="array" ref="E4900">IFS(D4900&lt;=$G$3,'calculated data '!$A$3,D4900&lt;=$G$4,'calculated data '!$A$4,D4900&lt;=$G$6,'calculated data '!$A$5,D4900&gt;=$G$6,'calculated data '!$A$6)</f>
        <v>Target Market (Core IQR)</v>
      </c>
      <c r="F4900" s="10">
        <f t="shared" si="1"/>
        <v>-0.4290654273</v>
      </c>
    </row>
    <row r="4901" ht="14.25" customHeight="1">
      <c r="A4901" s="2" t="s">
        <v>163</v>
      </c>
      <c r="B4901" s="2" t="s">
        <v>164</v>
      </c>
      <c r="C4901" s="2">
        <v>2024.0</v>
      </c>
      <c r="D4901" s="9">
        <v>8848.353</v>
      </c>
      <c r="E4901" s="10" t="str">
        <f t="array" ref="E4901">IFS(D4901&lt;=$G$3,'calculated data '!$A$3,D4901&lt;=$G$4,'calculated data '!$A$4,D4901&lt;=$G$6,'calculated data '!$A$5,D4901&gt;=$G$6,'calculated data '!$A$6)</f>
        <v>Target Market (Core IQR)</v>
      </c>
      <c r="F4901" s="10">
        <f t="shared" si="1"/>
        <v>-0.4289577748</v>
      </c>
    </row>
    <row r="4902" ht="14.25" customHeight="1">
      <c r="A4902" s="2" t="s">
        <v>305</v>
      </c>
      <c r="B4902" s="2" t="s">
        <v>306</v>
      </c>
      <c r="C4902" s="2">
        <v>2016.0</v>
      </c>
      <c r="D4902" s="9">
        <v>8849.8</v>
      </c>
      <c r="E4902" s="10" t="str">
        <f t="array" ref="E4902">IFS(D4902&lt;=$G$3,'calculated data '!$A$3,D4902&lt;=$G$4,'calculated data '!$A$4,D4902&lt;=$G$6,'calculated data '!$A$5,D4902&gt;=$G$6,'calculated data '!$A$6)</f>
        <v>Target Market (Core IQR)</v>
      </c>
      <c r="F4902" s="10">
        <f t="shared" si="1"/>
        <v>-0.4289194731</v>
      </c>
    </row>
    <row r="4903" ht="14.25" customHeight="1">
      <c r="A4903" s="2" t="s">
        <v>185</v>
      </c>
      <c r="B4903" s="2" t="s">
        <v>186</v>
      </c>
      <c r="C4903" s="2">
        <v>2007.0</v>
      </c>
      <c r="D4903" s="9">
        <v>8854.484</v>
      </c>
      <c r="E4903" s="10" t="str">
        <f t="array" ref="E4903">IFS(D4903&lt;=$G$3,'calculated data '!$A$3,D4903&lt;=$G$4,'calculated data '!$A$4,D4903&lt;=$G$6,'calculated data '!$A$5,D4903&gt;=$G$6,'calculated data '!$A$6)</f>
        <v>Target Market (Core IQR)</v>
      </c>
      <c r="F4903" s="10">
        <f t="shared" si="1"/>
        <v>-0.4287954887</v>
      </c>
    </row>
    <row r="4904" ht="14.25" customHeight="1">
      <c r="A4904" s="2" t="s">
        <v>287</v>
      </c>
      <c r="B4904" s="2" t="s">
        <v>288</v>
      </c>
      <c r="C4904" s="2">
        <v>1981.0</v>
      </c>
      <c r="D4904" s="9">
        <v>8855.333</v>
      </c>
      <c r="E4904" s="10" t="str">
        <f t="array" ref="E4904">IFS(D4904&lt;=$G$3,'calculated data '!$A$3,D4904&lt;=$G$4,'calculated data '!$A$4,D4904&lt;=$G$6,'calculated data '!$A$5,D4904&gt;=$G$6,'calculated data '!$A$6)</f>
        <v>Target Market (Core IQR)</v>
      </c>
      <c r="F4904" s="10">
        <f t="shared" si="1"/>
        <v>-0.4287730159</v>
      </c>
    </row>
    <row r="4905" ht="14.25" customHeight="1">
      <c r="A4905" s="2" t="s">
        <v>259</v>
      </c>
      <c r="B4905" s="2" t="s">
        <v>260</v>
      </c>
      <c r="C4905" s="2">
        <v>2014.0</v>
      </c>
      <c r="D4905" s="9">
        <v>8857.137</v>
      </c>
      <c r="E4905" s="10" t="str">
        <f t="array" ref="E4905">IFS(D4905&lt;=$G$3,'calculated data '!$A$3,D4905&lt;=$G$4,'calculated data '!$A$4,D4905&lt;=$G$6,'calculated data '!$A$5,D4905&gt;=$G$6,'calculated data '!$A$6)</f>
        <v>Target Market (Core IQR)</v>
      </c>
      <c r="F4905" s="10">
        <f t="shared" si="1"/>
        <v>-0.4287252645</v>
      </c>
    </row>
    <row r="4906" ht="14.25" customHeight="1">
      <c r="A4906" s="2" t="s">
        <v>265</v>
      </c>
      <c r="B4906" s="2" t="s">
        <v>266</v>
      </c>
      <c r="C4906" s="2">
        <v>2020.0</v>
      </c>
      <c r="D4906" s="9">
        <v>8861.933</v>
      </c>
      <c r="E4906" s="10" t="str">
        <f t="array" ref="E4906">IFS(D4906&lt;=$G$3,'calculated data '!$A$3,D4906&lt;=$G$4,'calculated data '!$A$4,D4906&lt;=$G$6,'calculated data '!$A$5,D4906&gt;=$G$6,'calculated data '!$A$6)</f>
        <v>Target Market (Core IQR)</v>
      </c>
      <c r="F4906" s="10">
        <f t="shared" si="1"/>
        <v>-0.4285983156</v>
      </c>
    </row>
    <row r="4907" ht="14.25" customHeight="1">
      <c r="A4907" s="2" t="s">
        <v>271</v>
      </c>
      <c r="B4907" s="2" t="s">
        <v>272</v>
      </c>
      <c r="C4907" s="2">
        <v>1972.0</v>
      </c>
      <c r="D4907" s="9">
        <v>8864.022</v>
      </c>
      <c r="E4907" s="10" t="str">
        <f t="array" ref="E4907">IFS(D4907&lt;=$G$3,'calculated data '!$A$3,D4907&lt;=$G$4,'calculated data '!$A$4,D4907&lt;=$G$6,'calculated data '!$A$5,D4907&gt;=$G$6,'calculated data '!$A$6)</f>
        <v>Target Market (Core IQR)</v>
      </c>
      <c r="F4907" s="10">
        <f t="shared" si="1"/>
        <v>-0.4285430203</v>
      </c>
    </row>
    <row r="4908" ht="14.25" customHeight="1">
      <c r="A4908" s="2" t="s">
        <v>253</v>
      </c>
      <c r="B4908" s="2" t="s">
        <v>254</v>
      </c>
      <c r="C4908" s="2">
        <v>2014.0</v>
      </c>
      <c r="D4908" s="9">
        <v>8866.902</v>
      </c>
      <c r="E4908" s="10" t="str">
        <f t="array" ref="E4908">IFS(D4908&lt;=$G$3,'calculated data '!$A$3,D4908&lt;=$G$4,'calculated data '!$A$4,D4908&lt;=$G$6,'calculated data '!$A$5,D4908&gt;=$G$6,'calculated data '!$A$6)</f>
        <v>Target Market (Core IQR)</v>
      </c>
      <c r="F4908" s="10">
        <f t="shared" si="1"/>
        <v>-0.4284667874</v>
      </c>
    </row>
    <row r="4909" ht="14.25" customHeight="1">
      <c r="A4909" s="2" t="s">
        <v>293</v>
      </c>
      <c r="B4909" s="2" t="s">
        <v>294</v>
      </c>
      <c r="C4909" s="2">
        <v>1997.0</v>
      </c>
      <c r="D4909" s="9">
        <v>8870.455</v>
      </c>
      <c r="E4909" s="10" t="str">
        <f t="array" ref="E4909">IFS(D4909&lt;=$G$3,'calculated data '!$A$3,D4909&lt;=$G$4,'calculated data '!$A$4,D4909&lt;=$G$6,'calculated data '!$A$5,D4909&gt;=$G$6,'calculated data '!$A$6)</f>
        <v>Target Market (Core IQR)</v>
      </c>
      <c r="F4909" s="10">
        <f t="shared" si="1"/>
        <v>-0.4283727403</v>
      </c>
    </row>
    <row r="4910" ht="14.25" customHeight="1">
      <c r="A4910" s="2" t="s">
        <v>303</v>
      </c>
      <c r="B4910" s="2" t="s">
        <v>304</v>
      </c>
      <c r="C4910" s="2">
        <v>1993.0</v>
      </c>
      <c r="D4910" s="9">
        <v>8875.222</v>
      </c>
      <c r="E4910" s="10" t="str">
        <f t="array" ref="E4910">IFS(D4910&lt;=$G$3,'calculated data '!$A$3,D4910&lt;=$G$4,'calculated data '!$A$4,D4910&lt;=$G$6,'calculated data '!$A$5,D4910&gt;=$G$6,'calculated data '!$A$6)</f>
        <v>Target Market (Core IQR)</v>
      </c>
      <c r="F4910" s="10">
        <f t="shared" si="1"/>
        <v>-0.428246559</v>
      </c>
    </row>
    <row r="4911" ht="14.25" customHeight="1">
      <c r="A4911" s="2" t="s">
        <v>237</v>
      </c>
      <c r="B4911" s="2" t="s">
        <v>238</v>
      </c>
      <c r="C4911" s="2">
        <v>2002.0</v>
      </c>
      <c r="D4911" s="9">
        <v>8880.034</v>
      </c>
      <c r="E4911" s="10" t="str">
        <f t="array" ref="E4911">IFS(D4911&lt;=$G$3,'calculated data '!$A$3,D4911&lt;=$G$4,'calculated data '!$A$4,D4911&lt;=$G$6,'calculated data '!$A$5,D4911&gt;=$G$6,'calculated data '!$A$6)</f>
        <v>Target Market (Core IQR)</v>
      </c>
      <c r="F4911" s="10">
        <f t="shared" si="1"/>
        <v>-0.4281191866</v>
      </c>
    </row>
    <row r="4912" ht="14.25" customHeight="1">
      <c r="A4912" s="2" t="s">
        <v>251</v>
      </c>
      <c r="B4912" s="2" t="s">
        <v>252</v>
      </c>
      <c r="C4912" s="2">
        <v>2004.0</v>
      </c>
      <c r="D4912" s="9">
        <v>8880.3955</v>
      </c>
      <c r="E4912" s="10" t="str">
        <f t="array" ref="E4912">IFS(D4912&lt;=$G$3,'calculated data '!$A$3,D4912&lt;=$G$4,'calculated data '!$A$4,D4912&lt;=$G$6,'calculated data '!$A$5,D4912&gt;=$G$6,'calculated data '!$A$6)</f>
        <v>Target Market (Core IQR)</v>
      </c>
      <c r="F4912" s="10">
        <f t="shared" si="1"/>
        <v>-0.4281096178</v>
      </c>
    </row>
    <row r="4913" ht="14.25" customHeight="1">
      <c r="A4913" s="2" t="s">
        <v>185</v>
      </c>
      <c r="B4913" s="2" t="s">
        <v>186</v>
      </c>
      <c r="C4913" s="2">
        <v>2010.0</v>
      </c>
      <c r="D4913" s="9">
        <v>8881.534</v>
      </c>
      <c r="E4913" s="10" t="str">
        <f t="array" ref="E4913">IFS(D4913&lt;=$G$3,'calculated data '!$A$3,D4913&lt;=$G$4,'calculated data '!$A$4,D4913&lt;=$G$6,'calculated data '!$A$5,D4913&gt;=$G$6,'calculated data '!$A$6)</f>
        <v>Target Market (Core IQR)</v>
      </c>
      <c r="F4913" s="10">
        <f t="shared" si="1"/>
        <v>-0.428079482</v>
      </c>
    </row>
    <row r="4914" ht="14.25" customHeight="1">
      <c r="A4914" s="2" t="s">
        <v>261</v>
      </c>
      <c r="B4914" s="2" t="s">
        <v>262</v>
      </c>
      <c r="C4914" s="2">
        <v>2007.0</v>
      </c>
      <c r="D4914" s="9">
        <v>8884.348</v>
      </c>
      <c r="E4914" s="10" t="str">
        <f t="array" ref="E4914">IFS(D4914&lt;=$G$3,'calculated data '!$A$3,D4914&lt;=$G$4,'calculated data '!$A$4,D4914&lt;=$G$6,'calculated data '!$A$5,D4914&gt;=$G$6,'calculated data '!$A$6)</f>
        <v>Target Market (Core IQR)</v>
      </c>
      <c r="F4914" s="10">
        <f t="shared" si="1"/>
        <v>-0.4280049961</v>
      </c>
    </row>
    <row r="4915" ht="14.25" customHeight="1">
      <c r="A4915" s="2" t="s">
        <v>185</v>
      </c>
      <c r="B4915" s="2" t="s">
        <v>186</v>
      </c>
      <c r="C4915" s="2">
        <v>2008.0</v>
      </c>
      <c r="D4915" s="9">
        <v>8889.091</v>
      </c>
      <c r="E4915" s="10" t="str">
        <f t="array" ref="E4915">IFS(D4915&lt;=$G$3,'calculated data '!$A$3,D4915&lt;=$G$4,'calculated data '!$A$4,D4915&lt;=$G$6,'calculated data '!$A$5,D4915&gt;=$G$6,'calculated data '!$A$6)</f>
        <v>Target Market (Core IQR)</v>
      </c>
      <c r="F4915" s="10">
        <f t="shared" si="1"/>
        <v>-0.4278794501</v>
      </c>
    </row>
    <row r="4916" ht="14.25" customHeight="1">
      <c r="A4916" s="2" t="s">
        <v>279</v>
      </c>
      <c r="B4916" s="2" t="s">
        <v>280</v>
      </c>
      <c r="C4916" s="2">
        <v>1972.0</v>
      </c>
      <c r="D4916" s="9">
        <v>8889.924</v>
      </c>
      <c r="E4916" s="10" t="str">
        <f t="array" ref="E4916">IFS(D4916&lt;=$G$3,'calculated data '!$A$3,D4916&lt;=$G$4,'calculated data '!$A$4,D4916&lt;=$G$6,'calculated data '!$A$5,D4916&gt;=$G$6,'calculated data '!$A$6)</f>
        <v>Target Market (Core IQR)</v>
      </c>
      <c r="F4916" s="10">
        <f t="shared" si="1"/>
        <v>-0.4278574008</v>
      </c>
    </row>
    <row r="4917" ht="14.25" customHeight="1">
      <c r="A4917" s="2" t="s">
        <v>229</v>
      </c>
      <c r="B4917" s="2" t="s">
        <v>230</v>
      </c>
      <c r="C4917" s="2">
        <v>1995.0</v>
      </c>
      <c r="D4917" s="9">
        <v>8892.423</v>
      </c>
      <c r="E4917" s="10" t="str">
        <f t="array" ref="E4917">IFS(D4917&lt;=$G$3,'calculated data '!$A$3,D4917&lt;=$G$4,'calculated data '!$A$4,D4917&lt;=$G$6,'calculated data '!$A$5,D4917&gt;=$G$6,'calculated data '!$A$6)</f>
        <v>Target Market (Core IQR)</v>
      </c>
      <c r="F4917" s="10">
        <f t="shared" si="1"/>
        <v>-0.4277912529</v>
      </c>
    </row>
    <row r="4918" ht="14.25" customHeight="1">
      <c r="A4918" s="2" t="s">
        <v>265</v>
      </c>
      <c r="B4918" s="2" t="s">
        <v>266</v>
      </c>
      <c r="C4918" s="2">
        <v>2021.0</v>
      </c>
      <c r="D4918" s="9">
        <v>8903.45</v>
      </c>
      <c r="E4918" s="10" t="str">
        <f t="array" ref="E4918">IFS(D4918&lt;=$G$3,'calculated data '!$A$3,D4918&lt;=$G$4,'calculated data '!$A$4,D4918&lt;=$G$6,'calculated data '!$A$5,D4918&gt;=$G$6,'calculated data '!$A$6)</f>
        <v>Target Market (Core IQR)</v>
      </c>
      <c r="F4918" s="10">
        <f t="shared" si="1"/>
        <v>-0.4274993709</v>
      </c>
    </row>
    <row r="4919" ht="14.25" customHeight="1">
      <c r="A4919" s="2" t="s">
        <v>275</v>
      </c>
      <c r="B4919" s="2" t="s">
        <v>276</v>
      </c>
      <c r="C4919" s="2">
        <v>2007.0</v>
      </c>
      <c r="D4919" s="9">
        <v>8910.277</v>
      </c>
      <c r="E4919" s="10" t="str">
        <f t="array" ref="E4919">IFS(D4919&lt;=$G$3,'calculated data '!$A$3,D4919&lt;=$G$4,'calculated data '!$A$4,D4919&lt;=$G$6,'calculated data '!$A$5,D4919&gt;=$G$6,'calculated data '!$A$6)</f>
        <v>Target Market (Core IQR)</v>
      </c>
      <c r="F4919" s="10">
        <f t="shared" si="1"/>
        <v>-0.4273186619</v>
      </c>
    </row>
    <row r="4920" ht="14.25" customHeight="1">
      <c r="A4920" s="2" t="s">
        <v>287</v>
      </c>
      <c r="B4920" s="2" t="s">
        <v>288</v>
      </c>
      <c r="C4920" s="2">
        <v>1987.0</v>
      </c>
      <c r="D4920" s="9">
        <v>8910.333</v>
      </c>
      <c r="E4920" s="10" t="str">
        <f t="array" ref="E4920">IFS(D4920&lt;=$G$3,'calculated data '!$A$3,D4920&lt;=$G$4,'calculated data '!$A$4,D4920&lt;=$G$6,'calculated data '!$A$5,D4920&gt;=$G$6,'calculated data '!$A$6)</f>
        <v>Target Market (Core IQR)</v>
      </c>
      <c r="F4920" s="10">
        <f t="shared" si="1"/>
        <v>-0.4273171796</v>
      </c>
    </row>
    <row r="4921" ht="14.25" customHeight="1">
      <c r="A4921" s="2" t="s">
        <v>265</v>
      </c>
      <c r="B4921" s="2" t="s">
        <v>266</v>
      </c>
      <c r="C4921" s="2">
        <v>2003.0</v>
      </c>
      <c r="D4921" s="9">
        <v>8923.776</v>
      </c>
      <c r="E4921" s="10" t="str">
        <f t="array" ref="E4921">IFS(D4921&lt;=$G$3,'calculated data '!$A$3,D4921&lt;=$G$4,'calculated data '!$A$4,D4921&lt;=$G$6,'calculated data '!$A$5,D4921&gt;=$G$6,'calculated data '!$A$6)</f>
        <v>Target Market (Core IQR)</v>
      </c>
      <c r="F4921" s="10">
        <f t="shared" si="1"/>
        <v>-0.4269613468</v>
      </c>
    </row>
    <row r="4922" ht="14.25" customHeight="1">
      <c r="A4922" s="2" t="s">
        <v>321</v>
      </c>
      <c r="B4922" s="2" t="s">
        <v>322</v>
      </c>
      <c r="C4922" s="2">
        <v>2006.0</v>
      </c>
      <c r="D4922" s="9">
        <v>8924.525</v>
      </c>
      <c r="E4922" s="10" t="str">
        <f t="array" ref="E4922">IFS(D4922&lt;=$G$3,'calculated data '!$A$3,D4922&lt;=$G$4,'calculated data '!$A$4,D4922&lt;=$G$6,'calculated data '!$A$5,D4922&gt;=$G$6,'calculated data '!$A$6)</f>
        <v>Target Market (Core IQR)</v>
      </c>
      <c r="F4922" s="10">
        <f t="shared" si="1"/>
        <v>-0.4269415209</v>
      </c>
    </row>
    <row r="4923" ht="14.25" customHeight="1">
      <c r="A4923" s="2" t="s">
        <v>315</v>
      </c>
      <c r="B4923" s="2" t="s">
        <v>316</v>
      </c>
      <c r="C4923" s="2">
        <v>2004.0</v>
      </c>
      <c r="D4923" s="9">
        <v>8927.952</v>
      </c>
      <c r="E4923" s="10" t="str">
        <f t="array" ref="E4923">IFS(D4923&lt;=$G$3,'calculated data '!$A$3,D4923&lt;=$G$4,'calculated data '!$A$4,D4923&lt;=$G$6,'calculated data '!$A$5,D4923&gt;=$G$6,'calculated data '!$A$6)</f>
        <v>Target Market (Core IQR)</v>
      </c>
      <c r="F4923" s="10">
        <f t="shared" si="1"/>
        <v>-0.4268508091</v>
      </c>
    </row>
    <row r="4924" ht="14.25" customHeight="1">
      <c r="A4924" s="2" t="s">
        <v>251</v>
      </c>
      <c r="B4924" s="2" t="s">
        <v>252</v>
      </c>
      <c r="C4924" s="2">
        <v>2000.0</v>
      </c>
      <c r="D4924" s="9">
        <v>8932.045</v>
      </c>
      <c r="E4924" s="10" t="str">
        <f t="array" ref="E4924">IFS(D4924&lt;=$G$3,'calculated data '!$A$3,D4924&lt;=$G$4,'calculated data '!$A$4,D4924&lt;=$G$6,'calculated data '!$A$5,D4924&gt;=$G$6,'calculated data '!$A$6)</f>
        <v>Target Market (Core IQR)</v>
      </c>
      <c r="F4924" s="10">
        <f t="shared" si="1"/>
        <v>-0.4267424684</v>
      </c>
    </row>
    <row r="4925" ht="14.25" customHeight="1">
      <c r="A4925" s="2" t="s">
        <v>259</v>
      </c>
      <c r="B4925" s="2" t="s">
        <v>260</v>
      </c>
      <c r="C4925" s="2">
        <v>2002.0</v>
      </c>
      <c r="D4925" s="9">
        <v>8939.827</v>
      </c>
      <c r="E4925" s="10" t="str">
        <f t="array" ref="E4925">IFS(D4925&lt;=$G$3,'calculated data '!$A$3,D4925&lt;=$G$4,'calculated data '!$A$4,D4925&lt;=$G$6,'calculated data '!$A$5,D4925&gt;=$G$6,'calculated data '!$A$6)</f>
        <v>Target Market (Core IQR)</v>
      </c>
      <c r="F4925" s="10">
        <f t="shared" si="1"/>
        <v>-0.4265364808</v>
      </c>
    </row>
    <row r="4926" ht="14.25" customHeight="1">
      <c r="A4926" s="2" t="s">
        <v>261</v>
      </c>
      <c r="B4926" s="2" t="s">
        <v>262</v>
      </c>
      <c r="C4926" s="2">
        <v>2016.0</v>
      </c>
      <c r="D4926" s="9">
        <v>8940.282</v>
      </c>
      <c r="E4926" s="10" t="str">
        <f t="array" ref="E4926">IFS(D4926&lt;=$G$3,'calculated data '!$A$3,D4926&lt;=$G$4,'calculated data '!$A$4,D4926&lt;=$G$6,'calculated data '!$A$5,D4926&gt;=$G$6,'calculated data '!$A$6)</f>
        <v>Target Market (Core IQR)</v>
      </c>
      <c r="F4926" s="10">
        <f t="shared" si="1"/>
        <v>-0.426524437</v>
      </c>
    </row>
    <row r="4927" ht="14.25" customHeight="1">
      <c r="A4927" s="2" t="s">
        <v>225</v>
      </c>
      <c r="B4927" s="2" t="s">
        <v>226</v>
      </c>
      <c r="C4927" s="2">
        <v>2023.0</v>
      </c>
      <c r="D4927" s="9">
        <v>8943.399</v>
      </c>
      <c r="E4927" s="10" t="str">
        <f t="array" ref="E4927">IFS(D4927&lt;=$G$3,'calculated data '!$A$3,D4927&lt;=$G$4,'calculated data '!$A$4,D4927&lt;=$G$6,'calculated data '!$A$5,D4927&gt;=$G$6,'calculated data '!$A$6)</f>
        <v>Target Market (Core IQR)</v>
      </c>
      <c r="F4927" s="10">
        <f t="shared" si="1"/>
        <v>-0.4264419308</v>
      </c>
    </row>
    <row r="4928" ht="14.25" customHeight="1">
      <c r="A4928" s="2" t="s">
        <v>265</v>
      </c>
      <c r="B4928" s="2" t="s">
        <v>266</v>
      </c>
      <c r="C4928" s="2">
        <v>2015.0</v>
      </c>
      <c r="D4928" s="9">
        <v>8944.144</v>
      </c>
      <c r="E4928" s="10" t="str">
        <f t="array" ref="E4928">IFS(D4928&lt;=$G$3,'calculated data '!$A$3,D4928&lt;=$G$4,'calculated data '!$A$4,D4928&lt;=$G$6,'calculated data '!$A$5,D4928&gt;=$G$6,'calculated data '!$A$6)</f>
        <v>Target Market (Core IQR)</v>
      </c>
      <c r="F4928" s="10">
        <f t="shared" si="1"/>
        <v>-0.4264222109</v>
      </c>
    </row>
    <row r="4929" ht="14.25" customHeight="1">
      <c r="A4929" s="2" t="s">
        <v>253</v>
      </c>
      <c r="B4929" s="2" t="s">
        <v>254</v>
      </c>
      <c r="C4929" s="2">
        <v>2021.0</v>
      </c>
      <c r="D4929" s="9">
        <v>8945.902</v>
      </c>
      <c r="E4929" s="10" t="str">
        <f t="array" ref="E4929">IFS(D4929&lt;=$G$3,'calculated data '!$A$3,D4929&lt;=$G$4,'calculated data '!$A$4,D4929&lt;=$G$6,'calculated data '!$A$5,D4929&gt;=$G$6,'calculated data '!$A$6)</f>
        <v>Target Market (Core IQR)</v>
      </c>
      <c r="F4929" s="10">
        <f t="shared" si="1"/>
        <v>-0.426375677</v>
      </c>
    </row>
    <row r="4930" ht="14.25" customHeight="1">
      <c r="A4930" s="2" t="s">
        <v>259</v>
      </c>
      <c r="B4930" s="2" t="s">
        <v>260</v>
      </c>
      <c r="C4930" s="2">
        <v>2013.0</v>
      </c>
      <c r="D4930" s="9">
        <v>8948.596</v>
      </c>
      <c r="E4930" s="10" t="str">
        <f t="array" ref="E4930">IFS(D4930&lt;=$G$3,'calculated data '!$A$3,D4930&lt;=$G$4,'calculated data '!$A$4,D4930&lt;=$G$6,'calculated data '!$A$5,D4930&gt;=$G$6,'calculated data '!$A$6)</f>
        <v>Target Market (Core IQR)</v>
      </c>
      <c r="F4930" s="10">
        <f t="shared" si="1"/>
        <v>-0.4263043675</v>
      </c>
    </row>
    <row r="4931" ht="14.25" customHeight="1">
      <c r="A4931" s="2" t="s">
        <v>197</v>
      </c>
      <c r="B4931" s="2" t="s">
        <v>198</v>
      </c>
      <c r="C4931" s="2">
        <v>2000.0</v>
      </c>
      <c r="D4931" s="9">
        <v>8953.698</v>
      </c>
      <c r="E4931" s="10" t="str">
        <f t="array" ref="E4931">IFS(D4931&lt;=$G$3,'calculated data '!$A$3,D4931&lt;=$G$4,'calculated data '!$A$4,D4931&lt;=$G$6,'calculated data '!$A$5,D4931&gt;=$G$6,'calculated data '!$A$6)</f>
        <v>Target Market (Core IQR)</v>
      </c>
      <c r="F4931" s="10">
        <f t="shared" si="1"/>
        <v>-0.4261693189</v>
      </c>
    </row>
    <row r="4932" ht="14.25" customHeight="1">
      <c r="A4932" s="2" t="s">
        <v>259</v>
      </c>
      <c r="B4932" s="2" t="s">
        <v>260</v>
      </c>
      <c r="C4932" s="2">
        <v>2003.0</v>
      </c>
      <c r="D4932" s="9">
        <v>8960.578</v>
      </c>
      <c r="E4932" s="10" t="str">
        <f t="array" ref="E4932">IFS(D4932&lt;=$G$3,'calculated data '!$A$3,D4932&lt;=$G$4,'calculated data '!$A$4,D4932&lt;=$G$6,'calculated data '!$A$5,D4932&gt;=$G$6,'calculated data '!$A$6)</f>
        <v>Target Market (Core IQR)</v>
      </c>
      <c r="F4932" s="10">
        <f t="shared" si="1"/>
        <v>-0.425987207</v>
      </c>
    </row>
    <row r="4933" ht="14.25" customHeight="1">
      <c r="A4933" s="2" t="s">
        <v>203</v>
      </c>
      <c r="B4933" s="2" t="s">
        <v>204</v>
      </c>
      <c r="C4933" s="2">
        <v>2003.0</v>
      </c>
      <c r="D4933" s="9">
        <v>8964.266</v>
      </c>
      <c r="E4933" s="10" t="str">
        <f t="array" ref="E4933">IFS(D4933&lt;=$G$3,'calculated data '!$A$3,D4933&lt;=$G$4,'calculated data '!$A$4,D4933&lt;=$G$6,'calculated data '!$A$5,D4933&gt;=$G$6,'calculated data '!$A$6)</f>
        <v>Target Market (Core IQR)</v>
      </c>
      <c r="F4933" s="10">
        <f t="shared" si="1"/>
        <v>-0.4258895865</v>
      </c>
    </row>
    <row r="4934" ht="14.25" customHeight="1">
      <c r="A4934" s="2" t="s">
        <v>275</v>
      </c>
      <c r="B4934" s="2" t="s">
        <v>276</v>
      </c>
      <c r="C4934" s="2">
        <v>2005.0</v>
      </c>
      <c r="D4934" s="9">
        <v>8964.338</v>
      </c>
      <c r="E4934" s="10" t="str">
        <f t="array" ref="E4934">IFS(D4934&lt;=$G$3,'calculated data '!$A$3,D4934&lt;=$G$4,'calculated data '!$A$4,D4934&lt;=$G$6,'calculated data '!$A$5,D4934&gt;=$G$6,'calculated data '!$A$6)</f>
        <v>Target Market (Core IQR)</v>
      </c>
      <c r="F4934" s="10">
        <f t="shared" si="1"/>
        <v>-0.4258876807</v>
      </c>
    </row>
    <row r="4935" ht="14.25" customHeight="1">
      <c r="A4935" s="2" t="s">
        <v>251</v>
      </c>
      <c r="B4935" s="2" t="s">
        <v>252</v>
      </c>
      <c r="C4935" s="2">
        <v>2007.0</v>
      </c>
      <c r="D4935" s="9">
        <v>8971.607</v>
      </c>
      <c r="E4935" s="10" t="str">
        <f t="array" ref="E4935">IFS(D4935&lt;=$G$3,'calculated data '!$A$3,D4935&lt;=$G$4,'calculated data '!$A$4,D4935&lt;=$G$6,'calculated data '!$A$5,D4935&gt;=$G$6,'calculated data '!$A$6)</f>
        <v>Target Market (Core IQR)</v>
      </c>
      <c r="F4935" s="10">
        <f t="shared" si="1"/>
        <v>-0.4256952721</v>
      </c>
    </row>
    <row r="4936" ht="14.25" customHeight="1">
      <c r="A4936" s="2" t="s">
        <v>183</v>
      </c>
      <c r="B4936" s="2" t="s">
        <v>184</v>
      </c>
      <c r="C4936" s="2">
        <v>2009.0</v>
      </c>
      <c r="D4936" s="9">
        <v>8971.817</v>
      </c>
      <c r="E4936" s="10" t="str">
        <f t="array" ref="E4936">IFS(D4936&lt;=$G$3,'calculated data '!$A$3,D4936&lt;=$G$4,'calculated data '!$A$4,D4936&lt;=$G$6,'calculated data '!$A$5,D4936&gt;=$G$6,'calculated data '!$A$6)</f>
        <v>Target Market (Core IQR)</v>
      </c>
      <c r="F4936" s="10">
        <f t="shared" si="1"/>
        <v>-0.4256897135</v>
      </c>
    </row>
    <row r="4937" ht="14.25" customHeight="1">
      <c r="A4937" s="2" t="s">
        <v>269</v>
      </c>
      <c r="B4937" s="2" t="s">
        <v>270</v>
      </c>
      <c r="C4937" s="2">
        <v>2012.0</v>
      </c>
      <c r="D4937" s="9">
        <v>8972.617</v>
      </c>
      <c r="E4937" s="10" t="str">
        <f t="array" ref="E4937">IFS(D4937&lt;=$G$3,'calculated data '!$A$3,D4937&lt;=$G$4,'calculated data '!$A$4,D4937&lt;=$G$6,'calculated data '!$A$5,D4937&gt;=$G$6,'calculated data '!$A$6)</f>
        <v>Target Market (Core IQR)</v>
      </c>
      <c r="F4937" s="10">
        <f t="shared" si="1"/>
        <v>-0.4256685377</v>
      </c>
    </row>
    <row r="4938" ht="14.25" customHeight="1">
      <c r="A4938" s="2" t="s">
        <v>261</v>
      </c>
      <c r="B4938" s="2" t="s">
        <v>262</v>
      </c>
      <c r="C4938" s="2">
        <v>2021.0</v>
      </c>
      <c r="D4938" s="9">
        <v>8974.451</v>
      </c>
      <c r="E4938" s="10" t="str">
        <f t="array" ref="E4938">IFS(D4938&lt;=$G$3,'calculated data '!$A$3,D4938&lt;=$G$4,'calculated data '!$A$4,D4938&lt;=$G$6,'calculated data '!$A$5,D4938&gt;=$G$6,'calculated data '!$A$6)</f>
        <v>Target Market (Core IQR)</v>
      </c>
      <c r="F4938" s="10">
        <f t="shared" si="1"/>
        <v>-0.4256199921</v>
      </c>
    </row>
    <row r="4939" ht="14.25" customHeight="1">
      <c r="A4939" s="2" t="s">
        <v>317</v>
      </c>
      <c r="B4939" s="2" t="s">
        <v>318</v>
      </c>
      <c r="C4939" s="2">
        <v>1990.0</v>
      </c>
      <c r="D4939" s="9">
        <v>8981.117</v>
      </c>
      <c r="E4939" s="10" t="str">
        <f t="array" ref="E4939">IFS(D4939&lt;=$G$3,'calculated data '!$A$3,D4939&lt;=$G$4,'calculated data '!$A$4,D4939&lt;=$G$6,'calculated data '!$A$5,D4939&gt;=$G$6,'calculated data '!$A$6)</f>
        <v>Target Market (Core IQR)</v>
      </c>
      <c r="F4939" s="10">
        <f t="shared" si="1"/>
        <v>-0.4254435448</v>
      </c>
    </row>
    <row r="4940" ht="14.25" customHeight="1">
      <c r="A4940" s="2" t="s">
        <v>205</v>
      </c>
      <c r="B4940" s="2" t="s">
        <v>206</v>
      </c>
      <c r="C4940" s="2">
        <v>2007.0</v>
      </c>
      <c r="D4940" s="9">
        <v>8986.904</v>
      </c>
      <c r="E4940" s="10" t="str">
        <f t="array" ref="E4940">IFS(D4940&lt;=$G$3,'calculated data '!$A$3,D4940&lt;=$G$4,'calculated data '!$A$4,D4940&lt;=$G$6,'calculated data '!$A$5,D4940&gt;=$G$6,'calculated data '!$A$6)</f>
        <v>Target Market (Core IQR)</v>
      </c>
      <c r="F4940" s="10">
        <f t="shared" si="1"/>
        <v>-0.4252903643</v>
      </c>
    </row>
    <row r="4941" ht="14.25" customHeight="1">
      <c r="A4941" s="2" t="s">
        <v>245</v>
      </c>
      <c r="B4941" s="2" t="s">
        <v>246</v>
      </c>
      <c r="C4941" s="2">
        <v>1992.0</v>
      </c>
      <c r="D4941" s="9">
        <v>8988.006</v>
      </c>
      <c r="E4941" s="10" t="str">
        <f t="array" ref="E4941">IFS(D4941&lt;=$G$3,'calculated data '!$A$3,D4941&lt;=$G$4,'calculated data '!$A$4,D4941&lt;=$G$6,'calculated data '!$A$5,D4941&gt;=$G$6,'calculated data '!$A$6)</f>
        <v>Target Market (Core IQR)</v>
      </c>
      <c r="F4941" s="10">
        <f t="shared" si="1"/>
        <v>-0.4252611947</v>
      </c>
    </row>
    <row r="4942" ht="14.25" customHeight="1">
      <c r="A4942" s="2" t="s">
        <v>321</v>
      </c>
      <c r="B4942" s="2" t="s">
        <v>322</v>
      </c>
      <c r="C4942" s="2">
        <v>2007.0</v>
      </c>
      <c r="D4942" s="9">
        <v>9002.153</v>
      </c>
      <c r="E4942" s="10" t="str">
        <f t="array" ref="E4942">IFS(D4942&lt;=$G$3,'calculated data '!$A$3,D4942&lt;=$G$4,'calculated data '!$A$4,D4942&lt;=$G$6,'calculated data '!$A$5,D4942&gt;=$G$6,'calculated data '!$A$6)</f>
        <v>Target Market (Core IQR)</v>
      </c>
      <c r="F4942" s="10">
        <f t="shared" si="1"/>
        <v>-0.4248867271</v>
      </c>
    </row>
    <row r="4943" ht="14.25" customHeight="1">
      <c r="A4943" s="2" t="s">
        <v>329</v>
      </c>
      <c r="B4943" s="2" t="s">
        <v>330</v>
      </c>
      <c r="C4943" s="2">
        <v>1985.0</v>
      </c>
      <c r="D4943" s="9">
        <v>9012.704</v>
      </c>
      <c r="E4943" s="10" t="str">
        <f t="array" ref="E4943">IFS(D4943&lt;=$G$3,'calculated data '!$A$3,D4943&lt;=$G$4,'calculated data '!$A$4,D4943&lt;=$G$6,'calculated data '!$A$5,D4943&gt;=$G$6,'calculated data '!$A$6)</f>
        <v>Target Market (Core IQR)</v>
      </c>
      <c r="F4943" s="10">
        <f t="shared" si="1"/>
        <v>-0.4246074447</v>
      </c>
    </row>
    <row r="4944" ht="14.25" customHeight="1">
      <c r="A4944" s="2" t="s">
        <v>185</v>
      </c>
      <c r="B4944" s="2" t="s">
        <v>186</v>
      </c>
      <c r="C4944" s="2">
        <v>2015.0</v>
      </c>
      <c r="D4944" s="9">
        <v>9015.487</v>
      </c>
      <c r="E4944" s="10" t="str">
        <f t="array" ref="E4944">IFS(D4944&lt;=$G$3,'calculated data '!$A$3,D4944&lt;=$G$4,'calculated data '!$A$4,D4944&lt;=$G$6,'calculated data '!$A$5,D4944&gt;=$G$6,'calculated data '!$A$6)</f>
        <v>Target Market (Core IQR)</v>
      </c>
      <c r="F4944" s="10">
        <f t="shared" si="1"/>
        <v>-0.4245337794</v>
      </c>
    </row>
    <row r="4945" ht="14.25" customHeight="1">
      <c r="A4945" s="2" t="s">
        <v>317</v>
      </c>
      <c r="B4945" s="2" t="s">
        <v>318</v>
      </c>
      <c r="C4945" s="2">
        <v>1991.0</v>
      </c>
      <c r="D4945" s="9">
        <v>9020.032</v>
      </c>
      <c r="E4945" s="10" t="str">
        <f t="array" ref="E4945">IFS(D4945&lt;=$G$3,'calculated data '!$A$3,D4945&lt;=$G$4,'calculated data '!$A$4,D4945&lt;=$G$6,'calculated data '!$A$5,D4945&gt;=$G$6,'calculated data '!$A$6)</f>
        <v>Target Market (Core IQR)</v>
      </c>
      <c r="F4945" s="10">
        <f t="shared" si="1"/>
        <v>-0.4244134744</v>
      </c>
    </row>
    <row r="4946" ht="14.25" customHeight="1">
      <c r="A4946" s="2" t="s">
        <v>163</v>
      </c>
      <c r="B4946" s="2" t="s">
        <v>164</v>
      </c>
      <c r="C4946" s="2">
        <v>2016.0</v>
      </c>
      <c r="D4946" s="9">
        <v>9022.435</v>
      </c>
      <c r="E4946" s="10" t="str">
        <f t="array" ref="E4946">IFS(D4946&lt;=$G$3,'calculated data '!$A$3,D4946&lt;=$G$4,'calculated data '!$A$4,D4946&lt;=$G$6,'calculated data '!$A$5,D4946&gt;=$G$6,'calculated data '!$A$6)</f>
        <v>Target Market (Core IQR)</v>
      </c>
      <c r="F4946" s="10">
        <f t="shared" si="1"/>
        <v>-0.4243498676</v>
      </c>
    </row>
    <row r="4947" ht="14.25" customHeight="1">
      <c r="A4947" s="2" t="s">
        <v>299</v>
      </c>
      <c r="B4947" s="2" t="s">
        <v>300</v>
      </c>
      <c r="C4947" s="2">
        <v>2012.0</v>
      </c>
      <c r="D4947" s="9">
        <v>9026.362</v>
      </c>
      <c r="E4947" s="10" t="str">
        <f t="array" ref="E4947">IFS(D4947&lt;=$G$3,'calculated data '!$A$3,D4947&lt;=$G$4,'calculated data '!$A$4,D4947&lt;=$G$6,'calculated data '!$A$5,D4947&gt;=$G$6,'calculated data '!$A$6)</f>
        <v>Target Market (Core IQR)</v>
      </c>
      <c r="F4947" s="10">
        <f t="shared" si="1"/>
        <v>-0.4242459209</v>
      </c>
    </row>
    <row r="4948" ht="14.25" customHeight="1">
      <c r="A4948" s="2" t="s">
        <v>323</v>
      </c>
      <c r="B4948" s="2" t="s">
        <v>324</v>
      </c>
      <c r="C4948" s="2">
        <v>1985.0</v>
      </c>
      <c r="D4948" s="9">
        <v>9026.548</v>
      </c>
      <c r="E4948" s="10" t="str">
        <f t="array" ref="E4948">IFS(D4948&lt;=$G$3,'calculated data '!$A$3,D4948&lt;=$G$4,'calculated data '!$A$4,D4948&lt;=$G$6,'calculated data '!$A$5,D4948&gt;=$G$6,'calculated data '!$A$6)</f>
        <v>Target Market (Core IQR)</v>
      </c>
      <c r="F4948" s="10">
        <f t="shared" si="1"/>
        <v>-0.4242409975</v>
      </c>
    </row>
    <row r="4949" ht="14.25" customHeight="1">
      <c r="A4949" s="2" t="s">
        <v>317</v>
      </c>
      <c r="B4949" s="2" t="s">
        <v>318</v>
      </c>
      <c r="C4949" s="2">
        <v>1992.0</v>
      </c>
      <c r="D4949" s="9">
        <v>9030.373</v>
      </c>
      <c r="E4949" s="10" t="str">
        <f t="array" ref="E4949">IFS(D4949&lt;=$G$3,'calculated data '!$A$3,D4949&lt;=$G$4,'calculated data '!$A$4,D4949&lt;=$G$6,'calculated data '!$A$5,D4949&gt;=$G$6,'calculated data '!$A$6)</f>
        <v>Target Market (Core IQR)</v>
      </c>
      <c r="F4949" s="10">
        <f t="shared" si="1"/>
        <v>-0.4241397507</v>
      </c>
    </row>
    <row r="4950" ht="14.25" customHeight="1">
      <c r="A4950" s="2" t="s">
        <v>321</v>
      </c>
      <c r="B4950" s="2" t="s">
        <v>322</v>
      </c>
      <c r="C4950" s="2">
        <v>2019.0</v>
      </c>
      <c r="D4950" s="9">
        <v>9034.704</v>
      </c>
      <c r="E4950" s="10" t="str">
        <f t="array" ref="E4950">IFS(D4950&lt;=$G$3,'calculated data '!$A$3,D4950&lt;=$G$4,'calculated data '!$A$4,D4950&lt;=$G$6,'calculated data '!$A$5,D4950&gt;=$G$6,'calculated data '!$A$6)</f>
        <v>Target Market (Core IQR)</v>
      </c>
      <c r="F4950" s="10">
        <f t="shared" si="1"/>
        <v>-0.4240251102</v>
      </c>
    </row>
    <row r="4951" ht="14.25" customHeight="1">
      <c r="A4951" s="2" t="s">
        <v>265</v>
      </c>
      <c r="B4951" s="2" t="s">
        <v>266</v>
      </c>
      <c r="C4951" s="2">
        <v>2006.0</v>
      </c>
      <c r="D4951" s="9">
        <v>9037.132</v>
      </c>
      <c r="E4951" s="10" t="str">
        <f t="array" ref="E4951">IFS(D4951&lt;=$G$3,'calculated data '!$A$3,D4951&lt;=$G$4,'calculated data '!$A$4,D4951&lt;=$G$6,'calculated data '!$A$5,D4951&gt;=$G$6,'calculated data '!$A$6)</f>
        <v>Target Market (Core IQR)</v>
      </c>
      <c r="F4951" s="10">
        <f t="shared" si="1"/>
        <v>-0.4239608417</v>
      </c>
    </row>
    <row r="4952" ht="14.25" customHeight="1">
      <c r="A4952" s="2" t="s">
        <v>265</v>
      </c>
      <c r="B4952" s="2" t="s">
        <v>266</v>
      </c>
      <c r="C4952" s="2">
        <v>2000.0</v>
      </c>
      <c r="D4952" s="9">
        <v>9041.242</v>
      </c>
      <c r="E4952" s="10" t="str">
        <f t="array" ref="E4952">IFS(D4952&lt;=$G$3,'calculated data '!$A$3,D4952&lt;=$G$4,'calculated data '!$A$4,D4952&lt;=$G$6,'calculated data '!$A$5,D4952&gt;=$G$6,'calculated data '!$A$6)</f>
        <v>Target Market (Core IQR)</v>
      </c>
      <c r="F4952" s="10">
        <f t="shared" si="1"/>
        <v>-0.423852051</v>
      </c>
    </row>
    <row r="4953" ht="14.25" customHeight="1">
      <c r="A4953" s="2" t="s">
        <v>329</v>
      </c>
      <c r="B4953" s="2" t="s">
        <v>330</v>
      </c>
      <c r="C4953" s="2">
        <v>1984.0</v>
      </c>
      <c r="D4953" s="9">
        <v>9044.702</v>
      </c>
      <c r="E4953" s="10" t="str">
        <f t="array" ref="E4953">IFS(D4953&lt;=$G$3,'calculated data '!$A$3,D4953&lt;=$G$4,'calculated data '!$A$4,D4953&lt;=$G$6,'calculated data '!$A$5,D4953&gt;=$G$6,'calculated data '!$A$6)</f>
        <v>Target Market (Core IQR)</v>
      </c>
      <c r="F4953" s="10">
        <f t="shared" si="1"/>
        <v>-0.4237604657</v>
      </c>
    </row>
    <row r="4954" ht="14.25" customHeight="1">
      <c r="A4954" s="2" t="s">
        <v>191</v>
      </c>
      <c r="B4954" s="2" t="s">
        <v>192</v>
      </c>
      <c r="C4954" s="2">
        <v>2006.0</v>
      </c>
      <c r="D4954" s="9">
        <v>9045.517</v>
      </c>
      <c r="E4954" s="10" t="str">
        <f t="array" ref="E4954">IFS(D4954&lt;=$G$3,'calculated data '!$A$3,D4954&lt;=$G$4,'calculated data '!$A$4,D4954&lt;=$G$6,'calculated data '!$A$5,D4954&gt;=$G$6,'calculated data '!$A$6)</f>
        <v>Target Market (Core IQR)</v>
      </c>
      <c r="F4954" s="10">
        <f t="shared" si="1"/>
        <v>-0.4237388928</v>
      </c>
    </row>
    <row r="4955" ht="14.25" customHeight="1">
      <c r="A4955" s="2" t="s">
        <v>317</v>
      </c>
      <c r="B4955" s="2" t="s">
        <v>318</v>
      </c>
      <c r="C4955" s="2">
        <v>1993.0</v>
      </c>
      <c r="D4955" s="9">
        <v>9053.896</v>
      </c>
      <c r="E4955" s="10" t="str">
        <f t="array" ref="E4955">IFS(D4955&lt;=$G$3,'calculated data '!$A$3,D4955&lt;=$G$4,'calculated data '!$A$4,D4955&lt;=$G$6,'calculated data '!$A$5,D4955&gt;=$G$6,'calculated data '!$A$6)</f>
        <v>Target Market (Core IQR)</v>
      </c>
      <c r="F4955" s="10">
        <f t="shared" si="1"/>
        <v>-0.4235171028</v>
      </c>
    </row>
    <row r="4956" ht="14.25" customHeight="1">
      <c r="A4956" s="2" t="s">
        <v>265</v>
      </c>
      <c r="B4956" s="2" t="s">
        <v>266</v>
      </c>
      <c r="C4956" s="2">
        <v>1999.0</v>
      </c>
      <c r="D4956" s="9">
        <v>9054.72</v>
      </c>
      <c r="E4956" s="10" t="str">
        <f t="array" ref="E4956">IFS(D4956&lt;=$G$3,'calculated data '!$A$3,D4956&lt;=$G$4,'calculated data '!$A$4,D4956&lt;=$G$6,'calculated data '!$A$5,D4956&gt;=$G$6,'calculated data '!$A$6)</f>
        <v>Target Market (Core IQR)</v>
      </c>
      <c r="F4956" s="10">
        <f t="shared" si="1"/>
        <v>-0.4234952917</v>
      </c>
    </row>
    <row r="4957" ht="14.25" customHeight="1">
      <c r="A4957" s="2" t="s">
        <v>259</v>
      </c>
      <c r="B4957" s="2" t="s">
        <v>260</v>
      </c>
      <c r="C4957" s="2">
        <v>2009.0</v>
      </c>
      <c r="D4957" s="9">
        <v>9056.343</v>
      </c>
      <c r="E4957" s="10" t="str">
        <f t="array" ref="E4957">IFS(D4957&lt;=$G$3,'calculated data '!$A$3,D4957&lt;=$G$4,'calculated data '!$A$4,D4957&lt;=$G$6,'calculated data '!$A$5,D4957&gt;=$G$6,'calculated data '!$A$6)</f>
        <v>Target Market (Core IQR)</v>
      </c>
      <c r="F4957" s="10">
        <f t="shared" si="1"/>
        <v>-0.4234523313</v>
      </c>
    </row>
    <row r="4958" ht="14.25" customHeight="1">
      <c r="A4958" s="2" t="s">
        <v>263</v>
      </c>
      <c r="B4958" s="2" t="s">
        <v>264</v>
      </c>
      <c r="C4958" s="2">
        <v>2020.0</v>
      </c>
      <c r="D4958" s="9">
        <v>9056.883</v>
      </c>
      <c r="E4958" s="10" t="str">
        <f t="array" ref="E4958">IFS(D4958&lt;=$G$3,'calculated data '!$A$3,D4958&lt;=$G$4,'calculated data '!$A$4,D4958&lt;=$G$6,'calculated data '!$A$5,D4958&gt;=$G$6,'calculated data '!$A$6)</f>
        <v>Target Market (Core IQR)</v>
      </c>
      <c r="F4958" s="10">
        <f t="shared" si="1"/>
        <v>-0.4234380376</v>
      </c>
    </row>
    <row r="4959" ht="14.25" customHeight="1">
      <c r="A4959" s="2" t="s">
        <v>233</v>
      </c>
      <c r="B4959" s="2" t="s">
        <v>234</v>
      </c>
      <c r="C4959" s="2">
        <v>1985.0</v>
      </c>
      <c r="D4959" s="9">
        <v>9057.206</v>
      </c>
      <c r="E4959" s="10" t="str">
        <f t="array" ref="E4959">IFS(D4959&lt;=$G$3,'calculated data '!$A$3,D4959&lt;=$G$4,'calculated data '!$A$4,D4959&lt;=$G$6,'calculated data '!$A$5,D4959&gt;=$G$6,'calculated data '!$A$6)</f>
        <v>Target Market (Core IQR)</v>
      </c>
      <c r="F4959" s="10">
        <f t="shared" si="1"/>
        <v>-0.4234294879</v>
      </c>
    </row>
    <row r="4960" ht="14.25" customHeight="1">
      <c r="A4960" s="2" t="s">
        <v>321</v>
      </c>
      <c r="B4960" s="2" t="s">
        <v>322</v>
      </c>
      <c r="C4960" s="2">
        <v>2001.0</v>
      </c>
      <c r="D4960" s="9">
        <v>9057.511</v>
      </c>
      <c r="E4960" s="10" t="str">
        <f t="array" ref="E4960">IFS(D4960&lt;=$G$3,'calculated data '!$A$3,D4960&lt;=$G$4,'calculated data '!$A$4,D4960&lt;=$G$6,'calculated data '!$A$5,D4960&gt;=$G$6,'calculated data '!$A$6)</f>
        <v>Target Market (Core IQR)</v>
      </c>
      <c r="F4960" s="10">
        <f t="shared" si="1"/>
        <v>-0.4234214146</v>
      </c>
    </row>
    <row r="4961" ht="14.25" customHeight="1">
      <c r="A4961" s="2" t="s">
        <v>253</v>
      </c>
      <c r="B4961" s="2" t="s">
        <v>254</v>
      </c>
      <c r="C4961" s="2">
        <v>2013.0</v>
      </c>
      <c r="D4961" s="9">
        <v>9065.398</v>
      </c>
      <c r="E4961" s="10" t="str">
        <f t="array" ref="E4961">IFS(D4961&lt;=$G$3,'calculated data '!$A$3,D4961&lt;=$G$4,'calculated data '!$A$4,D4961&lt;=$G$6,'calculated data '!$A$5,D4961&gt;=$G$6,'calculated data '!$A$6)</f>
        <v>Target Market (Core IQR)</v>
      </c>
      <c r="F4961" s="10">
        <f t="shared" si="1"/>
        <v>-0.4232126477</v>
      </c>
    </row>
    <row r="4962" ht="14.25" customHeight="1">
      <c r="A4962" s="2" t="s">
        <v>299</v>
      </c>
      <c r="B4962" s="2" t="s">
        <v>300</v>
      </c>
      <c r="C4962" s="2">
        <v>1996.0</v>
      </c>
      <c r="D4962" s="9">
        <v>9066.211</v>
      </c>
      <c r="E4962" s="10" t="str">
        <f t="array" ref="E4962">IFS(D4962&lt;=$G$3,'calculated data '!$A$3,D4962&lt;=$G$4,'calculated data '!$A$4,D4962&lt;=$G$6,'calculated data '!$A$5,D4962&gt;=$G$6,'calculated data '!$A$6)</f>
        <v>Target Market (Core IQR)</v>
      </c>
      <c r="F4962" s="10">
        <f t="shared" si="1"/>
        <v>-0.4231911278</v>
      </c>
    </row>
    <row r="4963" ht="14.25" customHeight="1">
      <c r="A4963" s="2" t="s">
        <v>185</v>
      </c>
      <c r="B4963" s="2" t="s">
        <v>186</v>
      </c>
      <c r="C4963" s="2">
        <v>2016.0</v>
      </c>
      <c r="D4963" s="9">
        <v>9070.232</v>
      </c>
      <c r="E4963" s="10" t="str">
        <f t="array" ref="E4963">IFS(D4963&lt;=$G$3,'calculated data '!$A$3,D4963&lt;=$G$4,'calculated data '!$A$4,D4963&lt;=$G$6,'calculated data '!$A$5,D4963&gt;=$G$6,'calculated data '!$A$6)</f>
        <v>Target Market (Core IQR)</v>
      </c>
      <c r="F4963" s="10">
        <f t="shared" si="1"/>
        <v>-0.4230846929</v>
      </c>
    </row>
    <row r="4964" ht="14.25" customHeight="1">
      <c r="A4964" s="2" t="s">
        <v>191</v>
      </c>
      <c r="B4964" s="2" t="s">
        <v>192</v>
      </c>
      <c r="C4964" s="2">
        <v>2005.0</v>
      </c>
      <c r="D4964" s="9">
        <v>9073.677</v>
      </c>
      <c r="E4964" s="10" t="str">
        <f t="array" ref="E4964">IFS(D4964&lt;=$G$3,'calculated data '!$A$3,D4964&lt;=$G$4,'calculated data '!$A$4,D4964&lt;=$G$6,'calculated data '!$A$5,D4964&gt;=$G$6,'calculated data '!$A$6)</f>
        <v>Target Market (Core IQR)</v>
      </c>
      <c r="F4964" s="10">
        <f t="shared" si="1"/>
        <v>-0.4229935046</v>
      </c>
    </row>
    <row r="4965" ht="14.25" customHeight="1">
      <c r="A4965" s="2" t="s">
        <v>265</v>
      </c>
      <c r="B4965" s="2" t="s">
        <v>266</v>
      </c>
      <c r="C4965" s="2">
        <v>1998.0</v>
      </c>
      <c r="D4965" s="9">
        <v>9076.101</v>
      </c>
      <c r="E4965" s="10" t="str">
        <f t="array" ref="E4965">IFS(D4965&lt;=$G$3,'calculated data '!$A$3,D4965&lt;=$G$4,'calculated data '!$A$4,D4965&lt;=$G$6,'calculated data '!$A$5,D4965&gt;=$G$6,'calculated data '!$A$6)</f>
        <v>Target Market (Core IQR)</v>
      </c>
      <c r="F4965" s="10">
        <f t="shared" si="1"/>
        <v>-0.4229293419</v>
      </c>
    </row>
    <row r="4966" ht="14.25" customHeight="1">
      <c r="A4966" s="2" t="s">
        <v>251</v>
      </c>
      <c r="B4966" s="2" t="s">
        <v>252</v>
      </c>
      <c r="C4966" s="2">
        <v>1999.0</v>
      </c>
      <c r="D4966" s="9">
        <v>9080.963</v>
      </c>
      <c r="E4966" s="10" t="str">
        <f t="array" ref="E4966">IFS(D4966&lt;=$G$3,'calculated data '!$A$3,D4966&lt;=$G$4,'calculated data '!$A$4,D4966&lt;=$G$6,'calculated data '!$A$5,D4966&gt;=$G$6,'calculated data '!$A$6)</f>
        <v>Target Market (Core IQR)</v>
      </c>
      <c r="F4966" s="10">
        <f t="shared" si="1"/>
        <v>-0.422800646</v>
      </c>
    </row>
    <row r="4967" ht="14.25" customHeight="1">
      <c r="A4967" s="2" t="s">
        <v>203</v>
      </c>
      <c r="B4967" s="2" t="s">
        <v>204</v>
      </c>
      <c r="C4967" s="2">
        <v>2005.0</v>
      </c>
      <c r="D4967" s="9">
        <v>9082.895</v>
      </c>
      <c r="E4967" s="10" t="str">
        <f t="array" ref="E4967">IFS(D4967&lt;=$G$3,'calculated data '!$A$3,D4967&lt;=$G$4,'calculated data '!$A$4,D4967&lt;=$G$6,'calculated data '!$A$5,D4967&gt;=$G$6,'calculated data '!$A$6)</f>
        <v>Target Market (Core IQR)</v>
      </c>
      <c r="F4967" s="10">
        <f t="shared" si="1"/>
        <v>-0.4227495065</v>
      </c>
    </row>
    <row r="4968" ht="14.25" customHeight="1">
      <c r="A4968" s="2" t="s">
        <v>83</v>
      </c>
      <c r="B4968" s="2" t="s">
        <v>84</v>
      </c>
      <c r="C4968" s="2">
        <v>2020.0</v>
      </c>
      <c r="D4968" s="9">
        <v>9092.153</v>
      </c>
      <c r="E4968" s="10" t="str">
        <f t="array" ref="E4968">IFS(D4968&lt;=$G$3,'calculated data '!$A$3,D4968&lt;=$G$4,'calculated data '!$A$4,D4968&lt;=$G$6,'calculated data '!$A$5,D4968&gt;=$G$6,'calculated data '!$A$6)</f>
        <v>Target Market (Core IQR)</v>
      </c>
      <c r="F4968" s="10">
        <f t="shared" si="1"/>
        <v>-0.4225044495</v>
      </c>
    </row>
    <row r="4969" ht="14.25" customHeight="1">
      <c r="A4969" s="2" t="s">
        <v>287</v>
      </c>
      <c r="B4969" s="2" t="s">
        <v>288</v>
      </c>
      <c r="C4969" s="2">
        <v>1992.0</v>
      </c>
      <c r="D4969" s="9">
        <v>9093.898</v>
      </c>
      <c r="E4969" s="10" t="str">
        <f t="array" ref="E4969">IFS(D4969&lt;=$G$3,'calculated data '!$A$3,D4969&lt;=$G$4,'calculated data '!$A$4,D4969&lt;=$G$6,'calculated data '!$A$5,D4969&gt;=$G$6,'calculated data '!$A$6)</f>
        <v>Target Market (Core IQR)</v>
      </c>
      <c r="F4969" s="10">
        <f t="shared" si="1"/>
        <v>-0.4224582598</v>
      </c>
    </row>
    <row r="4970" ht="14.25" customHeight="1">
      <c r="A4970" s="2" t="s">
        <v>287</v>
      </c>
      <c r="B4970" s="2" t="s">
        <v>288</v>
      </c>
      <c r="C4970" s="2">
        <v>1991.0</v>
      </c>
      <c r="D4970" s="9">
        <v>9094.085</v>
      </c>
      <c r="E4970" s="10" t="str">
        <f t="array" ref="E4970">IFS(D4970&lt;=$G$3,'calculated data '!$A$3,D4970&lt;=$G$4,'calculated data '!$A$4,D4970&lt;=$G$6,'calculated data '!$A$5,D4970&gt;=$G$6,'calculated data '!$A$6)</f>
        <v>Target Market (Core IQR)</v>
      </c>
      <c r="F4970" s="10">
        <f t="shared" si="1"/>
        <v>-0.4224533099</v>
      </c>
    </row>
    <row r="4971" ht="14.25" customHeight="1">
      <c r="A4971" s="2" t="s">
        <v>299</v>
      </c>
      <c r="B4971" s="2" t="s">
        <v>300</v>
      </c>
      <c r="C4971" s="2">
        <v>1999.0</v>
      </c>
      <c r="D4971" s="9">
        <v>9101.356</v>
      </c>
      <c r="E4971" s="10" t="str">
        <f t="array" ref="E4971">IFS(D4971&lt;=$G$3,'calculated data '!$A$3,D4971&lt;=$G$4,'calculated data '!$A$4,D4971&lt;=$G$6,'calculated data '!$A$5,D4971&gt;=$G$6,'calculated data '!$A$6)</f>
        <v>Target Market (Core IQR)</v>
      </c>
      <c r="F4971" s="10">
        <f t="shared" si="1"/>
        <v>-0.4222608484</v>
      </c>
    </row>
    <row r="4972" ht="14.25" customHeight="1">
      <c r="A4972" s="2" t="s">
        <v>331</v>
      </c>
      <c r="B4972" s="2" t="s">
        <v>332</v>
      </c>
      <c r="C4972" s="2">
        <v>1965.0</v>
      </c>
      <c r="D4972" s="9">
        <v>9104.013</v>
      </c>
      <c r="E4972" s="10" t="str">
        <f t="array" ref="E4972">IFS(D4972&lt;=$G$3,'calculated data '!$A$3,D4972&lt;=$G$4,'calculated data '!$A$4,D4972&lt;=$G$6,'calculated data '!$A$5,D4972&gt;=$G$6,'calculated data '!$A$6)</f>
        <v>Target Market (Core IQR)</v>
      </c>
      <c r="F4972" s="10">
        <f t="shared" si="1"/>
        <v>-0.4221905183</v>
      </c>
    </row>
    <row r="4973" ht="14.25" customHeight="1">
      <c r="A4973" s="2" t="s">
        <v>289</v>
      </c>
      <c r="B4973" s="2" t="s">
        <v>290</v>
      </c>
      <c r="C4973" s="2">
        <v>2000.0</v>
      </c>
      <c r="D4973" s="9">
        <v>9104.677</v>
      </c>
      <c r="E4973" s="10" t="str">
        <f t="array" ref="E4973">IFS(D4973&lt;=$G$3,'calculated data '!$A$3,D4973&lt;=$G$4,'calculated data '!$A$4,D4973&lt;=$G$6,'calculated data '!$A$5,D4973&gt;=$G$6,'calculated data '!$A$6)</f>
        <v>Target Market (Core IQR)</v>
      </c>
      <c r="F4973" s="10">
        <f t="shared" si="1"/>
        <v>-0.4221729423</v>
      </c>
    </row>
    <row r="4974" ht="14.25" customHeight="1">
      <c r="A4974" s="2" t="s">
        <v>251</v>
      </c>
      <c r="B4974" s="2" t="s">
        <v>252</v>
      </c>
      <c r="C4974" s="2">
        <v>2003.0</v>
      </c>
      <c r="D4974" s="9">
        <v>9105.077</v>
      </c>
      <c r="E4974" s="10" t="str">
        <f t="array" ref="E4974">IFS(D4974&lt;=$G$3,'calculated data '!$A$3,D4974&lt;=$G$4,'calculated data '!$A$4,D4974&lt;=$G$6,'calculated data '!$A$5,D4974&gt;=$G$6,'calculated data '!$A$6)</f>
        <v>Target Market (Core IQR)</v>
      </c>
      <c r="F4974" s="10">
        <f t="shared" si="1"/>
        <v>-0.4221623544</v>
      </c>
    </row>
    <row r="4975" ht="14.25" customHeight="1">
      <c r="A4975" s="2" t="s">
        <v>195</v>
      </c>
      <c r="B4975" s="2" t="s">
        <v>196</v>
      </c>
      <c r="C4975" s="2">
        <v>2002.0</v>
      </c>
      <c r="D4975" s="9">
        <v>9111.901</v>
      </c>
      <c r="E4975" s="10" t="str">
        <f t="array" ref="E4975">IFS(D4975&lt;=$G$3,'calculated data '!$A$3,D4975&lt;=$G$4,'calculated data '!$A$4,D4975&lt;=$G$6,'calculated data '!$A$5,D4975&gt;=$G$6,'calculated data '!$A$6)</f>
        <v>Target Market (Core IQR)</v>
      </c>
      <c r="F4975" s="10">
        <f t="shared" si="1"/>
        <v>-0.4219817249</v>
      </c>
    </row>
    <row r="4976" ht="14.25" customHeight="1">
      <c r="A4976" s="2" t="s">
        <v>281</v>
      </c>
      <c r="B4976" s="2" t="s">
        <v>282</v>
      </c>
      <c r="C4976" s="2">
        <v>2015.0</v>
      </c>
      <c r="D4976" s="9">
        <v>9119.572</v>
      </c>
      <c r="E4976" s="10" t="str">
        <f t="array" ref="E4976">IFS(D4976&lt;=$G$3,'calculated data '!$A$3,D4976&lt;=$G$4,'calculated data '!$A$4,D4976&lt;=$G$6,'calculated data '!$A$5,D4976&gt;=$G$6,'calculated data '!$A$6)</f>
        <v>Target Market (Core IQR)</v>
      </c>
      <c r="F4976" s="10">
        <f t="shared" si="1"/>
        <v>-0.4217786754</v>
      </c>
    </row>
    <row r="4977" ht="14.25" customHeight="1">
      <c r="A4977" s="2" t="s">
        <v>299</v>
      </c>
      <c r="B4977" s="2" t="s">
        <v>300</v>
      </c>
      <c r="C4977" s="2">
        <v>1998.0</v>
      </c>
      <c r="D4977" s="9">
        <v>9123.519</v>
      </c>
      <c r="E4977" s="10" t="str">
        <f t="array" ref="E4977">IFS(D4977&lt;=$G$3,'calculated data '!$A$3,D4977&lt;=$G$4,'calculated data '!$A$4,D4977&lt;=$G$6,'calculated data '!$A$5,D4977&gt;=$G$6,'calculated data '!$A$6)</f>
        <v>Target Market (Core IQR)</v>
      </c>
      <c r="F4977" s="10">
        <f t="shared" si="1"/>
        <v>-0.4216741993</v>
      </c>
    </row>
    <row r="4978" ht="14.25" customHeight="1">
      <c r="A4978" s="2" t="s">
        <v>315</v>
      </c>
      <c r="B4978" s="2" t="s">
        <v>316</v>
      </c>
      <c r="C4978" s="2">
        <v>2011.0</v>
      </c>
      <c r="D4978" s="9">
        <v>9124.393</v>
      </c>
      <c r="E4978" s="10" t="str">
        <f t="array" ref="E4978">IFS(D4978&lt;=$G$3,'calculated data '!$A$3,D4978&lt;=$G$4,'calculated data '!$A$4,D4978&lt;=$G$6,'calculated data '!$A$5,D4978&gt;=$G$6,'calculated data '!$A$6)</f>
        <v>Target Market (Core IQR)</v>
      </c>
      <c r="F4978" s="10">
        <f t="shared" si="1"/>
        <v>-0.4216510647</v>
      </c>
    </row>
    <row r="4979" ht="14.25" customHeight="1">
      <c r="A4979" s="2" t="s">
        <v>281</v>
      </c>
      <c r="B4979" s="2" t="s">
        <v>282</v>
      </c>
      <c r="C4979" s="2">
        <v>2021.0</v>
      </c>
      <c r="D4979" s="9">
        <v>9133.23</v>
      </c>
      <c r="E4979" s="10" t="str">
        <f t="array" ref="E4979">IFS(D4979&lt;=$G$3,'calculated data '!$A$3,D4979&lt;=$G$4,'calculated data '!$A$4,D4979&lt;=$G$6,'calculated data '!$A$5,D4979&gt;=$G$6,'calculated data '!$A$6)</f>
        <v>Target Market (Core IQR)</v>
      </c>
      <c r="F4979" s="10">
        <f t="shared" si="1"/>
        <v>-0.4214171515</v>
      </c>
    </row>
    <row r="4980" ht="14.25" customHeight="1">
      <c r="A4980" s="2" t="s">
        <v>321</v>
      </c>
      <c r="B4980" s="2" t="s">
        <v>322</v>
      </c>
      <c r="C4980" s="2">
        <v>2002.0</v>
      </c>
      <c r="D4980" s="9">
        <v>9133.567</v>
      </c>
      <c r="E4980" s="10" t="str">
        <f t="array" ref="E4980">IFS(D4980&lt;=$G$3,'calculated data '!$A$3,D4980&lt;=$G$4,'calculated data '!$A$4,D4980&lt;=$G$6,'calculated data '!$A$5,D4980&gt;=$G$6,'calculated data '!$A$6)</f>
        <v>Target Market (Core IQR)</v>
      </c>
      <c r="F4980" s="10">
        <f t="shared" si="1"/>
        <v>-0.4214082312</v>
      </c>
    </row>
    <row r="4981" ht="14.25" customHeight="1">
      <c r="A4981" s="2" t="s">
        <v>303</v>
      </c>
      <c r="B4981" s="2" t="s">
        <v>304</v>
      </c>
      <c r="C4981" s="2">
        <v>2007.0</v>
      </c>
      <c r="D4981" s="9">
        <v>9135.48</v>
      </c>
      <c r="E4981" s="10" t="str">
        <f t="array" ref="E4981">IFS(D4981&lt;=$G$3,'calculated data '!$A$3,D4981&lt;=$G$4,'calculated data '!$A$4,D4981&lt;=$G$6,'calculated data '!$A$5,D4981&gt;=$G$6,'calculated data '!$A$6)</f>
        <v>Target Market (Core IQR)</v>
      </c>
      <c r="F4981" s="10">
        <f t="shared" si="1"/>
        <v>-0.4213575946</v>
      </c>
    </row>
    <row r="4982" ht="14.25" customHeight="1">
      <c r="A4982" s="2" t="s">
        <v>315</v>
      </c>
      <c r="B4982" s="2" t="s">
        <v>316</v>
      </c>
      <c r="C4982" s="2">
        <v>2009.0</v>
      </c>
      <c r="D4982" s="9">
        <v>9140.857</v>
      </c>
      <c r="E4982" s="10" t="str">
        <f t="array" ref="E4982">IFS(D4982&lt;=$G$3,'calculated data '!$A$3,D4982&lt;=$G$4,'calculated data '!$A$4,D4982&lt;=$G$6,'calculated data '!$A$5,D4982&gt;=$G$6,'calculated data '!$A$6)</f>
        <v>Target Market (Core IQR)</v>
      </c>
      <c r="F4982" s="10">
        <f t="shared" si="1"/>
        <v>-0.4212152668</v>
      </c>
    </row>
    <row r="4983" ht="14.25" customHeight="1">
      <c r="A4983" s="2" t="s">
        <v>261</v>
      </c>
      <c r="B4983" s="2" t="s">
        <v>262</v>
      </c>
      <c r="C4983" s="2">
        <v>2017.0</v>
      </c>
      <c r="D4983" s="9">
        <v>9141.534</v>
      </c>
      <c r="E4983" s="10" t="str">
        <f t="array" ref="E4983">IFS(D4983&lt;=$G$3,'calculated data '!$A$3,D4983&lt;=$G$4,'calculated data '!$A$4,D4983&lt;=$G$6,'calculated data '!$A$5,D4983&gt;=$G$6,'calculated data '!$A$6)</f>
        <v>Target Market (Core IQR)</v>
      </c>
      <c r="F4983" s="10">
        <f t="shared" si="1"/>
        <v>-0.4211973467</v>
      </c>
    </row>
    <row r="4984" ht="14.25" customHeight="1">
      <c r="A4984" s="2" t="s">
        <v>255</v>
      </c>
      <c r="B4984" s="2" t="s">
        <v>256</v>
      </c>
      <c r="C4984" s="2">
        <v>2024.0</v>
      </c>
      <c r="D4984" s="9">
        <v>9145.428</v>
      </c>
      <c r="E4984" s="10" t="str">
        <f t="array" ref="E4984">IFS(D4984&lt;=$G$3,'calculated data '!$A$3,D4984&lt;=$G$4,'calculated data '!$A$4,D4984&lt;=$G$6,'calculated data '!$A$5,D4984&gt;=$G$6,'calculated data '!$A$6)</f>
        <v>Target Market (Core IQR)</v>
      </c>
      <c r="F4984" s="10">
        <f t="shared" si="1"/>
        <v>-0.4210942735</v>
      </c>
    </row>
    <row r="4985" ht="14.25" customHeight="1">
      <c r="A4985" s="2" t="s">
        <v>263</v>
      </c>
      <c r="B4985" s="2" t="s">
        <v>264</v>
      </c>
      <c r="C4985" s="2">
        <v>2015.0</v>
      </c>
      <c r="D4985" s="9">
        <v>9146.428</v>
      </c>
      <c r="E4985" s="10" t="str">
        <f t="array" ref="E4985">IFS(D4985&lt;=$G$3,'calculated data '!$A$3,D4985&lt;=$G$4,'calculated data '!$A$4,D4985&lt;=$G$6,'calculated data '!$A$5,D4985&gt;=$G$6,'calculated data '!$A$6)</f>
        <v>Target Market (Core IQR)</v>
      </c>
      <c r="F4985" s="10">
        <f t="shared" si="1"/>
        <v>-0.4210678038</v>
      </c>
    </row>
    <row r="4986" ht="14.25" customHeight="1">
      <c r="A4986" s="2" t="s">
        <v>317</v>
      </c>
      <c r="B4986" s="2" t="s">
        <v>318</v>
      </c>
      <c r="C4986" s="2">
        <v>1971.0</v>
      </c>
      <c r="D4986" s="9">
        <v>9146.705</v>
      </c>
      <c r="E4986" s="10" t="str">
        <f t="array" ref="E4986">IFS(D4986&lt;=$G$3,'calculated data '!$A$3,D4986&lt;=$G$4,'calculated data '!$A$4,D4986&lt;=$G$6,'calculated data '!$A$5,D4986&gt;=$G$6,'calculated data '!$A$6)</f>
        <v>Target Market (Core IQR)</v>
      </c>
      <c r="F4986" s="10">
        <f t="shared" si="1"/>
        <v>-0.4210604717</v>
      </c>
    </row>
    <row r="4987" ht="14.25" customHeight="1">
      <c r="A4987" s="2" t="s">
        <v>253</v>
      </c>
      <c r="B4987" s="2" t="s">
        <v>254</v>
      </c>
      <c r="C4987" s="2">
        <v>2022.0</v>
      </c>
      <c r="D4987" s="9">
        <v>9148.74</v>
      </c>
      <c r="E4987" s="10" t="str">
        <f t="array" ref="E4987">IFS(D4987&lt;=$G$3,'calculated data '!$A$3,D4987&lt;=$G$4,'calculated data '!$A$4,D4987&lt;=$G$6,'calculated data '!$A$5,D4987&gt;=$G$6,'calculated data '!$A$6)</f>
        <v>Target Market (Core IQR)</v>
      </c>
      <c r="F4987" s="10">
        <f t="shared" si="1"/>
        <v>-0.4210066057</v>
      </c>
    </row>
    <row r="4988" ht="14.25" customHeight="1">
      <c r="A4988" s="2" t="s">
        <v>333</v>
      </c>
      <c r="B4988" s="2" t="s">
        <v>334</v>
      </c>
      <c r="C4988" s="2">
        <v>2020.0</v>
      </c>
      <c r="D4988" s="9">
        <v>9150.6455</v>
      </c>
      <c r="E4988" s="10" t="str">
        <f t="array" ref="E4988">IFS(D4988&lt;=$G$3,'calculated data '!$A$3,D4988&lt;=$G$4,'calculated data '!$A$4,D4988&lt;=$G$6,'calculated data '!$A$5,D4988&gt;=$G$6,'calculated data '!$A$6)</f>
        <v>Target Market (Core IQR)</v>
      </c>
      <c r="F4988" s="10">
        <f t="shared" si="1"/>
        <v>-0.4209561676</v>
      </c>
    </row>
    <row r="4989" ht="14.25" customHeight="1">
      <c r="A4989" s="2" t="s">
        <v>259</v>
      </c>
      <c r="B4989" s="2" t="s">
        <v>260</v>
      </c>
      <c r="C4989" s="2">
        <v>2012.0</v>
      </c>
      <c r="D4989" s="9">
        <v>9152.468</v>
      </c>
      <c r="E4989" s="10" t="str">
        <f t="array" ref="E4989">IFS(D4989&lt;=$G$3,'calculated data '!$A$3,D4989&lt;=$G$4,'calculated data '!$A$4,D4989&lt;=$G$6,'calculated data '!$A$5,D4989&gt;=$G$6,'calculated data '!$A$6)</f>
        <v>Target Market (Core IQR)</v>
      </c>
      <c r="F4989" s="10">
        <f t="shared" si="1"/>
        <v>-0.4209079265</v>
      </c>
    </row>
    <row r="4990" ht="14.25" customHeight="1">
      <c r="A4990" s="2" t="s">
        <v>255</v>
      </c>
      <c r="B4990" s="2" t="s">
        <v>256</v>
      </c>
      <c r="C4990" s="2">
        <v>2025.0</v>
      </c>
      <c r="D4990" s="9">
        <v>9154.53</v>
      </c>
      <c r="E4990" s="10" t="str">
        <f t="array" ref="E4990">IFS(D4990&lt;=$G$3,'calculated data '!$A$3,D4990&lt;=$G$4,'calculated data '!$A$4,D4990&lt;=$G$6,'calculated data '!$A$5,D4990&gt;=$G$6,'calculated data '!$A$6)</f>
        <v>Target Market (Core IQR)</v>
      </c>
      <c r="F4990" s="10">
        <f t="shared" si="1"/>
        <v>-0.4208533459</v>
      </c>
    </row>
    <row r="4991" ht="14.25" customHeight="1">
      <c r="A4991" s="2" t="s">
        <v>259</v>
      </c>
      <c r="B4991" s="2" t="s">
        <v>260</v>
      </c>
      <c r="C4991" s="2">
        <v>2010.0</v>
      </c>
      <c r="D4991" s="9">
        <v>9157.634</v>
      </c>
      <c r="E4991" s="10" t="str">
        <f t="array" ref="E4991">IFS(D4991&lt;=$G$3,'calculated data '!$A$3,D4991&lt;=$G$4,'calculated data '!$A$4,D4991&lt;=$G$6,'calculated data '!$A$5,D4991&gt;=$G$6,'calculated data '!$A$6)</f>
        <v>Target Market (Core IQR)</v>
      </c>
      <c r="F4991" s="10">
        <f t="shared" si="1"/>
        <v>-0.4207711837</v>
      </c>
    </row>
    <row r="4992" ht="14.25" customHeight="1">
      <c r="A4992" s="2" t="s">
        <v>265</v>
      </c>
      <c r="B4992" s="2" t="s">
        <v>266</v>
      </c>
      <c r="C4992" s="2">
        <v>2002.0</v>
      </c>
      <c r="D4992" s="9">
        <v>9159.105</v>
      </c>
      <c r="E4992" s="10" t="str">
        <f t="array" ref="E4992">IFS(D4992&lt;=$G$3,'calculated data '!$A$3,D4992&lt;=$G$4,'calculated data '!$A$4,D4992&lt;=$G$6,'calculated data '!$A$5,D4992&gt;=$G$6,'calculated data '!$A$6)</f>
        <v>Target Market (Core IQR)</v>
      </c>
      <c r="F4992" s="10">
        <f t="shared" si="1"/>
        <v>-0.4207322467</v>
      </c>
    </row>
    <row r="4993" ht="14.25" customHeight="1">
      <c r="A4993" s="2" t="s">
        <v>229</v>
      </c>
      <c r="B4993" s="2" t="s">
        <v>230</v>
      </c>
      <c r="C4993" s="2">
        <v>1996.0</v>
      </c>
      <c r="D4993" s="9">
        <v>9159.121</v>
      </c>
      <c r="E4993" s="10" t="str">
        <f t="array" ref="E4993">IFS(D4993&lt;=$G$3,'calculated data '!$A$3,D4993&lt;=$G$4,'calculated data '!$A$4,D4993&lt;=$G$6,'calculated data '!$A$5,D4993&gt;=$G$6,'calculated data '!$A$6)</f>
        <v>Target Market (Core IQR)</v>
      </c>
      <c r="F4993" s="10">
        <f t="shared" si="1"/>
        <v>-0.4207318232</v>
      </c>
    </row>
    <row r="4994" ht="14.25" customHeight="1">
      <c r="A4994" s="2" t="s">
        <v>293</v>
      </c>
      <c r="B4994" s="2" t="s">
        <v>294</v>
      </c>
      <c r="C4994" s="2">
        <v>1980.0</v>
      </c>
      <c r="D4994" s="9">
        <v>9163.633</v>
      </c>
      <c r="E4994" s="10" t="str">
        <f t="array" ref="E4994">IFS(D4994&lt;=$G$3,'calculated data '!$A$3,D4994&lt;=$G$4,'calculated data '!$A$4,D4994&lt;=$G$6,'calculated data '!$A$5,D4994&gt;=$G$6,'calculated data '!$A$6)</f>
        <v>Target Market (Core IQR)</v>
      </c>
      <c r="F4994" s="10">
        <f t="shared" si="1"/>
        <v>-0.4206123917</v>
      </c>
    </row>
    <row r="4995" ht="14.25" customHeight="1">
      <c r="A4995" s="2" t="s">
        <v>259</v>
      </c>
      <c r="B4995" s="2" t="s">
        <v>260</v>
      </c>
      <c r="C4995" s="2">
        <v>2005.0</v>
      </c>
      <c r="D4995" s="9">
        <v>9163.713</v>
      </c>
      <c r="E4995" s="10" t="str">
        <f t="array" ref="E4995">IFS(D4995&lt;=$G$3,'calculated data '!$A$3,D4995&lt;=$G$4,'calculated data '!$A$4,D4995&lt;=$G$6,'calculated data '!$A$5,D4995&gt;=$G$6,'calculated data '!$A$6)</f>
        <v>Target Market (Core IQR)</v>
      </c>
      <c r="F4995" s="10">
        <f t="shared" si="1"/>
        <v>-0.4206102741</v>
      </c>
    </row>
    <row r="4996" ht="14.25" customHeight="1">
      <c r="A4996" s="2" t="s">
        <v>253</v>
      </c>
      <c r="B4996" s="2" t="s">
        <v>254</v>
      </c>
      <c r="C4996" s="2">
        <v>2024.0</v>
      </c>
      <c r="D4996" s="9">
        <v>9167.564</v>
      </c>
      <c r="E4996" s="10" t="str">
        <f t="array" ref="E4996">IFS(D4996&lt;=$G$3,'calculated data '!$A$3,D4996&lt;=$G$4,'calculated data '!$A$4,D4996&lt;=$G$6,'calculated data '!$A$5,D4996&gt;=$G$6,'calculated data '!$A$6)</f>
        <v>Target Market (Core IQR)</v>
      </c>
      <c r="F4996" s="10">
        <f t="shared" si="1"/>
        <v>-0.4205083391</v>
      </c>
    </row>
    <row r="4997" ht="14.25" customHeight="1">
      <c r="A4997" s="2" t="s">
        <v>321</v>
      </c>
      <c r="B4997" s="2" t="s">
        <v>322</v>
      </c>
      <c r="C4997" s="2">
        <v>2005.0</v>
      </c>
      <c r="D4997" s="9">
        <v>9173.879</v>
      </c>
      <c r="E4997" s="10" t="str">
        <f t="array" ref="E4997">IFS(D4997&lt;=$G$3,'calculated data '!$A$3,D4997&lt;=$G$4,'calculated data '!$A$4,D4997&lt;=$G$6,'calculated data '!$A$5,D4997&gt;=$G$6,'calculated data '!$A$6)</f>
        <v>Target Market (Core IQR)</v>
      </c>
      <c r="F4997" s="10">
        <f t="shared" si="1"/>
        <v>-0.4203411826</v>
      </c>
    </row>
    <row r="4998" ht="14.25" customHeight="1">
      <c r="A4998" s="2" t="s">
        <v>325</v>
      </c>
      <c r="B4998" s="2" t="s">
        <v>326</v>
      </c>
      <c r="C4998" s="2">
        <v>2004.0</v>
      </c>
      <c r="D4998" s="9">
        <v>9174.885</v>
      </c>
      <c r="E4998" s="10" t="str">
        <f t="array" ref="E4998">IFS(D4998&lt;=$G$3,'calculated data '!$A$3,D4998&lt;=$G$4,'calculated data '!$A$4,D4998&lt;=$G$6,'calculated data '!$A$5,D4998&gt;=$G$6,'calculated data '!$A$6)</f>
        <v>Target Market (Core IQR)</v>
      </c>
      <c r="F4998" s="10">
        <f t="shared" si="1"/>
        <v>-0.4203145541</v>
      </c>
    </row>
    <row r="4999" ht="14.25" customHeight="1">
      <c r="A4999" s="2" t="s">
        <v>229</v>
      </c>
      <c r="B4999" s="2" t="s">
        <v>230</v>
      </c>
      <c r="C4999" s="2">
        <v>1998.0</v>
      </c>
      <c r="D4999" s="9">
        <v>9175.24</v>
      </c>
      <c r="E4999" s="10" t="str">
        <f t="array" ref="E4999">IFS(D4999&lt;=$G$3,'calculated data '!$A$3,D4999&lt;=$G$4,'calculated data '!$A$4,D4999&lt;=$G$6,'calculated data '!$A$5,D4999&gt;=$G$6,'calculated data '!$A$6)</f>
        <v>Target Market (Core IQR)</v>
      </c>
      <c r="F4999" s="10">
        <f t="shared" si="1"/>
        <v>-0.4203051573</v>
      </c>
    </row>
    <row r="5000" ht="14.25" customHeight="1">
      <c r="A5000" s="2" t="s">
        <v>195</v>
      </c>
      <c r="B5000" s="2" t="s">
        <v>196</v>
      </c>
      <c r="C5000" s="2">
        <v>2003.0</v>
      </c>
      <c r="D5000" s="9">
        <v>9177.48</v>
      </c>
      <c r="E5000" s="10" t="str">
        <f t="array" ref="E5000">IFS(D5000&lt;=$G$3,'calculated data '!$A$3,D5000&lt;=$G$4,'calculated data '!$A$4,D5000&lt;=$G$6,'calculated data '!$A$5,D5000&gt;=$G$6,'calculated data '!$A$6)</f>
        <v>Target Market (Core IQR)</v>
      </c>
      <c r="F5000" s="10">
        <f t="shared" si="1"/>
        <v>-0.4202458651</v>
      </c>
    </row>
    <row r="5001" ht="14.25" customHeight="1">
      <c r="A5001" s="2" t="s">
        <v>263</v>
      </c>
      <c r="B5001" s="2" t="s">
        <v>264</v>
      </c>
      <c r="C5001" s="2">
        <v>2017.0</v>
      </c>
      <c r="D5001" s="9">
        <v>9189.017</v>
      </c>
      <c r="E5001" s="10" t="str">
        <f t="array" ref="E5001">IFS(D5001&lt;=$G$3,'calculated data '!$A$3,D5001&lt;=$G$4,'calculated data '!$A$4,D5001&lt;=$G$6,'calculated data '!$A$5,D5001&gt;=$G$6,'calculated data '!$A$6)</f>
        <v>Target Market (Core IQR)</v>
      </c>
      <c r="F5001" s="10">
        <f t="shared" si="1"/>
        <v>-0.4199404836</v>
      </c>
    </row>
    <row r="5002" ht="14.25" customHeight="1">
      <c r="A5002" s="2" t="s">
        <v>329</v>
      </c>
      <c r="B5002" s="2" t="s">
        <v>330</v>
      </c>
      <c r="C5002" s="2">
        <v>1982.0</v>
      </c>
      <c r="D5002" s="9">
        <v>9193.735</v>
      </c>
      <c r="E5002" s="10" t="str">
        <f t="array" ref="E5002">IFS(D5002&lt;=$G$3,'calculated data '!$A$3,D5002&lt;=$G$4,'calculated data '!$A$4,D5002&lt;=$G$6,'calculated data '!$A$5,D5002&gt;=$G$6,'calculated data '!$A$6)</f>
        <v>Target Market (Core IQR)</v>
      </c>
      <c r="F5002" s="10">
        <f t="shared" si="1"/>
        <v>-0.4198155993</v>
      </c>
    </row>
    <row r="5003" ht="14.25" customHeight="1">
      <c r="A5003" s="2" t="s">
        <v>227</v>
      </c>
      <c r="B5003" s="2" t="s">
        <v>228</v>
      </c>
      <c r="C5003" s="2">
        <v>1996.0</v>
      </c>
      <c r="D5003" s="9">
        <v>9195.716</v>
      </c>
      <c r="E5003" s="10" t="str">
        <f t="array" ref="E5003">IFS(D5003&lt;=$G$3,'calculated data '!$A$3,D5003&lt;=$G$4,'calculated data '!$A$4,D5003&lt;=$G$6,'calculated data '!$A$5,D5003&gt;=$G$6,'calculated data '!$A$6)</f>
        <v>Target Market (Core IQR)</v>
      </c>
      <c r="F5003" s="10">
        <f t="shared" si="1"/>
        <v>-0.4197631627</v>
      </c>
    </row>
    <row r="5004" ht="14.25" customHeight="1">
      <c r="A5004" s="2" t="s">
        <v>319</v>
      </c>
      <c r="B5004" s="2" t="s">
        <v>320</v>
      </c>
      <c r="C5004" s="2">
        <v>1967.0</v>
      </c>
      <c r="D5004" s="9">
        <v>9196.994</v>
      </c>
      <c r="E5004" s="10" t="str">
        <f t="array" ref="E5004">IFS(D5004&lt;=$G$3,'calculated data '!$A$3,D5004&lt;=$G$4,'calculated data '!$A$4,D5004&lt;=$G$6,'calculated data '!$A$5,D5004&gt;=$G$6,'calculated data '!$A$6)</f>
        <v>Target Market (Core IQR)</v>
      </c>
      <c r="F5004" s="10">
        <f t="shared" si="1"/>
        <v>-0.4197293343</v>
      </c>
    </row>
    <row r="5005" ht="14.25" customHeight="1">
      <c r="A5005" s="2" t="s">
        <v>205</v>
      </c>
      <c r="B5005" s="2" t="s">
        <v>206</v>
      </c>
      <c r="C5005" s="2">
        <v>2021.0</v>
      </c>
      <c r="D5005" s="9">
        <v>9197.564</v>
      </c>
      <c r="E5005" s="10" t="str">
        <f t="array" ref="E5005">IFS(D5005&lt;=$G$3,'calculated data '!$A$3,D5005&lt;=$G$4,'calculated data '!$A$4,D5005&lt;=$G$6,'calculated data '!$A$5,D5005&gt;=$G$6,'calculated data '!$A$6)</f>
        <v>Target Market (Core IQR)</v>
      </c>
      <c r="F5005" s="10">
        <f t="shared" si="1"/>
        <v>-0.4197142466</v>
      </c>
    </row>
    <row r="5006" ht="14.25" customHeight="1">
      <c r="A5006" s="2" t="s">
        <v>221</v>
      </c>
      <c r="B5006" s="2" t="s">
        <v>222</v>
      </c>
      <c r="C5006" s="2">
        <v>1977.0</v>
      </c>
      <c r="D5006" s="9">
        <v>9199.347</v>
      </c>
      <c r="E5006" s="10" t="str">
        <f t="array" ref="E5006">IFS(D5006&lt;=$G$3,'calculated data '!$A$3,D5006&lt;=$G$4,'calculated data '!$A$4,D5006&lt;=$G$6,'calculated data '!$A$5,D5006&gt;=$G$6,'calculated data '!$A$6)</f>
        <v>Target Market (Core IQR)</v>
      </c>
      <c r="F5006" s="10">
        <f t="shared" si="1"/>
        <v>-0.419667051</v>
      </c>
    </row>
    <row r="5007" ht="14.25" customHeight="1">
      <c r="A5007" s="2" t="s">
        <v>141</v>
      </c>
      <c r="B5007" s="2" t="s">
        <v>142</v>
      </c>
      <c r="C5007" s="2">
        <v>1994.0</v>
      </c>
      <c r="D5007" s="9">
        <v>9203.734</v>
      </c>
      <c r="E5007" s="10" t="str">
        <f t="array" ref="E5007">IFS(D5007&lt;=$G$3,'calculated data '!$A$3,D5007&lt;=$G$4,'calculated data '!$A$4,D5007&lt;=$G$6,'calculated data '!$A$5,D5007&gt;=$G$6,'calculated data '!$A$6)</f>
        <v>Target Market (Core IQR)</v>
      </c>
      <c r="F5007" s="10">
        <f t="shared" si="1"/>
        <v>-0.4195509282</v>
      </c>
    </row>
    <row r="5008" ht="14.25" customHeight="1">
      <c r="A5008" s="2" t="s">
        <v>269</v>
      </c>
      <c r="B5008" s="2" t="s">
        <v>270</v>
      </c>
      <c r="C5008" s="2">
        <v>1983.0</v>
      </c>
      <c r="D5008" s="9">
        <v>9205.017</v>
      </c>
      <c r="E5008" s="10" t="str">
        <f t="array" ref="E5008">IFS(D5008&lt;=$G$3,'calculated data '!$A$3,D5008&lt;=$G$4,'calculated data '!$A$4,D5008&lt;=$G$6,'calculated data '!$A$5,D5008&gt;=$G$6,'calculated data '!$A$6)</f>
        <v>Target Market (Core IQR)</v>
      </c>
      <c r="F5008" s="10">
        <f t="shared" si="1"/>
        <v>-0.4195169675</v>
      </c>
    </row>
    <row r="5009" ht="14.25" customHeight="1">
      <c r="A5009" s="2" t="s">
        <v>317</v>
      </c>
      <c r="B5009" s="2" t="s">
        <v>318</v>
      </c>
      <c r="C5009" s="2">
        <v>1994.0</v>
      </c>
      <c r="D5009" s="9">
        <v>9206.738</v>
      </c>
      <c r="E5009" s="10" t="str">
        <f t="array" ref="E5009">IFS(D5009&lt;=$G$3,'calculated data '!$A$3,D5009&lt;=$G$4,'calculated data '!$A$4,D5009&lt;=$G$6,'calculated data '!$A$5,D5009&gt;=$G$6,'calculated data '!$A$6)</f>
        <v>Target Market (Core IQR)</v>
      </c>
      <c r="F5009" s="10">
        <f t="shared" si="1"/>
        <v>-0.4194714131</v>
      </c>
    </row>
    <row r="5010" ht="14.25" customHeight="1">
      <c r="A5010" s="2" t="s">
        <v>205</v>
      </c>
      <c r="B5010" s="2" t="s">
        <v>206</v>
      </c>
      <c r="C5010" s="2">
        <v>2023.0</v>
      </c>
      <c r="D5010" s="9">
        <v>9211.607</v>
      </c>
      <c r="E5010" s="10" t="str">
        <f t="array" ref="E5010">IFS(D5010&lt;=$G$3,'calculated data '!$A$3,D5010&lt;=$G$4,'calculated data '!$A$4,D5010&lt;=$G$6,'calculated data '!$A$5,D5010&gt;=$G$6,'calculated data '!$A$6)</f>
        <v>Target Market (Core IQR)</v>
      </c>
      <c r="F5010" s="10">
        <f t="shared" si="1"/>
        <v>-0.4193425319</v>
      </c>
    </row>
    <row r="5011" ht="14.25" customHeight="1">
      <c r="A5011" s="2" t="s">
        <v>263</v>
      </c>
      <c r="B5011" s="2" t="s">
        <v>264</v>
      </c>
      <c r="C5011" s="2">
        <v>2012.0</v>
      </c>
      <c r="D5011" s="9">
        <v>9214.968</v>
      </c>
      <c r="E5011" s="10" t="str">
        <f t="array" ref="E5011">IFS(D5011&lt;=$G$3,'calculated data '!$A$3,D5011&lt;=$G$4,'calculated data '!$A$4,D5011&lt;=$G$6,'calculated data '!$A$5,D5011&gt;=$G$6,'calculated data '!$A$6)</f>
        <v>Target Market (Core IQR)</v>
      </c>
      <c r="F5011" s="10">
        <f t="shared" si="1"/>
        <v>-0.419253567</v>
      </c>
    </row>
    <row r="5012" ht="14.25" customHeight="1">
      <c r="A5012" s="2" t="s">
        <v>261</v>
      </c>
      <c r="B5012" s="2" t="s">
        <v>262</v>
      </c>
      <c r="C5012" s="2">
        <v>2022.0</v>
      </c>
      <c r="D5012" s="9">
        <v>9215.243</v>
      </c>
      <c r="E5012" s="10" t="str">
        <f t="array" ref="E5012">IFS(D5012&lt;=$G$3,'calculated data '!$A$3,D5012&lt;=$G$4,'calculated data '!$A$4,D5012&lt;=$G$6,'calculated data '!$A$5,D5012&gt;=$G$6,'calculated data '!$A$6)</f>
        <v>Target Market (Core IQR)</v>
      </c>
      <c r="F5012" s="10">
        <f t="shared" si="1"/>
        <v>-0.4192462879</v>
      </c>
    </row>
    <row r="5013" ht="14.25" customHeight="1">
      <c r="A5013" s="2" t="s">
        <v>301</v>
      </c>
      <c r="B5013" s="2" t="s">
        <v>302</v>
      </c>
      <c r="C5013" s="2">
        <v>1974.0</v>
      </c>
      <c r="D5013" s="9">
        <v>9216.648</v>
      </c>
      <c r="E5013" s="10" t="str">
        <f t="array" ref="E5013">IFS(D5013&lt;=$G$3,'calculated data '!$A$3,D5013&lt;=$G$4,'calculated data '!$A$4,D5013&lt;=$G$6,'calculated data '!$A$5,D5013&gt;=$G$6,'calculated data '!$A$6)</f>
        <v>Target Market (Core IQR)</v>
      </c>
      <c r="F5013" s="10">
        <f t="shared" si="1"/>
        <v>-0.4192090979</v>
      </c>
    </row>
    <row r="5014" ht="14.25" customHeight="1">
      <c r="A5014" s="2" t="s">
        <v>231</v>
      </c>
      <c r="B5014" s="2" t="s">
        <v>232</v>
      </c>
      <c r="C5014" s="2">
        <v>1990.0</v>
      </c>
      <c r="D5014" s="9">
        <v>9222.069</v>
      </c>
      <c r="E5014" s="10" t="str">
        <f t="array" ref="E5014">IFS(D5014&lt;=$G$3,'calculated data '!$A$3,D5014&lt;=$G$4,'calculated data '!$A$4,D5014&lt;=$G$6,'calculated data '!$A$5,D5014&gt;=$G$6,'calculated data '!$A$6)</f>
        <v>Target Market (Core IQR)</v>
      </c>
      <c r="F5014" s="10">
        <f t="shared" si="1"/>
        <v>-0.4190656053</v>
      </c>
    </row>
    <row r="5015" ht="14.25" customHeight="1">
      <c r="A5015" s="2" t="s">
        <v>327</v>
      </c>
      <c r="B5015" s="2" t="s">
        <v>328</v>
      </c>
      <c r="C5015" s="2">
        <v>1987.0</v>
      </c>
      <c r="D5015" s="9">
        <v>9226.276</v>
      </c>
      <c r="E5015" s="10" t="str">
        <f t="array" ref="E5015">IFS(D5015&lt;=$G$3,'calculated data '!$A$3,D5015&lt;=$G$4,'calculated data '!$A$4,D5015&lt;=$G$6,'calculated data '!$A$5,D5015&gt;=$G$6,'calculated data '!$A$6)</f>
        <v>Target Market (Core IQR)</v>
      </c>
      <c r="F5015" s="10">
        <f t="shared" si="1"/>
        <v>-0.4189542471</v>
      </c>
    </row>
    <row r="5016" ht="14.25" customHeight="1">
      <c r="A5016" s="2" t="s">
        <v>253</v>
      </c>
      <c r="B5016" s="2" t="s">
        <v>254</v>
      </c>
      <c r="C5016" s="2">
        <v>2016.0</v>
      </c>
      <c r="D5016" s="9">
        <v>9234.724</v>
      </c>
      <c r="E5016" s="10" t="str">
        <f t="array" ref="E5016">IFS(D5016&lt;=$G$3,'calculated data '!$A$3,D5016&lt;=$G$4,'calculated data '!$A$4,D5016&lt;=$G$6,'calculated data '!$A$5,D5016&gt;=$G$6,'calculated data '!$A$6)</f>
        <v>Target Market (Core IQR)</v>
      </c>
      <c r="F5016" s="10">
        <f t="shared" si="1"/>
        <v>-0.4187306306</v>
      </c>
    </row>
    <row r="5017" ht="14.25" customHeight="1">
      <c r="A5017" s="2" t="s">
        <v>237</v>
      </c>
      <c r="B5017" s="2" t="s">
        <v>238</v>
      </c>
      <c r="C5017" s="2">
        <v>2000.0</v>
      </c>
      <c r="D5017" s="9">
        <v>9235.667</v>
      </c>
      <c r="E5017" s="10" t="str">
        <f t="array" ref="E5017">IFS(D5017&lt;=$G$3,'calculated data '!$A$3,D5017&lt;=$G$4,'calculated data '!$A$4,D5017&lt;=$G$6,'calculated data '!$A$5,D5017&gt;=$G$6,'calculated data '!$A$6)</f>
        <v>Target Market (Core IQR)</v>
      </c>
      <c r="F5017" s="10">
        <f t="shared" si="1"/>
        <v>-0.4187056697</v>
      </c>
    </row>
    <row r="5018" ht="14.25" customHeight="1">
      <c r="A5018" s="2" t="s">
        <v>321</v>
      </c>
      <c r="B5018" s="2" t="s">
        <v>322</v>
      </c>
      <c r="C5018" s="2">
        <v>2003.0</v>
      </c>
      <c r="D5018" s="9">
        <v>9241.056</v>
      </c>
      <c r="E5018" s="10" t="str">
        <f t="array" ref="E5018">IFS(D5018&lt;=$G$3,'calculated data '!$A$3,D5018&lt;=$G$4,'calculated data '!$A$4,D5018&lt;=$G$6,'calculated data '!$A$5,D5018&gt;=$G$6,'calculated data '!$A$6)</f>
        <v>Target Market (Core IQR)</v>
      </c>
      <c r="F5018" s="10">
        <f t="shared" si="1"/>
        <v>-0.4185630242</v>
      </c>
    </row>
    <row r="5019" ht="14.25" customHeight="1">
      <c r="A5019" s="2" t="s">
        <v>205</v>
      </c>
      <c r="B5019" s="2" t="s">
        <v>206</v>
      </c>
      <c r="C5019" s="2">
        <v>2024.0</v>
      </c>
      <c r="D5019" s="9">
        <v>9245.819</v>
      </c>
      <c r="E5019" s="10" t="str">
        <f t="array" ref="E5019">IFS(D5019&lt;=$G$3,'calculated data '!$A$3,D5019&lt;=$G$4,'calculated data '!$A$4,D5019&lt;=$G$6,'calculated data '!$A$5,D5019&gt;=$G$6,'calculated data '!$A$6)</f>
        <v>Target Market (Core IQR)</v>
      </c>
      <c r="F5019" s="10">
        <f t="shared" si="1"/>
        <v>-0.4184369488</v>
      </c>
    </row>
    <row r="5020" ht="14.25" customHeight="1">
      <c r="A5020" s="2" t="s">
        <v>305</v>
      </c>
      <c r="B5020" s="2" t="s">
        <v>306</v>
      </c>
      <c r="C5020" s="2">
        <v>2017.0</v>
      </c>
      <c r="D5020" s="9">
        <v>9252.113</v>
      </c>
      <c r="E5020" s="10" t="str">
        <f t="array" ref="E5020">IFS(D5020&lt;=$G$3,'calculated data '!$A$3,D5020&lt;=$G$4,'calculated data '!$A$4,D5020&lt;=$G$6,'calculated data '!$A$5,D5020&gt;=$G$6,'calculated data '!$A$6)</f>
        <v>Target Market (Core IQR)</v>
      </c>
      <c r="F5020" s="10">
        <f t="shared" si="1"/>
        <v>-0.4182703481</v>
      </c>
    </row>
    <row r="5021" ht="14.25" customHeight="1">
      <c r="A5021" s="2" t="s">
        <v>265</v>
      </c>
      <c r="B5021" s="2" t="s">
        <v>266</v>
      </c>
      <c r="C5021" s="2">
        <v>2022.0</v>
      </c>
      <c r="D5021" s="9">
        <v>9254.184</v>
      </c>
      <c r="E5021" s="10" t="str">
        <f t="array" ref="E5021">IFS(D5021&lt;=$G$3,'calculated data '!$A$3,D5021&lt;=$G$4,'calculated data '!$A$4,D5021&lt;=$G$6,'calculated data '!$A$5,D5021&gt;=$G$6,'calculated data '!$A$6)</f>
        <v>Target Market (Core IQR)</v>
      </c>
      <c r="F5021" s="10">
        <f t="shared" si="1"/>
        <v>-0.4182155293</v>
      </c>
    </row>
    <row r="5022" ht="14.25" customHeight="1">
      <c r="A5022" s="2" t="s">
        <v>195</v>
      </c>
      <c r="B5022" s="2" t="s">
        <v>196</v>
      </c>
      <c r="C5022" s="2">
        <v>2018.0</v>
      </c>
      <c r="D5022" s="9">
        <v>9256.192</v>
      </c>
      <c r="E5022" s="10" t="str">
        <f t="array" ref="E5022">IFS(D5022&lt;=$G$3,'calculated data '!$A$3,D5022&lt;=$G$4,'calculated data '!$A$4,D5022&lt;=$G$6,'calculated data '!$A$5,D5022&gt;=$G$6,'calculated data '!$A$6)</f>
        <v>Target Market (Core IQR)</v>
      </c>
      <c r="F5022" s="10">
        <f t="shared" si="1"/>
        <v>-0.418162378</v>
      </c>
    </row>
    <row r="5023" ht="14.25" customHeight="1">
      <c r="A5023" s="2" t="s">
        <v>305</v>
      </c>
      <c r="B5023" s="2" t="s">
        <v>306</v>
      </c>
      <c r="C5023" s="2">
        <v>1987.0</v>
      </c>
      <c r="D5023" s="9">
        <v>9261.977</v>
      </c>
      <c r="E5023" s="10" t="str">
        <f t="array" ref="E5023">IFS(D5023&lt;=$G$3,'calculated data '!$A$3,D5023&lt;=$G$4,'calculated data '!$A$4,D5023&lt;=$G$6,'calculated data '!$A$5,D5023&gt;=$G$6,'calculated data '!$A$6)</f>
        <v>Target Market (Core IQR)</v>
      </c>
      <c r="F5023" s="10">
        <f t="shared" si="1"/>
        <v>-0.4180092505</v>
      </c>
    </row>
    <row r="5024" ht="14.25" customHeight="1">
      <c r="A5024" s="2" t="s">
        <v>293</v>
      </c>
      <c r="B5024" s="2" t="s">
        <v>294</v>
      </c>
      <c r="C5024" s="2">
        <v>2003.0</v>
      </c>
      <c r="D5024" s="9">
        <v>9268.076</v>
      </c>
      <c r="E5024" s="10" t="str">
        <f t="array" ref="E5024">IFS(D5024&lt;=$G$3,'calculated data '!$A$3,D5024&lt;=$G$4,'calculated data '!$A$4,D5024&lt;=$G$6,'calculated data '!$A$5,D5024&gt;=$G$6,'calculated data '!$A$6)</f>
        <v>Target Market (Core IQR)</v>
      </c>
      <c r="F5024" s="10">
        <f t="shared" si="1"/>
        <v>-0.4178478115</v>
      </c>
    </row>
    <row r="5025" ht="14.25" customHeight="1">
      <c r="A5025" s="2" t="s">
        <v>281</v>
      </c>
      <c r="B5025" s="2" t="s">
        <v>282</v>
      </c>
      <c r="C5025" s="2">
        <v>2025.0</v>
      </c>
      <c r="D5025" s="9">
        <v>9268.437</v>
      </c>
      <c r="E5025" s="10" t="str">
        <f t="array" ref="E5025">IFS(D5025&lt;=$G$3,'calculated data '!$A$3,D5025&lt;=$G$4,'calculated data '!$A$4,D5025&lt;=$G$6,'calculated data '!$A$5,D5025&gt;=$G$6,'calculated data '!$A$6)</f>
        <v>Target Market (Core IQR)</v>
      </c>
      <c r="F5025" s="10">
        <f t="shared" si="1"/>
        <v>-0.4178382559</v>
      </c>
    </row>
    <row r="5026" ht="14.25" customHeight="1">
      <c r="A5026" s="2" t="s">
        <v>265</v>
      </c>
      <c r="B5026" s="2" t="s">
        <v>266</v>
      </c>
      <c r="C5026" s="2">
        <v>2010.0</v>
      </c>
      <c r="D5026" s="9">
        <v>9270.443</v>
      </c>
      <c r="E5026" s="10" t="str">
        <f t="array" ref="E5026">IFS(D5026&lt;=$G$3,'calculated data '!$A$3,D5026&lt;=$G$4,'calculated data '!$A$4,D5026&lt;=$G$6,'calculated data '!$A$5,D5026&gt;=$G$6,'calculated data '!$A$6)</f>
        <v>Target Market (Core IQR)</v>
      </c>
      <c r="F5026" s="10">
        <f t="shared" si="1"/>
        <v>-0.4177851576</v>
      </c>
    </row>
    <row r="5027" ht="14.25" customHeight="1">
      <c r="A5027" s="2" t="s">
        <v>183</v>
      </c>
      <c r="B5027" s="2" t="s">
        <v>184</v>
      </c>
      <c r="C5027" s="2">
        <v>2010.0</v>
      </c>
      <c r="D5027" s="9">
        <v>9273.588</v>
      </c>
      <c r="E5027" s="10" t="str">
        <f t="array" ref="E5027">IFS(D5027&lt;=$G$3,'calculated data '!$A$3,D5027&lt;=$G$4,'calculated data '!$A$4,D5027&lt;=$G$6,'calculated data '!$A$5,D5027&gt;=$G$6,'calculated data '!$A$6)</f>
        <v>Target Market (Core IQR)</v>
      </c>
      <c r="F5027" s="10">
        <f t="shared" si="1"/>
        <v>-0.4177019102</v>
      </c>
    </row>
    <row r="5028" ht="14.25" customHeight="1">
      <c r="A5028" s="2" t="s">
        <v>305</v>
      </c>
      <c r="B5028" s="2" t="s">
        <v>306</v>
      </c>
      <c r="C5028" s="2">
        <v>2015.0</v>
      </c>
      <c r="D5028" s="9">
        <v>9274.061</v>
      </c>
      <c r="E5028" s="10" t="str">
        <f t="array" ref="E5028">IFS(D5028&lt;=$G$3,'calculated data '!$A$3,D5028&lt;=$G$4,'calculated data '!$A$4,D5028&lt;=$G$6,'calculated data '!$A$5,D5028&gt;=$G$6,'calculated data '!$A$6)</f>
        <v>Target Market (Core IQR)</v>
      </c>
      <c r="F5028" s="10">
        <f t="shared" si="1"/>
        <v>-0.4176893901</v>
      </c>
    </row>
    <row r="5029" ht="14.25" customHeight="1">
      <c r="A5029" s="2" t="s">
        <v>231</v>
      </c>
      <c r="B5029" s="2" t="s">
        <v>232</v>
      </c>
      <c r="C5029" s="2">
        <v>1991.0</v>
      </c>
      <c r="D5029" s="9">
        <v>9284.599</v>
      </c>
      <c r="E5029" s="10" t="str">
        <f t="array" ref="E5029">IFS(D5029&lt;=$G$3,'calculated data '!$A$3,D5029&lt;=$G$4,'calculated data '!$A$4,D5029&lt;=$G$6,'calculated data '!$A$5,D5029&gt;=$G$6,'calculated data '!$A$6)</f>
        <v>Target Market (Core IQR)</v>
      </c>
      <c r="F5029" s="10">
        <f t="shared" si="1"/>
        <v>-0.4174104518</v>
      </c>
    </row>
    <row r="5030" ht="14.25" customHeight="1">
      <c r="A5030" s="2" t="s">
        <v>259</v>
      </c>
      <c r="B5030" s="2" t="s">
        <v>260</v>
      </c>
      <c r="C5030" s="2">
        <v>2020.0</v>
      </c>
      <c r="D5030" s="9">
        <v>9292.531</v>
      </c>
      <c r="E5030" s="10" t="str">
        <f t="array" ref="E5030">IFS(D5030&lt;=$G$3,'calculated data '!$A$3,D5030&lt;=$G$4,'calculated data '!$A$4,D5030&lt;=$G$6,'calculated data '!$A$5,D5030&gt;=$G$6,'calculated data '!$A$6)</f>
        <v>Target Market (Core IQR)</v>
      </c>
      <c r="F5030" s="10">
        <f t="shared" si="1"/>
        <v>-0.4172004938</v>
      </c>
    </row>
    <row r="5031" ht="14.25" customHeight="1">
      <c r="A5031" s="2" t="s">
        <v>229</v>
      </c>
      <c r="B5031" s="2" t="s">
        <v>230</v>
      </c>
      <c r="C5031" s="2">
        <v>1997.0</v>
      </c>
      <c r="D5031" s="9">
        <v>9302.01</v>
      </c>
      <c r="E5031" s="10" t="str">
        <f t="array" ref="E5031">IFS(D5031&lt;=$G$3,'calculated data '!$A$3,D5031&lt;=$G$4,'calculated data '!$A$4,D5031&lt;=$G$6,'calculated data '!$A$5,D5031&gt;=$G$6,'calculated data '!$A$6)</f>
        <v>Target Market (Core IQR)</v>
      </c>
      <c r="F5031" s="10">
        <f t="shared" si="1"/>
        <v>-0.416949587</v>
      </c>
    </row>
    <row r="5032" ht="14.25" customHeight="1">
      <c r="A5032" s="2" t="s">
        <v>335</v>
      </c>
      <c r="B5032" s="2" t="s">
        <v>336</v>
      </c>
      <c r="C5032" s="2">
        <v>1965.0</v>
      </c>
      <c r="D5032" s="9">
        <v>9307.79</v>
      </c>
      <c r="E5032" s="10" t="str">
        <f t="array" ref="E5032">IFS(D5032&lt;=$G$3,'calculated data '!$A$3,D5032&lt;=$G$4,'calculated data '!$A$4,D5032&lt;=$G$6,'calculated data '!$A$5,D5032&gt;=$G$6,'calculated data '!$A$6)</f>
        <v>Target Market (Core IQR)</v>
      </c>
      <c r="F5032" s="10">
        <f t="shared" si="1"/>
        <v>-0.4167965918</v>
      </c>
    </row>
    <row r="5033" ht="14.25" customHeight="1">
      <c r="A5033" s="2" t="s">
        <v>205</v>
      </c>
      <c r="B5033" s="2" t="s">
        <v>206</v>
      </c>
      <c r="C5033" s="2">
        <v>2025.0</v>
      </c>
      <c r="D5033" s="9">
        <v>9309.488</v>
      </c>
      <c r="E5033" s="10" t="str">
        <f t="array" ref="E5033">IFS(D5033&lt;=$G$3,'calculated data '!$A$3,D5033&lt;=$G$4,'calculated data '!$A$4,D5033&lt;=$G$6,'calculated data '!$A$5,D5033&gt;=$G$6,'calculated data '!$A$6)</f>
        <v>Target Market (Core IQR)</v>
      </c>
      <c r="F5033" s="10">
        <f t="shared" si="1"/>
        <v>-0.4167516462</v>
      </c>
    </row>
    <row r="5034" ht="14.25" customHeight="1">
      <c r="A5034" s="2" t="s">
        <v>281</v>
      </c>
      <c r="B5034" s="2" t="s">
        <v>282</v>
      </c>
      <c r="C5034" s="2">
        <v>2014.0</v>
      </c>
      <c r="D5034" s="9">
        <v>9314.153</v>
      </c>
      <c r="E5034" s="10" t="str">
        <f t="array" ref="E5034">IFS(D5034&lt;=$G$3,'calculated data '!$A$3,D5034&lt;=$G$4,'calculated data '!$A$4,D5034&lt;=$G$6,'calculated data '!$A$5,D5034&gt;=$G$6,'calculated data '!$A$6)</f>
        <v>Target Market (Core IQR)</v>
      </c>
      <c r="F5034" s="10">
        <f t="shared" si="1"/>
        <v>-0.4166281648</v>
      </c>
    </row>
    <row r="5035" ht="14.25" customHeight="1">
      <c r="A5035" s="2" t="s">
        <v>333</v>
      </c>
      <c r="B5035" s="2" t="s">
        <v>334</v>
      </c>
      <c r="C5035" s="2">
        <v>2024.0</v>
      </c>
      <c r="D5035" s="9">
        <v>9316.197</v>
      </c>
      <c r="E5035" s="10" t="str">
        <f t="array" ref="E5035">IFS(D5035&lt;=$G$3,'calculated data '!$A$3,D5035&lt;=$G$4,'calculated data '!$A$4,D5035&lt;=$G$6,'calculated data '!$A$5,D5035&gt;=$G$6,'calculated data '!$A$6)</f>
        <v>Target Market (Core IQR)</v>
      </c>
      <c r="F5035" s="10">
        <f t="shared" si="1"/>
        <v>-0.4165740606</v>
      </c>
    </row>
    <row r="5036" ht="14.25" customHeight="1">
      <c r="A5036" s="2" t="s">
        <v>191</v>
      </c>
      <c r="B5036" s="2" t="s">
        <v>192</v>
      </c>
      <c r="C5036" s="2">
        <v>2004.0</v>
      </c>
      <c r="D5036" s="9">
        <v>9320.358</v>
      </c>
      <c r="E5036" s="10" t="str">
        <f t="array" ref="E5036">IFS(D5036&lt;=$G$3,'calculated data '!$A$3,D5036&lt;=$G$4,'calculated data '!$A$4,D5036&lt;=$G$6,'calculated data '!$A$5,D5036&gt;=$G$6,'calculated data '!$A$6)</f>
        <v>Target Market (Core IQR)</v>
      </c>
      <c r="F5036" s="10">
        <f t="shared" si="1"/>
        <v>-0.41646392</v>
      </c>
    </row>
    <row r="5037" ht="14.25" customHeight="1">
      <c r="A5037" s="2" t="s">
        <v>285</v>
      </c>
      <c r="B5037" s="2" t="s">
        <v>286</v>
      </c>
      <c r="C5037" s="2">
        <v>1985.0</v>
      </c>
      <c r="D5037" s="9">
        <v>9332.765</v>
      </c>
      <c r="E5037" s="10" t="str">
        <f t="array" ref="E5037">IFS(D5037&lt;=$G$3,'calculated data '!$A$3,D5037&lt;=$G$4,'calculated data '!$A$4,D5037&lt;=$G$6,'calculated data '!$A$5,D5037&gt;=$G$6,'calculated data '!$A$6)</f>
        <v>Target Market (Core IQR)</v>
      </c>
      <c r="F5037" s="10">
        <f t="shared" si="1"/>
        <v>-0.4161355098</v>
      </c>
    </row>
    <row r="5038" ht="14.25" customHeight="1">
      <c r="A5038" s="2" t="s">
        <v>197</v>
      </c>
      <c r="B5038" s="2" t="s">
        <v>198</v>
      </c>
      <c r="C5038" s="2">
        <v>2001.0</v>
      </c>
      <c r="D5038" s="9">
        <v>9333.583</v>
      </c>
      <c r="E5038" s="10" t="str">
        <f t="array" ref="E5038">IFS(D5038&lt;=$G$3,'calculated data '!$A$3,D5038&lt;=$G$4,'calculated data '!$A$4,D5038&lt;=$G$6,'calculated data '!$A$5,D5038&gt;=$G$6,'calculated data '!$A$6)</f>
        <v>Target Market (Core IQR)</v>
      </c>
      <c r="F5038" s="10">
        <f t="shared" si="1"/>
        <v>-0.4161138575</v>
      </c>
    </row>
    <row r="5039" ht="14.25" customHeight="1">
      <c r="A5039" s="2" t="s">
        <v>317</v>
      </c>
      <c r="B5039" s="2" t="s">
        <v>318</v>
      </c>
      <c r="C5039" s="2">
        <v>1995.0</v>
      </c>
      <c r="D5039" s="9">
        <v>9333.618</v>
      </c>
      <c r="E5039" s="10" t="str">
        <f t="array" ref="E5039">IFS(D5039&lt;=$G$3,'calculated data '!$A$3,D5039&lt;=$G$4,'calculated data '!$A$4,D5039&lt;=$G$6,'calculated data '!$A$5,D5039&gt;=$G$6,'calculated data '!$A$6)</f>
        <v>Target Market (Core IQR)</v>
      </c>
      <c r="F5039" s="10">
        <f t="shared" si="1"/>
        <v>-0.4161129311</v>
      </c>
    </row>
    <row r="5040" ht="14.25" customHeight="1">
      <c r="A5040" s="2" t="s">
        <v>321</v>
      </c>
      <c r="B5040" s="2" t="s">
        <v>322</v>
      </c>
      <c r="C5040" s="2">
        <v>2004.0</v>
      </c>
      <c r="D5040" s="9">
        <v>9339.649</v>
      </c>
      <c r="E5040" s="10" t="str">
        <f t="array" ref="E5040">IFS(D5040&lt;=$G$3,'calculated data '!$A$3,D5040&lt;=$G$4,'calculated data '!$A$4,D5040&lt;=$G$6,'calculated data '!$A$5,D5040&gt;=$G$6,'calculated data '!$A$6)</f>
        <v>Target Market (Core IQR)</v>
      </c>
      <c r="F5040" s="10">
        <f t="shared" si="1"/>
        <v>-0.415953292</v>
      </c>
    </row>
    <row r="5041" ht="14.25" customHeight="1">
      <c r="A5041" s="2" t="s">
        <v>329</v>
      </c>
      <c r="B5041" s="2" t="s">
        <v>330</v>
      </c>
      <c r="C5041" s="2">
        <v>1981.0</v>
      </c>
      <c r="D5041" s="9">
        <v>9340.017</v>
      </c>
      <c r="E5041" s="10" t="str">
        <f t="array" ref="E5041">IFS(D5041&lt;=$G$3,'calculated data '!$A$3,D5041&lt;=$G$4,'calculated data '!$A$4,D5041&lt;=$G$6,'calculated data '!$A$5,D5041&gt;=$G$6,'calculated data '!$A$6)</f>
        <v>Target Market (Core IQR)</v>
      </c>
      <c r="F5041" s="10">
        <f t="shared" si="1"/>
        <v>-0.4159435512</v>
      </c>
    </row>
    <row r="5042" ht="14.25" customHeight="1">
      <c r="A5042" s="2" t="s">
        <v>261</v>
      </c>
      <c r="B5042" s="2" t="s">
        <v>262</v>
      </c>
      <c r="C5042" s="2">
        <v>2019.0</v>
      </c>
      <c r="D5042" s="9">
        <v>9343.587</v>
      </c>
      <c r="E5042" s="10" t="str">
        <f t="array" ref="E5042">IFS(D5042&lt;=$G$3,'calculated data '!$A$3,D5042&lt;=$G$4,'calculated data '!$A$4,D5042&lt;=$G$6,'calculated data '!$A$5,D5042&gt;=$G$6,'calculated data '!$A$6)</f>
        <v>Target Market (Core IQR)</v>
      </c>
      <c r="F5042" s="10">
        <f t="shared" si="1"/>
        <v>-0.4158490541</v>
      </c>
    </row>
    <row r="5043" ht="14.25" customHeight="1">
      <c r="A5043" s="2" t="s">
        <v>205</v>
      </c>
      <c r="B5043" s="2" t="s">
        <v>206</v>
      </c>
      <c r="C5043" s="2">
        <v>2008.0</v>
      </c>
      <c r="D5043" s="9">
        <v>9349.906</v>
      </c>
      <c r="E5043" s="10" t="str">
        <f t="array" ref="E5043">IFS(D5043&lt;=$G$3,'calculated data '!$A$3,D5043&lt;=$G$4,'calculated data '!$A$4,D5043&lt;=$G$6,'calculated data '!$A$5,D5043&gt;=$G$6,'calculated data '!$A$6)</f>
        <v>Target Market (Core IQR)</v>
      </c>
      <c r="F5043" s="10">
        <f t="shared" si="1"/>
        <v>-0.4156817918</v>
      </c>
    </row>
    <row r="5044" ht="14.25" customHeight="1">
      <c r="A5044" s="2" t="s">
        <v>287</v>
      </c>
      <c r="B5044" s="2" t="s">
        <v>288</v>
      </c>
      <c r="C5044" s="2">
        <v>1985.0</v>
      </c>
      <c r="D5044" s="9">
        <v>9352.805</v>
      </c>
      <c r="E5044" s="10" t="str">
        <f t="array" ref="E5044">IFS(D5044&lt;=$G$3,'calculated data '!$A$3,D5044&lt;=$G$4,'calculated data '!$A$4,D5044&lt;=$G$6,'calculated data '!$A$5,D5044&gt;=$G$6,'calculated data '!$A$6)</f>
        <v>Target Market (Core IQR)</v>
      </c>
      <c r="F5044" s="10">
        <f t="shared" si="1"/>
        <v>-0.415605056</v>
      </c>
    </row>
    <row r="5045" ht="14.25" customHeight="1">
      <c r="A5045" s="2" t="s">
        <v>229</v>
      </c>
      <c r="B5045" s="2" t="s">
        <v>230</v>
      </c>
      <c r="C5045" s="2">
        <v>1999.0</v>
      </c>
      <c r="D5045" s="9">
        <v>9358.195</v>
      </c>
      <c r="E5045" s="10" t="str">
        <f t="array" ref="E5045">IFS(D5045&lt;=$G$3,'calculated data '!$A$3,D5045&lt;=$G$4,'calculated data '!$A$4,D5045&lt;=$G$6,'calculated data '!$A$5,D5045&gt;=$G$6,'calculated data '!$A$6)</f>
        <v>Target Market (Core IQR)</v>
      </c>
      <c r="F5045" s="10">
        <f t="shared" si="1"/>
        <v>-0.415462384</v>
      </c>
    </row>
    <row r="5046" ht="14.25" customHeight="1">
      <c r="A5046" s="2" t="s">
        <v>203</v>
      </c>
      <c r="B5046" s="2" t="s">
        <v>204</v>
      </c>
      <c r="C5046" s="2">
        <v>2006.0</v>
      </c>
      <c r="D5046" s="9">
        <v>9363.215</v>
      </c>
      <c r="E5046" s="10" t="str">
        <f t="array" ref="E5046">IFS(D5046&lt;=$G$3,'calculated data '!$A$3,D5046&lt;=$G$4,'calculated data '!$A$4,D5046&lt;=$G$6,'calculated data '!$A$5,D5046&gt;=$G$6,'calculated data '!$A$6)</f>
        <v>Target Market (Core IQR)</v>
      </c>
      <c r="F5046" s="10">
        <f t="shared" si="1"/>
        <v>-0.4153295059</v>
      </c>
    </row>
    <row r="5047" ht="14.25" customHeight="1">
      <c r="A5047" s="2" t="s">
        <v>83</v>
      </c>
      <c r="B5047" s="2" t="s">
        <v>84</v>
      </c>
      <c r="C5047" s="2">
        <v>2021.0</v>
      </c>
      <c r="D5047" s="9">
        <v>9377.449</v>
      </c>
      <c r="E5047" s="10" t="str">
        <f t="array" ref="E5047">IFS(D5047&lt;=$G$3,'calculated data '!$A$3,D5047&lt;=$G$4,'calculated data '!$A$4,D5047&lt;=$G$6,'calculated data '!$A$5,D5047&gt;=$G$6,'calculated data '!$A$6)</f>
        <v>Target Market (Core IQR)</v>
      </c>
      <c r="F5047" s="10">
        <f t="shared" si="1"/>
        <v>-0.4149527354</v>
      </c>
    </row>
    <row r="5048" ht="14.25" customHeight="1">
      <c r="A5048" s="2" t="s">
        <v>185</v>
      </c>
      <c r="B5048" s="2" t="s">
        <v>186</v>
      </c>
      <c r="C5048" s="2">
        <v>2019.0</v>
      </c>
      <c r="D5048" s="9">
        <v>9379.387</v>
      </c>
      <c r="E5048" s="10" t="str">
        <f t="array" ref="E5048">IFS(D5048&lt;=$G$3,'calculated data '!$A$3,D5048&lt;=$G$4,'calculated data '!$A$4,D5048&lt;=$G$6,'calculated data '!$A$5,D5048&gt;=$G$6,'calculated data '!$A$6)</f>
        <v>Target Market (Core IQR)</v>
      </c>
      <c r="F5048" s="10">
        <f t="shared" si="1"/>
        <v>-0.4149014371</v>
      </c>
    </row>
    <row r="5049" ht="14.25" customHeight="1">
      <c r="A5049" s="2" t="s">
        <v>225</v>
      </c>
      <c r="B5049" s="2" t="s">
        <v>226</v>
      </c>
      <c r="C5049" s="2">
        <v>2024.0</v>
      </c>
      <c r="D5049" s="9">
        <v>9380.434</v>
      </c>
      <c r="E5049" s="10" t="str">
        <f t="array" ref="E5049">IFS(D5049&lt;=$G$3,'calculated data '!$A$3,D5049&lt;=$G$4,'calculated data '!$A$4,D5049&lt;=$G$6,'calculated data '!$A$5,D5049&gt;=$G$6,'calculated data '!$A$6)</f>
        <v>Target Market (Core IQR)</v>
      </c>
      <c r="F5049" s="10">
        <f t="shared" si="1"/>
        <v>-0.4148737232</v>
      </c>
    </row>
    <row r="5050" ht="14.25" customHeight="1">
      <c r="A5050" s="2" t="s">
        <v>273</v>
      </c>
      <c r="B5050" s="2" t="s">
        <v>274</v>
      </c>
      <c r="C5050" s="2">
        <v>2009.0</v>
      </c>
      <c r="D5050" s="9">
        <v>9381.8125</v>
      </c>
      <c r="E5050" s="10" t="str">
        <f t="array" ref="E5050">IFS(D5050&lt;=$G$3,'calculated data '!$A$3,D5050&lt;=$G$4,'calculated data '!$A$4,D5050&lt;=$G$6,'calculated data '!$A$5,D5050&gt;=$G$6,'calculated data '!$A$6)</f>
        <v>Target Market (Core IQR)</v>
      </c>
      <c r="F5050" s="10">
        <f t="shared" si="1"/>
        <v>-0.4148372347</v>
      </c>
    </row>
    <row r="5051" ht="14.25" customHeight="1">
      <c r="A5051" s="2" t="s">
        <v>305</v>
      </c>
      <c r="B5051" s="2" t="s">
        <v>306</v>
      </c>
      <c r="C5051" s="2">
        <v>1985.0</v>
      </c>
      <c r="D5051" s="9">
        <v>9385.534</v>
      </c>
      <c r="E5051" s="10" t="str">
        <f t="array" ref="E5051">IFS(D5051&lt;=$G$3,'calculated data '!$A$3,D5051&lt;=$G$4,'calculated data '!$A$4,D5051&lt;=$G$6,'calculated data '!$A$5,D5051&gt;=$G$6,'calculated data '!$A$6)</f>
        <v>Target Market (Core IQR)</v>
      </c>
      <c r="F5051" s="10">
        <f t="shared" si="1"/>
        <v>-0.4147387275</v>
      </c>
    </row>
    <row r="5052" ht="14.25" customHeight="1">
      <c r="A5052" s="2" t="s">
        <v>329</v>
      </c>
      <c r="B5052" s="2" t="s">
        <v>330</v>
      </c>
      <c r="C5052" s="2">
        <v>1987.0</v>
      </c>
      <c r="D5052" s="9">
        <v>9394.891</v>
      </c>
      <c r="E5052" s="10" t="str">
        <f t="array" ref="E5052">IFS(D5052&lt;=$G$3,'calculated data '!$A$3,D5052&lt;=$G$4,'calculated data '!$A$4,D5052&lt;=$G$6,'calculated data '!$A$5,D5052&gt;=$G$6,'calculated data '!$A$6)</f>
        <v>Target Market (Core IQR)</v>
      </c>
      <c r="F5052" s="10">
        <f t="shared" si="1"/>
        <v>-0.41449105</v>
      </c>
    </row>
    <row r="5053" ht="14.25" customHeight="1">
      <c r="A5053" s="2" t="s">
        <v>259</v>
      </c>
      <c r="B5053" s="2" t="s">
        <v>260</v>
      </c>
      <c r="C5053" s="2">
        <v>2023.0</v>
      </c>
      <c r="D5053" s="9">
        <v>9402.787</v>
      </c>
      <c r="E5053" s="10" t="str">
        <f t="array" ref="E5053">IFS(D5053&lt;=$G$3,'calculated data '!$A$3,D5053&lt;=$G$4,'calculated data '!$A$4,D5053&lt;=$G$6,'calculated data '!$A$5,D5053&gt;=$G$6,'calculated data '!$A$6)</f>
        <v>Target Market (Core IQR)</v>
      </c>
      <c r="F5053" s="10">
        <f t="shared" si="1"/>
        <v>-0.4142820449</v>
      </c>
    </row>
    <row r="5054" ht="14.25" customHeight="1">
      <c r="A5054" s="2" t="s">
        <v>265</v>
      </c>
      <c r="B5054" s="2" t="s">
        <v>266</v>
      </c>
      <c r="C5054" s="2">
        <v>2018.0</v>
      </c>
      <c r="D5054" s="9">
        <v>9402.995</v>
      </c>
      <c r="E5054" s="10" t="str">
        <f t="array" ref="E5054">IFS(D5054&lt;=$G$3,'calculated data '!$A$3,D5054&lt;=$G$4,'calculated data '!$A$4,D5054&lt;=$G$6,'calculated data '!$A$5,D5054&gt;=$G$6,'calculated data '!$A$6)</f>
        <v>Target Market (Core IQR)</v>
      </c>
      <c r="F5054" s="10">
        <f t="shared" si="1"/>
        <v>-0.4142765392</v>
      </c>
    </row>
    <row r="5055" ht="14.25" customHeight="1">
      <c r="A5055" s="2" t="s">
        <v>233</v>
      </c>
      <c r="B5055" s="2" t="s">
        <v>234</v>
      </c>
      <c r="C5055" s="2">
        <v>1999.0</v>
      </c>
      <c r="D5055" s="9">
        <v>9403.871</v>
      </c>
      <c r="E5055" s="10" t="str">
        <f t="array" ref="E5055">IFS(D5055&lt;=$G$3,'calculated data '!$A$3,D5055&lt;=$G$4,'calculated data '!$A$4,D5055&lt;=$G$6,'calculated data '!$A$5,D5055&gt;=$G$6,'calculated data '!$A$6)</f>
        <v>Target Market (Core IQR)</v>
      </c>
      <c r="F5055" s="10">
        <f t="shared" si="1"/>
        <v>-0.4142533517</v>
      </c>
    </row>
    <row r="5056" ht="14.25" customHeight="1">
      <c r="A5056" s="2" t="s">
        <v>321</v>
      </c>
      <c r="B5056" s="2" t="s">
        <v>322</v>
      </c>
      <c r="C5056" s="2">
        <v>2017.0</v>
      </c>
      <c r="D5056" s="9">
        <v>9404.827</v>
      </c>
      <c r="E5056" s="10" t="str">
        <f t="array" ref="E5056">IFS(D5056&lt;=$G$3,'calculated data '!$A$3,D5056&lt;=$G$4,'calculated data '!$A$4,D5056&lt;=$G$6,'calculated data '!$A$5,D5056&gt;=$G$6,'calculated data '!$A$6)</f>
        <v>Target Market (Core IQR)</v>
      </c>
      <c r="F5056" s="10">
        <f t="shared" si="1"/>
        <v>-0.4142280466</v>
      </c>
    </row>
    <row r="5057" ht="14.25" customHeight="1">
      <c r="A5057" s="2" t="s">
        <v>289</v>
      </c>
      <c r="B5057" s="2" t="s">
        <v>290</v>
      </c>
      <c r="C5057" s="2">
        <v>2020.0</v>
      </c>
      <c r="D5057" s="9">
        <v>9408.244</v>
      </c>
      <c r="E5057" s="10" t="str">
        <f t="array" ref="E5057">IFS(D5057&lt;=$G$3,'calculated data '!$A$3,D5057&lt;=$G$4,'calculated data '!$A$4,D5057&lt;=$G$6,'calculated data '!$A$5,D5057&gt;=$G$6,'calculated data '!$A$6)</f>
        <v>Target Market (Core IQR)</v>
      </c>
      <c r="F5057" s="10">
        <f t="shared" si="1"/>
        <v>-0.4141375995</v>
      </c>
    </row>
    <row r="5058" ht="14.25" customHeight="1">
      <c r="A5058" s="2" t="s">
        <v>305</v>
      </c>
      <c r="B5058" s="2" t="s">
        <v>306</v>
      </c>
      <c r="C5058" s="2">
        <v>1998.0</v>
      </c>
      <c r="D5058" s="9">
        <v>9408.873</v>
      </c>
      <c r="E5058" s="10" t="str">
        <f t="array" ref="E5058">IFS(D5058&lt;=$G$3,'calculated data '!$A$3,D5058&lt;=$G$4,'calculated data '!$A$4,D5058&lt;=$G$6,'calculated data '!$A$5,D5058&gt;=$G$6,'calculated data '!$A$6)</f>
        <v>Target Market (Core IQR)</v>
      </c>
      <c r="F5058" s="10">
        <f t="shared" si="1"/>
        <v>-0.41412095</v>
      </c>
    </row>
    <row r="5059" ht="14.25" customHeight="1">
      <c r="A5059" s="2" t="s">
        <v>315</v>
      </c>
      <c r="B5059" s="2" t="s">
        <v>316</v>
      </c>
      <c r="C5059" s="2">
        <v>1997.0</v>
      </c>
      <c r="D5059" s="9">
        <v>9410.57</v>
      </c>
      <c r="E5059" s="10" t="str">
        <f t="array" ref="E5059">IFS(D5059&lt;=$G$3,'calculated data '!$A$3,D5059&lt;=$G$4,'calculated data '!$A$4,D5059&lt;=$G$6,'calculated data '!$A$5,D5059&gt;=$G$6,'calculated data '!$A$6)</f>
        <v>Target Market (Core IQR)</v>
      </c>
      <c r="F5059" s="10">
        <f t="shared" si="1"/>
        <v>-0.4140760308</v>
      </c>
    </row>
    <row r="5060" ht="14.25" customHeight="1">
      <c r="A5060" s="2" t="s">
        <v>249</v>
      </c>
      <c r="B5060" s="2" t="s">
        <v>250</v>
      </c>
      <c r="C5060" s="2">
        <v>1979.0</v>
      </c>
      <c r="D5060" s="9">
        <v>9416.519</v>
      </c>
      <c r="E5060" s="10" t="str">
        <f t="array" ref="E5060">IFS(D5060&lt;=$G$3,'calculated data '!$A$3,D5060&lt;=$G$4,'calculated data '!$A$4,D5060&lt;=$G$6,'calculated data '!$A$5,D5060&gt;=$G$6,'calculated data '!$A$6)</f>
        <v>Target Market (Core IQR)</v>
      </c>
      <c r="F5060" s="10">
        <f t="shared" si="1"/>
        <v>-0.4139185623</v>
      </c>
    </row>
    <row r="5061" ht="14.25" customHeight="1">
      <c r="A5061" s="2" t="s">
        <v>259</v>
      </c>
      <c r="B5061" s="2" t="s">
        <v>260</v>
      </c>
      <c r="C5061" s="2">
        <v>2011.0</v>
      </c>
      <c r="D5061" s="9">
        <v>9418.284</v>
      </c>
      <c r="E5061" s="10" t="str">
        <f t="array" ref="E5061">IFS(D5061&lt;=$G$3,'calculated data '!$A$3,D5061&lt;=$G$4,'calculated data '!$A$4,D5061&lt;=$G$6,'calculated data '!$A$5,D5061&gt;=$G$6,'calculated data '!$A$6)</f>
        <v>Target Market (Core IQR)</v>
      </c>
      <c r="F5061" s="10">
        <f t="shared" si="1"/>
        <v>-0.4138718432</v>
      </c>
    </row>
    <row r="5062" ht="14.25" customHeight="1">
      <c r="A5062" s="2" t="s">
        <v>305</v>
      </c>
      <c r="B5062" s="2" t="s">
        <v>306</v>
      </c>
      <c r="C5062" s="2">
        <v>1995.0</v>
      </c>
      <c r="D5062" s="9">
        <v>9420.98</v>
      </c>
      <c r="E5062" s="10" t="str">
        <f t="array" ref="E5062">IFS(D5062&lt;=$G$3,'calculated data '!$A$3,D5062&lt;=$G$4,'calculated data '!$A$4,D5062&lt;=$G$6,'calculated data '!$A$5,D5062&gt;=$G$6,'calculated data '!$A$6)</f>
        <v>Target Market (Core IQR)</v>
      </c>
      <c r="F5062" s="10">
        <f t="shared" si="1"/>
        <v>-0.4138004807</v>
      </c>
    </row>
    <row r="5063" ht="14.25" customHeight="1">
      <c r="A5063" s="2" t="s">
        <v>257</v>
      </c>
      <c r="B5063" s="2" t="s">
        <v>258</v>
      </c>
      <c r="C5063" s="2">
        <v>1981.0</v>
      </c>
      <c r="D5063" s="9">
        <v>9421.686</v>
      </c>
      <c r="E5063" s="10" t="str">
        <f t="array" ref="E5063">IFS(D5063&lt;=$G$3,'calculated data '!$A$3,D5063&lt;=$G$4,'calculated data '!$A$4,D5063&lt;=$G$6,'calculated data '!$A$5,D5063&gt;=$G$6,'calculated data '!$A$6)</f>
        <v>Target Market (Core IQR)</v>
      </c>
      <c r="F5063" s="10">
        <f t="shared" si="1"/>
        <v>-0.4137817931</v>
      </c>
    </row>
    <row r="5064" ht="14.25" customHeight="1">
      <c r="A5064" s="2" t="s">
        <v>195</v>
      </c>
      <c r="B5064" s="2" t="s">
        <v>196</v>
      </c>
      <c r="C5064" s="2">
        <v>2007.0</v>
      </c>
      <c r="D5064" s="9">
        <v>9425.131</v>
      </c>
      <c r="E5064" s="10" t="str">
        <f t="array" ref="E5064">IFS(D5064&lt;=$G$3,'calculated data '!$A$3,D5064&lt;=$G$4,'calculated data '!$A$4,D5064&lt;=$G$6,'calculated data '!$A$5,D5064&gt;=$G$6,'calculated data '!$A$6)</f>
        <v>Target Market (Core IQR)</v>
      </c>
      <c r="F5064" s="10">
        <f t="shared" si="1"/>
        <v>-0.4136906048</v>
      </c>
    </row>
    <row r="5065" ht="14.25" customHeight="1">
      <c r="A5065" s="2" t="s">
        <v>311</v>
      </c>
      <c r="B5065" s="2" t="s">
        <v>312</v>
      </c>
      <c r="C5065" s="2">
        <v>2002.0</v>
      </c>
      <c r="D5065" s="9">
        <v>9426.237</v>
      </c>
      <c r="E5065" s="10" t="str">
        <f t="array" ref="E5065">IFS(D5065&lt;=$G$3,'calculated data '!$A$3,D5065&lt;=$G$4,'calculated data '!$A$4,D5065&lt;=$G$6,'calculated data '!$A$5,D5065&gt;=$G$6,'calculated data '!$A$6)</f>
        <v>Target Market (Core IQR)</v>
      </c>
      <c r="F5065" s="10">
        <f t="shared" si="1"/>
        <v>-0.4136613292</v>
      </c>
    </row>
    <row r="5066" ht="14.25" customHeight="1">
      <c r="A5066" s="2" t="s">
        <v>333</v>
      </c>
      <c r="B5066" s="2" t="s">
        <v>334</v>
      </c>
      <c r="C5066" s="2">
        <v>2023.0</v>
      </c>
      <c r="D5066" s="9">
        <v>9430.404</v>
      </c>
      <c r="E5066" s="10" t="str">
        <f t="array" ref="E5066">IFS(D5066&lt;=$G$3,'calculated data '!$A$3,D5066&lt;=$G$4,'calculated data '!$A$4,D5066&lt;=$G$6,'calculated data '!$A$5,D5066&gt;=$G$6,'calculated data '!$A$6)</f>
        <v>Target Market (Core IQR)</v>
      </c>
      <c r="F5066" s="10">
        <f t="shared" si="1"/>
        <v>-0.4135510298</v>
      </c>
    </row>
    <row r="5067" ht="14.25" customHeight="1">
      <c r="A5067" s="2" t="s">
        <v>257</v>
      </c>
      <c r="B5067" s="2" t="s">
        <v>258</v>
      </c>
      <c r="C5067" s="2">
        <v>1975.0</v>
      </c>
      <c r="D5067" s="9">
        <v>9435.188</v>
      </c>
      <c r="E5067" s="10" t="str">
        <f t="array" ref="E5067">IFS(D5067&lt;=$G$3,'calculated data '!$A$3,D5067&lt;=$G$4,'calculated data '!$A$4,D5067&lt;=$G$6,'calculated data '!$A$5,D5067&gt;=$G$6,'calculated data '!$A$6)</f>
        <v>Target Market (Core IQR)</v>
      </c>
      <c r="F5067" s="10">
        <f t="shared" si="1"/>
        <v>-0.4134243985</v>
      </c>
    </row>
    <row r="5068" ht="14.25" customHeight="1">
      <c r="A5068" s="2" t="s">
        <v>261</v>
      </c>
      <c r="B5068" s="2" t="s">
        <v>262</v>
      </c>
      <c r="C5068" s="2">
        <v>2018.0</v>
      </c>
      <c r="D5068" s="9">
        <v>9442.009</v>
      </c>
      <c r="E5068" s="10" t="str">
        <f t="array" ref="E5068">IFS(D5068&lt;=$G$3,'calculated data '!$A$3,D5068&lt;=$G$4,'calculated data '!$A$4,D5068&lt;=$G$6,'calculated data '!$A$5,D5068&gt;=$G$6,'calculated data '!$A$6)</f>
        <v>Target Market (Core IQR)</v>
      </c>
      <c r="F5068" s="10">
        <f t="shared" si="1"/>
        <v>-0.4132438483</v>
      </c>
    </row>
    <row r="5069" ht="14.25" customHeight="1">
      <c r="A5069" s="2" t="s">
        <v>281</v>
      </c>
      <c r="B5069" s="2" t="s">
        <v>282</v>
      </c>
      <c r="C5069" s="2">
        <v>2017.0</v>
      </c>
      <c r="D5069" s="9">
        <v>9443.646</v>
      </c>
      <c r="E5069" s="10" t="str">
        <f t="array" ref="E5069">IFS(D5069&lt;=$G$3,'calculated data '!$A$3,D5069&lt;=$G$4,'calculated data '!$A$4,D5069&lt;=$G$6,'calculated data '!$A$5,D5069&gt;=$G$6,'calculated data '!$A$6)</f>
        <v>Target Market (Core IQR)</v>
      </c>
      <c r="F5069" s="10">
        <f t="shared" si="1"/>
        <v>-0.4132005173</v>
      </c>
    </row>
    <row r="5070" ht="14.25" customHeight="1">
      <c r="A5070" s="2" t="s">
        <v>205</v>
      </c>
      <c r="B5070" s="2" t="s">
        <v>206</v>
      </c>
      <c r="C5070" s="2">
        <v>2019.0</v>
      </c>
      <c r="D5070" s="9">
        <v>9452.792</v>
      </c>
      <c r="E5070" s="10" t="str">
        <f t="array" ref="E5070">IFS(D5070&lt;=$G$3,'calculated data '!$A$3,D5070&lt;=$G$4,'calculated data '!$A$4,D5070&lt;=$G$6,'calculated data '!$A$5,D5070&gt;=$G$6,'calculated data '!$A$6)</f>
        <v>Target Market (Core IQR)</v>
      </c>
      <c r="F5070" s="10">
        <f t="shared" si="1"/>
        <v>-0.412958425</v>
      </c>
    </row>
    <row r="5071" ht="14.25" customHeight="1">
      <c r="A5071" s="2" t="s">
        <v>315</v>
      </c>
      <c r="B5071" s="2" t="s">
        <v>316</v>
      </c>
      <c r="C5071" s="2">
        <v>2003.0</v>
      </c>
      <c r="D5071" s="9">
        <v>9454.323</v>
      </c>
      <c r="E5071" s="10" t="str">
        <f t="array" ref="E5071">IFS(D5071&lt;=$G$3,'calculated data '!$A$3,D5071&lt;=$G$4,'calculated data '!$A$4,D5071&lt;=$G$6,'calculated data '!$A$5,D5071&gt;=$G$6,'calculated data '!$A$6)</f>
        <v>Target Market (Core IQR)</v>
      </c>
      <c r="F5071" s="10">
        <f t="shared" si="1"/>
        <v>-0.4129178998</v>
      </c>
    </row>
    <row r="5072" ht="14.25" customHeight="1">
      <c r="A5072" s="2" t="s">
        <v>315</v>
      </c>
      <c r="B5072" s="2" t="s">
        <v>316</v>
      </c>
      <c r="C5072" s="2">
        <v>2007.0</v>
      </c>
      <c r="D5072" s="9">
        <v>9459.463</v>
      </c>
      <c r="E5072" s="10" t="str">
        <f t="array" ref="E5072">IFS(D5072&lt;=$G$3,'calculated data '!$A$3,D5072&lt;=$G$4,'calculated data '!$A$4,D5072&lt;=$G$6,'calculated data '!$A$5,D5072&gt;=$G$6,'calculated data '!$A$6)</f>
        <v>Target Market (Core IQR)</v>
      </c>
      <c r="F5072" s="10">
        <f t="shared" si="1"/>
        <v>-0.4127818453</v>
      </c>
    </row>
    <row r="5073" ht="14.25" customHeight="1">
      <c r="A5073" s="2" t="s">
        <v>183</v>
      </c>
      <c r="B5073" s="2" t="s">
        <v>184</v>
      </c>
      <c r="C5073" s="2">
        <v>2011.0</v>
      </c>
      <c r="D5073" s="9">
        <v>9461.125</v>
      </c>
      <c r="E5073" s="10" t="str">
        <f t="array" ref="E5073">IFS(D5073&lt;=$G$3,'calculated data '!$A$3,D5073&lt;=$G$4,'calculated data '!$A$4,D5073&lt;=$G$6,'calculated data '!$A$5,D5073&gt;=$G$6,'calculated data '!$A$6)</f>
        <v>Target Market (Core IQR)</v>
      </c>
      <c r="F5073" s="10">
        <f t="shared" si="1"/>
        <v>-0.4127378526</v>
      </c>
    </row>
    <row r="5074" ht="14.25" customHeight="1">
      <c r="A5074" s="2" t="s">
        <v>277</v>
      </c>
      <c r="B5074" s="2" t="s">
        <v>278</v>
      </c>
      <c r="C5074" s="2">
        <v>1999.0</v>
      </c>
      <c r="D5074" s="9">
        <v>9462.822</v>
      </c>
      <c r="E5074" s="10" t="str">
        <f t="array" ref="E5074">IFS(D5074&lt;=$G$3,'calculated data '!$A$3,D5074&lt;=$G$4,'calculated data '!$A$4,D5074&lt;=$G$6,'calculated data '!$A$5,D5074&gt;=$G$6,'calculated data '!$A$6)</f>
        <v>Target Market (Core IQR)</v>
      </c>
      <c r="F5074" s="10">
        <f t="shared" si="1"/>
        <v>-0.4126929334</v>
      </c>
    </row>
    <row r="5075" ht="14.25" customHeight="1">
      <c r="A5075" s="2" t="s">
        <v>329</v>
      </c>
      <c r="B5075" s="2" t="s">
        <v>330</v>
      </c>
      <c r="C5075" s="2">
        <v>1988.0</v>
      </c>
      <c r="D5075" s="9">
        <v>9468.171</v>
      </c>
      <c r="E5075" s="10" t="str">
        <f t="array" ref="E5075">IFS(D5075&lt;=$G$3,'calculated data '!$A$3,D5075&lt;=$G$4,'calculated data '!$A$4,D5075&lt;=$G$6,'calculated data '!$A$5,D5075&gt;=$G$6,'calculated data '!$A$6)</f>
        <v>Target Market (Core IQR)</v>
      </c>
      <c r="F5075" s="10">
        <f t="shared" si="1"/>
        <v>-0.4125513467</v>
      </c>
    </row>
    <row r="5076" ht="14.25" customHeight="1">
      <c r="A5076" s="2" t="s">
        <v>133</v>
      </c>
      <c r="B5076" s="2" t="s">
        <v>134</v>
      </c>
      <c r="C5076" s="2">
        <v>2018.0</v>
      </c>
      <c r="D5076" s="9">
        <v>9469.361</v>
      </c>
      <c r="E5076" s="10" t="str">
        <f t="array" ref="E5076">IFS(D5076&lt;=$G$3,'calculated data '!$A$3,D5076&lt;=$G$4,'calculated data '!$A$4,D5076&lt;=$G$6,'calculated data '!$A$5,D5076&gt;=$G$6,'calculated data '!$A$6)</f>
        <v>Target Market (Core IQR)</v>
      </c>
      <c r="F5076" s="10">
        <f t="shared" si="1"/>
        <v>-0.4125198477</v>
      </c>
    </row>
    <row r="5077" ht="14.25" customHeight="1">
      <c r="A5077" s="2" t="s">
        <v>263</v>
      </c>
      <c r="B5077" s="2" t="s">
        <v>264</v>
      </c>
      <c r="C5077" s="2">
        <v>2001.0</v>
      </c>
      <c r="D5077" s="9">
        <v>9479.191</v>
      </c>
      <c r="E5077" s="10" t="str">
        <f t="array" ref="E5077">IFS(D5077&lt;=$G$3,'calculated data '!$A$3,D5077&lt;=$G$4,'calculated data '!$A$4,D5077&lt;=$G$6,'calculated data '!$A$5,D5077&gt;=$G$6,'calculated data '!$A$6)</f>
        <v>Target Market (Core IQR)</v>
      </c>
      <c r="F5077" s="10">
        <f t="shared" si="1"/>
        <v>-0.41225965</v>
      </c>
    </row>
    <row r="5078" ht="14.25" customHeight="1">
      <c r="A5078" s="2" t="s">
        <v>279</v>
      </c>
      <c r="B5078" s="2" t="s">
        <v>280</v>
      </c>
      <c r="C5078" s="2">
        <v>1974.0</v>
      </c>
      <c r="D5078" s="9">
        <v>9480.962</v>
      </c>
      <c r="E5078" s="10" t="str">
        <f t="array" ref="E5078">IFS(D5078&lt;=$G$3,'calculated data '!$A$3,D5078&lt;=$G$4,'calculated data '!$A$4,D5078&lt;=$G$6,'calculated data '!$A$5,D5078&gt;=$G$6,'calculated data '!$A$6)</f>
        <v>Target Market (Core IQR)</v>
      </c>
      <c r="F5078" s="10">
        <f t="shared" si="1"/>
        <v>-0.4122127721</v>
      </c>
    </row>
    <row r="5079" ht="14.25" customHeight="1">
      <c r="A5079" s="2" t="s">
        <v>207</v>
      </c>
      <c r="B5079" s="2" t="s">
        <v>208</v>
      </c>
      <c r="C5079" s="2">
        <v>1980.0</v>
      </c>
      <c r="D5079" s="9">
        <v>9493.112</v>
      </c>
      <c r="E5079" s="10" t="str">
        <f t="array" ref="E5079">IFS(D5079&lt;=$G$3,'calculated data '!$A$3,D5079&lt;=$G$4,'calculated data '!$A$4,D5079&lt;=$G$6,'calculated data '!$A$5,D5079&gt;=$G$6,'calculated data '!$A$6)</f>
        <v>Target Market (Core IQR)</v>
      </c>
      <c r="F5079" s="10">
        <f t="shared" si="1"/>
        <v>-0.4118911646</v>
      </c>
    </row>
    <row r="5080" ht="14.25" customHeight="1">
      <c r="A5080" s="2" t="s">
        <v>205</v>
      </c>
      <c r="B5080" s="2" t="s">
        <v>206</v>
      </c>
      <c r="C5080" s="2">
        <v>2022.0</v>
      </c>
      <c r="D5080" s="9">
        <v>9493.542</v>
      </c>
      <c r="E5080" s="10" t="str">
        <f t="array" ref="E5080">IFS(D5080&lt;=$G$3,'calculated data '!$A$3,D5080&lt;=$G$4,'calculated data '!$A$4,D5080&lt;=$G$6,'calculated data '!$A$5,D5080&gt;=$G$6,'calculated data '!$A$6)</f>
        <v>Target Market (Core IQR)</v>
      </c>
      <c r="F5080" s="10">
        <f t="shared" si="1"/>
        <v>-0.4118797826</v>
      </c>
    </row>
    <row r="5081" ht="14.25" customHeight="1">
      <c r="A5081" s="2" t="s">
        <v>333</v>
      </c>
      <c r="B5081" s="2" t="s">
        <v>334</v>
      </c>
      <c r="C5081" s="2">
        <v>2021.0</v>
      </c>
      <c r="D5081" s="9">
        <v>9497.252</v>
      </c>
      <c r="E5081" s="10" t="str">
        <f t="array" ref="E5081">IFS(D5081&lt;=$G$3,'calculated data '!$A$3,D5081&lt;=$G$4,'calculated data '!$A$4,D5081&lt;=$G$6,'calculated data '!$A$5,D5081&gt;=$G$6,'calculated data '!$A$6)</f>
        <v>Target Market (Core IQR)</v>
      </c>
      <c r="F5081" s="10">
        <f t="shared" si="1"/>
        <v>-0.4117815799</v>
      </c>
    </row>
    <row r="5082" ht="14.25" customHeight="1">
      <c r="A5082" s="2" t="s">
        <v>317</v>
      </c>
      <c r="B5082" s="2" t="s">
        <v>318</v>
      </c>
      <c r="C5082" s="2">
        <v>1972.0</v>
      </c>
      <c r="D5082" s="9">
        <v>9501.6</v>
      </c>
      <c r="E5082" s="10" t="str">
        <f t="array" ref="E5082">IFS(D5082&lt;=$G$3,'calculated data '!$A$3,D5082&lt;=$G$4,'calculated data '!$A$4,D5082&lt;=$G$6,'calculated data '!$A$5,D5082&gt;=$G$6,'calculated data '!$A$6)</f>
        <v>Target Market (Core IQR)</v>
      </c>
      <c r="F5082" s="10">
        <f t="shared" si="1"/>
        <v>-0.4116664894</v>
      </c>
    </row>
    <row r="5083" ht="14.25" customHeight="1">
      <c r="A5083" s="2" t="s">
        <v>329</v>
      </c>
      <c r="B5083" s="2" t="s">
        <v>330</v>
      </c>
      <c r="C5083" s="2">
        <v>1986.0</v>
      </c>
      <c r="D5083" s="9">
        <v>9505.607</v>
      </c>
      <c r="E5083" s="10" t="str">
        <f t="array" ref="E5083">IFS(D5083&lt;=$G$3,'calculated data '!$A$3,D5083&lt;=$G$4,'calculated data '!$A$4,D5083&lt;=$G$6,'calculated data '!$A$5,D5083&gt;=$G$6,'calculated data '!$A$6)</f>
        <v>Target Market (Core IQR)</v>
      </c>
      <c r="F5083" s="10">
        <f t="shared" si="1"/>
        <v>-0.4115604251</v>
      </c>
    </row>
    <row r="5084" ht="14.25" customHeight="1">
      <c r="A5084" s="2" t="s">
        <v>231</v>
      </c>
      <c r="B5084" s="2" t="s">
        <v>232</v>
      </c>
      <c r="C5084" s="2">
        <v>1992.0</v>
      </c>
      <c r="D5084" s="9">
        <v>9506.514</v>
      </c>
      <c r="E5084" s="10" t="str">
        <f t="array" ref="E5084">IFS(D5084&lt;=$G$3,'calculated data '!$A$3,D5084&lt;=$G$4,'calculated data '!$A$4,D5084&lt;=$G$6,'calculated data '!$A$5,D5084&gt;=$G$6,'calculated data '!$A$6)</f>
        <v>Target Market (Core IQR)</v>
      </c>
      <c r="F5084" s="10">
        <f t="shared" si="1"/>
        <v>-0.411536417</v>
      </c>
    </row>
    <row r="5085" ht="14.25" customHeight="1">
      <c r="A5085" s="2" t="s">
        <v>205</v>
      </c>
      <c r="B5085" s="2" t="s">
        <v>206</v>
      </c>
      <c r="C5085" s="2">
        <v>2015.0</v>
      </c>
      <c r="D5085" s="9">
        <v>9523.764</v>
      </c>
      <c r="E5085" s="10" t="str">
        <f t="array" ref="E5085">IFS(D5085&lt;=$G$3,'calculated data '!$A$3,D5085&lt;=$G$4,'calculated data '!$A$4,D5085&lt;=$G$6,'calculated data '!$A$5,D5085&gt;=$G$6,'calculated data '!$A$6)</f>
        <v>Target Market (Core IQR)</v>
      </c>
      <c r="F5085" s="10">
        <f t="shared" si="1"/>
        <v>-0.4110798138</v>
      </c>
    </row>
    <row r="5086" ht="14.25" customHeight="1">
      <c r="A5086" s="2" t="s">
        <v>263</v>
      </c>
      <c r="B5086" s="2" t="s">
        <v>264</v>
      </c>
      <c r="C5086" s="2">
        <v>2016.0</v>
      </c>
      <c r="D5086" s="9">
        <v>9531.96</v>
      </c>
      <c r="E5086" s="10" t="str">
        <f t="array" ref="E5086">IFS(D5086&lt;=$G$3,'calculated data '!$A$3,D5086&lt;=$G$4,'calculated data '!$A$4,D5086&lt;=$G$6,'calculated data '!$A$5,D5086&gt;=$G$6,'calculated data '!$A$6)</f>
        <v>Target Market (Core IQR)</v>
      </c>
      <c r="F5086" s="10">
        <f t="shared" si="1"/>
        <v>-0.4108628678</v>
      </c>
    </row>
    <row r="5087" ht="14.25" customHeight="1">
      <c r="A5087" s="2" t="s">
        <v>303</v>
      </c>
      <c r="B5087" s="2" t="s">
        <v>304</v>
      </c>
      <c r="C5087" s="2">
        <v>2008.0</v>
      </c>
      <c r="D5087" s="9">
        <v>9536.326</v>
      </c>
      <c r="E5087" s="10" t="str">
        <f t="array" ref="E5087">IFS(D5087&lt;=$G$3,'calculated data '!$A$3,D5087&lt;=$G$4,'calculated data '!$A$4,D5087&lt;=$G$6,'calculated data '!$A$5,D5087&gt;=$G$6,'calculated data '!$A$6)</f>
        <v>Target Market (Core IQR)</v>
      </c>
      <c r="F5087" s="10">
        <f t="shared" si="1"/>
        <v>-0.4107473008</v>
      </c>
    </row>
    <row r="5088" ht="14.25" customHeight="1">
      <c r="A5088" s="2" t="s">
        <v>249</v>
      </c>
      <c r="B5088" s="2" t="s">
        <v>250</v>
      </c>
      <c r="C5088" s="2">
        <v>1980.0</v>
      </c>
      <c r="D5088" s="9">
        <v>9539.488</v>
      </c>
      <c r="E5088" s="10" t="str">
        <f t="array" ref="E5088">IFS(D5088&lt;=$G$3,'calculated data '!$A$3,D5088&lt;=$G$4,'calculated data '!$A$4,D5088&lt;=$G$6,'calculated data '!$A$5,D5088&gt;=$G$6,'calculated data '!$A$6)</f>
        <v>Target Market (Core IQR)</v>
      </c>
      <c r="F5088" s="10">
        <f t="shared" si="1"/>
        <v>-0.4106636035</v>
      </c>
    </row>
    <row r="5089" ht="14.25" customHeight="1">
      <c r="A5089" s="2" t="s">
        <v>265</v>
      </c>
      <c r="B5089" s="2" t="s">
        <v>266</v>
      </c>
      <c r="C5089" s="2">
        <v>1997.0</v>
      </c>
      <c r="D5089" s="9">
        <v>9539.862</v>
      </c>
      <c r="E5089" s="10" t="str">
        <f t="array" ref="E5089">IFS(D5089&lt;=$G$3,'calculated data '!$A$3,D5089&lt;=$G$4,'calculated data '!$A$4,D5089&lt;=$G$6,'calculated data '!$A$5,D5089&gt;=$G$6,'calculated data '!$A$6)</f>
        <v>Target Market (Core IQR)</v>
      </c>
      <c r="F5089" s="10">
        <f t="shared" si="1"/>
        <v>-0.4106537038</v>
      </c>
    </row>
    <row r="5090" ht="14.25" customHeight="1">
      <c r="A5090" s="2" t="s">
        <v>289</v>
      </c>
      <c r="B5090" s="2" t="s">
        <v>290</v>
      </c>
      <c r="C5090" s="2">
        <v>2003.0</v>
      </c>
      <c r="D5090" s="9">
        <v>9540.336</v>
      </c>
      <c r="E5090" s="10" t="str">
        <f t="array" ref="E5090">IFS(D5090&lt;=$G$3,'calculated data '!$A$3,D5090&lt;=$G$4,'calculated data '!$A$4,D5090&lt;=$G$6,'calculated data '!$A$5,D5090&gt;=$G$6,'calculated data '!$A$6)</f>
        <v>Target Market (Core IQR)</v>
      </c>
      <c r="F5090" s="10">
        <f t="shared" si="1"/>
        <v>-0.4106411571</v>
      </c>
    </row>
    <row r="5091" ht="14.25" customHeight="1">
      <c r="A5091" s="2" t="s">
        <v>249</v>
      </c>
      <c r="B5091" s="2" t="s">
        <v>250</v>
      </c>
      <c r="C5091" s="2">
        <v>1981.0</v>
      </c>
      <c r="D5091" s="9">
        <v>9540.554</v>
      </c>
      <c r="E5091" s="10" t="str">
        <f t="array" ref="E5091">IFS(D5091&lt;=$G$3,'calculated data '!$A$3,D5091&lt;=$G$4,'calculated data '!$A$4,D5091&lt;=$G$6,'calculated data '!$A$5,D5091&gt;=$G$6,'calculated data '!$A$6)</f>
        <v>Target Market (Core IQR)</v>
      </c>
      <c r="F5091" s="10">
        <f t="shared" si="1"/>
        <v>-0.4106353867</v>
      </c>
    </row>
    <row r="5092" ht="14.25" customHeight="1">
      <c r="A5092" s="2" t="s">
        <v>289</v>
      </c>
      <c r="B5092" s="2" t="s">
        <v>290</v>
      </c>
      <c r="C5092" s="2">
        <v>2014.0</v>
      </c>
      <c r="D5092" s="9">
        <v>9543.288</v>
      </c>
      <c r="E5092" s="10" t="str">
        <f t="array" ref="E5092">IFS(D5092&lt;=$G$3,'calculated data '!$A$3,D5092&lt;=$G$4,'calculated data '!$A$4,D5092&lt;=$G$6,'calculated data '!$A$5,D5092&gt;=$G$6,'calculated data '!$A$6)</f>
        <v>Target Market (Core IQR)</v>
      </c>
      <c r="F5092" s="10">
        <f t="shared" si="1"/>
        <v>-0.4105630184</v>
      </c>
    </row>
    <row r="5093" ht="14.25" customHeight="1">
      <c r="A5093" s="2" t="s">
        <v>205</v>
      </c>
      <c r="B5093" s="2" t="s">
        <v>206</v>
      </c>
      <c r="C5093" s="2">
        <v>2009.0</v>
      </c>
      <c r="D5093" s="9">
        <v>9544.026</v>
      </c>
      <c r="E5093" s="10" t="str">
        <f t="array" ref="E5093">IFS(D5093&lt;=$G$3,'calculated data '!$A$3,D5093&lt;=$G$4,'calculated data '!$A$4,D5093&lt;=$G$6,'calculated data '!$A$5,D5093&gt;=$G$6,'calculated data '!$A$6)</f>
        <v>Target Market (Core IQR)</v>
      </c>
      <c r="F5093" s="10">
        <f t="shared" si="1"/>
        <v>-0.4105434837</v>
      </c>
    </row>
    <row r="5094" ht="14.25" customHeight="1">
      <c r="A5094" s="2" t="s">
        <v>329</v>
      </c>
      <c r="B5094" s="2" t="s">
        <v>330</v>
      </c>
      <c r="C5094" s="2">
        <v>1980.0</v>
      </c>
      <c r="D5094" s="9">
        <v>9551.485</v>
      </c>
      <c r="E5094" s="10" t="str">
        <f t="array" ref="E5094">IFS(D5094&lt;=$G$3,'calculated data '!$A$3,D5094&lt;=$G$4,'calculated data '!$A$4,D5094&lt;=$G$6,'calculated data '!$A$5,D5094&gt;=$G$6,'calculated data '!$A$6)</f>
        <v>Target Market (Core IQR)</v>
      </c>
      <c r="F5094" s="10">
        <f t="shared" si="1"/>
        <v>-0.4103460459</v>
      </c>
    </row>
    <row r="5095" ht="14.25" customHeight="1">
      <c r="A5095" s="2" t="s">
        <v>329</v>
      </c>
      <c r="B5095" s="2" t="s">
        <v>330</v>
      </c>
      <c r="C5095" s="2">
        <v>1989.0</v>
      </c>
      <c r="D5095" s="9">
        <v>9567.481</v>
      </c>
      <c r="E5095" s="10" t="str">
        <f t="array" ref="E5095">IFS(D5095&lt;=$G$3,'calculated data '!$A$3,D5095&lt;=$G$4,'calculated data '!$A$4,D5095&lt;=$G$6,'calculated data '!$A$5,D5095&gt;=$G$6,'calculated data '!$A$6)</f>
        <v>Target Market (Core IQR)</v>
      </c>
      <c r="F5095" s="10">
        <f t="shared" si="1"/>
        <v>-0.4099226357</v>
      </c>
    </row>
    <row r="5096" ht="14.25" customHeight="1">
      <c r="A5096" s="2" t="s">
        <v>259</v>
      </c>
      <c r="B5096" s="2" t="s">
        <v>260</v>
      </c>
      <c r="C5096" s="2">
        <v>2006.0</v>
      </c>
      <c r="D5096" s="9">
        <v>9568.378</v>
      </c>
      <c r="E5096" s="10" t="str">
        <f t="array" ref="E5096">IFS(D5096&lt;=$G$3,'calculated data '!$A$3,D5096&lt;=$G$4,'calculated data '!$A$4,D5096&lt;=$G$6,'calculated data '!$A$5,D5096&gt;=$G$6,'calculated data '!$A$6)</f>
        <v>Target Market (Core IQR)</v>
      </c>
      <c r="F5096" s="10">
        <f t="shared" si="1"/>
        <v>-0.4098988924</v>
      </c>
    </row>
    <row r="5097" ht="14.25" customHeight="1">
      <c r="A5097" s="2" t="s">
        <v>251</v>
      </c>
      <c r="B5097" s="2" t="s">
        <v>252</v>
      </c>
      <c r="C5097" s="2">
        <v>1981.0</v>
      </c>
      <c r="D5097" s="9">
        <v>9579.985</v>
      </c>
      <c r="E5097" s="10" t="str">
        <f t="array" ref="E5097">IFS(D5097&lt;=$G$3,'calculated data '!$A$3,D5097&lt;=$G$4,'calculated data '!$A$4,D5097&lt;=$G$6,'calculated data '!$A$5,D5097&gt;=$G$6,'calculated data '!$A$6)</f>
        <v>Target Market (Core IQR)</v>
      </c>
      <c r="F5097" s="10">
        <f t="shared" si="1"/>
        <v>-0.409591658</v>
      </c>
    </row>
    <row r="5098" ht="14.25" customHeight="1">
      <c r="A5098" s="2" t="s">
        <v>231</v>
      </c>
      <c r="B5098" s="2" t="s">
        <v>232</v>
      </c>
      <c r="C5098" s="2">
        <v>1994.0</v>
      </c>
      <c r="D5098" s="9">
        <v>9581.315</v>
      </c>
      <c r="E5098" s="10" t="str">
        <f t="array" ref="E5098">IFS(D5098&lt;=$G$3,'calculated data '!$A$3,D5098&lt;=$G$4,'calculated data '!$A$4,D5098&lt;=$G$6,'calculated data '!$A$5,D5098&gt;=$G$6,'calculated data '!$A$6)</f>
        <v>Target Market (Core IQR)</v>
      </c>
      <c r="F5098" s="10">
        <f t="shared" si="1"/>
        <v>-0.4095564532</v>
      </c>
    </row>
    <row r="5099" ht="14.25" customHeight="1">
      <c r="A5099" s="2" t="s">
        <v>325</v>
      </c>
      <c r="B5099" s="2" t="s">
        <v>326</v>
      </c>
      <c r="C5099" s="2">
        <v>1994.0</v>
      </c>
      <c r="D5099" s="9">
        <v>9587.113</v>
      </c>
      <c r="E5099" s="10" t="str">
        <f t="array" ref="E5099">IFS(D5099&lt;=$G$3,'calculated data '!$A$3,D5099&lt;=$G$4,'calculated data '!$A$4,D5099&lt;=$G$6,'calculated data '!$A$5,D5099&gt;=$G$6,'calculated data '!$A$6)</f>
        <v>Target Market (Core IQR)</v>
      </c>
      <c r="F5099" s="10">
        <f t="shared" si="1"/>
        <v>-0.4094029816</v>
      </c>
    </row>
    <row r="5100" ht="14.25" customHeight="1">
      <c r="A5100" s="2" t="s">
        <v>317</v>
      </c>
      <c r="B5100" s="2" t="s">
        <v>318</v>
      </c>
      <c r="C5100" s="2">
        <v>1998.0</v>
      </c>
      <c r="D5100" s="9">
        <v>9587.85</v>
      </c>
      <c r="E5100" s="10" t="str">
        <f t="array" ref="E5100">IFS(D5100&lt;=$G$3,'calculated data '!$A$3,D5100&lt;=$G$4,'calculated data '!$A$4,D5100&lt;=$G$6,'calculated data '!$A$5,D5100&gt;=$G$6,'calculated data '!$A$6)</f>
        <v>Target Market (Core IQR)</v>
      </c>
      <c r="F5100" s="10">
        <f t="shared" si="1"/>
        <v>-0.4093834734</v>
      </c>
    </row>
    <row r="5101" ht="14.25" customHeight="1">
      <c r="A5101" s="2" t="s">
        <v>277</v>
      </c>
      <c r="B5101" s="2" t="s">
        <v>278</v>
      </c>
      <c r="C5101" s="2">
        <v>1998.0</v>
      </c>
      <c r="D5101" s="9">
        <v>9593.313</v>
      </c>
      <c r="E5101" s="10" t="str">
        <f t="array" ref="E5101">IFS(D5101&lt;=$G$3,'calculated data '!$A$3,D5101&lt;=$G$4,'calculated data '!$A$4,D5101&lt;=$G$6,'calculated data '!$A$5,D5101&gt;=$G$6,'calculated data '!$A$6)</f>
        <v>Target Market (Core IQR)</v>
      </c>
      <c r="F5101" s="10">
        <f t="shared" si="1"/>
        <v>-0.4092388691</v>
      </c>
    </row>
    <row r="5102" ht="14.25" customHeight="1">
      <c r="A5102" s="2" t="s">
        <v>281</v>
      </c>
      <c r="B5102" s="2" t="s">
        <v>282</v>
      </c>
      <c r="C5102" s="2">
        <v>2018.0</v>
      </c>
      <c r="D5102" s="9">
        <v>9594.761</v>
      </c>
      <c r="E5102" s="10" t="str">
        <f t="array" ref="E5102">IFS(D5102&lt;=$G$3,'calculated data '!$A$3,D5102&lt;=$G$4,'calculated data '!$A$4,D5102&lt;=$G$6,'calculated data '!$A$5,D5102&gt;=$G$6,'calculated data '!$A$6)</f>
        <v>Target Market (Core IQR)</v>
      </c>
      <c r="F5102" s="10">
        <f t="shared" si="1"/>
        <v>-0.4092005409</v>
      </c>
    </row>
    <row r="5103" ht="14.25" customHeight="1">
      <c r="A5103" s="2" t="s">
        <v>275</v>
      </c>
      <c r="B5103" s="2" t="s">
        <v>276</v>
      </c>
      <c r="C5103" s="2">
        <v>2018.0</v>
      </c>
      <c r="D5103" s="9">
        <v>9598.905</v>
      </c>
      <c r="E5103" s="10" t="str">
        <f t="array" ref="E5103">IFS(D5103&lt;=$G$3,'calculated data '!$A$3,D5103&lt;=$G$4,'calculated data '!$A$4,D5103&lt;=$G$6,'calculated data '!$A$5,D5103&gt;=$G$6,'calculated data '!$A$6)</f>
        <v>Target Market (Core IQR)</v>
      </c>
      <c r="F5103" s="10">
        <f t="shared" si="1"/>
        <v>-0.4090908503</v>
      </c>
    </row>
    <row r="5104" ht="14.25" customHeight="1">
      <c r="A5104" s="2" t="s">
        <v>205</v>
      </c>
      <c r="B5104" s="2" t="s">
        <v>206</v>
      </c>
      <c r="C5104" s="2">
        <v>2014.0</v>
      </c>
      <c r="D5104" s="9">
        <v>9605.164</v>
      </c>
      <c r="E5104" s="10" t="str">
        <f t="array" ref="E5104">IFS(D5104&lt;=$G$3,'calculated data '!$A$3,D5104&lt;=$G$4,'calculated data '!$A$4,D5104&lt;=$G$6,'calculated data '!$A$5,D5104&gt;=$G$6,'calculated data '!$A$6)</f>
        <v>Target Market (Core IQR)</v>
      </c>
      <c r="F5104" s="10">
        <f t="shared" si="1"/>
        <v>-0.4089251761</v>
      </c>
    </row>
    <row r="5105" ht="14.25" customHeight="1">
      <c r="A5105" s="2" t="s">
        <v>305</v>
      </c>
      <c r="B5105" s="2" t="s">
        <v>306</v>
      </c>
      <c r="C5105" s="2">
        <v>1988.0</v>
      </c>
      <c r="D5105" s="9">
        <v>9606.855</v>
      </c>
      <c r="E5105" s="10" t="str">
        <f t="array" ref="E5105">IFS(D5105&lt;=$G$3,'calculated data '!$A$3,D5105&lt;=$G$4,'calculated data '!$A$4,D5105&lt;=$G$6,'calculated data '!$A$5,D5105&gt;=$G$6,'calculated data '!$A$6)</f>
        <v>Target Market (Core IQR)</v>
      </c>
      <c r="F5105" s="10">
        <f t="shared" si="1"/>
        <v>-0.4088804158</v>
      </c>
    </row>
    <row r="5106" ht="14.25" customHeight="1">
      <c r="A5106" s="2" t="s">
        <v>229</v>
      </c>
      <c r="B5106" s="2" t="s">
        <v>230</v>
      </c>
      <c r="C5106" s="2">
        <v>2000.0</v>
      </c>
      <c r="D5106" s="9">
        <v>9611.921</v>
      </c>
      <c r="E5106" s="10" t="str">
        <f t="array" ref="E5106">IFS(D5106&lt;=$G$3,'calculated data '!$A$3,D5106&lt;=$G$4,'calculated data '!$A$4,D5106&lt;=$G$6,'calculated data '!$A$5,D5106&gt;=$G$6,'calculated data '!$A$6)</f>
        <v>Target Market (Core IQR)</v>
      </c>
      <c r="F5106" s="10">
        <f t="shared" si="1"/>
        <v>-0.40874632</v>
      </c>
    </row>
    <row r="5107" ht="14.25" customHeight="1">
      <c r="A5107" s="2" t="s">
        <v>227</v>
      </c>
      <c r="B5107" s="2" t="s">
        <v>228</v>
      </c>
      <c r="C5107" s="2">
        <v>1997.0</v>
      </c>
      <c r="D5107" s="9">
        <v>9616.288</v>
      </c>
      <c r="E5107" s="10" t="str">
        <f t="array" ref="E5107">IFS(D5107&lt;=$G$3,'calculated data '!$A$3,D5107&lt;=$G$4,'calculated data '!$A$4,D5107&lt;=$G$6,'calculated data '!$A$5,D5107&gt;=$G$6,'calculated data '!$A$6)</f>
        <v>Target Market (Core IQR)</v>
      </c>
      <c r="F5107" s="10">
        <f t="shared" si="1"/>
        <v>-0.4086307266</v>
      </c>
    </row>
    <row r="5108" ht="14.25" customHeight="1">
      <c r="A5108" s="2" t="s">
        <v>317</v>
      </c>
      <c r="B5108" s="2" t="s">
        <v>318</v>
      </c>
      <c r="C5108" s="2">
        <v>1996.0</v>
      </c>
      <c r="D5108" s="9">
        <v>9619.94</v>
      </c>
      <c r="E5108" s="10" t="str">
        <f t="array" ref="E5108">IFS(D5108&lt;=$G$3,'calculated data '!$A$3,D5108&lt;=$G$4,'calculated data '!$A$4,D5108&lt;=$G$6,'calculated data '!$A$5,D5108&gt;=$G$6,'calculated data '!$A$6)</f>
        <v>Target Market (Core IQR)</v>
      </c>
      <c r="F5108" s="10">
        <f t="shared" si="1"/>
        <v>-0.4085340591</v>
      </c>
    </row>
    <row r="5109" ht="14.25" customHeight="1">
      <c r="A5109" s="2" t="s">
        <v>313</v>
      </c>
      <c r="B5109" s="2" t="s">
        <v>314</v>
      </c>
      <c r="C5109" s="2">
        <v>1989.0</v>
      </c>
      <c r="D5109" s="9">
        <v>9620.713</v>
      </c>
      <c r="E5109" s="10" t="str">
        <f t="array" ref="E5109">IFS(D5109&lt;=$G$3,'calculated data '!$A$3,D5109&lt;=$G$4,'calculated data '!$A$4,D5109&lt;=$G$6,'calculated data '!$A$5,D5109&gt;=$G$6,'calculated data '!$A$6)</f>
        <v>Target Market (Core IQR)</v>
      </c>
      <c r="F5109" s="10">
        <f t="shared" si="1"/>
        <v>-0.408513598</v>
      </c>
    </row>
    <row r="5110" ht="14.25" customHeight="1">
      <c r="A5110" s="2" t="s">
        <v>289</v>
      </c>
      <c r="B5110" s="2" t="s">
        <v>290</v>
      </c>
      <c r="C5110" s="2">
        <v>2016.0</v>
      </c>
      <c r="D5110" s="9">
        <v>9623.3955</v>
      </c>
      <c r="E5110" s="10" t="str">
        <f t="array" ref="E5110">IFS(D5110&lt;=$G$3,'calculated data '!$A$3,D5110&lt;=$G$4,'calculated data '!$A$4,D5110&lt;=$G$6,'calculated data '!$A$5,D5110&gt;=$G$6,'calculated data '!$A$6)</f>
        <v>Target Market (Core IQR)</v>
      </c>
      <c r="F5110" s="10">
        <f t="shared" si="1"/>
        <v>-0.4084425928</v>
      </c>
    </row>
    <row r="5111" ht="14.25" customHeight="1">
      <c r="A5111" s="2" t="s">
        <v>261</v>
      </c>
      <c r="B5111" s="2" t="s">
        <v>262</v>
      </c>
      <c r="C5111" s="2">
        <v>2024.0</v>
      </c>
      <c r="D5111" s="9">
        <v>9627.194</v>
      </c>
      <c r="E5111" s="10" t="str">
        <f t="array" ref="E5111">IFS(D5111&lt;=$G$3,'calculated data '!$A$3,D5111&lt;=$G$4,'calculated data '!$A$4,D5111&lt;=$G$6,'calculated data '!$A$5,D5111&gt;=$G$6,'calculated data '!$A$6)</f>
        <v>Target Market (Core IQR)</v>
      </c>
      <c r="F5111" s="10">
        <f t="shared" si="1"/>
        <v>-0.4083420475</v>
      </c>
    </row>
    <row r="5112" ht="14.25" customHeight="1">
      <c r="A5112" s="2" t="s">
        <v>265</v>
      </c>
      <c r="B5112" s="2" t="s">
        <v>266</v>
      </c>
      <c r="C5112" s="2">
        <v>2017.0</v>
      </c>
      <c r="D5112" s="9">
        <v>9631.997</v>
      </c>
      <c r="E5112" s="10" t="str">
        <f t="array" ref="E5112">IFS(D5112&lt;=$G$3,'calculated data '!$A$3,D5112&lt;=$G$4,'calculated data '!$A$4,D5112&lt;=$G$6,'calculated data '!$A$5,D5112&gt;=$G$6,'calculated data '!$A$6)</f>
        <v>Target Market (Core IQR)</v>
      </c>
      <c r="F5112" s="10">
        <f t="shared" si="1"/>
        <v>-0.4082149133</v>
      </c>
    </row>
    <row r="5113" ht="14.25" customHeight="1">
      <c r="A5113" s="2" t="s">
        <v>289</v>
      </c>
      <c r="B5113" s="2" t="s">
        <v>290</v>
      </c>
      <c r="C5113" s="2">
        <v>2004.0</v>
      </c>
      <c r="D5113" s="9">
        <v>9638.208</v>
      </c>
      <c r="E5113" s="10" t="str">
        <f t="array" ref="E5113">IFS(D5113&lt;=$G$3,'calculated data '!$A$3,D5113&lt;=$G$4,'calculated data '!$A$4,D5113&lt;=$G$6,'calculated data '!$A$5,D5113&gt;=$G$6,'calculated data '!$A$6)</f>
        <v>Target Market (Core IQR)</v>
      </c>
      <c r="F5113" s="10">
        <f t="shared" si="1"/>
        <v>-0.4080505097</v>
      </c>
    </row>
    <row r="5114" ht="14.25" customHeight="1">
      <c r="A5114" s="2" t="s">
        <v>99</v>
      </c>
      <c r="B5114" s="2" t="s">
        <v>100</v>
      </c>
      <c r="C5114" s="2">
        <v>2005.0</v>
      </c>
      <c r="D5114" s="9">
        <v>9640.38</v>
      </c>
      <c r="E5114" s="10" t="str">
        <f t="array" ref="E5114">IFS(D5114&lt;=$G$3,'calculated data '!$A$3,D5114&lt;=$G$4,'calculated data '!$A$4,D5114&lt;=$G$6,'calculated data '!$A$5,D5114&gt;=$G$6,'calculated data '!$A$6)</f>
        <v>Target Market (Core IQR)</v>
      </c>
      <c r="F5114" s="10">
        <f t="shared" si="1"/>
        <v>-0.4079930174</v>
      </c>
    </row>
    <row r="5115" ht="14.25" customHeight="1">
      <c r="A5115" s="2" t="s">
        <v>281</v>
      </c>
      <c r="B5115" s="2" t="s">
        <v>282</v>
      </c>
      <c r="C5115" s="2">
        <v>2019.0</v>
      </c>
      <c r="D5115" s="9">
        <v>9647.188</v>
      </c>
      <c r="E5115" s="10" t="str">
        <f t="array" ref="E5115">IFS(D5115&lt;=$G$3,'calculated data '!$A$3,D5115&lt;=$G$4,'calculated data '!$A$4,D5115&lt;=$G$6,'calculated data '!$A$5,D5115&gt;=$G$6,'calculated data '!$A$6)</f>
        <v>Target Market (Core IQR)</v>
      </c>
      <c r="F5115" s="10">
        <f t="shared" si="1"/>
        <v>-0.4078128113</v>
      </c>
    </row>
    <row r="5116" ht="14.25" customHeight="1">
      <c r="A5116" s="2" t="s">
        <v>303</v>
      </c>
      <c r="B5116" s="2" t="s">
        <v>304</v>
      </c>
      <c r="C5116" s="2">
        <v>1981.0</v>
      </c>
      <c r="D5116" s="9">
        <v>9647.424</v>
      </c>
      <c r="E5116" s="10" t="str">
        <f t="array" ref="E5116">IFS(D5116&lt;=$G$3,'calculated data '!$A$3,D5116&lt;=$G$4,'calculated data '!$A$4,D5116&lt;=$G$6,'calculated data '!$A$5,D5116&gt;=$G$6,'calculated data '!$A$6)</f>
        <v>Target Market (Core IQR)</v>
      </c>
      <c r="F5116" s="10">
        <f t="shared" si="1"/>
        <v>-0.4078065644</v>
      </c>
    </row>
    <row r="5117" ht="14.25" customHeight="1">
      <c r="A5117" s="2" t="s">
        <v>259</v>
      </c>
      <c r="B5117" s="2" t="s">
        <v>260</v>
      </c>
      <c r="C5117" s="2">
        <v>2007.0</v>
      </c>
      <c r="D5117" s="9">
        <v>9655.335</v>
      </c>
      <c r="E5117" s="10" t="str">
        <f t="array" ref="E5117">IFS(D5117&lt;=$G$3,'calculated data '!$A$3,D5117&lt;=$G$4,'calculated data '!$A$4,D5117&lt;=$G$6,'calculated data '!$A$5,D5117&gt;=$G$6,'calculated data '!$A$6)</f>
        <v>Target Market (Core IQR)</v>
      </c>
      <c r="F5117" s="10">
        <f t="shared" si="1"/>
        <v>-0.4075971622</v>
      </c>
    </row>
    <row r="5118" ht="14.25" customHeight="1">
      <c r="A5118" s="2" t="s">
        <v>301</v>
      </c>
      <c r="B5118" s="2" t="s">
        <v>302</v>
      </c>
      <c r="C5118" s="2">
        <v>1975.0</v>
      </c>
      <c r="D5118" s="9">
        <v>9656.809</v>
      </c>
      <c r="E5118" s="10" t="str">
        <f t="array" ref="E5118">IFS(D5118&lt;=$G$3,'calculated data '!$A$3,D5118&lt;=$G$4,'calculated data '!$A$4,D5118&lt;=$G$6,'calculated data '!$A$5,D5118&gt;=$G$6,'calculated data '!$A$6)</f>
        <v>Target Market (Core IQR)</v>
      </c>
      <c r="F5118" s="10">
        <f t="shared" si="1"/>
        <v>-0.4075581458</v>
      </c>
    </row>
    <row r="5119" ht="14.25" customHeight="1">
      <c r="A5119" s="2" t="s">
        <v>45</v>
      </c>
      <c r="B5119" s="2" t="s">
        <v>46</v>
      </c>
      <c r="C5119" s="2">
        <v>1991.0</v>
      </c>
      <c r="D5119" s="9">
        <v>9659.727</v>
      </c>
      <c r="E5119" s="10" t="str">
        <f t="array" ref="E5119">IFS(D5119&lt;=$G$3,'calculated data '!$A$3,D5119&lt;=$G$4,'calculated data '!$A$4,D5119&lt;=$G$6,'calculated data '!$A$5,D5119&gt;=$G$6,'calculated data '!$A$6)</f>
        <v>Target Market (Core IQR)</v>
      </c>
      <c r="F5119" s="10">
        <f t="shared" si="1"/>
        <v>-0.4074809071</v>
      </c>
    </row>
    <row r="5120" ht="14.25" customHeight="1">
      <c r="A5120" s="2" t="s">
        <v>259</v>
      </c>
      <c r="B5120" s="2" t="s">
        <v>260</v>
      </c>
      <c r="C5120" s="2">
        <v>2021.0</v>
      </c>
      <c r="D5120" s="9">
        <v>9660.034</v>
      </c>
      <c r="E5120" s="10" t="str">
        <f t="array" ref="E5120">IFS(D5120&lt;=$G$3,'calculated data '!$A$3,D5120&lt;=$G$4,'calculated data '!$A$4,D5120&lt;=$G$6,'calculated data '!$A$5,D5120&gt;=$G$6,'calculated data '!$A$6)</f>
        <v>Target Market (Core IQR)</v>
      </c>
      <c r="F5120" s="10">
        <f t="shared" si="1"/>
        <v>-0.4074727809</v>
      </c>
    </row>
    <row r="5121" ht="14.25" customHeight="1">
      <c r="A5121" s="2" t="s">
        <v>329</v>
      </c>
      <c r="B5121" s="2" t="s">
        <v>330</v>
      </c>
      <c r="C5121" s="2">
        <v>1991.0</v>
      </c>
      <c r="D5121" s="9">
        <v>9664.756</v>
      </c>
      <c r="E5121" s="10" t="str">
        <f t="array" ref="E5121">IFS(D5121&lt;=$G$3,'calculated data '!$A$3,D5121&lt;=$G$4,'calculated data '!$A$4,D5121&lt;=$G$6,'calculated data '!$A$5,D5121&gt;=$G$6,'calculated data '!$A$6)</f>
        <v>Target Market (Core IQR)</v>
      </c>
      <c r="F5121" s="10">
        <f t="shared" si="1"/>
        <v>-0.4073477907</v>
      </c>
    </row>
    <row r="5122" ht="14.25" customHeight="1">
      <c r="A5122" s="2" t="s">
        <v>183</v>
      </c>
      <c r="B5122" s="2" t="s">
        <v>184</v>
      </c>
      <c r="C5122" s="2">
        <v>2017.0</v>
      </c>
      <c r="D5122" s="9">
        <v>9666.647</v>
      </c>
      <c r="E5122" s="10" t="str">
        <f t="array" ref="E5122">IFS(D5122&lt;=$G$3,'calculated data '!$A$3,D5122&lt;=$G$4,'calculated data '!$A$4,D5122&lt;=$G$6,'calculated data '!$A$5,D5122&gt;=$G$6,'calculated data '!$A$6)</f>
        <v>Target Market (Core IQR)</v>
      </c>
      <c r="F5122" s="10">
        <f t="shared" si="1"/>
        <v>-0.4072977364</v>
      </c>
    </row>
    <row r="5123" ht="14.25" customHeight="1">
      <c r="A5123" s="2" t="s">
        <v>305</v>
      </c>
      <c r="B5123" s="2" t="s">
        <v>306</v>
      </c>
      <c r="C5123" s="2">
        <v>1996.0</v>
      </c>
      <c r="D5123" s="9">
        <v>9666.835</v>
      </c>
      <c r="E5123" s="10" t="str">
        <f t="array" ref="E5123">IFS(D5123&lt;=$G$3,'calculated data '!$A$3,D5123&lt;=$G$4,'calculated data '!$A$4,D5123&lt;=$G$6,'calculated data '!$A$5,D5123&gt;=$G$6,'calculated data '!$A$6)</f>
        <v>Target Market (Core IQR)</v>
      </c>
      <c r="F5123" s="10">
        <f t="shared" si="1"/>
        <v>-0.4072927601</v>
      </c>
    </row>
    <row r="5124" ht="14.25" customHeight="1">
      <c r="A5124" s="2" t="s">
        <v>253</v>
      </c>
      <c r="B5124" s="2" t="s">
        <v>254</v>
      </c>
      <c r="C5124" s="2">
        <v>2018.0</v>
      </c>
      <c r="D5124" s="9">
        <v>9672.0625</v>
      </c>
      <c r="E5124" s="10" t="str">
        <f t="array" ref="E5124">IFS(D5124&lt;=$G$3,'calculated data '!$A$3,D5124&lt;=$G$4,'calculated data '!$A$4,D5124&lt;=$G$6,'calculated data '!$A$5,D5124&gt;=$G$6,'calculated data '!$A$6)</f>
        <v>Target Market (Core IQR)</v>
      </c>
      <c r="F5124" s="10">
        <f t="shared" si="1"/>
        <v>-0.4071543895</v>
      </c>
    </row>
    <row r="5125" ht="14.25" customHeight="1">
      <c r="A5125" s="2" t="s">
        <v>251</v>
      </c>
      <c r="B5125" s="2" t="s">
        <v>252</v>
      </c>
      <c r="C5125" s="2">
        <v>2010.0</v>
      </c>
      <c r="D5125" s="9">
        <v>9674.178</v>
      </c>
      <c r="E5125" s="10" t="str">
        <f t="array" ref="E5125">IFS(D5125&lt;=$G$3,'calculated data '!$A$3,D5125&lt;=$G$4,'calculated data '!$A$4,D5125&lt;=$G$6,'calculated data '!$A$5,D5125&gt;=$G$6,'calculated data '!$A$6)</f>
        <v>Target Market (Core IQR)</v>
      </c>
      <c r="F5125" s="10">
        <f t="shared" si="1"/>
        <v>-0.4070983927</v>
      </c>
    </row>
    <row r="5126" ht="14.25" customHeight="1">
      <c r="A5126" s="2" t="s">
        <v>285</v>
      </c>
      <c r="B5126" s="2" t="s">
        <v>286</v>
      </c>
      <c r="C5126" s="2">
        <v>1984.0</v>
      </c>
      <c r="D5126" s="9">
        <v>9684.025</v>
      </c>
      <c r="E5126" s="10" t="str">
        <f t="array" ref="E5126">IFS(D5126&lt;=$G$3,'calculated data '!$A$3,D5126&lt;=$G$4,'calculated data '!$A$4,D5126&lt;=$G$6,'calculated data '!$A$5,D5126&gt;=$G$6,'calculated data '!$A$6)</f>
        <v>Target Market (Core IQR)</v>
      </c>
      <c r="F5126" s="10">
        <f t="shared" si="1"/>
        <v>-0.4068377451</v>
      </c>
    </row>
    <row r="5127" ht="14.25" customHeight="1">
      <c r="A5127" s="2" t="s">
        <v>317</v>
      </c>
      <c r="B5127" s="2" t="s">
        <v>318</v>
      </c>
      <c r="C5127" s="2">
        <v>1997.0</v>
      </c>
      <c r="D5127" s="9">
        <v>9693.828</v>
      </c>
      <c r="E5127" s="10" t="str">
        <f t="array" ref="E5127">IFS(D5127&lt;=$G$3,'calculated data '!$A$3,D5127&lt;=$G$4,'calculated data '!$A$4,D5127&lt;=$G$6,'calculated data '!$A$5,D5127&gt;=$G$6,'calculated data '!$A$6)</f>
        <v>Target Market (Core IQR)</v>
      </c>
      <c r="F5127" s="10">
        <f t="shared" si="1"/>
        <v>-0.4065782621</v>
      </c>
    </row>
    <row r="5128" ht="14.25" customHeight="1">
      <c r="A5128" s="2" t="s">
        <v>183</v>
      </c>
      <c r="B5128" s="2" t="s">
        <v>184</v>
      </c>
      <c r="C5128" s="2">
        <v>2021.0</v>
      </c>
      <c r="D5128" s="9">
        <v>9694.73</v>
      </c>
      <c r="E5128" s="10" t="str">
        <f t="array" ref="E5128">IFS(D5128&lt;=$G$3,'calculated data '!$A$3,D5128&lt;=$G$4,'calculated data '!$A$4,D5128&lt;=$G$6,'calculated data '!$A$5,D5128&gt;=$G$6,'calculated data '!$A$6)</f>
        <v>Target Market (Core IQR)</v>
      </c>
      <c r="F5128" s="10">
        <f t="shared" si="1"/>
        <v>-0.4065543864</v>
      </c>
    </row>
    <row r="5129" ht="14.25" customHeight="1">
      <c r="A5129" s="2" t="s">
        <v>287</v>
      </c>
      <c r="B5129" s="2" t="s">
        <v>288</v>
      </c>
      <c r="C5129" s="2">
        <v>1980.0</v>
      </c>
      <c r="D5129" s="9">
        <v>9695.02</v>
      </c>
      <c r="E5129" s="10" t="str">
        <f t="array" ref="E5129">IFS(D5129&lt;=$G$3,'calculated data '!$A$3,D5129&lt;=$G$4,'calculated data '!$A$4,D5129&lt;=$G$6,'calculated data '!$A$5,D5129&gt;=$G$6,'calculated data '!$A$6)</f>
        <v>Target Market (Core IQR)</v>
      </c>
      <c r="F5129" s="10">
        <f t="shared" si="1"/>
        <v>-0.4065467102</v>
      </c>
    </row>
    <row r="5130" ht="14.25" customHeight="1">
      <c r="A5130" s="2" t="s">
        <v>309</v>
      </c>
      <c r="B5130" s="2" t="s">
        <v>310</v>
      </c>
      <c r="C5130" s="2">
        <v>1967.0</v>
      </c>
      <c r="D5130" s="9">
        <v>9698.191</v>
      </c>
      <c r="E5130" s="10" t="str">
        <f t="array" ref="E5130">IFS(D5130&lt;=$G$3,'calculated data '!$A$3,D5130&lt;=$G$4,'calculated data '!$A$4,D5130&lt;=$G$6,'calculated data '!$A$5,D5130&gt;=$G$6,'calculated data '!$A$6)</f>
        <v>Target Market (Core IQR)</v>
      </c>
      <c r="F5130" s="10">
        <f t="shared" si="1"/>
        <v>-0.4064627746</v>
      </c>
    </row>
    <row r="5131" ht="14.25" customHeight="1">
      <c r="A5131" s="2" t="s">
        <v>207</v>
      </c>
      <c r="B5131" s="2" t="s">
        <v>208</v>
      </c>
      <c r="C5131" s="2">
        <v>2000.0</v>
      </c>
      <c r="D5131" s="9">
        <v>9702.336</v>
      </c>
      <c r="E5131" s="10" t="str">
        <f t="array" ref="E5131">IFS(D5131&lt;=$G$3,'calculated data '!$A$3,D5131&lt;=$G$4,'calculated data '!$A$4,D5131&lt;=$G$6,'calculated data '!$A$5,D5131&gt;=$G$6,'calculated data '!$A$6)</f>
        <v>Target Market (Core IQR)</v>
      </c>
      <c r="F5131" s="10">
        <f t="shared" si="1"/>
        <v>-0.4063530575</v>
      </c>
    </row>
    <row r="5132" ht="14.25" customHeight="1">
      <c r="A5132" s="2" t="s">
        <v>331</v>
      </c>
      <c r="B5132" s="2" t="s">
        <v>332</v>
      </c>
      <c r="C5132" s="2">
        <v>1966.0</v>
      </c>
      <c r="D5132" s="9">
        <v>9704.494</v>
      </c>
      <c r="E5132" s="10" t="str">
        <f t="array" ref="E5132">IFS(D5132&lt;=$G$3,'calculated data '!$A$3,D5132&lt;=$G$4,'calculated data '!$A$4,D5132&lt;=$G$6,'calculated data '!$A$5,D5132&gt;=$G$6,'calculated data '!$A$6)</f>
        <v>Target Market (Core IQR)</v>
      </c>
      <c r="F5132" s="10">
        <f t="shared" si="1"/>
        <v>-0.4062959357</v>
      </c>
    </row>
    <row r="5133" ht="14.25" customHeight="1">
      <c r="A5133" s="2" t="s">
        <v>237</v>
      </c>
      <c r="B5133" s="2" t="s">
        <v>238</v>
      </c>
      <c r="C5133" s="2">
        <v>2004.0</v>
      </c>
      <c r="D5133" s="9">
        <v>9705.3545</v>
      </c>
      <c r="E5133" s="10" t="str">
        <f t="array" ref="E5133">IFS(D5133&lt;=$G$3,'calculated data '!$A$3,D5133&lt;=$G$4,'calculated data '!$A$4,D5133&lt;=$G$6,'calculated data '!$A$5,D5133&gt;=$G$6,'calculated data '!$A$6)</f>
        <v>Target Market (Core IQR)</v>
      </c>
      <c r="F5133" s="10">
        <f t="shared" si="1"/>
        <v>-0.4062731585</v>
      </c>
    </row>
    <row r="5134" ht="14.25" customHeight="1">
      <c r="A5134" s="2" t="s">
        <v>289</v>
      </c>
      <c r="B5134" s="2" t="s">
        <v>290</v>
      </c>
      <c r="C5134" s="2">
        <v>2006.0</v>
      </c>
      <c r="D5134" s="9">
        <v>9707.503</v>
      </c>
      <c r="E5134" s="10" t="str">
        <f t="array" ref="E5134">IFS(D5134&lt;=$G$3,'calculated data '!$A$3,D5134&lt;=$G$4,'calculated data '!$A$4,D5134&lt;=$G$6,'calculated data '!$A$5,D5134&gt;=$G$6,'calculated data '!$A$6)</f>
        <v>Target Market (Core IQR)</v>
      </c>
      <c r="F5134" s="10">
        <f t="shared" si="1"/>
        <v>-0.4062162883</v>
      </c>
    </row>
    <row r="5135" ht="14.25" customHeight="1">
      <c r="A5135" s="2" t="s">
        <v>317</v>
      </c>
      <c r="B5135" s="2" t="s">
        <v>318</v>
      </c>
      <c r="C5135" s="2">
        <v>1999.0</v>
      </c>
      <c r="D5135" s="9">
        <v>9716.735</v>
      </c>
      <c r="E5135" s="10" t="str">
        <f t="array" ref="E5135">IFS(D5135&lt;=$G$3,'calculated data '!$A$3,D5135&lt;=$G$4,'calculated data '!$A$4,D5135&lt;=$G$6,'calculated data '!$A$5,D5135&gt;=$G$6,'calculated data '!$A$6)</f>
        <v>Target Market (Core IQR)</v>
      </c>
      <c r="F5135" s="10">
        <f t="shared" si="1"/>
        <v>-0.4059719195</v>
      </c>
    </row>
    <row r="5136" ht="14.25" customHeight="1">
      <c r="A5136" s="2" t="s">
        <v>277</v>
      </c>
      <c r="B5136" s="2" t="s">
        <v>278</v>
      </c>
      <c r="C5136" s="2">
        <v>1997.0</v>
      </c>
      <c r="D5136" s="9">
        <v>9718.051</v>
      </c>
      <c r="E5136" s="10" t="str">
        <f t="array" ref="E5136">IFS(D5136&lt;=$G$3,'calculated data '!$A$3,D5136&lt;=$G$4,'calculated data '!$A$4,D5136&lt;=$G$6,'calculated data '!$A$5,D5136&gt;=$G$6,'calculated data '!$A$6)</f>
        <v>Target Market (Core IQR)</v>
      </c>
      <c r="F5136" s="10">
        <f t="shared" si="1"/>
        <v>-0.4059370853</v>
      </c>
    </row>
    <row r="5137" ht="14.25" customHeight="1">
      <c r="A5137" s="2" t="s">
        <v>297</v>
      </c>
      <c r="B5137" s="2" t="s">
        <v>298</v>
      </c>
      <c r="C5137" s="2">
        <v>2008.0</v>
      </c>
      <c r="D5137" s="9">
        <v>9738.182</v>
      </c>
      <c r="E5137" s="10" t="str">
        <f t="array" ref="E5137">IFS(D5137&lt;=$G$3,'calculated data '!$A$3,D5137&lt;=$G$4,'calculated data '!$A$4,D5137&lt;=$G$6,'calculated data '!$A$5,D5137&gt;=$G$6,'calculated data '!$A$6)</f>
        <v>Target Market (Core IQR)</v>
      </c>
      <c r="F5137" s="10">
        <f t="shared" si="1"/>
        <v>-0.4054042228</v>
      </c>
    </row>
    <row r="5138" ht="14.25" customHeight="1">
      <c r="A5138" s="2" t="s">
        <v>205</v>
      </c>
      <c r="B5138" s="2" t="s">
        <v>206</v>
      </c>
      <c r="C5138" s="2">
        <v>2010.0</v>
      </c>
      <c r="D5138" s="9">
        <v>9740.279</v>
      </c>
      <c r="E5138" s="10" t="str">
        <f t="array" ref="E5138">IFS(D5138&lt;=$G$3,'calculated data '!$A$3,D5138&lt;=$G$4,'calculated data '!$A$4,D5138&lt;=$G$6,'calculated data '!$A$5,D5138&gt;=$G$6,'calculated data '!$A$6)</f>
        <v>Target Market (Core IQR)</v>
      </c>
      <c r="F5138" s="10">
        <f t="shared" si="1"/>
        <v>-0.4053487157</v>
      </c>
    </row>
    <row r="5139" ht="14.25" customHeight="1">
      <c r="A5139" s="2" t="s">
        <v>269</v>
      </c>
      <c r="B5139" s="2" t="s">
        <v>270</v>
      </c>
      <c r="C5139" s="2">
        <v>1986.0</v>
      </c>
      <c r="D5139" s="9">
        <v>9741.622</v>
      </c>
      <c r="E5139" s="10" t="str">
        <f t="array" ref="E5139">IFS(D5139&lt;=$G$3,'calculated data '!$A$3,D5139&lt;=$G$4,'calculated data '!$A$4,D5139&lt;=$G$6,'calculated data '!$A$5,D5139&gt;=$G$6,'calculated data '!$A$6)</f>
        <v>Target Market (Core IQR)</v>
      </c>
      <c r="F5139" s="10">
        <f t="shared" si="1"/>
        <v>-0.4053131668</v>
      </c>
    </row>
    <row r="5140" ht="14.25" customHeight="1">
      <c r="A5140" s="2" t="s">
        <v>303</v>
      </c>
      <c r="B5140" s="2" t="s">
        <v>304</v>
      </c>
      <c r="C5140" s="2">
        <v>1992.0</v>
      </c>
      <c r="D5140" s="9">
        <v>9742.031</v>
      </c>
      <c r="E5140" s="10" t="str">
        <f t="array" ref="E5140">IFS(D5140&lt;=$G$3,'calculated data '!$A$3,D5140&lt;=$G$4,'calculated data '!$A$4,D5140&lt;=$G$6,'calculated data '!$A$5,D5140&gt;=$G$6,'calculated data '!$A$6)</f>
        <v>Target Market (Core IQR)</v>
      </c>
      <c r="F5140" s="10">
        <f t="shared" si="1"/>
        <v>-0.4053023407</v>
      </c>
    </row>
    <row r="5141" ht="14.25" customHeight="1">
      <c r="A5141" s="2" t="s">
        <v>237</v>
      </c>
      <c r="B5141" s="2" t="s">
        <v>238</v>
      </c>
      <c r="C5141" s="2">
        <v>2003.0</v>
      </c>
      <c r="D5141" s="9">
        <v>9746.063</v>
      </c>
      <c r="E5141" s="10" t="str">
        <f t="array" ref="E5141">IFS(D5141&lt;=$G$3,'calculated data '!$A$3,D5141&lt;=$G$4,'calculated data '!$A$4,D5141&lt;=$G$6,'calculated data '!$A$5,D5141&gt;=$G$6,'calculated data '!$A$6)</f>
        <v>Target Market (Core IQR)</v>
      </c>
      <c r="F5141" s="10">
        <f t="shared" si="1"/>
        <v>-0.4051956147</v>
      </c>
    </row>
    <row r="5142" ht="14.25" customHeight="1">
      <c r="A5142" s="2" t="s">
        <v>39</v>
      </c>
      <c r="B5142" s="2" t="s">
        <v>40</v>
      </c>
      <c r="C5142" s="2">
        <v>1987.0</v>
      </c>
      <c r="D5142" s="9">
        <v>9752.947</v>
      </c>
      <c r="E5142" s="10" t="str">
        <f t="array" ref="E5142">IFS(D5142&lt;=$G$3,'calculated data '!$A$3,D5142&lt;=$G$4,'calculated data '!$A$4,D5142&lt;=$G$6,'calculated data '!$A$5,D5142&gt;=$G$6,'calculated data '!$A$6)</f>
        <v>Target Market (Core IQR)</v>
      </c>
      <c r="F5142" s="10">
        <f t="shared" si="1"/>
        <v>-0.4050133969</v>
      </c>
    </row>
    <row r="5143" ht="14.25" customHeight="1">
      <c r="A5143" s="2" t="s">
        <v>289</v>
      </c>
      <c r="B5143" s="2" t="s">
        <v>290</v>
      </c>
      <c r="C5143" s="2">
        <v>2015.0</v>
      </c>
      <c r="D5143" s="9">
        <v>9753.874</v>
      </c>
      <c r="E5143" s="10" t="str">
        <f t="array" ref="E5143">IFS(D5143&lt;=$G$3,'calculated data '!$A$3,D5143&lt;=$G$4,'calculated data '!$A$4,D5143&lt;=$G$6,'calculated data '!$A$5,D5143&gt;=$G$6,'calculated data '!$A$6)</f>
        <v>Target Market (Core IQR)</v>
      </c>
      <c r="F5143" s="10">
        <f t="shared" si="1"/>
        <v>-0.4049888594</v>
      </c>
    </row>
    <row r="5144" ht="14.25" customHeight="1">
      <c r="A5144" s="2" t="s">
        <v>281</v>
      </c>
      <c r="B5144" s="2" t="s">
        <v>282</v>
      </c>
      <c r="C5144" s="2">
        <v>2024.0</v>
      </c>
      <c r="D5144" s="9">
        <v>9758.311</v>
      </c>
      <c r="E5144" s="10" t="str">
        <f t="array" ref="E5144">IFS(D5144&lt;=$G$3,'calculated data '!$A$3,D5144&lt;=$G$4,'calculated data '!$A$4,D5144&lt;=$G$6,'calculated data '!$A$5,D5144&gt;=$G$6,'calculated data '!$A$6)</f>
        <v>Target Market (Core IQR)</v>
      </c>
      <c r="F5144" s="10">
        <f t="shared" si="1"/>
        <v>-0.4048714132</v>
      </c>
    </row>
    <row r="5145" ht="14.25" customHeight="1">
      <c r="A5145" s="2" t="s">
        <v>265</v>
      </c>
      <c r="B5145" s="2" t="s">
        <v>266</v>
      </c>
      <c r="C5145" s="2">
        <v>2001.0</v>
      </c>
      <c r="D5145" s="9">
        <v>9764.861</v>
      </c>
      <c r="E5145" s="10" t="str">
        <f t="array" ref="E5145">IFS(D5145&lt;=$G$3,'calculated data '!$A$3,D5145&lt;=$G$4,'calculated data '!$A$4,D5145&lt;=$G$6,'calculated data '!$A$5,D5145&gt;=$G$6,'calculated data '!$A$6)</f>
        <v>Target Market (Core IQR)</v>
      </c>
      <c r="F5145" s="10">
        <f t="shared" si="1"/>
        <v>-0.4046980363</v>
      </c>
    </row>
    <row r="5146" ht="14.25" customHeight="1">
      <c r="A5146" s="2" t="s">
        <v>275</v>
      </c>
      <c r="B5146" s="2" t="s">
        <v>276</v>
      </c>
      <c r="C5146" s="2">
        <v>2006.0</v>
      </c>
      <c r="D5146" s="9">
        <v>9767.231</v>
      </c>
      <c r="E5146" s="10" t="str">
        <f t="array" ref="E5146">IFS(D5146&lt;=$G$3,'calculated data '!$A$3,D5146&lt;=$G$4,'calculated data '!$A$4,D5146&lt;=$G$6,'calculated data '!$A$5,D5146&gt;=$G$6,'calculated data '!$A$6)</f>
        <v>Target Market (Core IQR)</v>
      </c>
      <c r="F5146" s="10">
        <f t="shared" si="1"/>
        <v>-0.404635303</v>
      </c>
    </row>
    <row r="5147" ht="14.25" customHeight="1">
      <c r="A5147" s="2" t="s">
        <v>183</v>
      </c>
      <c r="B5147" s="2" t="s">
        <v>184</v>
      </c>
      <c r="C5147" s="2">
        <v>2016.0</v>
      </c>
      <c r="D5147" s="9">
        <v>9768.044</v>
      </c>
      <c r="E5147" s="10" t="str">
        <f t="array" ref="E5147">IFS(D5147&lt;=$G$3,'calculated data '!$A$3,D5147&lt;=$G$4,'calculated data '!$A$4,D5147&lt;=$G$6,'calculated data '!$A$5,D5147&gt;=$G$6,'calculated data '!$A$6)</f>
        <v>Target Market (Core IQR)</v>
      </c>
      <c r="F5147" s="10">
        <f t="shared" si="1"/>
        <v>-0.4046137831</v>
      </c>
    </row>
    <row r="5148" ht="14.25" customHeight="1">
      <c r="A5148" s="2" t="s">
        <v>271</v>
      </c>
      <c r="B5148" s="2" t="s">
        <v>272</v>
      </c>
      <c r="C5148" s="2">
        <v>1973.0</v>
      </c>
      <c r="D5148" s="9">
        <v>9772.227</v>
      </c>
      <c r="E5148" s="10" t="str">
        <f t="array" ref="E5148">IFS(D5148&lt;=$G$3,'calculated data '!$A$3,D5148&lt;=$G$4,'calculated data '!$A$4,D5148&lt;=$G$6,'calculated data '!$A$5,D5148&gt;=$G$6,'calculated data '!$A$6)</f>
        <v>Target Market (Core IQR)</v>
      </c>
      <c r="F5148" s="10">
        <f t="shared" si="1"/>
        <v>-0.4045030601</v>
      </c>
    </row>
    <row r="5149" ht="14.25" customHeight="1">
      <c r="A5149" s="2" t="s">
        <v>259</v>
      </c>
      <c r="B5149" s="2" t="s">
        <v>260</v>
      </c>
      <c r="C5149" s="2">
        <v>2019.0</v>
      </c>
      <c r="D5149" s="9">
        <v>9783.121</v>
      </c>
      <c r="E5149" s="10" t="str">
        <f t="array" ref="E5149">IFS(D5149&lt;=$G$3,'calculated data '!$A$3,D5149&lt;=$G$4,'calculated data '!$A$4,D5149&lt;=$G$6,'calculated data '!$A$5,D5149&gt;=$G$6,'calculated data '!$A$6)</f>
        <v>Target Market (Core IQR)</v>
      </c>
      <c r="F5149" s="10">
        <f t="shared" si="1"/>
        <v>-0.4042146986</v>
      </c>
    </row>
    <row r="5150" ht="14.25" customHeight="1">
      <c r="A5150" s="2" t="s">
        <v>241</v>
      </c>
      <c r="B5150" s="2" t="s">
        <v>242</v>
      </c>
      <c r="C5150" s="2">
        <v>1999.0</v>
      </c>
      <c r="D5150" s="9">
        <v>9794.299</v>
      </c>
      <c r="E5150" s="10" t="str">
        <f t="array" ref="E5150">IFS(D5150&lt;=$G$3,'calculated data '!$A$3,D5150&lt;=$G$4,'calculated data '!$A$4,D5150&lt;=$G$6,'calculated data '!$A$5,D5150&gt;=$G$6,'calculated data '!$A$6)</f>
        <v>Target Market (Core IQR)</v>
      </c>
      <c r="F5150" s="10">
        <f t="shared" si="1"/>
        <v>-0.4039188198</v>
      </c>
    </row>
    <row r="5151" ht="14.25" customHeight="1">
      <c r="A5151" s="2" t="s">
        <v>229</v>
      </c>
      <c r="B5151" s="2" t="s">
        <v>230</v>
      </c>
      <c r="C5151" s="2">
        <v>2001.0</v>
      </c>
      <c r="D5151" s="9">
        <v>9795.596</v>
      </c>
      <c r="E5151" s="10" t="str">
        <f t="array" ref="E5151">IFS(D5151&lt;=$G$3,'calculated data '!$A$3,D5151&lt;=$G$4,'calculated data '!$A$4,D5151&lt;=$G$6,'calculated data '!$A$5,D5151&gt;=$G$6,'calculated data '!$A$6)</f>
        <v>Target Market (Core IQR)</v>
      </c>
      <c r="F5151" s="10">
        <f t="shared" si="1"/>
        <v>-0.4038844885</v>
      </c>
    </row>
    <row r="5152" ht="14.25" customHeight="1">
      <c r="A5152" s="2" t="s">
        <v>289</v>
      </c>
      <c r="B5152" s="2" t="s">
        <v>290</v>
      </c>
      <c r="C5152" s="2">
        <v>2002.0</v>
      </c>
      <c r="D5152" s="9">
        <v>9796.658</v>
      </c>
      <c r="E5152" s="10" t="str">
        <f t="array" ref="E5152">IFS(D5152&lt;=$G$3,'calculated data '!$A$3,D5152&lt;=$G$4,'calculated data '!$A$4,D5152&lt;=$G$6,'calculated data '!$A$5,D5152&gt;=$G$6,'calculated data '!$A$6)</f>
        <v>Target Market (Core IQR)</v>
      </c>
      <c r="F5152" s="10">
        <f t="shared" si="1"/>
        <v>-0.4038563776</v>
      </c>
    </row>
    <row r="5153" ht="14.25" customHeight="1">
      <c r="A5153" s="2" t="s">
        <v>305</v>
      </c>
      <c r="B5153" s="2" t="s">
        <v>306</v>
      </c>
      <c r="C5153" s="2">
        <v>2013.0</v>
      </c>
      <c r="D5153" s="9">
        <v>9807.213</v>
      </c>
      <c r="E5153" s="10" t="str">
        <f t="array" ref="E5153">IFS(D5153&lt;=$G$3,'calculated data '!$A$3,D5153&lt;=$G$4,'calculated data '!$A$4,D5153&lt;=$G$6,'calculated data '!$A$5,D5153&gt;=$G$6,'calculated data '!$A$6)</f>
        <v>Target Market (Core IQR)</v>
      </c>
      <c r="F5153" s="10">
        <f t="shared" si="1"/>
        <v>-0.4035769894</v>
      </c>
    </row>
    <row r="5154" ht="14.25" customHeight="1">
      <c r="A5154" s="2" t="s">
        <v>259</v>
      </c>
      <c r="B5154" s="2" t="s">
        <v>260</v>
      </c>
      <c r="C5154" s="2">
        <v>2024.0</v>
      </c>
      <c r="D5154" s="9">
        <v>9810.756</v>
      </c>
      <c r="E5154" s="10" t="str">
        <f t="array" ref="E5154">IFS(D5154&lt;=$G$3,'calculated data '!$A$3,D5154&lt;=$G$4,'calculated data '!$A$4,D5154&lt;=$G$6,'calculated data '!$A$5,D5154&gt;=$G$6,'calculated data '!$A$6)</f>
        <v>Target Market (Core IQR)</v>
      </c>
      <c r="F5154" s="10">
        <f t="shared" si="1"/>
        <v>-0.4034832071</v>
      </c>
    </row>
    <row r="5155" ht="14.25" customHeight="1">
      <c r="A5155" s="2" t="s">
        <v>297</v>
      </c>
      <c r="B5155" s="2" t="s">
        <v>298</v>
      </c>
      <c r="C5155" s="2">
        <v>2007.0</v>
      </c>
      <c r="D5155" s="9">
        <v>9815.2295</v>
      </c>
      <c r="E5155" s="10" t="str">
        <f t="array" ref="E5155">IFS(D5155&lt;=$G$3,'calculated data '!$A$3,D5155&lt;=$G$4,'calculated data '!$A$4,D5155&lt;=$G$6,'calculated data '!$A$5,D5155&gt;=$G$6,'calculated data '!$A$6)</f>
        <v>Target Market (Core IQR)</v>
      </c>
      <c r="F5155" s="10">
        <f t="shared" si="1"/>
        <v>-0.4033647946</v>
      </c>
    </row>
    <row r="5156" ht="14.25" customHeight="1">
      <c r="A5156" s="2" t="s">
        <v>183</v>
      </c>
      <c r="B5156" s="2" t="s">
        <v>184</v>
      </c>
      <c r="C5156" s="2">
        <v>2012.0</v>
      </c>
      <c r="D5156" s="9">
        <v>9815.916</v>
      </c>
      <c r="E5156" s="10" t="str">
        <f t="array" ref="E5156">IFS(D5156&lt;=$G$3,'calculated data '!$A$3,D5156&lt;=$G$4,'calculated data '!$A$4,D5156&lt;=$G$6,'calculated data '!$A$5,D5156&gt;=$G$6,'calculated data '!$A$6)</f>
        <v>Target Market (Core IQR)</v>
      </c>
      <c r="F5156" s="10">
        <f t="shared" si="1"/>
        <v>-0.4033466232</v>
      </c>
    </row>
    <row r="5157" ht="14.25" customHeight="1">
      <c r="A5157" s="2" t="s">
        <v>329</v>
      </c>
      <c r="B5157" s="2" t="s">
        <v>330</v>
      </c>
      <c r="C5157" s="2">
        <v>1992.0</v>
      </c>
      <c r="D5157" s="9">
        <v>9816.314</v>
      </c>
      <c r="E5157" s="10" t="str">
        <f t="array" ref="E5157">IFS(D5157&lt;=$G$3,'calculated data '!$A$3,D5157&lt;=$G$4,'calculated data '!$A$4,D5157&lt;=$G$6,'calculated data '!$A$5,D5157&gt;=$G$6,'calculated data '!$A$6)</f>
        <v>Target Market (Core IQR)</v>
      </c>
      <c r="F5157" s="10">
        <f t="shared" si="1"/>
        <v>-0.4033360882</v>
      </c>
    </row>
    <row r="5158" ht="14.25" customHeight="1">
      <c r="A5158" s="2" t="s">
        <v>45</v>
      </c>
      <c r="B5158" s="2" t="s">
        <v>46</v>
      </c>
      <c r="C5158" s="2">
        <v>1992.0</v>
      </c>
      <c r="D5158" s="9">
        <v>9826.825</v>
      </c>
      <c r="E5158" s="10" t="str">
        <f t="array" ref="E5158">IFS(D5158&lt;=$G$3,'calculated data '!$A$3,D5158&lt;=$G$4,'calculated data '!$A$4,D5158&lt;=$G$6,'calculated data '!$A$5,D5158&gt;=$G$6,'calculated data '!$A$6)</f>
        <v>Target Market (Core IQR)</v>
      </c>
      <c r="F5158" s="10">
        <f t="shared" si="1"/>
        <v>-0.4030578646</v>
      </c>
    </row>
    <row r="5159" ht="14.25" customHeight="1">
      <c r="A5159" s="2" t="s">
        <v>289</v>
      </c>
      <c r="B5159" s="2" t="s">
        <v>290</v>
      </c>
      <c r="C5159" s="2">
        <v>2008.0</v>
      </c>
      <c r="D5159" s="9">
        <v>9829.796</v>
      </c>
      <c r="E5159" s="10" t="str">
        <f t="array" ref="E5159">IFS(D5159&lt;=$G$3,'calculated data '!$A$3,D5159&lt;=$G$4,'calculated data '!$A$4,D5159&lt;=$G$6,'calculated data '!$A$5,D5159&gt;=$G$6,'calculated data '!$A$6)</f>
        <v>Target Market (Core IQR)</v>
      </c>
      <c r="F5159" s="10">
        <f t="shared" si="1"/>
        <v>-0.402979223</v>
      </c>
    </row>
    <row r="5160" ht="14.25" customHeight="1">
      <c r="A5160" s="2" t="s">
        <v>263</v>
      </c>
      <c r="B5160" s="2" t="s">
        <v>264</v>
      </c>
      <c r="C5160" s="2">
        <v>2002.0</v>
      </c>
      <c r="D5160" s="9">
        <v>9836.001</v>
      </c>
      <c r="E5160" s="10" t="str">
        <f t="array" ref="E5160">IFS(D5160&lt;=$G$3,'calculated data '!$A$3,D5160&lt;=$G$4,'calculated data '!$A$4,D5160&lt;=$G$6,'calculated data '!$A$5,D5160&gt;=$G$6,'calculated data '!$A$6)</f>
        <v>Target Market (Core IQR)</v>
      </c>
      <c r="F5160" s="10">
        <f t="shared" si="1"/>
        <v>-0.4028149782</v>
      </c>
    </row>
    <row r="5161" ht="14.25" customHeight="1">
      <c r="A5161" s="2" t="s">
        <v>259</v>
      </c>
      <c r="B5161" s="2" t="s">
        <v>260</v>
      </c>
      <c r="C5161" s="2">
        <v>2008.0</v>
      </c>
      <c r="D5161" s="9">
        <v>9837.472</v>
      </c>
      <c r="E5161" s="10" t="str">
        <f t="array" ref="E5161">IFS(D5161&lt;=$G$3,'calculated data '!$A$3,D5161&lt;=$G$4,'calculated data '!$A$4,D5161&lt;=$G$6,'calculated data '!$A$5,D5161&gt;=$G$6,'calculated data '!$A$6)</f>
        <v>Target Market (Core IQR)</v>
      </c>
      <c r="F5161" s="10">
        <f t="shared" si="1"/>
        <v>-0.4027760412</v>
      </c>
    </row>
    <row r="5162" ht="14.25" customHeight="1">
      <c r="A5162" s="2" t="s">
        <v>99</v>
      </c>
      <c r="B5162" s="2" t="s">
        <v>100</v>
      </c>
      <c r="C5162" s="2">
        <v>2002.0</v>
      </c>
      <c r="D5162" s="9">
        <v>9838.454</v>
      </c>
      <c r="E5162" s="10" t="str">
        <f t="array" ref="E5162">IFS(D5162&lt;=$G$3,'calculated data '!$A$3,D5162&lt;=$G$4,'calculated data '!$A$4,D5162&lt;=$G$6,'calculated data '!$A$5,D5162&gt;=$G$6,'calculated data '!$A$6)</f>
        <v>Target Market (Core IQR)</v>
      </c>
      <c r="F5162" s="10">
        <f t="shared" si="1"/>
        <v>-0.4027500479</v>
      </c>
    </row>
    <row r="5163" ht="14.25" customHeight="1">
      <c r="A5163" s="2" t="s">
        <v>275</v>
      </c>
      <c r="B5163" s="2" t="s">
        <v>276</v>
      </c>
      <c r="C5163" s="2">
        <v>2019.0</v>
      </c>
      <c r="D5163" s="9">
        <v>9839.549</v>
      </c>
      <c r="E5163" s="10" t="str">
        <f t="array" ref="E5163">IFS(D5163&lt;=$G$3,'calculated data '!$A$3,D5163&lt;=$G$4,'calculated data '!$A$4,D5163&lt;=$G$6,'calculated data '!$A$5,D5163&gt;=$G$6,'calculated data '!$A$6)</f>
        <v>Target Market (Core IQR)</v>
      </c>
      <c r="F5163" s="10">
        <f t="shared" si="1"/>
        <v>-0.4027210635</v>
      </c>
    </row>
    <row r="5164" ht="14.25" customHeight="1">
      <c r="A5164" s="2" t="s">
        <v>321</v>
      </c>
      <c r="B5164" s="2" t="s">
        <v>322</v>
      </c>
      <c r="C5164" s="2">
        <v>2018.0</v>
      </c>
      <c r="D5164" s="9">
        <v>9839.556</v>
      </c>
      <c r="E5164" s="10" t="str">
        <f t="array" ref="E5164">IFS(D5164&lt;=$G$3,'calculated data '!$A$3,D5164&lt;=$G$4,'calculated data '!$A$4,D5164&lt;=$G$6,'calculated data '!$A$5,D5164&gt;=$G$6,'calculated data '!$A$6)</f>
        <v>Target Market (Core IQR)</v>
      </c>
      <c r="F5164" s="10">
        <f t="shared" si="1"/>
        <v>-0.4027208782</v>
      </c>
    </row>
    <row r="5165" ht="14.25" customHeight="1">
      <c r="A5165" s="2" t="s">
        <v>295</v>
      </c>
      <c r="B5165" s="2" t="s">
        <v>296</v>
      </c>
      <c r="C5165" s="2">
        <v>1997.0</v>
      </c>
      <c r="D5165" s="9">
        <v>9844.338</v>
      </c>
      <c r="E5165" s="10" t="str">
        <f t="array" ref="E5165">IFS(D5165&lt;=$G$3,'calculated data '!$A$3,D5165&lt;=$G$4,'calculated data '!$A$4,D5165&lt;=$G$6,'calculated data '!$A$5,D5165&gt;=$G$6,'calculated data '!$A$6)</f>
        <v>Target Market (Core IQR)</v>
      </c>
      <c r="F5165" s="10">
        <f t="shared" si="1"/>
        <v>-0.4025942999</v>
      </c>
    </row>
    <row r="5166" ht="14.25" customHeight="1">
      <c r="A5166" s="2" t="s">
        <v>281</v>
      </c>
      <c r="B5166" s="2" t="s">
        <v>282</v>
      </c>
      <c r="C5166" s="2">
        <v>2023.0</v>
      </c>
      <c r="D5166" s="9">
        <v>9847.72</v>
      </c>
      <c r="E5166" s="10" t="str">
        <f t="array" ref="E5166">IFS(D5166&lt;=$G$3,'calculated data '!$A$3,D5166&lt;=$G$4,'calculated data '!$A$4,D5166&lt;=$G$6,'calculated data '!$A$5,D5166&gt;=$G$6,'calculated data '!$A$6)</f>
        <v>Target Market (Core IQR)</v>
      </c>
      <c r="F5166" s="10">
        <f t="shared" si="1"/>
        <v>-0.4025047792</v>
      </c>
    </row>
    <row r="5167" ht="14.25" customHeight="1">
      <c r="A5167" s="2" t="s">
        <v>227</v>
      </c>
      <c r="B5167" s="2" t="s">
        <v>228</v>
      </c>
      <c r="C5167" s="2">
        <v>1998.0</v>
      </c>
      <c r="D5167" s="9">
        <v>9863.077</v>
      </c>
      <c r="E5167" s="10" t="str">
        <f t="array" ref="E5167">IFS(D5167&lt;=$G$3,'calculated data '!$A$3,D5167&lt;=$G$4,'calculated data '!$A$4,D5167&lt;=$G$6,'calculated data '!$A$5,D5167&gt;=$G$6,'calculated data '!$A$6)</f>
        <v>Target Market (Core IQR)</v>
      </c>
      <c r="F5167" s="10">
        <f t="shared" si="1"/>
        <v>-0.4020982832</v>
      </c>
    </row>
    <row r="5168" ht="14.25" customHeight="1">
      <c r="A5168" s="2" t="s">
        <v>321</v>
      </c>
      <c r="B5168" s="2" t="s">
        <v>322</v>
      </c>
      <c r="C5168" s="2">
        <v>2000.0</v>
      </c>
      <c r="D5168" s="9">
        <v>9865.099</v>
      </c>
      <c r="E5168" s="10" t="str">
        <f t="array" ref="E5168">IFS(D5168&lt;=$G$3,'calculated data '!$A$3,D5168&lt;=$G$4,'calculated data '!$A$4,D5168&lt;=$G$6,'calculated data '!$A$5,D5168&gt;=$G$6,'calculated data '!$A$6)</f>
        <v>Target Market (Core IQR)</v>
      </c>
      <c r="F5168" s="10">
        <f t="shared" si="1"/>
        <v>-0.4020447614</v>
      </c>
    </row>
    <row r="5169" ht="14.25" customHeight="1">
      <c r="A5169" s="2" t="s">
        <v>277</v>
      </c>
      <c r="B5169" s="2" t="s">
        <v>278</v>
      </c>
      <c r="C5169" s="2">
        <v>1996.0</v>
      </c>
      <c r="D5169" s="9">
        <v>9869.599</v>
      </c>
      <c r="E5169" s="10" t="str">
        <f t="array" ref="E5169">IFS(D5169&lt;=$G$3,'calculated data '!$A$3,D5169&lt;=$G$4,'calculated data '!$A$4,D5169&lt;=$G$6,'calculated data '!$A$5,D5169&gt;=$G$6,'calculated data '!$A$6)</f>
        <v>Target Market (Core IQR)</v>
      </c>
      <c r="F5169" s="10">
        <f t="shared" si="1"/>
        <v>-0.4019256475</v>
      </c>
    </row>
    <row r="5170" ht="14.25" customHeight="1">
      <c r="A5170" s="2" t="s">
        <v>183</v>
      </c>
      <c r="B5170" s="2" t="s">
        <v>184</v>
      </c>
      <c r="C5170" s="2">
        <v>2019.0</v>
      </c>
      <c r="D5170" s="9">
        <v>9869.874</v>
      </c>
      <c r="E5170" s="10" t="str">
        <f t="array" ref="E5170">IFS(D5170&lt;=$G$3,'calculated data '!$A$3,D5170&lt;=$G$4,'calculated data '!$A$4,D5170&lt;=$G$6,'calculated data '!$A$5,D5170&gt;=$G$6,'calculated data '!$A$6)</f>
        <v>Target Market (Core IQR)</v>
      </c>
      <c r="F5170" s="10">
        <f t="shared" si="1"/>
        <v>-0.4019183683</v>
      </c>
    </row>
    <row r="5171" ht="14.25" customHeight="1">
      <c r="A5171" s="2" t="s">
        <v>317</v>
      </c>
      <c r="B5171" s="2" t="s">
        <v>318</v>
      </c>
      <c r="C5171" s="2">
        <v>1973.0</v>
      </c>
      <c r="D5171" s="9">
        <v>9870.264</v>
      </c>
      <c r="E5171" s="10" t="str">
        <f t="array" ref="E5171">IFS(D5171&lt;=$G$3,'calculated data '!$A$3,D5171&lt;=$G$4,'calculated data '!$A$4,D5171&lt;=$G$6,'calculated data '!$A$5,D5171&gt;=$G$6,'calculated data '!$A$6)</f>
        <v>Target Market (Core IQR)</v>
      </c>
      <c r="F5171" s="10">
        <f t="shared" si="1"/>
        <v>-0.4019080451</v>
      </c>
    </row>
    <row r="5172" ht="14.25" customHeight="1">
      <c r="A5172" s="2" t="s">
        <v>83</v>
      </c>
      <c r="B5172" s="2" t="s">
        <v>84</v>
      </c>
      <c r="C5172" s="2">
        <v>2017.0</v>
      </c>
      <c r="D5172" s="9">
        <v>9871.347</v>
      </c>
      <c r="E5172" s="10" t="str">
        <f t="array" ref="E5172">IFS(D5172&lt;=$G$3,'calculated data '!$A$3,D5172&lt;=$G$4,'calculated data '!$A$4,D5172&lt;=$G$6,'calculated data '!$A$5,D5172&gt;=$G$6,'calculated data '!$A$6)</f>
        <v>Target Market (Core IQR)</v>
      </c>
      <c r="F5172" s="10">
        <f t="shared" si="1"/>
        <v>-0.4018793784</v>
      </c>
    </row>
    <row r="5173" ht="14.25" customHeight="1">
      <c r="A5173" s="2" t="s">
        <v>327</v>
      </c>
      <c r="B5173" s="2" t="s">
        <v>328</v>
      </c>
      <c r="C5173" s="2">
        <v>1984.0</v>
      </c>
      <c r="D5173" s="9">
        <v>9872.818</v>
      </c>
      <c r="E5173" s="10" t="str">
        <f t="array" ref="E5173">IFS(D5173&lt;=$G$3,'calculated data '!$A$3,D5173&lt;=$G$4,'calculated data '!$A$4,D5173&lt;=$G$6,'calculated data '!$A$5,D5173&gt;=$G$6,'calculated data '!$A$6)</f>
        <v>Target Market (Core IQR)</v>
      </c>
      <c r="F5173" s="10">
        <f t="shared" si="1"/>
        <v>-0.4018404414</v>
      </c>
    </row>
    <row r="5174" ht="14.25" customHeight="1">
      <c r="A5174" s="2" t="s">
        <v>205</v>
      </c>
      <c r="B5174" s="2" t="s">
        <v>206</v>
      </c>
      <c r="C5174" s="2">
        <v>2016.0</v>
      </c>
      <c r="D5174" s="9">
        <v>9874.531</v>
      </c>
      <c r="E5174" s="10" t="str">
        <f t="array" ref="E5174">IFS(D5174&lt;=$G$3,'calculated data '!$A$3,D5174&lt;=$G$4,'calculated data '!$A$4,D5174&lt;=$G$6,'calculated data '!$A$5,D5174&gt;=$G$6,'calculated data '!$A$6)</f>
        <v>Target Market (Core IQR)</v>
      </c>
      <c r="F5174" s="10">
        <f t="shared" si="1"/>
        <v>-0.4017950987</v>
      </c>
    </row>
    <row r="5175" ht="14.25" customHeight="1">
      <c r="A5175" s="2" t="s">
        <v>227</v>
      </c>
      <c r="B5175" s="2" t="s">
        <v>228</v>
      </c>
      <c r="C5175" s="2">
        <v>1999.0</v>
      </c>
      <c r="D5175" s="9">
        <v>9880.94</v>
      </c>
      <c r="E5175" s="10" t="str">
        <f t="array" ref="E5175">IFS(D5175&lt;=$G$3,'calculated data '!$A$3,D5175&lt;=$G$4,'calculated data '!$A$4,D5175&lt;=$G$6,'calculated data '!$A$5,D5175&gt;=$G$6,'calculated data '!$A$6)</f>
        <v>Target Market (Core IQR)</v>
      </c>
      <c r="F5175" s="10">
        <f t="shared" si="1"/>
        <v>-0.4016254541</v>
      </c>
    </row>
    <row r="5176" ht="14.25" customHeight="1">
      <c r="A5176" s="2" t="s">
        <v>269</v>
      </c>
      <c r="B5176" s="2" t="s">
        <v>270</v>
      </c>
      <c r="C5176" s="2">
        <v>1984.0</v>
      </c>
      <c r="D5176" s="9">
        <v>9881.432</v>
      </c>
      <c r="E5176" s="10" t="str">
        <f t="array" ref="E5176">IFS(D5176&lt;=$G$3,'calculated data '!$A$3,D5176&lt;=$G$4,'calculated data '!$A$4,D5176&lt;=$G$6,'calculated data '!$A$5,D5176&gt;=$G$6,'calculated data '!$A$6)</f>
        <v>Target Market (Core IQR)</v>
      </c>
      <c r="F5176" s="10">
        <f t="shared" si="1"/>
        <v>-0.401612431</v>
      </c>
    </row>
    <row r="5177" ht="14.25" customHeight="1">
      <c r="A5177" s="2" t="s">
        <v>205</v>
      </c>
      <c r="B5177" s="2" t="s">
        <v>206</v>
      </c>
      <c r="C5177" s="2">
        <v>2018.0</v>
      </c>
      <c r="D5177" s="9">
        <v>9881.632</v>
      </c>
      <c r="E5177" s="10" t="str">
        <f t="array" ref="E5177">IFS(D5177&lt;=$G$3,'calculated data '!$A$3,D5177&lt;=$G$4,'calculated data '!$A$4,D5177&lt;=$G$6,'calculated data '!$A$5,D5177&gt;=$G$6,'calculated data '!$A$6)</f>
        <v>Target Market (Core IQR)</v>
      </c>
      <c r="F5177" s="10">
        <f t="shared" si="1"/>
        <v>-0.401607137</v>
      </c>
    </row>
    <row r="5178" ht="14.25" customHeight="1">
      <c r="A5178" s="2" t="s">
        <v>263</v>
      </c>
      <c r="B5178" s="2" t="s">
        <v>264</v>
      </c>
      <c r="C5178" s="2">
        <v>2000.0</v>
      </c>
      <c r="D5178" s="9">
        <v>9897.71</v>
      </c>
      <c r="E5178" s="10" t="str">
        <f t="array" ref="E5178">IFS(D5178&lt;=$G$3,'calculated data '!$A$3,D5178&lt;=$G$4,'calculated data '!$A$4,D5178&lt;=$G$6,'calculated data '!$A$5,D5178&gt;=$G$6,'calculated data '!$A$6)</f>
        <v>Target Market (Core IQR)</v>
      </c>
      <c r="F5178" s="10">
        <f t="shared" si="1"/>
        <v>-0.4011815564</v>
      </c>
    </row>
    <row r="5179" ht="14.25" customHeight="1">
      <c r="A5179" s="2" t="s">
        <v>203</v>
      </c>
      <c r="B5179" s="2" t="s">
        <v>204</v>
      </c>
      <c r="C5179" s="2">
        <v>2007.0</v>
      </c>
      <c r="D5179" s="9">
        <v>9904.05</v>
      </c>
      <c r="E5179" s="10" t="str">
        <f t="array" ref="E5179">IFS(D5179&lt;=$G$3,'calculated data '!$A$3,D5179&lt;=$G$4,'calculated data '!$A$4,D5179&lt;=$G$6,'calculated data '!$A$5,D5179&gt;=$G$6,'calculated data '!$A$6)</f>
        <v>Target Market (Core IQR)</v>
      </c>
      <c r="F5179" s="10">
        <f t="shared" si="1"/>
        <v>-0.4010137381</v>
      </c>
    </row>
    <row r="5180" ht="14.25" customHeight="1">
      <c r="A5180" s="2" t="s">
        <v>281</v>
      </c>
      <c r="B5180" s="2" t="s">
        <v>282</v>
      </c>
      <c r="C5180" s="2">
        <v>2016.0</v>
      </c>
      <c r="D5180" s="9">
        <v>9906.835</v>
      </c>
      <c r="E5180" s="10" t="str">
        <f t="array" ref="E5180">IFS(D5180&lt;=$G$3,'calculated data '!$A$3,D5180&lt;=$G$4,'calculated data '!$A$4,D5180&lt;=$G$6,'calculated data '!$A$5,D5180&gt;=$G$6,'calculated data '!$A$6)</f>
        <v>Target Market (Core IQR)</v>
      </c>
      <c r="F5180" s="10">
        <f t="shared" si="1"/>
        <v>-0.4009400199</v>
      </c>
    </row>
    <row r="5181" ht="14.25" customHeight="1">
      <c r="A5181" s="2" t="s">
        <v>237</v>
      </c>
      <c r="B5181" s="2" t="s">
        <v>238</v>
      </c>
      <c r="C5181" s="2">
        <v>2001.0</v>
      </c>
      <c r="D5181" s="9">
        <v>9914.066</v>
      </c>
      <c r="E5181" s="10" t="str">
        <f t="array" ref="E5181">IFS(D5181&lt;=$G$3,'calculated data '!$A$3,D5181&lt;=$G$4,'calculated data '!$A$4,D5181&lt;=$G$6,'calculated data '!$A$5,D5181&gt;=$G$6,'calculated data '!$A$6)</f>
        <v>Target Market (Core IQR)</v>
      </c>
      <c r="F5181" s="10">
        <f t="shared" si="1"/>
        <v>-0.4007486171</v>
      </c>
    </row>
    <row r="5182" ht="14.25" customHeight="1">
      <c r="A5182" s="2" t="s">
        <v>191</v>
      </c>
      <c r="B5182" s="2" t="s">
        <v>192</v>
      </c>
      <c r="C5182" s="2">
        <v>2013.0</v>
      </c>
      <c r="D5182" s="9">
        <v>9915.615</v>
      </c>
      <c r="E5182" s="10" t="str">
        <f t="array" ref="E5182">IFS(D5182&lt;=$G$3,'calculated data '!$A$3,D5182&lt;=$G$4,'calculated data '!$A$4,D5182&lt;=$G$6,'calculated data '!$A$5,D5182&gt;=$G$6,'calculated data '!$A$6)</f>
        <v>Target Market (Core IQR)</v>
      </c>
      <c r="F5182" s="10">
        <f t="shared" si="1"/>
        <v>-0.4007076155</v>
      </c>
    </row>
    <row r="5183" ht="14.25" customHeight="1">
      <c r="A5183" s="2" t="s">
        <v>305</v>
      </c>
      <c r="B5183" s="2" t="s">
        <v>306</v>
      </c>
      <c r="C5183" s="2">
        <v>1997.0</v>
      </c>
      <c r="D5183" s="9">
        <v>9915.773</v>
      </c>
      <c r="E5183" s="10" t="str">
        <f t="array" ref="E5183">IFS(D5183&lt;=$G$3,'calculated data '!$A$3,D5183&lt;=$G$4,'calculated data '!$A$4,D5183&lt;=$G$6,'calculated data '!$A$5,D5183&gt;=$G$6,'calculated data '!$A$6)</f>
        <v>Target Market (Core IQR)</v>
      </c>
      <c r="F5183" s="10">
        <f t="shared" si="1"/>
        <v>-0.4007034332</v>
      </c>
    </row>
    <row r="5184" ht="14.25" customHeight="1">
      <c r="A5184" s="2" t="s">
        <v>207</v>
      </c>
      <c r="B5184" s="2" t="s">
        <v>208</v>
      </c>
      <c r="C5184" s="2">
        <v>2001.0</v>
      </c>
      <c r="D5184" s="9">
        <v>9915.962</v>
      </c>
      <c r="E5184" s="10" t="str">
        <f t="array" ref="E5184">IFS(D5184&lt;=$G$3,'calculated data '!$A$3,D5184&lt;=$G$4,'calculated data '!$A$4,D5184&lt;=$G$6,'calculated data '!$A$5,D5184&gt;=$G$6,'calculated data '!$A$6)</f>
        <v>Target Market (Core IQR)</v>
      </c>
      <c r="F5184" s="10">
        <f t="shared" si="1"/>
        <v>-0.4006984305</v>
      </c>
    </row>
    <row r="5185" ht="14.25" customHeight="1">
      <c r="A5185" s="2" t="s">
        <v>257</v>
      </c>
      <c r="B5185" s="2" t="s">
        <v>258</v>
      </c>
      <c r="C5185" s="2">
        <v>1980.0</v>
      </c>
      <c r="D5185" s="9">
        <v>9917.393</v>
      </c>
      <c r="E5185" s="10" t="str">
        <f t="array" ref="E5185">IFS(D5185&lt;=$G$3,'calculated data '!$A$3,D5185&lt;=$G$4,'calculated data '!$A$4,D5185&lt;=$G$6,'calculated data '!$A$5,D5185&gt;=$G$6,'calculated data '!$A$6)</f>
        <v>Target Market (Core IQR)</v>
      </c>
      <c r="F5185" s="10">
        <f t="shared" si="1"/>
        <v>-0.4006605522</v>
      </c>
    </row>
    <row r="5186" ht="14.25" customHeight="1">
      <c r="A5186" s="2" t="s">
        <v>249</v>
      </c>
      <c r="B5186" s="2" t="s">
        <v>250</v>
      </c>
      <c r="C5186" s="2">
        <v>1982.0</v>
      </c>
      <c r="D5186" s="9">
        <v>9919.91</v>
      </c>
      <c r="E5186" s="10" t="str">
        <f t="array" ref="E5186">IFS(D5186&lt;=$G$3,'calculated data '!$A$3,D5186&lt;=$G$4,'calculated data '!$A$4,D5186&lt;=$G$6,'calculated data '!$A$5,D5186&gt;=$G$6,'calculated data '!$A$6)</f>
        <v>Target Market (Core IQR)</v>
      </c>
      <c r="F5186" s="10">
        <f t="shared" si="1"/>
        <v>-0.4005939279</v>
      </c>
    </row>
    <row r="5187" ht="14.25" customHeight="1">
      <c r="A5187" s="2" t="s">
        <v>297</v>
      </c>
      <c r="B5187" s="2" t="s">
        <v>298</v>
      </c>
      <c r="C5187" s="2">
        <v>2011.0</v>
      </c>
      <c r="D5187" s="9">
        <v>9922.715</v>
      </c>
      <c r="E5187" s="10" t="str">
        <f t="array" ref="E5187">IFS(D5187&lt;=$G$3,'calculated data '!$A$3,D5187&lt;=$G$4,'calculated data '!$A$4,D5187&lt;=$G$6,'calculated data '!$A$5,D5187&gt;=$G$6,'calculated data '!$A$6)</f>
        <v>Target Market (Core IQR)</v>
      </c>
      <c r="F5187" s="10">
        <f t="shared" si="1"/>
        <v>-0.4005196802</v>
      </c>
    </row>
    <row r="5188" ht="14.25" customHeight="1">
      <c r="A5188" s="2" t="s">
        <v>281</v>
      </c>
      <c r="B5188" s="2" t="s">
        <v>282</v>
      </c>
      <c r="C5188" s="2">
        <v>2022.0</v>
      </c>
      <c r="D5188" s="9">
        <v>9926.57</v>
      </c>
      <c r="E5188" s="10" t="str">
        <f t="array" ref="E5188">IFS(D5188&lt;=$G$3,'calculated data '!$A$3,D5188&lt;=$G$4,'calculated data '!$A$4,D5188&lt;=$G$6,'calculated data '!$A$5,D5188&gt;=$G$6,'calculated data '!$A$6)</f>
        <v>Target Market (Core IQR)</v>
      </c>
      <c r="F5188" s="10">
        <f t="shared" si="1"/>
        <v>-0.4004176393</v>
      </c>
    </row>
    <row r="5189" ht="14.25" customHeight="1">
      <c r="A5189" s="2" t="s">
        <v>315</v>
      </c>
      <c r="B5189" s="2" t="s">
        <v>316</v>
      </c>
      <c r="C5189" s="2">
        <v>2005.0</v>
      </c>
      <c r="D5189" s="9">
        <v>9927.586</v>
      </c>
      <c r="E5189" s="10" t="str">
        <f t="array" ref="E5189">IFS(D5189&lt;=$G$3,'calculated data '!$A$3,D5189&lt;=$G$4,'calculated data '!$A$4,D5189&lt;=$G$6,'calculated data '!$A$5,D5189&gt;=$G$6,'calculated data '!$A$6)</f>
        <v>Target Market (Core IQR)</v>
      </c>
      <c r="F5189" s="10">
        <f t="shared" si="1"/>
        <v>-0.4003907461</v>
      </c>
    </row>
    <row r="5190" ht="14.25" customHeight="1">
      <c r="A5190" s="2" t="s">
        <v>261</v>
      </c>
      <c r="B5190" s="2" t="s">
        <v>262</v>
      </c>
      <c r="C5190" s="2">
        <v>2023.0</v>
      </c>
      <c r="D5190" s="9">
        <v>9928.395</v>
      </c>
      <c r="E5190" s="10" t="str">
        <f t="array" ref="E5190">IFS(D5190&lt;=$G$3,'calculated data '!$A$3,D5190&lt;=$G$4,'calculated data '!$A$4,D5190&lt;=$G$6,'calculated data '!$A$5,D5190&gt;=$G$6,'calculated data '!$A$6)</f>
        <v>Target Market (Core IQR)</v>
      </c>
      <c r="F5190" s="10">
        <f t="shared" si="1"/>
        <v>-0.400369332</v>
      </c>
    </row>
    <row r="5191" ht="14.25" customHeight="1">
      <c r="A5191" s="2" t="s">
        <v>203</v>
      </c>
      <c r="B5191" s="2" t="s">
        <v>204</v>
      </c>
      <c r="C5191" s="2">
        <v>2014.0</v>
      </c>
      <c r="D5191" s="9">
        <v>9935.014</v>
      </c>
      <c r="E5191" s="10" t="str">
        <f t="array" ref="E5191">IFS(D5191&lt;=$G$3,'calculated data '!$A$3,D5191&lt;=$G$4,'calculated data '!$A$4,D5191&lt;=$G$6,'calculated data '!$A$5,D5191&gt;=$G$6,'calculated data '!$A$6)</f>
        <v>Target Market (Core IQR)</v>
      </c>
      <c r="F5191" s="10">
        <f t="shared" si="1"/>
        <v>-0.4001941288</v>
      </c>
    </row>
    <row r="5192" ht="14.25" customHeight="1">
      <c r="A5192" s="2" t="s">
        <v>237</v>
      </c>
      <c r="B5192" s="2" t="s">
        <v>238</v>
      </c>
      <c r="C5192" s="2">
        <v>2005.0</v>
      </c>
      <c r="D5192" s="9">
        <v>9938.069</v>
      </c>
      <c r="E5192" s="10" t="str">
        <f t="array" ref="E5192">IFS(D5192&lt;=$G$3,'calculated data '!$A$3,D5192&lt;=$G$4,'calculated data '!$A$4,D5192&lt;=$G$6,'calculated data '!$A$5,D5192&gt;=$G$6,'calculated data '!$A$6)</f>
        <v>Target Market (Core IQR)</v>
      </c>
      <c r="F5192" s="10">
        <f t="shared" si="1"/>
        <v>-0.4001132637</v>
      </c>
    </row>
    <row r="5193" ht="14.25" customHeight="1">
      <c r="A5193" s="2" t="s">
        <v>205</v>
      </c>
      <c r="B5193" s="2" t="s">
        <v>206</v>
      </c>
      <c r="C5193" s="2">
        <v>2013.0</v>
      </c>
      <c r="D5193" s="9">
        <v>9940.274</v>
      </c>
      <c r="E5193" s="10" t="str">
        <f t="array" ref="E5193">IFS(D5193&lt;=$G$3,'calculated data '!$A$3,D5193&lt;=$G$4,'calculated data '!$A$4,D5193&lt;=$G$6,'calculated data '!$A$5,D5193&gt;=$G$6,'calculated data '!$A$6)</f>
        <v>Target Market (Core IQR)</v>
      </c>
      <c r="F5193" s="10">
        <f t="shared" si="1"/>
        <v>-0.4000548979</v>
      </c>
    </row>
    <row r="5194" ht="14.25" customHeight="1">
      <c r="A5194" s="2" t="s">
        <v>235</v>
      </c>
      <c r="B5194" s="2" t="s">
        <v>236</v>
      </c>
      <c r="C5194" s="2">
        <v>1999.0</v>
      </c>
      <c r="D5194" s="9">
        <v>9943.688</v>
      </c>
      <c r="E5194" s="10" t="str">
        <f t="array" ref="E5194">IFS(D5194&lt;=$G$3,'calculated data '!$A$3,D5194&lt;=$G$4,'calculated data '!$A$4,D5194&lt;=$G$6,'calculated data '!$A$5,D5194&gt;=$G$6,'calculated data '!$A$6)</f>
        <v>Target Market (Core IQR)</v>
      </c>
      <c r="F5194" s="10">
        <f t="shared" si="1"/>
        <v>-0.3999645301</v>
      </c>
    </row>
    <row r="5195" ht="14.25" customHeight="1">
      <c r="A5195" s="2" t="s">
        <v>265</v>
      </c>
      <c r="B5195" s="2" t="s">
        <v>266</v>
      </c>
      <c r="C5195" s="2">
        <v>2023.0</v>
      </c>
      <c r="D5195" s="9">
        <v>9946.134</v>
      </c>
      <c r="E5195" s="10" t="str">
        <f t="array" ref="E5195">IFS(D5195&lt;=$G$3,'calculated data '!$A$3,D5195&lt;=$G$4,'calculated data '!$A$4,D5195&lt;=$G$6,'calculated data '!$A$5,D5195&gt;=$G$6,'calculated data '!$A$6)</f>
        <v>Target Market (Core IQR)</v>
      </c>
      <c r="F5195" s="10">
        <f t="shared" si="1"/>
        <v>-0.3998997851</v>
      </c>
    </row>
    <row r="5196" ht="14.25" customHeight="1">
      <c r="A5196" s="2" t="s">
        <v>297</v>
      </c>
      <c r="B5196" s="2" t="s">
        <v>298</v>
      </c>
      <c r="C5196" s="2">
        <v>2009.0</v>
      </c>
      <c r="D5196" s="9">
        <v>9947.294</v>
      </c>
      <c r="E5196" s="10" t="str">
        <f t="array" ref="E5196">IFS(D5196&lt;=$G$3,'calculated data '!$A$3,D5196&lt;=$G$4,'calculated data '!$A$4,D5196&lt;=$G$6,'calculated data '!$A$5,D5196&gt;=$G$6,'calculated data '!$A$6)</f>
        <v>Target Market (Core IQR)</v>
      </c>
      <c r="F5196" s="10">
        <f t="shared" si="1"/>
        <v>-0.3998690802</v>
      </c>
    </row>
    <row r="5197" ht="14.25" customHeight="1">
      <c r="A5197" s="2" t="s">
        <v>315</v>
      </c>
      <c r="B5197" s="2" t="s">
        <v>316</v>
      </c>
      <c r="C5197" s="2">
        <v>2008.0</v>
      </c>
      <c r="D5197" s="9">
        <v>9947.718</v>
      </c>
      <c r="E5197" s="10" t="str">
        <f t="array" ref="E5197">IFS(D5197&lt;=$G$3,'calculated data '!$A$3,D5197&lt;=$G$4,'calculated data '!$A$4,D5197&lt;=$G$6,'calculated data '!$A$5,D5197&gt;=$G$6,'calculated data '!$A$6)</f>
        <v>Target Market (Core IQR)</v>
      </c>
      <c r="F5197" s="10">
        <f t="shared" si="1"/>
        <v>-0.399857857</v>
      </c>
    </row>
    <row r="5198" ht="14.25" customHeight="1">
      <c r="A5198" s="2" t="s">
        <v>237</v>
      </c>
      <c r="B5198" s="2" t="s">
        <v>238</v>
      </c>
      <c r="C5198" s="2">
        <v>2006.0</v>
      </c>
      <c r="D5198" s="9">
        <v>9953.0205</v>
      </c>
      <c r="E5198" s="10" t="str">
        <f t="array" ref="E5198">IFS(D5198&lt;=$G$3,'calculated data '!$A$3,D5198&lt;=$G$4,'calculated data '!$A$4,D5198&lt;=$G$6,'calculated data '!$A$5,D5198&gt;=$G$6,'calculated data '!$A$6)</f>
        <v>Target Market (Core IQR)</v>
      </c>
      <c r="F5198" s="10">
        <f t="shared" si="1"/>
        <v>-0.3997175012</v>
      </c>
    </row>
    <row r="5199" ht="14.25" customHeight="1">
      <c r="A5199" s="2" t="s">
        <v>305</v>
      </c>
      <c r="B5199" s="2" t="s">
        <v>306</v>
      </c>
      <c r="C5199" s="2">
        <v>1982.0</v>
      </c>
      <c r="D5199" s="9">
        <v>9962.021</v>
      </c>
      <c r="E5199" s="10" t="str">
        <f t="array" ref="E5199">IFS(D5199&lt;=$G$3,'calculated data '!$A$3,D5199&lt;=$G$4,'calculated data '!$A$4,D5199&lt;=$G$6,'calculated data '!$A$5,D5199&gt;=$G$6,'calculated data '!$A$6)</f>
        <v>Target Market (Core IQR)</v>
      </c>
      <c r="F5199" s="10">
        <f t="shared" si="1"/>
        <v>-0.3994792602</v>
      </c>
    </row>
    <row r="5200" ht="14.25" customHeight="1">
      <c r="A5200" s="2" t="s">
        <v>301</v>
      </c>
      <c r="B5200" s="2" t="s">
        <v>302</v>
      </c>
      <c r="C5200" s="2">
        <v>1976.0</v>
      </c>
      <c r="D5200" s="9">
        <v>9963.825</v>
      </c>
      <c r="E5200" s="10" t="str">
        <f t="array" ref="E5200">IFS(D5200&lt;=$G$3,'calculated data '!$A$3,D5200&lt;=$G$4,'calculated data '!$A$4,D5200&lt;=$G$6,'calculated data '!$A$5,D5200&gt;=$G$6,'calculated data '!$A$6)</f>
        <v>Target Market (Core IQR)</v>
      </c>
      <c r="F5200" s="10">
        <f t="shared" si="1"/>
        <v>-0.3994315088</v>
      </c>
    </row>
    <row r="5201" ht="14.25" customHeight="1">
      <c r="A5201" s="2" t="s">
        <v>317</v>
      </c>
      <c r="B5201" s="2" t="s">
        <v>318</v>
      </c>
      <c r="C5201" s="2">
        <v>2000.0</v>
      </c>
      <c r="D5201" s="9">
        <v>9964.002</v>
      </c>
      <c r="E5201" s="10" t="str">
        <f t="array" ref="E5201">IFS(D5201&lt;=$G$3,'calculated data '!$A$3,D5201&lt;=$G$4,'calculated data '!$A$4,D5201&lt;=$G$6,'calculated data '!$A$5,D5201&gt;=$G$6,'calculated data '!$A$6)</f>
        <v>Target Market (Core IQR)</v>
      </c>
      <c r="F5201" s="10">
        <f t="shared" si="1"/>
        <v>-0.3994268236</v>
      </c>
    </row>
    <row r="5202" ht="14.25" customHeight="1">
      <c r="A5202" s="2" t="s">
        <v>329</v>
      </c>
      <c r="B5202" s="2" t="s">
        <v>330</v>
      </c>
      <c r="C5202" s="2">
        <v>1990.0</v>
      </c>
      <c r="D5202" s="9">
        <v>9979.725</v>
      </c>
      <c r="E5202" s="10" t="str">
        <f t="array" ref="E5202">IFS(D5202&lt;=$G$3,'calculated data '!$A$3,D5202&lt;=$G$4,'calculated data '!$A$4,D5202&lt;=$G$6,'calculated data '!$A$5,D5202&gt;=$G$6,'calculated data '!$A$6)</f>
        <v>Target Market (Core IQR)</v>
      </c>
      <c r="F5202" s="10">
        <f t="shared" si="1"/>
        <v>-0.3990106397</v>
      </c>
    </row>
    <row r="5203" ht="14.25" customHeight="1">
      <c r="A5203" s="2" t="s">
        <v>269</v>
      </c>
      <c r="B5203" s="2" t="s">
        <v>270</v>
      </c>
      <c r="C5203" s="2">
        <v>1985.0</v>
      </c>
      <c r="D5203" s="9">
        <v>9985.254</v>
      </c>
      <c r="E5203" s="10" t="str">
        <f t="array" ref="E5203">IFS(D5203&lt;=$G$3,'calculated data '!$A$3,D5203&lt;=$G$4,'calculated data '!$A$4,D5203&lt;=$G$6,'calculated data '!$A$5,D5203&gt;=$G$6,'calculated data '!$A$6)</f>
        <v>Target Market (Core IQR)</v>
      </c>
      <c r="F5203" s="10">
        <f t="shared" si="1"/>
        <v>-0.3988642885</v>
      </c>
    </row>
    <row r="5204" ht="14.25" customHeight="1">
      <c r="A5204" s="2" t="s">
        <v>231</v>
      </c>
      <c r="B5204" s="2" t="s">
        <v>232</v>
      </c>
      <c r="C5204" s="2">
        <v>1993.0</v>
      </c>
      <c r="D5204" s="9">
        <v>9988.846</v>
      </c>
      <c r="E5204" s="10" t="str">
        <f t="array" ref="E5204">IFS(D5204&lt;=$G$3,'calculated data '!$A$3,D5204&lt;=$G$4,'calculated data '!$A$4,D5204&lt;=$G$6,'calculated data '!$A$5,D5204&gt;=$G$6,'calculated data '!$A$6)</f>
        <v>Target Market (Core IQR)</v>
      </c>
      <c r="F5204" s="10">
        <f t="shared" si="1"/>
        <v>-0.3987692091</v>
      </c>
    </row>
    <row r="5205" ht="14.25" customHeight="1">
      <c r="A5205" s="2" t="s">
        <v>303</v>
      </c>
      <c r="B5205" s="2" t="s">
        <v>304</v>
      </c>
      <c r="C5205" s="2">
        <v>2009.0</v>
      </c>
      <c r="D5205" s="9">
        <v>9992.191</v>
      </c>
      <c r="E5205" s="10" t="str">
        <f t="array" ref="E5205">IFS(D5205&lt;=$G$3,'calculated data '!$A$3,D5205&lt;=$G$4,'calculated data '!$A$4,D5205&lt;=$G$6,'calculated data '!$A$5,D5205&gt;=$G$6,'calculated data '!$A$6)</f>
        <v>Target Market (Core IQR)</v>
      </c>
      <c r="F5205" s="10">
        <f t="shared" si="1"/>
        <v>-0.3986806678</v>
      </c>
    </row>
    <row r="5206" ht="14.25" customHeight="1">
      <c r="A5206" s="2" t="s">
        <v>227</v>
      </c>
      <c r="B5206" s="2" t="s">
        <v>228</v>
      </c>
      <c r="C5206" s="2">
        <v>2003.0</v>
      </c>
      <c r="D5206" s="9">
        <v>10003.62</v>
      </c>
      <c r="E5206" s="10" t="str">
        <f t="array" ref="E5206">IFS(D5206&lt;=$G$3,'calculated data '!$A$3,D5206&lt;=$G$4,'calculated data '!$A$4,D5206&lt;=$G$6,'calculated data '!$A$5,D5206&gt;=$G$6,'calculated data '!$A$6)</f>
        <v>Target Market (Core IQR)</v>
      </c>
      <c r="F5206" s="10">
        <f t="shared" si="1"/>
        <v>-0.398378145</v>
      </c>
    </row>
    <row r="5207" ht="14.25" customHeight="1">
      <c r="A5207" s="2" t="s">
        <v>289</v>
      </c>
      <c r="B5207" s="2" t="s">
        <v>290</v>
      </c>
      <c r="C5207" s="2">
        <v>2001.0</v>
      </c>
      <c r="D5207" s="9">
        <v>10003.666</v>
      </c>
      <c r="E5207" s="10" t="str">
        <f t="array" ref="E5207">IFS(D5207&lt;=$G$3,'calculated data '!$A$3,D5207&lt;=$G$4,'calculated data '!$A$4,D5207&lt;=$G$6,'calculated data '!$A$5,D5207&gt;=$G$6,'calculated data '!$A$6)</f>
        <v>Target Market (Core IQR)</v>
      </c>
      <c r="F5207" s="10">
        <f t="shared" si="1"/>
        <v>-0.3983769274</v>
      </c>
    </row>
    <row r="5208" ht="14.25" customHeight="1">
      <c r="A5208" s="2" t="s">
        <v>289</v>
      </c>
      <c r="B5208" s="2" t="s">
        <v>290</v>
      </c>
      <c r="C5208" s="2">
        <v>2023.0</v>
      </c>
      <c r="D5208" s="9">
        <v>10008.584</v>
      </c>
      <c r="E5208" s="10" t="str">
        <f t="array" ref="E5208">IFS(D5208&lt;=$G$3,'calculated data '!$A$3,D5208&lt;=$G$4,'calculated data '!$A$4,D5208&lt;=$G$6,'calculated data '!$A$5,D5208&gt;=$G$6,'calculated data '!$A$6)</f>
        <v>Target Market (Core IQR)</v>
      </c>
      <c r="F5208" s="10">
        <f t="shared" si="1"/>
        <v>-0.3982467492</v>
      </c>
    </row>
    <row r="5209" ht="14.25" customHeight="1">
      <c r="A5209" s="2" t="s">
        <v>185</v>
      </c>
      <c r="B5209" s="2" t="s">
        <v>186</v>
      </c>
      <c r="C5209" s="2">
        <v>2021.0</v>
      </c>
      <c r="D5209" s="9">
        <v>10010.844</v>
      </c>
      <c r="E5209" s="10" t="str">
        <f t="array" ref="E5209">IFS(D5209&lt;=$G$3,'calculated data '!$A$3,D5209&lt;=$G$4,'calculated data '!$A$4,D5209&lt;=$G$6,'calculated data '!$A$5,D5209&gt;=$G$6,'calculated data '!$A$6)</f>
        <v>Target Market (Core IQR)</v>
      </c>
      <c r="F5209" s="10">
        <f t="shared" si="1"/>
        <v>-0.3981869275</v>
      </c>
    </row>
    <row r="5210" ht="14.25" customHeight="1">
      <c r="A5210" s="2" t="s">
        <v>289</v>
      </c>
      <c r="B5210" s="2" t="s">
        <v>290</v>
      </c>
      <c r="C5210" s="2">
        <v>2024.0</v>
      </c>
      <c r="D5210" s="9">
        <v>10024.105</v>
      </c>
      <c r="E5210" s="10" t="str">
        <f t="array" ref="E5210">IFS(D5210&lt;=$G$3,'calculated data '!$A$3,D5210&lt;=$G$4,'calculated data '!$A$4,D5210&lt;=$G$6,'calculated data '!$A$5,D5210&gt;=$G$6,'calculated data '!$A$6)</f>
        <v>Target Market (Core IQR)</v>
      </c>
      <c r="F5210" s="10">
        <f t="shared" si="1"/>
        <v>-0.3978359122</v>
      </c>
    </row>
    <row r="5211" ht="14.25" customHeight="1">
      <c r="A5211" s="2" t="s">
        <v>83</v>
      </c>
      <c r="B5211" s="2" t="s">
        <v>84</v>
      </c>
      <c r="C5211" s="2">
        <v>2018.0</v>
      </c>
      <c r="D5211" s="9">
        <v>10029.2</v>
      </c>
      <c r="E5211" s="10" t="str">
        <f t="array" ref="E5211">IFS(D5211&lt;=$G$3,'calculated data '!$A$3,D5211&lt;=$G$4,'calculated data '!$A$4,D5211&lt;=$G$6,'calculated data '!$A$5,D5211&gt;=$G$6,'calculated data '!$A$6)</f>
        <v>Target Market (Core IQR)</v>
      </c>
      <c r="F5211" s="10">
        <f t="shared" si="1"/>
        <v>-0.3977010488</v>
      </c>
    </row>
    <row r="5212" ht="14.25" customHeight="1">
      <c r="A5212" s="2" t="s">
        <v>205</v>
      </c>
      <c r="B5212" s="2" t="s">
        <v>206</v>
      </c>
      <c r="C5212" s="2">
        <v>2011.0</v>
      </c>
      <c r="D5212" s="9">
        <v>10053.23</v>
      </c>
      <c r="E5212" s="10" t="str">
        <f t="array" ref="E5212">IFS(D5212&lt;=$G$3,'calculated data '!$A$3,D5212&lt;=$G$4,'calculated data '!$A$4,D5212&lt;=$G$6,'calculated data '!$A$5,D5212&gt;=$G$6,'calculated data '!$A$6)</f>
        <v>Target Market (Core IQR)</v>
      </c>
      <c r="F5212" s="10">
        <f t="shared" si="1"/>
        <v>-0.3970649807</v>
      </c>
    </row>
    <row r="5213" ht="14.25" customHeight="1">
      <c r="A5213" s="2" t="s">
        <v>271</v>
      </c>
      <c r="B5213" s="2" t="s">
        <v>272</v>
      </c>
      <c r="C5213" s="2">
        <v>1974.0</v>
      </c>
      <c r="D5213" s="9">
        <v>10059.831</v>
      </c>
      <c r="E5213" s="10" t="str">
        <f t="array" ref="E5213">IFS(D5213&lt;=$G$3,'calculated data '!$A$3,D5213&lt;=$G$4,'calculated data '!$A$4,D5213&lt;=$G$6,'calculated data '!$A$5,D5213&gt;=$G$6,'calculated data '!$A$6)</f>
        <v>Target Market (Core IQR)</v>
      </c>
      <c r="F5213" s="10">
        <f t="shared" si="1"/>
        <v>-0.3968902539</v>
      </c>
    </row>
    <row r="5214" ht="14.25" customHeight="1">
      <c r="A5214" s="2" t="s">
        <v>207</v>
      </c>
      <c r="B5214" s="2" t="s">
        <v>208</v>
      </c>
      <c r="C5214" s="2">
        <v>1997.0</v>
      </c>
      <c r="D5214" s="9">
        <v>10064.91</v>
      </c>
      <c r="E5214" s="10" t="str">
        <f t="array" ref="E5214">IFS(D5214&lt;=$G$3,'calculated data '!$A$3,D5214&lt;=$G$4,'calculated data '!$A$4,D5214&lt;=$G$6,'calculated data '!$A$5,D5214&gt;=$G$6,'calculated data '!$A$6)</f>
        <v>Target Market (Core IQR)</v>
      </c>
      <c r="F5214" s="10">
        <f t="shared" si="1"/>
        <v>-0.396755814</v>
      </c>
    </row>
    <row r="5215" ht="14.25" customHeight="1">
      <c r="A5215" s="2" t="s">
        <v>305</v>
      </c>
      <c r="B5215" s="2" t="s">
        <v>306</v>
      </c>
      <c r="C5215" s="2">
        <v>2014.0</v>
      </c>
      <c r="D5215" s="9">
        <v>10070.404</v>
      </c>
      <c r="E5215" s="10" t="str">
        <f t="array" ref="E5215">IFS(D5215&lt;=$G$3,'calculated data '!$A$3,D5215&lt;=$G$4,'calculated data '!$A$4,D5215&lt;=$G$6,'calculated data '!$A$5,D5215&gt;=$G$6,'calculated data '!$A$6)</f>
        <v>Target Market (Core IQR)</v>
      </c>
      <c r="F5215" s="10">
        <f t="shared" si="1"/>
        <v>-0.3966103892</v>
      </c>
    </row>
    <row r="5216" ht="14.25" customHeight="1">
      <c r="A5216" s="2" t="s">
        <v>305</v>
      </c>
      <c r="B5216" s="2" t="s">
        <v>306</v>
      </c>
      <c r="C5216" s="2">
        <v>2012.0</v>
      </c>
      <c r="D5216" s="9">
        <v>10072.727</v>
      </c>
      <c r="E5216" s="10" t="str">
        <f t="array" ref="E5216">IFS(D5216&lt;=$G$3,'calculated data '!$A$3,D5216&lt;=$G$4,'calculated data '!$A$4,D5216&lt;=$G$6,'calculated data '!$A$5,D5216&gt;=$G$6,'calculated data '!$A$6)</f>
        <v>Target Market (Core IQR)</v>
      </c>
      <c r="F5216" s="10">
        <f t="shared" si="1"/>
        <v>-0.3965489</v>
      </c>
    </row>
    <row r="5217" ht="14.25" customHeight="1">
      <c r="A5217" s="2" t="s">
        <v>163</v>
      </c>
      <c r="B5217" s="2" t="s">
        <v>164</v>
      </c>
      <c r="C5217" s="2">
        <v>2017.0</v>
      </c>
      <c r="D5217" s="9">
        <v>10073.823</v>
      </c>
      <c r="E5217" s="10" t="str">
        <f t="array" ref="E5217">IFS(D5217&lt;=$G$3,'calculated data '!$A$3,D5217&lt;=$G$4,'calculated data '!$A$4,D5217&lt;=$G$6,'calculated data '!$A$5,D5217&gt;=$G$6,'calculated data '!$A$6)</f>
        <v>Target Market (Core IQR)</v>
      </c>
      <c r="F5217" s="10">
        <f t="shared" si="1"/>
        <v>-0.3965198891</v>
      </c>
    </row>
    <row r="5218" ht="14.25" customHeight="1">
      <c r="A5218" s="2" t="s">
        <v>263</v>
      </c>
      <c r="B5218" s="2" t="s">
        <v>264</v>
      </c>
      <c r="C5218" s="2">
        <v>2018.0</v>
      </c>
      <c r="D5218" s="9">
        <v>10077.037</v>
      </c>
      <c r="E5218" s="10" t="str">
        <f t="array" ref="E5218">IFS(D5218&lt;=$G$3,'calculated data '!$A$3,D5218&lt;=$G$4,'calculated data '!$A$4,D5218&lt;=$G$6,'calculated data '!$A$5,D5218&gt;=$G$6,'calculated data '!$A$6)</f>
        <v>Target Market (Core IQR)</v>
      </c>
      <c r="F5218" s="10">
        <f t="shared" si="1"/>
        <v>-0.3964348153</v>
      </c>
    </row>
    <row r="5219" ht="14.25" customHeight="1">
      <c r="A5219" s="2" t="s">
        <v>205</v>
      </c>
      <c r="B5219" s="2" t="s">
        <v>206</v>
      </c>
      <c r="C5219" s="2">
        <v>2017.0</v>
      </c>
      <c r="D5219" s="9">
        <v>10077.718</v>
      </c>
      <c r="E5219" s="10" t="str">
        <f t="array" ref="E5219">IFS(D5219&lt;=$G$3,'calculated data '!$A$3,D5219&lt;=$G$4,'calculated data '!$A$4,D5219&lt;=$G$6,'calculated data '!$A$5,D5219&gt;=$G$6,'calculated data '!$A$6)</f>
        <v>Target Market (Core IQR)</v>
      </c>
      <c r="F5219" s="10">
        <f t="shared" si="1"/>
        <v>-0.3964167894</v>
      </c>
    </row>
    <row r="5220" ht="14.25" customHeight="1">
      <c r="A5220" s="2" t="s">
        <v>289</v>
      </c>
      <c r="B5220" s="2" t="s">
        <v>290</v>
      </c>
      <c r="C5220" s="2">
        <v>2017.0</v>
      </c>
      <c r="D5220" s="9">
        <v>10090.97</v>
      </c>
      <c r="E5220" s="10" t="str">
        <f t="array" ref="E5220">IFS(D5220&lt;=$G$3,'calculated data '!$A$3,D5220&lt;=$G$4,'calculated data '!$A$4,D5220&lt;=$G$6,'calculated data '!$A$5,D5220&gt;=$G$6,'calculated data '!$A$6)</f>
        <v>Target Market (Core IQR)</v>
      </c>
      <c r="F5220" s="10">
        <f t="shared" si="1"/>
        <v>-0.3960660123</v>
      </c>
    </row>
    <row r="5221" ht="14.25" customHeight="1">
      <c r="A5221" s="2" t="s">
        <v>133</v>
      </c>
      <c r="B5221" s="2" t="s">
        <v>134</v>
      </c>
      <c r="C5221" s="2">
        <v>2021.0</v>
      </c>
      <c r="D5221" s="9">
        <v>10092.321</v>
      </c>
      <c r="E5221" s="10" t="str">
        <f t="array" ref="E5221">IFS(D5221&lt;=$G$3,'calculated data '!$A$3,D5221&lt;=$G$4,'calculated data '!$A$4,D5221&lt;=$G$6,'calculated data '!$A$5,D5221&gt;=$G$6,'calculated data '!$A$6)</f>
        <v>Target Market (Core IQR)</v>
      </c>
      <c r="F5221" s="10">
        <f t="shared" si="1"/>
        <v>-0.3960302517</v>
      </c>
    </row>
    <row r="5222" ht="14.25" customHeight="1">
      <c r="A5222" s="2" t="s">
        <v>191</v>
      </c>
      <c r="B5222" s="2" t="s">
        <v>192</v>
      </c>
      <c r="C5222" s="2">
        <v>2008.0</v>
      </c>
      <c r="D5222" s="9">
        <v>10095.776</v>
      </c>
      <c r="E5222" s="10" t="str">
        <f t="array" ref="E5222">IFS(D5222&lt;=$G$3,'calculated data '!$A$3,D5222&lt;=$G$4,'calculated data '!$A$4,D5222&lt;=$G$6,'calculated data '!$A$5,D5222&gt;=$G$6,'calculated data '!$A$6)</f>
        <v>Target Market (Core IQR)</v>
      </c>
      <c r="F5222" s="10">
        <f t="shared" si="1"/>
        <v>-0.3959387987</v>
      </c>
    </row>
    <row r="5223" ht="14.25" customHeight="1">
      <c r="A5223" s="2" t="s">
        <v>83</v>
      </c>
      <c r="B5223" s="2" t="s">
        <v>84</v>
      </c>
      <c r="C5223" s="2">
        <v>2019.0</v>
      </c>
      <c r="D5223" s="9">
        <v>10095.788</v>
      </c>
      <c r="E5223" s="10" t="str">
        <f t="array" ref="E5223">IFS(D5223&lt;=$G$3,'calculated data '!$A$3,D5223&lt;=$G$4,'calculated data '!$A$4,D5223&lt;=$G$6,'calculated data '!$A$5,D5223&gt;=$G$6,'calculated data '!$A$6)</f>
        <v>Target Market (Core IQR)</v>
      </c>
      <c r="F5223" s="10">
        <f t="shared" si="1"/>
        <v>-0.395938481</v>
      </c>
    </row>
    <row r="5224" ht="14.25" customHeight="1">
      <c r="A5224" s="2" t="s">
        <v>277</v>
      </c>
      <c r="B5224" s="2" t="s">
        <v>278</v>
      </c>
      <c r="C5224" s="2">
        <v>1994.0</v>
      </c>
      <c r="D5224" s="9">
        <v>10102.839</v>
      </c>
      <c r="E5224" s="10" t="str">
        <f t="array" ref="E5224">IFS(D5224&lt;=$G$3,'calculated data '!$A$3,D5224&lt;=$G$4,'calculated data '!$A$4,D5224&lt;=$G$6,'calculated data '!$A$5,D5224&gt;=$G$6,'calculated data '!$A$6)</f>
        <v>Target Market (Core IQR)</v>
      </c>
      <c r="F5224" s="10">
        <f t="shared" si="1"/>
        <v>-0.3957518428</v>
      </c>
    </row>
    <row r="5225" ht="14.25" customHeight="1">
      <c r="A5225" s="2" t="s">
        <v>251</v>
      </c>
      <c r="B5225" s="2" t="s">
        <v>252</v>
      </c>
      <c r="C5225" s="2">
        <v>2011.0</v>
      </c>
      <c r="D5225" s="9">
        <v>10104.533</v>
      </c>
      <c r="E5225" s="10" t="str">
        <f t="array" ref="E5225">IFS(D5225&lt;=$G$3,'calculated data '!$A$3,D5225&lt;=$G$4,'calculated data '!$A$4,D5225&lt;=$G$6,'calculated data '!$A$5,D5225&gt;=$G$6,'calculated data '!$A$6)</f>
        <v>Target Market (Core IQR)</v>
      </c>
      <c r="F5225" s="10">
        <f t="shared" si="1"/>
        <v>-0.3957070031</v>
      </c>
    </row>
    <row r="5226" ht="14.25" customHeight="1">
      <c r="A5226" s="2" t="s">
        <v>185</v>
      </c>
      <c r="B5226" s="2" t="s">
        <v>186</v>
      </c>
      <c r="C5226" s="2">
        <v>2020.0</v>
      </c>
      <c r="D5226" s="9">
        <v>10105.646</v>
      </c>
      <c r="E5226" s="10" t="str">
        <f t="array" ref="E5226">IFS(D5226&lt;=$G$3,'calculated data '!$A$3,D5226&lt;=$G$4,'calculated data '!$A$4,D5226&lt;=$G$6,'calculated data '!$A$5,D5226&gt;=$G$6,'calculated data '!$A$6)</f>
        <v>Target Market (Core IQR)</v>
      </c>
      <c r="F5226" s="10">
        <f t="shared" si="1"/>
        <v>-0.3956775422</v>
      </c>
    </row>
    <row r="5227" ht="14.25" customHeight="1">
      <c r="A5227" s="2" t="s">
        <v>227</v>
      </c>
      <c r="B5227" s="2" t="s">
        <v>228</v>
      </c>
      <c r="C5227" s="2">
        <v>2002.0</v>
      </c>
      <c r="D5227" s="9">
        <v>10106.054</v>
      </c>
      <c r="E5227" s="10" t="str">
        <f t="array" ref="E5227">IFS(D5227&lt;=$G$3,'calculated data '!$A$3,D5227&lt;=$G$4,'calculated data '!$A$4,D5227&lt;=$G$6,'calculated data '!$A$5,D5227&gt;=$G$6,'calculated data '!$A$6)</f>
        <v>Target Market (Core IQR)</v>
      </c>
      <c r="F5227" s="10">
        <f t="shared" si="1"/>
        <v>-0.3956667426</v>
      </c>
    </row>
    <row r="5228" ht="14.25" customHeight="1">
      <c r="A5228" s="2" t="s">
        <v>253</v>
      </c>
      <c r="B5228" s="2" t="s">
        <v>254</v>
      </c>
      <c r="C5228" s="2">
        <v>2017.0</v>
      </c>
      <c r="D5228" s="9">
        <v>10106.212</v>
      </c>
      <c r="E5228" s="10" t="str">
        <f t="array" ref="E5228">IFS(D5228&lt;=$G$3,'calculated data '!$A$3,D5228&lt;=$G$4,'calculated data '!$A$4,D5228&lt;=$G$6,'calculated data '!$A$5,D5228&gt;=$G$6,'calculated data '!$A$6)</f>
        <v>Target Market (Core IQR)</v>
      </c>
      <c r="F5228" s="10">
        <f t="shared" si="1"/>
        <v>-0.3956625603</v>
      </c>
    </row>
    <row r="5229" ht="14.25" customHeight="1">
      <c r="A5229" s="2" t="s">
        <v>257</v>
      </c>
      <c r="B5229" s="2" t="s">
        <v>258</v>
      </c>
      <c r="C5229" s="2">
        <v>1982.0</v>
      </c>
      <c r="D5229" s="9">
        <v>10106.4375</v>
      </c>
      <c r="E5229" s="10" t="str">
        <f t="array" ref="E5229">IFS(D5229&lt;=$G$3,'calculated data '!$A$3,D5229&lt;=$G$4,'calculated data '!$A$4,D5229&lt;=$G$6,'calculated data '!$A$5,D5229&gt;=$G$6,'calculated data '!$A$6)</f>
        <v>Target Market (Core IQR)</v>
      </c>
      <c r="F5229" s="10">
        <f t="shared" si="1"/>
        <v>-0.3956565914</v>
      </c>
    </row>
    <row r="5230" ht="14.25" customHeight="1">
      <c r="A5230" s="2" t="s">
        <v>265</v>
      </c>
      <c r="B5230" s="2" t="s">
        <v>266</v>
      </c>
      <c r="C5230" s="2">
        <v>2024.0</v>
      </c>
      <c r="D5230" s="9">
        <v>10112.117</v>
      </c>
      <c r="E5230" s="10" t="str">
        <f t="array" ref="E5230">IFS(D5230&lt;=$G$3,'calculated data '!$A$3,D5230&lt;=$G$4,'calculated data '!$A$4,D5230&lt;=$G$6,'calculated data '!$A$5,D5230&gt;=$G$6,'calculated data '!$A$6)</f>
        <v>Target Market (Core IQR)</v>
      </c>
      <c r="F5230" s="10">
        <f t="shared" si="1"/>
        <v>-0.3955062565</v>
      </c>
    </row>
    <row r="5231" ht="14.25" customHeight="1">
      <c r="A5231" s="2" t="s">
        <v>335</v>
      </c>
      <c r="B5231" s="2" t="s">
        <v>336</v>
      </c>
      <c r="C5231" s="2">
        <v>1966.0</v>
      </c>
      <c r="D5231" s="9">
        <v>10117.052</v>
      </c>
      <c r="E5231" s="10" t="str">
        <f t="array" ref="E5231">IFS(D5231&lt;=$G$3,'calculated data '!$A$3,D5231&lt;=$G$4,'calculated data '!$A$4,D5231&lt;=$G$6,'calculated data '!$A$5,D5231&gt;=$G$6,'calculated data '!$A$6)</f>
        <v>Target Market (Core IQR)</v>
      </c>
      <c r="F5231" s="10">
        <f t="shared" si="1"/>
        <v>-0.3953756282</v>
      </c>
    </row>
    <row r="5232" ht="14.25" customHeight="1">
      <c r="A5232" s="2" t="s">
        <v>99</v>
      </c>
      <c r="B5232" s="2" t="s">
        <v>100</v>
      </c>
      <c r="C5232" s="2">
        <v>2020.0</v>
      </c>
      <c r="D5232" s="9">
        <v>10117.3125</v>
      </c>
      <c r="E5232" s="10" t="str">
        <f t="array" ref="E5232">IFS(D5232&lt;=$G$3,'calculated data '!$A$3,D5232&lt;=$G$4,'calculated data '!$A$4,D5232&lt;=$G$6,'calculated data '!$A$5,D5232&gt;=$G$6,'calculated data '!$A$6)</f>
        <v>Target Market (Core IQR)</v>
      </c>
      <c r="F5232" s="10">
        <f t="shared" si="1"/>
        <v>-0.3953687329</v>
      </c>
    </row>
    <row r="5233" ht="14.25" customHeight="1">
      <c r="A5233" s="2" t="s">
        <v>319</v>
      </c>
      <c r="B5233" s="2" t="s">
        <v>320</v>
      </c>
      <c r="C5233" s="2">
        <v>1968.0</v>
      </c>
      <c r="D5233" s="9">
        <v>10119.043</v>
      </c>
      <c r="E5233" s="10" t="str">
        <f t="array" ref="E5233">IFS(D5233&lt;=$G$3,'calculated data '!$A$3,D5233&lt;=$G$4,'calculated data '!$A$4,D5233&lt;=$G$6,'calculated data '!$A$5,D5233&gt;=$G$6,'calculated data '!$A$6)</f>
        <v>Target Market (Core IQR)</v>
      </c>
      <c r="F5233" s="10">
        <f t="shared" si="1"/>
        <v>-0.395322927</v>
      </c>
    </row>
    <row r="5234" ht="14.25" customHeight="1">
      <c r="A5234" s="2" t="s">
        <v>237</v>
      </c>
      <c r="B5234" s="2" t="s">
        <v>238</v>
      </c>
      <c r="C5234" s="2">
        <v>2009.0</v>
      </c>
      <c r="D5234" s="9">
        <v>10121.01</v>
      </c>
      <c r="E5234" s="10" t="str">
        <f t="array" ref="E5234">IFS(D5234&lt;=$G$3,'calculated data '!$A$3,D5234&lt;=$G$4,'calculated data '!$A$4,D5234&lt;=$G$6,'calculated data '!$A$5,D5234&gt;=$G$6,'calculated data '!$A$6)</f>
        <v>Target Market (Core IQR)</v>
      </c>
      <c r="F5234" s="10">
        <f t="shared" si="1"/>
        <v>-0.395270861</v>
      </c>
    </row>
    <row r="5235" ht="14.25" customHeight="1">
      <c r="A5235" s="2" t="s">
        <v>183</v>
      </c>
      <c r="B5235" s="2" t="s">
        <v>184</v>
      </c>
      <c r="C5235" s="2">
        <v>2018.0</v>
      </c>
      <c r="D5235" s="9">
        <v>10122.705</v>
      </c>
      <c r="E5235" s="10" t="str">
        <f t="array" ref="E5235">IFS(D5235&lt;=$G$3,'calculated data '!$A$3,D5235&lt;=$G$4,'calculated data '!$A$4,D5235&lt;=$G$6,'calculated data '!$A$5,D5235&gt;=$G$6,'calculated data '!$A$6)</f>
        <v>Target Market (Core IQR)</v>
      </c>
      <c r="F5235" s="10">
        <f t="shared" si="1"/>
        <v>-0.3952259947</v>
      </c>
    </row>
    <row r="5236" ht="14.25" customHeight="1">
      <c r="A5236" s="2" t="s">
        <v>197</v>
      </c>
      <c r="B5236" s="2" t="s">
        <v>198</v>
      </c>
      <c r="C5236" s="2">
        <v>2002.0</v>
      </c>
      <c r="D5236" s="9">
        <v>10127.217</v>
      </c>
      <c r="E5236" s="10" t="str">
        <f t="array" ref="E5236">IFS(D5236&lt;=$G$3,'calculated data '!$A$3,D5236&lt;=$G$4,'calculated data '!$A$4,D5236&lt;=$G$6,'calculated data '!$A$5,D5236&gt;=$G$6,'calculated data '!$A$6)</f>
        <v>Target Market (Core IQR)</v>
      </c>
      <c r="F5236" s="10">
        <f t="shared" si="1"/>
        <v>-0.3951065632</v>
      </c>
    </row>
    <row r="5237" ht="14.25" customHeight="1">
      <c r="A5237" s="2" t="s">
        <v>227</v>
      </c>
      <c r="B5237" s="2" t="s">
        <v>228</v>
      </c>
      <c r="C5237" s="2">
        <v>2001.0</v>
      </c>
      <c r="D5237" s="9">
        <v>10132.953</v>
      </c>
      <c r="E5237" s="10" t="str">
        <f t="array" ref="E5237">IFS(D5237&lt;=$G$3,'calculated data '!$A$3,D5237&lt;=$G$4,'calculated data '!$A$4,D5237&lt;=$G$6,'calculated data '!$A$5,D5237&gt;=$G$6,'calculated data '!$A$6)</f>
        <v>Target Market (Core IQR)</v>
      </c>
      <c r="F5237" s="10">
        <f t="shared" si="1"/>
        <v>-0.3949547327</v>
      </c>
    </row>
    <row r="5238" ht="14.25" customHeight="1">
      <c r="A5238" s="2" t="s">
        <v>129</v>
      </c>
      <c r="B5238" s="2" t="s">
        <v>130</v>
      </c>
      <c r="C5238" s="2">
        <v>2022.0</v>
      </c>
      <c r="D5238" s="9">
        <v>10134.47</v>
      </c>
      <c r="E5238" s="10" t="str">
        <f t="array" ref="E5238">IFS(D5238&lt;=$G$3,'calculated data '!$A$3,D5238&lt;=$G$4,'calculated data '!$A$4,D5238&lt;=$G$6,'calculated data '!$A$5,D5238&gt;=$G$6,'calculated data '!$A$6)</f>
        <v>Target Market (Core IQR)</v>
      </c>
      <c r="F5238" s="10">
        <f t="shared" si="1"/>
        <v>-0.3949145781</v>
      </c>
    </row>
    <row r="5239" ht="14.25" customHeight="1">
      <c r="A5239" s="2" t="s">
        <v>207</v>
      </c>
      <c r="B5239" s="2" t="s">
        <v>208</v>
      </c>
      <c r="C5239" s="2">
        <v>2002.0</v>
      </c>
      <c r="D5239" s="9">
        <v>10136.463</v>
      </c>
      <c r="E5239" s="10" t="str">
        <f t="array" ref="E5239">IFS(D5239&lt;=$G$3,'calculated data '!$A$3,D5239&lt;=$G$4,'calculated data '!$A$4,D5239&lt;=$G$6,'calculated data '!$A$5,D5239&gt;=$G$6,'calculated data '!$A$6)</f>
        <v>Target Market (Core IQR)</v>
      </c>
      <c r="F5239" s="10">
        <f t="shared" si="1"/>
        <v>-0.3948618239</v>
      </c>
    </row>
    <row r="5240" ht="14.25" customHeight="1">
      <c r="A5240" s="2" t="s">
        <v>297</v>
      </c>
      <c r="B5240" s="2" t="s">
        <v>298</v>
      </c>
      <c r="C5240" s="2">
        <v>2010.0</v>
      </c>
      <c r="D5240" s="9">
        <v>10140.076</v>
      </c>
      <c r="E5240" s="10" t="str">
        <f t="array" ref="E5240">IFS(D5240&lt;=$G$3,'calculated data '!$A$3,D5240&lt;=$G$4,'calculated data '!$A$4,D5240&lt;=$G$6,'calculated data '!$A$5,D5240&gt;=$G$6,'calculated data '!$A$6)</f>
        <v>Target Market (Core IQR)</v>
      </c>
      <c r="F5240" s="10">
        <f t="shared" si="1"/>
        <v>-0.3947661887</v>
      </c>
    </row>
    <row r="5241" ht="14.25" customHeight="1">
      <c r="A5241" s="2" t="s">
        <v>329</v>
      </c>
      <c r="B5241" s="2" t="s">
        <v>330</v>
      </c>
      <c r="C5241" s="2">
        <v>1993.0</v>
      </c>
      <c r="D5241" s="9">
        <v>10140.371</v>
      </c>
      <c r="E5241" s="10" t="str">
        <f t="array" ref="E5241">IFS(D5241&lt;=$G$3,'calculated data '!$A$3,D5241&lt;=$G$4,'calculated data '!$A$4,D5241&lt;=$G$6,'calculated data '!$A$5,D5241&gt;=$G$6,'calculated data '!$A$6)</f>
        <v>Target Market (Core IQR)</v>
      </c>
      <c r="F5241" s="10">
        <f t="shared" si="1"/>
        <v>-0.3947583801</v>
      </c>
    </row>
    <row r="5242" ht="14.25" customHeight="1">
      <c r="A5242" s="2" t="s">
        <v>185</v>
      </c>
      <c r="B5242" s="2" t="s">
        <v>186</v>
      </c>
      <c r="C5242" s="2">
        <v>2018.0</v>
      </c>
      <c r="D5242" s="9">
        <v>10144.432</v>
      </c>
      <c r="E5242" s="10" t="str">
        <f t="array" ref="E5242">IFS(D5242&lt;=$G$3,'calculated data '!$A$3,D5242&lt;=$G$4,'calculated data '!$A$4,D5242&lt;=$G$6,'calculated data '!$A$5,D5242&gt;=$G$6,'calculated data '!$A$6)</f>
        <v>Target Market (Core IQR)</v>
      </c>
      <c r="F5242" s="10">
        <f t="shared" si="1"/>
        <v>-0.3946508865</v>
      </c>
    </row>
    <row r="5243" ht="14.25" customHeight="1">
      <c r="A5243" s="2" t="s">
        <v>99</v>
      </c>
      <c r="B5243" s="2" t="s">
        <v>100</v>
      </c>
      <c r="C5243" s="2">
        <v>2000.0</v>
      </c>
      <c r="D5243" s="9">
        <v>10147.516</v>
      </c>
      <c r="E5243" s="10" t="str">
        <f t="array" ref="E5243">IFS(D5243&lt;=$G$3,'calculated data '!$A$3,D5243&lt;=$G$4,'calculated data '!$A$4,D5243&lt;=$G$6,'calculated data '!$A$5,D5243&gt;=$G$6,'calculated data '!$A$6)</f>
        <v>Target Market (Core IQR)</v>
      </c>
      <c r="F5243" s="10">
        <f t="shared" si="1"/>
        <v>-0.3945692537</v>
      </c>
    </row>
    <row r="5244" ht="14.25" customHeight="1">
      <c r="A5244" s="2" t="s">
        <v>233</v>
      </c>
      <c r="B5244" s="2" t="s">
        <v>234</v>
      </c>
      <c r="C5244" s="2">
        <v>2006.0</v>
      </c>
      <c r="D5244" s="9">
        <v>10148.762</v>
      </c>
      <c r="E5244" s="10" t="str">
        <f t="array" ref="E5244">IFS(D5244&lt;=$G$3,'calculated data '!$A$3,D5244&lt;=$G$4,'calculated data '!$A$4,D5244&lt;=$G$6,'calculated data '!$A$5,D5244&gt;=$G$6,'calculated data '!$A$6)</f>
        <v>Target Market (Core IQR)</v>
      </c>
      <c r="F5244" s="10">
        <f t="shared" si="1"/>
        <v>-0.3945362724</v>
      </c>
    </row>
    <row r="5245" ht="14.25" customHeight="1">
      <c r="A5245" s="2" t="s">
        <v>337</v>
      </c>
      <c r="B5245" s="2" t="s">
        <v>338</v>
      </c>
      <c r="C5245" s="2">
        <v>1982.0</v>
      </c>
      <c r="D5245" s="9">
        <v>10150.56</v>
      </c>
      <c r="E5245" s="10" t="str">
        <f t="array" ref="E5245">IFS(D5245&lt;=$G$3,'calculated data '!$A$3,D5245&lt;=$G$4,'calculated data '!$A$4,D5245&lt;=$G$6,'calculated data '!$A$5,D5245&gt;=$G$6,'calculated data '!$A$6)</f>
        <v>Target Market (Core IQR)</v>
      </c>
      <c r="F5245" s="10">
        <f t="shared" si="1"/>
        <v>-0.3944886798</v>
      </c>
    </row>
    <row r="5246" ht="14.25" customHeight="1">
      <c r="A5246" s="2" t="s">
        <v>83</v>
      </c>
      <c r="B5246" s="2" t="s">
        <v>84</v>
      </c>
      <c r="C5246" s="2">
        <v>2023.0</v>
      </c>
      <c r="D5246" s="9">
        <v>10151.002</v>
      </c>
      <c r="E5246" s="10" t="str">
        <f t="array" ref="E5246">IFS(D5246&lt;=$G$3,'calculated data '!$A$3,D5246&lt;=$G$4,'calculated data '!$A$4,D5246&lt;=$G$6,'calculated data '!$A$5,D5246&gt;=$G$6,'calculated data '!$A$6)</f>
        <v>Target Market (Core IQR)</v>
      </c>
      <c r="F5246" s="10">
        <f t="shared" si="1"/>
        <v>-0.3944769802</v>
      </c>
    </row>
    <row r="5247" ht="14.25" customHeight="1">
      <c r="A5247" s="2" t="s">
        <v>317</v>
      </c>
      <c r="B5247" s="2" t="s">
        <v>318</v>
      </c>
      <c r="C5247" s="2">
        <v>1974.0</v>
      </c>
      <c r="D5247" s="9">
        <v>10153.048</v>
      </c>
      <c r="E5247" s="10" t="str">
        <f t="array" ref="E5247">IFS(D5247&lt;=$G$3,'calculated data '!$A$3,D5247&lt;=$G$4,'calculated data '!$A$4,D5247&lt;=$G$6,'calculated data '!$A$5,D5247&gt;=$G$6,'calculated data '!$A$6)</f>
        <v>Target Market (Core IQR)</v>
      </c>
      <c r="F5247" s="10">
        <f t="shared" si="1"/>
        <v>-0.3944228231</v>
      </c>
    </row>
    <row r="5248" ht="14.25" customHeight="1">
      <c r="A5248" s="2" t="s">
        <v>271</v>
      </c>
      <c r="B5248" s="2" t="s">
        <v>272</v>
      </c>
      <c r="C5248" s="2">
        <v>1975.0</v>
      </c>
      <c r="D5248" s="9">
        <v>10154.817</v>
      </c>
      <c r="E5248" s="10" t="str">
        <f t="array" ref="E5248">IFS(D5248&lt;=$G$3,'calculated data '!$A$3,D5248&lt;=$G$4,'calculated data '!$A$4,D5248&lt;=$G$6,'calculated data '!$A$5,D5248&gt;=$G$6,'calculated data '!$A$6)</f>
        <v>Target Market (Core IQR)</v>
      </c>
      <c r="F5248" s="10">
        <f t="shared" si="1"/>
        <v>-0.3943759981</v>
      </c>
    </row>
    <row r="5249" ht="14.25" customHeight="1">
      <c r="A5249" s="2" t="s">
        <v>229</v>
      </c>
      <c r="B5249" s="2" t="s">
        <v>230</v>
      </c>
      <c r="C5249" s="2">
        <v>2002.0</v>
      </c>
      <c r="D5249" s="9">
        <v>10155.724</v>
      </c>
      <c r="E5249" s="10" t="str">
        <f t="array" ref="E5249">IFS(D5249&lt;=$G$3,'calculated data '!$A$3,D5249&lt;=$G$4,'calculated data '!$A$4,D5249&lt;=$G$6,'calculated data '!$A$5,D5249&gt;=$G$6,'calculated data '!$A$6)</f>
        <v>Target Market (Core IQR)</v>
      </c>
      <c r="F5249" s="10">
        <f t="shared" si="1"/>
        <v>-0.39435199</v>
      </c>
    </row>
    <row r="5250" ht="14.25" customHeight="1">
      <c r="A5250" s="2" t="s">
        <v>203</v>
      </c>
      <c r="B5250" s="2" t="s">
        <v>204</v>
      </c>
      <c r="C5250" s="2">
        <v>2009.0</v>
      </c>
      <c r="D5250" s="9">
        <v>10157.667</v>
      </c>
      <c r="E5250" s="10" t="str">
        <f t="array" ref="E5250">IFS(D5250&lt;=$G$3,'calculated data '!$A$3,D5250&lt;=$G$4,'calculated data '!$A$4,D5250&lt;=$G$6,'calculated data '!$A$5,D5250&gt;=$G$6,'calculated data '!$A$6)</f>
        <v>Target Market (Core IQR)</v>
      </c>
      <c r="F5250" s="10">
        <f t="shared" si="1"/>
        <v>-0.3943005593</v>
      </c>
    </row>
    <row r="5251" ht="14.25" customHeight="1">
      <c r="A5251" s="2" t="s">
        <v>227</v>
      </c>
      <c r="B5251" s="2" t="s">
        <v>228</v>
      </c>
      <c r="C5251" s="2">
        <v>2000.0</v>
      </c>
      <c r="D5251" s="9">
        <v>10162.341</v>
      </c>
      <c r="E5251" s="10" t="str">
        <f t="array" ref="E5251">IFS(D5251&lt;=$G$3,'calculated data '!$A$3,D5251&lt;=$G$4,'calculated data '!$A$4,D5251&lt;=$G$6,'calculated data '!$A$5,D5251&gt;=$G$6,'calculated data '!$A$6)</f>
        <v>Target Market (Core IQR)</v>
      </c>
      <c r="F5251" s="10">
        <f t="shared" si="1"/>
        <v>-0.3941768397</v>
      </c>
    </row>
    <row r="5252" ht="14.25" customHeight="1">
      <c r="A5252" s="2" t="s">
        <v>273</v>
      </c>
      <c r="B5252" s="2" t="s">
        <v>274</v>
      </c>
      <c r="C5252" s="2">
        <v>2007.0</v>
      </c>
      <c r="D5252" s="9">
        <v>10165.035</v>
      </c>
      <c r="E5252" s="10" t="str">
        <f t="array" ref="E5252">IFS(D5252&lt;=$G$3,'calculated data '!$A$3,D5252&lt;=$G$4,'calculated data '!$A$4,D5252&lt;=$G$6,'calculated data '!$A$5,D5252&gt;=$G$6,'calculated data '!$A$6)</f>
        <v>Target Market (Core IQR)</v>
      </c>
      <c r="F5252" s="10">
        <f t="shared" si="1"/>
        <v>-0.3941055302</v>
      </c>
    </row>
    <row r="5253" ht="14.25" customHeight="1">
      <c r="A5253" s="2" t="s">
        <v>191</v>
      </c>
      <c r="B5253" s="2" t="s">
        <v>192</v>
      </c>
      <c r="C5253" s="2">
        <v>2009.0</v>
      </c>
      <c r="D5253" s="9">
        <v>10169.305</v>
      </c>
      <c r="E5253" s="10" t="str">
        <f t="array" ref="E5253">IFS(D5253&lt;=$G$3,'calculated data '!$A$3,D5253&lt;=$G$4,'calculated data '!$A$4,D5253&lt;=$G$6,'calculated data '!$A$5,D5253&gt;=$G$6,'calculated data '!$A$6)</f>
        <v>Target Market (Core IQR)</v>
      </c>
      <c r="F5253" s="10">
        <f t="shared" si="1"/>
        <v>-0.3939925043</v>
      </c>
    </row>
    <row r="5254" ht="14.25" customHeight="1">
      <c r="A5254" s="2" t="s">
        <v>333</v>
      </c>
      <c r="B5254" s="2" t="s">
        <v>334</v>
      </c>
      <c r="C5254" s="2">
        <v>2022.0</v>
      </c>
      <c r="D5254" s="9">
        <v>10170.104</v>
      </c>
      <c r="E5254" s="10" t="str">
        <f t="array" ref="E5254">IFS(D5254&lt;=$G$3,'calculated data '!$A$3,D5254&lt;=$G$4,'calculated data '!$A$4,D5254&lt;=$G$6,'calculated data '!$A$5,D5254&gt;=$G$6,'calculated data '!$A$6)</f>
        <v>Target Market (Core IQR)</v>
      </c>
      <c r="F5254" s="10">
        <f t="shared" si="1"/>
        <v>-0.393971355</v>
      </c>
    </row>
    <row r="5255" ht="14.25" customHeight="1">
      <c r="A5255" s="2" t="s">
        <v>317</v>
      </c>
      <c r="B5255" s="2" t="s">
        <v>318</v>
      </c>
      <c r="C5255" s="2">
        <v>2001.0</v>
      </c>
      <c r="D5255" s="9">
        <v>10181.195</v>
      </c>
      <c r="E5255" s="10" t="str">
        <f t="array" ref="E5255">IFS(D5255&lt;=$G$3,'calculated data '!$A$3,D5255&lt;=$G$4,'calculated data '!$A$4,D5255&lt;=$G$6,'calculated data '!$A$5,D5255&gt;=$G$6,'calculated data '!$A$6)</f>
        <v>Target Market (Core IQR)</v>
      </c>
      <c r="F5255" s="10">
        <f t="shared" si="1"/>
        <v>-0.393677779</v>
      </c>
    </row>
    <row r="5256" ht="14.25" customHeight="1">
      <c r="A5256" s="2" t="s">
        <v>185</v>
      </c>
      <c r="B5256" s="2" t="s">
        <v>186</v>
      </c>
      <c r="C5256" s="2">
        <v>2012.0</v>
      </c>
      <c r="D5256" s="9">
        <v>10181.51</v>
      </c>
      <c r="E5256" s="10" t="str">
        <f t="array" ref="E5256">IFS(D5256&lt;=$G$3,'calculated data '!$A$3,D5256&lt;=$G$4,'calculated data '!$A$4,D5256&lt;=$G$6,'calculated data '!$A$5,D5256&gt;=$G$6,'calculated data '!$A$6)</f>
        <v>Target Market (Core IQR)</v>
      </c>
      <c r="F5256" s="10">
        <f t="shared" si="1"/>
        <v>-0.393669441</v>
      </c>
    </row>
    <row r="5257" ht="14.25" customHeight="1">
      <c r="A5257" s="2" t="s">
        <v>221</v>
      </c>
      <c r="B5257" s="2" t="s">
        <v>222</v>
      </c>
      <c r="C5257" s="2">
        <v>1978.0</v>
      </c>
      <c r="D5257" s="9">
        <v>10182.31</v>
      </c>
      <c r="E5257" s="10" t="str">
        <f t="array" ref="E5257">IFS(D5257&lt;=$G$3,'calculated data '!$A$3,D5257&lt;=$G$4,'calculated data '!$A$4,D5257&lt;=$G$6,'calculated data '!$A$5,D5257&gt;=$G$6,'calculated data '!$A$6)</f>
        <v>Target Market (Core IQR)</v>
      </c>
      <c r="F5257" s="10">
        <f t="shared" si="1"/>
        <v>-0.3936482652</v>
      </c>
    </row>
    <row r="5258" ht="14.25" customHeight="1">
      <c r="A5258" s="2" t="s">
        <v>289</v>
      </c>
      <c r="B5258" s="2" t="s">
        <v>290</v>
      </c>
      <c r="C5258" s="2">
        <v>2022.0</v>
      </c>
      <c r="D5258" s="9">
        <v>10186.194</v>
      </c>
      <c r="E5258" s="10" t="str">
        <f t="array" ref="E5258">IFS(D5258&lt;=$G$3,'calculated data '!$A$3,D5258&lt;=$G$4,'calculated data '!$A$4,D5258&lt;=$G$6,'calculated data '!$A$5,D5258&gt;=$G$6,'calculated data '!$A$6)</f>
        <v>Target Market (Core IQR)</v>
      </c>
      <c r="F5258" s="10">
        <f t="shared" si="1"/>
        <v>-0.3935454567</v>
      </c>
    </row>
    <row r="5259" ht="14.25" customHeight="1">
      <c r="A5259" s="2" t="s">
        <v>183</v>
      </c>
      <c r="B5259" s="2" t="s">
        <v>184</v>
      </c>
      <c r="C5259" s="2">
        <v>2013.0</v>
      </c>
      <c r="D5259" s="9">
        <v>10186.304</v>
      </c>
      <c r="E5259" s="10" t="str">
        <f t="array" ref="E5259">IFS(D5259&lt;=$G$3,'calculated data '!$A$3,D5259&lt;=$G$4,'calculated data '!$A$4,D5259&lt;=$G$6,'calculated data '!$A$5,D5259&gt;=$G$6,'calculated data '!$A$6)</f>
        <v>Target Market (Core IQR)</v>
      </c>
      <c r="F5259" s="10">
        <f t="shared" si="1"/>
        <v>-0.393542545</v>
      </c>
    </row>
    <row r="5260" ht="14.25" customHeight="1">
      <c r="A5260" s="2" t="s">
        <v>191</v>
      </c>
      <c r="B5260" s="2" t="s">
        <v>192</v>
      </c>
      <c r="C5260" s="2">
        <v>2020.0</v>
      </c>
      <c r="D5260" s="9">
        <v>10187.698</v>
      </c>
      <c r="E5260" s="10" t="str">
        <f t="array" ref="E5260">IFS(D5260&lt;=$G$3,'calculated data '!$A$3,D5260&lt;=$G$4,'calculated data '!$A$4,D5260&lt;=$G$6,'calculated data '!$A$5,D5260&gt;=$G$6,'calculated data '!$A$6)</f>
        <v>Target Market (Core IQR)</v>
      </c>
      <c r="F5260" s="10">
        <f t="shared" si="1"/>
        <v>-0.3935056462</v>
      </c>
    </row>
    <row r="5261" ht="14.25" customHeight="1">
      <c r="A5261" s="2" t="s">
        <v>129</v>
      </c>
      <c r="B5261" s="2" t="s">
        <v>130</v>
      </c>
      <c r="C5261" s="2">
        <v>2023.0</v>
      </c>
      <c r="D5261" s="9">
        <v>10187.83</v>
      </c>
      <c r="E5261" s="10" t="str">
        <f t="array" ref="E5261">IFS(D5261&lt;=$G$3,'calculated data '!$A$3,D5261&lt;=$G$4,'calculated data '!$A$4,D5261&lt;=$G$6,'calculated data '!$A$5,D5261&gt;=$G$6,'calculated data '!$A$6)</f>
        <v>Target Market (Core IQR)</v>
      </c>
      <c r="F5261" s="10">
        <f t="shared" si="1"/>
        <v>-0.3935021522</v>
      </c>
    </row>
    <row r="5262" ht="14.25" customHeight="1">
      <c r="A5262" s="2" t="s">
        <v>141</v>
      </c>
      <c r="B5262" s="2" t="s">
        <v>142</v>
      </c>
      <c r="C5262" s="2">
        <v>1995.0</v>
      </c>
      <c r="D5262" s="9">
        <v>10188.927</v>
      </c>
      <c r="E5262" s="10" t="str">
        <f t="array" ref="E5262">IFS(D5262&lt;=$G$3,'calculated data '!$A$3,D5262&lt;=$G$4,'calculated data '!$A$4,D5262&lt;=$G$6,'calculated data '!$A$5,D5262&gt;=$G$6,'calculated data '!$A$6)</f>
        <v>Target Market (Core IQR)</v>
      </c>
      <c r="F5262" s="10">
        <f t="shared" si="1"/>
        <v>-0.3934731149</v>
      </c>
    </row>
    <row r="5263" ht="14.25" customHeight="1">
      <c r="A5263" s="2" t="s">
        <v>233</v>
      </c>
      <c r="B5263" s="2" t="s">
        <v>234</v>
      </c>
      <c r="C5263" s="2">
        <v>1986.0</v>
      </c>
      <c r="D5263" s="9">
        <v>10191.082</v>
      </c>
      <c r="E5263" s="10" t="str">
        <f t="array" ref="E5263">IFS(D5263&lt;=$G$3,'calculated data '!$A$3,D5263&lt;=$G$4,'calculated data '!$A$4,D5263&lt;=$G$6,'calculated data '!$A$5,D5263&gt;=$G$6,'calculated data '!$A$6)</f>
        <v>Target Market (Core IQR)</v>
      </c>
      <c r="F5263" s="10">
        <f t="shared" si="1"/>
        <v>-0.3934160726</v>
      </c>
    </row>
    <row r="5264" ht="14.25" customHeight="1">
      <c r="A5264" s="2" t="s">
        <v>289</v>
      </c>
      <c r="B5264" s="2" t="s">
        <v>290</v>
      </c>
      <c r="C5264" s="2">
        <v>2018.0</v>
      </c>
      <c r="D5264" s="9">
        <v>10192.369</v>
      </c>
      <c r="E5264" s="10" t="str">
        <f t="array" ref="E5264">IFS(D5264&lt;=$G$3,'calculated data '!$A$3,D5264&lt;=$G$4,'calculated data '!$A$4,D5264&lt;=$G$6,'calculated data '!$A$5,D5264&gt;=$G$6,'calculated data '!$A$6)</f>
        <v>Target Market (Core IQR)</v>
      </c>
      <c r="F5264" s="10">
        <f t="shared" si="1"/>
        <v>-0.393382006</v>
      </c>
    </row>
    <row r="5265" ht="14.25" customHeight="1">
      <c r="A5265" s="2" t="s">
        <v>301</v>
      </c>
      <c r="B5265" s="2" t="s">
        <v>302</v>
      </c>
      <c r="C5265" s="2">
        <v>1977.0</v>
      </c>
      <c r="D5265" s="9">
        <v>10197.4</v>
      </c>
      <c r="E5265" s="10" t="str">
        <f t="array" ref="E5265">IFS(D5265&lt;=$G$3,'calculated data '!$A$3,D5265&lt;=$G$4,'calculated data '!$A$4,D5265&lt;=$G$6,'calculated data '!$A$5,D5265&gt;=$G$6,'calculated data '!$A$6)</f>
        <v>Target Market (Core IQR)</v>
      </c>
      <c r="F5265" s="10">
        <f t="shared" si="1"/>
        <v>-0.3932488367</v>
      </c>
    </row>
    <row r="5266" ht="14.25" customHeight="1">
      <c r="A5266" s="2" t="s">
        <v>259</v>
      </c>
      <c r="B5266" s="2" t="s">
        <v>260</v>
      </c>
      <c r="C5266" s="2">
        <v>2018.0</v>
      </c>
      <c r="D5266" s="9">
        <v>10197.871</v>
      </c>
      <c r="E5266" s="10" t="str">
        <f t="array" ref="E5266">IFS(D5266&lt;=$G$3,'calculated data '!$A$3,D5266&lt;=$G$4,'calculated data '!$A$4,D5266&lt;=$G$6,'calculated data '!$A$5,D5266&gt;=$G$6,'calculated data '!$A$6)</f>
        <v>Target Market (Core IQR)</v>
      </c>
      <c r="F5266" s="10">
        <f t="shared" si="1"/>
        <v>-0.3932363694</v>
      </c>
    </row>
    <row r="5267" ht="14.25" customHeight="1">
      <c r="A5267" s="2" t="s">
        <v>183</v>
      </c>
      <c r="B5267" s="2" t="s">
        <v>184</v>
      </c>
      <c r="C5267" s="2">
        <v>2015.0</v>
      </c>
      <c r="D5267" s="9">
        <v>10198.688</v>
      </c>
      <c r="E5267" s="10" t="str">
        <f t="array" ref="E5267">IFS(D5267&lt;=$G$3,'calculated data '!$A$3,D5267&lt;=$G$4,'calculated data '!$A$4,D5267&lt;=$G$6,'calculated data '!$A$5,D5267&gt;=$G$6,'calculated data '!$A$6)</f>
        <v>Target Market (Core IQR)</v>
      </c>
      <c r="F5267" s="10">
        <f t="shared" si="1"/>
        <v>-0.3932147437</v>
      </c>
    </row>
    <row r="5268" ht="14.25" customHeight="1">
      <c r="A5268" s="2" t="s">
        <v>333</v>
      </c>
      <c r="B5268" s="2" t="s">
        <v>334</v>
      </c>
      <c r="C5268" s="2">
        <v>1991.0</v>
      </c>
      <c r="D5268" s="9">
        <v>10203.808</v>
      </c>
      <c r="E5268" s="10" t="str">
        <f t="array" ref="E5268">IFS(D5268&lt;=$G$3,'calculated data '!$A$3,D5268&lt;=$G$4,'calculated data '!$A$4,D5268&lt;=$G$6,'calculated data '!$A$5,D5268&gt;=$G$6,'calculated data '!$A$6)</f>
        <v>Target Market (Core IQR)</v>
      </c>
      <c r="F5268" s="10">
        <f t="shared" si="1"/>
        <v>-0.3930792185</v>
      </c>
    </row>
    <row r="5269" ht="14.25" customHeight="1">
      <c r="A5269" s="2" t="s">
        <v>207</v>
      </c>
      <c r="B5269" s="2" t="s">
        <v>208</v>
      </c>
      <c r="C5269" s="2">
        <v>1999.0</v>
      </c>
      <c r="D5269" s="9">
        <v>10206.511</v>
      </c>
      <c r="E5269" s="10" t="str">
        <f t="array" ref="E5269">IFS(D5269&lt;=$G$3,'calculated data '!$A$3,D5269&lt;=$G$4,'calculated data '!$A$4,D5269&lt;=$G$6,'calculated data '!$A$5,D5269&gt;=$G$6,'calculated data '!$A$6)</f>
        <v>Target Market (Core IQR)</v>
      </c>
      <c r="F5269" s="10">
        <f t="shared" si="1"/>
        <v>-0.3930076708</v>
      </c>
    </row>
    <row r="5270" ht="14.25" customHeight="1">
      <c r="A5270" s="2" t="s">
        <v>333</v>
      </c>
      <c r="B5270" s="2" t="s">
        <v>334</v>
      </c>
      <c r="C5270" s="2">
        <v>1980.0</v>
      </c>
      <c r="D5270" s="9">
        <v>10208.667</v>
      </c>
      <c r="E5270" s="10" t="str">
        <f t="array" ref="E5270">IFS(D5270&lt;=$G$3,'calculated data '!$A$3,D5270&lt;=$G$4,'calculated data '!$A$4,D5270&lt;=$G$6,'calculated data '!$A$5,D5270&gt;=$G$6,'calculated data '!$A$6)</f>
        <v>Target Market (Core IQR)</v>
      </c>
      <c r="F5270" s="10">
        <f t="shared" si="1"/>
        <v>-0.392950602</v>
      </c>
    </row>
    <row r="5271" ht="14.25" customHeight="1">
      <c r="A5271" s="2" t="s">
        <v>327</v>
      </c>
      <c r="B5271" s="2" t="s">
        <v>328</v>
      </c>
      <c r="C5271" s="2">
        <v>2020.0</v>
      </c>
      <c r="D5271" s="9">
        <v>10215.15</v>
      </c>
      <c r="E5271" s="10" t="str">
        <f t="array" ref="E5271">IFS(D5271&lt;=$G$3,'calculated data '!$A$3,D5271&lt;=$G$4,'calculated data '!$A$4,D5271&lt;=$G$6,'calculated data '!$A$5,D5271&gt;=$G$6,'calculated data '!$A$6)</f>
        <v>Target Market (Core IQR)</v>
      </c>
      <c r="F5271" s="10">
        <f t="shared" si="1"/>
        <v>-0.3927789986</v>
      </c>
    </row>
    <row r="5272" ht="14.25" customHeight="1">
      <c r="A5272" s="2" t="s">
        <v>289</v>
      </c>
      <c r="B5272" s="2" t="s">
        <v>290</v>
      </c>
      <c r="C5272" s="2">
        <v>2021.0</v>
      </c>
      <c r="D5272" s="9">
        <v>10218.422</v>
      </c>
      <c r="E5272" s="10" t="str">
        <f t="array" ref="E5272">IFS(D5272&lt;=$G$3,'calculated data '!$A$3,D5272&lt;=$G$4,'calculated data '!$A$4,D5272&lt;=$G$6,'calculated data '!$A$5,D5272&gt;=$G$6,'calculated data '!$A$6)</f>
        <v>Target Market (Core IQR)</v>
      </c>
      <c r="F5272" s="10">
        <f t="shared" si="1"/>
        <v>-0.3926923896</v>
      </c>
    </row>
    <row r="5273" ht="14.25" customHeight="1">
      <c r="A5273" s="2" t="s">
        <v>237</v>
      </c>
      <c r="B5273" s="2" t="s">
        <v>238</v>
      </c>
      <c r="C5273" s="2">
        <v>2007.0</v>
      </c>
      <c r="D5273" s="9">
        <v>10222.272</v>
      </c>
      <c r="E5273" s="10" t="str">
        <f t="array" ref="E5273">IFS(D5273&lt;=$G$3,'calculated data '!$A$3,D5273&lt;=$G$4,'calculated data '!$A$4,D5273&lt;=$G$6,'calculated data '!$A$5,D5273&gt;=$G$6,'calculated data '!$A$6)</f>
        <v>Target Market (Core IQR)</v>
      </c>
      <c r="F5273" s="10">
        <f t="shared" si="1"/>
        <v>-0.392590481</v>
      </c>
    </row>
    <row r="5274" ht="14.25" customHeight="1">
      <c r="A5274" s="2" t="s">
        <v>321</v>
      </c>
      <c r="B5274" s="2" t="s">
        <v>322</v>
      </c>
      <c r="C5274" s="2">
        <v>1999.0</v>
      </c>
      <c r="D5274" s="9">
        <v>10232.663</v>
      </c>
      <c r="E5274" s="10" t="str">
        <f t="array" ref="E5274">IFS(D5274&lt;=$G$3,'calculated data '!$A$3,D5274&lt;=$G$4,'calculated data '!$A$4,D5274&lt;=$G$6,'calculated data '!$A$5,D5274&gt;=$G$6,'calculated data '!$A$6)</f>
        <v>Target Market (Core IQR)</v>
      </c>
      <c r="F5274" s="10">
        <f t="shared" si="1"/>
        <v>-0.3923154339</v>
      </c>
    </row>
    <row r="5275" ht="14.25" customHeight="1">
      <c r="A5275" s="2" t="s">
        <v>271</v>
      </c>
      <c r="B5275" s="2" t="s">
        <v>272</v>
      </c>
      <c r="C5275" s="2">
        <v>1976.0</v>
      </c>
      <c r="D5275" s="9">
        <v>10238.691</v>
      </c>
      <c r="E5275" s="10" t="str">
        <f t="array" ref="E5275">IFS(D5275&lt;=$G$3,'calculated data '!$A$3,D5275&lt;=$G$4,'calculated data '!$A$4,D5275&lt;=$G$6,'calculated data '!$A$5,D5275&gt;=$G$6,'calculated data '!$A$6)</f>
        <v>Target Market (Core IQR)</v>
      </c>
      <c r="F5275" s="10">
        <f t="shared" si="1"/>
        <v>-0.3921558742</v>
      </c>
    </row>
    <row r="5276" ht="14.25" customHeight="1">
      <c r="A5276" s="2" t="s">
        <v>205</v>
      </c>
      <c r="B5276" s="2" t="s">
        <v>206</v>
      </c>
      <c r="C5276" s="2">
        <v>2012.0</v>
      </c>
      <c r="D5276" s="9">
        <v>10239.481</v>
      </c>
      <c r="E5276" s="10" t="str">
        <f t="array" ref="E5276">IFS(D5276&lt;=$G$3,'calculated data '!$A$3,D5276&lt;=$G$4,'calculated data '!$A$4,D5276&lt;=$G$6,'calculated data '!$A$5,D5276&gt;=$G$6,'calculated data '!$A$6)</f>
        <v>Target Market (Core IQR)</v>
      </c>
      <c r="F5276" s="10">
        <f t="shared" si="1"/>
        <v>-0.3921349631</v>
      </c>
    </row>
    <row r="5277" ht="14.25" customHeight="1">
      <c r="A5277" s="2" t="s">
        <v>325</v>
      </c>
      <c r="B5277" s="2" t="s">
        <v>326</v>
      </c>
      <c r="C5277" s="2">
        <v>1993.0</v>
      </c>
      <c r="D5277" s="9">
        <v>10241.846</v>
      </c>
      <c r="E5277" s="10" t="str">
        <f t="array" ref="E5277">IFS(D5277&lt;=$G$3,'calculated data '!$A$3,D5277&lt;=$G$4,'calculated data '!$A$4,D5277&lt;=$G$6,'calculated data '!$A$5,D5277&gt;=$G$6,'calculated data '!$A$6)</f>
        <v>Target Market (Core IQR)</v>
      </c>
      <c r="F5277" s="10">
        <f t="shared" si="1"/>
        <v>-0.3920723621</v>
      </c>
    </row>
    <row r="5278" ht="14.25" customHeight="1">
      <c r="A5278" s="2" t="s">
        <v>207</v>
      </c>
      <c r="B5278" s="2" t="s">
        <v>208</v>
      </c>
      <c r="C5278" s="2">
        <v>1998.0</v>
      </c>
      <c r="D5278" s="9">
        <v>10245.785</v>
      </c>
      <c r="E5278" s="10" t="str">
        <f t="array" ref="E5278">IFS(D5278&lt;=$G$3,'calculated data '!$A$3,D5278&lt;=$G$4,'calculated data '!$A$4,D5278&lt;=$G$6,'calculated data '!$A$5,D5278&gt;=$G$6,'calculated data '!$A$6)</f>
        <v>Target Market (Core IQR)</v>
      </c>
      <c r="F5278" s="10">
        <f t="shared" si="1"/>
        <v>-0.3919680978</v>
      </c>
    </row>
    <row r="5279" ht="14.25" customHeight="1">
      <c r="A5279" s="2" t="s">
        <v>289</v>
      </c>
      <c r="B5279" s="2" t="s">
        <v>290</v>
      </c>
      <c r="C5279" s="2">
        <v>2019.0</v>
      </c>
      <c r="D5279" s="9">
        <v>10254.706</v>
      </c>
      <c r="E5279" s="10" t="str">
        <f t="array" ref="E5279">IFS(D5279&lt;=$G$3,'calculated data '!$A$3,D5279&lt;=$G$4,'calculated data '!$A$4,D5279&lt;=$G$6,'calculated data '!$A$5,D5279&gt;=$G$6,'calculated data '!$A$6)</f>
        <v>Target Market (Core IQR)</v>
      </c>
      <c r="F5279" s="10">
        <f t="shared" si="1"/>
        <v>-0.3917319611</v>
      </c>
    </row>
    <row r="5280" ht="14.25" customHeight="1">
      <c r="A5280" s="2" t="s">
        <v>279</v>
      </c>
      <c r="B5280" s="2" t="s">
        <v>280</v>
      </c>
      <c r="C5280" s="2">
        <v>1975.0</v>
      </c>
      <c r="D5280" s="9">
        <v>10254.932</v>
      </c>
      <c r="E5280" s="10" t="str">
        <f t="array" ref="E5280">IFS(D5280&lt;=$G$3,'calculated data '!$A$3,D5280&lt;=$G$4,'calculated data '!$A$4,D5280&lt;=$G$6,'calculated data '!$A$5,D5280&gt;=$G$6,'calculated data '!$A$6)</f>
        <v>Target Market (Core IQR)</v>
      </c>
      <c r="F5280" s="10">
        <f t="shared" si="1"/>
        <v>-0.391725979</v>
      </c>
    </row>
    <row r="5281" ht="14.25" customHeight="1">
      <c r="A5281" s="2" t="s">
        <v>315</v>
      </c>
      <c r="B5281" s="2" t="s">
        <v>316</v>
      </c>
      <c r="C5281" s="2">
        <v>1993.0</v>
      </c>
      <c r="D5281" s="9">
        <v>10260.907</v>
      </c>
      <c r="E5281" s="10" t="str">
        <f t="array" ref="E5281">IFS(D5281&lt;=$G$3,'calculated data '!$A$3,D5281&lt;=$G$4,'calculated data '!$A$4,D5281&lt;=$G$6,'calculated data '!$A$5,D5281&gt;=$G$6,'calculated data '!$A$6)</f>
        <v>Target Market (Core IQR)</v>
      </c>
      <c r="F5281" s="10">
        <f t="shared" si="1"/>
        <v>-0.3915678222</v>
      </c>
    </row>
    <row r="5282" ht="14.25" customHeight="1">
      <c r="A5282" s="2" t="s">
        <v>313</v>
      </c>
      <c r="B5282" s="2" t="s">
        <v>314</v>
      </c>
      <c r="C5282" s="2">
        <v>1990.0</v>
      </c>
      <c r="D5282" s="9">
        <v>10271.977</v>
      </c>
      <c r="E5282" s="10" t="str">
        <f t="array" ref="E5282">IFS(D5282&lt;=$G$3,'calculated data '!$A$3,D5282&lt;=$G$4,'calculated data '!$A$4,D5282&lt;=$G$6,'calculated data '!$A$5,D5282&gt;=$G$6,'calculated data '!$A$6)</f>
        <v>Target Market (Core IQR)</v>
      </c>
      <c r="F5282" s="10">
        <f t="shared" si="1"/>
        <v>-0.3912748021</v>
      </c>
    </row>
    <row r="5283" ht="14.25" customHeight="1">
      <c r="A5283" s="2" t="s">
        <v>235</v>
      </c>
      <c r="B5283" s="2" t="s">
        <v>236</v>
      </c>
      <c r="C5283" s="2">
        <v>1983.0</v>
      </c>
      <c r="D5283" s="9">
        <v>10273.89</v>
      </c>
      <c r="E5283" s="10" t="str">
        <f t="array" ref="E5283">IFS(D5283&lt;=$G$3,'calculated data '!$A$3,D5283&lt;=$G$4,'calculated data '!$A$4,D5283&lt;=$G$6,'calculated data '!$A$5,D5283&gt;=$G$6,'calculated data '!$A$6)</f>
        <v>Target Market (Core IQR)</v>
      </c>
      <c r="F5283" s="10">
        <f t="shared" si="1"/>
        <v>-0.3912241654</v>
      </c>
    </row>
    <row r="5284" ht="14.25" customHeight="1">
      <c r="A5284" s="2" t="s">
        <v>191</v>
      </c>
      <c r="B5284" s="2" t="s">
        <v>192</v>
      </c>
      <c r="C5284" s="2">
        <v>2012.0</v>
      </c>
      <c r="D5284" s="9">
        <v>10275.347</v>
      </c>
      <c r="E5284" s="10" t="str">
        <f t="array" ref="E5284">IFS(D5284&lt;=$G$3,'calculated data '!$A$3,D5284&lt;=$G$4,'calculated data '!$A$4,D5284&lt;=$G$6,'calculated data '!$A$5,D5284&gt;=$G$6,'calculated data '!$A$6)</f>
        <v>Target Market (Core IQR)</v>
      </c>
      <c r="F5284" s="10">
        <f t="shared" si="1"/>
        <v>-0.391185599</v>
      </c>
    </row>
    <row r="5285" ht="14.25" customHeight="1">
      <c r="A5285" s="2" t="s">
        <v>279</v>
      </c>
      <c r="B5285" s="2" t="s">
        <v>280</v>
      </c>
      <c r="C5285" s="2">
        <v>1973.0</v>
      </c>
      <c r="D5285" s="9">
        <v>10282.494</v>
      </c>
      <c r="E5285" s="10" t="str">
        <f t="array" ref="E5285">IFS(D5285&lt;=$G$3,'calculated data '!$A$3,D5285&lt;=$G$4,'calculated data '!$A$4,D5285&lt;=$G$6,'calculated data '!$A$5,D5285&gt;=$G$6,'calculated data '!$A$6)</f>
        <v>Target Market (Core IQR)</v>
      </c>
      <c r="F5285" s="10">
        <f t="shared" si="1"/>
        <v>-0.3909964197</v>
      </c>
    </row>
    <row r="5286" ht="14.25" customHeight="1">
      <c r="A5286" s="2" t="s">
        <v>183</v>
      </c>
      <c r="B5286" s="2" t="s">
        <v>184</v>
      </c>
      <c r="C5286" s="2">
        <v>2022.0</v>
      </c>
      <c r="D5286" s="9">
        <v>10290.237</v>
      </c>
      <c r="E5286" s="10" t="str">
        <f t="array" ref="E5286">IFS(D5286&lt;=$G$3,'calculated data '!$A$3,D5286&lt;=$G$4,'calculated data '!$A$4,D5286&lt;=$G$6,'calculated data '!$A$5,D5286&gt;=$G$6,'calculated data '!$A$6)</f>
        <v>Target Market (Core IQR)</v>
      </c>
      <c r="F5286" s="10">
        <f t="shared" si="1"/>
        <v>-0.3907914644</v>
      </c>
    </row>
    <row r="5287" ht="14.25" customHeight="1">
      <c r="A5287" s="2" t="s">
        <v>321</v>
      </c>
      <c r="B5287" s="2" t="s">
        <v>322</v>
      </c>
      <c r="C5287" s="2">
        <v>2008.0</v>
      </c>
      <c r="D5287" s="9">
        <v>10292.886</v>
      </c>
      <c r="E5287" s="10" t="str">
        <f t="array" ref="E5287">IFS(D5287&lt;=$G$3,'calculated data '!$A$3,D5287&lt;=$G$4,'calculated data '!$A$4,D5287&lt;=$G$6,'calculated data '!$A$5,D5287&gt;=$G$6,'calculated data '!$A$6)</f>
        <v>Target Market (Core IQR)</v>
      </c>
      <c r="F5287" s="10">
        <f t="shared" si="1"/>
        <v>-0.3907213461</v>
      </c>
    </row>
    <row r="5288" ht="14.25" customHeight="1">
      <c r="A5288" s="2" t="s">
        <v>235</v>
      </c>
      <c r="B5288" s="2" t="s">
        <v>236</v>
      </c>
      <c r="C5288" s="2">
        <v>1998.0</v>
      </c>
      <c r="D5288" s="9">
        <v>10297.342</v>
      </c>
      <c r="E5288" s="10" t="str">
        <f t="array" ref="E5288">IFS(D5288&lt;=$G$3,'calculated data '!$A$3,D5288&lt;=$G$4,'calculated data '!$A$4,D5288&lt;=$G$6,'calculated data '!$A$5,D5288&gt;=$G$6,'calculated data '!$A$6)</f>
        <v>Target Market (Core IQR)</v>
      </c>
      <c r="F5288" s="10">
        <f t="shared" si="1"/>
        <v>-0.3906033968</v>
      </c>
    </row>
    <row r="5289" ht="14.25" customHeight="1">
      <c r="A5289" s="2" t="s">
        <v>311</v>
      </c>
      <c r="B5289" s="2" t="s">
        <v>312</v>
      </c>
      <c r="C5289" s="2">
        <v>1996.0</v>
      </c>
      <c r="D5289" s="9">
        <v>10303.058</v>
      </c>
      <c r="E5289" s="10" t="str">
        <f t="array" ref="E5289">IFS(D5289&lt;=$G$3,'calculated data '!$A$3,D5289&lt;=$G$4,'calculated data '!$A$4,D5289&lt;=$G$6,'calculated data '!$A$5,D5289&gt;=$G$6,'calculated data '!$A$6)</f>
        <v>Target Market (Core IQR)</v>
      </c>
      <c r="F5289" s="10">
        <f t="shared" si="1"/>
        <v>-0.3904520957</v>
      </c>
    </row>
    <row r="5290" ht="14.25" customHeight="1">
      <c r="A5290" s="2" t="s">
        <v>257</v>
      </c>
      <c r="B5290" s="2" t="s">
        <v>258</v>
      </c>
      <c r="C5290" s="2">
        <v>1976.0</v>
      </c>
      <c r="D5290" s="9">
        <v>10303.957</v>
      </c>
      <c r="E5290" s="10" t="str">
        <f t="array" ref="E5290">IFS(D5290&lt;=$G$3,'calculated data '!$A$3,D5290&lt;=$G$4,'calculated data '!$A$4,D5290&lt;=$G$6,'calculated data '!$A$5,D5290&gt;=$G$6,'calculated data '!$A$6)</f>
        <v>Target Market (Core IQR)</v>
      </c>
      <c r="F5290" s="10">
        <f t="shared" si="1"/>
        <v>-0.3904282994</v>
      </c>
    </row>
    <row r="5291" ht="14.25" customHeight="1">
      <c r="A5291" s="2" t="s">
        <v>203</v>
      </c>
      <c r="B5291" s="2" t="s">
        <v>204</v>
      </c>
      <c r="C5291" s="2">
        <v>2015.0</v>
      </c>
      <c r="D5291" s="9">
        <v>10308.972</v>
      </c>
      <c r="E5291" s="10" t="str">
        <f t="array" ref="E5291">IFS(D5291&lt;=$G$3,'calculated data '!$A$3,D5291&lt;=$G$4,'calculated data '!$A$4,D5291&lt;=$G$6,'calculated data '!$A$5,D5291&gt;=$G$6,'calculated data '!$A$6)</f>
        <v>Target Market (Core IQR)</v>
      </c>
      <c r="F5291" s="10">
        <f t="shared" si="1"/>
        <v>-0.3902955536</v>
      </c>
    </row>
    <row r="5292" ht="14.25" customHeight="1">
      <c r="A5292" s="2" t="s">
        <v>315</v>
      </c>
      <c r="B5292" s="2" t="s">
        <v>316</v>
      </c>
      <c r="C5292" s="2">
        <v>2023.0</v>
      </c>
      <c r="D5292" s="9">
        <v>10312.887</v>
      </c>
      <c r="E5292" s="10" t="str">
        <f t="array" ref="E5292">IFS(D5292&lt;=$G$3,'calculated data '!$A$3,D5292&lt;=$G$4,'calculated data '!$A$4,D5292&lt;=$G$6,'calculated data '!$A$5,D5292&gt;=$G$6,'calculated data '!$A$6)</f>
        <v>Target Market (Core IQR)</v>
      </c>
      <c r="F5292" s="10">
        <f t="shared" si="1"/>
        <v>-0.3901919246</v>
      </c>
    </row>
    <row r="5293" ht="14.25" customHeight="1">
      <c r="A5293" s="2" t="s">
        <v>311</v>
      </c>
      <c r="B5293" s="2" t="s">
        <v>312</v>
      </c>
      <c r="C5293" s="2">
        <v>1995.0</v>
      </c>
      <c r="D5293" s="9">
        <v>10320.522</v>
      </c>
      <c r="E5293" s="10" t="str">
        <f t="array" ref="E5293">IFS(D5293&lt;=$G$3,'calculated data '!$A$3,D5293&lt;=$G$4,'calculated data '!$A$4,D5293&lt;=$G$6,'calculated data '!$A$5,D5293&gt;=$G$6,'calculated data '!$A$6)</f>
        <v>Target Market (Core IQR)</v>
      </c>
      <c r="F5293" s="10">
        <f t="shared" si="1"/>
        <v>-0.389989828</v>
      </c>
    </row>
    <row r="5294" ht="14.25" customHeight="1">
      <c r="A5294" s="2" t="s">
        <v>191</v>
      </c>
      <c r="B5294" s="2" t="s">
        <v>192</v>
      </c>
      <c r="C5294" s="2">
        <v>2014.0</v>
      </c>
      <c r="D5294" s="9">
        <v>10325.731</v>
      </c>
      <c r="E5294" s="10" t="str">
        <f t="array" ref="E5294">IFS(D5294&lt;=$G$3,'calculated data '!$A$3,D5294&lt;=$G$4,'calculated data '!$A$4,D5294&lt;=$G$6,'calculated data '!$A$5,D5294&gt;=$G$6,'calculated data '!$A$6)</f>
        <v>Target Market (Core IQR)</v>
      </c>
      <c r="F5294" s="10">
        <f t="shared" si="1"/>
        <v>-0.3898519471</v>
      </c>
    </row>
    <row r="5295" ht="14.25" customHeight="1">
      <c r="A5295" s="2" t="s">
        <v>295</v>
      </c>
      <c r="B5295" s="2" t="s">
        <v>296</v>
      </c>
      <c r="C5295" s="2">
        <v>2005.0</v>
      </c>
      <c r="D5295" s="9">
        <v>10346.191</v>
      </c>
      <c r="E5295" s="10" t="str">
        <f t="array" ref="E5295">IFS(D5295&lt;=$G$3,'calculated data '!$A$3,D5295&lt;=$G$4,'calculated data '!$A$4,D5295&lt;=$G$6,'calculated data '!$A$5,D5295&gt;=$G$6,'calculated data '!$A$6)</f>
        <v>Target Market (Core IQR)</v>
      </c>
      <c r="F5295" s="10">
        <f t="shared" si="1"/>
        <v>-0.389310376</v>
      </c>
    </row>
    <row r="5296" ht="14.25" customHeight="1">
      <c r="A5296" s="2" t="s">
        <v>233</v>
      </c>
      <c r="B5296" s="2" t="s">
        <v>234</v>
      </c>
      <c r="C5296" s="2">
        <v>2007.0</v>
      </c>
      <c r="D5296" s="9">
        <v>10348.668</v>
      </c>
      <c r="E5296" s="10" t="str">
        <f t="array" ref="E5296">IFS(D5296&lt;=$G$3,'calculated data '!$A$3,D5296&lt;=$G$4,'calculated data '!$A$4,D5296&lt;=$G$6,'calculated data '!$A$5,D5296&gt;=$G$6,'calculated data '!$A$6)</f>
        <v>Target Market (Core IQR)</v>
      </c>
      <c r="F5296" s="10">
        <f t="shared" si="1"/>
        <v>-0.3892448104</v>
      </c>
    </row>
    <row r="5297" ht="14.25" customHeight="1">
      <c r="A5297" s="2" t="s">
        <v>321</v>
      </c>
      <c r="B5297" s="2" t="s">
        <v>322</v>
      </c>
      <c r="C5297" s="2">
        <v>2009.0</v>
      </c>
      <c r="D5297" s="9">
        <v>10366.752</v>
      </c>
      <c r="E5297" s="10" t="str">
        <f t="array" ref="E5297">IFS(D5297&lt;=$G$3,'calculated data '!$A$3,D5297&lt;=$G$4,'calculated data '!$A$4,D5297&lt;=$G$6,'calculated data '!$A$5,D5297&gt;=$G$6,'calculated data '!$A$6)</f>
        <v>Target Market (Core IQR)</v>
      </c>
      <c r="F5297" s="10">
        <f t="shared" si="1"/>
        <v>-0.3887661314</v>
      </c>
    </row>
    <row r="5298" ht="14.25" customHeight="1">
      <c r="A5298" s="2" t="s">
        <v>287</v>
      </c>
      <c r="B5298" s="2" t="s">
        <v>288</v>
      </c>
      <c r="C5298" s="2">
        <v>2007.0</v>
      </c>
      <c r="D5298" s="9">
        <v>10372.43</v>
      </c>
      <c r="E5298" s="10" t="str">
        <f t="array" ref="E5298">IFS(D5298&lt;=$G$3,'calculated data '!$A$3,D5298&lt;=$G$4,'calculated data '!$A$4,D5298&lt;=$G$6,'calculated data '!$A$5,D5298&gt;=$G$6,'calculated data '!$A$6)</f>
        <v>Target Market (Core IQR)</v>
      </c>
      <c r="F5298" s="10">
        <f t="shared" si="1"/>
        <v>-0.3886158362</v>
      </c>
    </row>
    <row r="5299" ht="14.25" customHeight="1">
      <c r="A5299" s="2" t="s">
        <v>311</v>
      </c>
      <c r="B5299" s="2" t="s">
        <v>312</v>
      </c>
      <c r="C5299" s="2">
        <v>1994.0</v>
      </c>
      <c r="D5299" s="9">
        <v>10373.553</v>
      </c>
      <c r="E5299" s="10" t="str">
        <f t="array" ref="E5299">IFS(D5299&lt;=$G$3,'calculated data '!$A$3,D5299&lt;=$G$4,'calculated data '!$A$4,D5299&lt;=$G$6,'calculated data '!$A$5,D5299&gt;=$G$6,'calculated data '!$A$6)</f>
        <v>Target Market (Core IQR)</v>
      </c>
      <c r="F5299" s="10">
        <f t="shared" si="1"/>
        <v>-0.3885861107</v>
      </c>
    </row>
    <row r="5300" ht="14.25" customHeight="1">
      <c r="A5300" s="2" t="s">
        <v>289</v>
      </c>
      <c r="B5300" s="2" t="s">
        <v>290</v>
      </c>
      <c r="C5300" s="2">
        <v>2005.0</v>
      </c>
      <c r="D5300" s="9">
        <v>10374.793</v>
      </c>
      <c r="E5300" s="10" t="str">
        <f t="array" ref="E5300">IFS(D5300&lt;=$G$3,'calculated data '!$A$3,D5300&lt;=$G$4,'calculated data '!$A$4,D5300&lt;=$G$6,'calculated data '!$A$5,D5300&gt;=$G$6,'calculated data '!$A$6)</f>
        <v>Target Market (Core IQR)</v>
      </c>
      <c r="F5300" s="10">
        <f t="shared" si="1"/>
        <v>-0.3885532882</v>
      </c>
    </row>
    <row r="5301" ht="14.25" customHeight="1">
      <c r="A5301" s="2" t="s">
        <v>191</v>
      </c>
      <c r="B5301" s="2" t="s">
        <v>192</v>
      </c>
      <c r="C5301" s="2">
        <v>2021.0</v>
      </c>
      <c r="D5301" s="9">
        <v>10379.506</v>
      </c>
      <c r="E5301" s="10" t="str">
        <f t="array" ref="E5301">IFS(D5301&lt;=$G$3,'calculated data '!$A$3,D5301&lt;=$G$4,'calculated data '!$A$4,D5301&lt;=$G$6,'calculated data '!$A$5,D5301&gt;=$G$6,'calculated data '!$A$6)</f>
        <v>Target Market (Core IQR)</v>
      </c>
      <c r="F5301" s="10">
        <f t="shared" si="1"/>
        <v>-0.3884285362</v>
      </c>
    </row>
    <row r="5302" ht="14.25" customHeight="1">
      <c r="A5302" s="2" t="s">
        <v>327</v>
      </c>
      <c r="B5302" s="2" t="s">
        <v>328</v>
      </c>
      <c r="C5302" s="2">
        <v>1988.0</v>
      </c>
      <c r="D5302" s="9">
        <v>10382.105</v>
      </c>
      <c r="E5302" s="10" t="str">
        <f t="array" ref="E5302">IFS(D5302&lt;=$G$3,'calculated data '!$A$3,D5302&lt;=$G$4,'calculated data '!$A$4,D5302&lt;=$G$6,'calculated data '!$A$5,D5302&gt;=$G$6,'calculated data '!$A$6)</f>
        <v>Target Market (Core IQR)</v>
      </c>
      <c r="F5302" s="10">
        <f t="shared" si="1"/>
        <v>-0.3883597413</v>
      </c>
    </row>
    <row r="5303" ht="14.25" customHeight="1">
      <c r="A5303" s="2" t="s">
        <v>329</v>
      </c>
      <c r="B5303" s="2" t="s">
        <v>330</v>
      </c>
      <c r="C5303" s="2">
        <v>1994.0</v>
      </c>
      <c r="D5303" s="9">
        <v>10385.949</v>
      </c>
      <c r="E5303" s="10" t="str">
        <f t="array" ref="E5303">IFS(D5303&lt;=$G$3,'calculated data '!$A$3,D5303&lt;=$G$4,'calculated data '!$A$4,D5303&lt;=$G$6,'calculated data '!$A$5,D5303&gt;=$G$6,'calculated data '!$A$6)</f>
        <v>Target Market (Core IQR)</v>
      </c>
      <c r="F5303" s="10">
        <f t="shared" si="1"/>
        <v>-0.3882579916</v>
      </c>
    </row>
    <row r="5304" ht="14.25" customHeight="1">
      <c r="A5304" s="2" t="s">
        <v>293</v>
      </c>
      <c r="B5304" s="2" t="s">
        <v>294</v>
      </c>
      <c r="C5304" s="2">
        <v>2001.0</v>
      </c>
      <c r="D5304" s="9">
        <v>10399.644</v>
      </c>
      <c r="E5304" s="10" t="str">
        <f t="array" ref="E5304">IFS(D5304&lt;=$G$3,'calculated data '!$A$3,D5304&lt;=$G$4,'calculated data '!$A$4,D5304&lt;=$G$6,'calculated data '!$A$5,D5304&gt;=$G$6,'calculated data '!$A$6)</f>
        <v>Target Market (Core IQR)</v>
      </c>
      <c r="F5304" s="10">
        <f t="shared" si="1"/>
        <v>-0.3878954884</v>
      </c>
    </row>
    <row r="5305" ht="14.25" customHeight="1">
      <c r="A5305" s="2" t="s">
        <v>227</v>
      </c>
      <c r="B5305" s="2" t="s">
        <v>228</v>
      </c>
      <c r="C5305" s="2">
        <v>2004.0</v>
      </c>
      <c r="D5305" s="9">
        <v>10404.706</v>
      </c>
      <c r="E5305" s="10" t="str">
        <f t="array" ref="E5305">IFS(D5305&lt;=$G$3,'calculated data '!$A$3,D5305&lt;=$G$4,'calculated data '!$A$4,D5305&lt;=$G$6,'calculated data '!$A$5,D5305&gt;=$G$6,'calculated data '!$A$6)</f>
        <v>Target Market (Core IQR)</v>
      </c>
      <c r="F5305" s="10">
        <f t="shared" si="1"/>
        <v>-0.3877614985</v>
      </c>
    </row>
    <row r="5306" ht="14.25" customHeight="1">
      <c r="A5306" s="2" t="s">
        <v>311</v>
      </c>
      <c r="B5306" s="2" t="s">
        <v>312</v>
      </c>
      <c r="C5306" s="2">
        <v>1997.0</v>
      </c>
      <c r="D5306" s="9">
        <v>10409.996</v>
      </c>
      <c r="E5306" s="10" t="str">
        <f t="array" ref="E5306">IFS(D5306&lt;=$G$3,'calculated data '!$A$3,D5306&lt;=$G$4,'calculated data '!$A$4,D5306&lt;=$G$6,'calculated data '!$A$5,D5306&gt;=$G$6,'calculated data '!$A$6)</f>
        <v>Target Market (Core IQR)</v>
      </c>
      <c r="F5306" s="10">
        <f t="shared" si="1"/>
        <v>-0.3876214735</v>
      </c>
    </row>
    <row r="5307" ht="14.25" customHeight="1">
      <c r="A5307" s="2" t="s">
        <v>203</v>
      </c>
      <c r="B5307" s="2" t="s">
        <v>204</v>
      </c>
      <c r="C5307" s="2">
        <v>2011.0</v>
      </c>
      <c r="D5307" s="9">
        <v>10426.515</v>
      </c>
      <c r="E5307" s="10" t="str">
        <f t="array" ref="E5307">IFS(D5307&lt;=$G$3,'calculated data '!$A$3,D5307&lt;=$G$4,'calculated data '!$A$4,D5307&lt;=$G$6,'calculated data '!$A$5,D5307&gt;=$G$6,'calculated data '!$A$6)</f>
        <v>Target Market (Core IQR)</v>
      </c>
      <c r="F5307" s="10">
        <f t="shared" si="1"/>
        <v>-0.3871842197</v>
      </c>
    </row>
    <row r="5308" ht="14.25" customHeight="1">
      <c r="A5308" s="2" t="s">
        <v>311</v>
      </c>
      <c r="B5308" s="2" t="s">
        <v>312</v>
      </c>
      <c r="C5308" s="2">
        <v>1993.0</v>
      </c>
      <c r="D5308" s="9">
        <v>10429.498</v>
      </c>
      <c r="E5308" s="10" t="str">
        <f t="array" ref="E5308">IFS(D5308&lt;=$G$3,'calculated data '!$A$3,D5308&lt;=$G$4,'calculated data '!$A$4,D5308&lt;=$G$6,'calculated data '!$A$5,D5308&gt;=$G$6,'calculated data '!$A$6)</f>
        <v>Target Market (Core IQR)</v>
      </c>
      <c r="F5308" s="10">
        <f t="shared" si="1"/>
        <v>-0.3871052604</v>
      </c>
    </row>
    <row r="5309" ht="14.25" customHeight="1">
      <c r="A5309" s="2" t="s">
        <v>195</v>
      </c>
      <c r="B5309" s="2" t="s">
        <v>196</v>
      </c>
      <c r="C5309" s="2">
        <v>2019.0</v>
      </c>
      <c r="D5309" s="9">
        <v>10433.01</v>
      </c>
      <c r="E5309" s="10" t="str">
        <f t="array" ref="E5309">IFS(D5309&lt;=$G$3,'calculated data '!$A$3,D5309&lt;=$G$4,'calculated data '!$A$4,D5309&lt;=$G$6,'calculated data '!$A$5,D5309&gt;=$G$6,'calculated data '!$A$6)</f>
        <v>Target Market (Core IQR)</v>
      </c>
      <c r="F5309" s="10">
        <f t="shared" si="1"/>
        <v>-0.3870122987</v>
      </c>
    </row>
    <row r="5310" ht="14.25" customHeight="1">
      <c r="A5310" s="2" t="s">
        <v>293</v>
      </c>
      <c r="B5310" s="2" t="s">
        <v>294</v>
      </c>
      <c r="C5310" s="2">
        <v>1998.0</v>
      </c>
      <c r="D5310" s="9">
        <v>10433.256</v>
      </c>
      <c r="E5310" s="10" t="str">
        <f t="array" ref="E5310">IFS(D5310&lt;=$G$3,'calculated data '!$A$3,D5310&lt;=$G$4,'calculated data '!$A$4,D5310&lt;=$G$6,'calculated data '!$A$5,D5310&gt;=$G$6,'calculated data '!$A$6)</f>
        <v>Target Market (Core IQR)</v>
      </c>
      <c r="F5310" s="10">
        <f t="shared" si="1"/>
        <v>-0.3870057871</v>
      </c>
    </row>
    <row r="5311" ht="14.25" customHeight="1">
      <c r="A5311" s="2" t="s">
        <v>259</v>
      </c>
      <c r="B5311" s="2" t="s">
        <v>260</v>
      </c>
      <c r="C5311" s="2">
        <v>2017.0</v>
      </c>
      <c r="D5311" s="9">
        <v>10434.404</v>
      </c>
      <c r="E5311" s="10" t="str">
        <f t="array" ref="E5311">IFS(D5311&lt;=$G$3,'calculated data '!$A$3,D5311&lt;=$G$4,'calculated data '!$A$4,D5311&lt;=$G$6,'calculated data '!$A$5,D5311&gt;=$G$6,'calculated data '!$A$6)</f>
        <v>Target Market (Core IQR)</v>
      </c>
      <c r="F5311" s="10">
        <f t="shared" si="1"/>
        <v>-0.3869753998</v>
      </c>
    </row>
    <row r="5312" ht="14.25" customHeight="1">
      <c r="A5312" s="2" t="s">
        <v>305</v>
      </c>
      <c r="B5312" s="2" t="s">
        <v>306</v>
      </c>
      <c r="C5312" s="2">
        <v>1980.0</v>
      </c>
      <c r="D5312" s="9">
        <v>10435.528</v>
      </c>
      <c r="E5312" s="10" t="str">
        <f t="array" ref="E5312">IFS(D5312&lt;=$G$3,'calculated data '!$A$3,D5312&lt;=$G$4,'calculated data '!$A$4,D5312&lt;=$G$6,'calculated data '!$A$5,D5312&gt;=$G$6,'calculated data '!$A$6)</f>
        <v>Target Market (Core IQR)</v>
      </c>
      <c r="F5312" s="10">
        <f t="shared" si="1"/>
        <v>-0.3869456478</v>
      </c>
    </row>
    <row r="5313" ht="14.25" customHeight="1">
      <c r="A5313" s="2" t="s">
        <v>237</v>
      </c>
      <c r="B5313" s="2" t="s">
        <v>238</v>
      </c>
      <c r="C5313" s="2">
        <v>2008.0</v>
      </c>
      <c r="D5313" s="9">
        <v>10440.874</v>
      </c>
      <c r="E5313" s="10" t="str">
        <f t="array" ref="E5313">IFS(D5313&lt;=$G$3,'calculated data '!$A$3,D5313&lt;=$G$4,'calculated data '!$A$4,D5313&lt;=$G$6,'calculated data '!$A$5,D5313&gt;=$G$6,'calculated data '!$A$6)</f>
        <v>Target Market (Core IQR)</v>
      </c>
      <c r="F5313" s="10">
        <f t="shared" si="1"/>
        <v>-0.3868041406</v>
      </c>
    </row>
    <row r="5314" ht="14.25" customHeight="1">
      <c r="A5314" s="2" t="s">
        <v>237</v>
      </c>
      <c r="B5314" s="2" t="s">
        <v>238</v>
      </c>
      <c r="C5314" s="2">
        <v>2013.0</v>
      </c>
      <c r="D5314" s="9">
        <v>10444.183</v>
      </c>
      <c r="E5314" s="10" t="str">
        <f t="array" ref="E5314">IFS(D5314&lt;=$G$3,'calculated data '!$A$3,D5314&lt;=$G$4,'calculated data '!$A$4,D5314&lt;=$G$6,'calculated data '!$A$5,D5314&gt;=$G$6,'calculated data '!$A$6)</f>
        <v>Target Market (Core IQR)</v>
      </c>
      <c r="F5314" s="10">
        <f t="shared" si="1"/>
        <v>-0.3867165521</v>
      </c>
    </row>
    <row r="5315" ht="14.25" customHeight="1">
      <c r="A5315" s="2" t="s">
        <v>333</v>
      </c>
      <c r="B5315" s="2" t="s">
        <v>334</v>
      </c>
      <c r="C5315" s="2">
        <v>2019.0</v>
      </c>
      <c r="D5315" s="9">
        <v>10452.868</v>
      </c>
      <c r="E5315" s="10" t="str">
        <f t="array" ref="E5315">IFS(D5315&lt;=$G$3,'calculated data '!$A$3,D5315&lt;=$G$4,'calculated data '!$A$4,D5315&lt;=$G$6,'calculated data '!$A$5,D5315&gt;=$G$6,'calculated data '!$A$6)</f>
        <v>Target Market (Core IQR)</v>
      </c>
      <c r="F5315" s="10">
        <f t="shared" si="1"/>
        <v>-0.3864866624</v>
      </c>
    </row>
    <row r="5316" ht="14.25" customHeight="1">
      <c r="A5316" s="2" t="s">
        <v>207</v>
      </c>
      <c r="B5316" s="2" t="s">
        <v>208</v>
      </c>
      <c r="C5316" s="2">
        <v>2003.0</v>
      </c>
      <c r="D5316" s="9">
        <v>10455.636</v>
      </c>
      <c r="E5316" s="10" t="str">
        <f t="array" ref="E5316">IFS(D5316&lt;=$G$3,'calculated data '!$A$3,D5316&lt;=$G$4,'calculated data '!$A$4,D5316&lt;=$G$6,'calculated data '!$A$5,D5316&gt;=$G$6,'calculated data '!$A$6)</f>
        <v>Target Market (Core IQR)</v>
      </c>
      <c r="F5316" s="10">
        <f t="shared" si="1"/>
        <v>-0.3864133941</v>
      </c>
    </row>
    <row r="5317" ht="14.25" customHeight="1">
      <c r="A5317" s="2" t="s">
        <v>191</v>
      </c>
      <c r="B5317" s="2" t="s">
        <v>192</v>
      </c>
      <c r="C5317" s="2">
        <v>2011.0</v>
      </c>
      <c r="D5317" s="9">
        <v>10466.034</v>
      </c>
      <c r="E5317" s="10" t="str">
        <f t="array" ref="E5317">IFS(D5317&lt;=$G$3,'calculated data '!$A$3,D5317&lt;=$G$4,'calculated data '!$A$4,D5317&lt;=$G$6,'calculated data '!$A$5,D5317&gt;=$G$6,'calculated data '!$A$6)</f>
        <v>Target Market (Core IQR)</v>
      </c>
      <c r="F5317" s="10">
        <f t="shared" si="1"/>
        <v>-0.3861381616</v>
      </c>
    </row>
    <row r="5318" ht="14.25" customHeight="1">
      <c r="A5318" s="2" t="s">
        <v>293</v>
      </c>
      <c r="B5318" s="2" t="s">
        <v>294</v>
      </c>
      <c r="C5318" s="2">
        <v>2000.0</v>
      </c>
      <c r="D5318" s="9">
        <v>10486.714</v>
      </c>
      <c r="E5318" s="10" t="str">
        <f t="array" ref="E5318">IFS(D5318&lt;=$G$3,'calculated data '!$A$3,D5318&lt;=$G$4,'calculated data '!$A$4,D5318&lt;=$G$6,'calculated data '!$A$5,D5318&gt;=$G$6,'calculated data '!$A$6)</f>
        <v>Target Market (Core IQR)</v>
      </c>
      <c r="F5318" s="10">
        <f t="shared" si="1"/>
        <v>-0.3855907672</v>
      </c>
    </row>
    <row r="5319" ht="14.25" customHeight="1">
      <c r="A5319" s="2" t="s">
        <v>185</v>
      </c>
      <c r="B5319" s="2" t="s">
        <v>186</v>
      </c>
      <c r="C5319" s="2">
        <v>2017.0</v>
      </c>
      <c r="D5319" s="9">
        <v>10490.862</v>
      </c>
      <c r="E5319" s="10" t="str">
        <f t="array" ref="E5319">IFS(D5319&lt;=$G$3,'calculated data '!$A$3,D5319&lt;=$G$4,'calculated data '!$A$4,D5319&lt;=$G$6,'calculated data '!$A$5,D5319&gt;=$G$6,'calculated data '!$A$6)</f>
        <v>Target Market (Core IQR)</v>
      </c>
      <c r="F5319" s="10">
        <f t="shared" si="1"/>
        <v>-0.3854809706</v>
      </c>
    </row>
    <row r="5320" ht="14.25" customHeight="1">
      <c r="A5320" s="2" t="s">
        <v>325</v>
      </c>
      <c r="B5320" s="2" t="s">
        <v>326</v>
      </c>
      <c r="C5320" s="2">
        <v>1995.0</v>
      </c>
      <c r="D5320" s="9">
        <v>10491.935</v>
      </c>
      <c r="E5320" s="10" t="str">
        <f t="array" ref="E5320">IFS(D5320&lt;=$G$3,'calculated data '!$A$3,D5320&lt;=$G$4,'calculated data '!$A$4,D5320&lt;=$G$6,'calculated data '!$A$5,D5320&gt;=$G$6,'calculated data '!$A$6)</f>
        <v>Target Market (Core IQR)</v>
      </c>
      <c r="F5320" s="10">
        <f t="shared" si="1"/>
        <v>-0.3854525686</v>
      </c>
    </row>
    <row r="5321" ht="14.25" customHeight="1">
      <c r="A5321" s="2" t="s">
        <v>305</v>
      </c>
      <c r="B5321" s="2" t="s">
        <v>306</v>
      </c>
      <c r="C5321" s="2">
        <v>1994.0</v>
      </c>
      <c r="D5321" s="9">
        <v>10494.637</v>
      </c>
      <c r="E5321" s="10" t="str">
        <f t="array" ref="E5321">IFS(D5321&lt;=$G$3,'calculated data '!$A$3,D5321&lt;=$G$4,'calculated data '!$A$4,D5321&lt;=$G$6,'calculated data '!$A$5,D5321&gt;=$G$6,'calculated data '!$A$6)</f>
        <v>Target Market (Core IQR)</v>
      </c>
      <c r="F5321" s="10">
        <f t="shared" si="1"/>
        <v>-0.3853810473</v>
      </c>
    </row>
    <row r="5322" ht="14.25" customHeight="1">
      <c r="A5322" s="2" t="s">
        <v>203</v>
      </c>
      <c r="B5322" s="2" t="s">
        <v>204</v>
      </c>
      <c r="C5322" s="2">
        <v>2008.0</v>
      </c>
      <c r="D5322" s="9">
        <v>10495.343</v>
      </c>
      <c r="E5322" s="10" t="str">
        <f t="array" ref="E5322">IFS(D5322&lt;=$G$3,'calculated data '!$A$3,D5322&lt;=$G$4,'calculated data '!$A$4,D5322&lt;=$G$6,'calculated data '!$A$5,D5322&gt;=$G$6,'calculated data '!$A$6)</f>
        <v>Target Market (Core IQR)</v>
      </c>
      <c r="F5322" s="10">
        <f t="shared" si="1"/>
        <v>-0.3853623597</v>
      </c>
    </row>
    <row r="5323" ht="14.25" customHeight="1">
      <c r="A5323" s="2" t="s">
        <v>203</v>
      </c>
      <c r="B5323" s="2" t="s">
        <v>204</v>
      </c>
      <c r="C5323" s="2">
        <v>2010.0</v>
      </c>
      <c r="D5323" s="9">
        <v>10496.202</v>
      </c>
      <c r="E5323" s="10" t="str">
        <f t="array" ref="E5323">IFS(D5323&lt;=$G$3,'calculated data '!$A$3,D5323&lt;=$G$4,'calculated data '!$A$4,D5323&lt;=$G$6,'calculated data '!$A$5,D5323&gt;=$G$6,'calculated data '!$A$6)</f>
        <v>Target Market (Core IQR)</v>
      </c>
      <c r="F5323" s="10">
        <f t="shared" si="1"/>
        <v>-0.3853396222</v>
      </c>
    </row>
    <row r="5324" ht="14.25" customHeight="1">
      <c r="A5324" s="2" t="s">
        <v>237</v>
      </c>
      <c r="B5324" s="2" t="s">
        <v>238</v>
      </c>
      <c r="C5324" s="2">
        <v>2014.0</v>
      </c>
      <c r="D5324" s="9">
        <v>10499.429</v>
      </c>
      <c r="E5324" s="10" t="str">
        <f t="array" ref="E5324">IFS(D5324&lt;=$G$3,'calculated data '!$A$3,D5324&lt;=$G$4,'calculated data '!$A$4,D5324&lt;=$G$6,'calculated data '!$A$5,D5324&gt;=$G$6,'calculated data '!$A$6)</f>
        <v>Target Market (Core IQR)</v>
      </c>
      <c r="F5324" s="10">
        <f t="shared" si="1"/>
        <v>-0.3852542043</v>
      </c>
    </row>
    <row r="5325" ht="14.25" customHeight="1">
      <c r="A5325" s="2" t="s">
        <v>231</v>
      </c>
      <c r="B5325" s="2" t="s">
        <v>232</v>
      </c>
      <c r="C5325" s="2">
        <v>1995.0</v>
      </c>
      <c r="D5325" s="9">
        <v>10506.166</v>
      </c>
      <c r="E5325" s="10" t="str">
        <f t="array" ref="E5325">IFS(D5325&lt;=$G$3,'calculated data '!$A$3,D5325&lt;=$G$4,'calculated data '!$A$4,D5325&lt;=$G$6,'calculated data '!$A$5,D5325&gt;=$G$6,'calculated data '!$A$6)</f>
        <v>Target Market (Core IQR)</v>
      </c>
      <c r="F5325" s="10">
        <f t="shared" si="1"/>
        <v>-0.3850758776</v>
      </c>
    </row>
    <row r="5326" ht="14.25" customHeight="1">
      <c r="A5326" s="2" t="s">
        <v>227</v>
      </c>
      <c r="B5326" s="2" t="s">
        <v>228</v>
      </c>
      <c r="C5326" s="2">
        <v>2005.0</v>
      </c>
      <c r="D5326" s="9">
        <v>10507.683</v>
      </c>
      <c r="E5326" s="10" t="str">
        <f t="array" ref="E5326">IFS(D5326&lt;=$G$3,'calculated data '!$A$3,D5326&lt;=$G$4,'calculated data '!$A$4,D5326&lt;=$G$6,'calculated data '!$A$5,D5326&gt;=$G$6,'calculated data '!$A$6)</f>
        <v>Target Market (Core IQR)</v>
      </c>
      <c r="F5326" s="10">
        <f t="shared" si="1"/>
        <v>-0.385035723</v>
      </c>
    </row>
    <row r="5327" ht="14.25" customHeight="1">
      <c r="A5327" s="2" t="s">
        <v>271</v>
      </c>
      <c r="B5327" s="2" t="s">
        <v>272</v>
      </c>
      <c r="C5327" s="2">
        <v>1977.0</v>
      </c>
      <c r="D5327" s="9">
        <v>10508.558</v>
      </c>
      <c r="E5327" s="10" t="str">
        <f t="array" ref="E5327">IFS(D5327&lt;=$G$3,'calculated data '!$A$3,D5327&lt;=$G$4,'calculated data '!$A$4,D5327&lt;=$G$6,'calculated data '!$A$5,D5327&gt;=$G$6,'calculated data '!$A$6)</f>
        <v>Target Market (Core IQR)</v>
      </c>
      <c r="F5327" s="10">
        <f t="shared" si="1"/>
        <v>-0.3850125619</v>
      </c>
    </row>
    <row r="5328" ht="14.25" customHeight="1">
      <c r="A5328" s="2" t="s">
        <v>185</v>
      </c>
      <c r="B5328" s="2" t="s">
        <v>186</v>
      </c>
      <c r="C5328" s="2">
        <v>2022.0</v>
      </c>
      <c r="D5328" s="9">
        <v>10512.446</v>
      </c>
      <c r="E5328" s="10" t="str">
        <f t="array" ref="E5328">IFS(D5328&lt;=$G$3,'calculated data '!$A$3,D5328&lt;=$G$4,'calculated data '!$A$4,D5328&lt;=$G$6,'calculated data '!$A$5,D5328&gt;=$G$6,'calculated data '!$A$6)</f>
        <v>Target Market (Core IQR)</v>
      </c>
      <c r="F5328" s="10">
        <f t="shared" si="1"/>
        <v>-0.3849096475</v>
      </c>
    </row>
    <row r="5329" ht="14.25" customHeight="1">
      <c r="A5329" s="2" t="s">
        <v>57</v>
      </c>
      <c r="B5329" s="2" t="s">
        <v>58</v>
      </c>
      <c r="C5329" s="2">
        <v>1960.0</v>
      </c>
      <c r="D5329" s="9">
        <v>10512.454</v>
      </c>
      <c r="E5329" s="10" t="str">
        <f t="array" ref="E5329">IFS(D5329&lt;=$G$3,'calculated data '!$A$3,D5329&lt;=$G$4,'calculated data '!$A$4,D5329&lt;=$G$6,'calculated data '!$A$5,D5329&gt;=$G$6,'calculated data '!$A$6)</f>
        <v>Target Market (Core IQR)</v>
      </c>
      <c r="F5329" s="10">
        <f t="shared" si="1"/>
        <v>-0.3849094358</v>
      </c>
    </row>
    <row r="5330" ht="14.25" customHeight="1">
      <c r="A5330" s="2" t="s">
        <v>237</v>
      </c>
      <c r="B5330" s="2" t="s">
        <v>238</v>
      </c>
      <c r="C5330" s="2">
        <v>2010.0</v>
      </c>
      <c r="D5330" s="9">
        <v>10513.959</v>
      </c>
      <c r="E5330" s="10" t="str">
        <f t="array" ref="E5330">IFS(D5330&lt;=$G$3,'calculated data '!$A$3,D5330&lt;=$G$4,'calculated data '!$A$4,D5330&lt;=$G$6,'calculated data '!$A$5,D5330&gt;=$G$6,'calculated data '!$A$6)</f>
        <v>Target Market (Core IQR)</v>
      </c>
      <c r="F5330" s="10">
        <f t="shared" si="1"/>
        <v>-0.3848695988</v>
      </c>
    </row>
    <row r="5331" ht="14.25" customHeight="1">
      <c r="A5331" s="2" t="s">
        <v>237</v>
      </c>
      <c r="B5331" s="2" t="s">
        <v>238</v>
      </c>
      <c r="C5331" s="2">
        <v>2015.0</v>
      </c>
      <c r="D5331" s="9">
        <v>10514.652</v>
      </c>
      <c r="E5331" s="10" t="str">
        <f t="array" ref="E5331">IFS(D5331&lt;=$G$3,'calculated data '!$A$3,D5331&lt;=$G$4,'calculated data '!$A$4,D5331&lt;=$G$6,'calculated data '!$A$5,D5331&gt;=$G$6,'calculated data '!$A$6)</f>
        <v>Target Market (Core IQR)</v>
      </c>
      <c r="F5331" s="10">
        <f t="shared" si="1"/>
        <v>-0.3848512553</v>
      </c>
    </row>
    <row r="5332" ht="14.25" customHeight="1">
      <c r="A5332" s="2" t="s">
        <v>237</v>
      </c>
      <c r="B5332" s="2" t="s">
        <v>238</v>
      </c>
      <c r="C5332" s="2">
        <v>2012.0</v>
      </c>
      <c r="D5332" s="9">
        <v>10518.801</v>
      </c>
      <c r="E5332" s="10" t="str">
        <f t="array" ref="E5332">IFS(D5332&lt;=$G$3,'calculated data '!$A$3,D5332&lt;=$G$4,'calculated data '!$A$4,D5332&lt;=$G$6,'calculated data '!$A$5,D5332&gt;=$G$6,'calculated data '!$A$6)</f>
        <v>Target Market (Core IQR)</v>
      </c>
      <c r="F5332" s="10">
        <f t="shared" si="1"/>
        <v>-0.3847414323</v>
      </c>
    </row>
    <row r="5333" ht="14.25" customHeight="1">
      <c r="A5333" s="2" t="s">
        <v>305</v>
      </c>
      <c r="B5333" s="2" t="s">
        <v>306</v>
      </c>
      <c r="C5333" s="2">
        <v>1993.0</v>
      </c>
      <c r="D5333" s="9">
        <v>10528.746</v>
      </c>
      <c r="E5333" s="10" t="str">
        <f t="array" ref="E5333">IFS(D5333&lt;=$G$3,'calculated data '!$A$3,D5333&lt;=$G$4,'calculated data '!$A$4,D5333&lt;=$G$6,'calculated data '!$A$5,D5333&gt;=$G$6,'calculated data '!$A$6)</f>
        <v>Target Market (Core IQR)</v>
      </c>
      <c r="F5333" s="10">
        <f t="shared" si="1"/>
        <v>-0.3844781906</v>
      </c>
    </row>
    <row r="5334" ht="14.25" customHeight="1">
      <c r="A5334" s="2" t="s">
        <v>311</v>
      </c>
      <c r="B5334" s="2" t="s">
        <v>312</v>
      </c>
      <c r="C5334" s="2">
        <v>1992.0</v>
      </c>
      <c r="D5334" s="9">
        <v>10529.79</v>
      </c>
      <c r="E5334" s="10" t="str">
        <f t="array" ref="E5334">IFS(D5334&lt;=$G$3,'calculated data '!$A$3,D5334&lt;=$G$4,'calculated data '!$A$4,D5334&lt;=$G$6,'calculated data '!$A$5,D5334&gt;=$G$6,'calculated data '!$A$6)</f>
        <v>Target Market (Core IQR)</v>
      </c>
      <c r="F5334" s="10">
        <f t="shared" si="1"/>
        <v>-0.3844505562</v>
      </c>
    </row>
    <row r="5335" ht="14.25" customHeight="1">
      <c r="A5335" s="2" t="s">
        <v>233</v>
      </c>
      <c r="B5335" s="2" t="s">
        <v>234</v>
      </c>
      <c r="C5335" s="2">
        <v>2005.0</v>
      </c>
      <c r="D5335" s="9">
        <v>10530.628</v>
      </c>
      <c r="E5335" s="10" t="str">
        <f t="array" ref="E5335">IFS(D5335&lt;=$G$3,'calculated data '!$A$3,D5335&lt;=$G$4,'calculated data '!$A$4,D5335&lt;=$G$6,'calculated data '!$A$5,D5335&gt;=$G$6,'calculated data '!$A$6)</f>
        <v>Target Market (Core IQR)</v>
      </c>
      <c r="F5335" s="10">
        <f t="shared" si="1"/>
        <v>-0.3844283745</v>
      </c>
    </row>
    <row r="5336" ht="14.25" customHeight="1">
      <c r="A5336" s="2" t="s">
        <v>183</v>
      </c>
      <c r="B5336" s="2" t="s">
        <v>184</v>
      </c>
      <c r="C5336" s="2">
        <v>2014.0</v>
      </c>
      <c r="D5336" s="9">
        <v>10534.478</v>
      </c>
      <c r="E5336" s="10" t="str">
        <f t="array" ref="E5336">IFS(D5336&lt;=$G$3,'calculated data '!$A$3,D5336&lt;=$G$4,'calculated data '!$A$4,D5336&lt;=$G$6,'calculated data '!$A$5,D5336&gt;=$G$6,'calculated data '!$A$6)</f>
        <v>Target Market (Core IQR)</v>
      </c>
      <c r="F5336" s="10">
        <f t="shared" si="1"/>
        <v>-0.384326466</v>
      </c>
    </row>
    <row r="5337" ht="14.25" customHeight="1">
      <c r="A5337" s="2" t="s">
        <v>203</v>
      </c>
      <c r="B5337" s="2" t="s">
        <v>204</v>
      </c>
      <c r="C5337" s="2">
        <v>2012.0</v>
      </c>
      <c r="D5337" s="9">
        <v>10542.418</v>
      </c>
      <c r="E5337" s="10" t="str">
        <f t="array" ref="E5337">IFS(D5337&lt;=$G$3,'calculated data '!$A$3,D5337&lt;=$G$4,'calculated data '!$A$4,D5337&lt;=$G$6,'calculated data '!$A$5,D5337&gt;=$G$6,'calculated data '!$A$6)</f>
        <v>Target Market (Core IQR)</v>
      </c>
      <c r="F5337" s="10">
        <f t="shared" si="1"/>
        <v>-0.3841162962</v>
      </c>
    </row>
    <row r="5338" ht="14.25" customHeight="1">
      <c r="A5338" s="2" t="s">
        <v>203</v>
      </c>
      <c r="B5338" s="2" t="s">
        <v>204</v>
      </c>
      <c r="C5338" s="2">
        <v>2016.0</v>
      </c>
      <c r="D5338" s="9">
        <v>10564.159</v>
      </c>
      <c r="E5338" s="10" t="str">
        <f t="array" ref="E5338">IFS(D5338&lt;=$G$3,'calculated data '!$A$3,D5338&lt;=$G$4,'calculated data '!$A$4,D5338&lt;=$G$6,'calculated data '!$A$5,D5338&gt;=$G$6,'calculated data '!$A$6)</f>
        <v>Target Market (Core IQR)</v>
      </c>
      <c r="F5338" s="10">
        <f t="shared" si="1"/>
        <v>-0.3835408173</v>
      </c>
    </row>
    <row r="5339" ht="14.25" customHeight="1">
      <c r="A5339" s="2" t="s">
        <v>321</v>
      </c>
      <c r="B5339" s="2" t="s">
        <v>322</v>
      </c>
      <c r="C5339" s="2">
        <v>2011.0</v>
      </c>
      <c r="D5339" s="9">
        <v>10581.127</v>
      </c>
      <c r="E5339" s="10" t="str">
        <f t="array" ref="E5339">IFS(D5339&lt;=$G$3,'calculated data '!$A$3,D5339&lt;=$G$4,'calculated data '!$A$4,D5339&lt;=$G$6,'calculated data '!$A$5,D5339&gt;=$G$6,'calculated data '!$A$6)</f>
        <v>Target Market (Core IQR)</v>
      </c>
      <c r="F5339" s="10">
        <f t="shared" si="1"/>
        <v>-0.3830916786</v>
      </c>
    </row>
    <row r="5340" ht="14.25" customHeight="1">
      <c r="A5340" s="2" t="s">
        <v>269</v>
      </c>
      <c r="B5340" s="2" t="s">
        <v>270</v>
      </c>
      <c r="C5340" s="2">
        <v>1987.0</v>
      </c>
      <c r="D5340" s="9">
        <v>10582.821</v>
      </c>
      <c r="E5340" s="10" t="str">
        <f t="array" ref="E5340">IFS(D5340&lt;=$G$3,'calculated data '!$A$3,D5340&lt;=$G$4,'calculated data '!$A$4,D5340&lt;=$G$6,'calculated data '!$A$5,D5340&gt;=$G$6,'calculated data '!$A$6)</f>
        <v>Target Market (Core IQR)</v>
      </c>
      <c r="F5340" s="10">
        <f t="shared" si="1"/>
        <v>-0.3830468388</v>
      </c>
    </row>
    <row r="5341" ht="14.25" customHeight="1">
      <c r="A5341" s="2" t="s">
        <v>237</v>
      </c>
      <c r="B5341" s="2" t="s">
        <v>238</v>
      </c>
      <c r="C5341" s="2">
        <v>2016.0</v>
      </c>
      <c r="D5341" s="9">
        <v>10583.137</v>
      </c>
      <c r="E5341" s="10" t="str">
        <f t="array" ref="E5341">IFS(D5341&lt;=$G$3,'calculated data '!$A$3,D5341&lt;=$G$4,'calculated data '!$A$4,D5341&lt;=$G$6,'calculated data '!$A$5,D5341&gt;=$G$6,'calculated data '!$A$6)</f>
        <v>Target Market (Core IQR)</v>
      </c>
      <c r="F5341" s="10">
        <f t="shared" si="1"/>
        <v>-0.3830384744</v>
      </c>
    </row>
    <row r="5342" ht="14.25" customHeight="1">
      <c r="A5342" s="2" t="s">
        <v>257</v>
      </c>
      <c r="B5342" s="2" t="s">
        <v>258</v>
      </c>
      <c r="C5342" s="2">
        <v>1978.0</v>
      </c>
      <c r="D5342" s="9">
        <v>10599.429</v>
      </c>
      <c r="E5342" s="10" t="str">
        <f t="array" ref="E5342">IFS(D5342&lt;=$G$3,'calculated data '!$A$3,D5342&lt;=$G$4,'calculated data '!$A$4,D5342&lt;=$G$6,'calculated data '!$A$5,D5342&gt;=$G$6,'calculated data '!$A$6)</f>
        <v>Target Market (Core IQR)</v>
      </c>
      <c r="F5342" s="10">
        <f t="shared" si="1"/>
        <v>-0.3826072292</v>
      </c>
    </row>
    <row r="5343" ht="14.25" customHeight="1">
      <c r="A5343" s="2" t="s">
        <v>275</v>
      </c>
      <c r="B5343" s="2" t="s">
        <v>276</v>
      </c>
      <c r="C5343" s="2">
        <v>2004.0</v>
      </c>
      <c r="D5343" s="9">
        <v>10608.364</v>
      </c>
      <c r="E5343" s="10" t="str">
        <f t="array" ref="E5343">IFS(D5343&lt;=$G$3,'calculated data '!$A$3,D5343&lt;=$G$4,'calculated data '!$A$4,D5343&lt;=$G$6,'calculated data '!$A$5,D5343&gt;=$G$6,'calculated data '!$A$6)</f>
        <v>Target Market (Core IQR)</v>
      </c>
      <c r="F5343" s="10">
        <f t="shared" si="1"/>
        <v>-0.382370722</v>
      </c>
    </row>
    <row r="5344" ht="14.25" customHeight="1">
      <c r="A5344" s="2" t="s">
        <v>237</v>
      </c>
      <c r="B5344" s="2" t="s">
        <v>238</v>
      </c>
      <c r="C5344" s="2">
        <v>2011.0</v>
      </c>
      <c r="D5344" s="9">
        <v>10616.009</v>
      </c>
      <c r="E5344" s="10" t="str">
        <f t="array" ref="E5344">IFS(D5344&lt;=$G$3,'calculated data '!$A$3,D5344&lt;=$G$4,'calculated data '!$A$4,D5344&lt;=$G$6,'calculated data '!$A$5,D5344&gt;=$G$6,'calculated data '!$A$6)</f>
        <v>Target Market (Core IQR)</v>
      </c>
      <c r="F5344" s="10">
        <f t="shared" si="1"/>
        <v>-0.3821683607</v>
      </c>
    </row>
    <row r="5345" ht="14.25" customHeight="1">
      <c r="A5345" s="2" t="s">
        <v>133</v>
      </c>
      <c r="B5345" s="2" t="s">
        <v>134</v>
      </c>
      <c r="C5345" s="2">
        <v>2022.0</v>
      </c>
      <c r="D5345" s="9">
        <v>10616.69</v>
      </c>
      <c r="E5345" s="10" t="str">
        <f t="array" ref="E5345">IFS(D5345&lt;=$G$3,'calculated data '!$A$3,D5345&lt;=$G$4,'calculated data '!$A$4,D5345&lt;=$G$6,'calculated data '!$A$5,D5345&gt;=$G$6,'calculated data '!$A$6)</f>
        <v>Target Market (Core IQR)</v>
      </c>
      <c r="F5345" s="10">
        <f t="shared" si="1"/>
        <v>-0.3821503348</v>
      </c>
    </row>
    <row r="5346" ht="14.25" customHeight="1">
      <c r="A5346" s="2" t="s">
        <v>317</v>
      </c>
      <c r="B5346" s="2" t="s">
        <v>318</v>
      </c>
      <c r="C5346" s="2">
        <v>1975.0</v>
      </c>
      <c r="D5346" s="9">
        <v>10630.9</v>
      </c>
      <c r="E5346" s="10" t="str">
        <f t="array" ref="E5346">IFS(D5346&lt;=$G$3,'calculated data '!$A$3,D5346&lt;=$G$4,'calculated data '!$A$4,D5346&lt;=$G$6,'calculated data '!$A$5,D5346&gt;=$G$6,'calculated data '!$A$6)</f>
        <v>Target Market (Core IQR)</v>
      </c>
      <c r="F5346" s="10">
        <f t="shared" si="1"/>
        <v>-0.3817741997</v>
      </c>
    </row>
    <row r="5347" ht="14.25" customHeight="1">
      <c r="A5347" s="2" t="s">
        <v>191</v>
      </c>
      <c r="B5347" s="2" t="s">
        <v>192</v>
      </c>
      <c r="C5347" s="2">
        <v>2018.0</v>
      </c>
      <c r="D5347" s="9">
        <v>10637.567</v>
      </c>
      <c r="E5347" s="10" t="str">
        <f t="array" ref="E5347">IFS(D5347&lt;=$G$3,'calculated data '!$A$3,D5347&lt;=$G$4,'calculated data '!$A$4,D5347&lt;=$G$6,'calculated data '!$A$5,D5347&gt;=$G$6,'calculated data '!$A$6)</f>
        <v>Target Market (Core IQR)</v>
      </c>
      <c r="F5347" s="10">
        <f t="shared" si="1"/>
        <v>-0.3815977258</v>
      </c>
    </row>
    <row r="5348" ht="14.25" customHeight="1">
      <c r="A5348" s="2" t="s">
        <v>317</v>
      </c>
      <c r="B5348" s="2" t="s">
        <v>318</v>
      </c>
      <c r="C5348" s="2">
        <v>2002.0</v>
      </c>
      <c r="D5348" s="9">
        <v>10639.576</v>
      </c>
      <c r="E5348" s="10" t="str">
        <f t="array" ref="E5348">IFS(D5348&lt;=$G$3,'calculated data '!$A$3,D5348&lt;=$G$4,'calculated data '!$A$4,D5348&lt;=$G$6,'calculated data '!$A$5,D5348&gt;=$G$6,'calculated data '!$A$6)</f>
        <v>Target Market (Core IQR)</v>
      </c>
      <c r="F5348" s="10">
        <f t="shared" si="1"/>
        <v>-0.3815445481</v>
      </c>
    </row>
    <row r="5349" ht="14.25" customHeight="1">
      <c r="A5349" s="2" t="s">
        <v>259</v>
      </c>
      <c r="B5349" s="2" t="s">
        <v>260</v>
      </c>
      <c r="C5349" s="2">
        <v>2015.0</v>
      </c>
      <c r="D5349" s="9">
        <v>10640.027</v>
      </c>
      <c r="E5349" s="10" t="str">
        <f t="array" ref="E5349">IFS(D5349&lt;=$G$3,'calculated data '!$A$3,D5349&lt;=$G$4,'calculated data '!$A$4,D5349&lt;=$G$6,'calculated data '!$A$5,D5349&gt;=$G$6,'calculated data '!$A$6)</f>
        <v>Target Market (Core IQR)</v>
      </c>
      <c r="F5349" s="10">
        <f t="shared" si="1"/>
        <v>-0.3815326102</v>
      </c>
    </row>
    <row r="5350" ht="14.25" customHeight="1">
      <c r="A5350" s="2" t="s">
        <v>331</v>
      </c>
      <c r="B5350" s="2" t="s">
        <v>332</v>
      </c>
      <c r="C5350" s="2">
        <v>1967.0</v>
      </c>
      <c r="D5350" s="9">
        <v>10646.736</v>
      </c>
      <c r="E5350" s="10" t="str">
        <f t="array" ref="E5350">IFS(D5350&lt;=$G$3,'calculated data '!$A$3,D5350&lt;=$G$4,'calculated data '!$A$4,D5350&lt;=$G$6,'calculated data '!$A$5,D5350&gt;=$G$6,'calculated data '!$A$6)</f>
        <v>Target Market (Core IQR)</v>
      </c>
      <c r="F5350" s="10">
        <f t="shared" si="1"/>
        <v>-0.3813550247</v>
      </c>
    </row>
    <row r="5351" ht="14.25" customHeight="1">
      <c r="A5351" s="2" t="s">
        <v>183</v>
      </c>
      <c r="B5351" s="2" t="s">
        <v>184</v>
      </c>
      <c r="C5351" s="2">
        <v>2023.0</v>
      </c>
      <c r="D5351" s="9">
        <v>10663.1</v>
      </c>
      <c r="E5351" s="10" t="str">
        <f t="array" ref="E5351">IFS(D5351&lt;=$G$3,'calculated data '!$A$3,D5351&lt;=$G$4,'calculated data '!$A$4,D5351&lt;=$G$6,'calculated data '!$A$5,D5351&gt;=$G$6,'calculated data '!$A$6)</f>
        <v>Target Market (Core IQR)</v>
      </c>
      <c r="F5351" s="10">
        <f t="shared" si="1"/>
        <v>-0.3809218737</v>
      </c>
    </row>
    <row r="5352" ht="14.25" customHeight="1">
      <c r="A5352" s="2" t="s">
        <v>207</v>
      </c>
      <c r="B5352" s="2" t="s">
        <v>208</v>
      </c>
      <c r="C5352" s="2">
        <v>1996.0</v>
      </c>
      <c r="D5352" s="9">
        <v>10665.796</v>
      </c>
      <c r="E5352" s="10" t="str">
        <f t="array" ref="E5352">IFS(D5352&lt;=$G$3,'calculated data '!$A$3,D5352&lt;=$G$4,'calculated data '!$A$4,D5352&lt;=$G$6,'calculated data '!$A$5,D5352&gt;=$G$6,'calculated data '!$A$6)</f>
        <v>Target Market (Core IQR)</v>
      </c>
      <c r="F5352" s="10">
        <f t="shared" si="1"/>
        <v>-0.3808505112</v>
      </c>
    </row>
    <row r="5353" ht="14.25" customHeight="1">
      <c r="A5353" s="2" t="s">
        <v>191</v>
      </c>
      <c r="B5353" s="2" t="s">
        <v>192</v>
      </c>
      <c r="C5353" s="2">
        <v>2010.0</v>
      </c>
      <c r="D5353" s="9">
        <v>10666.588</v>
      </c>
      <c r="E5353" s="10" t="str">
        <f t="array" ref="E5353">IFS(D5353&lt;=$G$3,'calculated data '!$A$3,D5353&lt;=$G$4,'calculated data '!$A$4,D5353&lt;=$G$6,'calculated data '!$A$5,D5353&gt;=$G$6,'calculated data '!$A$6)</f>
        <v>Target Market (Core IQR)</v>
      </c>
      <c r="F5353" s="10">
        <f t="shared" si="1"/>
        <v>-0.3808295472</v>
      </c>
    </row>
    <row r="5354" ht="14.25" customHeight="1">
      <c r="A5354" s="2" t="s">
        <v>263</v>
      </c>
      <c r="B5354" s="2" t="s">
        <v>264</v>
      </c>
      <c r="C5354" s="2">
        <v>2021.0</v>
      </c>
      <c r="D5354" s="9">
        <v>10685.73</v>
      </c>
      <c r="E5354" s="10" t="str">
        <f t="array" ref="E5354">IFS(D5354&lt;=$G$3,'calculated data '!$A$3,D5354&lt;=$G$4,'calculated data '!$A$4,D5354&lt;=$G$6,'calculated data '!$A$5,D5354&gt;=$G$6,'calculated data '!$A$6)</f>
        <v>Target Market (Core IQR)</v>
      </c>
      <c r="F5354" s="10">
        <f t="shared" si="1"/>
        <v>-0.3803228632</v>
      </c>
    </row>
    <row r="5355" ht="14.25" customHeight="1">
      <c r="A5355" s="2" t="s">
        <v>315</v>
      </c>
      <c r="B5355" s="2" t="s">
        <v>316</v>
      </c>
      <c r="C5355" s="2">
        <v>2006.0</v>
      </c>
      <c r="D5355" s="9">
        <v>10696.137</v>
      </c>
      <c r="E5355" s="10" t="str">
        <f t="array" ref="E5355">IFS(D5355&lt;=$G$3,'calculated data '!$A$3,D5355&lt;=$G$4,'calculated data '!$A$4,D5355&lt;=$G$6,'calculated data '!$A$5,D5355&gt;=$G$6,'calculated data '!$A$6)</f>
        <v>Target Market (Core IQR)</v>
      </c>
      <c r="F5355" s="10">
        <f t="shared" si="1"/>
        <v>-0.3800473925</v>
      </c>
    </row>
    <row r="5356" ht="14.25" customHeight="1">
      <c r="A5356" s="2" t="s">
        <v>207</v>
      </c>
      <c r="B5356" s="2" t="s">
        <v>208</v>
      </c>
      <c r="C5356" s="2">
        <v>2004.0</v>
      </c>
      <c r="D5356" s="9">
        <v>10705.6045</v>
      </c>
      <c r="E5356" s="10" t="str">
        <f t="array" ref="E5356">IFS(D5356&lt;=$G$3,'calculated data '!$A$3,D5356&lt;=$G$4,'calculated data '!$A$4,D5356&lt;=$G$6,'calculated data '!$A$5,D5356&gt;=$G$6,'calculated data '!$A$6)</f>
        <v>Target Market (Core IQR)</v>
      </c>
      <c r="F5356" s="10">
        <f t="shared" si="1"/>
        <v>-0.3797967902</v>
      </c>
    </row>
    <row r="5357" ht="14.25" customHeight="1">
      <c r="A5357" s="2" t="s">
        <v>333</v>
      </c>
      <c r="B5357" s="2" t="s">
        <v>334</v>
      </c>
      <c r="C5357" s="2">
        <v>1993.0</v>
      </c>
      <c r="D5357" s="9">
        <v>10706.335</v>
      </c>
      <c r="E5357" s="10" t="str">
        <f t="array" ref="E5357">IFS(D5357&lt;=$G$3,'calculated data '!$A$3,D5357&lt;=$G$4,'calculated data '!$A$4,D5357&lt;=$G$6,'calculated data '!$A$5,D5357&gt;=$G$6,'calculated data '!$A$6)</f>
        <v>Target Market (Core IQR)</v>
      </c>
      <c r="F5357" s="10">
        <f t="shared" si="1"/>
        <v>-0.379777454</v>
      </c>
    </row>
    <row r="5358" ht="14.25" customHeight="1">
      <c r="A5358" s="2" t="s">
        <v>311</v>
      </c>
      <c r="B5358" s="2" t="s">
        <v>312</v>
      </c>
      <c r="C5358" s="2">
        <v>1990.0</v>
      </c>
      <c r="D5358" s="9">
        <v>10708.948</v>
      </c>
      <c r="E5358" s="10" t="str">
        <f t="array" ref="E5358">IFS(D5358&lt;=$G$3,'calculated data '!$A$3,D5358&lt;=$G$4,'calculated data '!$A$4,D5358&lt;=$G$6,'calculated data '!$A$5,D5358&gt;=$G$6,'calculated data '!$A$6)</f>
        <v>Target Market (Core IQR)</v>
      </c>
      <c r="F5358" s="10">
        <f t="shared" si="1"/>
        <v>-0.3797082885</v>
      </c>
    </row>
    <row r="5359" ht="14.25" customHeight="1">
      <c r="A5359" s="2" t="s">
        <v>323</v>
      </c>
      <c r="B5359" s="2" t="s">
        <v>324</v>
      </c>
      <c r="C5359" s="2">
        <v>1983.0</v>
      </c>
      <c r="D5359" s="9">
        <v>10709.949</v>
      </c>
      <c r="E5359" s="10" t="str">
        <f t="array" ref="E5359">IFS(D5359&lt;=$G$3,'calculated data '!$A$3,D5359&lt;=$G$4,'calculated data '!$A$4,D5359&lt;=$G$6,'calculated data '!$A$5,D5359&gt;=$G$6,'calculated data '!$A$6)</f>
        <v>Target Market (Core IQR)</v>
      </c>
      <c r="F5359" s="10">
        <f t="shared" si="1"/>
        <v>-0.3796817923</v>
      </c>
    </row>
    <row r="5360" ht="14.25" customHeight="1">
      <c r="A5360" s="2" t="s">
        <v>227</v>
      </c>
      <c r="B5360" s="2" t="s">
        <v>228</v>
      </c>
      <c r="C5360" s="2">
        <v>2006.0</v>
      </c>
      <c r="D5360" s="9">
        <v>10710.664</v>
      </c>
      <c r="E5360" s="10" t="str">
        <f t="array" ref="E5360">IFS(D5360&lt;=$G$3,'calculated data '!$A$3,D5360&lt;=$G$4,'calculated data '!$A$4,D5360&lt;=$G$6,'calculated data '!$A$5,D5360&gt;=$G$6,'calculated data '!$A$6)</f>
        <v>Target Market (Core IQR)</v>
      </c>
      <c r="F5360" s="10">
        <f t="shared" si="1"/>
        <v>-0.3796628664</v>
      </c>
    </row>
    <row r="5361" ht="14.25" customHeight="1">
      <c r="A5361" s="2" t="s">
        <v>183</v>
      </c>
      <c r="B5361" s="2" t="s">
        <v>184</v>
      </c>
      <c r="C5361" s="2">
        <v>2024.0</v>
      </c>
      <c r="D5361" s="9">
        <v>10713.5</v>
      </c>
      <c r="E5361" s="10" t="str">
        <f t="array" ref="E5361">IFS(D5361&lt;=$G$3,'calculated data '!$A$3,D5361&lt;=$G$4,'calculated data '!$A$4,D5361&lt;=$G$6,'calculated data '!$A$5,D5361&gt;=$G$6,'calculated data '!$A$6)</f>
        <v>Target Market (Core IQR)</v>
      </c>
      <c r="F5361" s="10">
        <f t="shared" si="1"/>
        <v>-0.3795877982</v>
      </c>
    </row>
    <row r="5362" ht="14.25" customHeight="1">
      <c r="A5362" s="2" t="s">
        <v>235</v>
      </c>
      <c r="B5362" s="2" t="s">
        <v>236</v>
      </c>
      <c r="C5362" s="2">
        <v>1997.0</v>
      </c>
      <c r="D5362" s="9">
        <v>10719.29</v>
      </c>
      <c r="E5362" s="10" t="str">
        <f t="array" ref="E5362">IFS(D5362&lt;=$G$3,'calculated data '!$A$3,D5362&lt;=$G$4,'calculated data '!$A$4,D5362&lt;=$G$6,'calculated data '!$A$5,D5362&gt;=$G$6,'calculated data '!$A$6)</f>
        <v>Target Market (Core IQR)</v>
      </c>
      <c r="F5362" s="10">
        <f t="shared" si="1"/>
        <v>-0.3794345384</v>
      </c>
    </row>
    <row r="5363" ht="14.25" customHeight="1">
      <c r="A5363" s="2" t="s">
        <v>329</v>
      </c>
      <c r="B5363" s="2" t="s">
        <v>330</v>
      </c>
      <c r="C5363" s="2">
        <v>1995.0</v>
      </c>
      <c r="D5363" s="9">
        <v>10722.478</v>
      </c>
      <c r="E5363" s="10" t="str">
        <f t="array" ref="E5363">IFS(D5363&lt;=$G$3,'calculated data '!$A$3,D5363&lt;=$G$4,'calculated data '!$A$4,D5363&lt;=$G$6,'calculated data '!$A$5,D5363&gt;=$G$6,'calculated data '!$A$6)</f>
        <v>Target Market (Core IQR)</v>
      </c>
      <c r="F5363" s="10">
        <f t="shared" si="1"/>
        <v>-0.3793501528</v>
      </c>
    </row>
    <row r="5364" ht="14.25" customHeight="1">
      <c r="A5364" s="2" t="s">
        <v>325</v>
      </c>
      <c r="B5364" s="2" t="s">
        <v>326</v>
      </c>
      <c r="C5364" s="2">
        <v>2009.0</v>
      </c>
      <c r="D5364" s="9">
        <v>10727.759</v>
      </c>
      <c r="E5364" s="10" t="str">
        <f t="array" ref="E5364">IFS(D5364&lt;=$G$3,'calculated data '!$A$3,D5364&lt;=$G$4,'calculated data '!$A$4,D5364&lt;=$G$6,'calculated data '!$A$5,D5364&gt;=$G$6,'calculated data '!$A$6)</f>
        <v>Target Market (Core IQR)</v>
      </c>
      <c r="F5364" s="10">
        <f t="shared" si="1"/>
        <v>-0.3792103661</v>
      </c>
    </row>
    <row r="5365" ht="14.25" customHeight="1">
      <c r="A5365" s="2" t="s">
        <v>129</v>
      </c>
      <c r="B5365" s="2" t="s">
        <v>130</v>
      </c>
      <c r="C5365" s="2">
        <v>2024.0</v>
      </c>
      <c r="D5365" s="9">
        <v>10728.0625</v>
      </c>
      <c r="E5365" s="10" t="str">
        <f t="array" ref="E5365">IFS(D5365&lt;=$G$3,'calculated data '!$A$3,D5365&lt;=$G$4,'calculated data '!$A$4,D5365&lt;=$G$6,'calculated data '!$A$5,D5365&gt;=$G$6,'calculated data '!$A$6)</f>
        <v>Target Market (Core IQR)</v>
      </c>
      <c r="F5365" s="10">
        <f t="shared" si="1"/>
        <v>-0.3792023325</v>
      </c>
    </row>
    <row r="5366" ht="14.25" customHeight="1">
      <c r="A5366" s="2" t="s">
        <v>275</v>
      </c>
      <c r="B5366" s="2" t="s">
        <v>276</v>
      </c>
      <c r="C5366" s="2">
        <v>2023.0</v>
      </c>
      <c r="D5366" s="9">
        <v>10733.714</v>
      </c>
      <c r="E5366" s="10" t="str">
        <f t="array" ref="E5366">IFS(D5366&lt;=$G$3,'calculated data '!$A$3,D5366&lt;=$G$4,'calculated data '!$A$4,D5366&lt;=$G$6,'calculated data '!$A$5,D5366&gt;=$G$6,'calculated data '!$A$6)</f>
        <v>Target Market (Core IQR)</v>
      </c>
      <c r="F5366" s="10">
        <f t="shared" si="1"/>
        <v>-0.3790527387</v>
      </c>
    </row>
    <row r="5367" ht="14.25" customHeight="1">
      <c r="A5367" s="2" t="s">
        <v>311</v>
      </c>
      <c r="B5367" s="2" t="s">
        <v>312</v>
      </c>
      <c r="C5367" s="2">
        <v>1998.0</v>
      </c>
      <c r="D5367" s="9">
        <v>10742.347</v>
      </c>
      <c r="E5367" s="10" t="str">
        <f t="array" ref="E5367">IFS(D5367&lt;=$G$3,'calculated data '!$A$3,D5367&lt;=$G$4,'calculated data '!$A$4,D5367&lt;=$G$6,'calculated data '!$A$5,D5367&gt;=$G$6,'calculated data '!$A$6)</f>
        <v>Target Market (Core IQR)</v>
      </c>
      <c r="F5367" s="10">
        <f t="shared" si="1"/>
        <v>-0.3788242253</v>
      </c>
    </row>
    <row r="5368" ht="14.25" customHeight="1">
      <c r="A5368" s="2" t="s">
        <v>305</v>
      </c>
      <c r="B5368" s="2" t="s">
        <v>306</v>
      </c>
      <c r="C5368" s="2">
        <v>1999.0</v>
      </c>
      <c r="D5368" s="9">
        <v>10754.983</v>
      </c>
      <c r="E5368" s="10" t="str">
        <f t="array" ref="E5368">IFS(D5368&lt;=$G$3,'calculated data '!$A$3,D5368&lt;=$G$4,'calculated data '!$A$4,D5368&lt;=$G$6,'calculated data '!$A$5,D5368&gt;=$G$6,'calculated data '!$A$6)</f>
        <v>Target Market (Core IQR)</v>
      </c>
      <c r="F5368" s="10">
        <f t="shared" si="1"/>
        <v>-0.3784897536</v>
      </c>
    </row>
    <row r="5369" ht="14.25" customHeight="1">
      <c r="A5369" s="2" t="s">
        <v>133</v>
      </c>
      <c r="B5369" s="2" t="s">
        <v>134</v>
      </c>
      <c r="C5369" s="2">
        <v>2020.0</v>
      </c>
      <c r="D5369" s="9">
        <v>10760.092</v>
      </c>
      <c r="E5369" s="10" t="str">
        <f t="array" ref="E5369">IFS(D5369&lt;=$G$3,'calculated data '!$A$3,D5369&lt;=$G$4,'calculated data '!$A$4,D5369&lt;=$G$6,'calculated data '!$A$5,D5369&gt;=$G$6,'calculated data '!$A$6)</f>
        <v>Target Market (Core IQR)</v>
      </c>
      <c r="F5369" s="10">
        <f t="shared" si="1"/>
        <v>-0.3783545196</v>
      </c>
    </row>
    <row r="5370" ht="14.25" customHeight="1">
      <c r="A5370" s="2" t="s">
        <v>133</v>
      </c>
      <c r="B5370" s="2" t="s">
        <v>134</v>
      </c>
      <c r="C5370" s="2">
        <v>2019.0</v>
      </c>
      <c r="D5370" s="9">
        <v>10763.351</v>
      </c>
      <c r="E5370" s="10" t="str">
        <f t="array" ref="E5370">IFS(D5370&lt;=$G$3,'calculated data '!$A$3,D5370&lt;=$G$4,'calculated data '!$A$4,D5370&lt;=$G$6,'calculated data '!$A$5,D5370&gt;=$G$6,'calculated data '!$A$6)</f>
        <v>Target Market (Core IQR)</v>
      </c>
      <c r="F5370" s="10">
        <f t="shared" si="1"/>
        <v>-0.3782682547</v>
      </c>
    </row>
    <row r="5371" ht="14.25" customHeight="1">
      <c r="A5371" s="2" t="s">
        <v>269</v>
      </c>
      <c r="B5371" s="2" t="s">
        <v>270</v>
      </c>
      <c r="C5371" s="2">
        <v>1988.0</v>
      </c>
      <c r="D5371" s="9">
        <v>10765.912</v>
      </c>
      <c r="E5371" s="10" t="str">
        <f t="array" ref="E5371">IFS(D5371&lt;=$G$3,'calculated data '!$A$3,D5371&lt;=$G$4,'calculated data '!$A$4,D5371&lt;=$G$6,'calculated data '!$A$5,D5371&gt;=$G$6,'calculated data '!$A$6)</f>
        <v>Target Market (Core IQR)</v>
      </c>
      <c r="F5371" s="10">
        <f t="shared" si="1"/>
        <v>-0.3782004656</v>
      </c>
    </row>
    <row r="5372" ht="14.25" customHeight="1">
      <c r="A5372" s="2" t="s">
        <v>191</v>
      </c>
      <c r="B5372" s="2" t="s">
        <v>192</v>
      </c>
      <c r="C5372" s="2">
        <v>2022.0</v>
      </c>
      <c r="D5372" s="9">
        <v>10770.691</v>
      </c>
      <c r="E5372" s="10" t="str">
        <f t="array" ref="E5372">IFS(D5372&lt;=$G$3,'calculated data '!$A$3,D5372&lt;=$G$4,'calculated data '!$A$4,D5372&lt;=$G$6,'calculated data '!$A$5,D5372&gt;=$G$6,'calculated data '!$A$6)</f>
        <v>Target Market (Core IQR)</v>
      </c>
      <c r="F5372" s="10">
        <f t="shared" si="1"/>
        <v>-0.3780739667</v>
      </c>
    </row>
    <row r="5373" ht="14.25" customHeight="1">
      <c r="A5373" s="2" t="s">
        <v>249</v>
      </c>
      <c r="B5373" s="2" t="s">
        <v>250</v>
      </c>
      <c r="C5373" s="2">
        <v>1985.0</v>
      </c>
      <c r="D5373" s="9">
        <v>10785.877</v>
      </c>
      <c r="E5373" s="10" t="str">
        <f t="array" ref="E5373">IFS(D5373&lt;=$G$3,'calculated data '!$A$3,D5373&lt;=$G$4,'calculated data '!$A$4,D5373&lt;=$G$6,'calculated data '!$A$5,D5373&gt;=$G$6,'calculated data '!$A$6)</f>
        <v>Target Market (Core IQR)</v>
      </c>
      <c r="F5373" s="10">
        <f t="shared" si="1"/>
        <v>-0.3776719971</v>
      </c>
    </row>
    <row r="5374" ht="14.25" customHeight="1">
      <c r="A5374" s="2" t="s">
        <v>31</v>
      </c>
      <c r="B5374" s="2" t="s">
        <v>32</v>
      </c>
      <c r="C5374" s="2">
        <v>1985.0</v>
      </c>
      <c r="D5374" s="9">
        <v>10795.545</v>
      </c>
      <c r="E5374" s="10" t="str">
        <f t="array" ref="E5374">IFS(D5374&lt;=$G$3,'calculated data '!$A$3,D5374&lt;=$G$4,'calculated data '!$A$4,D5374&lt;=$G$6,'calculated data '!$A$5,D5374&gt;=$G$6,'calculated data '!$A$6)</f>
        <v>Target Market (Core IQR)</v>
      </c>
      <c r="F5374" s="10">
        <f t="shared" si="1"/>
        <v>-0.3774160875</v>
      </c>
    </row>
    <row r="5375" ht="14.25" customHeight="1">
      <c r="A5375" s="2" t="s">
        <v>141</v>
      </c>
      <c r="B5375" s="2" t="s">
        <v>142</v>
      </c>
      <c r="C5375" s="2">
        <v>1998.0</v>
      </c>
      <c r="D5375" s="9">
        <v>10809.67</v>
      </c>
      <c r="E5375" s="10" t="str">
        <f t="array" ref="E5375">IFS(D5375&lt;=$G$3,'calculated data '!$A$3,D5375&lt;=$G$4,'calculated data '!$A$4,D5375&lt;=$G$6,'calculated data '!$A$5,D5375&gt;=$G$6,'calculated data '!$A$6)</f>
        <v>Target Market (Core IQR)</v>
      </c>
      <c r="F5375" s="10">
        <f t="shared" si="1"/>
        <v>-0.3770422023</v>
      </c>
    </row>
    <row r="5376" ht="14.25" customHeight="1">
      <c r="A5376" s="2" t="s">
        <v>183</v>
      </c>
      <c r="B5376" s="2" t="s">
        <v>184</v>
      </c>
      <c r="C5376" s="2">
        <v>2025.0</v>
      </c>
      <c r="D5376" s="9">
        <v>10809.978</v>
      </c>
      <c r="E5376" s="10" t="str">
        <f t="array" ref="E5376">IFS(D5376&lt;=$G$3,'calculated data '!$A$3,D5376&lt;=$G$4,'calculated data '!$A$4,D5376&lt;=$G$6,'calculated data '!$A$5,D5376&gt;=$G$6,'calculated data '!$A$6)</f>
        <v>Target Market (Core IQR)</v>
      </c>
      <c r="F5376" s="10">
        <f t="shared" si="1"/>
        <v>-0.3770340496</v>
      </c>
    </row>
    <row r="5377" ht="14.25" customHeight="1">
      <c r="A5377" s="2" t="s">
        <v>207</v>
      </c>
      <c r="B5377" s="2" t="s">
        <v>208</v>
      </c>
      <c r="C5377" s="2">
        <v>1994.0</v>
      </c>
      <c r="D5377" s="9">
        <v>10814.833</v>
      </c>
      <c r="E5377" s="10" t="str">
        <f t="array" ref="E5377">IFS(D5377&lt;=$G$3,'calculated data '!$A$3,D5377&lt;=$G$4,'calculated data '!$A$4,D5377&lt;=$G$6,'calculated data '!$A$5,D5377&gt;=$G$6,'calculated data '!$A$6)</f>
        <v>Target Market (Core IQR)</v>
      </c>
      <c r="F5377" s="10">
        <f t="shared" si="1"/>
        <v>-0.376905539</v>
      </c>
    </row>
    <row r="5378" ht="14.25" customHeight="1">
      <c r="A5378" s="2" t="s">
        <v>229</v>
      </c>
      <c r="B5378" s="2" t="s">
        <v>230</v>
      </c>
      <c r="C5378" s="2">
        <v>2003.0</v>
      </c>
      <c r="D5378" s="9">
        <v>10821.725</v>
      </c>
      <c r="E5378" s="10" t="str">
        <f t="array" ref="E5378">IFS(D5378&lt;=$G$3,'calculated data '!$A$3,D5378&lt;=$G$4,'calculated data '!$A$4,D5378&lt;=$G$6,'calculated data '!$A$5,D5378&gt;=$G$6,'calculated data '!$A$6)</f>
        <v>Target Market (Core IQR)</v>
      </c>
      <c r="F5378" s="10">
        <f t="shared" si="1"/>
        <v>-0.3767231094</v>
      </c>
    </row>
    <row r="5379" ht="14.25" customHeight="1">
      <c r="A5379" s="2" t="s">
        <v>295</v>
      </c>
      <c r="B5379" s="2" t="s">
        <v>296</v>
      </c>
      <c r="C5379" s="2">
        <v>2006.0</v>
      </c>
      <c r="D5379" s="9">
        <v>10823.57</v>
      </c>
      <c r="E5379" s="10" t="str">
        <f t="array" ref="E5379">IFS(D5379&lt;=$G$3,'calculated data '!$A$3,D5379&lt;=$G$4,'calculated data '!$A$4,D5379&lt;=$G$6,'calculated data '!$A$5,D5379&gt;=$G$6,'calculated data '!$A$6)</f>
        <v>Target Market (Core IQR)</v>
      </c>
      <c r="F5379" s="10">
        <f t="shared" si="1"/>
        <v>-0.3766742727</v>
      </c>
    </row>
    <row r="5380" ht="14.25" customHeight="1">
      <c r="A5380" s="2" t="s">
        <v>99</v>
      </c>
      <c r="B5380" s="2" t="s">
        <v>100</v>
      </c>
      <c r="C5380" s="2">
        <v>2004.0</v>
      </c>
      <c r="D5380" s="9">
        <v>10825.335</v>
      </c>
      <c r="E5380" s="10" t="str">
        <f t="array" ref="E5380">IFS(D5380&lt;=$G$3,'calculated data '!$A$3,D5380&lt;=$G$4,'calculated data '!$A$4,D5380&lt;=$G$6,'calculated data '!$A$5,D5380&gt;=$G$6,'calculated data '!$A$6)</f>
        <v>Target Market (Core IQR)</v>
      </c>
      <c r="F5380" s="10">
        <f t="shared" si="1"/>
        <v>-0.3766275536</v>
      </c>
    </row>
    <row r="5381" ht="14.25" customHeight="1">
      <c r="A5381" s="2" t="s">
        <v>311</v>
      </c>
      <c r="B5381" s="2" t="s">
        <v>312</v>
      </c>
      <c r="C5381" s="2">
        <v>1989.0</v>
      </c>
      <c r="D5381" s="9">
        <v>10827.67</v>
      </c>
      <c r="E5381" s="10" t="str">
        <f t="array" ref="E5381">IFS(D5381&lt;=$G$3,'calculated data '!$A$3,D5381&lt;=$G$4,'calculated data '!$A$4,D5381&lt;=$G$6,'calculated data '!$A$5,D5381&gt;=$G$6,'calculated data '!$A$6)</f>
        <v>Target Market (Core IQR)</v>
      </c>
      <c r="F5381" s="10">
        <f t="shared" si="1"/>
        <v>-0.3765657468</v>
      </c>
    </row>
    <row r="5382" ht="14.25" customHeight="1">
      <c r="A5382" s="2" t="s">
        <v>285</v>
      </c>
      <c r="B5382" s="2" t="s">
        <v>286</v>
      </c>
      <c r="C5382" s="2">
        <v>1995.0</v>
      </c>
      <c r="D5382" s="9">
        <v>10841.019</v>
      </c>
      <c r="E5382" s="10" t="str">
        <f t="array" ref="E5382">IFS(D5382&lt;=$G$3,'calculated data '!$A$3,D5382&lt;=$G$4,'calculated data '!$A$4,D5382&lt;=$G$6,'calculated data '!$A$5,D5382&gt;=$G$6,'calculated data '!$A$6)</f>
        <v>Target Market (Core IQR)</v>
      </c>
      <c r="F5382" s="10">
        <f t="shared" si="1"/>
        <v>-0.3762124021</v>
      </c>
    </row>
    <row r="5383" ht="14.25" customHeight="1">
      <c r="A5383" s="2" t="s">
        <v>31</v>
      </c>
      <c r="B5383" s="2" t="s">
        <v>32</v>
      </c>
      <c r="C5383" s="2">
        <v>1986.0</v>
      </c>
      <c r="D5383" s="9">
        <v>10847.535</v>
      </c>
      <c r="E5383" s="10" t="str">
        <f t="array" ref="E5383">IFS(D5383&lt;=$G$3,'calculated data '!$A$3,D5383&lt;=$G$4,'calculated data '!$A$4,D5383&lt;=$G$6,'calculated data '!$A$5,D5383&gt;=$G$6,'calculated data '!$A$6)</f>
        <v>Target Market (Core IQR)</v>
      </c>
      <c r="F5383" s="10">
        <f t="shared" si="1"/>
        <v>-0.3760399252</v>
      </c>
    </row>
    <row r="5384" ht="14.25" customHeight="1">
      <c r="A5384" s="2" t="s">
        <v>321</v>
      </c>
      <c r="B5384" s="2" t="s">
        <v>322</v>
      </c>
      <c r="C5384" s="2">
        <v>1993.0</v>
      </c>
      <c r="D5384" s="9">
        <v>10860.575</v>
      </c>
      <c r="E5384" s="10" t="str">
        <f t="array" ref="E5384">IFS(D5384&lt;=$G$3,'calculated data '!$A$3,D5384&lt;=$G$4,'calculated data '!$A$4,D5384&lt;=$G$6,'calculated data '!$A$5,D5384&gt;=$G$6,'calculated data '!$A$6)</f>
        <v>Target Market (Core IQR)</v>
      </c>
      <c r="F5384" s="10">
        <f t="shared" si="1"/>
        <v>-0.3756947596</v>
      </c>
    </row>
    <row r="5385" ht="14.25" customHeight="1">
      <c r="A5385" s="2" t="s">
        <v>271</v>
      </c>
      <c r="B5385" s="2" t="s">
        <v>272</v>
      </c>
      <c r="C5385" s="2">
        <v>1978.0</v>
      </c>
      <c r="D5385" s="9">
        <v>10866.364</v>
      </c>
      <c r="E5385" s="10" t="str">
        <f t="array" ref="E5385">IFS(D5385&lt;=$G$3,'calculated data '!$A$3,D5385&lt;=$G$4,'calculated data '!$A$4,D5385&lt;=$G$6,'calculated data '!$A$5,D5385&gt;=$G$6,'calculated data '!$A$6)</f>
        <v>Target Market (Core IQR)</v>
      </c>
      <c r="F5385" s="10">
        <f t="shared" si="1"/>
        <v>-0.3755415262</v>
      </c>
    </row>
    <row r="5386" ht="14.25" customHeight="1">
      <c r="A5386" s="2" t="s">
        <v>333</v>
      </c>
      <c r="B5386" s="2" t="s">
        <v>334</v>
      </c>
      <c r="C5386" s="2">
        <v>2018.0</v>
      </c>
      <c r="D5386" s="9">
        <v>10871.084</v>
      </c>
      <c r="E5386" s="10" t="str">
        <f t="array" ref="E5386">IFS(D5386&lt;=$G$3,'calculated data '!$A$3,D5386&lt;=$G$4,'calculated data '!$A$4,D5386&lt;=$G$6,'calculated data '!$A$5,D5386&gt;=$G$6,'calculated data '!$A$6)</f>
        <v>Target Market (Core IQR)</v>
      </c>
      <c r="F5386" s="10">
        <f t="shared" si="1"/>
        <v>-0.375416589</v>
      </c>
    </row>
    <row r="5387" ht="14.25" customHeight="1">
      <c r="A5387" s="2" t="s">
        <v>291</v>
      </c>
      <c r="B5387" s="2" t="s">
        <v>292</v>
      </c>
      <c r="C5387" s="2">
        <v>1982.0</v>
      </c>
      <c r="D5387" s="9">
        <v>10878.413</v>
      </c>
      <c r="E5387" s="10" t="str">
        <f t="array" ref="E5387">IFS(D5387&lt;=$G$3,'calculated data '!$A$3,D5387&lt;=$G$4,'calculated data '!$A$4,D5387&lt;=$G$6,'calculated data '!$A$5,D5387&gt;=$G$6,'calculated data '!$A$6)</f>
        <v>Target Market (Core IQR)</v>
      </c>
      <c r="F5387" s="10">
        <f t="shared" si="1"/>
        <v>-0.3752225922</v>
      </c>
    </row>
    <row r="5388" ht="14.25" customHeight="1">
      <c r="A5388" s="2" t="s">
        <v>31</v>
      </c>
      <c r="B5388" s="2" t="s">
        <v>32</v>
      </c>
      <c r="C5388" s="2">
        <v>1982.0</v>
      </c>
      <c r="D5388" s="9">
        <v>10881.993</v>
      </c>
      <c r="E5388" s="10" t="str">
        <f t="array" ref="E5388">IFS(D5388&lt;=$G$3,'calculated data '!$A$3,D5388&lt;=$G$4,'calculated data '!$A$4,D5388&lt;=$G$6,'calculated data '!$A$5,D5388&gt;=$G$6,'calculated data '!$A$6)</f>
        <v>Target Market (Core IQR)</v>
      </c>
      <c r="F5388" s="10">
        <f t="shared" si="1"/>
        <v>-0.3751278305</v>
      </c>
    </row>
    <row r="5389" ht="14.25" customHeight="1">
      <c r="A5389" s="2" t="s">
        <v>191</v>
      </c>
      <c r="B5389" s="2" t="s">
        <v>192</v>
      </c>
      <c r="C5389" s="2">
        <v>2017.0</v>
      </c>
      <c r="D5389" s="9">
        <v>10885.662</v>
      </c>
      <c r="E5389" s="10" t="str">
        <f t="array" ref="E5389">IFS(D5389&lt;=$G$3,'calculated data '!$A$3,D5389&lt;=$G$4,'calculated data '!$A$4,D5389&lt;=$G$6,'calculated data '!$A$5,D5389&gt;=$G$6,'calculated data '!$A$6)</f>
        <v>Target Market (Core IQR)</v>
      </c>
      <c r="F5389" s="10">
        <f t="shared" si="1"/>
        <v>-0.375030713</v>
      </c>
    </row>
    <row r="5390" ht="14.25" customHeight="1">
      <c r="A5390" s="2" t="s">
        <v>83</v>
      </c>
      <c r="B5390" s="2" t="s">
        <v>84</v>
      </c>
      <c r="C5390" s="2">
        <v>2024.0</v>
      </c>
      <c r="D5390" s="9">
        <v>10887.287</v>
      </c>
      <c r="E5390" s="10" t="str">
        <f t="array" ref="E5390">IFS(D5390&lt;=$G$3,'calculated data '!$A$3,D5390&lt;=$G$4,'calculated data '!$A$4,D5390&lt;=$G$6,'calculated data '!$A$5,D5390&gt;=$G$6,'calculated data '!$A$6)</f>
        <v>Target Market (Core IQR)</v>
      </c>
      <c r="F5390" s="10">
        <f t="shared" si="1"/>
        <v>-0.3749876996</v>
      </c>
    </row>
    <row r="5391" ht="14.25" customHeight="1">
      <c r="A5391" s="2" t="s">
        <v>207</v>
      </c>
      <c r="B5391" s="2" t="s">
        <v>208</v>
      </c>
      <c r="C5391" s="2">
        <v>1993.0</v>
      </c>
      <c r="D5391" s="9">
        <v>10899.429</v>
      </c>
      <c r="E5391" s="10" t="str">
        <f t="array" ref="E5391">IFS(D5391&lt;=$G$3,'calculated data '!$A$3,D5391&lt;=$G$4,'calculated data '!$A$4,D5391&lt;=$G$6,'calculated data '!$A$5,D5391&gt;=$G$6,'calculated data '!$A$6)</f>
        <v>Target Market (Core IQR)</v>
      </c>
      <c r="F5391" s="10">
        <f t="shared" si="1"/>
        <v>-0.3746663039</v>
      </c>
    </row>
    <row r="5392" ht="14.25" customHeight="1">
      <c r="A5392" s="2" t="s">
        <v>235</v>
      </c>
      <c r="B5392" s="2" t="s">
        <v>236</v>
      </c>
      <c r="C5392" s="2">
        <v>1991.0</v>
      </c>
      <c r="D5392" s="9">
        <v>10904.816</v>
      </c>
      <c r="E5392" s="10" t="str">
        <f t="array" ref="E5392">IFS(D5392&lt;=$G$3,'calculated data '!$A$3,D5392&lt;=$G$4,'calculated data '!$A$4,D5392&lt;=$G$6,'calculated data '!$A$5,D5392&gt;=$G$6,'calculated data '!$A$6)</f>
        <v>Target Market (Core IQR)</v>
      </c>
      <c r="F5392" s="10">
        <f t="shared" si="1"/>
        <v>-0.3745237114</v>
      </c>
    </row>
    <row r="5393" ht="14.25" customHeight="1">
      <c r="A5393" s="2" t="s">
        <v>313</v>
      </c>
      <c r="B5393" s="2" t="s">
        <v>314</v>
      </c>
      <c r="C5393" s="2">
        <v>1991.0</v>
      </c>
      <c r="D5393" s="9">
        <v>10912.411</v>
      </c>
      <c r="E5393" s="10" t="str">
        <f t="array" ref="E5393">IFS(D5393&lt;=$G$3,'calculated data '!$A$3,D5393&lt;=$G$4,'calculated data '!$A$4,D5393&lt;=$G$6,'calculated data '!$A$5,D5393&gt;=$G$6,'calculated data '!$A$6)</f>
        <v>Target Market (Core IQR)</v>
      </c>
      <c r="F5393" s="10">
        <f t="shared" si="1"/>
        <v>-0.3743226736</v>
      </c>
    </row>
    <row r="5394" ht="14.25" customHeight="1">
      <c r="A5394" s="2" t="s">
        <v>317</v>
      </c>
      <c r="B5394" s="2" t="s">
        <v>318</v>
      </c>
      <c r="C5394" s="2">
        <v>1976.0</v>
      </c>
      <c r="D5394" s="9">
        <v>10914.198</v>
      </c>
      <c r="E5394" s="10" t="str">
        <f t="array" ref="E5394">IFS(D5394&lt;=$G$3,'calculated data '!$A$3,D5394&lt;=$G$4,'calculated data '!$A$4,D5394&lt;=$G$6,'calculated data '!$A$5,D5394&gt;=$G$6,'calculated data '!$A$6)</f>
        <v>Target Market (Core IQR)</v>
      </c>
      <c r="F5394" s="10">
        <f t="shared" si="1"/>
        <v>-0.3742753722</v>
      </c>
    </row>
    <row r="5395" ht="14.25" customHeight="1">
      <c r="A5395" s="2" t="s">
        <v>297</v>
      </c>
      <c r="B5395" s="2" t="s">
        <v>298</v>
      </c>
      <c r="C5395" s="2">
        <v>2012.0</v>
      </c>
      <c r="D5395" s="9">
        <v>10914.35</v>
      </c>
      <c r="E5395" s="10" t="str">
        <f t="array" ref="E5395">IFS(D5395&lt;=$G$3,'calculated data '!$A$3,D5395&lt;=$G$4,'calculated data '!$A$4,D5395&lt;=$G$6,'calculated data '!$A$5,D5395&gt;=$G$6,'calculated data '!$A$6)</f>
        <v>Target Market (Core IQR)</v>
      </c>
      <c r="F5395" s="10">
        <f t="shared" si="1"/>
        <v>-0.3742713488</v>
      </c>
    </row>
    <row r="5396" ht="14.25" customHeight="1">
      <c r="A5396" s="2" t="s">
        <v>191</v>
      </c>
      <c r="B5396" s="2" t="s">
        <v>192</v>
      </c>
      <c r="C5396" s="2">
        <v>2015.0</v>
      </c>
      <c r="D5396" s="9">
        <v>10921.842</v>
      </c>
      <c r="E5396" s="10" t="str">
        <f t="array" ref="E5396">IFS(D5396&lt;=$G$3,'calculated data '!$A$3,D5396&lt;=$G$4,'calculated data '!$A$4,D5396&lt;=$G$6,'calculated data '!$A$5,D5396&gt;=$G$6,'calculated data '!$A$6)</f>
        <v>Target Market (Core IQR)</v>
      </c>
      <c r="F5396" s="10">
        <f t="shared" si="1"/>
        <v>-0.3740730374</v>
      </c>
    </row>
    <row r="5397" ht="14.25" customHeight="1">
      <c r="A5397" s="2" t="s">
        <v>303</v>
      </c>
      <c r="B5397" s="2" t="s">
        <v>304</v>
      </c>
      <c r="C5397" s="2">
        <v>1980.0</v>
      </c>
      <c r="D5397" s="9">
        <v>10923.312</v>
      </c>
      <c r="E5397" s="10" t="str">
        <f t="array" ref="E5397">IFS(D5397&lt;=$G$3,'calculated data '!$A$3,D5397&lt;=$G$4,'calculated data '!$A$4,D5397&lt;=$G$6,'calculated data '!$A$5,D5397&gt;=$G$6,'calculated data '!$A$6)</f>
        <v>Target Market (Core IQR)</v>
      </c>
      <c r="F5397" s="10">
        <f t="shared" si="1"/>
        <v>-0.3740341269</v>
      </c>
    </row>
    <row r="5398" ht="14.25" customHeight="1">
      <c r="A5398" s="2" t="s">
        <v>321</v>
      </c>
      <c r="B5398" s="2" t="s">
        <v>322</v>
      </c>
      <c r="C5398" s="2">
        <v>1994.0</v>
      </c>
      <c r="D5398" s="9">
        <v>10939.621</v>
      </c>
      <c r="E5398" s="10" t="str">
        <f t="array" ref="E5398">IFS(D5398&lt;=$G$3,'calculated data '!$A$3,D5398&lt;=$G$4,'calculated data '!$A$4,D5398&lt;=$G$6,'calculated data '!$A$5,D5398&gt;=$G$6,'calculated data '!$A$6)</f>
        <v>Target Market (Core IQR)</v>
      </c>
      <c r="F5398" s="10">
        <f t="shared" si="1"/>
        <v>-0.3736024317</v>
      </c>
    </row>
    <row r="5399" ht="14.25" customHeight="1">
      <c r="A5399" s="2" t="s">
        <v>293</v>
      </c>
      <c r="B5399" s="2" t="s">
        <v>294</v>
      </c>
      <c r="C5399" s="2">
        <v>1999.0</v>
      </c>
      <c r="D5399" s="9">
        <v>10939.726</v>
      </c>
      <c r="E5399" s="10" t="str">
        <f t="array" ref="E5399">IFS(D5399&lt;=$G$3,'calculated data '!$A$3,D5399&lt;=$G$4,'calculated data '!$A$4,D5399&lt;=$G$6,'calculated data '!$A$5,D5399&gt;=$G$6,'calculated data '!$A$6)</f>
        <v>Target Market (Core IQR)</v>
      </c>
      <c r="F5399" s="10">
        <f t="shared" si="1"/>
        <v>-0.3735996524</v>
      </c>
    </row>
    <row r="5400" ht="14.25" customHeight="1">
      <c r="A5400" s="2" t="s">
        <v>275</v>
      </c>
      <c r="B5400" s="2" t="s">
        <v>276</v>
      </c>
      <c r="C5400" s="2">
        <v>2024.0</v>
      </c>
      <c r="D5400" s="9">
        <v>10950.276</v>
      </c>
      <c r="E5400" s="10" t="str">
        <f t="array" ref="E5400">IFS(D5400&lt;=$G$3,'calculated data '!$A$3,D5400&lt;=$G$4,'calculated data '!$A$4,D5400&lt;=$G$6,'calculated data '!$A$5,D5400&gt;=$G$6,'calculated data '!$A$6)</f>
        <v>Target Market (Core IQR)</v>
      </c>
      <c r="F5400" s="10">
        <f t="shared" si="1"/>
        <v>-0.3733203965</v>
      </c>
    </row>
    <row r="5401" ht="14.25" customHeight="1">
      <c r="A5401" s="2" t="s">
        <v>251</v>
      </c>
      <c r="B5401" s="2" t="s">
        <v>252</v>
      </c>
      <c r="C5401" s="2">
        <v>2014.0</v>
      </c>
      <c r="D5401" s="9">
        <v>10963.743</v>
      </c>
      <c r="E5401" s="10" t="str">
        <f t="array" ref="E5401">IFS(D5401&lt;=$G$3,'calculated data '!$A$3,D5401&lt;=$G$4,'calculated data '!$A$4,D5401&lt;=$G$6,'calculated data '!$A$5,D5401&gt;=$G$6,'calculated data '!$A$6)</f>
        <v>Target Market (Core IQR)</v>
      </c>
      <c r="F5401" s="10">
        <f t="shared" si="1"/>
        <v>-0.3729639284</v>
      </c>
    </row>
    <row r="5402" ht="14.25" customHeight="1">
      <c r="A5402" s="2" t="s">
        <v>293</v>
      </c>
      <c r="B5402" s="2" t="s">
        <v>294</v>
      </c>
      <c r="C5402" s="2">
        <v>2005.0</v>
      </c>
      <c r="D5402" s="9">
        <v>10970.989</v>
      </c>
      <c r="E5402" s="10" t="str">
        <f t="array" ref="E5402">IFS(D5402&lt;=$G$3,'calculated data '!$A$3,D5402&lt;=$G$4,'calculated data '!$A$4,D5402&lt;=$G$6,'calculated data '!$A$5,D5402&gt;=$G$6,'calculated data '!$A$6)</f>
        <v>Target Market (Core IQR)</v>
      </c>
      <c r="F5402" s="10">
        <f t="shared" si="1"/>
        <v>-0.3727721285</v>
      </c>
    </row>
    <row r="5403" ht="14.25" customHeight="1">
      <c r="A5403" s="2" t="s">
        <v>273</v>
      </c>
      <c r="B5403" s="2" t="s">
        <v>274</v>
      </c>
      <c r="C5403" s="2">
        <v>2008.0</v>
      </c>
      <c r="D5403" s="9">
        <v>10972.214</v>
      </c>
      <c r="E5403" s="10" t="str">
        <f t="array" ref="E5403">IFS(D5403&lt;=$G$3,'calculated data '!$A$3,D5403&lt;=$G$4,'calculated data '!$A$4,D5403&lt;=$G$6,'calculated data '!$A$5,D5403&gt;=$G$6,'calculated data '!$A$6)</f>
        <v>Target Market (Core IQR)</v>
      </c>
      <c r="F5403" s="10">
        <f t="shared" si="1"/>
        <v>-0.3727397031</v>
      </c>
    </row>
    <row r="5404" ht="14.25" customHeight="1">
      <c r="A5404" s="2" t="s">
        <v>305</v>
      </c>
      <c r="B5404" s="2" t="s">
        <v>306</v>
      </c>
      <c r="C5404" s="2">
        <v>1981.0</v>
      </c>
      <c r="D5404" s="9">
        <v>10977.211</v>
      </c>
      <c r="E5404" s="10" t="str">
        <f t="array" ref="E5404">IFS(D5404&lt;=$G$3,'calculated data '!$A$3,D5404&lt;=$G$4,'calculated data '!$A$4,D5404&lt;=$G$6,'calculated data '!$A$5,D5404&gt;=$G$6,'calculated data '!$A$6)</f>
        <v>Target Market (Core IQR)</v>
      </c>
      <c r="F5404" s="10">
        <f t="shared" si="1"/>
        <v>-0.3726074337</v>
      </c>
    </row>
    <row r="5405" ht="14.25" customHeight="1">
      <c r="A5405" s="2" t="s">
        <v>311</v>
      </c>
      <c r="B5405" s="2" t="s">
        <v>312</v>
      </c>
      <c r="C5405" s="2">
        <v>1988.0</v>
      </c>
      <c r="D5405" s="9">
        <v>10978.3955</v>
      </c>
      <c r="E5405" s="10" t="str">
        <f t="array" ref="E5405">IFS(D5405&lt;=$G$3,'calculated data '!$A$3,D5405&lt;=$G$4,'calculated data '!$A$4,D5405&lt;=$G$6,'calculated data '!$A$5,D5405&gt;=$G$6,'calculated data '!$A$6)</f>
        <v>Target Market (Core IQR)</v>
      </c>
      <c r="F5405" s="10">
        <f t="shared" si="1"/>
        <v>-0.3725760803</v>
      </c>
    </row>
    <row r="5406" ht="14.25" customHeight="1">
      <c r="A5406" s="2" t="s">
        <v>207</v>
      </c>
      <c r="B5406" s="2" t="s">
        <v>208</v>
      </c>
      <c r="C5406" s="2">
        <v>1995.0</v>
      </c>
      <c r="D5406" s="9">
        <v>10985.774</v>
      </c>
      <c r="E5406" s="10" t="str">
        <f t="array" ref="E5406">IFS(D5406&lt;=$G$3,'calculated data '!$A$3,D5406&lt;=$G$4,'calculated data '!$A$4,D5406&lt;=$G$6,'calculated data '!$A$5,D5406&gt;=$G$6,'calculated data '!$A$6)</f>
        <v>Target Market (Core IQR)</v>
      </c>
      <c r="F5406" s="10">
        <f t="shared" si="1"/>
        <v>-0.3723807733</v>
      </c>
    </row>
    <row r="5407" ht="14.25" customHeight="1">
      <c r="A5407" s="2" t="s">
        <v>303</v>
      </c>
      <c r="B5407" s="2" t="s">
        <v>304</v>
      </c>
      <c r="C5407" s="2">
        <v>1991.0</v>
      </c>
      <c r="D5407" s="9">
        <v>10988.608</v>
      </c>
      <c r="E5407" s="10" t="str">
        <f t="array" ref="E5407">IFS(D5407&lt;=$G$3,'calculated data '!$A$3,D5407&lt;=$G$4,'calculated data '!$A$4,D5407&lt;=$G$6,'calculated data '!$A$5,D5407&gt;=$G$6,'calculated data '!$A$6)</f>
        <v>Target Market (Core IQR)</v>
      </c>
      <c r="F5407" s="10">
        <f t="shared" si="1"/>
        <v>-0.372305758</v>
      </c>
    </row>
    <row r="5408" ht="14.25" customHeight="1">
      <c r="A5408" s="2" t="s">
        <v>293</v>
      </c>
      <c r="B5408" s="2" t="s">
        <v>294</v>
      </c>
      <c r="C5408" s="2">
        <v>2004.0</v>
      </c>
      <c r="D5408" s="9">
        <v>11003.951</v>
      </c>
      <c r="E5408" s="10" t="str">
        <f t="array" ref="E5408">IFS(D5408&lt;=$G$3,'calculated data '!$A$3,D5408&lt;=$G$4,'calculated data '!$A$4,D5408&lt;=$G$6,'calculated data '!$A$5,D5408&gt;=$G$6,'calculated data '!$A$6)</f>
        <v>Target Market (Core IQR)</v>
      </c>
      <c r="F5408" s="10">
        <f t="shared" si="1"/>
        <v>-0.3718996326</v>
      </c>
    </row>
    <row r="5409" ht="14.25" customHeight="1">
      <c r="A5409" s="2" t="s">
        <v>233</v>
      </c>
      <c r="B5409" s="2" t="s">
        <v>234</v>
      </c>
      <c r="C5409" s="2">
        <v>2003.0</v>
      </c>
      <c r="D5409" s="9">
        <v>11005.832</v>
      </c>
      <c r="E5409" s="10" t="str">
        <f t="array" ref="E5409">IFS(D5409&lt;=$G$3,'calculated data '!$A$3,D5409&lt;=$G$4,'calculated data '!$A$4,D5409&lt;=$G$6,'calculated data '!$A$5,D5409&gt;=$G$6,'calculated data '!$A$6)</f>
        <v>Target Market (Core IQR)</v>
      </c>
      <c r="F5409" s="10">
        <f t="shared" si="1"/>
        <v>-0.371849843</v>
      </c>
    </row>
    <row r="5410" ht="14.25" customHeight="1">
      <c r="A5410" s="2" t="s">
        <v>251</v>
      </c>
      <c r="B5410" s="2" t="s">
        <v>252</v>
      </c>
      <c r="C5410" s="2">
        <v>2013.0</v>
      </c>
      <c r="D5410" s="9">
        <v>11009.907</v>
      </c>
      <c r="E5410" s="10" t="str">
        <f t="array" ref="E5410">IFS(D5410&lt;=$G$3,'calculated data '!$A$3,D5410&lt;=$G$4,'calculated data '!$A$4,D5410&lt;=$G$6,'calculated data '!$A$5,D5410&gt;=$G$6,'calculated data '!$A$6)</f>
        <v>Target Market (Core IQR)</v>
      </c>
      <c r="F5410" s="10">
        <f t="shared" si="1"/>
        <v>-0.3717419788</v>
      </c>
    </row>
    <row r="5411" ht="14.25" customHeight="1">
      <c r="A5411" s="2" t="s">
        <v>249</v>
      </c>
      <c r="B5411" s="2" t="s">
        <v>250</v>
      </c>
      <c r="C5411" s="2">
        <v>1983.0</v>
      </c>
      <c r="D5411" s="9">
        <v>11027.555</v>
      </c>
      <c r="E5411" s="10" t="str">
        <f t="array" ref="E5411">IFS(D5411&lt;=$G$3,'calculated data '!$A$3,D5411&lt;=$G$4,'calculated data '!$A$4,D5411&lt;=$G$6,'calculated data '!$A$5,D5411&gt;=$G$6,'calculated data '!$A$6)</f>
        <v>Target Market (Core IQR)</v>
      </c>
      <c r="F5411" s="10">
        <f t="shared" si="1"/>
        <v>-0.3712748406</v>
      </c>
    </row>
    <row r="5412" ht="14.25" customHeight="1">
      <c r="A5412" s="2" t="s">
        <v>207</v>
      </c>
      <c r="B5412" s="2" t="s">
        <v>208</v>
      </c>
      <c r="C5412" s="2">
        <v>2005.0</v>
      </c>
      <c r="D5412" s="9">
        <v>11031.258</v>
      </c>
      <c r="E5412" s="10" t="str">
        <f t="array" ref="E5412">IFS(D5412&lt;=$G$3,'calculated data '!$A$3,D5412&lt;=$G$4,'calculated data '!$A$4,D5412&lt;=$G$6,'calculated data '!$A$5,D5412&gt;=$G$6,'calculated data '!$A$6)</f>
        <v>Target Market (Core IQR)</v>
      </c>
      <c r="F5412" s="10">
        <f t="shared" si="1"/>
        <v>-0.3711768231</v>
      </c>
    </row>
    <row r="5413" ht="14.25" customHeight="1">
      <c r="A5413" s="2" t="s">
        <v>235</v>
      </c>
      <c r="B5413" s="2" t="s">
        <v>236</v>
      </c>
      <c r="C5413" s="2">
        <v>1996.0</v>
      </c>
      <c r="D5413" s="9">
        <v>11033.772</v>
      </c>
      <c r="E5413" s="10" t="str">
        <f t="array" ref="E5413">IFS(D5413&lt;=$G$3,'calculated data '!$A$3,D5413&lt;=$G$4,'calculated data '!$A$4,D5413&lt;=$G$6,'calculated data '!$A$5,D5413&gt;=$G$6,'calculated data '!$A$6)</f>
        <v>Target Market (Core IQR)</v>
      </c>
      <c r="F5413" s="10">
        <f t="shared" si="1"/>
        <v>-0.3711102782</v>
      </c>
    </row>
    <row r="5414" ht="14.25" customHeight="1">
      <c r="A5414" s="2" t="s">
        <v>311</v>
      </c>
      <c r="B5414" s="2" t="s">
        <v>312</v>
      </c>
      <c r="C5414" s="2">
        <v>1986.0</v>
      </c>
      <c r="D5414" s="9">
        <v>11043.885</v>
      </c>
      <c r="E5414" s="10" t="str">
        <f t="array" ref="E5414">IFS(D5414&lt;=$G$3,'calculated data '!$A$3,D5414&lt;=$G$4,'calculated data '!$A$4,D5414&lt;=$G$6,'calculated data '!$A$5,D5414&gt;=$G$6,'calculated data '!$A$6)</f>
        <v>Target Market (Core IQR)</v>
      </c>
      <c r="F5414" s="10">
        <f t="shared" si="1"/>
        <v>-0.3708425896</v>
      </c>
    </row>
    <row r="5415" ht="14.25" customHeight="1">
      <c r="A5415" s="2" t="s">
        <v>325</v>
      </c>
      <c r="B5415" s="2" t="s">
        <v>326</v>
      </c>
      <c r="C5415" s="2">
        <v>2005.0</v>
      </c>
      <c r="D5415" s="9">
        <v>11044.274</v>
      </c>
      <c r="E5415" s="10" t="str">
        <f t="array" ref="E5415">IFS(D5415&lt;=$G$3,'calculated data '!$A$3,D5415&lt;=$G$4,'calculated data '!$A$4,D5415&lt;=$G$6,'calculated data '!$A$5,D5415&gt;=$G$6,'calculated data '!$A$6)</f>
        <v>Target Market (Core IQR)</v>
      </c>
      <c r="F5415" s="10">
        <f t="shared" si="1"/>
        <v>-0.3708322928</v>
      </c>
    </row>
    <row r="5416" ht="14.25" customHeight="1">
      <c r="A5416" s="2" t="s">
        <v>321</v>
      </c>
      <c r="B5416" s="2" t="s">
        <v>322</v>
      </c>
      <c r="C5416" s="2">
        <v>2013.0</v>
      </c>
      <c r="D5416" s="9">
        <v>11051.086</v>
      </c>
      <c r="E5416" s="10" t="str">
        <f t="array" ref="E5416">IFS(D5416&lt;=$G$3,'calculated data '!$A$3,D5416&lt;=$G$4,'calculated data '!$A$4,D5416&lt;=$G$6,'calculated data '!$A$5,D5416&gt;=$G$6,'calculated data '!$A$6)</f>
        <v>Target Market (Core IQR)</v>
      </c>
      <c r="F5416" s="10">
        <f t="shared" si="1"/>
        <v>-0.3706519809</v>
      </c>
    </row>
    <row r="5417" ht="14.25" customHeight="1">
      <c r="A5417" s="2" t="s">
        <v>311</v>
      </c>
      <c r="B5417" s="2" t="s">
        <v>312</v>
      </c>
      <c r="C5417" s="2">
        <v>1987.0</v>
      </c>
      <c r="D5417" s="9">
        <v>11060.516</v>
      </c>
      <c r="E5417" s="10" t="str">
        <f t="array" ref="E5417">IFS(D5417&lt;=$G$3,'calculated data '!$A$3,D5417&lt;=$G$4,'calculated data '!$A$4,D5417&lt;=$G$6,'calculated data '!$A$5,D5417&gt;=$G$6,'calculated data '!$A$6)</f>
        <v>Target Market (Core IQR)</v>
      </c>
      <c r="F5417" s="10">
        <f t="shared" si="1"/>
        <v>-0.3704023711</v>
      </c>
    </row>
    <row r="5418" ht="14.25" customHeight="1">
      <c r="A5418" s="2" t="s">
        <v>331</v>
      </c>
      <c r="B5418" s="2" t="s">
        <v>332</v>
      </c>
      <c r="C5418" s="2">
        <v>1968.0</v>
      </c>
      <c r="D5418" s="9">
        <v>11064.703</v>
      </c>
      <c r="E5418" s="10" t="str">
        <f t="array" ref="E5418">IFS(D5418&lt;=$G$3,'calculated data '!$A$3,D5418&lt;=$G$4,'calculated data '!$A$4,D5418&lt;=$G$6,'calculated data '!$A$5,D5418&gt;=$G$6,'calculated data '!$A$6)</f>
        <v>Target Market (Core IQR)</v>
      </c>
      <c r="F5418" s="10">
        <f t="shared" si="1"/>
        <v>-0.3702915423</v>
      </c>
    </row>
    <row r="5419" ht="14.25" customHeight="1">
      <c r="A5419" s="2" t="s">
        <v>325</v>
      </c>
      <c r="B5419" s="2" t="s">
        <v>326</v>
      </c>
      <c r="C5419" s="2">
        <v>2006.0</v>
      </c>
      <c r="D5419" s="9">
        <v>11084.32</v>
      </c>
      <c r="E5419" s="10" t="str">
        <f t="array" ref="E5419">IFS(D5419&lt;=$G$3,'calculated data '!$A$3,D5419&lt;=$G$4,'calculated data '!$A$4,D5419&lt;=$G$6,'calculated data '!$A$5,D5419&gt;=$G$6,'calculated data '!$A$6)</f>
        <v>Target Market (Core IQR)</v>
      </c>
      <c r="F5419" s="10">
        <f t="shared" si="1"/>
        <v>-0.3697722852</v>
      </c>
    </row>
    <row r="5420" ht="14.25" customHeight="1">
      <c r="A5420" s="2" t="s">
        <v>321</v>
      </c>
      <c r="B5420" s="2" t="s">
        <v>322</v>
      </c>
      <c r="C5420" s="2">
        <v>1995.0</v>
      </c>
      <c r="D5420" s="9">
        <v>11108.557</v>
      </c>
      <c r="E5420" s="10" t="str">
        <f t="array" ref="E5420">IFS(D5420&lt;=$G$3,'calculated data '!$A$3,D5420&lt;=$G$4,'calculated data '!$A$4,D5420&lt;=$G$6,'calculated data '!$A$5,D5420&gt;=$G$6,'calculated data '!$A$6)</f>
        <v>Target Market (Core IQR)</v>
      </c>
      <c r="F5420" s="10">
        <f t="shared" si="1"/>
        <v>-0.3691307378</v>
      </c>
    </row>
    <row r="5421" ht="14.25" customHeight="1">
      <c r="A5421" s="2" t="s">
        <v>285</v>
      </c>
      <c r="B5421" s="2" t="s">
        <v>286</v>
      </c>
      <c r="C5421" s="2">
        <v>1994.0</v>
      </c>
      <c r="D5421" s="9">
        <v>11110.334</v>
      </c>
      <c r="E5421" s="10" t="str">
        <f t="array" ref="E5421">IFS(D5421&lt;=$G$3,'calculated data '!$A$3,D5421&lt;=$G$4,'calculated data '!$A$4,D5421&lt;=$G$6,'calculated data '!$A$5,D5421&gt;=$G$6,'calculated data '!$A$6)</f>
        <v>Target Market (Core IQR)</v>
      </c>
      <c r="F5421" s="10">
        <f t="shared" si="1"/>
        <v>-0.3690837011</v>
      </c>
    </row>
    <row r="5422" ht="14.25" customHeight="1">
      <c r="A5422" s="2" t="s">
        <v>251</v>
      </c>
      <c r="B5422" s="2" t="s">
        <v>252</v>
      </c>
      <c r="C5422" s="2">
        <v>2015.0</v>
      </c>
      <c r="D5422" s="9">
        <v>11120.0</v>
      </c>
      <c r="E5422" s="10" t="str">
        <f t="array" ref="E5422">IFS(D5422&lt;=$G$3,'calculated data '!$A$3,D5422&lt;=$G$4,'calculated data '!$A$4,D5422&lt;=$G$6,'calculated data '!$A$5,D5422&gt;=$G$6,'calculated data '!$A$6)</f>
        <v>Target Market (Core IQR)</v>
      </c>
      <c r="F5422" s="10">
        <f t="shared" si="1"/>
        <v>-0.3688278445</v>
      </c>
    </row>
    <row r="5423" ht="14.25" customHeight="1">
      <c r="A5423" s="2" t="s">
        <v>257</v>
      </c>
      <c r="B5423" s="2" t="s">
        <v>258</v>
      </c>
      <c r="C5423" s="2">
        <v>1979.0</v>
      </c>
      <c r="D5423" s="9">
        <v>11123.879</v>
      </c>
      <c r="E5423" s="10" t="str">
        <f t="array" ref="E5423">IFS(D5423&lt;=$G$3,'calculated data '!$A$3,D5423&lt;=$G$4,'calculated data '!$A$4,D5423&lt;=$G$6,'calculated data '!$A$5,D5423&gt;=$G$6,'calculated data '!$A$6)</f>
        <v>Target Market (Core IQR)</v>
      </c>
      <c r="F5423" s="10">
        <f t="shared" si="1"/>
        <v>-0.3687251683</v>
      </c>
    </row>
    <row r="5424" ht="14.25" customHeight="1">
      <c r="A5424" s="2" t="s">
        <v>233</v>
      </c>
      <c r="B5424" s="2" t="s">
        <v>234</v>
      </c>
      <c r="C5424" s="2">
        <v>2009.0</v>
      </c>
      <c r="D5424" s="9">
        <v>11125.309</v>
      </c>
      <c r="E5424" s="10" t="str">
        <f t="array" ref="E5424">IFS(D5424&lt;=$G$3,'calculated data '!$A$3,D5424&lt;=$G$4,'calculated data '!$A$4,D5424&lt;=$G$6,'calculated data '!$A$5,D5424&gt;=$G$6,'calculated data '!$A$6)</f>
        <v>Target Market (Core IQR)</v>
      </c>
      <c r="F5424" s="10">
        <f t="shared" si="1"/>
        <v>-0.3686873166</v>
      </c>
    </row>
    <row r="5425" ht="14.25" customHeight="1">
      <c r="A5425" s="2" t="s">
        <v>311</v>
      </c>
      <c r="B5425" s="2" t="s">
        <v>312</v>
      </c>
      <c r="C5425" s="2">
        <v>1999.0</v>
      </c>
      <c r="D5425" s="9">
        <v>11128.884</v>
      </c>
      <c r="E5425" s="10" t="str">
        <f t="array" ref="E5425">IFS(D5425&lt;=$G$3,'calculated data '!$A$3,D5425&lt;=$G$4,'calculated data '!$A$4,D5425&lt;=$G$6,'calculated data '!$A$5,D5425&gt;=$G$6,'calculated data '!$A$6)</f>
        <v>Target Market (Core IQR)</v>
      </c>
      <c r="F5425" s="10">
        <f t="shared" si="1"/>
        <v>-0.3685926872</v>
      </c>
    </row>
    <row r="5426" ht="14.25" customHeight="1">
      <c r="A5426" s="2" t="s">
        <v>235</v>
      </c>
      <c r="B5426" s="2" t="s">
        <v>236</v>
      </c>
      <c r="C5426" s="2">
        <v>1992.0</v>
      </c>
      <c r="D5426" s="9">
        <v>11131.149</v>
      </c>
      <c r="E5426" s="10" t="str">
        <f t="array" ref="E5426">IFS(D5426&lt;=$G$3,'calculated data '!$A$3,D5426&lt;=$G$4,'calculated data '!$A$4,D5426&lt;=$G$6,'calculated data '!$A$5,D5426&gt;=$G$6,'calculated data '!$A$6)</f>
        <v>Target Market (Core IQR)</v>
      </c>
      <c r="F5426" s="10">
        <f t="shared" si="1"/>
        <v>-0.3685327332</v>
      </c>
    </row>
    <row r="5427" ht="14.25" customHeight="1">
      <c r="A5427" s="2" t="s">
        <v>191</v>
      </c>
      <c r="B5427" s="2" t="s">
        <v>192</v>
      </c>
      <c r="C5427" s="2">
        <v>2019.0</v>
      </c>
      <c r="D5427" s="9">
        <v>11136.957</v>
      </c>
      <c r="E5427" s="10" t="str">
        <f t="array" ref="E5427">IFS(D5427&lt;=$G$3,'calculated data '!$A$3,D5427&lt;=$G$4,'calculated data '!$A$4,D5427&lt;=$G$6,'calculated data '!$A$5,D5427&gt;=$G$6,'calculated data '!$A$6)</f>
        <v>Target Market (Core IQR)</v>
      </c>
      <c r="F5427" s="10">
        <f t="shared" si="1"/>
        <v>-0.3683789969</v>
      </c>
    </row>
    <row r="5428" ht="14.25" customHeight="1">
      <c r="A5428" s="2" t="s">
        <v>263</v>
      </c>
      <c r="B5428" s="2" t="s">
        <v>264</v>
      </c>
      <c r="C5428" s="2">
        <v>2019.0</v>
      </c>
      <c r="D5428" s="9">
        <v>11143.832</v>
      </c>
      <c r="E5428" s="10" t="str">
        <f t="array" ref="E5428">IFS(D5428&lt;=$G$3,'calculated data '!$A$3,D5428&lt;=$G$4,'calculated data '!$A$4,D5428&lt;=$G$6,'calculated data '!$A$5,D5428&gt;=$G$6,'calculated data '!$A$6)</f>
        <v>Target Market (Core IQR)</v>
      </c>
      <c r="F5428" s="10">
        <f t="shared" si="1"/>
        <v>-0.3681970174</v>
      </c>
    </row>
    <row r="5429" ht="14.25" customHeight="1">
      <c r="A5429" s="2" t="s">
        <v>231</v>
      </c>
      <c r="B5429" s="2" t="s">
        <v>232</v>
      </c>
      <c r="C5429" s="2">
        <v>2001.0</v>
      </c>
      <c r="D5429" s="9">
        <v>11147.023</v>
      </c>
      <c r="E5429" s="10" t="str">
        <f t="array" ref="E5429">IFS(D5429&lt;=$G$3,'calculated data '!$A$3,D5429&lt;=$G$4,'calculated data '!$A$4,D5429&lt;=$G$6,'calculated data '!$A$5,D5429&gt;=$G$6,'calculated data '!$A$6)</f>
        <v>Target Market (Core IQR)</v>
      </c>
      <c r="F5429" s="10">
        <f t="shared" si="1"/>
        <v>-0.3681125524</v>
      </c>
    </row>
    <row r="5430" ht="14.25" customHeight="1">
      <c r="A5430" s="2" t="s">
        <v>185</v>
      </c>
      <c r="B5430" s="2" t="s">
        <v>186</v>
      </c>
      <c r="C5430" s="2">
        <v>2023.0</v>
      </c>
      <c r="D5430" s="9">
        <v>11156.717</v>
      </c>
      <c r="E5430" s="10" t="str">
        <f t="array" ref="E5430">IFS(D5430&lt;=$G$3,'calculated data '!$A$3,D5430&lt;=$G$4,'calculated data '!$A$4,D5430&lt;=$G$6,'calculated data '!$A$5,D5430&gt;=$G$6,'calculated data '!$A$6)</f>
        <v>Target Market (Core IQR)</v>
      </c>
      <c r="F5430" s="10">
        <f t="shared" si="1"/>
        <v>-0.3678559546</v>
      </c>
    </row>
    <row r="5431" ht="14.25" customHeight="1">
      <c r="A5431" s="2" t="s">
        <v>285</v>
      </c>
      <c r="B5431" s="2" t="s">
        <v>286</v>
      </c>
      <c r="C5431" s="2">
        <v>1980.0</v>
      </c>
      <c r="D5431" s="9">
        <v>11157.304</v>
      </c>
      <c r="E5431" s="10" t="str">
        <f t="array" ref="E5431">IFS(D5431&lt;=$G$3,'calculated data '!$A$3,D5431&lt;=$G$4,'calculated data '!$A$4,D5431&lt;=$G$6,'calculated data '!$A$5,D5431&gt;=$G$6,'calculated data '!$A$6)</f>
        <v>Target Market (Core IQR)</v>
      </c>
      <c r="F5431" s="10">
        <f t="shared" si="1"/>
        <v>-0.3678404169</v>
      </c>
    </row>
    <row r="5432" ht="14.25" customHeight="1">
      <c r="A5432" s="2" t="s">
        <v>207</v>
      </c>
      <c r="B5432" s="2" t="s">
        <v>208</v>
      </c>
      <c r="C5432" s="2">
        <v>1981.0</v>
      </c>
      <c r="D5432" s="9">
        <v>11158.274</v>
      </c>
      <c r="E5432" s="10" t="str">
        <f t="array" ref="E5432">IFS(D5432&lt;=$G$3,'calculated data '!$A$3,D5432&lt;=$G$4,'calculated data '!$A$4,D5432&lt;=$G$6,'calculated data '!$A$5,D5432&gt;=$G$6,'calculated data '!$A$6)</f>
        <v>Target Market (Core IQR)</v>
      </c>
      <c r="F5432" s="10">
        <f t="shared" si="1"/>
        <v>-0.3678147412</v>
      </c>
    </row>
    <row r="5433" ht="14.25" customHeight="1">
      <c r="A5433" s="2" t="s">
        <v>269</v>
      </c>
      <c r="B5433" s="2" t="s">
        <v>270</v>
      </c>
      <c r="C5433" s="2">
        <v>1989.0</v>
      </c>
      <c r="D5433" s="9">
        <v>11163.708</v>
      </c>
      <c r="E5433" s="10" t="str">
        <f t="array" ref="E5433">IFS(D5433&lt;=$G$3,'calculated data '!$A$3,D5433&lt;=$G$4,'calculated data '!$A$4,D5433&lt;=$G$6,'calculated data '!$A$5,D5433&gt;=$G$6,'calculated data '!$A$6)</f>
        <v>Target Market (Core IQR)</v>
      </c>
      <c r="F5433" s="10">
        <f t="shared" si="1"/>
        <v>-0.3676709046</v>
      </c>
    </row>
    <row r="5434" ht="14.25" customHeight="1">
      <c r="A5434" s="2" t="s">
        <v>321</v>
      </c>
      <c r="B5434" s="2" t="s">
        <v>322</v>
      </c>
      <c r="C5434" s="2">
        <v>1992.0</v>
      </c>
      <c r="D5434" s="9">
        <v>11170.141</v>
      </c>
      <c r="E5434" s="10" t="str">
        <f t="array" ref="E5434">IFS(D5434&lt;=$G$3,'calculated data '!$A$3,D5434&lt;=$G$4,'calculated data '!$A$4,D5434&lt;=$G$6,'calculated data '!$A$5,D5434&gt;=$G$6,'calculated data '!$A$6)</f>
        <v>Target Market (Core IQR)</v>
      </c>
      <c r="F5434" s="10">
        <f t="shared" si="1"/>
        <v>-0.3675006247</v>
      </c>
    </row>
    <row r="5435" ht="14.25" customHeight="1">
      <c r="A5435" s="2" t="s">
        <v>329</v>
      </c>
      <c r="B5435" s="2" t="s">
        <v>330</v>
      </c>
      <c r="C5435" s="2">
        <v>1996.0</v>
      </c>
      <c r="D5435" s="9">
        <v>11174.79</v>
      </c>
      <c r="E5435" s="10" t="str">
        <f t="array" ref="E5435">IFS(D5435&lt;=$G$3,'calculated data '!$A$3,D5435&lt;=$G$4,'calculated data '!$A$4,D5435&lt;=$G$6,'calculated data '!$A$5,D5435&gt;=$G$6,'calculated data '!$A$6)</f>
        <v>Target Market (Core IQR)</v>
      </c>
      <c r="F5435" s="10">
        <f t="shared" si="1"/>
        <v>-0.3673775668</v>
      </c>
    </row>
    <row r="5436" ht="14.25" customHeight="1">
      <c r="A5436" s="2" t="s">
        <v>287</v>
      </c>
      <c r="B5436" s="2" t="s">
        <v>288</v>
      </c>
      <c r="C5436" s="2">
        <v>1993.0</v>
      </c>
      <c r="D5436" s="9">
        <v>11176.632</v>
      </c>
      <c r="E5436" s="10" t="str">
        <f t="array" ref="E5436">IFS(D5436&lt;=$G$3,'calculated data '!$A$3,D5436&lt;=$G$4,'calculated data '!$A$4,D5436&lt;=$G$6,'calculated data '!$A$5,D5436&gt;=$G$6,'calculated data '!$A$6)</f>
        <v>Target Market (Core IQR)</v>
      </c>
      <c r="F5436" s="10">
        <f t="shared" si="1"/>
        <v>-0.3673288095</v>
      </c>
    </row>
    <row r="5437" ht="14.25" customHeight="1">
      <c r="A5437" s="2" t="s">
        <v>337</v>
      </c>
      <c r="B5437" s="2" t="s">
        <v>338</v>
      </c>
      <c r="C5437" s="2">
        <v>1981.0</v>
      </c>
      <c r="D5437" s="9">
        <v>11187.751</v>
      </c>
      <c r="E5437" s="10" t="str">
        <f t="array" ref="E5437">IFS(D5437&lt;=$G$3,'calculated data '!$A$3,D5437&lt;=$G$4,'calculated data '!$A$4,D5437&lt;=$G$6,'calculated data '!$A$5,D5437&gt;=$G$6,'calculated data '!$A$6)</f>
        <v>Target Market (Core IQR)</v>
      </c>
      <c r="F5437" s="10">
        <f t="shared" si="1"/>
        <v>-0.3670344924</v>
      </c>
    </row>
    <row r="5438" ht="14.25" customHeight="1">
      <c r="A5438" s="2" t="s">
        <v>335</v>
      </c>
      <c r="B5438" s="2" t="s">
        <v>336</v>
      </c>
      <c r="C5438" s="2">
        <v>1967.0</v>
      </c>
      <c r="D5438" s="9">
        <v>11188.126</v>
      </c>
      <c r="E5438" s="10" t="str">
        <f t="array" ref="E5438">IFS(D5438&lt;=$G$3,'calculated data '!$A$3,D5438&lt;=$G$4,'calculated data '!$A$4,D5438&lt;=$G$6,'calculated data '!$A$5,D5438&gt;=$G$6,'calculated data '!$A$6)</f>
        <v>Target Market (Core IQR)</v>
      </c>
      <c r="F5438" s="10">
        <f t="shared" si="1"/>
        <v>-0.3670245662</v>
      </c>
    </row>
    <row r="5439" ht="14.25" customHeight="1">
      <c r="A5439" s="2" t="s">
        <v>129</v>
      </c>
      <c r="B5439" s="2" t="s">
        <v>130</v>
      </c>
      <c r="C5439" s="2">
        <v>2025.0</v>
      </c>
      <c r="D5439" s="9">
        <v>11195.911</v>
      </c>
      <c r="E5439" s="10" t="str">
        <f t="array" ref="E5439">IFS(D5439&lt;=$G$3,'calculated data '!$A$3,D5439&lt;=$G$4,'calculated data '!$A$4,D5439&lt;=$G$6,'calculated data '!$A$5,D5439&gt;=$G$6,'calculated data '!$A$6)</f>
        <v>Target Market (Core IQR)</v>
      </c>
      <c r="F5439" s="10">
        <f t="shared" si="1"/>
        <v>-0.3668184992</v>
      </c>
    </row>
    <row r="5440" ht="14.25" customHeight="1">
      <c r="A5440" s="2" t="s">
        <v>303</v>
      </c>
      <c r="B5440" s="2" t="s">
        <v>304</v>
      </c>
      <c r="C5440" s="2">
        <v>1984.0</v>
      </c>
      <c r="D5440" s="9">
        <v>11196.678</v>
      </c>
      <c r="E5440" s="10" t="str">
        <f t="array" ref="E5440">IFS(D5440&lt;=$G$3,'calculated data '!$A$3,D5440&lt;=$G$4,'calculated data '!$A$4,D5440&lt;=$G$6,'calculated data '!$A$5,D5440&gt;=$G$6,'calculated data '!$A$6)</f>
        <v>Target Market (Core IQR)</v>
      </c>
      <c r="F5440" s="10">
        <f t="shared" si="1"/>
        <v>-0.3667981969</v>
      </c>
    </row>
    <row r="5441" ht="14.25" customHeight="1">
      <c r="A5441" s="2" t="s">
        <v>327</v>
      </c>
      <c r="B5441" s="2" t="s">
        <v>328</v>
      </c>
      <c r="C5441" s="2">
        <v>2021.0</v>
      </c>
      <c r="D5441" s="9">
        <v>11208.746</v>
      </c>
      <c r="E5441" s="10" t="str">
        <f t="array" ref="E5441">IFS(D5441&lt;=$G$3,'calculated data '!$A$3,D5441&lt;=$G$4,'calculated data '!$A$4,D5441&lt;=$G$6,'calculated data '!$A$5,D5441&gt;=$G$6,'calculated data '!$A$6)</f>
        <v>Target Market (Core IQR)</v>
      </c>
      <c r="F5441" s="10">
        <f t="shared" si="1"/>
        <v>-0.36647876</v>
      </c>
    </row>
    <row r="5442" ht="14.25" customHeight="1">
      <c r="A5442" s="2" t="s">
        <v>31</v>
      </c>
      <c r="B5442" s="2" t="s">
        <v>32</v>
      </c>
      <c r="C5442" s="2">
        <v>1983.0</v>
      </c>
      <c r="D5442" s="9">
        <v>11222.506</v>
      </c>
      <c r="E5442" s="10" t="str">
        <f t="array" ref="E5442">IFS(D5442&lt;=$G$3,'calculated data '!$A$3,D5442&lt;=$G$4,'calculated data '!$A$4,D5442&lt;=$G$6,'calculated data '!$A$5,D5442&gt;=$G$6,'calculated data '!$A$6)</f>
        <v>Target Market (Core IQR)</v>
      </c>
      <c r="F5442" s="10">
        <f t="shared" si="1"/>
        <v>-0.3661145362</v>
      </c>
    </row>
    <row r="5443" ht="14.25" customHeight="1">
      <c r="A5443" s="2" t="s">
        <v>295</v>
      </c>
      <c r="B5443" s="2" t="s">
        <v>296</v>
      </c>
      <c r="C5443" s="2">
        <v>2007.0</v>
      </c>
      <c r="D5443" s="9">
        <v>11227.055</v>
      </c>
      <c r="E5443" s="10" t="str">
        <f t="array" ref="E5443">IFS(D5443&lt;=$G$3,'calculated data '!$A$3,D5443&lt;=$G$4,'calculated data '!$A$4,D5443&lt;=$G$6,'calculated data '!$A$5,D5443&gt;=$G$6,'calculated data '!$A$6)</f>
        <v>Target Market (Core IQR)</v>
      </c>
      <c r="F5443" s="10">
        <f t="shared" si="1"/>
        <v>-0.3659941253</v>
      </c>
    </row>
    <row r="5444" ht="14.25" customHeight="1">
      <c r="A5444" s="2" t="s">
        <v>265</v>
      </c>
      <c r="B5444" s="2" t="s">
        <v>266</v>
      </c>
      <c r="C5444" s="2">
        <v>2019.0</v>
      </c>
      <c r="D5444" s="9">
        <v>11227.169</v>
      </c>
      <c r="E5444" s="10" t="str">
        <f t="array" ref="E5444">IFS(D5444&lt;=$G$3,'calculated data '!$A$3,D5444&lt;=$G$4,'calculated data '!$A$4,D5444&lt;=$G$6,'calculated data '!$A$5,D5444&gt;=$G$6,'calculated data '!$A$6)</f>
        <v>Target Market (Core IQR)</v>
      </c>
      <c r="F5444" s="10">
        <f t="shared" si="1"/>
        <v>-0.3659911077</v>
      </c>
    </row>
    <row r="5445" ht="14.25" customHeight="1">
      <c r="A5445" s="2" t="s">
        <v>303</v>
      </c>
      <c r="B5445" s="2" t="s">
        <v>304</v>
      </c>
      <c r="C5445" s="2">
        <v>1990.0</v>
      </c>
      <c r="D5445" s="9">
        <v>11231.988</v>
      </c>
      <c r="E5445" s="10" t="str">
        <f t="array" ref="E5445">IFS(D5445&lt;=$G$3,'calculated data '!$A$3,D5445&lt;=$G$4,'calculated data '!$A$4,D5445&lt;=$G$6,'calculated data '!$A$5,D5445&gt;=$G$6,'calculated data '!$A$6)</f>
        <v>Target Market (Core IQR)</v>
      </c>
      <c r="F5445" s="10">
        <f t="shared" si="1"/>
        <v>-0.36586355</v>
      </c>
    </row>
    <row r="5446" ht="14.25" customHeight="1">
      <c r="A5446" s="2" t="s">
        <v>231</v>
      </c>
      <c r="B5446" s="2" t="s">
        <v>232</v>
      </c>
      <c r="C5446" s="2">
        <v>1996.0</v>
      </c>
      <c r="D5446" s="9">
        <v>11234.649</v>
      </c>
      <c r="E5446" s="10" t="str">
        <f t="array" ref="E5446">IFS(D5446&lt;=$G$3,'calculated data '!$A$3,D5446&lt;=$G$4,'calculated data '!$A$4,D5446&lt;=$G$6,'calculated data '!$A$5,D5446&gt;=$G$6,'calculated data '!$A$6)</f>
        <v>Target Market (Core IQR)</v>
      </c>
      <c r="F5446" s="10">
        <f t="shared" si="1"/>
        <v>-0.365793114</v>
      </c>
    </row>
    <row r="5447" ht="14.25" customHeight="1">
      <c r="A5447" s="2" t="s">
        <v>191</v>
      </c>
      <c r="B5447" s="2" t="s">
        <v>192</v>
      </c>
      <c r="C5447" s="2">
        <v>2007.0</v>
      </c>
      <c r="D5447" s="9">
        <v>11245.616</v>
      </c>
      <c r="E5447" s="10" t="str">
        <f t="array" ref="E5447">IFS(D5447&lt;=$G$3,'calculated data '!$A$3,D5447&lt;=$G$4,'calculated data '!$A$4,D5447&lt;=$G$6,'calculated data '!$A$5,D5447&gt;=$G$6,'calculated data '!$A$6)</f>
        <v>Target Market (Core IQR)</v>
      </c>
      <c r="F5447" s="10">
        <f t="shared" si="1"/>
        <v>-0.3655028202</v>
      </c>
    </row>
    <row r="5448" ht="14.25" customHeight="1">
      <c r="A5448" s="2" t="s">
        <v>207</v>
      </c>
      <c r="B5448" s="2" t="s">
        <v>208</v>
      </c>
      <c r="C5448" s="2">
        <v>2006.0</v>
      </c>
      <c r="D5448" s="9">
        <v>11266.479</v>
      </c>
      <c r="E5448" s="10" t="str">
        <f t="array" ref="E5448">IFS(D5448&lt;=$G$3,'calculated data '!$A$3,D5448&lt;=$G$4,'calculated data '!$A$4,D5448&lt;=$G$6,'calculated data '!$A$5,D5448&gt;=$G$6,'calculated data '!$A$6)</f>
        <v>Target Market (Core IQR)</v>
      </c>
      <c r="F5448" s="10">
        <f t="shared" si="1"/>
        <v>-0.3649505818</v>
      </c>
    </row>
    <row r="5449" ht="14.25" customHeight="1">
      <c r="A5449" s="2" t="s">
        <v>235</v>
      </c>
      <c r="B5449" s="2" t="s">
        <v>236</v>
      </c>
      <c r="C5449" s="2">
        <v>1995.0</v>
      </c>
      <c r="D5449" s="9">
        <v>11269.194</v>
      </c>
      <c r="E5449" s="10" t="str">
        <f t="array" ref="E5449">IFS(D5449&lt;=$G$3,'calculated data '!$A$3,D5449&lt;=$G$4,'calculated data '!$A$4,D5449&lt;=$G$6,'calculated data '!$A$5,D5449&gt;=$G$6,'calculated data '!$A$6)</f>
        <v>Target Market (Core IQR)</v>
      </c>
      <c r="F5449" s="10">
        <f t="shared" si="1"/>
        <v>-0.3648787165</v>
      </c>
    </row>
    <row r="5450" ht="14.25" customHeight="1">
      <c r="A5450" s="2" t="s">
        <v>321</v>
      </c>
      <c r="B5450" s="2" t="s">
        <v>322</v>
      </c>
      <c r="C5450" s="2">
        <v>2014.0</v>
      </c>
      <c r="D5450" s="9">
        <v>11269.271</v>
      </c>
      <c r="E5450" s="10" t="str">
        <f t="array" ref="E5450">IFS(D5450&lt;=$G$3,'calculated data '!$A$3,D5450&lt;=$G$4,'calculated data '!$A$4,D5450&lt;=$G$6,'calculated data '!$A$5,D5450&gt;=$G$6,'calculated data '!$A$6)</f>
        <v>Target Market (Core IQR)</v>
      </c>
      <c r="F5450" s="10">
        <f t="shared" si="1"/>
        <v>-0.3648766783</v>
      </c>
    </row>
    <row r="5451" ht="14.25" customHeight="1">
      <c r="A5451" s="2" t="s">
        <v>227</v>
      </c>
      <c r="B5451" s="2" t="s">
        <v>228</v>
      </c>
      <c r="C5451" s="2">
        <v>2007.0</v>
      </c>
      <c r="D5451" s="9">
        <v>11279.4375</v>
      </c>
      <c r="E5451" s="10" t="str">
        <f t="array" ref="E5451">IFS(D5451&lt;=$G$3,'calculated data '!$A$3,D5451&lt;=$G$4,'calculated data '!$A$4,D5451&lt;=$G$6,'calculated data '!$A$5,D5451&gt;=$G$6,'calculated data '!$A$6)</f>
        <v>Target Market (Core IQR)</v>
      </c>
      <c r="F5451" s="10">
        <f t="shared" si="1"/>
        <v>-0.3646075736</v>
      </c>
    </row>
    <row r="5452" ht="14.25" customHeight="1">
      <c r="A5452" s="2" t="s">
        <v>327</v>
      </c>
      <c r="B5452" s="2" t="s">
        <v>328</v>
      </c>
      <c r="C5452" s="2">
        <v>1982.0</v>
      </c>
      <c r="D5452" s="9">
        <v>11284.964</v>
      </c>
      <c r="E5452" s="10" t="str">
        <f t="array" ref="E5452">IFS(D5452&lt;=$G$3,'calculated data '!$A$3,D5452&lt;=$G$4,'calculated data '!$A$4,D5452&lt;=$G$6,'calculated data '!$A$5,D5452&gt;=$G$6,'calculated data '!$A$6)</f>
        <v>Target Market (Core IQR)</v>
      </c>
      <c r="F5452" s="10">
        <f t="shared" si="1"/>
        <v>-0.3644612885</v>
      </c>
    </row>
    <row r="5453" ht="14.25" customHeight="1">
      <c r="A5453" s="2" t="s">
        <v>191</v>
      </c>
      <c r="B5453" s="2" t="s">
        <v>192</v>
      </c>
      <c r="C5453" s="2">
        <v>2016.0</v>
      </c>
      <c r="D5453" s="9">
        <v>11295.757</v>
      </c>
      <c r="E5453" s="10" t="str">
        <f t="array" ref="E5453">IFS(D5453&lt;=$G$3,'calculated data '!$A$3,D5453&lt;=$G$4,'calculated data '!$A$4,D5453&lt;=$G$6,'calculated data '!$A$5,D5453&gt;=$G$6,'calculated data '!$A$6)</f>
        <v>Target Market (Core IQR)</v>
      </c>
      <c r="F5453" s="10">
        <f t="shared" si="1"/>
        <v>-0.3641756005</v>
      </c>
    </row>
    <row r="5454" ht="14.25" customHeight="1">
      <c r="A5454" s="2" t="s">
        <v>249</v>
      </c>
      <c r="B5454" s="2" t="s">
        <v>250</v>
      </c>
      <c r="C5454" s="2">
        <v>1984.0</v>
      </c>
      <c r="D5454" s="9">
        <v>11295.959</v>
      </c>
      <c r="E5454" s="10" t="str">
        <f t="array" ref="E5454">IFS(D5454&lt;=$G$3,'calculated data '!$A$3,D5454&lt;=$G$4,'calculated data '!$A$4,D5454&lt;=$G$6,'calculated data '!$A$5,D5454&gt;=$G$6,'calculated data '!$A$6)</f>
        <v>Target Market (Core IQR)</v>
      </c>
      <c r="F5454" s="10">
        <f t="shared" si="1"/>
        <v>-0.3641702536</v>
      </c>
    </row>
    <row r="5455" ht="14.25" customHeight="1">
      <c r="A5455" s="2" t="s">
        <v>269</v>
      </c>
      <c r="B5455" s="2" t="s">
        <v>270</v>
      </c>
      <c r="C5455" s="2">
        <v>1991.0</v>
      </c>
      <c r="D5455" s="9">
        <v>11296.706</v>
      </c>
      <c r="E5455" s="10" t="str">
        <f t="array" ref="E5455">IFS(D5455&lt;=$G$3,'calculated data '!$A$3,D5455&lt;=$G$4,'calculated data '!$A$4,D5455&lt;=$G$6,'calculated data '!$A$5,D5455&gt;=$G$6,'calculated data '!$A$6)</f>
        <v>Target Market (Core IQR)</v>
      </c>
      <c r="F5455" s="10">
        <f t="shared" si="1"/>
        <v>-0.3641504807</v>
      </c>
    </row>
    <row r="5456" ht="14.25" customHeight="1">
      <c r="A5456" s="2" t="s">
        <v>273</v>
      </c>
      <c r="B5456" s="2" t="s">
        <v>274</v>
      </c>
      <c r="C5456" s="2">
        <v>1998.0</v>
      </c>
      <c r="D5456" s="9">
        <v>11297.704</v>
      </c>
      <c r="E5456" s="10" t="str">
        <f t="array" ref="E5456">IFS(D5456&lt;=$G$3,'calculated data '!$A$3,D5456&lt;=$G$4,'calculated data '!$A$4,D5456&lt;=$G$6,'calculated data '!$A$5,D5456&gt;=$G$6,'calculated data '!$A$6)</f>
        <v>Target Market (Core IQR)</v>
      </c>
      <c r="F5456" s="10">
        <f t="shared" si="1"/>
        <v>-0.3641240639</v>
      </c>
    </row>
    <row r="5457" ht="14.25" customHeight="1">
      <c r="A5457" s="2" t="s">
        <v>295</v>
      </c>
      <c r="B5457" s="2" t="s">
        <v>296</v>
      </c>
      <c r="C5457" s="2">
        <v>2004.0</v>
      </c>
      <c r="D5457" s="9">
        <v>11305.199</v>
      </c>
      <c r="E5457" s="10" t="str">
        <f t="array" ref="E5457">IFS(D5457&lt;=$G$3,'calculated data '!$A$3,D5457&lt;=$G$4,'calculated data '!$A$4,D5457&lt;=$G$6,'calculated data '!$A$5,D5457&gt;=$G$6,'calculated data '!$A$6)</f>
        <v>Target Market (Core IQR)</v>
      </c>
      <c r="F5457" s="10">
        <f t="shared" si="1"/>
        <v>-0.3639256731</v>
      </c>
    </row>
    <row r="5458" ht="14.25" customHeight="1">
      <c r="A5458" s="2" t="s">
        <v>267</v>
      </c>
      <c r="B5458" s="2" t="s">
        <v>268</v>
      </c>
      <c r="C5458" s="2">
        <v>1985.0</v>
      </c>
      <c r="D5458" s="9">
        <v>11310.6875</v>
      </c>
      <c r="E5458" s="10" t="str">
        <f t="array" ref="E5458">IFS(D5458&lt;=$G$3,'calculated data '!$A$3,D5458&lt;=$G$4,'calculated data '!$A$4,D5458&lt;=$G$6,'calculated data '!$A$5,D5458&gt;=$G$6,'calculated data '!$A$6)</f>
        <v>Target Market (Core IQR)</v>
      </c>
      <c r="F5458" s="10">
        <f t="shared" si="1"/>
        <v>-0.3637803938</v>
      </c>
    </row>
    <row r="5459" ht="14.25" customHeight="1">
      <c r="A5459" s="2" t="s">
        <v>269</v>
      </c>
      <c r="B5459" s="2" t="s">
        <v>270</v>
      </c>
      <c r="C5459" s="2">
        <v>1992.0</v>
      </c>
      <c r="D5459" s="9">
        <v>11312.738</v>
      </c>
      <c r="E5459" s="10" t="str">
        <f t="array" ref="E5459">IFS(D5459&lt;=$G$3,'calculated data '!$A$3,D5459&lt;=$G$4,'calculated data '!$A$4,D5459&lt;=$G$6,'calculated data '!$A$5,D5459&gt;=$G$6,'calculated data '!$A$6)</f>
        <v>Target Market (Core IQR)</v>
      </c>
      <c r="F5459" s="10">
        <f t="shared" si="1"/>
        <v>-0.3637261176</v>
      </c>
    </row>
    <row r="5460" ht="14.25" customHeight="1">
      <c r="A5460" s="2" t="s">
        <v>321</v>
      </c>
      <c r="B5460" s="2" t="s">
        <v>322</v>
      </c>
      <c r="C5460" s="2">
        <v>2015.0</v>
      </c>
      <c r="D5460" s="9">
        <v>11314.926</v>
      </c>
      <c r="E5460" s="10" t="str">
        <f t="array" ref="E5460">IFS(D5460&lt;=$G$3,'calculated data '!$A$3,D5460&lt;=$G$4,'calculated data '!$A$4,D5460&lt;=$G$6,'calculated data '!$A$5,D5460&gt;=$G$6,'calculated data '!$A$6)</f>
        <v>Target Market (Core IQR)</v>
      </c>
      <c r="F5460" s="10">
        <f t="shared" si="1"/>
        <v>-0.3636682018</v>
      </c>
    </row>
    <row r="5461" ht="14.25" customHeight="1">
      <c r="A5461" s="2" t="s">
        <v>185</v>
      </c>
      <c r="B5461" s="2" t="s">
        <v>186</v>
      </c>
      <c r="C5461" s="2">
        <v>2024.0</v>
      </c>
      <c r="D5461" s="9">
        <v>11321.043</v>
      </c>
      <c r="E5461" s="10" t="str">
        <f t="array" ref="E5461">IFS(D5461&lt;=$G$3,'calculated data '!$A$3,D5461&lt;=$G$4,'calculated data '!$A$4,D5461&lt;=$G$6,'calculated data '!$A$5,D5461&gt;=$G$6,'calculated data '!$A$6)</f>
        <v>Target Market (Core IQR)</v>
      </c>
      <c r="F5461" s="10">
        <f t="shared" si="1"/>
        <v>-0.3635062863</v>
      </c>
    </row>
    <row r="5462" ht="14.25" customHeight="1">
      <c r="A5462" s="2" t="s">
        <v>257</v>
      </c>
      <c r="B5462" s="2" t="s">
        <v>258</v>
      </c>
      <c r="C5462" s="2">
        <v>1977.0</v>
      </c>
      <c r="D5462" s="9">
        <v>11331.633</v>
      </c>
      <c r="E5462" s="10" t="str">
        <f t="array" ref="E5462">IFS(D5462&lt;=$G$3,'calculated data '!$A$3,D5462&lt;=$G$4,'calculated data '!$A$4,D5462&lt;=$G$6,'calculated data '!$A$5,D5462&gt;=$G$6,'calculated data '!$A$6)</f>
        <v>Target Market (Core IQR)</v>
      </c>
      <c r="F5462" s="10">
        <f t="shared" si="1"/>
        <v>-0.3632259717</v>
      </c>
    </row>
    <row r="5463" ht="14.25" customHeight="1">
      <c r="A5463" s="2" t="s">
        <v>301</v>
      </c>
      <c r="B5463" s="2" t="s">
        <v>302</v>
      </c>
      <c r="C5463" s="2">
        <v>1978.0</v>
      </c>
      <c r="D5463" s="9">
        <v>11332.717</v>
      </c>
      <c r="E5463" s="10" t="str">
        <f t="array" ref="E5463">IFS(D5463&lt;=$G$3,'calculated data '!$A$3,D5463&lt;=$G$4,'calculated data '!$A$4,D5463&lt;=$G$6,'calculated data '!$A$5,D5463&gt;=$G$6,'calculated data '!$A$6)</f>
        <v>Target Market (Core IQR)</v>
      </c>
      <c r="F5463" s="10">
        <f t="shared" si="1"/>
        <v>-0.3631972785</v>
      </c>
    </row>
    <row r="5464" ht="14.25" customHeight="1">
      <c r="A5464" s="2" t="s">
        <v>323</v>
      </c>
      <c r="B5464" s="2" t="s">
        <v>324</v>
      </c>
      <c r="C5464" s="2">
        <v>1984.0</v>
      </c>
      <c r="D5464" s="9">
        <v>11344.476</v>
      </c>
      <c r="E5464" s="10" t="str">
        <f t="array" ref="E5464">IFS(D5464&lt;=$G$3,'calculated data '!$A$3,D5464&lt;=$G$4,'calculated data '!$A$4,D5464&lt;=$G$6,'calculated data '!$A$5,D5464&gt;=$G$6,'calculated data '!$A$6)</f>
        <v>Target Market (Core IQR)</v>
      </c>
      <c r="F5464" s="10">
        <f t="shared" si="1"/>
        <v>-0.3628860207</v>
      </c>
    </row>
    <row r="5465" ht="14.25" customHeight="1">
      <c r="A5465" s="2" t="s">
        <v>191</v>
      </c>
      <c r="B5465" s="2" t="s">
        <v>192</v>
      </c>
      <c r="C5465" s="2">
        <v>2023.0</v>
      </c>
      <c r="D5465" s="9">
        <v>11348.95</v>
      </c>
      <c r="E5465" s="10" t="str">
        <f t="array" ref="E5465">IFS(D5465&lt;=$G$3,'calculated data '!$A$3,D5465&lt;=$G$4,'calculated data '!$A$4,D5465&lt;=$G$6,'calculated data '!$A$5,D5465&gt;=$G$6,'calculated data '!$A$6)</f>
        <v>Target Market (Core IQR)</v>
      </c>
      <c r="F5465" s="10">
        <f t="shared" si="1"/>
        <v>-0.362767595</v>
      </c>
    </row>
    <row r="5466" ht="14.25" customHeight="1">
      <c r="A5466" s="2" t="s">
        <v>249</v>
      </c>
      <c r="B5466" s="2" t="s">
        <v>250</v>
      </c>
      <c r="C5466" s="2">
        <v>1987.0</v>
      </c>
      <c r="D5466" s="9">
        <v>11354.309</v>
      </c>
      <c r="E5466" s="10" t="str">
        <f t="array" ref="E5466">IFS(D5466&lt;=$G$3,'calculated data '!$A$3,D5466&lt;=$G$4,'calculated data '!$A$4,D5466&lt;=$G$6,'calculated data '!$A$5,D5466&gt;=$G$6,'calculated data '!$A$6)</f>
        <v>Target Market (Core IQR)</v>
      </c>
      <c r="F5466" s="10">
        <f t="shared" si="1"/>
        <v>-0.3626257436</v>
      </c>
    </row>
    <row r="5467" ht="14.25" customHeight="1">
      <c r="A5467" s="2" t="s">
        <v>317</v>
      </c>
      <c r="B5467" s="2" t="s">
        <v>318</v>
      </c>
      <c r="C5467" s="2">
        <v>1977.0</v>
      </c>
      <c r="D5467" s="9">
        <v>11357.916</v>
      </c>
      <c r="E5467" s="10" t="str">
        <f t="array" ref="E5467">IFS(D5467&lt;=$G$3,'calculated data '!$A$3,D5467&lt;=$G$4,'calculated data '!$A$4,D5467&lt;=$G$6,'calculated data '!$A$5,D5467&gt;=$G$6,'calculated data '!$A$6)</f>
        <v>Target Market (Core IQR)</v>
      </c>
      <c r="F5467" s="10">
        <f t="shared" si="1"/>
        <v>-0.3625302672</v>
      </c>
    </row>
    <row r="5468" ht="14.25" customHeight="1">
      <c r="A5468" s="2" t="s">
        <v>251</v>
      </c>
      <c r="B5468" s="2" t="s">
        <v>252</v>
      </c>
      <c r="C5468" s="2">
        <v>2012.0</v>
      </c>
      <c r="D5468" s="9">
        <v>11371.488</v>
      </c>
      <c r="E5468" s="10" t="str">
        <f t="array" ref="E5468">IFS(D5468&lt;=$G$3,'calculated data '!$A$3,D5468&lt;=$G$4,'calculated data '!$A$4,D5468&lt;=$G$6,'calculated data '!$A$5,D5468&gt;=$G$6,'calculated data '!$A$6)</f>
        <v>Target Market (Core IQR)</v>
      </c>
      <c r="F5468" s="10">
        <f t="shared" si="1"/>
        <v>-0.3621710198</v>
      </c>
    </row>
    <row r="5469" ht="14.25" customHeight="1">
      <c r="A5469" s="2" t="s">
        <v>141</v>
      </c>
      <c r="B5469" s="2" t="s">
        <v>142</v>
      </c>
      <c r="C5469" s="2">
        <v>1999.0</v>
      </c>
      <c r="D5469" s="9">
        <v>11373.4</v>
      </c>
      <c r="E5469" s="10" t="str">
        <f t="array" ref="E5469">IFS(D5469&lt;=$G$3,'calculated data '!$A$3,D5469&lt;=$G$4,'calculated data '!$A$4,D5469&lt;=$G$6,'calculated data '!$A$5,D5469&gt;=$G$6,'calculated data '!$A$6)</f>
        <v>Target Market (Core IQR)</v>
      </c>
      <c r="F5469" s="10">
        <f t="shared" si="1"/>
        <v>-0.3621204096</v>
      </c>
    </row>
    <row r="5470" ht="14.25" customHeight="1">
      <c r="A5470" s="2" t="s">
        <v>203</v>
      </c>
      <c r="B5470" s="2" t="s">
        <v>204</v>
      </c>
      <c r="C5470" s="2">
        <v>2020.0</v>
      </c>
      <c r="D5470" s="9">
        <v>11376.105</v>
      </c>
      <c r="E5470" s="10" t="str">
        <f t="array" ref="E5470">IFS(D5470&lt;=$G$3,'calculated data '!$A$3,D5470&lt;=$G$4,'calculated data '!$A$4,D5470&lt;=$G$6,'calculated data '!$A$5,D5470&gt;=$G$6,'calculated data '!$A$6)</f>
        <v>Target Market (Core IQR)</v>
      </c>
      <c r="F5470" s="10">
        <f t="shared" si="1"/>
        <v>-0.3620488089</v>
      </c>
    </row>
    <row r="5471" ht="14.25" customHeight="1">
      <c r="A5471" s="2" t="s">
        <v>141</v>
      </c>
      <c r="B5471" s="2" t="s">
        <v>142</v>
      </c>
      <c r="C5471" s="2">
        <v>1996.0</v>
      </c>
      <c r="D5471" s="9">
        <v>11378.768</v>
      </c>
      <c r="E5471" s="10" t="str">
        <f t="array" ref="E5471">IFS(D5471&lt;=$G$3,'calculated data '!$A$3,D5471&lt;=$G$4,'calculated data '!$A$4,D5471&lt;=$G$6,'calculated data '!$A$5,D5471&gt;=$G$6,'calculated data '!$A$6)</f>
        <v>Target Market (Core IQR)</v>
      </c>
      <c r="F5471" s="10">
        <f t="shared" si="1"/>
        <v>-0.36197832</v>
      </c>
    </row>
    <row r="5472" ht="14.25" customHeight="1">
      <c r="A5472" s="2" t="s">
        <v>293</v>
      </c>
      <c r="B5472" s="2" t="s">
        <v>294</v>
      </c>
      <c r="C5472" s="2">
        <v>2007.0</v>
      </c>
      <c r="D5472" s="9">
        <v>11381.613</v>
      </c>
      <c r="E5472" s="10" t="str">
        <f t="array" ref="E5472">IFS(D5472&lt;=$G$3,'calculated data '!$A$3,D5472&lt;=$G$4,'calculated data '!$A$4,D5472&lt;=$G$6,'calculated data '!$A$5,D5472&gt;=$G$6,'calculated data '!$A$6)</f>
        <v>Target Market (Core IQR)</v>
      </c>
      <c r="F5472" s="10">
        <f t="shared" si="1"/>
        <v>-0.3619030135</v>
      </c>
    </row>
    <row r="5473" ht="14.25" customHeight="1">
      <c r="A5473" s="2" t="s">
        <v>285</v>
      </c>
      <c r="B5473" s="2" t="s">
        <v>286</v>
      </c>
      <c r="C5473" s="2">
        <v>1993.0</v>
      </c>
      <c r="D5473" s="9">
        <v>11386.002</v>
      </c>
      <c r="E5473" s="10" t="str">
        <f t="array" ref="E5473">IFS(D5473&lt;=$G$3,'calculated data '!$A$3,D5473&lt;=$G$4,'calculated data '!$A$4,D5473&lt;=$G$6,'calculated data '!$A$5,D5473&gt;=$G$6,'calculated data '!$A$6)</f>
        <v>Target Market (Core IQR)</v>
      </c>
      <c r="F5473" s="10">
        <f t="shared" si="1"/>
        <v>-0.3617868378</v>
      </c>
    </row>
    <row r="5474" ht="14.25" customHeight="1">
      <c r="A5474" s="2" t="s">
        <v>333</v>
      </c>
      <c r="B5474" s="2" t="s">
        <v>334</v>
      </c>
      <c r="C5474" s="2">
        <v>2015.0</v>
      </c>
      <c r="D5474" s="9">
        <v>11395.704</v>
      </c>
      <c r="E5474" s="10" t="str">
        <f t="array" ref="E5474">IFS(D5474&lt;=$G$3,'calculated data '!$A$3,D5474&lt;=$G$4,'calculated data '!$A$4,D5474&lt;=$G$6,'calculated data '!$A$5,D5474&gt;=$G$6,'calculated data '!$A$6)</f>
        <v>Target Market (Core IQR)</v>
      </c>
      <c r="F5474" s="10">
        <f t="shared" si="1"/>
        <v>-0.3615300283</v>
      </c>
    </row>
    <row r="5475" ht="14.25" customHeight="1">
      <c r="A5475" s="2" t="s">
        <v>303</v>
      </c>
      <c r="B5475" s="2" t="s">
        <v>304</v>
      </c>
      <c r="C5475" s="2">
        <v>1983.0</v>
      </c>
      <c r="D5475" s="9">
        <v>11395.818</v>
      </c>
      <c r="E5475" s="10" t="str">
        <f t="array" ref="E5475">IFS(D5475&lt;=$G$3,'calculated data '!$A$3,D5475&lt;=$G$4,'calculated data '!$A$4,D5475&lt;=$G$6,'calculated data '!$A$5,D5475&gt;=$G$6,'calculated data '!$A$6)</f>
        <v>Target Market (Core IQR)</v>
      </c>
      <c r="F5475" s="10">
        <f t="shared" si="1"/>
        <v>-0.3615270107</v>
      </c>
    </row>
    <row r="5476" ht="14.25" customHeight="1">
      <c r="A5476" s="2" t="s">
        <v>305</v>
      </c>
      <c r="B5476" s="2" t="s">
        <v>306</v>
      </c>
      <c r="C5476" s="2">
        <v>1990.0</v>
      </c>
      <c r="D5476" s="9">
        <v>11399.191</v>
      </c>
      <c r="E5476" s="10" t="str">
        <f t="array" ref="E5476">IFS(D5476&lt;=$G$3,'calculated data '!$A$3,D5476&lt;=$G$4,'calculated data '!$A$4,D5476&lt;=$G$6,'calculated data '!$A$5,D5476&gt;=$G$6,'calculated data '!$A$6)</f>
        <v>Target Market (Core IQR)</v>
      </c>
      <c r="F5476" s="10">
        <f t="shared" si="1"/>
        <v>-0.3614377282</v>
      </c>
    </row>
    <row r="5477" ht="14.25" customHeight="1">
      <c r="A5477" s="2" t="s">
        <v>333</v>
      </c>
      <c r="B5477" s="2" t="s">
        <v>334</v>
      </c>
      <c r="C5477" s="2">
        <v>1992.0</v>
      </c>
      <c r="D5477" s="9">
        <v>11403.677</v>
      </c>
      <c r="E5477" s="10" t="str">
        <f t="array" ref="E5477">IFS(D5477&lt;=$G$3,'calculated data '!$A$3,D5477&lt;=$G$4,'calculated data '!$A$4,D5477&lt;=$G$6,'calculated data '!$A$5,D5477&gt;=$G$6,'calculated data '!$A$6)</f>
        <v>Target Market (Core IQR)</v>
      </c>
      <c r="F5477" s="10">
        <f t="shared" si="1"/>
        <v>-0.3613189849</v>
      </c>
    </row>
    <row r="5478" ht="14.25" customHeight="1">
      <c r="A5478" s="2" t="s">
        <v>321</v>
      </c>
      <c r="B5478" s="2" t="s">
        <v>322</v>
      </c>
      <c r="C5478" s="2">
        <v>1996.0</v>
      </c>
      <c r="D5478" s="9">
        <v>11413.409</v>
      </c>
      <c r="E5478" s="10" t="str">
        <f t="array" ref="E5478">IFS(D5478&lt;=$G$3,'calculated data '!$A$3,D5478&lt;=$G$4,'calculated data '!$A$4,D5478&lt;=$G$6,'calculated data '!$A$5,D5478&gt;=$G$6,'calculated data '!$A$6)</f>
        <v>Target Market (Core IQR)</v>
      </c>
      <c r="F5478" s="10">
        <f t="shared" si="1"/>
        <v>-0.3610613813</v>
      </c>
    </row>
    <row r="5479" ht="14.25" customHeight="1">
      <c r="A5479" s="2" t="s">
        <v>235</v>
      </c>
      <c r="B5479" s="2" t="s">
        <v>236</v>
      </c>
      <c r="C5479" s="2">
        <v>1993.0</v>
      </c>
      <c r="D5479" s="9">
        <v>11414.435</v>
      </c>
      <c r="E5479" s="10" t="str">
        <f t="array" ref="E5479">IFS(D5479&lt;=$G$3,'calculated data '!$A$3,D5479&lt;=$G$4,'calculated data '!$A$4,D5479&lt;=$G$6,'calculated data '!$A$5,D5479&gt;=$G$6,'calculated data '!$A$6)</f>
        <v>Target Market (Core IQR)</v>
      </c>
      <c r="F5479" s="10">
        <f t="shared" si="1"/>
        <v>-0.3610342234</v>
      </c>
    </row>
    <row r="5480" ht="14.25" customHeight="1">
      <c r="A5480" s="2" t="s">
        <v>295</v>
      </c>
      <c r="B5480" s="2" t="s">
        <v>296</v>
      </c>
      <c r="C5480" s="2">
        <v>2003.0</v>
      </c>
      <c r="D5480" s="9">
        <v>11420.435</v>
      </c>
      <c r="E5480" s="10" t="str">
        <f t="array" ref="E5480">IFS(D5480&lt;=$G$3,'calculated data '!$A$3,D5480&lt;=$G$4,'calculated data '!$A$4,D5480&lt;=$G$6,'calculated data '!$A$5,D5480&gt;=$G$6,'calculated data '!$A$6)</f>
        <v>Target Market (Core IQR)</v>
      </c>
      <c r="F5480" s="10">
        <f t="shared" si="1"/>
        <v>-0.3608754049</v>
      </c>
    </row>
    <row r="5481" ht="14.25" customHeight="1">
      <c r="A5481" s="2" t="s">
        <v>237</v>
      </c>
      <c r="B5481" s="2" t="s">
        <v>238</v>
      </c>
      <c r="C5481" s="2">
        <v>2017.0</v>
      </c>
      <c r="D5481" s="9">
        <v>11427.596</v>
      </c>
      <c r="E5481" s="10" t="str">
        <f t="array" ref="E5481">IFS(D5481&lt;=$G$3,'calculated data '!$A$3,D5481&lt;=$G$4,'calculated data '!$A$4,D5481&lt;=$G$6,'calculated data '!$A$5,D5481&gt;=$G$6,'calculated data '!$A$6)</f>
        <v>Target Market (Core IQR)</v>
      </c>
      <c r="F5481" s="10">
        <f t="shared" si="1"/>
        <v>-0.360685855</v>
      </c>
    </row>
    <row r="5482" ht="14.25" customHeight="1">
      <c r="A5482" s="2" t="s">
        <v>233</v>
      </c>
      <c r="B5482" s="2" t="s">
        <v>234</v>
      </c>
      <c r="C5482" s="2">
        <v>2004.0</v>
      </c>
      <c r="D5482" s="9">
        <v>11429.092</v>
      </c>
      <c r="E5482" s="10" t="str">
        <f t="array" ref="E5482">IFS(D5482&lt;=$G$3,'calculated data '!$A$3,D5482&lt;=$G$4,'calculated data '!$A$4,D5482&lt;=$G$6,'calculated data '!$A$5,D5482&gt;=$G$6,'calculated data '!$A$6)</f>
        <v>Target Market (Core IQR)</v>
      </c>
      <c r="F5482" s="10">
        <f t="shared" si="1"/>
        <v>-0.3606462562</v>
      </c>
    </row>
    <row r="5483" ht="14.25" customHeight="1">
      <c r="A5483" s="2" t="s">
        <v>305</v>
      </c>
      <c r="B5483" s="2" t="s">
        <v>306</v>
      </c>
      <c r="C5483" s="2">
        <v>1991.0</v>
      </c>
      <c r="D5483" s="9">
        <v>11434.392</v>
      </c>
      <c r="E5483" s="10" t="str">
        <f t="array" ref="E5483">IFS(D5483&lt;=$G$3,'calculated data '!$A$3,D5483&lt;=$G$4,'calculated data '!$A$4,D5483&lt;=$G$6,'calculated data '!$A$5,D5483&gt;=$G$6,'calculated data '!$A$6)</f>
        <v>Target Market (Core IQR)</v>
      </c>
      <c r="F5483" s="10">
        <f t="shared" si="1"/>
        <v>-0.3605059665</v>
      </c>
    </row>
    <row r="5484" ht="14.25" customHeight="1">
      <c r="A5484" s="2" t="s">
        <v>315</v>
      </c>
      <c r="B5484" s="2" t="s">
        <v>316</v>
      </c>
      <c r="C5484" s="2">
        <v>2015.0</v>
      </c>
      <c r="D5484" s="9">
        <v>11441.152</v>
      </c>
      <c r="E5484" s="10" t="str">
        <f t="array" ref="E5484">IFS(D5484&lt;=$G$3,'calculated data '!$A$3,D5484&lt;=$G$4,'calculated data '!$A$4,D5484&lt;=$G$6,'calculated data '!$A$5,D5484&gt;=$G$6,'calculated data '!$A$6)</f>
        <v>Target Market (Core IQR)</v>
      </c>
      <c r="F5484" s="10">
        <f t="shared" si="1"/>
        <v>-0.360327031</v>
      </c>
    </row>
    <row r="5485" ht="14.25" customHeight="1">
      <c r="A5485" s="2" t="s">
        <v>203</v>
      </c>
      <c r="B5485" s="2" t="s">
        <v>204</v>
      </c>
      <c r="C5485" s="2">
        <v>2017.0</v>
      </c>
      <c r="D5485" s="9">
        <v>11447.519</v>
      </c>
      <c r="E5485" s="10" t="str">
        <f t="array" ref="E5485">IFS(D5485&lt;=$G$3,'calculated data '!$A$3,D5485&lt;=$G$4,'calculated data '!$A$4,D5485&lt;=$G$6,'calculated data '!$A$5,D5485&gt;=$G$6,'calculated data '!$A$6)</f>
        <v>Target Market (Core IQR)</v>
      </c>
      <c r="F5485" s="10">
        <f t="shared" si="1"/>
        <v>-0.3601584981</v>
      </c>
    </row>
    <row r="5486" ht="14.25" customHeight="1">
      <c r="A5486" s="2" t="s">
        <v>271</v>
      </c>
      <c r="B5486" s="2" t="s">
        <v>272</v>
      </c>
      <c r="C5486" s="2">
        <v>1979.0</v>
      </c>
      <c r="D5486" s="9">
        <v>11447.737</v>
      </c>
      <c r="E5486" s="10" t="str">
        <f t="array" ref="E5486">IFS(D5486&lt;=$G$3,'calculated data '!$A$3,D5486&lt;=$G$4,'calculated data '!$A$4,D5486&lt;=$G$6,'calculated data '!$A$5,D5486&gt;=$G$6,'calculated data '!$A$6)</f>
        <v>Target Market (Core IQR)</v>
      </c>
      <c r="F5486" s="10">
        <f t="shared" si="1"/>
        <v>-0.3601527277</v>
      </c>
    </row>
    <row r="5487" ht="14.25" customHeight="1">
      <c r="A5487" s="2" t="s">
        <v>293</v>
      </c>
      <c r="B5487" s="2" t="s">
        <v>294</v>
      </c>
      <c r="C5487" s="2">
        <v>2006.0</v>
      </c>
      <c r="D5487" s="9">
        <v>11458.0625</v>
      </c>
      <c r="E5487" s="10" t="str">
        <f t="array" ref="E5487">IFS(D5487&lt;=$G$3,'calculated data '!$A$3,D5487&lt;=$G$4,'calculated data '!$A$4,D5487&lt;=$G$6,'calculated data '!$A$5,D5487&gt;=$G$6,'calculated data '!$A$6)</f>
        <v>Target Market (Core IQR)</v>
      </c>
      <c r="F5487" s="10">
        <f t="shared" si="1"/>
        <v>-0.3598794143</v>
      </c>
    </row>
    <row r="5488" ht="14.25" customHeight="1">
      <c r="A5488" s="2" t="s">
        <v>257</v>
      </c>
      <c r="B5488" s="2" t="s">
        <v>258</v>
      </c>
      <c r="C5488" s="2">
        <v>1986.0</v>
      </c>
      <c r="D5488" s="9">
        <v>11458.153</v>
      </c>
      <c r="E5488" s="10" t="str">
        <f t="array" ref="E5488">IFS(D5488&lt;=$G$3,'calculated data '!$A$3,D5488&lt;=$G$4,'calculated data '!$A$4,D5488&lt;=$G$6,'calculated data '!$A$5,D5488&gt;=$G$6,'calculated data '!$A$6)</f>
        <v>Target Market (Core IQR)</v>
      </c>
      <c r="F5488" s="10">
        <f t="shared" si="1"/>
        <v>-0.3598770188</v>
      </c>
    </row>
    <row r="5489" ht="14.25" customHeight="1">
      <c r="A5489" s="2" t="s">
        <v>249</v>
      </c>
      <c r="B5489" s="2" t="s">
        <v>250</v>
      </c>
      <c r="C5489" s="2">
        <v>1986.0</v>
      </c>
      <c r="D5489" s="9">
        <v>11458.751</v>
      </c>
      <c r="E5489" s="10" t="str">
        <f t="array" ref="E5489">IFS(D5489&lt;=$G$3,'calculated data '!$A$3,D5489&lt;=$G$4,'calculated data '!$A$4,D5489&lt;=$G$6,'calculated data '!$A$5,D5489&gt;=$G$6,'calculated data '!$A$6)</f>
        <v>Target Market (Core IQR)</v>
      </c>
      <c r="F5489" s="10">
        <f t="shared" si="1"/>
        <v>-0.3598611899</v>
      </c>
    </row>
    <row r="5490" ht="14.25" customHeight="1">
      <c r="A5490" s="2" t="s">
        <v>273</v>
      </c>
      <c r="B5490" s="2" t="s">
        <v>274</v>
      </c>
      <c r="C5490" s="2">
        <v>2006.0</v>
      </c>
      <c r="D5490" s="9">
        <v>11465.782</v>
      </c>
      <c r="E5490" s="10" t="str">
        <f t="array" ref="E5490">IFS(D5490&lt;=$G$3,'calculated data '!$A$3,D5490&lt;=$G$4,'calculated data '!$A$4,D5490&lt;=$G$6,'calculated data '!$A$5,D5490&gt;=$G$6,'calculated data '!$A$6)</f>
        <v>Target Market (Core IQR)</v>
      </c>
      <c r="F5490" s="10">
        <f t="shared" si="1"/>
        <v>-0.3596750811</v>
      </c>
    </row>
    <row r="5491" ht="14.25" customHeight="1">
      <c r="A5491" s="2" t="s">
        <v>233</v>
      </c>
      <c r="B5491" s="2" t="s">
        <v>234</v>
      </c>
      <c r="C5491" s="2">
        <v>1987.0</v>
      </c>
      <c r="D5491" s="9">
        <v>11473.602</v>
      </c>
      <c r="E5491" s="10" t="str">
        <f t="array" ref="E5491">IFS(D5491&lt;=$G$3,'calculated data '!$A$3,D5491&lt;=$G$4,'calculated data '!$A$4,D5491&lt;=$G$6,'calculated data '!$A$5,D5491&gt;=$G$6,'calculated data '!$A$6)</f>
        <v>Target Market (Core IQR)</v>
      </c>
      <c r="F5491" s="10">
        <f t="shared" si="1"/>
        <v>-0.3594680876</v>
      </c>
    </row>
    <row r="5492" ht="14.25" customHeight="1">
      <c r="A5492" s="2" t="s">
        <v>305</v>
      </c>
      <c r="B5492" s="2" t="s">
        <v>306</v>
      </c>
      <c r="C5492" s="2">
        <v>1992.0</v>
      </c>
      <c r="D5492" s="9">
        <v>11476.847</v>
      </c>
      <c r="E5492" s="10" t="str">
        <f t="array" ref="E5492">IFS(D5492&lt;=$G$3,'calculated data '!$A$3,D5492&lt;=$G$4,'calculated data '!$A$4,D5492&lt;=$G$6,'calculated data '!$A$5,D5492&gt;=$G$6,'calculated data '!$A$6)</f>
        <v>Target Market (Core IQR)</v>
      </c>
      <c r="F5492" s="10">
        <f t="shared" si="1"/>
        <v>-0.3593821933</v>
      </c>
    </row>
    <row r="5493" ht="14.25" customHeight="1">
      <c r="A5493" s="2" t="s">
        <v>333</v>
      </c>
      <c r="B5493" s="2" t="s">
        <v>334</v>
      </c>
      <c r="C5493" s="2">
        <v>2016.0</v>
      </c>
      <c r="D5493" s="9">
        <v>11480.458</v>
      </c>
      <c r="E5493" s="10" t="str">
        <f t="array" ref="E5493">IFS(D5493&lt;=$G$3,'calculated data '!$A$3,D5493&lt;=$G$4,'calculated data '!$A$4,D5493&lt;=$G$6,'calculated data '!$A$5,D5493&gt;=$G$6,'calculated data '!$A$6)</f>
        <v>Target Market (Core IQR)</v>
      </c>
      <c r="F5493" s="10">
        <f t="shared" si="1"/>
        <v>-0.359286611</v>
      </c>
    </row>
    <row r="5494" ht="14.25" customHeight="1">
      <c r="A5494" s="2" t="s">
        <v>333</v>
      </c>
      <c r="B5494" s="2" t="s">
        <v>334</v>
      </c>
      <c r="C5494" s="2">
        <v>2014.0</v>
      </c>
      <c r="D5494" s="9">
        <v>11480.571</v>
      </c>
      <c r="E5494" s="10" t="str">
        <f t="array" ref="E5494">IFS(D5494&lt;=$G$3,'calculated data '!$A$3,D5494&lt;=$G$4,'calculated data '!$A$4,D5494&lt;=$G$6,'calculated data '!$A$5,D5494&gt;=$G$6,'calculated data '!$A$6)</f>
        <v>Target Market (Core IQR)</v>
      </c>
      <c r="F5494" s="10">
        <f t="shared" si="1"/>
        <v>-0.3592836199</v>
      </c>
    </row>
    <row r="5495" ht="14.25" customHeight="1">
      <c r="A5495" s="2" t="s">
        <v>231</v>
      </c>
      <c r="B5495" s="2" t="s">
        <v>232</v>
      </c>
      <c r="C5495" s="2">
        <v>1999.0</v>
      </c>
      <c r="D5495" s="9">
        <v>11480.891</v>
      </c>
      <c r="E5495" s="10" t="str">
        <f t="array" ref="E5495">IFS(D5495&lt;=$G$3,'calculated data '!$A$3,D5495&lt;=$G$4,'calculated data '!$A$4,D5495&lt;=$G$6,'calculated data '!$A$5,D5495&gt;=$G$6,'calculated data '!$A$6)</f>
        <v>Target Market (Core IQR)</v>
      </c>
      <c r="F5495" s="10">
        <f t="shared" si="1"/>
        <v>-0.3592751496</v>
      </c>
    </row>
    <row r="5496" ht="14.25" customHeight="1">
      <c r="A5496" s="2" t="s">
        <v>295</v>
      </c>
      <c r="B5496" s="2" t="s">
        <v>296</v>
      </c>
      <c r="C5496" s="2">
        <v>1999.0</v>
      </c>
      <c r="D5496" s="9">
        <v>11489.427</v>
      </c>
      <c r="E5496" s="10" t="str">
        <f t="array" ref="E5496">IFS(D5496&lt;=$G$3,'calculated data '!$A$3,D5496&lt;=$G$4,'calculated data '!$A$4,D5496&lt;=$G$6,'calculated data '!$A$5,D5496&gt;=$G$6,'calculated data '!$A$6)</f>
        <v>Target Market (Core IQR)</v>
      </c>
      <c r="F5496" s="10">
        <f t="shared" si="1"/>
        <v>-0.3590492038</v>
      </c>
    </row>
    <row r="5497" ht="14.25" customHeight="1">
      <c r="A5497" s="2" t="s">
        <v>235</v>
      </c>
      <c r="B5497" s="2" t="s">
        <v>236</v>
      </c>
      <c r="C5497" s="2">
        <v>1994.0</v>
      </c>
      <c r="D5497" s="9">
        <v>11490.828</v>
      </c>
      <c r="E5497" s="10" t="str">
        <f t="array" ref="E5497">IFS(D5497&lt;=$G$3,'calculated data '!$A$3,D5497&lt;=$G$4,'calculated data '!$A$4,D5497&lt;=$G$6,'calculated data '!$A$5,D5497&gt;=$G$6,'calculated data '!$A$6)</f>
        <v>Target Market (Core IQR)</v>
      </c>
      <c r="F5497" s="10">
        <f t="shared" si="1"/>
        <v>-0.3590121197</v>
      </c>
    </row>
    <row r="5498" ht="14.25" customHeight="1">
      <c r="A5498" s="2" t="s">
        <v>331</v>
      </c>
      <c r="B5498" s="2" t="s">
        <v>332</v>
      </c>
      <c r="C5498" s="2">
        <v>1969.0</v>
      </c>
      <c r="D5498" s="9">
        <v>11512.457</v>
      </c>
      <c r="E5498" s="10" t="str">
        <f t="array" ref="E5498">IFS(D5498&lt;=$G$3,'calculated data '!$A$3,D5498&lt;=$G$4,'calculated data '!$A$4,D5498&lt;=$G$6,'calculated data '!$A$5,D5498&gt;=$G$6,'calculated data '!$A$6)</f>
        <v>Target Market (Core IQR)</v>
      </c>
      <c r="F5498" s="10">
        <f t="shared" si="1"/>
        <v>-0.3584396054</v>
      </c>
    </row>
    <row r="5499" ht="14.25" customHeight="1">
      <c r="A5499" s="2" t="s">
        <v>321</v>
      </c>
      <c r="B5499" s="2" t="s">
        <v>322</v>
      </c>
      <c r="C5499" s="2">
        <v>2012.0</v>
      </c>
      <c r="D5499" s="9">
        <v>11512.604</v>
      </c>
      <c r="E5499" s="10" t="str">
        <f t="array" ref="E5499">IFS(D5499&lt;=$G$3,'calculated data '!$A$3,D5499&lt;=$G$4,'calculated data '!$A$4,D5499&lt;=$G$6,'calculated data '!$A$5,D5499&gt;=$G$6,'calculated data '!$A$6)</f>
        <v>Target Market (Core IQR)</v>
      </c>
      <c r="F5499" s="10">
        <f t="shared" si="1"/>
        <v>-0.3584357144</v>
      </c>
    </row>
    <row r="5500" ht="14.25" customHeight="1">
      <c r="A5500" s="2" t="s">
        <v>249</v>
      </c>
      <c r="B5500" s="2" t="s">
        <v>250</v>
      </c>
      <c r="C5500" s="2">
        <v>1988.0</v>
      </c>
      <c r="D5500" s="9">
        <v>11513.7</v>
      </c>
      <c r="E5500" s="10" t="str">
        <f t="array" ref="E5500">IFS(D5500&lt;=$G$3,'calculated data '!$A$3,D5500&lt;=$G$4,'calculated data '!$A$4,D5500&lt;=$G$6,'calculated data '!$A$5,D5500&gt;=$G$6,'calculated data '!$A$6)</f>
        <v>Target Market (Core IQR)</v>
      </c>
      <c r="F5500" s="10">
        <f t="shared" si="1"/>
        <v>-0.3584067035</v>
      </c>
    </row>
    <row r="5501" ht="14.25" customHeight="1">
      <c r="A5501" s="2" t="s">
        <v>333</v>
      </c>
      <c r="B5501" s="2" t="s">
        <v>334</v>
      </c>
      <c r="C5501" s="2">
        <v>2017.0</v>
      </c>
      <c r="D5501" s="9">
        <v>11529.927</v>
      </c>
      <c r="E5501" s="10" t="str">
        <f t="array" ref="E5501">IFS(D5501&lt;=$G$3,'calculated data '!$A$3,D5501&lt;=$G$4,'calculated data '!$A$4,D5501&lt;=$G$6,'calculated data '!$A$5,D5501&gt;=$G$6,'calculated data '!$A$6)</f>
        <v>Target Market (Core IQR)</v>
      </c>
      <c r="F5501" s="10">
        <f t="shared" si="1"/>
        <v>-0.3579771789</v>
      </c>
    </row>
    <row r="5502" ht="14.25" customHeight="1">
      <c r="A5502" s="2" t="s">
        <v>333</v>
      </c>
      <c r="B5502" s="2" t="s">
        <v>334</v>
      </c>
      <c r="C5502" s="2">
        <v>1997.0</v>
      </c>
      <c r="D5502" s="9">
        <v>11545.732</v>
      </c>
      <c r="E5502" s="10" t="str">
        <f t="array" ref="E5502">IFS(D5502&lt;=$G$3,'calculated data '!$A$3,D5502&lt;=$G$4,'calculated data '!$A$4,D5502&lt;=$G$6,'calculated data '!$A$5,D5502&gt;=$G$6,'calculated data '!$A$6)</f>
        <v>Target Market (Core IQR)</v>
      </c>
      <c r="F5502" s="10">
        <f t="shared" si="1"/>
        <v>-0.3575588245</v>
      </c>
    </row>
    <row r="5503" ht="14.25" customHeight="1">
      <c r="A5503" s="2" t="s">
        <v>259</v>
      </c>
      <c r="B5503" s="2" t="s">
        <v>260</v>
      </c>
      <c r="C5503" s="2">
        <v>2016.0</v>
      </c>
      <c r="D5503" s="9">
        <v>11547.974</v>
      </c>
      <c r="E5503" s="10" t="str">
        <f t="array" ref="E5503">IFS(D5503&lt;=$G$3,'calculated data '!$A$3,D5503&lt;=$G$4,'calculated data '!$A$4,D5503&lt;=$G$6,'calculated data '!$A$5,D5503&gt;=$G$6,'calculated data '!$A$6)</f>
        <v>Target Market (Core IQR)</v>
      </c>
      <c r="F5503" s="10">
        <f t="shared" si="1"/>
        <v>-0.3574994793</v>
      </c>
    </row>
    <row r="5504" ht="14.25" customHeight="1">
      <c r="A5504" s="2" t="s">
        <v>305</v>
      </c>
      <c r="B5504" s="2" t="s">
        <v>306</v>
      </c>
      <c r="C5504" s="2">
        <v>1984.0</v>
      </c>
      <c r="D5504" s="9">
        <v>11557.219</v>
      </c>
      <c r="E5504" s="10" t="str">
        <f t="array" ref="E5504">IFS(D5504&lt;=$G$3,'calculated data '!$A$3,D5504&lt;=$G$4,'calculated data '!$A$4,D5504&lt;=$G$6,'calculated data '!$A$5,D5504&gt;=$G$6,'calculated data '!$A$6)</f>
        <v>Target Market (Core IQR)</v>
      </c>
      <c r="F5504" s="10">
        <f t="shared" si="1"/>
        <v>-0.3572547664</v>
      </c>
    </row>
    <row r="5505" ht="14.25" customHeight="1">
      <c r="A5505" s="2" t="s">
        <v>287</v>
      </c>
      <c r="B5505" s="2" t="s">
        <v>288</v>
      </c>
      <c r="C5505" s="2">
        <v>2022.0</v>
      </c>
      <c r="D5505" s="9">
        <v>11560.575</v>
      </c>
      <c r="E5505" s="10" t="str">
        <f t="array" ref="E5505">IFS(D5505&lt;=$G$3,'calculated data '!$A$3,D5505&lt;=$G$4,'calculated data '!$A$4,D5505&lt;=$G$6,'calculated data '!$A$5,D5505&gt;=$G$6,'calculated data '!$A$6)</f>
        <v>Target Market (Core IQR)</v>
      </c>
      <c r="F5505" s="10">
        <f t="shared" si="1"/>
        <v>-0.357165934</v>
      </c>
    </row>
    <row r="5506" ht="14.25" customHeight="1">
      <c r="A5506" s="2" t="s">
        <v>329</v>
      </c>
      <c r="B5506" s="2" t="s">
        <v>330</v>
      </c>
      <c r="C5506" s="2">
        <v>1997.0</v>
      </c>
      <c r="D5506" s="9">
        <v>11563.958</v>
      </c>
      <c r="E5506" s="10" t="str">
        <f t="array" ref="E5506">IFS(D5506&lt;=$G$3,'calculated data '!$A$3,D5506&lt;=$G$4,'calculated data '!$A$4,D5506&lt;=$G$6,'calculated data '!$A$5,D5506&gt;=$G$6,'calculated data '!$A$6)</f>
        <v>Target Market (Core IQR)</v>
      </c>
      <c r="F5506" s="10">
        <f t="shared" si="1"/>
        <v>-0.3570763868</v>
      </c>
    </row>
    <row r="5507" ht="14.25" customHeight="1">
      <c r="A5507" s="2" t="s">
        <v>333</v>
      </c>
      <c r="B5507" s="2" t="s">
        <v>334</v>
      </c>
      <c r="C5507" s="2">
        <v>2001.0</v>
      </c>
      <c r="D5507" s="9">
        <v>11567.2295</v>
      </c>
      <c r="E5507" s="10" t="str">
        <f t="array" ref="E5507">IFS(D5507&lt;=$G$3,'calculated data '!$A$3,D5507&lt;=$G$4,'calculated data '!$A$4,D5507&lt;=$G$6,'calculated data '!$A$5,D5507&gt;=$G$6,'calculated data '!$A$6)</f>
        <v>Target Market (Core IQR)</v>
      </c>
      <c r="F5507" s="10">
        <f t="shared" si="1"/>
        <v>-0.356989791</v>
      </c>
    </row>
    <row r="5508" ht="14.25" customHeight="1">
      <c r="A5508" s="2" t="s">
        <v>227</v>
      </c>
      <c r="B5508" s="2" t="s">
        <v>228</v>
      </c>
      <c r="C5508" s="2">
        <v>2009.0</v>
      </c>
      <c r="D5508" s="9">
        <v>11574.39</v>
      </c>
      <c r="E5508" s="10" t="str">
        <f t="array" ref="E5508">IFS(D5508&lt;=$G$3,'calculated data '!$A$3,D5508&lt;=$G$4,'calculated data '!$A$4,D5508&lt;=$G$6,'calculated data '!$A$5,D5508&gt;=$G$6,'calculated data '!$A$6)</f>
        <v>Target Market (Core IQR)</v>
      </c>
      <c r="F5508" s="10">
        <f t="shared" si="1"/>
        <v>-0.3568002544</v>
      </c>
    </row>
    <row r="5509" ht="14.25" customHeight="1">
      <c r="A5509" s="2" t="s">
        <v>271</v>
      </c>
      <c r="B5509" s="2" t="s">
        <v>272</v>
      </c>
      <c r="C5509" s="2">
        <v>1980.0</v>
      </c>
      <c r="D5509" s="9">
        <v>11581.25</v>
      </c>
      <c r="E5509" s="10" t="str">
        <f t="array" ref="E5509">IFS(D5509&lt;=$G$3,'calculated data '!$A$3,D5509&lt;=$G$4,'calculated data '!$A$4,D5509&lt;=$G$6,'calculated data '!$A$5,D5509&gt;=$G$6,'calculated data '!$A$6)</f>
        <v>Target Market (Core IQR)</v>
      </c>
      <c r="F5509" s="10">
        <f t="shared" si="1"/>
        <v>-0.3566186719</v>
      </c>
    </row>
    <row r="5510" ht="14.25" customHeight="1">
      <c r="A5510" s="2" t="s">
        <v>303</v>
      </c>
      <c r="B5510" s="2" t="s">
        <v>304</v>
      </c>
      <c r="C5510" s="2">
        <v>1982.0</v>
      </c>
      <c r="D5510" s="9">
        <v>11584.162</v>
      </c>
      <c r="E5510" s="10" t="str">
        <f t="array" ref="E5510">IFS(D5510&lt;=$G$3,'calculated data '!$A$3,D5510&lt;=$G$4,'calculated data '!$A$4,D5510&lt;=$G$6,'calculated data '!$A$5,D5510&gt;=$G$6,'calculated data '!$A$6)</f>
        <v>Target Market (Core IQR)</v>
      </c>
      <c r="F5510" s="10">
        <f t="shared" si="1"/>
        <v>-0.3565415919</v>
      </c>
    </row>
    <row r="5511" ht="14.25" customHeight="1">
      <c r="A5511" s="2" t="s">
        <v>141</v>
      </c>
      <c r="B5511" s="2" t="s">
        <v>142</v>
      </c>
      <c r="C5511" s="2">
        <v>2000.0</v>
      </c>
      <c r="D5511" s="9">
        <v>11587.268</v>
      </c>
      <c r="E5511" s="10" t="str">
        <f t="array" ref="E5511">IFS(D5511&lt;=$G$3,'calculated data '!$A$3,D5511&lt;=$G$4,'calculated data '!$A$4,D5511&lt;=$G$6,'calculated data '!$A$5,D5511&gt;=$G$6,'calculated data '!$A$6)</f>
        <v>Target Market (Core IQR)</v>
      </c>
      <c r="F5511" s="10">
        <f t="shared" si="1"/>
        <v>-0.3564593769</v>
      </c>
    </row>
    <row r="5512" ht="14.25" customHeight="1">
      <c r="A5512" s="2" t="s">
        <v>221</v>
      </c>
      <c r="B5512" s="2" t="s">
        <v>222</v>
      </c>
      <c r="C5512" s="2">
        <v>1979.0</v>
      </c>
      <c r="D5512" s="9">
        <v>11595.21</v>
      </c>
      <c r="E5512" s="10" t="str">
        <f t="array" ref="E5512">IFS(D5512&lt;=$G$3,'calculated data '!$A$3,D5512&lt;=$G$4,'calculated data '!$A$4,D5512&lt;=$G$6,'calculated data '!$A$5,D5512&gt;=$G$6,'calculated data '!$A$6)</f>
        <v>Target Market (Core IQR)</v>
      </c>
      <c r="F5512" s="10">
        <f t="shared" si="1"/>
        <v>-0.3562491541</v>
      </c>
    </row>
    <row r="5513" ht="14.25" customHeight="1">
      <c r="A5513" s="2" t="s">
        <v>257</v>
      </c>
      <c r="B5513" s="2" t="s">
        <v>258</v>
      </c>
      <c r="C5513" s="2">
        <v>1983.0</v>
      </c>
      <c r="D5513" s="9">
        <v>11598.094</v>
      </c>
      <c r="E5513" s="10" t="str">
        <f t="array" ref="E5513">IFS(D5513&lt;=$G$3,'calculated data '!$A$3,D5513&lt;=$G$4,'calculated data '!$A$4,D5513&lt;=$G$6,'calculated data '!$A$5,D5513&gt;=$G$6,'calculated data '!$A$6)</f>
        <v>Target Market (Core IQR)</v>
      </c>
      <c r="F5513" s="10">
        <f t="shared" si="1"/>
        <v>-0.3561728154</v>
      </c>
    </row>
    <row r="5514" ht="14.25" customHeight="1">
      <c r="A5514" s="2" t="s">
        <v>313</v>
      </c>
      <c r="B5514" s="2" t="s">
        <v>314</v>
      </c>
      <c r="C5514" s="2">
        <v>1992.0</v>
      </c>
      <c r="D5514" s="9">
        <v>11606.509</v>
      </c>
      <c r="E5514" s="10" t="str">
        <f t="array" ref="E5514">IFS(D5514&lt;=$G$3,'calculated data '!$A$3,D5514&lt;=$G$4,'calculated data '!$A$4,D5514&lt;=$G$6,'calculated data '!$A$5,D5514&gt;=$G$6,'calculated data '!$A$6)</f>
        <v>Target Market (Core IQR)</v>
      </c>
      <c r="F5514" s="10">
        <f t="shared" si="1"/>
        <v>-0.3559500724</v>
      </c>
    </row>
    <row r="5515" ht="14.25" customHeight="1">
      <c r="A5515" s="2" t="s">
        <v>269</v>
      </c>
      <c r="B5515" s="2" t="s">
        <v>270</v>
      </c>
      <c r="C5515" s="2">
        <v>2011.0</v>
      </c>
      <c r="D5515" s="9">
        <v>11615.845</v>
      </c>
      <c r="E5515" s="10" t="str">
        <f t="array" ref="E5515">IFS(D5515&lt;=$G$3,'calculated data '!$A$3,D5515&lt;=$G$4,'calculated data '!$A$4,D5515&lt;=$G$6,'calculated data '!$A$5,D5515&gt;=$G$6,'calculated data '!$A$6)</f>
        <v>Target Market (Core IQR)</v>
      </c>
      <c r="F5515" s="10">
        <f t="shared" si="1"/>
        <v>-0.3557029508</v>
      </c>
    </row>
    <row r="5516" ht="14.25" customHeight="1">
      <c r="A5516" s="2" t="s">
        <v>335</v>
      </c>
      <c r="B5516" s="2" t="s">
        <v>336</v>
      </c>
      <c r="C5516" s="2">
        <v>1968.0</v>
      </c>
      <c r="D5516" s="9">
        <v>11616.125</v>
      </c>
      <c r="E5516" s="10" t="str">
        <f t="array" ref="E5516">IFS(D5516&lt;=$G$3,'calculated data '!$A$3,D5516&lt;=$G$4,'calculated data '!$A$4,D5516&lt;=$G$6,'calculated data '!$A$5,D5516&gt;=$G$6,'calculated data '!$A$6)</f>
        <v>Target Market (Core IQR)</v>
      </c>
      <c r="F5516" s="10">
        <f t="shared" si="1"/>
        <v>-0.3556955393</v>
      </c>
    </row>
    <row r="5517" ht="14.25" customHeight="1">
      <c r="A5517" s="2" t="s">
        <v>317</v>
      </c>
      <c r="B5517" s="2" t="s">
        <v>318</v>
      </c>
      <c r="C5517" s="2">
        <v>2003.0</v>
      </c>
      <c r="D5517" s="9">
        <v>11616.601</v>
      </c>
      <c r="E5517" s="10" t="str">
        <f t="array" ref="E5517">IFS(D5517&lt;=$G$3,'calculated data '!$A$3,D5517&lt;=$G$4,'calculated data '!$A$4,D5517&lt;=$G$6,'calculated data '!$A$5,D5517&gt;=$G$6,'calculated data '!$A$6)</f>
        <v>Target Market (Core IQR)</v>
      </c>
      <c r="F5517" s="10">
        <f t="shared" si="1"/>
        <v>-0.3556829397</v>
      </c>
    </row>
    <row r="5518" ht="14.25" customHeight="1">
      <c r="A5518" s="2" t="s">
        <v>333</v>
      </c>
      <c r="B5518" s="2" t="s">
        <v>334</v>
      </c>
      <c r="C5518" s="2">
        <v>1990.0</v>
      </c>
      <c r="D5518" s="9">
        <v>11628.393</v>
      </c>
      <c r="E5518" s="10" t="str">
        <f t="array" ref="E5518">IFS(D5518&lt;=$G$3,'calculated data '!$A$3,D5518&lt;=$G$4,'calculated data '!$A$4,D5518&lt;=$G$6,'calculated data '!$A$5,D5518&gt;=$G$6,'calculated data '!$A$6)</f>
        <v>Target Market (Core IQR)</v>
      </c>
      <c r="F5518" s="10">
        <f t="shared" si="1"/>
        <v>-0.3553708084</v>
      </c>
    </row>
    <row r="5519" ht="14.25" customHeight="1">
      <c r="A5519" s="2" t="s">
        <v>315</v>
      </c>
      <c r="B5519" s="2" t="s">
        <v>316</v>
      </c>
      <c r="C5519" s="2">
        <v>2016.0</v>
      </c>
      <c r="D5519" s="9">
        <v>11629.28</v>
      </c>
      <c r="E5519" s="10" t="str">
        <f t="array" ref="E5519">IFS(D5519&lt;=$G$3,'calculated data '!$A$3,D5519&lt;=$G$4,'calculated data '!$A$4,D5519&lt;=$G$6,'calculated data '!$A$5,D5519&gt;=$G$6,'calculated data '!$A$6)</f>
        <v>Target Market (Core IQR)</v>
      </c>
      <c r="F5519" s="10">
        <f t="shared" si="1"/>
        <v>-0.3553473297</v>
      </c>
    </row>
    <row r="5520" ht="14.25" customHeight="1">
      <c r="A5520" s="2" t="s">
        <v>333</v>
      </c>
      <c r="B5520" s="2" t="s">
        <v>334</v>
      </c>
      <c r="C5520" s="2">
        <v>1981.0</v>
      </c>
      <c r="D5520" s="9">
        <v>11631.365</v>
      </c>
      <c r="E5520" s="10" t="str">
        <f t="array" ref="E5520">IFS(D5520&lt;=$G$3,'calculated data '!$A$3,D5520&lt;=$G$4,'calculated data '!$A$4,D5520&lt;=$G$6,'calculated data '!$A$5,D5520&gt;=$G$6,'calculated data '!$A$6)</f>
        <v>Target Market (Core IQR)</v>
      </c>
      <c r="F5520" s="10">
        <f t="shared" si="1"/>
        <v>-0.3552921403</v>
      </c>
    </row>
    <row r="5521" ht="14.25" customHeight="1">
      <c r="A5521" s="2" t="s">
        <v>329</v>
      </c>
      <c r="B5521" s="2" t="s">
        <v>330</v>
      </c>
      <c r="C5521" s="2">
        <v>1999.0</v>
      </c>
      <c r="D5521" s="9">
        <v>11642.756</v>
      </c>
      <c r="E5521" s="10" t="str">
        <f t="array" ref="E5521">IFS(D5521&lt;=$G$3,'calculated data '!$A$3,D5521&lt;=$G$4,'calculated data '!$A$4,D5521&lt;=$G$6,'calculated data '!$A$5,D5521&gt;=$G$6,'calculated data '!$A$6)</f>
        <v>Target Market (Core IQR)</v>
      </c>
      <c r="F5521" s="10">
        <f t="shared" si="1"/>
        <v>-0.3549906234</v>
      </c>
    </row>
    <row r="5522" ht="14.25" customHeight="1">
      <c r="A5522" s="2" t="s">
        <v>45</v>
      </c>
      <c r="B5522" s="2" t="s">
        <v>46</v>
      </c>
      <c r="C5522" s="2">
        <v>1997.0</v>
      </c>
      <c r="D5522" s="9">
        <v>11655.383</v>
      </c>
      <c r="E5522" s="10" t="str">
        <f t="array" ref="E5522">IFS(D5522&lt;=$G$3,'calculated data '!$A$3,D5522&lt;=$G$4,'calculated data '!$A$4,D5522&lt;=$G$6,'calculated data '!$A$5,D5522&gt;=$G$6,'calculated data '!$A$6)</f>
        <v>Target Market (Core IQR)</v>
      </c>
      <c r="F5522" s="10">
        <f t="shared" si="1"/>
        <v>-0.3546563898</v>
      </c>
    </row>
    <row r="5523" ht="14.25" customHeight="1">
      <c r="A5523" s="2" t="s">
        <v>133</v>
      </c>
      <c r="B5523" s="2" t="s">
        <v>134</v>
      </c>
      <c r="C5523" s="2">
        <v>2023.0</v>
      </c>
      <c r="D5523" s="9">
        <v>11659.87</v>
      </c>
      <c r="E5523" s="10" t="str">
        <f t="array" ref="E5523">IFS(D5523&lt;=$G$3,'calculated data '!$A$3,D5523&lt;=$G$4,'calculated data '!$A$4,D5523&lt;=$G$6,'calculated data '!$A$5,D5523&gt;=$G$6,'calculated data '!$A$6)</f>
        <v>Target Market (Core IQR)</v>
      </c>
      <c r="F5523" s="10">
        <f t="shared" si="1"/>
        <v>-0.35453762</v>
      </c>
    </row>
    <row r="5524" ht="14.25" customHeight="1">
      <c r="A5524" s="2" t="s">
        <v>263</v>
      </c>
      <c r="B5524" s="2" t="s">
        <v>264</v>
      </c>
      <c r="C5524" s="2">
        <v>2023.0</v>
      </c>
      <c r="D5524" s="9">
        <v>11660.211</v>
      </c>
      <c r="E5524" s="10" t="str">
        <f t="array" ref="E5524">IFS(D5524&lt;=$G$3,'calculated data '!$A$3,D5524&lt;=$G$4,'calculated data '!$A$4,D5524&lt;=$G$6,'calculated data '!$A$5,D5524&gt;=$G$6,'calculated data '!$A$6)</f>
        <v>Target Market (Core IQR)</v>
      </c>
      <c r="F5524" s="10">
        <f t="shared" si="1"/>
        <v>-0.3545285939</v>
      </c>
    </row>
    <row r="5525" ht="14.25" customHeight="1">
      <c r="A5525" s="2" t="s">
        <v>231</v>
      </c>
      <c r="B5525" s="2" t="s">
        <v>232</v>
      </c>
      <c r="C5525" s="2">
        <v>1997.0</v>
      </c>
      <c r="D5525" s="9">
        <v>11660.664</v>
      </c>
      <c r="E5525" s="10" t="str">
        <f t="array" ref="E5525">IFS(D5525&lt;=$G$3,'calculated data '!$A$3,D5525&lt;=$G$4,'calculated data '!$A$4,D5525&lt;=$G$6,'calculated data '!$A$5,D5525&gt;=$G$6,'calculated data '!$A$6)</f>
        <v>Target Market (Core IQR)</v>
      </c>
      <c r="F5525" s="10">
        <f t="shared" si="1"/>
        <v>-0.3545166031</v>
      </c>
    </row>
    <row r="5526" ht="14.25" customHeight="1">
      <c r="A5526" s="2" t="s">
        <v>207</v>
      </c>
      <c r="B5526" s="2" t="s">
        <v>208</v>
      </c>
      <c r="C5526" s="2">
        <v>2007.0</v>
      </c>
      <c r="D5526" s="9">
        <v>11676.908</v>
      </c>
      <c r="E5526" s="10" t="str">
        <f t="array" ref="E5526">IFS(D5526&lt;=$G$3,'calculated data '!$A$3,D5526&lt;=$G$4,'calculated data '!$A$4,D5526&lt;=$G$6,'calculated data '!$A$5,D5526&gt;=$G$6,'calculated data '!$A$6)</f>
        <v>Target Market (Core IQR)</v>
      </c>
      <c r="F5526" s="10">
        <f t="shared" si="1"/>
        <v>-0.3540866284</v>
      </c>
    </row>
    <row r="5527" ht="14.25" customHeight="1">
      <c r="A5527" s="2" t="s">
        <v>327</v>
      </c>
      <c r="B5527" s="2" t="s">
        <v>328</v>
      </c>
      <c r="C5527" s="2">
        <v>2017.0</v>
      </c>
      <c r="D5527" s="9">
        <v>11680.155</v>
      </c>
      <c r="E5527" s="10" t="str">
        <f t="array" ref="E5527">IFS(D5527&lt;=$G$3,'calculated data '!$A$3,D5527&lt;=$G$4,'calculated data '!$A$4,D5527&lt;=$G$6,'calculated data '!$A$5,D5527&gt;=$G$6,'calculated data '!$A$6)</f>
        <v>Target Market (Core IQR)</v>
      </c>
      <c r="F5527" s="10">
        <f t="shared" si="1"/>
        <v>-0.3540006811</v>
      </c>
    </row>
    <row r="5528" ht="14.25" customHeight="1">
      <c r="A5528" s="2" t="s">
        <v>257</v>
      </c>
      <c r="B5528" s="2" t="s">
        <v>258</v>
      </c>
      <c r="C5528" s="2">
        <v>1988.0</v>
      </c>
      <c r="D5528" s="9">
        <v>11683.505</v>
      </c>
      <c r="E5528" s="10" t="str">
        <f t="array" ref="E5528">IFS(D5528&lt;=$G$3,'calculated data '!$A$3,D5528&lt;=$G$4,'calculated data '!$A$4,D5528&lt;=$G$6,'calculated data '!$A$5,D5528&gt;=$G$6,'calculated data '!$A$6)</f>
        <v>Target Market (Core IQR)</v>
      </c>
      <c r="F5528" s="10">
        <f t="shared" si="1"/>
        <v>-0.3539120075</v>
      </c>
    </row>
    <row r="5529" ht="14.25" customHeight="1">
      <c r="A5529" s="2" t="s">
        <v>285</v>
      </c>
      <c r="B5529" s="2" t="s">
        <v>286</v>
      </c>
      <c r="C5529" s="2">
        <v>1992.0</v>
      </c>
      <c r="D5529" s="9">
        <v>11685.422</v>
      </c>
      <c r="E5529" s="10" t="str">
        <f t="array" ref="E5529">IFS(D5529&lt;=$G$3,'calculated data '!$A$3,D5529&lt;=$G$4,'calculated data '!$A$4,D5529&lt;=$G$6,'calculated data '!$A$5,D5529&gt;=$G$6,'calculated data '!$A$6)</f>
        <v>Target Market (Core IQR)</v>
      </c>
      <c r="F5529" s="10">
        <f t="shared" si="1"/>
        <v>-0.353861265</v>
      </c>
    </row>
    <row r="5530" ht="14.25" customHeight="1">
      <c r="A5530" s="2" t="s">
        <v>191</v>
      </c>
      <c r="B5530" s="2" t="s">
        <v>192</v>
      </c>
      <c r="C5530" s="2">
        <v>2024.0</v>
      </c>
      <c r="D5530" s="9">
        <v>11692.853</v>
      </c>
      <c r="E5530" s="10" t="str">
        <f t="array" ref="E5530">IFS(D5530&lt;=$G$3,'calculated data '!$A$3,D5530&lt;=$G$4,'calculated data '!$A$4,D5530&lt;=$G$6,'calculated data '!$A$5,D5530&gt;=$G$6,'calculated data '!$A$6)</f>
        <v>Target Market (Core IQR)</v>
      </c>
      <c r="F5530" s="10">
        <f t="shared" si="1"/>
        <v>-0.3536645682</v>
      </c>
    </row>
    <row r="5531" ht="14.25" customHeight="1">
      <c r="A5531" s="2" t="s">
        <v>329</v>
      </c>
      <c r="B5531" s="2" t="s">
        <v>330</v>
      </c>
      <c r="C5531" s="2">
        <v>2003.0</v>
      </c>
      <c r="D5531" s="9">
        <v>11703.2295</v>
      </c>
      <c r="E5531" s="10" t="str">
        <f t="array" ref="E5531">IFS(D5531&lt;=$G$3,'calculated data '!$A$3,D5531&lt;=$G$4,'calculated data '!$A$4,D5531&lt;=$G$6,'calculated data '!$A$5,D5531&gt;=$G$6,'calculated data '!$A$6)</f>
        <v>Target Market (Core IQR)</v>
      </c>
      <c r="F5531" s="10">
        <f t="shared" si="1"/>
        <v>-0.3533899049</v>
      </c>
    </row>
    <row r="5532" ht="14.25" customHeight="1">
      <c r="A5532" s="2" t="s">
        <v>327</v>
      </c>
      <c r="B5532" s="2" t="s">
        <v>328</v>
      </c>
      <c r="C5532" s="2">
        <v>1983.0</v>
      </c>
      <c r="D5532" s="9">
        <v>11703.501</v>
      </c>
      <c r="E5532" s="10" t="str">
        <f t="array" ref="E5532">IFS(D5532&lt;=$G$3,'calculated data '!$A$3,D5532&lt;=$G$4,'calculated data '!$A$4,D5532&lt;=$G$6,'calculated data '!$A$5,D5532&gt;=$G$6,'calculated data '!$A$6)</f>
        <v>Target Market (Core IQR)</v>
      </c>
      <c r="F5532" s="10">
        <f t="shared" si="1"/>
        <v>-0.3533827183</v>
      </c>
    </row>
    <row r="5533" ht="14.25" customHeight="1">
      <c r="A5533" s="2" t="s">
        <v>229</v>
      </c>
      <c r="B5533" s="2" t="s">
        <v>230</v>
      </c>
      <c r="C5533" s="2">
        <v>2004.0</v>
      </c>
      <c r="D5533" s="9">
        <v>11703.623</v>
      </c>
      <c r="E5533" s="10" t="str">
        <f t="array" ref="E5533">IFS(D5533&lt;=$G$3,'calculated data '!$A$3,D5533&lt;=$G$4,'calculated data '!$A$4,D5533&lt;=$G$6,'calculated data '!$A$5,D5533&gt;=$G$6,'calculated data '!$A$6)</f>
        <v>Target Market (Core IQR)</v>
      </c>
      <c r="F5533" s="10">
        <f t="shared" si="1"/>
        <v>-0.353379489</v>
      </c>
    </row>
    <row r="5534" ht="14.25" customHeight="1">
      <c r="A5534" s="2" t="s">
        <v>327</v>
      </c>
      <c r="B5534" s="2" t="s">
        <v>328</v>
      </c>
      <c r="C5534" s="2">
        <v>2012.0</v>
      </c>
      <c r="D5534" s="9">
        <v>11726.472</v>
      </c>
      <c r="E5534" s="10" t="str">
        <f t="array" ref="E5534">IFS(D5534&lt;=$G$3,'calculated data '!$A$3,D5534&lt;=$G$4,'calculated data '!$A$4,D5534&lt;=$G$6,'calculated data '!$A$5,D5534&gt;=$G$6,'calculated data '!$A$6)</f>
        <v>Target Market (Core IQR)</v>
      </c>
      <c r="F5534" s="10">
        <f t="shared" si="1"/>
        <v>-0.3527746817</v>
      </c>
    </row>
    <row r="5535" ht="14.25" customHeight="1">
      <c r="A5535" s="2" t="s">
        <v>333</v>
      </c>
      <c r="B5535" s="2" t="s">
        <v>334</v>
      </c>
      <c r="C5535" s="2">
        <v>1994.0</v>
      </c>
      <c r="D5535" s="9">
        <v>11733.036</v>
      </c>
      <c r="E5535" s="10" t="str">
        <f t="array" ref="E5535">IFS(D5535&lt;=$G$3,'calculated data '!$A$3,D5535&lt;=$G$4,'calculated data '!$A$4,D5535&lt;=$G$6,'calculated data '!$A$5,D5535&gt;=$G$6,'calculated data '!$A$6)</f>
        <v>Target Market (Core IQR)</v>
      </c>
      <c r="F5535" s="10">
        <f t="shared" si="1"/>
        <v>-0.3526009342</v>
      </c>
    </row>
    <row r="5536" ht="14.25" customHeight="1">
      <c r="A5536" s="2" t="s">
        <v>299</v>
      </c>
      <c r="B5536" s="2" t="s">
        <v>300</v>
      </c>
      <c r="C5536" s="2">
        <v>1993.0</v>
      </c>
      <c r="D5536" s="9">
        <v>11733.349</v>
      </c>
      <c r="E5536" s="10" t="str">
        <f t="array" ref="E5536">IFS(D5536&lt;=$G$3,'calculated data '!$A$3,D5536&lt;=$G$4,'calculated data '!$A$4,D5536&lt;=$G$6,'calculated data '!$A$5,D5536&gt;=$G$6,'calculated data '!$A$6)</f>
        <v>Target Market (Core IQR)</v>
      </c>
      <c r="F5536" s="10">
        <f t="shared" si="1"/>
        <v>-0.3525926492</v>
      </c>
    </row>
    <row r="5537" ht="14.25" customHeight="1">
      <c r="A5537" s="2" t="s">
        <v>39</v>
      </c>
      <c r="B5537" s="2" t="s">
        <v>40</v>
      </c>
      <c r="C5537" s="2">
        <v>1988.0</v>
      </c>
      <c r="D5537" s="9">
        <v>11740.649</v>
      </c>
      <c r="E5537" s="10" t="str">
        <f t="array" ref="E5537">IFS(D5537&lt;=$G$3,'calculated data '!$A$3,D5537&lt;=$G$4,'calculated data '!$A$4,D5537&lt;=$G$6,'calculated data '!$A$5,D5537&gt;=$G$6,'calculated data '!$A$6)</f>
        <v>Target Market (Core IQR)</v>
      </c>
      <c r="F5537" s="10">
        <f t="shared" si="1"/>
        <v>-0.35239942</v>
      </c>
    </row>
    <row r="5538" ht="14.25" customHeight="1">
      <c r="A5538" s="2" t="s">
        <v>231</v>
      </c>
      <c r="B5538" s="2" t="s">
        <v>232</v>
      </c>
      <c r="C5538" s="2">
        <v>1998.0</v>
      </c>
      <c r="D5538" s="9">
        <v>11745.665</v>
      </c>
      <c r="E5538" s="10" t="str">
        <f t="array" ref="E5538">IFS(D5538&lt;=$G$3,'calculated data '!$A$3,D5538&lt;=$G$4,'calculated data '!$A$4,D5538&lt;=$G$6,'calculated data '!$A$5,D5538&gt;=$G$6,'calculated data '!$A$6)</f>
        <v>Target Market (Core IQR)</v>
      </c>
      <c r="F5538" s="10">
        <f t="shared" si="1"/>
        <v>-0.3522666478</v>
      </c>
    </row>
    <row r="5539" ht="14.25" customHeight="1">
      <c r="A5539" s="2" t="s">
        <v>329</v>
      </c>
      <c r="B5539" s="2" t="s">
        <v>330</v>
      </c>
      <c r="C5539" s="2">
        <v>2002.0</v>
      </c>
      <c r="D5539" s="9">
        <v>11751.034</v>
      </c>
      <c r="E5539" s="10" t="str">
        <f t="array" ref="E5539">IFS(D5539&lt;=$G$3,'calculated data '!$A$3,D5539&lt;=$G$4,'calculated data '!$A$4,D5539&lt;=$G$6,'calculated data '!$A$5,D5539&gt;=$G$6,'calculated data '!$A$6)</f>
        <v>Target Market (Core IQR)</v>
      </c>
      <c r="F5539" s="10">
        <f t="shared" si="1"/>
        <v>-0.3521245317</v>
      </c>
    </row>
    <row r="5540" ht="14.25" customHeight="1">
      <c r="A5540" s="2" t="s">
        <v>233</v>
      </c>
      <c r="B5540" s="2" t="s">
        <v>234</v>
      </c>
      <c r="C5540" s="2">
        <v>2008.0</v>
      </c>
      <c r="D5540" s="9">
        <v>11755.6045</v>
      </c>
      <c r="E5540" s="10" t="str">
        <f t="array" ref="E5540">IFS(D5540&lt;=$G$3,'calculated data '!$A$3,D5540&lt;=$G$4,'calculated data '!$A$4,D5540&lt;=$G$6,'calculated data '!$A$5,D5540&gt;=$G$6,'calculated data '!$A$6)</f>
        <v>Target Market (Core IQR)</v>
      </c>
      <c r="F5540" s="10">
        <f t="shared" si="1"/>
        <v>-0.3520035517</v>
      </c>
    </row>
    <row r="5541" ht="14.25" customHeight="1">
      <c r="A5541" s="2" t="s">
        <v>327</v>
      </c>
      <c r="B5541" s="2" t="s">
        <v>328</v>
      </c>
      <c r="C5541" s="2">
        <v>2022.0</v>
      </c>
      <c r="D5541" s="9">
        <v>11773.948</v>
      </c>
      <c r="E5541" s="10" t="str">
        <f t="array" ref="E5541">IFS(D5541&lt;=$G$3,'calculated data '!$A$3,D5541&lt;=$G$4,'calculated data '!$A$4,D5541&lt;=$G$6,'calculated data '!$A$5,D5541&gt;=$G$6,'calculated data '!$A$6)</f>
        <v>Target Market (Core IQR)</v>
      </c>
      <c r="F5541" s="10">
        <f t="shared" si="1"/>
        <v>-0.3515180038</v>
      </c>
    </row>
    <row r="5542" ht="14.25" customHeight="1">
      <c r="A5542" s="2" t="s">
        <v>333</v>
      </c>
      <c r="B5542" s="2" t="s">
        <v>334</v>
      </c>
      <c r="C5542" s="2">
        <v>2008.0</v>
      </c>
      <c r="D5542" s="9">
        <v>11778.231</v>
      </c>
      <c r="E5542" s="10" t="str">
        <f t="array" ref="E5542">IFS(D5542&lt;=$G$3,'calculated data '!$A$3,D5542&lt;=$G$4,'calculated data '!$A$4,D5542&lt;=$G$6,'calculated data '!$A$5,D5542&gt;=$G$6,'calculated data '!$A$6)</f>
        <v>Target Market (Core IQR)</v>
      </c>
      <c r="F5542" s="10">
        <f t="shared" si="1"/>
        <v>-0.3514046339</v>
      </c>
    </row>
    <row r="5543" ht="14.25" customHeight="1">
      <c r="A5543" s="2" t="s">
        <v>333</v>
      </c>
      <c r="B5543" s="2" t="s">
        <v>334</v>
      </c>
      <c r="C5543" s="2">
        <v>1989.0</v>
      </c>
      <c r="D5543" s="9">
        <v>11786.406</v>
      </c>
      <c r="E5543" s="10" t="str">
        <f t="array" ref="E5543">IFS(D5543&lt;=$G$3,'calculated data '!$A$3,D5543&lt;=$G$4,'calculated data '!$A$4,D5543&lt;=$G$6,'calculated data '!$A$5,D5543&gt;=$G$6,'calculated data '!$A$6)</f>
        <v>Target Market (Core IQR)</v>
      </c>
      <c r="F5543" s="10">
        <f t="shared" si="1"/>
        <v>-0.3511882436</v>
      </c>
    </row>
    <row r="5544" ht="14.25" customHeight="1">
      <c r="A5544" s="2" t="s">
        <v>321</v>
      </c>
      <c r="B5544" s="2" t="s">
        <v>322</v>
      </c>
      <c r="C5544" s="2">
        <v>2010.0</v>
      </c>
      <c r="D5544" s="9">
        <v>11787.549</v>
      </c>
      <c r="E5544" s="10" t="str">
        <f t="array" ref="E5544">IFS(D5544&lt;=$G$3,'calculated data '!$A$3,D5544&lt;=$G$4,'calculated data '!$A$4,D5544&lt;=$G$6,'calculated data '!$A$5,D5544&gt;=$G$6,'calculated data '!$A$6)</f>
        <v>Target Market (Core IQR)</v>
      </c>
      <c r="F5544" s="10">
        <f t="shared" si="1"/>
        <v>-0.3511579887</v>
      </c>
    </row>
    <row r="5545" ht="14.25" customHeight="1">
      <c r="A5545" s="2" t="s">
        <v>51</v>
      </c>
      <c r="B5545" s="2" t="s">
        <v>52</v>
      </c>
      <c r="C5545" s="2">
        <v>2020.0</v>
      </c>
      <c r="D5545" s="9">
        <v>11798.361</v>
      </c>
      <c r="E5545" s="10" t="str">
        <f t="array" ref="E5545">IFS(D5545&lt;=$G$3,'calculated data '!$A$3,D5545&lt;=$G$4,'calculated data '!$A$4,D5545&lt;=$G$6,'calculated data '!$A$5,D5545&gt;=$G$6,'calculated data '!$A$6)</f>
        <v>Target Market (Core IQR)</v>
      </c>
      <c r="F5545" s="10">
        <f t="shared" si="1"/>
        <v>-0.3508717978</v>
      </c>
    </row>
    <row r="5546" ht="14.25" customHeight="1">
      <c r="A5546" s="2" t="s">
        <v>333</v>
      </c>
      <c r="B5546" s="2" t="s">
        <v>334</v>
      </c>
      <c r="C5546" s="2">
        <v>1995.0</v>
      </c>
      <c r="D5546" s="9">
        <v>11803.904</v>
      </c>
      <c r="E5546" s="10" t="str">
        <f t="array" ref="E5546">IFS(D5546&lt;=$G$3,'calculated data '!$A$3,D5546&lt;=$G$4,'calculated data '!$A$4,D5546&lt;=$G$6,'calculated data '!$A$5,D5546&gt;=$G$6,'calculated data '!$A$6)</f>
        <v>Target Market (Core IQR)</v>
      </c>
      <c r="F5546" s="10">
        <f t="shared" si="1"/>
        <v>-0.3507250759</v>
      </c>
    </row>
    <row r="5547" ht="14.25" customHeight="1">
      <c r="A5547" s="2" t="s">
        <v>317</v>
      </c>
      <c r="B5547" s="2" t="s">
        <v>318</v>
      </c>
      <c r="C5547" s="2">
        <v>1978.0</v>
      </c>
      <c r="D5547" s="9">
        <v>11804.383</v>
      </c>
      <c r="E5547" s="10" t="str">
        <f t="array" ref="E5547">IFS(D5547&lt;=$G$3,'calculated data '!$A$3,D5547&lt;=$G$4,'calculated data '!$A$4,D5547&lt;=$G$6,'calculated data '!$A$5,D5547&gt;=$G$6,'calculated data '!$A$6)</f>
        <v>Target Market (Core IQR)</v>
      </c>
      <c r="F5547" s="10">
        <f t="shared" si="1"/>
        <v>-0.3507123969</v>
      </c>
    </row>
    <row r="5548" ht="14.25" customHeight="1">
      <c r="A5548" s="2" t="s">
        <v>197</v>
      </c>
      <c r="B5548" s="2" t="s">
        <v>198</v>
      </c>
      <c r="C5548" s="2">
        <v>2003.0</v>
      </c>
      <c r="D5548" s="9">
        <v>11810.447</v>
      </c>
      <c r="E5548" s="10" t="str">
        <f t="array" ref="E5548">IFS(D5548&lt;=$G$3,'calculated data '!$A$3,D5548&lt;=$G$4,'calculated data '!$A$4,D5548&lt;=$G$6,'calculated data '!$A$5,D5548&gt;=$G$6,'calculated data '!$A$6)</f>
        <v>Target Market (Core IQR)</v>
      </c>
      <c r="F5548" s="10">
        <f t="shared" si="1"/>
        <v>-0.3505518844</v>
      </c>
    </row>
    <row r="5549" ht="14.25" customHeight="1">
      <c r="A5549" s="2" t="s">
        <v>45</v>
      </c>
      <c r="B5549" s="2" t="s">
        <v>46</v>
      </c>
      <c r="C5549" s="2">
        <v>1996.0</v>
      </c>
      <c r="D5549" s="9">
        <v>11813.604</v>
      </c>
      <c r="E5549" s="10" t="str">
        <f t="array" ref="E5549">IFS(D5549&lt;=$G$3,'calculated data '!$A$3,D5549&lt;=$G$4,'calculated data '!$A$4,D5549&lt;=$G$6,'calculated data '!$A$5,D5549&gt;=$G$6,'calculated data '!$A$6)</f>
        <v>Target Market (Core IQR)</v>
      </c>
      <c r="F5549" s="10">
        <f t="shared" si="1"/>
        <v>-0.3504683194</v>
      </c>
    </row>
    <row r="5550" ht="14.25" customHeight="1">
      <c r="A5550" s="2" t="s">
        <v>221</v>
      </c>
      <c r="B5550" s="2" t="s">
        <v>222</v>
      </c>
      <c r="C5550" s="2">
        <v>1980.0</v>
      </c>
      <c r="D5550" s="9">
        <v>11823.046</v>
      </c>
      <c r="E5550" s="10" t="str">
        <f t="array" ref="E5550">IFS(D5550&lt;=$G$3,'calculated data '!$A$3,D5550&lt;=$G$4,'calculated data '!$A$4,D5550&lt;=$G$6,'calculated data '!$A$5,D5550&gt;=$G$6,'calculated data '!$A$6)</f>
        <v>Target Market (Core IQR)</v>
      </c>
      <c r="F5550" s="10">
        <f t="shared" si="1"/>
        <v>-0.350218392</v>
      </c>
    </row>
    <row r="5551" ht="14.25" customHeight="1">
      <c r="A5551" s="2" t="s">
        <v>263</v>
      </c>
      <c r="B5551" s="2" t="s">
        <v>264</v>
      </c>
      <c r="C5551" s="2">
        <v>2022.0</v>
      </c>
      <c r="D5551" s="9">
        <v>11823.134</v>
      </c>
      <c r="E5551" s="10" t="str">
        <f t="array" ref="E5551">IFS(D5551&lt;=$G$3,'calculated data '!$A$3,D5551&lt;=$G$4,'calculated data '!$A$4,D5551&lt;=$G$6,'calculated data '!$A$5,D5551&gt;=$G$6,'calculated data '!$A$6)</f>
        <v>Target Market (Core IQR)</v>
      </c>
      <c r="F5551" s="10">
        <f t="shared" si="1"/>
        <v>-0.3502160626</v>
      </c>
    </row>
    <row r="5552" ht="14.25" customHeight="1">
      <c r="A5552" s="2" t="s">
        <v>269</v>
      </c>
      <c r="B5552" s="2" t="s">
        <v>270</v>
      </c>
      <c r="C5552" s="2">
        <v>1995.0</v>
      </c>
      <c r="D5552" s="9">
        <v>11823.148</v>
      </c>
      <c r="E5552" s="10" t="str">
        <f t="array" ref="E5552">IFS(D5552&lt;=$G$3,'calculated data '!$A$3,D5552&lt;=$G$4,'calculated data '!$A$4,D5552&lt;=$G$6,'calculated data '!$A$5,D5552&gt;=$G$6,'calculated data '!$A$6)</f>
        <v>Target Market (Core IQR)</v>
      </c>
      <c r="F5552" s="10">
        <f t="shared" si="1"/>
        <v>-0.350215692</v>
      </c>
    </row>
    <row r="5553" ht="14.25" customHeight="1">
      <c r="A5553" s="2" t="s">
        <v>325</v>
      </c>
      <c r="B5553" s="2" t="s">
        <v>326</v>
      </c>
      <c r="C5553" s="2">
        <v>2010.0</v>
      </c>
      <c r="D5553" s="9">
        <v>11824.311</v>
      </c>
      <c r="E5553" s="10" t="str">
        <f t="array" ref="E5553">IFS(D5553&lt;=$G$3,'calculated data '!$A$3,D5553&lt;=$G$4,'calculated data '!$A$4,D5553&lt;=$G$6,'calculated data '!$A$5,D5553&gt;=$G$6,'calculated data '!$A$6)</f>
        <v>Target Market (Core IQR)</v>
      </c>
      <c r="F5553" s="10">
        <f t="shared" si="1"/>
        <v>-0.3501849077</v>
      </c>
    </row>
    <row r="5554" ht="14.25" customHeight="1">
      <c r="A5554" s="2" t="s">
        <v>203</v>
      </c>
      <c r="B5554" s="2" t="s">
        <v>204</v>
      </c>
      <c r="C5554" s="2">
        <v>2013.0</v>
      </c>
      <c r="D5554" s="9">
        <v>11826.311</v>
      </c>
      <c r="E5554" s="10" t="str">
        <f t="array" ref="E5554">IFS(D5554&lt;=$G$3,'calculated data '!$A$3,D5554&lt;=$G$4,'calculated data '!$A$4,D5554&lt;=$G$6,'calculated data '!$A$5,D5554&gt;=$G$6,'calculated data '!$A$6)</f>
        <v>Target Market (Core IQR)</v>
      </c>
      <c r="F5554" s="10">
        <f t="shared" si="1"/>
        <v>-0.3501319682</v>
      </c>
    </row>
    <row r="5555" ht="14.25" customHeight="1">
      <c r="A5555" s="2" t="s">
        <v>141</v>
      </c>
      <c r="B5555" s="2" t="s">
        <v>142</v>
      </c>
      <c r="C5555" s="2">
        <v>1997.0</v>
      </c>
      <c r="D5555" s="9">
        <v>11836.141</v>
      </c>
      <c r="E5555" s="10" t="str">
        <f t="array" ref="E5555">IFS(D5555&lt;=$G$3,'calculated data '!$A$3,D5555&lt;=$G$4,'calculated data '!$A$4,D5555&lt;=$G$6,'calculated data '!$A$5,D5555&gt;=$G$6,'calculated data '!$A$6)</f>
        <v>Target Market (Core IQR)</v>
      </c>
      <c r="F5555" s="10">
        <f t="shared" si="1"/>
        <v>-0.3498717706</v>
      </c>
    </row>
    <row r="5556" ht="14.25" customHeight="1">
      <c r="A5556" s="2" t="s">
        <v>319</v>
      </c>
      <c r="B5556" s="2" t="s">
        <v>320</v>
      </c>
      <c r="C5556" s="2">
        <v>1969.0</v>
      </c>
      <c r="D5556" s="9">
        <v>11836.933</v>
      </c>
      <c r="E5556" s="10" t="str">
        <f t="array" ref="E5556">IFS(D5556&lt;=$G$3,'calculated data '!$A$3,D5556&lt;=$G$4,'calculated data '!$A$4,D5556&lt;=$G$6,'calculated data '!$A$5,D5556&gt;=$G$6,'calculated data '!$A$6)</f>
        <v>Target Market (Core IQR)</v>
      </c>
      <c r="F5556" s="10">
        <f t="shared" si="1"/>
        <v>-0.3498508065</v>
      </c>
    </row>
    <row r="5557" ht="14.25" customHeight="1">
      <c r="A5557" s="2" t="s">
        <v>329</v>
      </c>
      <c r="B5557" s="2" t="s">
        <v>330</v>
      </c>
      <c r="C5557" s="2">
        <v>1998.0</v>
      </c>
      <c r="D5557" s="9">
        <v>11840.924</v>
      </c>
      <c r="E5557" s="10" t="str">
        <f t="array" ref="E5557">IFS(D5557&lt;=$G$3,'calculated data '!$A$3,D5557&lt;=$G$4,'calculated data '!$A$4,D5557&lt;=$G$6,'calculated data '!$A$5,D5557&gt;=$G$6,'calculated data '!$A$6)</f>
        <v>Target Market (Core IQR)</v>
      </c>
      <c r="F5557" s="10">
        <f t="shared" si="1"/>
        <v>-0.3497451658</v>
      </c>
    </row>
    <row r="5558" ht="14.25" customHeight="1">
      <c r="A5558" s="2" t="s">
        <v>257</v>
      </c>
      <c r="B5558" s="2" t="s">
        <v>258</v>
      </c>
      <c r="C5558" s="2">
        <v>1987.0</v>
      </c>
      <c r="D5558" s="9">
        <v>11842.137</v>
      </c>
      <c r="E5558" s="10" t="str">
        <f t="array" ref="E5558">IFS(D5558&lt;=$G$3,'calculated data '!$A$3,D5558&lt;=$G$4,'calculated data '!$A$4,D5558&lt;=$G$6,'calculated data '!$A$5,D5558&gt;=$G$6,'calculated data '!$A$6)</f>
        <v>Target Market (Core IQR)</v>
      </c>
      <c r="F5558" s="10">
        <f t="shared" si="1"/>
        <v>-0.3497130579</v>
      </c>
    </row>
    <row r="5559" ht="14.25" customHeight="1">
      <c r="A5559" s="2" t="s">
        <v>315</v>
      </c>
      <c r="B5559" s="2" t="s">
        <v>316</v>
      </c>
      <c r="C5559" s="2">
        <v>2024.0</v>
      </c>
      <c r="D5559" s="9">
        <v>11849.197</v>
      </c>
      <c r="E5559" s="10" t="str">
        <f t="array" ref="E5559">IFS(D5559&lt;=$G$3,'calculated data '!$A$3,D5559&lt;=$G$4,'calculated data '!$A$4,D5559&lt;=$G$6,'calculated data '!$A$5,D5559&gt;=$G$6,'calculated data '!$A$6)</f>
        <v>Target Market (Core IQR)</v>
      </c>
      <c r="F5559" s="10">
        <f t="shared" si="1"/>
        <v>-0.3495261815</v>
      </c>
    </row>
    <row r="5560" ht="14.25" customHeight="1">
      <c r="A5560" s="2" t="s">
        <v>271</v>
      </c>
      <c r="B5560" s="2" t="s">
        <v>272</v>
      </c>
      <c r="C5560" s="2">
        <v>1981.0</v>
      </c>
      <c r="D5560" s="9">
        <v>11851.442</v>
      </c>
      <c r="E5560" s="10" t="str">
        <f t="array" ref="E5560">IFS(D5560&lt;=$G$3,'calculated data '!$A$3,D5560&lt;=$G$4,'calculated data '!$A$4,D5560&lt;=$G$6,'calculated data '!$A$5,D5560&gt;=$G$6,'calculated data '!$A$6)</f>
        <v>Target Market (Core IQR)</v>
      </c>
      <c r="F5560" s="10">
        <f t="shared" si="1"/>
        <v>-0.3494667569</v>
      </c>
    </row>
    <row r="5561" ht="14.25" customHeight="1">
      <c r="A5561" s="2" t="s">
        <v>231</v>
      </c>
      <c r="B5561" s="2" t="s">
        <v>232</v>
      </c>
      <c r="C5561" s="2">
        <v>2002.0</v>
      </c>
      <c r="D5561" s="9">
        <v>11859.91</v>
      </c>
      <c r="E5561" s="10" t="str">
        <f t="array" ref="E5561">IFS(D5561&lt;=$G$3,'calculated data '!$A$3,D5561&lt;=$G$4,'calculated data '!$A$4,D5561&lt;=$G$6,'calculated data '!$A$5,D5561&gt;=$G$6,'calculated data '!$A$6)</f>
        <v>Target Market (Core IQR)</v>
      </c>
      <c r="F5561" s="10">
        <f t="shared" si="1"/>
        <v>-0.3492426111</v>
      </c>
    </row>
    <row r="5562" ht="14.25" customHeight="1">
      <c r="A5562" s="2" t="s">
        <v>207</v>
      </c>
      <c r="B5562" s="2" t="s">
        <v>208</v>
      </c>
      <c r="C5562" s="2">
        <v>1985.0</v>
      </c>
      <c r="D5562" s="9">
        <v>11860.503</v>
      </c>
      <c r="E5562" s="10" t="str">
        <f t="array" ref="E5562">IFS(D5562&lt;=$G$3,'calculated data '!$A$3,D5562&lt;=$G$4,'calculated data '!$A$4,D5562&lt;=$G$6,'calculated data '!$A$5,D5562&gt;=$G$6,'calculated data '!$A$6)</f>
        <v>Target Market (Core IQR)</v>
      </c>
      <c r="F5562" s="10">
        <f t="shared" si="1"/>
        <v>-0.3492269145</v>
      </c>
    </row>
    <row r="5563" ht="14.25" customHeight="1">
      <c r="A5563" s="2" t="s">
        <v>273</v>
      </c>
      <c r="B5563" s="2" t="s">
        <v>274</v>
      </c>
      <c r="C5563" s="2">
        <v>2003.0</v>
      </c>
      <c r="D5563" s="9">
        <v>11869.311</v>
      </c>
      <c r="E5563" s="10" t="str">
        <f t="array" ref="E5563">IFS(D5563&lt;=$G$3,'calculated data '!$A$3,D5563&lt;=$G$4,'calculated data '!$A$4,D5563&lt;=$G$6,'calculated data '!$A$5,D5563&gt;=$G$6,'calculated data '!$A$6)</f>
        <v>Target Market (Core IQR)</v>
      </c>
      <c r="F5563" s="10">
        <f t="shared" si="1"/>
        <v>-0.3489937689</v>
      </c>
    </row>
    <row r="5564" ht="14.25" customHeight="1">
      <c r="A5564" s="2" t="s">
        <v>321</v>
      </c>
      <c r="B5564" s="2" t="s">
        <v>322</v>
      </c>
      <c r="C5564" s="2">
        <v>1998.0</v>
      </c>
      <c r="D5564" s="9">
        <v>11870.953</v>
      </c>
      <c r="E5564" s="10" t="str">
        <f t="array" ref="E5564">IFS(D5564&lt;=$G$3,'calculated data '!$A$3,D5564&lt;=$G$4,'calculated data '!$A$4,D5564&lt;=$G$6,'calculated data '!$A$5,D5564&gt;=$G$6,'calculated data '!$A$6)</f>
        <v>Target Market (Core IQR)</v>
      </c>
      <c r="F5564" s="10">
        <f t="shared" si="1"/>
        <v>-0.3489503056</v>
      </c>
    </row>
    <row r="5565" ht="14.25" customHeight="1">
      <c r="A5565" s="2" t="s">
        <v>235</v>
      </c>
      <c r="B5565" s="2" t="s">
        <v>236</v>
      </c>
      <c r="C5565" s="2">
        <v>1990.0</v>
      </c>
      <c r="D5565" s="9">
        <v>11874.829</v>
      </c>
      <c r="E5565" s="10" t="str">
        <f t="array" ref="E5565">IFS(D5565&lt;=$G$3,'calculated data '!$A$3,D5565&lt;=$G$4,'calculated data '!$A$4,D5565&lt;=$G$6,'calculated data '!$A$5,D5565&gt;=$G$6,'calculated data '!$A$6)</f>
        <v>Target Market (Core IQR)</v>
      </c>
      <c r="F5565" s="10">
        <f t="shared" si="1"/>
        <v>-0.3488477088</v>
      </c>
    </row>
    <row r="5566" ht="14.25" customHeight="1">
      <c r="A5566" s="2" t="s">
        <v>333</v>
      </c>
      <c r="B5566" s="2" t="s">
        <v>334</v>
      </c>
      <c r="C5566" s="2">
        <v>2002.0</v>
      </c>
      <c r="D5566" s="9">
        <v>11879.504</v>
      </c>
      <c r="E5566" s="10" t="str">
        <f t="array" ref="E5566">IFS(D5566&lt;=$G$3,'calculated data '!$A$3,D5566&lt;=$G$4,'calculated data '!$A$4,D5566&lt;=$G$6,'calculated data '!$A$5,D5566&gt;=$G$6,'calculated data '!$A$6)</f>
        <v>Target Market (Core IQR)</v>
      </c>
      <c r="F5566" s="10">
        <f t="shared" si="1"/>
        <v>-0.3487239628</v>
      </c>
    </row>
    <row r="5567" ht="14.25" customHeight="1">
      <c r="A5567" s="2" t="s">
        <v>295</v>
      </c>
      <c r="B5567" s="2" t="s">
        <v>296</v>
      </c>
      <c r="C5567" s="2">
        <v>1998.0</v>
      </c>
      <c r="D5567" s="9">
        <v>11882.883</v>
      </c>
      <c r="E5567" s="10" t="str">
        <f t="array" ref="E5567">IFS(D5567&lt;=$G$3,'calculated data '!$A$3,D5567&lt;=$G$4,'calculated data '!$A$4,D5567&lt;=$G$6,'calculated data '!$A$5,D5567&gt;=$G$6,'calculated data '!$A$6)</f>
        <v>Target Market (Core IQR)</v>
      </c>
      <c r="F5567" s="10">
        <f t="shared" si="1"/>
        <v>-0.3486345215</v>
      </c>
    </row>
    <row r="5568" ht="14.25" customHeight="1">
      <c r="A5568" s="2" t="s">
        <v>309</v>
      </c>
      <c r="B5568" s="2" t="s">
        <v>310</v>
      </c>
      <c r="C5568" s="2">
        <v>1968.0</v>
      </c>
      <c r="D5568" s="9">
        <v>11883.904</v>
      </c>
      <c r="E5568" s="10" t="str">
        <f t="array" ref="E5568">IFS(D5568&lt;=$G$3,'calculated data '!$A$3,D5568&lt;=$G$4,'calculated data '!$A$4,D5568&lt;=$G$6,'calculated data '!$A$5,D5568&gt;=$G$6,'calculated data '!$A$6)</f>
        <v>Target Market (Core IQR)</v>
      </c>
      <c r="F5568" s="10">
        <f t="shared" si="1"/>
        <v>-0.3486074959</v>
      </c>
    </row>
    <row r="5569" ht="14.25" customHeight="1">
      <c r="A5569" s="2" t="s">
        <v>327</v>
      </c>
      <c r="B5569" s="2" t="s">
        <v>328</v>
      </c>
      <c r="C5569" s="2">
        <v>2010.0</v>
      </c>
      <c r="D5569" s="9">
        <v>11906.095</v>
      </c>
      <c r="E5569" s="10" t="str">
        <f t="array" ref="E5569">IFS(D5569&lt;=$G$3,'calculated data '!$A$3,D5569&lt;=$G$4,'calculated data '!$A$4,D5569&lt;=$G$6,'calculated data '!$A$5,D5569&gt;=$G$6,'calculated data '!$A$6)</f>
        <v>Target Market (Core IQR)</v>
      </c>
      <c r="F5569" s="10">
        <f t="shared" si="1"/>
        <v>-0.3480201056</v>
      </c>
    </row>
    <row r="5570" ht="14.25" customHeight="1">
      <c r="A5570" s="2" t="s">
        <v>227</v>
      </c>
      <c r="B5570" s="2" t="s">
        <v>228</v>
      </c>
      <c r="C5570" s="2">
        <v>2008.0</v>
      </c>
      <c r="D5570" s="9">
        <v>11907.259</v>
      </c>
      <c r="E5570" s="10" t="str">
        <f t="array" ref="E5570">IFS(D5570&lt;=$G$3,'calculated data '!$A$3,D5570&lt;=$G$4,'calculated data '!$A$4,D5570&lt;=$G$6,'calculated data '!$A$5,D5570&gt;=$G$6,'calculated data '!$A$6)</f>
        <v>Target Market (Core IQR)</v>
      </c>
      <c r="F5570" s="10">
        <f t="shared" si="1"/>
        <v>-0.3479892948</v>
      </c>
    </row>
    <row r="5571" ht="14.25" customHeight="1">
      <c r="A5571" s="2" t="s">
        <v>305</v>
      </c>
      <c r="B5571" s="2" t="s">
        <v>306</v>
      </c>
      <c r="C5571" s="2">
        <v>1989.0</v>
      </c>
      <c r="D5571" s="9">
        <v>11925.648</v>
      </c>
      <c r="E5571" s="10" t="str">
        <f t="array" ref="E5571">IFS(D5571&lt;=$G$3,'calculated data '!$A$3,D5571&lt;=$G$4,'calculated data '!$A$4,D5571&lt;=$G$6,'calculated data '!$A$5,D5571&gt;=$G$6,'calculated data '!$A$6)</f>
        <v>Target Market (Core IQR)</v>
      </c>
      <c r="F5571" s="10">
        <f t="shared" si="1"/>
        <v>-0.3475025426</v>
      </c>
    </row>
    <row r="5572" ht="14.25" customHeight="1">
      <c r="A5572" s="2" t="s">
        <v>99</v>
      </c>
      <c r="B5572" s="2" t="s">
        <v>100</v>
      </c>
      <c r="C5572" s="2">
        <v>2006.0</v>
      </c>
      <c r="D5572" s="9">
        <v>11927.223</v>
      </c>
      <c r="E5572" s="10" t="str">
        <f t="array" ref="E5572">IFS(D5572&lt;=$G$3,'calculated data '!$A$3,D5572&lt;=$G$4,'calculated data '!$A$4,D5572&lt;=$G$6,'calculated data '!$A$5,D5572&gt;=$G$6,'calculated data '!$A$6)</f>
        <v>Target Market (Core IQR)</v>
      </c>
      <c r="F5572" s="10">
        <f t="shared" si="1"/>
        <v>-0.3474608527</v>
      </c>
    </row>
    <row r="5573" ht="14.25" customHeight="1">
      <c r="A5573" s="2" t="s">
        <v>315</v>
      </c>
      <c r="B5573" s="2" t="s">
        <v>316</v>
      </c>
      <c r="C5573" s="2">
        <v>2017.0</v>
      </c>
      <c r="D5573" s="9">
        <v>11930.71</v>
      </c>
      <c r="E5573" s="10" t="str">
        <f t="array" ref="E5573">IFS(D5573&lt;=$G$3,'calculated data '!$A$3,D5573&lt;=$G$4,'calculated data '!$A$4,D5573&lt;=$G$6,'calculated data '!$A$5,D5573&gt;=$G$6,'calculated data '!$A$6)</f>
        <v>Target Market (Core IQR)</v>
      </c>
      <c r="F5573" s="10">
        <f t="shared" si="1"/>
        <v>-0.3473685527</v>
      </c>
    </row>
    <row r="5574" ht="14.25" customHeight="1">
      <c r="A5574" s="2" t="s">
        <v>273</v>
      </c>
      <c r="B5574" s="2" t="s">
        <v>274</v>
      </c>
      <c r="C5574" s="2">
        <v>1991.0</v>
      </c>
      <c r="D5574" s="9">
        <v>11932.365</v>
      </c>
      <c r="E5574" s="10" t="str">
        <f t="array" ref="E5574">IFS(D5574&lt;=$G$3,'calculated data '!$A$3,D5574&lt;=$G$4,'calculated data '!$A$4,D5574&lt;=$G$6,'calculated data '!$A$5,D5574&gt;=$G$6,'calculated data '!$A$6)</f>
        <v>Target Market (Core IQR)</v>
      </c>
      <c r="F5574" s="10">
        <f t="shared" si="1"/>
        <v>-0.3473247453</v>
      </c>
    </row>
    <row r="5575" ht="14.25" customHeight="1">
      <c r="A5575" s="2" t="s">
        <v>333</v>
      </c>
      <c r="B5575" s="2" t="s">
        <v>334</v>
      </c>
      <c r="C5575" s="2">
        <v>1999.0</v>
      </c>
      <c r="D5575" s="9">
        <v>11933.068</v>
      </c>
      <c r="E5575" s="10" t="str">
        <f t="array" ref="E5575">IFS(D5575&lt;=$G$3,'calculated data '!$A$3,D5575&lt;=$G$4,'calculated data '!$A$4,D5575&lt;=$G$6,'calculated data '!$A$5,D5575&gt;=$G$6,'calculated data '!$A$6)</f>
        <v>Target Market (Core IQR)</v>
      </c>
      <c r="F5575" s="10">
        <f t="shared" si="1"/>
        <v>-0.347306137</v>
      </c>
    </row>
    <row r="5576" ht="14.25" customHeight="1">
      <c r="A5576" s="2" t="s">
        <v>287</v>
      </c>
      <c r="B5576" s="2" t="s">
        <v>288</v>
      </c>
      <c r="C5576" s="2">
        <v>2006.0</v>
      </c>
      <c r="D5576" s="9">
        <v>11933.208</v>
      </c>
      <c r="E5576" s="10" t="str">
        <f t="array" ref="E5576">IFS(D5576&lt;=$G$3,'calculated data '!$A$3,D5576&lt;=$G$4,'calculated data '!$A$4,D5576&lt;=$G$6,'calculated data '!$A$5,D5576&gt;=$G$6,'calculated data '!$A$6)</f>
        <v>Target Market (Core IQR)</v>
      </c>
      <c r="F5576" s="10">
        <f t="shared" si="1"/>
        <v>-0.3473024313</v>
      </c>
    </row>
    <row r="5577" ht="14.25" customHeight="1">
      <c r="A5577" s="2" t="s">
        <v>99</v>
      </c>
      <c r="B5577" s="2" t="s">
        <v>100</v>
      </c>
      <c r="C5577" s="2">
        <v>2007.0</v>
      </c>
      <c r="D5577" s="9">
        <v>11941.918</v>
      </c>
      <c r="E5577" s="10" t="str">
        <f t="array" ref="E5577">IFS(D5577&lt;=$G$3,'calculated data '!$A$3,D5577&lt;=$G$4,'calculated data '!$A$4,D5577&lt;=$G$6,'calculated data '!$A$5,D5577&gt;=$G$6,'calculated data '!$A$6)</f>
        <v>Target Market (Core IQR)</v>
      </c>
      <c r="F5577" s="10">
        <f t="shared" si="1"/>
        <v>-0.3470718797</v>
      </c>
    </row>
    <row r="5578" ht="14.25" customHeight="1">
      <c r="A5578" s="2" t="s">
        <v>285</v>
      </c>
      <c r="B5578" s="2" t="s">
        <v>286</v>
      </c>
      <c r="C5578" s="2">
        <v>1991.0</v>
      </c>
      <c r="D5578" s="9">
        <v>11947.996</v>
      </c>
      <c r="E5578" s="10" t="str">
        <f t="array" ref="E5578">IFS(D5578&lt;=$G$3,'calculated data '!$A$3,D5578&lt;=$G$4,'calculated data '!$A$4,D5578&lt;=$G$6,'calculated data '!$A$5,D5578&gt;=$G$6,'calculated data '!$A$6)</f>
        <v>Target Market (Core IQR)</v>
      </c>
      <c r="F5578" s="10">
        <f t="shared" si="1"/>
        <v>-0.3469109966</v>
      </c>
    </row>
    <row r="5579" ht="14.25" customHeight="1">
      <c r="A5579" s="2" t="s">
        <v>45</v>
      </c>
      <c r="B5579" s="2" t="s">
        <v>46</v>
      </c>
      <c r="C5579" s="2">
        <v>1995.0</v>
      </c>
      <c r="D5579" s="9">
        <v>11961.302</v>
      </c>
      <c r="E5579" s="10" t="str">
        <f t="array" ref="E5579">IFS(D5579&lt;=$G$3,'calculated data '!$A$3,D5579&lt;=$G$4,'calculated data '!$A$4,D5579&lt;=$G$6,'calculated data '!$A$5,D5579&gt;=$G$6,'calculated data '!$A$6)</f>
        <v>Target Market (Core IQR)</v>
      </c>
      <c r="F5579" s="10">
        <f t="shared" si="1"/>
        <v>-0.3465587901</v>
      </c>
    </row>
    <row r="5580" ht="14.25" customHeight="1">
      <c r="A5580" s="2" t="s">
        <v>325</v>
      </c>
      <c r="B5580" s="2" t="s">
        <v>326</v>
      </c>
      <c r="C5580" s="2">
        <v>1997.0</v>
      </c>
      <c r="D5580" s="9">
        <v>11964.407</v>
      </c>
      <c r="E5580" s="10" t="str">
        <f t="array" ref="E5580">IFS(D5580&lt;=$G$3,'calculated data '!$A$3,D5580&lt;=$G$4,'calculated data '!$A$4,D5580&lt;=$G$6,'calculated data '!$A$5,D5580&gt;=$G$6,'calculated data '!$A$6)</f>
        <v>Target Market (Core IQR)</v>
      </c>
      <c r="F5580" s="10">
        <f t="shared" si="1"/>
        <v>-0.3464766015</v>
      </c>
    </row>
    <row r="5581" ht="14.25" customHeight="1">
      <c r="A5581" s="2" t="s">
        <v>273</v>
      </c>
      <c r="B5581" s="2" t="s">
        <v>274</v>
      </c>
      <c r="C5581" s="2">
        <v>1992.0</v>
      </c>
      <c r="D5581" s="9">
        <v>11975.585</v>
      </c>
      <c r="E5581" s="10" t="str">
        <f t="array" ref="E5581">IFS(D5581&lt;=$G$3,'calculated data '!$A$3,D5581&lt;=$G$4,'calculated data '!$A$4,D5581&lt;=$G$6,'calculated data '!$A$5,D5581&gt;=$G$6,'calculated data '!$A$6)</f>
        <v>Target Market (Core IQR)</v>
      </c>
      <c r="F5581" s="10">
        <f t="shared" si="1"/>
        <v>-0.3461807226</v>
      </c>
    </row>
    <row r="5582" ht="14.25" customHeight="1">
      <c r="A5582" s="2" t="s">
        <v>327</v>
      </c>
      <c r="B5582" s="2" t="s">
        <v>328</v>
      </c>
      <c r="C5582" s="2">
        <v>1989.0</v>
      </c>
      <c r="D5582" s="9">
        <v>11980.495</v>
      </c>
      <c r="E5582" s="10" t="str">
        <f t="array" ref="E5582">IFS(D5582&lt;=$G$3,'calculated data '!$A$3,D5582&lt;=$G$4,'calculated data '!$A$4,D5582&lt;=$G$6,'calculated data '!$A$5,D5582&gt;=$G$6,'calculated data '!$A$6)</f>
        <v>Target Market (Core IQR)</v>
      </c>
      <c r="F5582" s="10">
        <f t="shared" si="1"/>
        <v>-0.3460507561</v>
      </c>
    </row>
    <row r="5583" ht="14.25" customHeight="1">
      <c r="A5583" s="2" t="s">
        <v>207</v>
      </c>
      <c r="B5583" s="2" t="s">
        <v>208</v>
      </c>
      <c r="C5583" s="2">
        <v>1989.0</v>
      </c>
      <c r="D5583" s="9">
        <v>11982.715</v>
      </c>
      <c r="E5583" s="10" t="str">
        <f t="array" ref="E5583">IFS(D5583&lt;=$G$3,'calculated data '!$A$3,D5583&lt;=$G$4,'calculated data '!$A$4,D5583&lt;=$G$6,'calculated data '!$A$5,D5583&gt;=$G$6,'calculated data '!$A$6)</f>
        <v>Target Market (Core IQR)</v>
      </c>
      <c r="F5583" s="10">
        <f t="shared" si="1"/>
        <v>-0.3459919933</v>
      </c>
    </row>
    <row r="5584" ht="14.25" customHeight="1">
      <c r="A5584" s="2" t="s">
        <v>253</v>
      </c>
      <c r="B5584" s="2" t="s">
        <v>254</v>
      </c>
      <c r="C5584" s="2">
        <v>1989.0</v>
      </c>
      <c r="D5584" s="9">
        <v>11985.987</v>
      </c>
      <c r="E5584" s="10" t="str">
        <f t="array" ref="E5584">IFS(D5584&lt;=$G$3,'calculated data '!$A$3,D5584&lt;=$G$4,'calculated data '!$A$4,D5584&lt;=$G$6,'calculated data '!$A$5,D5584&gt;=$G$6,'calculated data '!$A$6)</f>
        <v>Target Market (Core IQR)</v>
      </c>
      <c r="F5584" s="10">
        <f t="shared" si="1"/>
        <v>-0.3459053843</v>
      </c>
    </row>
    <row r="5585" ht="14.25" customHeight="1">
      <c r="A5585" s="2" t="s">
        <v>207</v>
      </c>
      <c r="B5585" s="2" t="s">
        <v>208</v>
      </c>
      <c r="C5585" s="2">
        <v>1991.0</v>
      </c>
      <c r="D5585" s="9">
        <v>11987.165</v>
      </c>
      <c r="E5585" s="10" t="str">
        <f t="array" ref="E5585">IFS(D5585&lt;=$G$3,'calculated data '!$A$3,D5585&lt;=$G$4,'calculated data '!$A$4,D5585&lt;=$G$6,'calculated data '!$A$5,D5585&gt;=$G$6,'calculated data '!$A$6)</f>
        <v>Target Market (Core IQR)</v>
      </c>
      <c r="F5585" s="10">
        <f t="shared" si="1"/>
        <v>-0.3458742029</v>
      </c>
    </row>
    <row r="5586" ht="14.25" customHeight="1">
      <c r="A5586" s="2" t="s">
        <v>333</v>
      </c>
      <c r="B5586" s="2" t="s">
        <v>334</v>
      </c>
      <c r="C5586" s="2">
        <v>2009.0</v>
      </c>
      <c r="D5586" s="9">
        <v>11990.046</v>
      </c>
      <c r="E5586" s="10" t="str">
        <f t="array" ref="E5586">IFS(D5586&lt;=$G$3,'calculated data '!$A$3,D5586&lt;=$G$4,'calculated data '!$A$4,D5586&lt;=$G$6,'calculated data '!$A$5,D5586&gt;=$G$6,'calculated data '!$A$6)</f>
        <v>Target Market (Core IQR)</v>
      </c>
      <c r="F5586" s="10">
        <f t="shared" si="1"/>
        <v>-0.3457979436</v>
      </c>
    </row>
    <row r="5587" ht="14.25" customHeight="1">
      <c r="A5587" s="2" t="s">
        <v>333</v>
      </c>
      <c r="B5587" s="2" t="s">
        <v>334</v>
      </c>
      <c r="C5587" s="2">
        <v>1988.0</v>
      </c>
      <c r="D5587" s="9">
        <v>11997.897</v>
      </c>
      <c r="E5587" s="10" t="str">
        <f t="array" ref="E5587">IFS(D5587&lt;=$G$3,'calculated data '!$A$3,D5587&lt;=$G$4,'calculated data '!$A$4,D5587&lt;=$G$6,'calculated data '!$A$5,D5587&gt;=$G$6,'calculated data '!$A$6)</f>
        <v>Target Market (Core IQR)</v>
      </c>
      <c r="F5587" s="10">
        <f t="shared" si="1"/>
        <v>-0.3455901295</v>
      </c>
    </row>
    <row r="5588" ht="14.25" customHeight="1">
      <c r="A5588" s="2" t="s">
        <v>259</v>
      </c>
      <c r="B5588" s="2" t="s">
        <v>260</v>
      </c>
      <c r="C5588" s="2">
        <v>2022.0</v>
      </c>
      <c r="D5588" s="9">
        <v>12002.065</v>
      </c>
      <c r="E5588" s="10" t="str">
        <f t="array" ref="E5588">IFS(D5588&lt;=$G$3,'calculated data '!$A$3,D5588&lt;=$G$4,'calculated data '!$A$4,D5588&lt;=$G$6,'calculated data '!$A$5,D5588&gt;=$G$6,'calculated data '!$A$6)</f>
        <v>Target Market (Core IQR)</v>
      </c>
      <c r="F5588" s="10">
        <f t="shared" si="1"/>
        <v>-0.3454798036</v>
      </c>
    </row>
    <row r="5589" ht="14.25" customHeight="1">
      <c r="A5589" s="2" t="s">
        <v>329</v>
      </c>
      <c r="B5589" s="2" t="s">
        <v>330</v>
      </c>
      <c r="C5589" s="2">
        <v>2000.0</v>
      </c>
      <c r="D5589" s="9">
        <v>12007.173</v>
      </c>
      <c r="E5589" s="10" t="str">
        <f t="array" ref="E5589">IFS(D5589&lt;=$G$3,'calculated data '!$A$3,D5589&lt;=$G$4,'calculated data '!$A$4,D5589&lt;=$G$6,'calculated data '!$A$5,D5589&gt;=$G$6,'calculated data '!$A$6)</f>
        <v>Target Market (Core IQR)</v>
      </c>
      <c r="F5589" s="10">
        <f t="shared" si="1"/>
        <v>-0.3453445961</v>
      </c>
    </row>
    <row r="5590" ht="14.25" customHeight="1">
      <c r="A5590" s="2" t="s">
        <v>207</v>
      </c>
      <c r="B5590" s="2" t="s">
        <v>208</v>
      </c>
      <c r="C5590" s="2">
        <v>1992.0</v>
      </c>
      <c r="D5590" s="9">
        <v>12011.063</v>
      </c>
      <c r="E5590" s="10" t="str">
        <f t="array" ref="E5590">IFS(D5590&lt;=$G$3,'calculated data '!$A$3,D5590&lt;=$G$4,'calculated data '!$A$4,D5590&lt;=$G$6,'calculated data '!$A$5,D5590&gt;=$G$6,'calculated data '!$A$6)</f>
        <v>Target Market (Core IQR)</v>
      </c>
      <c r="F5590" s="10">
        <f t="shared" si="1"/>
        <v>-0.3452416288</v>
      </c>
    </row>
    <row r="5591" ht="14.25" customHeight="1">
      <c r="A5591" s="2" t="s">
        <v>221</v>
      </c>
      <c r="B5591" s="2" t="s">
        <v>222</v>
      </c>
      <c r="C5591" s="2">
        <v>1982.0</v>
      </c>
      <c r="D5591" s="9">
        <v>12016.431</v>
      </c>
      <c r="E5591" s="10" t="str">
        <f t="array" ref="E5591">IFS(D5591&lt;=$G$3,'calculated data '!$A$3,D5591&lt;=$G$4,'calculated data '!$A$4,D5591&lt;=$G$6,'calculated data '!$A$5,D5591&gt;=$G$6,'calculated data '!$A$6)</f>
        <v>Target Market (Core IQR)</v>
      </c>
      <c r="F5591" s="10">
        <f t="shared" si="1"/>
        <v>-0.3450995392</v>
      </c>
    </row>
    <row r="5592" ht="14.25" customHeight="1">
      <c r="A5592" s="2" t="s">
        <v>273</v>
      </c>
      <c r="B5592" s="2" t="s">
        <v>274</v>
      </c>
      <c r="C5592" s="2">
        <v>2005.0</v>
      </c>
      <c r="D5592" s="9">
        <v>12027.47</v>
      </c>
      <c r="E5592" s="10" t="str">
        <f t="array" ref="E5592">IFS(D5592&lt;=$G$3,'calculated data '!$A$3,D5592&lt;=$G$4,'calculated data '!$A$4,D5592&lt;=$G$6,'calculated data '!$A$5,D5592&gt;=$G$6,'calculated data '!$A$6)</f>
        <v>Target Market (Core IQR)</v>
      </c>
      <c r="F5592" s="10">
        <f t="shared" si="1"/>
        <v>-0.3448073396</v>
      </c>
    </row>
    <row r="5593" ht="14.25" customHeight="1">
      <c r="A5593" s="2" t="s">
        <v>317</v>
      </c>
      <c r="B5593" s="2" t="s">
        <v>318</v>
      </c>
      <c r="C5593" s="2">
        <v>1979.0</v>
      </c>
      <c r="D5593" s="9">
        <v>12035.376</v>
      </c>
      <c r="E5593" s="10" t="str">
        <f t="array" ref="E5593">IFS(D5593&lt;=$G$3,'calculated data '!$A$3,D5593&lt;=$G$4,'calculated data '!$A$4,D5593&lt;=$G$6,'calculated data '!$A$5,D5593&gt;=$G$6,'calculated data '!$A$6)</f>
        <v>Target Market (Core IQR)</v>
      </c>
      <c r="F5593" s="10">
        <f t="shared" si="1"/>
        <v>-0.3445980697</v>
      </c>
    </row>
    <row r="5594" ht="14.25" customHeight="1">
      <c r="A5594" s="2" t="s">
        <v>329</v>
      </c>
      <c r="B5594" s="2" t="s">
        <v>330</v>
      </c>
      <c r="C5594" s="2">
        <v>2001.0</v>
      </c>
      <c r="D5594" s="9">
        <v>12037.905</v>
      </c>
      <c r="E5594" s="10" t="str">
        <f t="array" ref="E5594">IFS(D5594&lt;=$G$3,'calculated data '!$A$3,D5594&lt;=$G$4,'calculated data '!$A$4,D5594&lt;=$G$6,'calculated data '!$A$5,D5594&gt;=$G$6,'calculated data '!$A$6)</f>
        <v>Target Market (Core IQR)</v>
      </c>
      <c r="F5594" s="10">
        <f t="shared" si="1"/>
        <v>-0.3445311277</v>
      </c>
    </row>
    <row r="5595" ht="14.25" customHeight="1">
      <c r="A5595" s="2" t="s">
        <v>99</v>
      </c>
      <c r="B5595" s="2" t="s">
        <v>100</v>
      </c>
      <c r="C5595" s="2">
        <v>2018.0</v>
      </c>
      <c r="D5595" s="9">
        <v>12040.488</v>
      </c>
      <c r="E5595" s="10" t="str">
        <f t="array" ref="E5595">IFS(D5595&lt;=$G$3,'calculated data '!$A$3,D5595&lt;=$G$4,'calculated data '!$A$4,D5595&lt;=$G$6,'calculated data '!$A$5,D5595&gt;=$G$6,'calculated data '!$A$6)</f>
        <v>Target Market (Core IQR)</v>
      </c>
      <c r="F5595" s="10">
        <f t="shared" si="1"/>
        <v>-0.3444627564</v>
      </c>
    </row>
    <row r="5596" ht="14.25" customHeight="1">
      <c r="A5596" s="2" t="s">
        <v>273</v>
      </c>
      <c r="B5596" s="2" t="s">
        <v>274</v>
      </c>
      <c r="C5596" s="2">
        <v>2002.0</v>
      </c>
      <c r="D5596" s="9">
        <v>12044.455</v>
      </c>
      <c r="E5596" s="10" t="str">
        <f t="array" ref="E5596">IFS(D5596&lt;=$G$3,'calculated data '!$A$3,D5596&lt;=$G$4,'calculated data '!$A$4,D5596&lt;=$G$6,'calculated data '!$A$5,D5596&gt;=$G$6,'calculated data '!$A$6)</f>
        <v>Target Market (Core IQR)</v>
      </c>
      <c r="F5596" s="10">
        <f t="shared" si="1"/>
        <v>-0.3443577509</v>
      </c>
    </row>
    <row r="5597" ht="14.25" customHeight="1">
      <c r="A5597" s="2" t="s">
        <v>31</v>
      </c>
      <c r="B5597" s="2" t="s">
        <v>32</v>
      </c>
      <c r="C5597" s="2">
        <v>1984.0</v>
      </c>
      <c r="D5597" s="9">
        <v>12058.781</v>
      </c>
      <c r="E5597" s="10" t="str">
        <f t="array" ref="E5597">IFS(D5597&lt;=$G$3,'calculated data '!$A$3,D5597&lt;=$G$4,'calculated data '!$A$4,D5597&lt;=$G$6,'calculated data '!$A$5,D5597&gt;=$G$6,'calculated data '!$A$6)</f>
        <v>Target Market (Core IQR)</v>
      </c>
      <c r="F5597" s="10">
        <f t="shared" si="1"/>
        <v>-0.3439785452</v>
      </c>
    </row>
    <row r="5598" ht="14.25" customHeight="1">
      <c r="A5598" s="2" t="s">
        <v>333</v>
      </c>
      <c r="B5598" s="2" t="s">
        <v>334</v>
      </c>
      <c r="C5598" s="2">
        <v>1998.0</v>
      </c>
      <c r="D5598" s="9">
        <v>12067.999</v>
      </c>
      <c r="E5598" s="10" t="str">
        <f t="array" ref="E5598">IFS(D5598&lt;=$G$3,'calculated data '!$A$3,D5598&lt;=$G$4,'calculated data '!$A$4,D5598&lt;=$G$6,'calculated data '!$A$5,D5598&gt;=$G$6,'calculated data '!$A$6)</f>
        <v>Target Market (Core IQR)</v>
      </c>
      <c r="F5598" s="10">
        <f t="shared" si="1"/>
        <v>-0.3437345471</v>
      </c>
    </row>
    <row r="5599" ht="14.25" customHeight="1">
      <c r="A5599" s="2" t="s">
        <v>45</v>
      </c>
      <c r="B5599" s="2" t="s">
        <v>46</v>
      </c>
      <c r="C5599" s="2">
        <v>1993.0</v>
      </c>
      <c r="D5599" s="9">
        <v>12077.754</v>
      </c>
      <c r="E5599" s="10" t="str">
        <f t="array" ref="E5599">IFS(D5599&lt;=$G$3,'calculated data '!$A$3,D5599&lt;=$G$4,'calculated data '!$A$4,D5599&lt;=$G$6,'calculated data '!$A$5,D5599&gt;=$G$6,'calculated data '!$A$6)</f>
        <v>Target Market (Core IQR)</v>
      </c>
      <c r="F5599" s="10">
        <f t="shared" si="1"/>
        <v>-0.3434763346</v>
      </c>
    </row>
    <row r="5600" ht="14.25" customHeight="1">
      <c r="A5600" s="2" t="s">
        <v>317</v>
      </c>
      <c r="B5600" s="2" t="s">
        <v>318</v>
      </c>
      <c r="C5600" s="2">
        <v>1981.0</v>
      </c>
      <c r="D5600" s="9">
        <v>12081.006</v>
      </c>
      <c r="E5600" s="10" t="str">
        <f t="array" ref="E5600">IFS(D5600&lt;=$G$3,'calculated data '!$A$3,D5600&lt;=$G$4,'calculated data '!$A$4,D5600&lt;=$G$6,'calculated data '!$A$5,D5600&gt;=$G$6,'calculated data '!$A$6)</f>
        <v>Target Market (Core IQR)</v>
      </c>
      <c r="F5600" s="10">
        <f t="shared" si="1"/>
        <v>-0.343390255</v>
      </c>
    </row>
    <row r="5601" ht="14.25" customHeight="1">
      <c r="A5601" s="2" t="s">
        <v>317</v>
      </c>
      <c r="B5601" s="2" t="s">
        <v>318</v>
      </c>
      <c r="C5601" s="2">
        <v>1980.0</v>
      </c>
      <c r="D5601" s="9">
        <v>12087.886</v>
      </c>
      <c r="E5601" s="10" t="str">
        <f t="array" ref="E5601">IFS(D5601&lt;=$G$3,'calculated data '!$A$3,D5601&lt;=$G$4,'calculated data '!$A$4,D5601&lt;=$G$6,'calculated data '!$A$5,D5601&gt;=$G$6,'calculated data '!$A$6)</f>
        <v>Target Market (Core IQR)</v>
      </c>
      <c r="F5601" s="10">
        <f t="shared" si="1"/>
        <v>-0.3432081431</v>
      </c>
    </row>
    <row r="5602" ht="14.25" customHeight="1">
      <c r="A5602" s="2" t="s">
        <v>141</v>
      </c>
      <c r="B5602" s="2" t="s">
        <v>142</v>
      </c>
      <c r="C5602" s="2">
        <v>2001.0</v>
      </c>
      <c r="D5602" s="9">
        <v>12099.617</v>
      </c>
      <c r="E5602" s="10" t="str">
        <f t="array" ref="E5602">IFS(D5602&lt;=$G$3,'calculated data '!$A$3,D5602&lt;=$G$4,'calculated data '!$A$4,D5602&lt;=$G$6,'calculated data '!$A$5,D5602&gt;=$G$6,'calculated data '!$A$6)</f>
        <v>Target Market (Core IQR)</v>
      </c>
      <c r="F5602" s="10">
        <f t="shared" si="1"/>
        <v>-0.3428976265</v>
      </c>
    </row>
    <row r="5603" ht="14.25" customHeight="1">
      <c r="A5603" s="2" t="s">
        <v>257</v>
      </c>
      <c r="B5603" s="2" t="s">
        <v>258</v>
      </c>
      <c r="C5603" s="2">
        <v>1984.0</v>
      </c>
      <c r="D5603" s="9">
        <v>12108.5</v>
      </c>
      <c r="E5603" s="10" t="str">
        <f t="array" ref="E5603">IFS(D5603&lt;=$G$3,'calculated data '!$A$3,D5603&lt;=$G$4,'calculated data '!$A$4,D5603&lt;=$G$6,'calculated data '!$A$5,D5603&gt;=$G$6,'calculated data '!$A$6)</f>
        <v>Target Market (Core IQR)</v>
      </c>
      <c r="F5603" s="10">
        <f t="shared" si="1"/>
        <v>-0.3426624957</v>
      </c>
    </row>
    <row r="5604" ht="14.25" customHeight="1">
      <c r="A5604" s="2" t="s">
        <v>207</v>
      </c>
      <c r="B5604" s="2" t="s">
        <v>208</v>
      </c>
      <c r="C5604" s="2">
        <v>2010.0</v>
      </c>
      <c r="D5604" s="9">
        <v>12121.938</v>
      </c>
      <c r="E5604" s="10" t="str">
        <f t="array" ref="E5604">IFS(D5604&lt;=$G$3,'calculated data '!$A$3,D5604&lt;=$G$4,'calculated data '!$A$4,D5604&lt;=$G$6,'calculated data '!$A$5,D5604&gt;=$G$6,'calculated data '!$A$6)</f>
        <v>Target Market (Core IQR)</v>
      </c>
      <c r="F5604" s="10">
        <f t="shared" si="1"/>
        <v>-0.3423067952</v>
      </c>
    </row>
    <row r="5605" ht="14.25" customHeight="1">
      <c r="A5605" s="2" t="s">
        <v>207</v>
      </c>
      <c r="B5605" s="2" t="s">
        <v>208</v>
      </c>
      <c r="C5605" s="2">
        <v>1987.0</v>
      </c>
      <c r="D5605" s="9">
        <v>12122.338</v>
      </c>
      <c r="E5605" s="10" t="str">
        <f t="array" ref="E5605">IFS(D5605&lt;=$G$3,'calculated data '!$A$3,D5605&lt;=$G$4,'calculated data '!$A$4,D5605&lt;=$G$6,'calculated data '!$A$5,D5605&gt;=$G$6,'calculated data '!$A$6)</f>
        <v>Target Market (Core IQR)</v>
      </c>
      <c r="F5605" s="10">
        <f t="shared" si="1"/>
        <v>-0.3422962073</v>
      </c>
    </row>
    <row r="5606" ht="14.25" customHeight="1">
      <c r="A5606" s="2" t="s">
        <v>273</v>
      </c>
      <c r="B5606" s="2" t="s">
        <v>274</v>
      </c>
      <c r="C5606" s="2">
        <v>1990.0</v>
      </c>
      <c r="D5606" s="9">
        <v>12123.009</v>
      </c>
      <c r="E5606" s="10" t="str">
        <f t="array" ref="E5606">IFS(D5606&lt;=$G$3,'calculated data '!$A$3,D5606&lt;=$G$4,'calculated data '!$A$4,D5606&lt;=$G$6,'calculated data '!$A$5,D5606&gt;=$G$6,'calculated data '!$A$6)</f>
        <v>Target Market (Core IQR)</v>
      </c>
      <c r="F5606" s="10">
        <f t="shared" si="1"/>
        <v>-0.3422784461</v>
      </c>
    </row>
    <row r="5607" ht="14.25" customHeight="1">
      <c r="A5607" s="2" t="s">
        <v>273</v>
      </c>
      <c r="B5607" s="2" t="s">
        <v>274</v>
      </c>
      <c r="C5607" s="2">
        <v>1989.0</v>
      </c>
      <c r="D5607" s="9">
        <v>12140.716</v>
      </c>
      <c r="E5607" s="10" t="str">
        <f t="array" ref="E5607">IFS(D5607&lt;=$G$3,'calculated data '!$A$3,D5607&lt;=$G$4,'calculated data '!$A$4,D5607&lt;=$G$6,'calculated data '!$A$5,D5607&gt;=$G$6,'calculated data '!$A$6)</f>
        <v>Target Market (Core IQR)</v>
      </c>
      <c r="F5607" s="10">
        <f t="shared" si="1"/>
        <v>-0.3418097462</v>
      </c>
    </row>
    <row r="5608" ht="14.25" customHeight="1">
      <c r="A5608" s="2" t="s">
        <v>313</v>
      </c>
      <c r="B5608" s="2" t="s">
        <v>314</v>
      </c>
      <c r="C5608" s="2">
        <v>1993.0</v>
      </c>
      <c r="D5608" s="9">
        <v>12143.477</v>
      </c>
      <c r="E5608" s="10" t="str">
        <f t="array" ref="E5608">IFS(D5608&lt;=$G$3,'calculated data '!$A$3,D5608&lt;=$G$4,'calculated data '!$A$4,D5608&lt;=$G$6,'calculated data '!$A$5,D5608&gt;=$G$6,'calculated data '!$A$6)</f>
        <v>Target Market (Core IQR)</v>
      </c>
      <c r="F5608" s="10">
        <f t="shared" si="1"/>
        <v>-0.3417366632</v>
      </c>
    </row>
    <row r="5609" ht="14.25" customHeight="1">
      <c r="A5609" s="2" t="s">
        <v>207</v>
      </c>
      <c r="B5609" s="2" t="s">
        <v>208</v>
      </c>
      <c r="C5609" s="2">
        <v>2008.0</v>
      </c>
      <c r="D5609" s="9">
        <v>12150.534</v>
      </c>
      <c r="E5609" s="10" t="str">
        <f t="array" ref="E5609">IFS(D5609&lt;=$G$3,'calculated data '!$A$3,D5609&lt;=$G$4,'calculated data '!$A$4,D5609&lt;=$G$6,'calculated data '!$A$5,D5609&gt;=$G$6,'calculated data '!$A$6)</f>
        <v>Target Market (Core IQR)</v>
      </c>
      <c r="F5609" s="10">
        <f t="shared" si="1"/>
        <v>-0.3415498662</v>
      </c>
    </row>
    <row r="5610" ht="14.25" customHeight="1">
      <c r="A5610" s="2" t="s">
        <v>203</v>
      </c>
      <c r="B5610" s="2" t="s">
        <v>204</v>
      </c>
      <c r="C5610" s="2">
        <v>2018.0</v>
      </c>
      <c r="D5610" s="9">
        <v>12157.783</v>
      </c>
      <c r="E5610" s="10" t="str">
        <f t="array" ref="E5610">IFS(D5610&lt;=$G$3,'calculated data '!$A$3,D5610&lt;=$G$4,'calculated data '!$A$4,D5610&lt;=$G$6,'calculated data '!$A$5,D5610&gt;=$G$6,'calculated data '!$A$6)</f>
        <v>Target Market (Core IQR)</v>
      </c>
      <c r="F5610" s="10">
        <f t="shared" si="1"/>
        <v>-0.3413579869</v>
      </c>
    </row>
    <row r="5611" ht="14.25" customHeight="1">
      <c r="A5611" s="2" t="s">
        <v>323</v>
      </c>
      <c r="B5611" s="2" t="s">
        <v>324</v>
      </c>
      <c r="C5611" s="2">
        <v>1991.0</v>
      </c>
      <c r="D5611" s="9">
        <v>12160.38</v>
      </c>
      <c r="E5611" s="10" t="str">
        <f t="array" ref="E5611">IFS(D5611&lt;=$G$3,'calculated data '!$A$3,D5611&lt;=$G$4,'calculated data '!$A$4,D5611&lt;=$G$6,'calculated data '!$A$5,D5611&gt;=$G$6,'calculated data '!$A$6)</f>
        <v>Target Market (Core IQR)</v>
      </c>
      <c r="F5611" s="10">
        <f t="shared" si="1"/>
        <v>-0.341289245</v>
      </c>
    </row>
    <row r="5612" ht="14.25" customHeight="1">
      <c r="A5612" s="2" t="s">
        <v>185</v>
      </c>
      <c r="B5612" s="2" t="s">
        <v>186</v>
      </c>
      <c r="C5612" s="2">
        <v>2009.0</v>
      </c>
      <c r="D5612" s="9">
        <v>12161.639</v>
      </c>
      <c r="E5612" s="10" t="str">
        <f t="array" ref="E5612">IFS(D5612&lt;=$G$3,'calculated data '!$A$3,D5612&lt;=$G$4,'calculated data '!$A$4,D5612&lt;=$G$6,'calculated data '!$A$5,D5612&gt;=$G$6,'calculated data '!$A$6)</f>
        <v>Target Market (Core IQR)</v>
      </c>
      <c r="F5612" s="10">
        <f t="shared" si="1"/>
        <v>-0.3412559196</v>
      </c>
    </row>
    <row r="5613" ht="14.25" customHeight="1">
      <c r="A5613" s="2" t="s">
        <v>221</v>
      </c>
      <c r="B5613" s="2" t="s">
        <v>222</v>
      </c>
      <c r="C5613" s="2">
        <v>1981.0</v>
      </c>
      <c r="D5613" s="9">
        <v>12169.133</v>
      </c>
      <c r="E5613" s="10" t="str">
        <f t="array" ref="E5613">IFS(D5613&lt;=$G$3,'calculated data '!$A$3,D5613&lt;=$G$4,'calculated data '!$A$4,D5613&lt;=$G$6,'calculated data '!$A$5,D5613&gt;=$G$6,'calculated data '!$A$6)</f>
        <v>Target Market (Core IQR)</v>
      </c>
      <c r="F5613" s="10">
        <f t="shared" si="1"/>
        <v>-0.3410575553</v>
      </c>
    </row>
    <row r="5614" ht="14.25" customHeight="1">
      <c r="A5614" s="2" t="s">
        <v>323</v>
      </c>
      <c r="B5614" s="2" t="s">
        <v>324</v>
      </c>
      <c r="C5614" s="2">
        <v>1988.0</v>
      </c>
      <c r="D5614" s="9">
        <v>12172.318</v>
      </c>
      <c r="E5614" s="10" t="str">
        <f t="array" ref="E5614">IFS(D5614&lt;=$G$3,'calculated data '!$A$3,D5614&lt;=$G$4,'calculated data '!$A$4,D5614&lt;=$G$6,'calculated data '!$A$5,D5614&gt;=$G$6,'calculated data '!$A$6)</f>
        <v>Target Market (Core IQR)</v>
      </c>
      <c r="F5614" s="10">
        <f t="shared" si="1"/>
        <v>-0.3409732491</v>
      </c>
    </row>
    <row r="5615" ht="14.25" customHeight="1">
      <c r="A5615" s="2" t="s">
        <v>309</v>
      </c>
      <c r="B5615" s="2" t="s">
        <v>310</v>
      </c>
      <c r="C5615" s="2">
        <v>1971.0</v>
      </c>
      <c r="D5615" s="9">
        <v>12172.686</v>
      </c>
      <c r="E5615" s="10" t="str">
        <f t="array" ref="E5615">IFS(D5615&lt;=$G$3,'calculated data '!$A$3,D5615&lt;=$G$4,'calculated data '!$A$4,D5615&lt;=$G$6,'calculated data '!$A$5,D5615&gt;=$G$6,'calculated data '!$A$6)</f>
        <v>Target Market (Core IQR)</v>
      </c>
      <c r="F5615" s="10">
        <f t="shared" si="1"/>
        <v>-0.3409635082</v>
      </c>
    </row>
    <row r="5616" ht="14.25" customHeight="1">
      <c r="A5616" s="2" t="s">
        <v>287</v>
      </c>
      <c r="B5616" s="2" t="s">
        <v>288</v>
      </c>
      <c r="C5616" s="2">
        <v>2023.0</v>
      </c>
      <c r="D5616" s="9">
        <v>12173.08</v>
      </c>
      <c r="E5616" s="10" t="str">
        <f t="array" ref="E5616">IFS(D5616&lt;=$G$3,'calculated data '!$A$3,D5616&lt;=$G$4,'calculated data '!$A$4,D5616&lt;=$G$6,'calculated data '!$A$5,D5616&gt;=$G$6,'calculated data '!$A$6)</f>
        <v>Target Market (Core IQR)</v>
      </c>
      <c r="F5616" s="10">
        <f t="shared" si="1"/>
        <v>-0.3409530792</v>
      </c>
    </row>
    <row r="5617" ht="14.25" customHeight="1">
      <c r="A5617" s="2" t="s">
        <v>203</v>
      </c>
      <c r="B5617" s="2" t="s">
        <v>204</v>
      </c>
      <c r="C5617" s="2">
        <v>2021.0</v>
      </c>
      <c r="D5617" s="9">
        <v>12173.642</v>
      </c>
      <c r="E5617" s="10" t="str">
        <f t="array" ref="E5617">IFS(D5617&lt;=$G$3,'calculated data '!$A$3,D5617&lt;=$G$4,'calculated data '!$A$4,D5617&lt;=$G$6,'calculated data '!$A$5,D5617&gt;=$G$6,'calculated data '!$A$6)</f>
        <v>Target Market (Core IQR)</v>
      </c>
      <c r="F5617" s="10">
        <f t="shared" si="1"/>
        <v>-0.3409382032</v>
      </c>
    </row>
    <row r="5618" ht="14.25" customHeight="1">
      <c r="A5618" s="2" t="s">
        <v>251</v>
      </c>
      <c r="B5618" s="2" t="s">
        <v>252</v>
      </c>
      <c r="C5618" s="2">
        <v>2017.0</v>
      </c>
      <c r="D5618" s="9">
        <v>12176.143</v>
      </c>
      <c r="E5618" s="10" t="str">
        <f t="array" ref="E5618">IFS(D5618&lt;=$G$3,'calculated data '!$A$3,D5618&lt;=$G$4,'calculated data '!$A$4,D5618&lt;=$G$6,'calculated data '!$A$5,D5618&gt;=$G$6,'calculated data '!$A$6)</f>
        <v>Target Market (Core IQR)</v>
      </c>
      <c r="F5618" s="10">
        <f t="shared" si="1"/>
        <v>-0.3408720023</v>
      </c>
    </row>
    <row r="5619" ht="14.25" customHeight="1">
      <c r="A5619" s="2" t="s">
        <v>207</v>
      </c>
      <c r="B5619" s="2" t="s">
        <v>208</v>
      </c>
      <c r="C5619" s="2">
        <v>1986.0</v>
      </c>
      <c r="D5619" s="9">
        <v>12178.29</v>
      </c>
      <c r="E5619" s="10" t="str">
        <f t="array" ref="E5619">IFS(D5619&lt;=$G$3,'calculated data '!$A$3,D5619&lt;=$G$4,'calculated data '!$A$4,D5619&lt;=$G$6,'calculated data '!$A$5,D5619&gt;=$G$6,'calculated data '!$A$6)</f>
        <v>Target Market (Core IQR)</v>
      </c>
      <c r="F5619" s="10">
        <f t="shared" si="1"/>
        <v>-0.3408151718</v>
      </c>
    </row>
    <row r="5620" ht="14.25" customHeight="1">
      <c r="A5620" s="2" t="s">
        <v>207</v>
      </c>
      <c r="B5620" s="2" t="s">
        <v>208</v>
      </c>
      <c r="C5620" s="2">
        <v>1984.0</v>
      </c>
      <c r="D5620" s="9">
        <v>12190.297</v>
      </c>
      <c r="E5620" s="10" t="str">
        <f t="array" ref="E5620">IFS(D5620&lt;=$G$3,'calculated data '!$A$3,D5620&lt;=$G$4,'calculated data '!$A$4,D5620&lt;=$G$6,'calculated data '!$A$5,D5620&gt;=$G$6,'calculated data '!$A$6)</f>
        <v>Target Market (Core IQR)</v>
      </c>
      <c r="F5620" s="10">
        <f t="shared" si="1"/>
        <v>-0.3404973495</v>
      </c>
    </row>
    <row r="5621" ht="14.25" customHeight="1">
      <c r="A5621" s="2" t="s">
        <v>333</v>
      </c>
      <c r="B5621" s="2" t="s">
        <v>334</v>
      </c>
      <c r="C5621" s="2">
        <v>2010.0</v>
      </c>
      <c r="D5621" s="9">
        <v>12214.337</v>
      </c>
      <c r="E5621" s="10" t="str">
        <f t="array" ref="E5621">IFS(D5621&lt;=$G$3,'calculated data '!$A$3,D5621&lt;=$G$4,'calculated data '!$A$4,D5621&lt;=$G$6,'calculated data '!$A$5,D5621&gt;=$G$6,'calculated data '!$A$6)</f>
        <v>Target Market (Core IQR)</v>
      </c>
      <c r="F5621" s="10">
        <f t="shared" si="1"/>
        <v>-0.3398610166</v>
      </c>
    </row>
    <row r="5622" ht="14.25" customHeight="1">
      <c r="A5622" s="2" t="s">
        <v>325</v>
      </c>
      <c r="B5622" s="2" t="s">
        <v>326</v>
      </c>
      <c r="C5622" s="2">
        <v>2008.0</v>
      </c>
      <c r="D5622" s="9">
        <v>12216.934</v>
      </c>
      <c r="E5622" s="10" t="str">
        <f t="array" ref="E5622">IFS(D5622&lt;=$G$3,'calculated data '!$A$3,D5622&lt;=$G$4,'calculated data '!$A$4,D5622&lt;=$G$6,'calculated data '!$A$5,D5622&gt;=$G$6,'calculated data '!$A$6)</f>
        <v>Target Market (Core IQR)</v>
      </c>
      <c r="F5622" s="10">
        <f t="shared" si="1"/>
        <v>-0.3397922747</v>
      </c>
    </row>
    <row r="5623" ht="14.25" customHeight="1">
      <c r="A5623" s="2" t="s">
        <v>269</v>
      </c>
      <c r="B5623" s="2" t="s">
        <v>270</v>
      </c>
      <c r="C5623" s="2">
        <v>2001.0</v>
      </c>
      <c r="D5623" s="9">
        <v>12221.478</v>
      </c>
      <c r="E5623" s="10" t="str">
        <f t="array" ref="E5623">IFS(D5623&lt;=$G$3,'calculated data '!$A$3,D5623&lt;=$G$4,'calculated data '!$A$4,D5623&lt;=$G$6,'calculated data '!$A$5,D5623&gt;=$G$6,'calculated data '!$A$6)</f>
        <v>Target Market (Core IQR)</v>
      </c>
      <c r="F5623" s="10">
        <f t="shared" si="1"/>
        <v>-0.3396719962</v>
      </c>
    </row>
    <row r="5624" ht="14.25" customHeight="1">
      <c r="A5624" s="2" t="s">
        <v>269</v>
      </c>
      <c r="B5624" s="2" t="s">
        <v>270</v>
      </c>
      <c r="C5624" s="2">
        <v>1993.0</v>
      </c>
      <c r="D5624" s="9">
        <v>12228.985</v>
      </c>
      <c r="E5624" s="10" t="str">
        <f t="array" ref="E5624">IFS(D5624&lt;=$G$3,'calculated data '!$A$3,D5624&lt;=$G$4,'calculated data '!$A$4,D5624&lt;=$G$6,'calculated data '!$A$5,D5624&gt;=$G$6,'calculated data '!$A$6)</f>
        <v>Target Market (Core IQR)</v>
      </c>
      <c r="F5624" s="10">
        <f t="shared" si="1"/>
        <v>-0.3394732877</v>
      </c>
    </row>
    <row r="5625" ht="14.25" customHeight="1">
      <c r="A5625" s="2" t="s">
        <v>273</v>
      </c>
      <c r="B5625" s="2" t="s">
        <v>274</v>
      </c>
      <c r="C5625" s="2">
        <v>1994.0</v>
      </c>
      <c r="D5625" s="9">
        <v>12238.045</v>
      </c>
      <c r="E5625" s="10" t="str">
        <f t="array" ref="E5625">IFS(D5625&lt;=$G$3,'calculated data '!$A$3,D5625&lt;=$G$4,'calculated data '!$A$4,D5625&lt;=$G$6,'calculated data '!$A$5,D5625&gt;=$G$6,'calculated data '!$A$6)</f>
        <v>Target Market (Core IQR)</v>
      </c>
      <c r="F5625" s="10">
        <f t="shared" si="1"/>
        <v>-0.3392334718</v>
      </c>
    </row>
    <row r="5626" ht="14.25" customHeight="1">
      <c r="A5626" s="2" t="s">
        <v>323</v>
      </c>
      <c r="B5626" s="2" t="s">
        <v>324</v>
      </c>
      <c r="C5626" s="2">
        <v>1992.0</v>
      </c>
      <c r="D5626" s="9">
        <v>12239.172</v>
      </c>
      <c r="E5626" s="10" t="str">
        <f t="array" ref="E5626">IFS(D5626&lt;=$G$3,'calculated data '!$A$3,D5626&lt;=$G$4,'calculated data '!$A$4,D5626&lt;=$G$6,'calculated data '!$A$5,D5626&gt;=$G$6,'calculated data '!$A$6)</f>
        <v>Target Market (Core IQR)</v>
      </c>
      <c r="F5626" s="10">
        <f t="shared" si="1"/>
        <v>-0.3392036404</v>
      </c>
    </row>
    <row r="5627" ht="14.25" customHeight="1">
      <c r="A5627" s="2" t="s">
        <v>303</v>
      </c>
      <c r="B5627" s="2" t="s">
        <v>304</v>
      </c>
      <c r="C5627" s="2">
        <v>2010.0</v>
      </c>
      <c r="D5627" s="9">
        <v>12244.189</v>
      </c>
      <c r="E5627" s="10" t="str">
        <f t="array" ref="E5627">IFS(D5627&lt;=$G$3,'calculated data '!$A$3,D5627&lt;=$G$4,'calculated data '!$A$4,D5627&lt;=$G$6,'calculated data '!$A$5,D5627&gt;=$G$6,'calculated data '!$A$6)</f>
        <v>Target Market (Core IQR)</v>
      </c>
      <c r="F5627" s="10">
        <f t="shared" si="1"/>
        <v>-0.3390708416</v>
      </c>
    </row>
    <row r="5628" ht="14.25" customHeight="1">
      <c r="A5628" s="2" t="s">
        <v>301</v>
      </c>
      <c r="B5628" s="2" t="s">
        <v>302</v>
      </c>
      <c r="C5628" s="2">
        <v>1979.0</v>
      </c>
      <c r="D5628" s="9">
        <v>12248.468</v>
      </c>
      <c r="E5628" s="10" t="str">
        <f t="array" ref="E5628">IFS(D5628&lt;=$G$3,'calculated data '!$A$3,D5628&lt;=$G$4,'calculated data '!$A$4,D5628&lt;=$G$6,'calculated data '!$A$5,D5628&gt;=$G$6,'calculated data '!$A$6)</f>
        <v>Target Market (Core IQR)</v>
      </c>
      <c r="F5628" s="10">
        <f t="shared" si="1"/>
        <v>-0.3389575776</v>
      </c>
    </row>
    <row r="5629" ht="14.25" customHeight="1">
      <c r="A5629" s="2" t="s">
        <v>263</v>
      </c>
      <c r="B5629" s="2" t="s">
        <v>264</v>
      </c>
      <c r="C5629" s="2">
        <v>2024.0</v>
      </c>
      <c r="D5629" s="9">
        <v>12252.859</v>
      </c>
      <c r="E5629" s="10" t="str">
        <f t="array" ref="E5629">IFS(D5629&lt;=$G$3,'calculated data '!$A$3,D5629&lt;=$G$4,'calculated data '!$A$4,D5629&lt;=$G$6,'calculated data '!$A$5,D5629&gt;=$G$6,'calculated data '!$A$6)</f>
        <v>Target Market (Core IQR)</v>
      </c>
      <c r="F5629" s="10">
        <f t="shared" si="1"/>
        <v>-0.3388413489</v>
      </c>
    </row>
    <row r="5630" ht="14.25" customHeight="1">
      <c r="A5630" s="2" t="s">
        <v>273</v>
      </c>
      <c r="B5630" s="2" t="s">
        <v>274</v>
      </c>
      <c r="C5630" s="2">
        <v>2004.0</v>
      </c>
      <c r="D5630" s="9">
        <v>12253.705</v>
      </c>
      <c r="E5630" s="10" t="str">
        <f t="array" ref="E5630">IFS(D5630&lt;=$G$3,'calculated data '!$A$3,D5630&lt;=$G$4,'calculated data '!$A$4,D5630&lt;=$G$6,'calculated data '!$A$5,D5630&gt;=$G$6,'calculated data '!$A$6)</f>
        <v>Target Market (Core IQR)</v>
      </c>
      <c r="F5630" s="10">
        <f t="shared" si="1"/>
        <v>-0.3388189555</v>
      </c>
    </row>
    <row r="5631" ht="14.25" customHeight="1">
      <c r="A5631" s="2" t="s">
        <v>303</v>
      </c>
      <c r="B5631" s="2" t="s">
        <v>304</v>
      </c>
      <c r="C5631" s="2">
        <v>1985.0</v>
      </c>
      <c r="D5631" s="9">
        <v>12268.706</v>
      </c>
      <c r="E5631" s="10" t="str">
        <f t="array" ref="E5631">IFS(D5631&lt;=$G$3,'calculated data '!$A$3,D5631&lt;=$G$4,'calculated data '!$A$4,D5631&lt;=$G$6,'calculated data '!$A$5,D5631&gt;=$G$6,'calculated data '!$A$6)</f>
        <v>Target Market (Core IQR)</v>
      </c>
      <c r="F5631" s="10">
        <f t="shared" si="1"/>
        <v>-0.3384218828</v>
      </c>
    </row>
    <row r="5632" ht="14.25" customHeight="1">
      <c r="A5632" s="2" t="s">
        <v>333</v>
      </c>
      <c r="B5632" s="2" t="s">
        <v>334</v>
      </c>
      <c r="C5632" s="2">
        <v>1996.0</v>
      </c>
      <c r="D5632" s="9">
        <v>12270.518</v>
      </c>
      <c r="E5632" s="10" t="str">
        <f t="array" ref="E5632">IFS(D5632&lt;=$G$3,'calculated data '!$A$3,D5632&lt;=$G$4,'calculated data '!$A$4,D5632&lt;=$G$6,'calculated data '!$A$5,D5632&gt;=$G$6,'calculated data '!$A$6)</f>
        <v>Target Market (Core IQR)</v>
      </c>
      <c r="F5632" s="10">
        <f t="shared" si="1"/>
        <v>-0.3383739196</v>
      </c>
    </row>
    <row r="5633" ht="14.25" customHeight="1">
      <c r="A5633" s="2" t="s">
        <v>231</v>
      </c>
      <c r="B5633" s="2" t="s">
        <v>232</v>
      </c>
      <c r="C5633" s="2">
        <v>2000.0</v>
      </c>
      <c r="D5633" s="9">
        <v>12281.969</v>
      </c>
      <c r="E5633" s="10" t="str">
        <f t="array" ref="E5633">IFS(D5633&lt;=$G$3,'calculated data '!$A$3,D5633&lt;=$G$4,'calculated data '!$A$4,D5633&lt;=$G$6,'calculated data '!$A$5,D5633&gt;=$G$6,'calculated data '!$A$6)</f>
        <v>Target Market (Core IQR)</v>
      </c>
      <c r="F5633" s="10">
        <f t="shared" si="1"/>
        <v>-0.3380708145</v>
      </c>
    </row>
    <row r="5634" ht="14.25" customHeight="1">
      <c r="A5634" s="2" t="s">
        <v>339</v>
      </c>
      <c r="B5634" s="2" t="s">
        <v>340</v>
      </c>
      <c r="C5634" s="2">
        <v>1987.0</v>
      </c>
      <c r="D5634" s="9">
        <v>12284.661</v>
      </c>
      <c r="E5634" s="10" t="str">
        <f t="array" ref="E5634">IFS(D5634&lt;=$G$3,'calculated data '!$A$3,D5634&lt;=$G$4,'calculated data '!$A$4,D5634&lt;=$G$6,'calculated data '!$A$5,D5634&gt;=$G$6,'calculated data '!$A$6)</f>
        <v>Target Market (Core IQR)</v>
      </c>
      <c r="F5634" s="10">
        <f t="shared" si="1"/>
        <v>-0.3379995579</v>
      </c>
    </row>
    <row r="5635" ht="14.25" customHeight="1">
      <c r="A5635" s="2" t="s">
        <v>317</v>
      </c>
      <c r="B5635" s="2" t="s">
        <v>318</v>
      </c>
      <c r="C5635" s="2">
        <v>1982.0</v>
      </c>
      <c r="D5635" s="9">
        <v>12289.43</v>
      </c>
      <c r="E5635" s="10" t="str">
        <f t="array" ref="E5635">IFS(D5635&lt;=$G$3,'calculated data '!$A$3,D5635&lt;=$G$4,'calculated data '!$A$4,D5635&lt;=$G$6,'calculated data '!$A$5,D5635&gt;=$G$6,'calculated data '!$A$6)</f>
        <v>Target Market (Core IQR)</v>
      </c>
      <c r="F5635" s="10">
        <f t="shared" si="1"/>
        <v>-0.3378733236</v>
      </c>
    </row>
    <row r="5636" ht="14.25" customHeight="1">
      <c r="A5636" s="2" t="s">
        <v>341</v>
      </c>
      <c r="B5636" s="2" t="s">
        <v>342</v>
      </c>
      <c r="C5636" s="2">
        <v>1999.0</v>
      </c>
      <c r="D5636" s="9">
        <v>12289.545</v>
      </c>
      <c r="E5636" s="10" t="str">
        <f t="array" ref="E5636">IFS(D5636&lt;=$G$3,'calculated data '!$A$3,D5636&lt;=$G$4,'calculated data '!$A$4,D5636&lt;=$G$6,'calculated data '!$A$5,D5636&gt;=$G$6,'calculated data '!$A$6)</f>
        <v>Target Market (Core IQR)</v>
      </c>
      <c r="F5636" s="10">
        <f t="shared" si="1"/>
        <v>-0.3378702796</v>
      </c>
    </row>
    <row r="5637" ht="14.25" customHeight="1">
      <c r="A5637" s="2" t="s">
        <v>287</v>
      </c>
      <c r="B5637" s="2" t="s">
        <v>288</v>
      </c>
      <c r="C5637" s="2">
        <v>2024.0</v>
      </c>
      <c r="D5637" s="9">
        <v>12290.366</v>
      </c>
      <c r="E5637" s="10" t="str">
        <f t="array" ref="E5637">IFS(D5637&lt;=$G$3,'calculated data '!$A$3,D5637&lt;=$G$4,'calculated data '!$A$4,D5637&lt;=$G$6,'calculated data '!$A$5,D5637&gt;=$G$6,'calculated data '!$A$6)</f>
        <v>Target Market (Core IQR)</v>
      </c>
      <c r="F5637" s="10">
        <f t="shared" si="1"/>
        <v>-0.337848548</v>
      </c>
    </row>
    <row r="5638" ht="14.25" customHeight="1">
      <c r="A5638" s="2" t="s">
        <v>309</v>
      </c>
      <c r="B5638" s="2" t="s">
        <v>310</v>
      </c>
      <c r="C5638" s="2">
        <v>1970.0</v>
      </c>
      <c r="D5638" s="9">
        <v>12294.843</v>
      </c>
      <c r="E5638" s="10" t="str">
        <f t="array" ref="E5638">IFS(D5638&lt;=$G$3,'calculated data '!$A$3,D5638&lt;=$G$4,'calculated data '!$A$4,D5638&lt;=$G$6,'calculated data '!$A$5,D5638&gt;=$G$6,'calculated data '!$A$6)</f>
        <v>Target Market (Core IQR)</v>
      </c>
      <c r="F5638" s="10">
        <f t="shared" si="1"/>
        <v>-0.3377300429</v>
      </c>
    </row>
    <row r="5639" ht="14.25" customHeight="1">
      <c r="A5639" s="2" t="s">
        <v>333</v>
      </c>
      <c r="B5639" s="2" t="s">
        <v>334</v>
      </c>
      <c r="C5639" s="2">
        <v>2000.0</v>
      </c>
      <c r="D5639" s="9">
        <v>12299.419</v>
      </c>
      <c r="E5639" s="10" t="str">
        <f t="array" ref="E5639">IFS(D5639&lt;=$G$3,'calculated data '!$A$3,D5639&lt;=$G$4,'calculated data '!$A$4,D5639&lt;=$G$6,'calculated data '!$A$5,D5639&gt;=$G$6,'calculated data '!$A$6)</f>
        <v>Target Market (Core IQR)</v>
      </c>
      <c r="F5639" s="10">
        <f t="shared" si="1"/>
        <v>-0.3376089173</v>
      </c>
    </row>
    <row r="5640" ht="14.25" customHeight="1">
      <c r="A5640" s="2" t="s">
        <v>297</v>
      </c>
      <c r="B5640" s="2" t="s">
        <v>298</v>
      </c>
      <c r="C5640" s="2">
        <v>2013.0</v>
      </c>
      <c r="D5640" s="9">
        <v>12308.174</v>
      </c>
      <c r="E5640" s="10" t="str">
        <f t="array" ref="E5640">IFS(D5640&lt;=$G$3,'calculated data '!$A$3,D5640&lt;=$G$4,'calculated data '!$A$4,D5640&lt;=$G$6,'calculated data '!$A$5,D5640&gt;=$G$6,'calculated data '!$A$6)</f>
        <v>Target Market (Core IQR)</v>
      </c>
      <c r="F5640" s="10">
        <f t="shared" si="1"/>
        <v>-0.3373771746</v>
      </c>
    </row>
    <row r="5641" ht="14.25" customHeight="1">
      <c r="A5641" s="2" t="s">
        <v>333</v>
      </c>
      <c r="B5641" s="2" t="s">
        <v>334</v>
      </c>
      <c r="C5641" s="2">
        <v>2013.0</v>
      </c>
      <c r="D5641" s="9">
        <v>12308.972</v>
      </c>
      <c r="E5641" s="10" t="str">
        <f t="array" ref="E5641">IFS(D5641&lt;=$G$3,'calculated data '!$A$3,D5641&lt;=$G$4,'calculated data '!$A$4,D5641&lt;=$G$6,'calculated data '!$A$5,D5641&gt;=$G$6,'calculated data '!$A$6)</f>
        <v>Target Market (Core IQR)</v>
      </c>
      <c r="F5641" s="10">
        <f t="shared" si="1"/>
        <v>-0.3373560518</v>
      </c>
    </row>
    <row r="5642" ht="14.25" customHeight="1">
      <c r="A5642" s="2" t="s">
        <v>285</v>
      </c>
      <c r="B5642" s="2" t="s">
        <v>286</v>
      </c>
      <c r="C5642" s="2">
        <v>1990.0</v>
      </c>
      <c r="D5642" s="9">
        <v>12313.418</v>
      </c>
      <c r="E5642" s="10" t="str">
        <f t="array" ref="E5642">IFS(D5642&lt;=$G$3,'calculated data '!$A$3,D5642&lt;=$G$4,'calculated data '!$A$4,D5642&lt;=$G$6,'calculated data '!$A$5,D5642&gt;=$G$6,'calculated data '!$A$6)</f>
        <v>Target Market (Core IQR)</v>
      </c>
      <c r="F5642" s="10">
        <f t="shared" si="1"/>
        <v>-0.3372383673</v>
      </c>
    </row>
    <row r="5643" ht="14.25" customHeight="1">
      <c r="A5643" s="2" t="s">
        <v>45</v>
      </c>
      <c r="B5643" s="2" t="s">
        <v>46</v>
      </c>
      <c r="C5643" s="2">
        <v>1994.0</v>
      </c>
      <c r="D5643" s="9">
        <v>12314.694</v>
      </c>
      <c r="E5643" s="10" t="str">
        <f t="array" ref="E5643">IFS(D5643&lt;=$G$3,'calculated data '!$A$3,D5643&lt;=$G$4,'calculated data '!$A$4,D5643&lt;=$G$6,'calculated data '!$A$5,D5643&gt;=$G$6,'calculated data '!$A$6)</f>
        <v>Target Market (Core IQR)</v>
      </c>
      <c r="F5643" s="10">
        <f t="shared" si="1"/>
        <v>-0.3372045919</v>
      </c>
    </row>
    <row r="5644" ht="14.25" customHeight="1">
      <c r="A5644" s="2" t="s">
        <v>31</v>
      </c>
      <c r="B5644" s="2" t="s">
        <v>32</v>
      </c>
      <c r="C5644" s="2">
        <v>1987.0</v>
      </c>
      <c r="D5644" s="9">
        <v>12327.224</v>
      </c>
      <c r="E5644" s="10" t="str">
        <f t="array" ref="E5644">IFS(D5644&lt;=$G$3,'calculated data '!$A$3,D5644&lt;=$G$4,'calculated data '!$A$4,D5644&lt;=$G$6,'calculated data '!$A$5,D5644&gt;=$G$6,'calculated data '!$A$6)</f>
        <v>Target Market (Core IQR)</v>
      </c>
      <c r="F5644" s="10">
        <f t="shared" si="1"/>
        <v>-0.3368729259</v>
      </c>
    </row>
    <row r="5645" ht="14.25" customHeight="1">
      <c r="A5645" s="2" t="s">
        <v>269</v>
      </c>
      <c r="B5645" s="2" t="s">
        <v>270</v>
      </c>
      <c r="C5645" s="2">
        <v>2003.0</v>
      </c>
      <c r="D5645" s="9">
        <v>12345.578</v>
      </c>
      <c r="E5645" s="10" t="str">
        <f t="array" ref="E5645">IFS(D5645&lt;=$G$3,'calculated data '!$A$3,D5645&lt;=$G$4,'calculated data '!$A$4,D5645&lt;=$G$6,'calculated data '!$A$5,D5645&gt;=$G$6,'calculated data '!$A$6)</f>
        <v>Target Market (Core IQR)</v>
      </c>
      <c r="F5645" s="10">
        <f t="shared" si="1"/>
        <v>-0.3363871001</v>
      </c>
    </row>
    <row r="5646" ht="14.25" customHeight="1">
      <c r="A5646" s="2" t="s">
        <v>287</v>
      </c>
      <c r="B5646" s="2" t="s">
        <v>288</v>
      </c>
      <c r="C5646" s="2">
        <v>1994.0</v>
      </c>
      <c r="D5646" s="9">
        <v>12358.376</v>
      </c>
      <c r="E5646" s="10" t="str">
        <f t="array" ref="E5646">IFS(D5646&lt;=$G$3,'calculated data '!$A$3,D5646&lt;=$G$4,'calculated data '!$A$4,D5646&lt;=$G$6,'calculated data '!$A$5,D5646&gt;=$G$6,'calculated data '!$A$6)</f>
        <v>Target Market (Core IQR)</v>
      </c>
      <c r="F5646" s="10">
        <f t="shared" si="1"/>
        <v>-0.3360483402</v>
      </c>
    </row>
    <row r="5647" ht="14.25" customHeight="1">
      <c r="A5647" s="2" t="s">
        <v>319</v>
      </c>
      <c r="B5647" s="2" t="s">
        <v>320</v>
      </c>
      <c r="C5647" s="2">
        <v>1970.0</v>
      </c>
      <c r="D5647" s="9">
        <v>12363.76</v>
      </c>
      <c r="E5647" s="10" t="str">
        <f t="array" ref="E5647">IFS(D5647&lt;=$G$3,'calculated data '!$A$3,D5647&lt;=$G$4,'calculated data '!$A$4,D5647&lt;=$G$6,'calculated data '!$A$5,D5647&gt;=$G$6,'calculated data '!$A$6)</f>
        <v>Target Market (Core IQR)</v>
      </c>
      <c r="F5647" s="10">
        <f t="shared" si="1"/>
        <v>-0.3359058271</v>
      </c>
    </row>
    <row r="5648" ht="14.25" customHeight="1">
      <c r="A5648" s="2" t="s">
        <v>329</v>
      </c>
      <c r="B5648" s="2" t="s">
        <v>330</v>
      </c>
      <c r="C5648" s="2">
        <v>2004.0</v>
      </c>
      <c r="D5648" s="9">
        <v>12388.601</v>
      </c>
      <c r="E5648" s="10" t="str">
        <f t="array" ref="E5648">IFS(D5648&lt;=$G$3,'calculated data '!$A$3,D5648&lt;=$G$4,'calculated data '!$A$4,D5648&lt;=$G$6,'calculated data '!$A$5,D5648&gt;=$G$6,'calculated data '!$A$6)</f>
        <v>Target Market (Core IQR)</v>
      </c>
      <c r="F5648" s="10">
        <f t="shared" si="1"/>
        <v>-0.335248292</v>
      </c>
    </row>
    <row r="5649" ht="14.25" customHeight="1">
      <c r="A5649" s="2" t="s">
        <v>251</v>
      </c>
      <c r="B5649" s="2" t="s">
        <v>252</v>
      </c>
      <c r="C5649" s="2">
        <v>2016.0</v>
      </c>
      <c r="D5649" s="9">
        <v>12392.11</v>
      </c>
      <c r="E5649" s="10" t="str">
        <f t="array" ref="E5649">IFS(D5649&lt;=$G$3,'calculated data '!$A$3,D5649&lt;=$G$4,'calculated data '!$A$4,D5649&lt;=$G$6,'calculated data '!$A$5,D5649&gt;=$G$6,'calculated data '!$A$6)</f>
        <v>Target Market (Core IQR)</v>
      </c>
      <c r="F5649" s="10">
        <f t="shared" si="1"/>
        <v>-0.3351554096</v>
      </c>
    </row>
    <row r="5650" ht="14.25" customHeight="1">
      <c r="A5650" s="2" t="s">
        <v>207</v>
      </c>
      <c r="B5650" s="2" t="s">
        <v>208</v>
      </c>
      <c r="C5650" s="2">
        <v>1990.0</v>
      </c>
      <c r="D5650" s="9">
        <v>12401.948</v>
      </c>
      <c r="E5650" s="10" t="str">
        <f t="array" ref="E5650">IFS(D5650&lt;=$G$3,'calculated data '!$A$3,D5650&lt;=$G$4,'calculated data '!$A$4,D5650&lt;=$G$6,'calculated data '!$A$5,D5650&gt;=$G$6,'calculated data '!$A$6)</f>
        <v>Target Market (Core IQR)</v>
      </c>
      <c r="F5650" s="10">
        <f t="shared" si="1"/>
        <v>-0.3348950002</v>
      </c>
    </row>
    <row r="5651" ht="14.25" customHeight="1">
      <c r="A5651" s="2" t="s">
        <v>203</v>
      </c>
      <c r="B5651" s="2" t="s">
        <v>204</v>
      </c>
      <c r="C5651" s="2">
        <v>2022.0</v>
      </c>
      <c r="D5651" s="9">
        <v>12408.829</v>
      </c>
      <c r="E5651" s="10" t="str">
        <f t="array" ref="E5651">IFS(D5651&lt;=$G$3,'calculated data '!$A$3,D5651&lt;=$G$4,'calculated data '!$A$4,D5651&lt;=$G$6,'calculated data '!$A$5,D5651&gt;=$G$6,'calculated data '!$A$6)</f>
        <v>Target Market (Core IQR)</v>
      </c>
      <c r="F5651" s="10">
        <f t="shared" si="1"/>
        <v>-0.3347128618</v>
      </c>
    </row>
    <row r="5652" ht="14.25" customHeight="1">
      <c r="A5652" s="2" t="s">
        <v>303</v>
      </c>
      <c r="B5652" s="2" t="s">
        <v>304</v>
      </c>
      <c r="C5652" s="2">
        <v>1989.0</v>
      </c>
      <c r="D5652" s="9">
        <v>12411.858</v>
      </c>
      <c r="E5652" s="10" t="str">
        <f t="array" ref="E5652">IFS(D5652&lt;=$G$3,'calculated data '!$A$3,D5652&lt;=$G$4,'calculated data '!$A$4,D5652&lt;=$G$6,'calculated data '!$A$5,D5652&gt;=$G$6,'calculated data '!$A$6)</f>
        <v>Target Market (Core IQR)</v>
      </c>
      <c r="F5652" s="10">
        <f t="shared" si="1"/>
        <v>-0.334632685</v>
      </c>
    </row>
    <row r="5653" ht="14.25" customHeight="1">
      <c r="A5653" s="2" t="s">
        <v>323</v>
      </c>
      <c r="B5653" s="2" t="s">
        <v>324</v>
      </c>
      <c r="C5653" s="2">
        <v>1986.0</v>
      </c>
      <c r="D5653" s="9">
        <v>12415.851</v>
      </c>
      <c r="E5653" s="10" t="str">
        <f t="array" ref="E5653">IFS(D5653&lt;=$G$3,'calculated data '!$A$3,D5653&lt;=$G$4,'calculated data '!$A$4,D5653&lt;=$G$6,'calculated data '!$A$5,D5653&gt;=$G$6,'calculated data '!$A$6)</f>
        <v>Target Market (Core IQR)</v>
      </c>
      <c r="F5653" s="10">
        <f t="shared" si="1"/>
        <v>-0.3345269913</v>
      </c>
    </row>
    <row r="5654" ht="14.25" customHeight="1">
      <c r="A5654" s="2" t="s">
        <v>309</v>
      </c>
      <c r="B5654" s="2" t="s">
        <v>310</v>
      </c>
      <c r="C5654" s="2">
        <v>1975.0</v>
      </c>
      <c r="D5654" s="9">
        <v>12420.538</v>
      </c>
      <c r="E5654" s="10" t="str">
        <f t="array" ref="E5654">IFS(D5654&lt;=$G$3,'calculated data '!$A$3,D5654&lt;=$G$4,'calculated data '!$A$4,D5654&lt;=$G$6,'calculated data '!$A$5,D5654&gt;=$G$6,'calculated data '!$A$6)</f>
        <v>Target Market (Core IQR)</v>
      </c>
      <c r="F5654" s="10">
        <f t="shared" si="1"/>
        <v>-0.3344029275</v>
      </c>
    </row>
    <row r="5655" ht="14.25" customHeight="1">
      <c r="A5655" s="2" t="s">
        <v>231</v>
      </c>
      <c r="B5655" s="2" t="s">
        <v>232</v>
      </c>
      <c r="C5655" s="2">
        <v>2003.0</v>
      </c>
      <c r="D5655" s="9">
        <v>12424.821</v>
      </c>
      <c r="E5655" s="10" t="str">
        <f t="array" ref="E5655">IFS(D5655&lt;=$G$3,'calculated data '!$A$3,D5655&lt;=$G$4,'calculated data '!$A$4,D5655&lt;=$G$6,'calculated data '!$A$5,D5655&gt;=$G$6,'calculated data '!$A$6)</f>
        <v>Target Market (Core IQR)</v>
      </c>
      <c r="F5655" s="10">
        <f t="shared" si="1"/>
        <v>-0.3342895576</v>
      </c>
    </row>
    <row r="5656" ht="14.25" customHeight="1">
      <c r="A5656" s="2" t="s">
        <v>269</v>
      </c>
      <c r="B5656" s="2" t="s">
        <v>270</v>
      </c>
      <c r="C5656" s="2">
        <v>1996.0</v>
      </c>
      <c r="D5656" s="9">
        <v>12427.435</v>
      </c>
      <c r="E5656" s="10" t="str">
        <f t="array" ref="E5656">IFS(D5656&lt;=$G$3,'calculated data '!$A$3,D5656&lt;=$G$4,'calculated data '!$A$4,D5656&lt;=$G$6,'calculated data '!$A$5,D5656&gt;=$G$6,'calculated data '!$A$6)</f>
        <v>Target Market (Core IQR)</v>
      </c>
      <c r="F5656" s="10">
        <f t="shared" si="1"/>
        <v>-0.3342203657</v>
      </c>
    </row>
    <row r="5657" ht="14.25" customHeight="1">
      <c r="A5657" s="2" t="s">
        <v>207</v>
      </c>
      <c r="B5657" s="2" t="s">
        <v>208</v>
      </c>
      <c r="C5657" s="2">
        <v>1982.0</v>
      </c>
      <c r="D5657" s="9">
        <v>12438.12</v>
      </c>
      <c r="E5657" s="10" t="str">
        <f t="array" ref="E5657">IFS(D5657&lt;=$G$3,'calculated data '!$A$3,D5657&lt;=$G$4,'calculated data '!$A$4,D5657&lt;=$G$6,'calculated data '!$A$5,D5657&gt;=$G$6,'calculated data '!$A$6)</f>
        <v>Target Market (Core IQR)</v>
      </c>
      <c r="F5657" s="10">
        <f t="shared" si="1"/>
        <v>-0.3339375364</v>
      </c>
    </row>
    <row r="5658" ht="14.25" customHeight="1">
      <c r="A5658" s="2" t="s">
        <v>273</v>
      </c>
      <c r="B5658" s="2" t="s">
        <v>274</v>
      </c>
      <c r="C5658" s="2">
        <v>2001.0</v>
      </c>
      <c r="D5658" s="9">
        <v>12439.381</v>
      </c>
      <c r="E5658" s="10" t="str">
        <f t="array" ref="E5658">IFS(D5658&lt;=$G$3,'calculated data '!$A$3,D5658&lt;=$G$4,'calculated data '!$A$4,D5658&lt;=$G$6,'calculated data '!$A$5,D5658&gt;=$G$6,'calculated data '!$A$6)</f>
        <v>Target Market (Core IQR)</v>
      </c>
      <c r="F5658" s="10">
        <f t="shared" si="1"/>
        <v>-0.333904158</v>
      </c>
    </row>
    <row r="5659" ht="14.25" customHeight="1">
      <c r="A5659" s="2" t="s">
        <v>327</v>
      </c>
      <c r="B5659" s="2" t="s">
        <v>328</v>
      </c>
      <c r="C5659" s="2">
        <v>2014.0</v>
      </c>
      <c r="D5659" s="9">
        <v>12441.397</v>
      </c>
      <c r="E5659" s="10" t="str">
        <f t="array" ref="E5659">IFS(D5659&lt;=$G$3,'calculated data '!$A$3,D5659&lt;=$G$4,'calculated data '!$A$4,D5659&lt;=$G$6,'calculated data '!$A$5,D5659&gt;=$G$6,'calculated data '!$A$6)</f>
        <v>Target Market (Core IQR)</v>
      </c>
      <c r="F5659" s="10">
        <f t="shared" si="1"/>
        <v>-0.333850795</v>
      </c>
    </row>
    <row r="5660" ht="14.25" customHeight="1">
      <c r="A5660" s="2" t="s">
        <v>233</v>
      </c>
      <c r="B5660" s="2" t="s">
        <v>234</v>
      </c>
      <c r="C5660" s="2">
        <v>1992.0</v>
      </c>
      <c r="D5660" s="9">
        <v>12449.877</v>
      </c>
      <c r="E5660" s="10" t="str">
        <f t="array" ref="E5660">IFS(D5660&lt;=$G$3,'calculated data '!$A$3,D5660&lt;=$G$4,'calculated data '!$A$4,D5660&lt;=$G$6,'calculated data '!$A$5,D5660&gt;=$G$6,'calculated data '!$A$6)</f>
        <v>Target Market (Core IQR)</v>
      </c>
      <c r="F5660" s="10">
        <f t="shared" si="1"/>
        <v>-0.3336263315</v>
      </c>
    </row>
    <row r="5661" ht="14.25" customHeight="1">
      <c r="A5661" s="2" t="s">
        <v>229</v>
      </c>
      <c r="B5661" s="2" t="s">
        <v>230</v>
      </c>
      <c r="C5661" s="2">
        <v>2005.0</v>
      </c>
      <c r="D5661" s="9">
        <v>12460.013</v>
      </c>
      <c r="E5661" s="10" t="str">
        <f t="array" ref="E5661">IFS(D5661&lt;=$G$3,'calculated data '!$A$3,D5661&lt;=$G$4,'calculated data '!$A$4,D5661&lt;=$G$6,'calculated data '!$A$5,D5661&gt;=$G$6,'calculated data '!$A$6)</f>
        <v>Target Market (Core IQR)</v>
      </c>
      <c r="F5661" s="10">
        <f t="shared" si="1"/>
        <v>-0.3333580341</v>
      </c>
    </row>
    <row r="5662" ht="14.25" customHeight="1">
      <c r="A5662" s="2" t="s">
        <v>133</v>
      </c>
      <c r="B5662" s="2" t="s">
        <v>134</v>
      </c>
      <c r="C5662" s="2">
        <v>2024.0</v>
      </c>
      <c r="D5662" s="9">
        <v>12462.586</v>
      </c>
      <c r="E5662" s="10" t="str">
        <f t="array" ref="E5662">IFS(D5662&lt;=$G$3,'calculated data '!$A$3,D5662&lt;=$G$4,'calculated data '!$A$4,D5662&lt;=$G$6,'calculated data '!$A$5,D5662&gt;=$G$6,'calculated data '!$A$6)</f>
        <v>Target Market (Core IQR)</v>
      </c>
      <c r="F5662" s="10">
        <f t="shared" si="1"/>
        <v>-0.3332899274</v>
      </c>
    </row>
    <row r="5663" ht="14.25" customHeight="1">
      <c r="A5663" s="2" t="s">
        <v>327</v>
      </c>
      <c r="B5663" s="2" t="s">
        <v>328</v>
      </c>
      <c r="C5663" s="2">
        <v>1990.0</v>
      </c>
      <c r="D5663" s="9">
        <v>12463.715</v>
      </c>
      <c r="E5663" s="10" t="str">
        <f t="array" ref="E5663">IFS(D5663&lt;=$G$3,'calculated data '!$A$3,D5663&lt;=$G$4,'calculated data '!$A$4,D5663&lt;=$G$6,'calculated data '!$A$5,D5663&gt;=$G$6,'calculated data '!$A$6)</f>
        <v>Target Market (Core IQR)</v>
      </c>
      <c r="F5663" s="10">
        <f t="shared" si="1"/>
        <v>-0.3332600431</v>
      </c>
    </row>
    <row r="5664" ht="14.25" customHeight="1">
      <c r="A5664" s="2" t="s">
        <v>317</v>
      </c>
      <c r="B5664" s="2" t="s">
        <v>318</v>
      </c>
      <c r="C5664" s="2">
        <v>1983.0</v>
      </c>
      <c r="D5664" s="9">
        <v>12467.446</v>
      </c>
      <c r="E5664" s="10" t="str">
        <f t="array" ref="E5664">IFS(D5664&lt;=$G$3,'calculated data '!$A$3,D5664&lt;=$G$4,'calculated data '!$A$4,D5664&lt;=$G$6,'calculated data '!$A$5,D5664&gt;=$G$6,'calculated data '!$A$6)</f>
        <v>Target Market (Core IQR)</v>
      </c>
      <c r="F5664" s="10">
        <f t="shared" si="1"/>
        <v>-0.3331612845</v>
      </c>
    </row>
    <row r="5665" ht="14.25" customHeight="1">
      <c r="A5665" s="2" t="s">
        <v>271</v>
      </c>
      <c r="B5665" s="2" t="s">
        <v>272</v>
      </c>
      <c r="C5665" s="2">
        <v>1982.0</v>
      </c>
      <c r="D5665" s="9">
        <v>12468.135</v>
      </c>
      <c r="E5665" s="10" t="str">
        <f t="array" ref="E5665">IFS(D5665&lt;=$G$3,'calculated data '!$A$3,D5665&lt;=$G$4,'calculated data '!$A$4,D5665&lt;=$G$6,'calculated data '!$A$5,D5665&gt;=$G$6,'calculated data '!$A$6)</f>
        <v>Target Market (Core IQR)</v>
      </c>
      <c r="F5665" s="10">
        <f t="shared" si="1"/>
        <v>-0.3331430468</v>
      </c>
    </row>
    <row r="5666" ht="14.25" customHeight="1">
      <c r="A5666" s="2" t="s">
        <v>57</v>
      </c>
      <c r="B5666" s="2" t="s">
        <v>58</v>
      </c>
      <c r="C5666" s="2">
        <v>1965.0</v>
      </c>
      <c r="D5666" s="9">
        <v>12470.184</v>
      </c>
      <c r="E5666" s="10" t="str">
        <f t="array" ref="E5666">IFS(D5666&lt;=$G$3,'calculated data '!$A$3,D5666&lt;=$G$4,'calculated data '!$A$4,D5666&lt;=$G$6,'calculated data '!$A$5,D5666&gt;=$G$6,'calculated data '!$A$6)</f>
        <v>Target Market (Core IQR)</v>
      </c>
      <c r="F5666" s="10">
        <f t="shared" si="1"/>
        <v>-0.3330888103</v>
      </c>
    </row>
    <row r="5667" ht="14.25" customHeight="1">
      <c r="A5667" s="2" t="s">
        <v>333</v>
      </c>
      <c r="B5667" s="2" t="s">
        <v>334</v>
      </c>
      <c r="C5667" s="2">
        <v>2011.0</v>
      </c>
      <c r="D5667" s="9">
        <v>12479.021</v>
      </c>
      <c r="E5667" s="10" t="str">
        <f t="array" ref="E5667">IFS(D5667&lt;=$G$3,'calculated data '!$A$3,D5667&lt;=$G$4,'calculated data '!$A$4,D5667&lt;=$G$6,'calculated data '!$A$5,D5667&gt;=$G$6,'calculated data '!$A$6)</f>
        <v>Target Market (Core IQR)</v>
      </c>
      <c r="F5667" s="10">
        <f t="shared" si="1"/>
        <v>-0.3328548971</v>
      </c>
    </row>
    <row r="5668" ht="14.25" customHeight="1">
      <c r="A5668" s="2" t="s">
        <v>257</v>
      </c>
      <c r="B5668" s="2" t="s">
        <v>258</v>
      </c>
      <c r="C5668" s="2">
        <v>1989.0</v>
      </c>
      <c r="D5668" s="9">
        <v>12482.179</v>
      </c>
      <c r="E5668" s="10" t="str">
        <f t="array" ref="E5668">IFS(D5668&lt;=$G$3,'calculated data '!$A$3,D5668&lt;=$G$4,'calculated data '!$A$4,D5668&lt;=$G$6,'calculated data '!$A$5,D5668&gt;=$G$6,'calculated data '!$A$6)</f>
        <v>Target Market (Core IQR)</v>
      </c>
      <c r="F5668" s="10">
        <f t="shared" si="1"/>
        <v>-0.3327713056</v>
      </c>
    </row>
    <row r="5669" ht="14.25" customHeight="1">
      <c r="A5669" s="2" t="s">
        <v>45</v>
      </c>
      <c r="B5669" s="2" t="s">
        <v>46</v>
      </c>
      <c r="C5669" s="2">
        <v>2007.0</v>
      </c>
      <c r="D5669" s="9">
        <v>12485.213</v>
      </c>
      <c r="E5669" s="10" t="str">
        <f t="array" ref="E5669">IFS(D5669&lt;=$G$3,'calculated data '!$A$3,D5669&lt;=$G$4,'calculated data '!$A$4,D5669&lt;=$G$6,'calculated data '!$A$5,D5669&gt;=$G$6,'calculated data '!$A$6)</f>
        <v>Target Market (Core IQR)</v>
      </c>
      <c r="F5669" s="10">
        <f t="shared" si="1"/>
        <v>-0.3326909964</v>
      </c>
    </row>
    <row r="5670" ht="14.25" customHeight="1">
      <c r="A5670" s="2" t="s">
        <v>323</v>
      </c>
      <c r="B5670" s="2" t="s">
        <v>324</v>
      </c>
      <c r="C5670" s="2">
        <v>1989.0</v>
      </c>
      <c r="D5670" s="9">
        <v>12492.15</v>
      </c>
      <c r="E5670" s="10" t="str">
        <f t="array" ref="E5670">IFS(D5670&lt;=$G$3,'calculated data '!$A$3,D5670&lt;=$G$4,'calculated data '!$A$4,D5670&lt;=$G$6,'calculated data '!$A$5,D5670&gt;=$G$6,'calculated data '!$A$6)</f>
        <v>Target Market (Core IQR)</v>
      </c>
      <c r="F5670" s="10">
        <f t="shared" si="1"/>
        <v>-0.3325073757</v>
      </c>
    </row>
    <row r="5671" ht="14.25" customHeight="1">
      <c r="A5671" s="2" t="s">
        <v>327</v>
      </c>
      <c r="B5671" s="2" t="s">
        <v>328</v>
      </c>
      <c r="C5671" s="2">
        <v>2024.0</v>
      </c>
      <c r="D5671" s="9">
        <v>12504.468</v>
      </c>
      <c r="E5671" s="10" t="str">
        <f t="array" ref="E5671">IFS(D5671&lt;=$G$3,'calculated data '!$A$3,D5671&lt;=$G$4,'calculated data '!$A$4,D5671&lt;=$G$6,'calculated data '!$A$5,D5671&gt;=$G$6,'calculated data '!$A$6)</f>
        <v>Target Market (Core IQR)</v>
      </c>
      <c r="F5671" s="10">
        <f t="shared" si="1"/>
        <v>-0.3321813213</v>
      </c>
    </row>
    <row r="5672" ht="14.25" customHeight="1">
      <c r="A5672" s="2" t="s">
        <v>279</v>
      </c>
      <c r="B5672" s="2" t="s">
        <v>280</v>
      </c>
      <c r="C5672" s="2">
        <v>1976.0</v>
      </c>
      <c r="D5672" s="9">
        <v>12506.653</v>
      </c>
      <c r="E5672" s="10" t="str">
        <f t="array" ref="E5672">IFS(D5672&lt;=$G$3,'calculated data '!$A$3,D5672&lt;=$G$4,'calculated data '!$A$4,D5672&lt;=$G$6,'calculated data '!$A$5,D5672&gt;=$G$6,'calculated data '!$A$6)</f>
        <v>Target Market (Core IQR)</v>
      </c>
      <c r="F5672" s="10">
        <f t="shared" si="1"/>
        <v>-0.3321234849</v>
      </c>
    </row>
    <row r="5673" ht="14.25" customHeight="1">
      <c r="A5673" s="2" t="s">
        <v>321</v>
      </c>
      <c r="B5673" s="2" t="s">
        <v>322</v>
      </c>
      <c r="C5673" s="2">
        <v>1997.0</v>
      </c>
      <c r="D5673" s="9">
        <v>12515.4</v>
      </c>
      <c r="E5673" s="10" t="str">
        <f t="array" ref="E5673">IFS(D5673&lt;=$G$3,'calculated data '!$A$3,D5673&lt;=$G$4,'calculated data '!$A$4,D5673&lt;=$G$6,'calculated data '!$A$5,D5673&gt;=$G$6,'calculated data '!$A$6)</f>
        <v>Target Market (Core IQR)</v>
      </c>
      <c r="F5673" s="10">
        <f t="shared" si="1"/>
        <v>-0.331891954</v>
      </c>
    </row>
    <row r="5674" ht="14.25" customHeight="1">
      <c r="A5674" s="2" t="s">
        <v>333</v>
      </c>
      <c r="B5674" s="2" t="s">
        <v>334</v>
      </c>
      <c r="C5674" s="2">
        <v>2007.0</v>
      </c>
      <c r="D5674" s="9">
        <v>12519.004</v>
      </c>
      <c r="E5674" s="10" t="str">
        <f t="array" ref="E5674">IFS(D5674&lt;=$G$3,'calculated data '!$A$3,D5674&lt;=$G$4,'calculated data '!$A$4,D5674&lt;=$G$6,'calculated data '!$A$5,D5674&gt;=$G$6,'calculated data '!$A$6)</f>
        <v>Target Market (Core IQR)</v>
      </c>
      <c r="F5674" s="10">
        <f t="shared" si="1"/>
        <v>-0.331796557</v>
      </c>
    </row>
    <row r="5675" ht="14.25" customHeight="1">
      <c r="A5675" s="2" t="s">
        <v>99</v>
      </c>
      <c r="B5675" s="2" t="s">
        <v>100</v>
      </c>
      <c r="C5675" s="2">
        <v>2008.0</v>
      </c>
      <c r="D5675" s="9">
        <v>12532.423</v>
      </c>
      <c r="E5675" s="10" t="str">
        <f t="array" ref="E5675">IFS(D5675&lt;=$G$3,'calculated data '!$A$3,D5675&lt;=$G$4,'calculated data '!$A$4,D5675&lt;=$G$6,'calculated data '!$A$5,D5675&gt;=$G$6,'calculated data '!$A$6)</f>
        <v>Target Market (Core IQR)</v>
      </c>
      <c r="F5675" s="10">
        <f t="shared" si="1"/>
        <v>-0.3314413595</v>
      </c>
    </row>
    <row r="5676" ht="14.25" customHeight="1">
      <c r="A5676" s="2" t="s">
        <v>329</v>
      </c>
      <c r="B5676" s="2" t="s">
        <v>330</v>
      </c>
      <c r="C5676" s="2">
        <v>2005.0</v>
      </c>
      <c r="D5676" s="9">
        <v>12532.949</v>
      </c>
      <c r="E5676" s="10" t="str">
        <f t="array" ref="E5676">IFS(D5676&lt;=$G$3,'calculated data '!$A$3,D5676&lt;=$G$4,'calculated data '!$A$4,D5676&lt;=$G$6,'calculated data '!$A$5,D5676&gt;=$G$6,'calculated data '!$A$6)</f>
        <v>Target Market (Core IQR)</v>
      </c>
      <c r="F5676" s="10">
        <f t="shared" si="1"/>
        <v>-0.3314274364</v>
      </c>
    </row>
    <row r="5677" ht="14.25" customHeight="1">
      <c r="A5677" s="2" t="s">
        <v>99</v>
      </c>
      <c r="B5677" s="2" t="s">
        <v>100</v>
      </c>
      <c r="C5677" s="2">
        <v>2021.0</v>
      </c>
      <c r="D5677" s="9">
        <v>12536.174</v>
      </c>
      <c r="E5677" s="10" t="str">
        <f t="array" ref="E5677">IFS(D5677&lt;=$G$3,'calculated data '!$A$3,D5677&lt;=$G$4,'calculated data '!$A$4,D5677&lt;=$G$6,'calculated data '!$A$5,D5677&gt;=$G$6,'calculated data '!$A$6)</f>
        <v>Target Market (Core IQR)</v>
      </c>
      <c r="F5677" s="10">
        <f t="shared" si="1"/>
        <v>-0.3313420714</v>
      </c>
    </row>
    <row r="5678" ht="14.25" customHeight="1">
      <c r="A5678" s="2" t="s">
        <v>327</v>
      </c>
      <c r="B5678" s="2" t="s">
        <v>328</v>
      </c>
      <c r="C5678" s="2">
        <v>2011.0</v>
      </c>
      <c r="D5678" s="9">
        <v>12538.882</v>
      </c>
      <c r="E5678" s="10" t="str">
        <f t="array" ref="E5678">IFS(D5678&lt;=$G$3,'calculated data '!$A$3,D5678&lt;=$G$4,'calculated data '!$A$4,D5678&lt;=$G$6,'calculated data '!$A$5,D5678&gt;=$G$6,'calculated data '!$A$6)</f>
        <v>Target Market (Core IQR)</v>
      </c>
      <c r="F5678" s="10">
        <f t="shared" si="1"/>
        <v>-0.3312703913</v>
      </c>
    </row>
    <row r="5679" ht="14.25" customHeight="1">
      <c r="A5679" s="2" t="s">
        <v>99</v>
      </c>
      <c r="B5679" s="2" t="s">
        <v>100</v>
      </c>
      <c r="C5679" s="2">
        <v>2010.0</v>
      </c>
      <c r="D5679" s="9">
        <v>12540.963</v>
      </c>
      <c r="E5679" s="10" t="str">
        <f t="array" ref="E5679">IFS(D5679&lt;=$G$3,'calculated data '!$A$3,D5679&lt;=$G$4,'calculated data '!$A$4,D5679&lt;=$G$6,'calculated data '!$A$5,D5679&gt;=$G$6,'calculated data '!$A$6)</f>
        <v>Target Market (Core IQR)</v>
      </c>
      <c r="F5679" s="10">
        <f t="shared" si="1"/>
        <v>-0.3312153078</v>
      </c>
    </row>
    <row r="5680" ht="14.25" customHeight="1">
      <c r="A5680" s="2" t="s">
        <v>267</v>
      </c>
      <c r="B5680" s="2" t="s">
        <v>268</v>
      </c>
      <c r="C5680" s="2">
        <v>1991.0</v>
      </c>
      <c r="D5680" s="9">
        <v>12551.849</v>
      </c>
      <c r="E5680" s="10" t="str">
        <f t="array" ref="E5680">IFS(D5680&lt;=$G$3,'calculated data '!$A$3,D5680&lt;=$G$4,'calculated data '!$A$4,D5680&lt;=$G$6,'calculated data '!$A$5,D5680&gt;=$G$6,'calculated data '!$A$6)</f>
        <v>Target Market (Core IQR)</v>
      </c>
      <c r="F5680" s="10">
        <f t="shared" si="1"/>
        <v>-0.3309271581</v>
      </c>
    </row>
    <row r="5681" ht="14.25" customHeight="1">
      <c r="A5681" s="2" t="s">
        <v>325</v>
      </c>
      <c r="B5681" s="2" t="s">
        <v>326</v>
      </c>
      <c r="C5681" s="2">
        <v>2011.0</v>
      </c>
      <c r="D5681" s="9">
        <v>12557.113</v>
      </c>
      <c r="E5681" s="10" t="str">
        <f t="array" ref="E5681">IFS(D5681&lt;=$G$3,'calculated data '!$A$3,D5681&lt;=$G$4,'calculated data '!$A$4,D5681&lt;=$G$6,'calculated data '!$A$5,D5681&gt;=$G$6,'calculated data '!$A$6)</f>
        <v>Target Market (Core IQR)</v>
      </c>
      <c r="F5681" s="10">
        <f t="shared" si="1"/>
        <v>-0.3307878213</v>
      </c>
    </row>
    <row r="5682" ht="14.25" customHeight="1">
      <c r="A5682" s="2" t="s">
        <v>207</v>
      </c>
      <c r="B5682" s="2" t="s">
        <v>208</v>
      </c>
      <c r="C5682" s="2">
        <v>2011.0</v>
      </c>
      <c r="D5682" s="9">
        <v>12567.73</v>
      </c>
      <c r="E5682" s="10" t="str">
        <f t="array" ref="E5682">IFS(D5682&lt;=$G$3,'calculated data '!$A$3,D5682&lt;=$G$4,'calculated data '!$A$4,D5682&lt;=$G$6,'calculated data '!$A$5,D5682&gt;=$G$6,'calculated data '!$A$6)</f>
        <v>Target Market (Core IQR)</v>
      </c>
      <c r="F5682" s="10">
        <f t="shared" si="1"/>
        <v>-0.330506792</v>
      </c>
    </row>
    <row r="5683" ht="14.25" customHeight="1">
      <c r="A5683" s="2" t="s">
        <v>315</v>
      </c>
      <c r="B5683" s="2" t="s">
        <v>316</v>
      </c>
      <c r="C5683" s="2">
        <v>2014.0</v>
      </c>
      <c r="D5683" s="9">
        <v>12572.957</v>
      </c>
      <c r="E5683" s="10" t="str">
        <f t="array" ref="E5683">IFS(D5683&lt;=$G$3,'calculated data '!$A$3,D5683&lt;=$G$4,'calculated data '!$A$4,D5683&lt;=$G$6,'calculated data '!$A$5,D5683&gt;=$G$6,'calculated data '!$A$6)</f>
        <v>Target Market (Core IQR)</v>
      </c>
      <c r="F5683" s="10">
        <f t="shared" si="1"/>
        <v>-0.3303684346</v>
      </c>
    </row>
    <row r="5684" ht="14.25" customHeight="1">
      <c r="A5684" s="2" t="s">
        <v>343</v>
      </c>
      <c r="B5684" s="2" t="s">
        <v>344</v>
      </c>
      <c r="C5684" s="2">
        <v>1985.0</v>
      </c>
      <c r="D5684" s="9">
        <v>12575.711</v>
      </c>
      <c r="E5684" s="10" t="str">
        <f t="array" ref="E5684">IFS(D5684&lt;=$G$3,'calculated data '!$A$3,D5684&lt;=$G$4,'calculated data '!$A$4,D5684&lt;=$G$6,'calculated data '!$A$5,D5684&gt;=$G$6,'calculated data '!$A$6)</f>
        <v>Target Market (Core IQR)</v>
      </c>
      <c r="F5684" s="10">
        <f t="shared" si="1"/>
        <v>-0.3302955369</v>
      </c>
    </row>
    <row r="5685" ht="14.25" customHeight="1">
      <c r="A5685" s="2" t="s">
        <v>269</v>
      </c>
      <c r="B5685" s="2" t="s">
        <v>270</v>
      </c>
      <c r="C5685" s="2">
        <v>1990.0</v>
      </c>
      <c r="D5685" s="9">
        <v>12599.213</v>
      </c>
      <c r="E5685" s="10" t="str">
        <f t="array" ref="E5685">IFS(D5685&lt;=$G$3,'calculated data '!$A$3,D5685&lt;=$G$4,'calculated data '!$A$4,D5685&lt;=$G$6,'calculated data '!$A$5,D5685&gt;=$G$6,'calculated data '!$A$6)</f>
        <v>Target Market (Core IQR)</v>
      </c>
      <c r="F5685" s="10">
        <f t="shared" si="1"/>
        <v>-0.3296734448</v>
      </c>
    </row>
    <row r="5686" ht="14.25" customHeight="1">
      <c r="A5686" s="2" t="s">
        <v>309</v>
      </c>
      <c r="B5686" s="2" t="s">
        <v>310</v>
      </c>
      <c r="C5686" s="2">
        <v>1969.0</v>
      </c>
      <c r="D5686" s="9">
        <v>12604.8</v>
      </c>
      <c r="E5686" s="10" t="str">
        <f t="array" ref="E5686">IFS(D5686&lt;=$G$3,'calculated data '!$A$3,D5686&lt;=$G$4,'calculated data '!$A$4,D5686&lt;=$G$6,'calculated data '!$A$5,D5686&gt;=$G$6,'calculated data '!$A$6)</f>
        <v>Target Market (Core IQR)</v>
      </c>
      <c r="F5686" s="10">
        <f t="shared" si="1"/>
        <v>-0.3295255583</v>
      </c>
    </row>
    <row r="5687" ht="14.25" customHeight="1">
      <c r="A5687" s="2" t="s">
        <v>315</v>
      </c>
      <c r="B5687" s="2" t="s">
        <v>316</v>
      </c>
      <c r="C5687" s="2">
        <v>2022.0</v>
      </c>
      <c r="D5687" s="9">
        <v>12621.712</v>
      </c>
      <c r="E5687" s="10" t="str">
        <f t="array" ref="E5687">IFS(D5687&lt;=$G$3,'calculated data '!$A$3,D5687&lt;=$G$4,'calculated data '!$A$4,D5687&lt;=$G$6,'calculated data '!$A$5,D5687&gt;=$G$6,'calculated data '!$A$6)</f>
        <v>Target Market (Core IQR)</v>
      </c>
      <c r="F5687" s="10">
        <f t="shared" si="1"/>
        <v>-0.3290779019</v>
      </c>
    </row>
    <row r="5688" ht="14.25" customHeight="1">
      <c r="A5688" s="2" t="s">
        <v>325</v>
      </c>
      <c r="B5688" s="2" t="s">
        <v>326</v>
      </c>
      <c r="C5688" s="2">
        <v>2015.0</v>
      </c>
      <c r="D5688" s="9">
        <v>12623.133</v>
      </c>
      <c r="E5688" s="10" t="str">
        <f t="array" ref="E5688">IFS(D5688&lt;=$G$3,'calculated data '!$A$3,D5688&lt;=$G$4,'calculated data '!$A$4,D5688&lt;=$G$6,'calculated data '!$A$5,D5688&gt;=$G$6,'calculated data '!$A$6)</f>
        <v>Target Market (Core IQR)</v>
      </c>
      <c r="F5688" s="10">
        <f t="shared" si="1"/>
        <v>-0.3290402883</v>
      </c>
    </row>
    <row r="5689" ht="14.25" customHeight="1">
      <c r="A5689" s="2" t="s">
        <v>249</v>
      </c>
      <c r="B5689" s="2" t="s">
        <v>250</v>
      </c>
      <c r="C5689" s="2">
        <v>1989.0</v>
      </c>
      <c r="D5689" s="9">
        <v>12626.675</v>
      </c>
      <c r="E5689" s="10" t="str">
        <f t="array" ref="E5689">IFS(D5689&lt;=$G$3,'calculated data '!$A$3,D5689&lt;=$G$4,'calculated data '!$A$4,D5689&lt;=$G$6,'calculated data '!$A$5,D5689&gt;=$G$6,'calculated data '!$A$6)</f>
        <v>Target Market (Core IQR)</v>
      </c>
      <c r="F5689" s="10">
        <f t="shared" si="1"/>
        <v>-0.3289465325</v>
      </c>
    </row>
    <row r="5690" ht="14.25" customHeight="1">
      <c r="A5690" s="2" t="s">
        <v>207</v>
      </c>
      <c r="B5690" s="2" t="s">
        <v>208</v>
      </c>
      <c r="C5690" s="2">
        <v>2009.0</v>
      </c>
      <c r="D5690" s="9">
        <v>12630.056</v>
      </c>
      <c r="E5690" s="10" t="str">
        <f t="array" ref="E5690">IFS(D5690&lt;=$G$3,'calculated data '!$A$3,D5690&lt;=$G$4,'calculated data '!$A$4,D5690&lt;=$G$6,'calculated data '!$A$5,D5690&gt;=$G$6,'calculated data '!$A$6)</f>
        <v>Target Market (Core IQR)</v>
      </c>
      <c r="F5690" s="10">
        <f t="shared" si="1"/>
        <v>-0.3288570383</v>
      </c>
    </row>
    <row r="5691" ht="14.25" customHeight="1">
      <c r="A5691" s="2" t="s">
        <v>321</v>
      </c>
      <c r="B5691" s="2" t="s">
        <v>322</v>
      </c>
      <c r="C5691" s="2">
        <v>1991.0</v>
      </c>
      <c r="D5691" s="9">
        <v>12630.26</v>
      </c>
      <c r="E5691" s="10" t="str">
        <f t="array" ref="E5691">IFS(D5691&lt;=$G$3,'calculated data '!$A$3,D5691&lt;=$G$4,'calculated data '!$A$4,D5691&lt;=$G$6,'calculated data '!$A$5,D5691&gt;=$G$6,'calculated data '!$A$6)</f>
        <v>Target Market (Core IQR)</v>
      </c>
      <c r="F5691" s="10">
        <f t="shared" si="1"/>
        <v>-0.3288516384</v>
      </c>
    </row>
    <row r="5692" ht="14.25" customHeight="1">
      <c r="A5692" s="2" t="s">
        <v>325</v>
      </c>
      <c r="B5692" s="2" t="s">
        <v>326</v>
      </c>
      <c r="C5692" s="2">
        <v>2007.0</v>
      </c>
      <c r="D5692" s="9">
        <v>12641.402</v>
      </c>
      <c r="E5692" s="10" t="str">
        <f t="array" ref="E5692">IFS(D5692&lt;=$G$3,'calculated data '!$A$3,D5692&lt;=$G$4,'calculated data '!$A$4,D5692&lt;=$G$6,'calculated data '!$A$5,D5692&gt;=$G$6,'calculated data '!$A$6)</f>
        <v>Target Market (Core IQR)</v>
      </c>
      <c r="F5692" s="10">
        <f t="shared" si="1"/>
        <v>-0.3285567125</v>
      </c>
    </row>
    <row r="5693" ht="14.25" customHeight="1">
      <c r="A5693" s="2" t="s">
        <v>285</v>
      </c>
      <c r="B5693" s="2" t="s">
        <v>286</v>
      </c>
      <c r="C5693" s="2">
        <v>1999.0</v>
      </c>
      <c r="D5693" s="9">
        <v>12647.424</v>
      </c>
      <c r="E5693" s="10" t="str">
        <f t="array" ref="E5693">IFS(D5693&lt;=$G$3,'calculated data '!$A$3,D5693&lt;=$G$4,'calculated data '!$A$4,D5693&lt;=$G$6,'calculated data '!$A$5,D5693&gt;=$G$6,'calculated data '!$A$6)</f>
        <v>Target Market (Core IQR)</v>
      </c>
      <c r="F5693" s="10">
        <f t="shared" si="1"/>
        <v>-0.3283973116</v>
      </c>
    </row>
    <row r="5694" ht="14.25" customHeight="1">
      <c r="A5694" s="2" t="s">
        <v>329</v>
      </c>
      <c r="B5694" s="2" t="s">
        <v>330</v>
      </c>
      <c r="C5694" s="2">
        <v>2020.0</v>
      </c>
      <c r="D5694" s="9">
        <v>12648.9375</v>
      </c>
      <c r="E5694" s="10" t="str">
        <f t="array" ref="E5694">IFS(D5694&lt;=$G$3,'calculated data '!$A$3,D5694&lt;=$G$4,'calculated data '!$A$4,D5694&lt;=$G$6,'calculated data '!$A$5,D5694&gt;=$G$6,'calculated data '!$A$6)</f>
        <v>Target Market (Core IQR)</v>
      </c>
      <c r="F5694" s="10">
        <f t="shared" si="1"/>
        <v>-0.3283572497</v>
      </c>
    </row>
    <row r="5695" ht="14.25" customHeight="1">
      <c r="A5695" s="2" t="s">
        <v>269</v>
      </c>
      <c r="B5695" s="2" t="s">
        <v>270</v>
      </c>
      <c r="C5695" s="2">
        <v>1994.0</v>
      </c>
      <c r="D5695" s="9">
        <v>12649.484</v>
      </c>
      <c r="E5695" s="10" t="str">
        <f t="array" ref="E5695">IFS(D5695&lt;=$G$3,'calculated data '!$A$3,D5695&lt;=$G$4,'calculated data '!$A$4,D5695&lt;=$G$6,'calculated data '!$A$5,D5695&gt;=$G$6,'calculated data '!$A$6)</f>
        <v>Target Market (Core IQR)</v>
      </c>
      <c r="F5695" s="10">
        <f t="shared" si="1"/>
        <v>-0.3283427839</v>
      </c>
    </row>
    <row r="5696" ht="14.25" customHeight="1">
      <c r="A5696" s="2" t="s">
        <v>207</v>
      </c>
      <c r="B5696" s="2" t="s">
        <v>208</v>
      </c>
      <c r="C5696" s="2">
        <v>1988.0</v>
      </c>
      <c r="D5696" s="9">
        <v>12653.236</v>
      </c>
      <c r="E5696" s="10" t="str">
        <f t="array" ref="E5696">IFS(D5696&lt;=$G$3,'calculated data '!$A$3,D5696&lt;=$G$4,'calculated data '!$A$4,D5696&lt;=$G$6,'calculated data '!$A$5,D5696&gt;=$G$6,'calculated data '!$A$6)</f>
        <v>Target Market (Core IQR)</v>
      </c>
      <c r="F5696" s="10">
        <f t="shared" si="1"/>
        <v>-0.3282434694</v>
      </c>
    </row>
    <row r="5697" ht="14.25" customHeight="1">
      <c r="A5697" s="2" t="s">
        <v>333</v>
      </c>
      <c r="B5697" s="2" t="s">
        <v>334</v>
      </c>
      <c r="C5697" s="2">
        <v>1982.0</v>
      </c>
      <c r="D5697" s="9">
        <v>12665.192</v>
      </c>
      <c r="E5697" s="10" t="str">
        <f t="array" ref="E5697">IFS(D5697&lt;=$G$3,'calculated data '!$A$3,D5697&lt;=$G$4,'calculated data '!$A$4,D5697&lt;=$G$6,'calculated data '!$A$5,D5697&gt;=$G$6,'calculated data '!$A$6)</f>
        <v>Target Market (Core IQR)</v>
      </c>
      <c r="F5697" s="10">
        <f t="shared" si="1"/>
        <v>-0.3279269971</v>
      </c>
    </row>
    <row r="5698" ht="14.25" customHeight="1">
      <c r="A5698" s="2" t="s">
        <v>325</v>
      </c>
      <c r="B5698" s="2" t="s">
        <v>326</v>
      </c>
      <c r="C5698" s="2">
        <v>2016.0</v>
      </c>
      <c r="D5698" s="9">
        <v>12668.348</v>
      </c>
      <c r="E5698" s="10" t="str">
        <f t="array" ref="E5698">IFS(D5698&lt;=$G$3,'calculated data '!$A$3,D5698&lt;=$G$4,'calculated data '!$A$4,D5698&lt;=$G$6,'calculated data '!$A$5,D5698&gt;=$G$6,'calculated data '!$A$6)</f>
        <v>Target Market (Core IQR)</v>
      </c>
      <c r="F5698" s="10">
        <f t="shared" si="1"/>
        <v>-0.3278434586</v>
      </c>
    </row>
    <row r="5699" ht="14.25" customHeight="1">
      <c r="A5699" s="2" t="s">
        <v>271</v>
      </c>
      <c r="B5699" s="2" t="s">
        <v>272</v>
      </c>
      <c r="C5699" s="2">
        <v>1983.0</v>
      </c>
      <c r="D5699" s="9">
        <v>12689.269</v>
      </c>
      <c r="E5699" s="10" t="str">
        <f t="array" ref="E5699">IFS(D5699&lt;=$G$3,'calculated data '!$A$3,D5699&lt;=$G$4,'calculated data '!$A$4,D5699&lt;=$G$6,'calculated data '!$A$5,D5699&gt;=$G$6,'calculated data '!$A$6)</f>
        <v>Target Market (Core IQR)</v>
      </c>
      <c r="F5699" s="10">
        <f t="shared" si="1"/>
        <v>-0.3272896849</v>
      </c>
    </row>
    <row r="5700" ht="14.25" customHeight="1">
      <c r="A5700" s="2" t="s">
        <v>333</v>
      </c>
      <c r="B5700" s="2" t="s">
        <v>334</v>
      </c>
      <c r="C5700" s="2">
        <v>2003.0</v>
      </c>
      <c r="D5700" s="9">
        <v>12693.693</v>
      </c>
      <c r="E5700" s="10" t="str">
        <f t="array" ref="E5700">IFS(D5700&lt;=$G$3,'calculated data '!$A$3,D5700&lt;=$G$4,'calculated data '!$A$4,D5700&lt;=$G$6,'calculated data '!$A$5,D5700&gt;=$G$6,'calculated data '!$A$6)</f>
        <v>Target Market (Core IQR)</v>
      </c>
      <c r="F5700" s="10">
        <f t="shared" si="1"/>
        <v>-0.3271725827</v>
      </c>
    </row>
    <row r="5701" ht="14.25" customHeight="1">
      <c r="A5701" s="2" t="s">
        <v>233</v>
      </c>
      <c r="B5701" s="2" t="s">
        <v>234</v>
      </c>
      <c r="C5701" s="2">
        <v>2020.0</v>
      </c>
      <c r="D5701" s="9">
        <v>12694.774</v>
      </c>
      <c r="E5701" s="10" t="str">
        <f t="array" ref="E5701">IFS(D5701&lt;=$G$3,'calculated data '!$A$3,D5701&lt;=$G$4,'calculated data '!$A$4,D5701&lt;=$G$6,'calculated data '!$A$5,D5701&gt;=$G$6,'calculated data '!$A$6)</f>
        <v>Target Market (Core IQR)</v>
      </c>
      <c r="F5701" s="10">
        <f t="shared" si="1"/>
        <v>-0.3271439689</v>
      </c>
    </row>
    <row r="5702" ht="14.25" customHeight="1">
      <c r="A5702" s="2" t="s">
        <v>233</v>
      </c>
      <c r="B5702" s="2" t="s">
        <v>234</v>
      </c>
      <c r="C5702" s="2">
        <v>2015.0</v>
      </c>
      <c r="D5702" s="9">
        <v>12703.511</v>
      </c>
      <c r="E5702" s="10" t="str">
        <f t="array" ref="E5702">IFS(D5702&lt;=$G$3,'calculated data '!$A$3,D5702&lt;=$G$4,'calculated data '!$A$4,D5702&lt;=$G$6,'calculated data '!$A$5,D5702&gt;=$G$6,'calculated data '!$A$6)</f>
        <v>Target Market (Core IQR)</v>
      </c>
      <c r="F5702" s="10">
        <f t="shared" si="1"/>
        <v>-0.3269127027</v>
      </c>
    </row>
    <row r="5703" ht="14.25" customHeight="1">
      <c r="A5703" s="2" t="s">
        <v>327</v>
      </c>
      <c r="B5703" s="2" t="s">
        <v>328</v>
      </c>
      <c r="C5703" s="2">
        <v>2013.0</v>
      </c>
      <c r="D5703" s="9">
        <v>12705.904</v>
      </c>
      <c r="E5703" s="10" t="str">
        <f t="array" ref="E5703">IFS(D5703&lt;=$G$3,'calculated data '!$A$3,D5703&lt;=$G$4,'calculated data '!$A$4,D5703&lt;=$G$6,'calculated data '!$A$5,D5703&gt;=$G$6,'calculated data '!$A$6)</f>
        <v>Target Market (Core IQR)</v>
      </c>
      <c r="F5703" s="10">
        <f t="shared" si="1"/>
        <v>-0.3268493606</v>
      </c>
    </row>
    <row r="5704" ht="14.25" customHeight="1">
      <c r="A5704" s="2" t="s">
        <v>291</v>
      </c>
      <c r="B5704" s="2" t="s">
        <v>292</v>
      </c>
      <c r="C5704" s="2">
        <v>1999.0</v>
      </c>
      <c r="D5704" s="9">
        <v>12707.331</v>
      </c>
      <c r="E5704" s="10" t="str">
        <f t="array" ref="E5704">IFS(D5704&lt;=$G$3,'calculated data '!$A$3,D5704&lt;=$G$4,'calculated data '!$A$4,D5704&lt;=$G$6,'calculated data '!$A$5,D5704&gt;=$G$6,'calculated data '!$A$6)</f>
        <v>Target Market (Core IQR)</v>
      </c>
      <c r="F5704" s="10">
        <f t="shared" si="1"/>
        <v>-0.3268115883</v>
      </c>
    </row>
    <row r="5705" ht="14.25" customHeight="1">
      <c r="A5705" s="2" t="s">
        <v>269</v>
      </c>
      <c r="B5705" s="2" t="s">
        <v>270</v>
      </c>
      <c r="C5705" s="2">
        <v>2000.0</v>
      </c>
      <c r="D5705" s="9">
        <v>12708.573</v>
      </c>
      <c r="E5705" s="10" t="str">
        <f t="array" ref="E5705">IFS(D5705&lt;=$G$3,'calculated data '!$A$3,D5705&lt;=$G$4,'calculated data '!$A$4,D5705&lt;=$G$6,'calculated data '!$A$5,D5705&gt;=$G$6,'calculated data '!$A$6)</f>
        <v>Target Market (Core IQR)</v>
      </c>
      <c r="F5705" s="10">
        <f t="shared" si="1"/>
        <v>-0.3267787128</v>
      </c>
    </row>
    <row r="5706" ht="14.25" customHeight="1">
      <c r="A5706" s="2" t="s">
        <v>313</v>
      </c>
      <c r="B5706" s="2" t="s">
        <v>314</v>
      </c>
      <c r="C5706" s="2">
        <v>1994.0</v>
      </c>
      <c r="D5706" s="9">
        <v>12709.441</v>
      </c>
      <c r="E5706" s="10" t="str">
        <f t="array" ref="E5706">IFS(D5706&lt;=$G$3,'calculated data '!$A$3,D5706&lt;=$G$4,'calculated data '!$A$4,D5706&lt;=$G$6,'calculated data '!$A$5,D5706&gt;=$G$6,'calculated data '!$A$6)</f>
        <v>Target Market (Core IQR)</v>
      </c>
      <c r="F5706" s="10">
        <f t="shared" si="1"/>
        <v>-0.3267557371</v>
      </c>
    </row>
    <row r="5707" ht="14.25" customHeight="1">
      <c r="A5707" s="2" t="s">
        <v>331</v>
      </c>
      <c r="B5707" s="2" t="s">
        <v>332</v>
      </c>
      <c r="C5707" s="2">
        <v>1970.0</v>
      </c>
      <c r="D5707" s="9">
        <v>12712.263</v>
      </c>
      <c r="E5707" s="10" t="str">
        <f t="array" ref="E5707">IFS(D5707&lt;=$G$3,'calculated data '!$A$3,D5707&lt;=$G$4,'calculated data '!$A$4,D5707&lt;=$G$6,'calculated data '!$A$5,D5707&gt;=$G$6,'calculated data '!$A$6)</f>
        <v>Target Market (Core IQR)</v>
      </c>
      <c r="F5707" s="10">
        <f t="shared" si="1"/>
        <v>-0.3266810394</v>
      </c>
    </row>
    <row r="5708" ht="14.25" customHeight="1">
      <c r="A5708" s="2" t="s">
        <v>227</v>
      </c>
      <c r="B5708" s="2" t="s">
        <v>228</v>
      </c>
      <c r="C5708" s="2">
        <v>2020.0</v>
      </c>
      <c r="D5708" s="9">
        <v>12719.734</v>
      </c>
      <c r="E5708" s="10" t="str">
        <f t="array" ref="E5708">IFS(D5708&lt;=$G$3,'calculated data '!$A$3,D5708&lt;=$G$4,'calculated data '!$A$4,D5708&lt;=$G$6,'calculated data '!$A$5,D5708&gt;=$G$6,'calculated data '!$A$6)</f>
        <v>Target Market (Core IQR)</v>
      </c>
      <c r="F5708" s="10">
        <f t="shared" si="1"/>
        <v>-0.3264832839</v>
      </c>
    </row>
    <row r="5709" ht="14.25" customHeight="1">
      <c r="A5709" s="2" t="s">
        <v>323</v>
      </c>
      <c r="B5709" s="2" t="s">
        <v>324</v>
      </c>
      <c r="C5709" s="2">
        <v>1990.0</v>
      </c>
      <c r="D5709" s="9">
        <v>12730.14</v>
      </c>
      <c r="E5709" s="10" t="str">
        <f t="array" ref="E5709">IFS(D5709&lt;=$G$3,'calculated data '!$A$3,D5709&lt;=$G$4,'calculated data '!$A$4,D5709&lt;=$G$6,'calculated data '!$A$5,D5709&gt;=$G$6,'calculated data '!$A$6)</f>
        <v>Target Market (Core IQR)</v>
      </c>
      <c r="F5709" s="10">
        <f t="shared" si="1"/>
        <v>-0.3262078397</v>
      </c>
    </row>
    <row r="5710" ht="14.25" customHeight="1">
      <c r="A5710" s="2" t="s">
        <v>285</v>
      </c>
      <c r="B5710" s="2" t="s">
        <v>286</v>
      </c>
      <c r="C5710" s="2">
        <v>1989.0</v>
      </c>
      <c r="D5710" s="9">
        <v>12739.499</v>
      </c>
      <c r="E5710" s="10" t="str">
        <f t="array" ref="E5710">IFS(D5710&lt;=$G$3,'calculated data '!$A$3,D5710&lt;=$G$4,'calculated data '!$A$4,D5710&lt;=$G$6,'calculated data '!$A$5,D5710&gt;=$G$6,'calculated data '!$A$6)</f>
        <v>Target Market (Core IQR)</v>
      </c>
      <c r="F5710" s="10">
        <f t="shared" si="1"/>
        <v>-0.3259601093</v>
      </c>
    </row>
    <row r="5711" ht="14.25" customHeight="1">
      <c r="A5711" s="2" t="s">
        <v>227</v>
      </c>
      <c r="B5711" s="2" t="s">
        <v>228</v>
      </c>
      <c r="C5711" s="2">
        <v>2010.0</v>
      </c>
      <c r="D5711" s="9">
        <v>12746.148</v>
      </c>
      <c r="E5711" s="10" t="str">
        <f t="array" ref="E5711">IFS(D5711&lt;=$G$3,'calculated data '!$A$3,D5711&lt;=$G$4,'calculated data '!$A$4,D5711&lt;=$G$6,'calculated data '!$A$5,D5711&gt;=$G$6,'calculated data '!$A$6)</f>
        <v>Target Market (Core IQR)</v>
      </c>
      <c r="F5711" s="10">
        <f t="shared" si="1"/>
        <v>-0.3257841119</v>
      </c>
    </row>
    <row r="5712" ht="14.25" customHeight="1">
      <c r="A5712" s="2" t="s">
        <v>295</v>
      </c>
      <c r="B5712" s="2" t="s">
        <v>296</v>
      </c>
      <c r="C5712" s="2">
        <v>2008.0</v>
      </c>
      <c r="D5712" s="9">
        <v>12752.937</v>
      </c>
      <c r="E5712" s="10" t="str">
        <f t="array" ref="E5712">IFS(D5712&lt;=$G$3,'calculated data '!$A$3,D5712&lt;=$G$4,'calculated data '!$A$4,D5712&lt;=$G$6,'calculated data '!$A$5,D5712&gt;=$G$6,'calculated data '!$A$6)</f>
        <v>Target Market (Core IQR)</v>
      </c>
      <c r="F5712" s="10">
        <f t="shared" si="1"/>
        <v>-0.3256044088</v>
      </c>
    </row>
    <row r="5713" ht="14.25" customHeight="1">
      <c r="A5713" s="2" t="s">
        <v>257</v>
      </c>
      <c r="B5713" s="2" t="s">
        <v>258</v>
      </c>
      <c r="C5713" s="2">
        <v>1985.0</v>
      </c>
      <c r="D5713" s="9">
        <v>12754.496</v>
      </c>
      <c r="E5713" s="10" t="str">
        <f t="array" ref="E5713">IFS(D5713&lt;=$G$3,'calculated data '!$A$3,D5713&lt;=$G$4,'calculated data '!$A$4,D5713&lt;=$G$6,'calculated data '!$A$5,D5713&gt;=$G$6,'calculated data '!$A$6)</f>
        <v>Target Market (Core IQR)</v>
      </c>
      <c r="F5713" s="10">
        <f t="shared" si="1"/>
        <v>-0.3255631425</v>
      </c>
    </row>
    <row r="5714" ht="14.25" customHeight="1">
      <c r="A5714" s="2" t="s">
        <v>233</v>
      </c>
      <c r="B5714" s="2" t="s">
        <v>234</v>
      </c>
      <c r="C5714" s="2">
        <v>2010.0</v>
      </c>
      <c r="D5714" s="9">
        <v>12772.435</v>
      </c>
      <c r="E5714" s="10" t="str">
        <f t="array" ref="E5714">IFS(D5714&lt;=$G$3,'calculated data '!$A$3,D5714&lt;=$G$4,'calculated data '!$A$4,D5714&lt;=$G$6,'calculated data '!$A$5,D5714&gt;=$G$6,'calculated data '!$A$6)</f>
        <v>Target Market (Core IQR)</v>
      </c>
      <c r="F5714" s="10">
        <f t="shared" si="1"/>
        <v>-0.3250883016</v>
      </c>
    </row>
    <row r="5715" ht="14.25" customHeight="1">
      <c r="A5715" s="2" t="s">
        <v>99</v>
      </c>
      <c r="B5715" s="2" t="s">
        <v>100</v>
      </c>
      <c r="C5715" s="2">
        <v>2019.0</v>
      </c>
      <c r="D5715" s="9">
        <v>12777.098</v>
      </c>
      <c r="E5715" s="10" t="str">
        <f t="array" ref="E5715">IFS(D5715&lt;=$G$3,'calculated data '!$A$3,D5715&lt;=$G$4,'calculated data '!$A$4,D5715&lt;=$G$6,'calculated data '!$A$5,D5715&gt;=$G$6,'calculated data '!$A$6)</f>
        <v>Target Market (Core IQR)</v>
      </c>
      <c r="F5715" s="10">
        <f t="shared" si="1"/>
        <v>-0.3249648731</v>
      </c>
    </row>
    <row r="5716" ht="14.25" customHeight="1">
      <c r="A5716" s="2" t="s">
        <v>235</v>
      </c>
      <c r="B5716" s="2" t="s">
        <v>236</v>
      </c>
      <c r="C5716" s="2">
        <v>1989.0</v>
      </c>
      <c r="D5716" s="9">
        <v>12798.733</v>
      </c>
      <c r="E5716" s="10" t="str">
        <f t="array" ref="E5716">IFS(D5716&lt;=$G$3,'calculated data '!$A$3,D5716&lt;=$G$4,'calculated data '!$A$4,D5716&lt;=$G$6,'calculated data '!$A$5,D5716&gt;=$G$6,'calculated data '!$A$6)</f>
        <v>Target Market (Core IQR)</v>
      </c>
      <c r="F5716" s="10">
        <f t="shared" si="1"/>
        <v>-0.3243922001</v>
      </c>
    </row>
    <row r="5717" ht="14.25" customHeight="1">
      <c r="A5717" s="2" t="s">
        <v>317</v>
      </c>
      <c r="B5717" s="2" t="s">
        <v>318</v>
      </c>
      <c r="C5717" s="2">
        <v>2004.0</v>
      </c>
      <c r="D5717" s="9">
        <v>12809.222</v>
      </c>
      <c r="E5717" s="10" t="str">
        <f t="array" ref="E5717">IFS(D5717&lt;=$G$3,'calculated data '!$A$3,D5717&lt;=$G$4,'calculated data '!$A$4,D5717&lt;=$G$6,'calculated data '!$A$5,D5717&gt;=$G$6,'calculated data '!$A$6)</f>
        <v>Target Market (Core IQR)</v>
      </c>
      <c r="F5717" s="10">
        <f t="shared" si="1"/>
        <v>-0.3241145589</v>
      </c>
    </row>
    <row r="5718" ht="14.25" customHeight="1">
      <c r="A5718" s="2" t="s">
        <v>303</v>
      </c>
      <c r="B5718" s="2" t="s">
        <v>304</v>
      </c>
      <c r="C5718" s="2">
        <v>2011.0</v>
      </c>
      <c r="D5718" s="9">
        <v>12809.284</v>
      </c>
      <c r="E5718" s="10" t="str">
        <f t="array" ref="E5718">IFS(D5718&lt;=$G$3,'calculated data '!$A$3,D5718&lt;=$G$4,'calculated data '!$A$4,D5718&lt;=$G$6,'calculated data '!$A$5,D5718&gt;=$G$6,'calculated data '!$A$6)</f>
        <v>Target Market (Core IQR)</v>
      </c>
      <c r="F5718" s="10">
        <f t="shared" si="1"/>
        <v>-0.3241129177</v>
      </c>
    </row>
    <row r="5719" ht="14.25" customHeight="1">
      <c r="A5719" s="2" t="s">
        <v>327</v>
      </c>
      <c r="B5719" s="2" t="s">
        <v>328</v>
      </c>
      <c r="C5719" s="2">
        <v>2015.0</v>
      </c>
      <c r="D5719" s="9">
        <v>12817.113</v>
      </c>
      <c r="E5719" s="10" t="str">
        <f t="array" ref="E5719">IFS(D5719&lt;=$G$3,'calculated data '!$A$3,D5719&lt;=$G$4,'calculated data '!$A$4,D5719&lt;=$G$6,'calculated data '!$A$5,D5719&gt;=$G$6,'calculated data '!$A$6)</f>
        <v>Target Market (Core IQR)</v>
      </c>
      <c r="F5719" s="10">
        <f t="shared" si="1"/>
        <v>-0.3239056861</v>
      </c>
    </row>
    <row r="5720" ht="14.25" customHeight="1">
      <c r="A5720" s="2" t="s">
        <v>295</v>
      </c>
      <c r="B5720" s="2" t="s">
        <v>296</v>
      </c>
      <c r="C5720" s="2">
        <v>1995.0</v>
      </c>
      <c r="D5720" s="9">
        <v>12820.879</v>
      </c>
      <c r="E5720" s="10" t="str">
        <f t="array" ref="E5720">IFS(D5720&lt;=$G$3,'calculated data '!$A$3,D5720&lt;=$G$4,'calculated data '!$A$4,D5720&lt;=$G$6,'calculated data '!$A$5,D5720&gt;=$G$6,'calculated data '!$A$6)</f>
        <v>Target Market (Core IQR)</v>
      </c>
      <c r="F5720" s="10">
        <f t="shared" si="1"/>
        <v>-0.323806001</v>
      </c>
    </row>
    <row r="5721" ht="14.25" customHeight="1">
      <c r="A5721" s="2" t="s">
        <v>333</v>
      </c>
      <c r="B5721" s="2" t="s">
        <v>334</v>
      </c>
      <c r="C5721" s="2">
        <v>1985.0</v>
      </c>
      <c r="D5721" s="9">
        <v>12823.284</v>
      </c>
      <c r="E5721" s="10" t="str">
        <f t="array" ref="E5721">IFS(D5721&lt;=$G$3,'calculated data '!$A$3,D5721&lt;=$G$4,'calculated data '!$A$4,D5721&lt;=$G$6,'calculated data '!$A$5,D5721&gt;=$G$6,'calculated data '!$A$6)</f>
        <v>Target Market (Core IQR)</v>
      </c>
      <c r="F5721" s="10">
        <f t="shared" si="1"/>
        <v>-0.3237423412</v>
      </c>
    </row>
    <row r="5722" ht="14.25" customHeight="1">
      <c r="A5722" s="2" t="s">
        <v>251</v>
      </c>
      <c r="B5722" s="2" t="s">
        <v>252</v>
      </c>
      <c r="C5722" s="2">
        <v>2018.0</v>
      </c>
      <c r="D5722" s="9">
        <v>12823.938</v>
      </c>
      <c r="E5722" s="10" t="str">
        <f t="array" ref="E5722">IFS(D5722&lt;=$G$3,'calculated data '!$A$3,D5722&lt;=$G$4,'calculated data '!$A$4,D5722&lt;=$G$6,'calculated data '!$A$5,D5722&gt;=$G$6,'calculated data '!$A$6)</f>
        <v>Target Market (Core IQR)</v>
      </c>
      <c r="F5722" s="10">
        <f t="shared" si="1"/>
        <v>-0.32372503</v>
      </c>
    </row>
    <row r="5723" ht="14.25" customHeight="1">
      <c r="A5723" s="2" t="s">
        <v>317</v>
      </c>
      <c r="B5723" s="2" t="s">
        <v>318</v>
      </c>
      <c r="C5723" s="2">
        <v>1984.0</v>
      </c>
      <c r="D5723" s="9">
        <v>12826.9795</v>
      </c>
      <c r="E5723" s="10" t="str">
        <f t="array" ref="E5723">IFS(D5723&lt;=$G$3,'calculated data '!$A$3,D5723&lt;=$G$4,'calculated data '!$A$4,D5723&lt;=$G$6,'calculated data '!$A$5,D5723&gt;=$G$6,'calculated data '!$A$6)</f>
        <v>Target Market (Core IQR)</v>
      </c>
      <c r="F5723" s="10">
        <f t="shared" si="1"/>
        <v>-0.3236445223</v>
      </c>
    </row>
    <row r="5724" ht="14.25" customHeight="1">
      <c r="A5724" s="2" t="s">
        <v>273</v>
      </c>
      <c r="B5724" s="2" t="s">
        <v>274</v>
      </c>
      <c r="C5724" s="2">
        <v>1993.0</v>
      </c>
      <c r="D5724" s="9">
        <v>12827.559</v>
      </c>
      <c r="E5724" s="10" t="str">
        <f t="array" ref="E5724">IFS(D5724&lt;=$G$3,'calculated data '!$A$3,D5724&lt;=$G$4,'calculated data '!$A$4,D5724&lt;=$G$6,'calculated data '!$A$5,D5724&gt;=$G$6,'calculated data '!$A$6)</f>
        <v>Target Market (Core IQR)</v>
      </c>
      <c r="F5724" s="10">
        <f t="shared" si="1"/>
        <v>-0.323629183</v>
      </c>
    </row>
    <row r="5725" ht="14.25" customHeight="1">
      <c r="A5725" s="2" t="s">
        <v>325</v>
      </c>
      <c r="B5725" s="2" t="s">
        <v>326</v>
      </c>
      <c r="C5725" s="2">
        <v>1998.0</v>
      </c>
      <c r="D5725" s="9">
        <v>12830.193</v>
      </c>
      <c r="E5725" s="10" t="str">
        <f t="array" ref="E5725">IFS(D5725&lt;=$G$3,'calculated data '!$A$3,D5725&lt;=$G$4,'calculated data '!$A$4,D5725&lt;=$G$6,'calculated data '!$A$5,D5725&gt;=$G$6,'calculated data '!$A$6)</f>
        <v>Target Market (Core IQR)</v>
      </c>
      <c r="F5725" s="10">
        <f t="shared" si="1"/>
        <v>-0.3235594617</v>
      </c>
    </row>
    <row r="5726" ht="14.25" customHeight="1">
      <c r="A5726" s="2" t="s">
        <v>233</v>
      </c>
      <c r="B5726" s="2" t="s">
        <v>234</v>
      </c>
      <c r="C5726" s="2">
        <v>2002.0</v>
      </c>
      <c r="D5726" s="9">
        <v>12834.803</v>
      </c>
      <c r="E5726" s="10" t="str">
        <f t="array" ref="E5726">IFS(D5726&lt;=$G$3,'calculated data '!$A$3,D5726&lt;=$G$4,'calculated data '!$A$4,D5726&lt;=$G$6,'calculated data '!$A$5,D5726&gt;=$G$6,'calculated data '!$A$6)</f>
        <v>Target Market (Core IQR)</v>
      </c>
      <c r="F5726" s="10">
        <f t="shared" si="1"/>
        <v>-0.3234374362</v>
      </c>
    </row>
    <row r="5727" ht="14.25" customHeight="1">
      <c r="A5727" s="2" t="s">
        <v>333</v>
      </c>
      <c r="B5727" s="2" t="s">
        <v>334</v>
      </c>
      <c r="C5727" s="2">
        <v>1983.0</v>
      </c>
      <c r="D5727" s="9">
        <v>12841.106</v>
      </c>
      <c r="E5727" s="10" t="str">
        <f t="array" ref="E5727">IFS(D5727&lt;=$G$3,'calculated data '!$A$3,D5727&lt;=$G$4,'calculated data '!$A$4,D5727&lt;=$G$6,'calculated data '!$A$5,D5727&gt;=$G$6,'calculated data '!$A$6)</f>
        <v>Target Market (Core IQR)</v>
      </c>
      <c r="F5727" s="10">
        <f t="shared" si="1"/>
        <v>-0.3232705973</v>
      </c>
    </row>
    <row r="5728" ht="14.25" customHeight="1">
      <c r="A5728" s="2" t="s">
        <v>133</v>
      </c>
      <c r="B5728" s="2" t="s">
        <v>134</v>
      </c>
      <c r="C5728" s="2">
        <v>2025.0</v>
      </c>
      <c r="D5728" s="9">
        <v>12847.271</v>
      </c>
      <c r="E5728" s="10" t="str">
        <f t="array" ref="E5728">IFS(D5728&lt;=$G$3,'calculated data '!$A$3,D5728&lt;=$G$4,'calculated data '!$A$4,D5728&lt;=$G$6,'calculated data '!$A$5,D5728&gt;=$G$6,'calculated data '!$A$6)</f>
        <v>Target Market (Core IQR)</v>
      </c>
      <c r="F5728" s="10">
        <f t="shared" si="1"/>
        <v>-0.3231074113</v>
      </c>
    </row>
    <row r="5729" ht="14.25" customHeight="1">
      <c r="A5729" s="2" t="s">
        <v>335</v>
      </c>
      <c r="B5729" s="2" t="s">
        <v>336</v>
      </c>
      <c r="C5729" s="2">
        <v>1969.0</v>
      </c>
      <c r="D5729" s="9">
        <v>12851.274</v>
      </c>
      <c r="E5729" s="10" t="str">
        <f t="array" ref="E5729">IFS(D5729&lt;=$G$3,'calculated data '!$A$3,D5729&lt;=$G$4,'calculated data '!$A$4,D5729&lt;=$G$6,'calculated data '!$A$5,D5729&gt;=$G$6,'calculated data '!$A$6)</f>
        <v>Target Market (Core IQR)</v>
      </c>
      <c r="F5729" s="10">
        <f t="shared" si="1"/>
        <v>-0.3230014529</v>
      </c>
    </row>
    <row r="5730" ht="14.25" customHeight="1">
      <c r="A5730" s="2" t="s">
        <v>99</v>
      </c>
      <c r="B5730" s="2" t="s">
        <v>100</v>
      </c>
      <c r="C5730" s="2">
        <v>2009.0</v>
      </c>
      <c r="D5730" s="9">
        <v>12852.759</v>
      </c>
      <c r="E5730" s="10" t="str">
        <f t="array" ref="E5730">IFS(D5730&lt;=$G$3,'calculated data '!$A$3,D5730&lt;=$G$4,'calculated data '!$A$4,D5730&lt;=$G$6,'calculated data '!$A$5,D5730&gt;=$G$6,'calculated data '!$A$6)</f>
        <v>Target Market (Core IQR)</v>
      </c>
      <c r="F5730" s="10">
        <f t="shared" si="1"/>
        <v>-0.3229621453</v>
      </c>
    </row>
    <row r="5731" ht="14.25" customHeight="1">
      <c r="A5731" s="2" t="s">
        <v>221</v>
      </c>
      <c r="B5731" s="2" t="s">
        <v>222</v>
      </c>
      <c r="C5731" s="2">
        <v>1983.0</v>
      </c>
      <c r="D5731" s="9">
        <v>12856.787</v>
      </c>
      <c r="E5731" s="10" t="str">
        <f t="array" ref="E5731">IFS(D5731&lt;=$G$3,'calculated data '!$A$3,D5731&lt;=$G$4,'calculated data '!$A$4,D5731&lt;=$G$6,'calculated data '!$A$5,D5731&gt;=$G$6,'calculated data '!$A$6)</f>
        <v>Target Market (Core IQR)</v>
      </c>
      <c r="F5731" s="10">
        <f t="shared" si="1"/>
        <v>-0.3228555252</v>
      </c>
    </row>
    <row r="5732" ht="14.25" customHeight="1">
      <c r="A5732" s="2" t="s">
        <v>273</v>
      </c>
      <c r="B5732" s="2" t="s">
        <v>274</v>
      </c>
      <c r="C5732" s="2">
        <v>2000.0</v>
      </c>
      <c r="D5732" s="9">
        <v>12859.471</v>
      </c>
      <c r="E5732" s="10" t="str">
        <f t="array" ref="E5732">IFS(D5732&lt;=$G$3,'calculated data '!$A$3,D5732&lt;=$G$4,'calculated data '!$A$4,D5732&lt;=$G$6,'calculated data '!$A$5,D5732&gt;=$G$6,'calculated data '!$A$6)</f>
        <v>Target Market (Core IQR)</v>
      </c>
      <c r="F5732" s="10">
        <f t="shared" si="1"/>
        <v>-0.3227844803</v>
      </c>
    </row>
    <row r="5733" ht="14.25" customHeight="1">
      <c r="A5733" s="2" t="s">
        <v>315</v>
      </c>
      <c r="B5733" s="2" t="s">
        <v>316</v>
      </c>
      <c r="C5733" s="2">
        <v>2012.0</v>
      </c>
      <c r="D5733" s="9">
        <v>12861.652</v>
      </c>
      <c r="E5733" s="10" t="str">
        <f t="array" ref="E5733">IFS(D5733&lt;=$G$3,'calculated data '!$A$3,D5733&lt;=$G$4,'calculated data '!$A$4,D5733&lt;=$G$6,'calculated data '!$A$5,D5733&gt;=$G$6,'calculated data '!$A$6)</f>
        <v>Target Market (Core IQR)</v>
      </c>
      <c r="F5733" s="10">
        <f t="shared" si="1"/>
        <v>-0.3227267498</v>
      </c>
    </row>
    <row r="5734" ht="14.25" customHeight="1">
      <c r="A5734" s="2" t="s">
        <v>57</v>
      </c>
      <c r="B5734" s="2" t="s">
        <v>58</v>
      </c>
      <c r="C5734" s="2">
        <v>1966.0</v>
      </c>
      <c r="D5734" s="9">
        <v>12878.087</v>
      </c>
      <c r="E5734" s="10" t="str">
        <f t="array" ref="E5734">IFS(D5734&lt;=$G$3,'calculated data '!$A$3,D5734&lt;=$G$4,'calculated data '!$A$4,D5734&lt;=$G$6,'calculated data '!$A$5,D5734&gt;=$G$6,'calculated data '!$A$6)</f>
        <v>Target Market (Core IQR)</v>
      </c>
      <c r="F5734" s="10">
        <f t="shared" si="1"/>
        <v>-0.3222917195</v>
      </c>
    </row>
    <row r="5735" ht="14.25" customHeight="1">
      <c r="A5735" s="2" t="s">
        <v>269</v>
      </c>
      <c r="B5735" s="2" t="s">
        <v>270</v>
      </c>
      <c r="C5735" s="2">
        <v>1997.0</v>
      </c>
      <c r="D5735" s="9">
        <v>12885.153</v>
      </c>
      <c r="E5735" s="10" t="str">
        <f t="array" ref="E5735">IFS(D5735&lt;=$G$3,'calculated data '!$A$3,D5735&lt;=$G$4,'calculated data '!$A$4,D5735&lt;=$G$6,'calculated data '!$A$5,D5735&gt;=$G$6,'calculated data '!$A$6)</f>
        <v>Target Market (Core IQR)</v>
      </c>
      <c r="F5735" s="10">
        <f t="shared" si="1"/>
        <v>-0.3221046842</v>
      </c>
    </row>
    <row r="5736" ht="14.25" customHeight="1">
      <c r="A5736" s="2" t="s">
        <v>273</v>
      </c>
      <c r="B5736" s="2" t="s">
        <v>274</v>
      </c>
      <c r="C5736" s="2">
        <v>1997.0</v>
      </c>
      <c r="D5736" s="9">
        <v>12887.396</v>
      </c>
      <c r="E5736" s="10" t="str">
        <f t="array" ref="E5736">IFS(D5736&lt;=$G$3,'calculated data '!$A$3,D5736&lt;=$G$4,'calculated data '!$A$4,D5736&lt;=$G$6,'calculated data '!$A$5,D5736&gt;=$G$6,'calculated data '!$A$6)</f>
        <v>Target Market (Core IQR)</v>
      </c>
      <c r="F5736" s="10">
        <f t="shared" si="1"/>
        <v>-0.3220453126</v>
      </c>
    </row>
    <row r="5737" ht="14.25" customHeight="1">
      <c r="A5737" s="2" t="s">
        <v>327</v>
      </c>
      <c r="B5737" s="2" t="s">
        <v>328</v>
      </c>
      <c r="C5737" s="2">
        <v>1991.0</v>
      </c>
      <c r="D5737" s="9">
        <v>12890.735</v>
      </c>
      <c r="E5737" s="10" t="str">
        <f t="array" ref="E5737">IFS(D5737&lt;=$G$3,'calculated data '!$A$3,D5737&lt;=$G$4,'calculated data '!$A$4,D5737&lt;=$G$6,'calculated data '!$A$5,D5737&gt;=$G$6,'calculated data '!$A$6)</f>
        <v>Target Market (Core IQR)</v>
      </c>
      <c r="F5737" s="10">
        <f t="shared" si="1"/>
        <v>-0.3219569301</v>
      </c>
    </row>
    <row r="5738" ht="14.25" customHeight="1">
      <c r="A5738" s="2" t="s">
        <v>345</v>
      </c>
      <c r="B5738" s="2" t="s">
        <v>346</v>
      </c>
      <c r="C5738" s="2">
        <v>2014.0</v>
      </c>
      <c r="D5738" s="9">
        <v>12891.493</v>
      </c>
      <c r="E5738" s="10" t="str">
        <f t="array" ref="E5738">IFS(D5738&lt;=$G$3,'calculated data '!$A$3,D5738&lt;=$G$4,'calculated data '!$A$4,D5738&lt;=$G$6,'calculated data '!$A$5,D5738&gt;=$G$6,'calculated data '!$A$6)</f>
        <v>Target Market (Core IQR)</v>
      </c>
      <c r="F5738" s="10">
        <f t="shared" si="1"/>
        <v>-0.321936866</v>
      </c>
    </row>
    <row r="5739" ht="14.25" customHeight="1">
      <c r="A5739" s="2" t="s">
        <v>315</v>
      </c>
      <c r="B5739" s="2" t="s">
        <v>316</v>
      </c>
      <c r="C5739" s="2">
        <v>2013.0</v>
      </c>
      <c r="D5739" s="9">
        <v>12900.738</v>
      </c>
      <c r="E5739" s="10" t="str">
        <f t="array" ref="E5739">IFS(D5739&lt;=$G$3,'calculated data '!$A$3,D5739&lt;=$G$4,'calculated data '!$A$4,D5739&lt;=$G$6,'calculated data '!$A$5,D5739&gt;=$G$6,'calculated data '!$A$6)</f>
        <v>Target Market (Core IQR)</v>
      </c>
      <c r="F5739" s="10">
        <f t="shared" si="1"/>
        <v>-0.3216921531</v>
      </c>
    </row>
    <row r="5740" ht="14.25" customHeight="1">
      <c r="A5740" s="2" t="s">
        <v>271</v>
      </c>
      <c r="B5740" s="2" t="s">
        <v>272</v>
      </c>
      <c r="C5740" s="2">
        <v>1984.0</v>
      </c>
      <c r="D5740" s="9">
        <v>12903.434</v>
      </c>
      <c r="E5740" s="10" t="str">
        <f t="array" ref="E5740">IFS(D5740&lt;=$G$3,'calculated data '!$A$3,D5740&lt;=$G$4,'calculated data '!$A$4,D5740&lt;=$G$6,'calculated data '!$A$5,D5740&gt;=$G$6,'calculated data '!$A$6)</f>
        <v>Target Market (Core IQR)</v>
      </c>
      <c r="F5740" s="10">
        <f t="shared" si="1"/>
        <v>-0.3216207907</v>
      </c>
    </row>
    <row r="5741" ht="14.25" customHeight="1">
      <c r="A5741" s="2" t="s">
        <v>315</v>
      </c>
      <c r="B5741" s="2" t="s">
        <v>316</v>
      </c>
      <c r="C5741" s="2">
        <v>2018.0</v>
      </c>
      <c r="D5741" s="9">
        <v>12904.734</v>
      </c>
      <c r="E5741" s="10" t="str">
        <f t="array" ref="E5741">IFS(D5741&lt;=$G$3,'calculated data '!$A$3,D5741&lt;=$G$4,'calculated data '!$A$4,D5741&lt;=$G$6,'calculated data '!$A$5,D5741&gt;=$G$6,'calculated data '!$A$6)</f>
        <v>Target Market (Core IQR)</v>
      </c>
      <c r="F5741" s="10">
        <f t="shared" si="1"/>
        <v>-0.32158638</v>
      </c>
    </row>
    <row r="5742" ht="14.25" customHeight="1">
      <c r="A5742" s="2" t="s">
        <v>295</v>
      </c>
      <c r="B5742" s="2" t="s">
        <v>296</v>
      </c>
      <c r="C5742" s="2">
        <v>2001.0</v>
      </c>
      <c r="D5742" s="9">
        <v>12905.365</v>
      </c>
      <c r="E5742" s="10" t="str">
        <f t="array" ref="E5742">IFS(D5742&lt;=$G$3,'calculated data '!$A$3,D5742&lt;=$G$4,'calculated data '!$A$4,D5742&lt;=$G$6,'calculated data '!$A$5,D5742&gt;=$G$6,'calculated data '!$A$6)</f>
        <v>Target Market (Core IQR)</v>
      </c>
      <c r="F5742" s="10">
        <f t="shared" si="1"/>
        <v>-0.3215696776</v>
      </c>
    </row>
    <row r="5743" ht="14.25" customHeight="1">
      <c r="A5743" s="2" t="s">
        <v>253</v>
      </c>
      <c r="B5743" s="2" t="s">
        <v>254</v>
      </c>
      <c r="C5743" s="2">
        <v>1987.0</v>
      </c>
      <c r="D5743" s="9">
        <v>12914.778</v>
      </c>
      <c r="E5743" s="10" t="str">
        <f t="array" ref="E5743">IFS(D5743&lt;=$G$3,'calculated data '!$A$3,D5743&lt;=$G$4,'calculated data '!$A$4,D5743&lt;=$G$6,'calculated data '!$A$5,D5743&gt;=$G$6,'calculated data '!$A$6)</f>
        <v>Target Market (Core IQR)</v>
      </c>
      <c r="F5743" s="10">
        <f t="shared" si="1"/>
        <v>-0.3213205178</v>
      </c>
    </row>
    <row r="5744" ht="14.25" customHeight="1">
      <c r="A5744" s="2" t="s">
        <v>303</v>
      </c>
      <c r="B5744" s="2" t="s">
        <v>304</v>
      </c>
      <c r="C5744" s="2">
        <v>1986.0</v>
      </c>
      <c r="D5744" s="9">
        <v>12918.687</v>
      </c>
      <c r="E5744" s="10" t="str">
        <f t="array" ref="E5744">IFS(D5744&lt;=$G$3,'calculated data '!$A$3,D5744&lt;=$G$4,'calculated data '!$A$4,D5744&lt;=$G$6,'calculated data '!$A$5,D5744&gt;=$G$6,'calculated data '!$A$6)</f>
        <v>Target Market (Core IQR)</v>
      </c>
      <c r="F5744" s="10">
        <f t="shared" si="1"/>
        <v>-0.3212170476</v>
      </c>
    </row>
    <row r="5745" ht="14.25" customHeight="1">
      <c r="A5745" s="2" t="s">
        <v>319</v>
      </c>
      <c r="B5745" s="2" t="s">
        <v>320</v>
      </c>
      <c r="C5745" s="2">
        <v>1975.0</v>
      </c>
      <c r="D5745" s="9">
        <v>12936.193</v>
      </c>
      <c r="E5745" s="10" t="str">
        <f t="array" ref="E5745">IFS(D5745&lt;=$G$3,'calculated data '!$A$3,D5745&lt;=$G$4,'calculated data '!$A$4,D5745&lt;=$G$6,'calculated data '!$A$5,D5745&gt;=$G$6,'calculated data '!$A$6)</f>
        <v>Target Market (Core IQR)</v>
      </c>
      <c r="F5745" s="10">
        <f t="shared" si="1"/>
        <v>-0.3207536681</v>
      </c>
    </row>
    <row r="5746" ht="14.25" customHeight="1">
      <c r="A5746" s="2" t="s">
        <v>231</v>
      </c>
      <c r="B5746" s="2" t="s">
        <v>232</v>
      </c>
      <c r="C5746" s="2">
        <v>2004.0</v>
      </c>
      <c r="D5746" s="9">
        <v>12941.354</v>
      </c>
      <c r="E5746" s="10" t="str">
        <f t="array" ref="E5746">IFS(D5746&lt;=$G$3,'calculated data '!$A$3,D5746&lt;=$G$4,'calculated data '!$A$4,D5746&lt;=$G$6,'calculated data '!$A$5,D5746&gt;=$G$6,'calculated data '!$A$6)</f>
        <v>Target Market (Core IQR)</v>
      </c>
      <c r="F5746" s="10">
        <f t="shared" si="1"/>
        <v>-0.3206170577</v>
      </c>
    </row>
    <row r="5747" ht="14.25" customHeight="1">
      <c r="A5747" s="2" t="s">
        <v>327</v>
      </c>
      <c r="B5747" s="2" t="s">
        <v>328</v>
      </c>
      <c r="C5747" s="2">
        <v>2023.0</v>
      </c>
      <c r="D5747" s="9">
        <v>12950.892</v>
      </c>
      <c r="E5747" s="10" t="str">
        <f t="array" ref="E5747">IFS(D5747&lt;=$G$3,'calculated data '!$A$3,D5747&lt;=$G$4,'calculated data '!$A$4,D5747&lt;=$G$6,'calculated data '!$A$5,D5747&gt;=$G$6,'calculated data '!$A$6)</f>
        <v>Target Market (Core IQR)</v>
      </c>
      <c r="F5747" s="10">
        <f t="shared" si="1"/>
        <v>-0.3203645892</v>
      </c>
    </row>
    <row r="5748" ht="14.25" customHeight="1">
      <c r="A5748" s="2" t="s">
        <v>233</v>
      </c>
      <c r="B5748" s="2" t="s">
        <v>234</v>
      </c>
      <c r="C5748" s="2">
        <v>2000.0</v>
      </c>
      <c r="D5748" s="9">
        <v>12952.686</v>
      </c>
      <c r="E5748" s="10" t="str">
        <f t="array" ref="E5748">IFS(D5748&lt;=$G$3,'calculated data '!$A$3,D5748&lt;=$G$4,'calculated data '!$A$4,D5748&lt;=$G$6,'calculated data '!$A$5,D5748&gt;=$G$6,'calculated data '!$A$6)</f>
        <v>Target Market (Core IQR)</v>
      </c>
      <c r="F5748" s="10">
        <f t="shared" si="1"/>
        <v>-0.3203171025</v>
      </c>
    </row>
    <row r="5749" ht="14.25" customHeight="1">
      <c r="A5749" s="2" t="s">
        <v>287</v>
      </c>
      <c r="B5749" s="2" t="s">
        <v>288</v>
      </c>
      <c r="C5749" s="2">
        <v>2005.0</v>
      </c>
      <c r="D5749" s="9">
        <v>12968.104</v>
      </c>
      <c r="E5749" s="10" t="str">
        <f t="array" ref="E5749">IFS(D5749&lt;=$G$3,'calculated data '!$A$3,D5749&lt;=$G$4,'calculated data '!$A$4,D5749&lt;=$G$6,'calculated data '!$A$5,D5749&gt;=$G$6,'calculated data '!$A$6)</f>
        <v>Target Market (Core IQR)</v>
      </c>
      <c r="F5749" s="10">
        <f t="shared" si="1"/>
        <v>-0.3199089919</v>
      </c>
    </row>
    <row r="5750" ht="14.25" customHeight="1">
      <c r="A5750" s="2" t="s">
        <v>285</v>
      </c>
      <c r="B5750" s="2" t="s">
        <v>286</v>
      </c>
      <c r="C5750" s="2">
        <v>1998.0</v>
      </c>
      <c r="D5750" s="9">
        <v>12970.873</v>
      </c>
      <c r="E5750" s="10" t="str">
        <f t="array" ref="E5750">IFS(D5750&lt;=$G$3,'calculated data '!$A$3,D5750&lt;=$G$4,'calculated data '!$A$4,D5750&lt;=$G$6,'calculated data '!$A$5,D5750&gt;=$G$6,'calculated data '!$A$6)</f>
        <v>Target Market (Core IQR)</v>
      </c>
      <c r="F5750" s="10">
        <f t="shared" si="1"/>
        <v>-0.3198356972</v>
      </c>
    </row>
    <row r="5751" ht="14.25" customHeight="1">
      <c r="A5751" s="2" t="s">
        <v>345</v>
      </c>
      <c r="B5751" s="2" t="s">
        <v>346</v>
      </c>
      <c r="C5751" s="2">
        <v>2002.0</v>
      </c>
      <c r="D5751" s="9">
        <v>12971.4</v>
      </c>
      <c r="E5751" s="10" t="str">
        <f t="array" ref="E5751">IFS(D5751&lt;=$G$3,'calculated data '!$A$3,D5751&lt;=$G$4,'calculated data '!$A$4,D5751&lt;=$G$6,'calculated data '!$A$5,D5751&gt;=$G$6,'calculated data '!$A$6)</f>
        <v>Target Market (Core IQR)</v>
      </c>
      <c r="F5751" s="10">
        <f t="shared" si="1"/>
        <v>-0.3198217476</v>
      </c>
    </row>
    <row r="5752" ht="14.25" customHeight="1">
      <c r="A5752" s="2" t="s">
        <v>241</v>
      </c>
      <c r="B5752" s="2" t="s">
        <v>242</v>
      </c>
      <c r="C5752" s="2">
        <v>2002.0</v>
      </c>
      <c r="D5752" s="9">
        <v>12971.968</v>
      </c>
      <c r="E5752" s="10" t="str">
        <f t="array" ref="E5752">IFS(D5752&lt;=$G$3,'calculated data '!$A$3,D5752&lt;=$G$4,'calculated data '!$A$4,D5752&lt;=$G$6,'calculated data '!$A$5,D5752&gt;=$G$6,'calculated data '!$A$6)</f>
        <v>Target Market (Core IQR)</v>
      </c>
      <c r="F5752" s="10">
        <f t="shared" si="1"/>
        <v>-0.3198067128</v>
      </c>
    </row>
    <row r="5753" ht="14.25" customHeight="1">
      <c r="A5753" s="2" t="s">
        <v>141</v>
      </c>
      <c r="B5753" s="2" t="s">
        <v>142</v>
      </c>
      <c r="C5753" s="2">
        <v>2002.0</v>
      </c>
      <c r="D5753" s="9">
        <v>12972.459</v>
      </c>
      <c r="E5753" s="10" t="str">
        <f t="array" ref="E5753">IFS(D5753&lt;=$G$3,'calculated data '!$A$3,D5753&lt;=$G$4,'calculated data '!$A$4,D5753&lt;=$G$6,'calculated data '!$A$5,D5753&gt;=$G$6,'calculated data '!$A$6)</f>
        <v>Target Market (Core IQR)</v>
      </c>
      <c r="F5753" s="10">
        <f t="shared" si="1"/>
        <v>-0.3197937161</v>
      </c>
    </row>
    <row r="5754" ht="14.25" customHeight="1">
      <c r="A5754" s="2" t="s">
        <v>295</v>
      </c>
      <c r="B5754" s="2" t="s">
        <v>296</v>
      </c>
      <c r="C5754" s="2">
        <v>2002.0</v>
      </c>
      <c r="D5754" s="9">
        <v>12973.768</v>
      </c>
      <c r="E5754" s="10" t="str">
        <f t="array" ref="E5754">IFS(D5754&lt;=$G$3,'calculated data '!$A$3,D5754&lt;=$G$4,'calculated data '!$A$4,D5754&lt;=$G$6,'calculated data '!$A$5,D5754&gt;=$G$6,'calculated data '!$A$6)</f>
        <v>Target Market (Core IQR)</v>
      </c>
      <c r="F5754" s="10">
        <f t="shared" si="1"/>
        <v>-0.3197590672</v>
      </c>
    </row>
    <row r="5755" ht="14.25" customHeight="1">
      <c r="A5755" s="2" t="s">
        <v>45</v>
      </c>
      <c r="B5755" s="2" t="s">
        <v>46</v>
      </c>
      <c r="C5755" s="2">
        <v>2011.0</v>
      </c>
      <c r="D5755" s="9">
        <v>12974.761</v>
      </c>
      <c r="E5755" s="10" t="str">
        <f t="array" ref="E5755">IFS(D5755&lt;=$G$3,'calculated data '!$A$3,D5755&lt;=$G$4,'calculated data '!$A$4,D5755&lt;=$G$6,'calculated data '!$A$5,D5755&gt;=$G$6,'calculated data '!$A$6)</f>
        <v>Target Market (Core IQR)</v>
      </c>
      <c r="F5755" s="10">
        <f t="shared" si="1"/>
        <v>-0.3197327828</v>
      </c>
    </row>
    <row r="5756" ht="14.25" customHeight="1">
      <c r="A5756" s="2" t="s">
        <v>329</v>
      </c>
      <c r="B5756" s="2" t="s">
        <v>330</v>
      </c>
      <c r="C5756" s="2">
        <v>2006.0</v>
      </c>
      <c r="D5756" s="9">
        <v>12984.056</v>
      </c>
      <c r="E5756" s="10" t="str">
        <f t="array" ref="E5756">IFS(D5756&lt;=$G$3,'calculated data '!$A$3,D5756&lt;=$G$4,'calculated data '!$A$4,D5756&lt;=$G$6,'calculated data '!$A$5,D5756&gt;=$G$6,'calculated data '!$A$6)</f>
        <v>Target Market (Core IQR)</v>
      </c>
      <c r="F5756" s="10">
        <f t="shared" si="1"/>
        <v>-0.3194867464</v>
      </c>
    </row>
    <row r="5757" ht="14.25" customHeight="1">
      <c r="A5757" s="2" t="s">
        <v>271</v>
      </c>
      <c r="B5757" s="2" t="s">
        <v>272</v>
      </c>
      <c r="C5757" s="2">
        <v>1985.0</v>
      </c>
      <c r="D5757" s="9">
        <v>12991.506</v>
      </c>
      <c r="E5757" s="10" t="str">
        <f t="array" ref="E5757">IFS(D5757&lt;=$G$3,'calculated data '!$A$3,D5757&lt;=$G$4,'calculated data '!$A$4,D5757&lt;=$G$6,'calculated data '!$A$5,D5757&gt;=$G$6,'calculated data '!$A$6)</f>
        <v>Target Market (Core IQR)</v>
      </c>
      <c r="F5757" s="10">
        <f t="shared" si="1"/>
        <v>-0.3192895468</v>
      </c>
    </row>
    <row r="5758" ht="14.25" customHeight="1">
      <c r="A5758" s="2" t="s">
        <v>315</v>
      </c>
      <c r="B5758" s="2" t="s">
        <v>316</v>
      </c>
      <c r="C5758" s="2">
        <v>2020.0</v>
      </c>
      <c r="D5758" s="9">
        <v>13000.607</v>
      </c>
      <c r="E5758" s="10" t="str">
        <f t="array" ref="E5758">IFS(D5758&lt;=$G$3,'calculated data '!$A$3,D5758&lt;=$G$4,'calculated data '!$A$4,D5758&lt;=$G$6,'calculated data '!$A$5,D5758&gt;=$G$6,'calculated data '!$A$6)</f>
        <v>Target Market (Core IQR)</v>
      </c>
      <c r="F5758" s="10">
        <f t="shared" si="1"/>
        <v>-0.3190486456</v>
      </c>
    </row>
    <row r="5759" ht="14.25" customHeight="1">
      <c r="A5759" s="2" t="s">
        <v>233</v>
      </c>
      <c r="B5759" s="2" t="s">
        <v>234</v>
      </c>
      <c r="C5759" s="2">
        <v>1990.0</v>
      </c>
      <c r="D5759" s="9">
        <v>13002.654</v>
      </c>
      <c r="E5759" s="10" t="str">
        <f t="array" ref="E5759">IFS(D5759&lt;=$G$3,'calculated data '!$A$3,D5759&lt;=$G$4,'calculated data '!$A$4,D5759&lt;=$G$6,'calculated data '!$A$5,D5759&gt;=$G$6,'calculated data '!$A$6)</f>
        <v>Target Market (Core IQR)</v>
      </c>
      <c r="F5759" s="10">
        <f t="shared" si="1"/>
        <v>-0.318994462</v>
      </c>
    </row>
    <row r="5760" ht="14.25" customHeight="1">
      <c r="A5760" s="2" t="s">
        <v>333</v>
      </c>
      <c r="B5760" s="2" t="s">
        <v>334</v>
      </c>
      <c r="C5760" s="2">
        <v>1984.0</v>
      </c>
      <c r="D5760" s="9">
        <v>13003.558</v>
      </c>
      <c r="E5760" s="10" t="str">
        <f t="array" ref="E5760">IFS(D5760&lt;=$G$3,'calculated data '!$A$3,D5760&lt;=$G$4,'calculated data '!$A$4,D5760&lt;=$G$6,'calculated data '!$A$5,D5760&gt;=$G$6,'calculated data '!$A$6)</f>
        <v>Target Market (Core IQR)</v>
      </c>
      <c r="F5760" s="10">
        <f t="shared" si="1"/>
        <v>-0.3189705333</v>
      </c>
    </row>
    <row r="5761" ht="14.25" customHeight="1">
      <c r="A5761" s="2" t="s">
        <v>323</v>
      </c>
      <c r="B5761" s="2" t="s">
        <v>324</v>
      </c>
      <c r="C5761" s="2">
        <v>1987.0</v>
      </c>
      <c r="D5761" s="9">
        <v>13003.881</v>
      </c>
      <c r="E5761" s="10" t="str">
        <f t="array" ref="E5761">IFS(D5761&lt;=$G$3,'calculated data '!$A$3,D5761&lt;=$G$4,'calculated data '!$A$4,D5761&lt;=$G$6,'calculated data '!$A$5,D5761&gt;=$G$6,'calculated data '!$A$6)</f>
        <v>Target Market (Core IQR)</v>
      </c>
      <c r="F5761" s="10">
        <f t="shared" si="1"/>
        <v>-0.3189619836</v>
      </c>
    </row>
    <row r="5762" ht="14.25" customHeight="1">
      <c r="A5762" s="2" t="s">
        <v>229</v>
      </c>
      <c r="B5762" s="2" t="s">
        <v>230</v>
      </c>
      <c r="C5762" s="2">
        <v>2006.0</v>
      </c>
      <c r="D5762" s="9">
        <v>13009.76</v>
      </c>
      <c r="E5762" s="10" t="str">
        <f t="array" ref="E5762">IFS(D5762&lt;=$G$3,'calculated data '!$A$3,D5762&lt;=$G$4,'calculated data '!$A$4,D5762&lt;=$G$6,'calculated data '!$A$5,D5762&gt;=$G$6,'calculated data '!$A$6)</f>
        <v>Target Market (Core IQR)</v>
      </c>
      <c r="F5762" s="10">
        <f t="shared" si="1"/>
        <v>-0.3188063679</v>
      </c>
    </row>
    <row r="5763" ht="14.25" customHeight="1">
      <c r="A5763" s="2" t="s">
        <v>327</v>
      </c>
      <c r="B5763" s="2" t="s">
        <v>328</v>
      </c>
      <c r="C5763" s="2">
        <v>2009.0</v>
      </c>
      <c r="D5763" s="9">
        <v>13012.702</v>
      </c>
      <c r="E5763" s="10" t="str">
        <f t="array" ref="E5763">IFS(D5763&lt;=$G$3,'calculated data '!$A$3,D5763&lt;=$G$4,'calculated data '!$A$4,D5763&lt;=$G$6,'calculated data '!$A$5,D5763&gt;=$G$6,'calculated data '!$A$6)</f>
        <v>Target Market (Core IQR)</v>
      </c>
      <c r="F5763" s="10">
        <f t="shared" si="1"/>
        <v>-0.3187284939</v>
      </c>
    </row>
    <row r="5764" ht="14.25" customHeight="1">
      <c r="A5764" s="2" t="s">
        <v>233</v>
      </c>
      <c r="B5764" s="2" t="s">
        <v>234</v>
      </c>
      <c r="C5764" s="2">
        <v>1988.0</v>
      </c>
      <c r="D5764" s="9">
        <v>13029.476</v>
      </c>
      <c r="E5764" s="10" t="str">
        <f t="array" ref="E5764">IFS(D5764&lt;=$G$3,'calculated data '!$A$3,D5764&lt;=$G$4,'calculated data '!$A$4,D5764&lt;=$G$6,'calculated data '!$A$5,D5764&gt;=$G$6,'calculated data '!$A$6)</f>
        <v>Target Market (Core IQR)</v>
      </c>
      <c r="F5764" s="10">
        <f t="shared" si="1"/>
        <v>-0.3182844903</v>
      </c>
    </row>
    <row r="5765" ht="14.25" customHeight="1">
      <c r="A5765" s="2" t="s">
        <v>273</v>
      </c>
      <c r="B5765" s="2" t="s">
        <v>274</v>
      </c>
      <c r="C5765" s="2">
        <v>1987.0</v>
      </c>
      <c r="D5765" s="9">
        <v>13031.644</v>
      </c>
      <c r="E5765" s="10" t="str">
        <f t="array" ref="E5765">IFS(D5765&lt;=$G$3,'calculated data '!$A$3,D5765&lt;=$G$4,'calculated data '!$A$4,D5765&lt;=$G$6,'calculated data '!$A$5,D5765&gt;=$G$6,'calculated data '!$A$6)</f>
        <v>Target Market (Core IQR)</v>
      </c>
      <c r="F5765" s="10">
        <f t="shared" si="1"/>
        <v>-0.3182271039</v>
      </c>
    </row>
    <row r="5766" ht="14.25" customHeight="1">
      <c r="A5766" s="2" t="s">
        <v>253</v>
      </c>
      <c r="B5766" s="2" t="s">
        <v>254</v>
      </c>
      <c r="C5766" s="2">
        <v>1988.0</v>
      </c>
      <c r="D5766" s="9">
        <v>13037.287</v>
      </c>
      <c r="E5766" s="10" t="str">
        <f t="array" ref="E5766">IFS(D5766&lt;=$G$3,'calculated data '!$A$3,D5766&lt;=$G$4,'calculated data '!$A$4,D5766&lt;=$G$6,'calculated data '!$A$5,D5766&gt;=$G$6,'calculated data '!$A$6)</f>
        <v>Target Market (Core IQR)</v>
      </c>
      <c r="F5766" s="10">
        <f t="shared" si="1"/>
        <v>-0.3180777351</v>
      </c>
    </row>
    <row r="5767" ht="14.25" customHeight="1">
      <c r="A5767" s="2" t="s">
        <v>333</v>
      </c>
      <c r="B5767" s="2" t="s">
        <v>334</v>
      </c>
      <c r="C5767" s="2">
        <v>1986.0</v>
      </c>
      <c r="D5767" s="9">
        <v>13046.885</v>
      </c>
      <c r="E5767" s="10" t="str">
        <f t="array" ref="E5767">IFS(D5767&lt;=$G$3,'calculated data '!$A$3,D5767&lt;=$G$4,'calculated data '!$A$4,D5767&lt;=$G$6,'calculated data '!$A$5,D5767&gt;=$G$6,'calculated data '!$A$6)</f>
        <v>Target Market (Core IQR)</v>
      </c>
      <c r="F5767" s="10">
        <f t="shared" si="1"/>
        <v>-0.3178236784</v>
      </c>
    </row>
    <row r="5768" ht="14.25" customHeight="1">
      <c r="A5768" s="2" t="s">
        <v>233</v>
      </c>
      <c r="B5768" s="2" t="s">
        <v>234</v>
      </c>
      <c r="C5768" s="2">
        <v>2014.0</v>
      </c>
      <c r="D5768" s="9">
        <v>13047.965</v>
      </c>
      <c r="E5768" s="10" t="str">
        <f t="array" ref="E5768">IFS(D5768&lt;=$G$3,'calculated data '!$A$3,D5768&lt;=$G$4,'calculated data '!$A$4,D5768&lt;=$G$6,'calculated data '!$A$5,D5768&gt;=$G$6,'calculated data '!$A$6)</f>
        <v>Target Market (Core IQR)</v>
      </c>
      <c r="F5768" s="10">
        <f t="shared" si="1"/>
        <v>-0.3177950911</v>
      </c>
    </row>
    <row r="5769" ht="14.25" customHeight="1">
      <c r="A5769" s="2" t="s">
        <v>333</v>
      </c>
      <c r="B5769" s="2" t="s">
        <v>334</v>
      </c>
      <c r="C5769" s="2">
        <v>2012.0</v>
      </c>
      <c r="D5769" s="9">
        <v>13055.925</v>
      </c>
      <c r="E5769" s="10" t="str">
        <f t="array" ref="E5769">IFS(D5769&lt;=$G$3,'calculated data '!$A$3,D5769&lt;=$G$4,'calculated data '!$A$4,D5769&lt;=$G$6,'calculated data '!$A$5,D5769&gt;=$G$6,'calculated data '!$A$6)</f>
        <v>Target Market (Core IQR)</v>
      </c>
      <c r="F5769" s="10">
        <f t="shared" si="1"/>
        <v>-0.3175843919</v>
      </c>
    </row>
    <row r="5770" ht="14.25" customHeight="1">
      <c r="A5770" s="2" t="s">
        <v>269</v>
      </c>
      <c r="B5770" s="2" t="s">
        <v>270</v>
      </c>
      <c r="C5770" s="2">
        <v>2009.0</v>
      </c>
      <c r="D5770" s="9">
        <v>13056.144</v>
      </c>
      <c r="E5770" s="10" t="str">
        <f t="array" ref="E5770">IFS(D5770&lt;=$G$3,'calculated data '!$A$3,D5770&lt;=$G$4,'calculated data '!$A$4,D5770&lt;=$G$6,'calculated data '!$A$5,D5770&gt;=$G$6,'calculated data '!$A$6)</f>
        <v>Target Market (Core IQR)</v>
      </c>
      <c r="F5770" s="10">
        <f t="shared" si="1"/>
        <v>-0.317578595</v>
      </c>
    </row>
    <row r="5771" ht="14.25" customHeight="1">
      <c r="A5771" s="2" t="s">
        <v>269</v>
      </c>
      <c r="B5771" s="2" t="s">
        <v>270</v>
      </c>
      <c r="C5771" s="2">
        <v>2002.0</v>
      </c>
      <c r="D5771" s="9">
        <v>13060.471</v>
      </c>
      <c r="E5771" s="10" t="str">
        <f t="array" ref="E5771">IFS(D5771&lt;=$G$3,'calculated data '!$A$3,D5771&lt;=$G$4,'calculated data '!$A$4,D5771&lt;=$G$6,'calculated data '!$A$5,D5771&gt;=$G$6,'calculated data '!$A$6)</f>
        <v>Target Market (Core IQR)</v>
      </c>
      <c r="F5771" s="10">
        <f t="shared" si="1"/>
        <v>-0.3174640604</v>
      </c>
    </row>
    <row r="5772" ht="14.25" customHeight="1">
      <c r="A5772" s="2" t="s">
        <v>249</v>
      </c>
      <c r="B5772" s="2" t="s">
        <v>250</v>
      </c>
      <c r="C5772" s="2">
        <v>1990.0</v>
      </c>
      <c r="D5772" s="9">
        <v>13070.137</v>
      </c>
      <c r="E5772" s="10" t="str">
        <f t="array" ref="E5772">IFS(D5772&lt;=$G$3,'calculated data '!$A$3,D5772&lt;=$G$4,'calculated data '!$A$4,D5772&lt;=$G$6,'calculated data '!$A$5,D5772&gt;=$G$6,'calculated data '!$A$6)</f>
        <v>Target Market (Core IQR)</v>
      </c>
      <c r="F5772" s="10">
        <f t="shared" si="1"/>
        <v>-0.3172082038</v>
      </c>
    </row>
    <row r="5773" ht="14.25" customHeight="1">
      <c r="A5773" s="2" t="s">
        <v>297</v>
      </c>
      <c r="B5773" s="2" t="s">
        <v>298</v>
      </c>
      <c r="C5773" s="2">
        <v>2014.0</v>
      </c>
      <c r="D5773" s="9">
        <v>13072.275</v>
      </c>
      <c r="E5773" s="10" t="str">
        <f t="array" ref="E5773">IFS(D5773&lt;=$G$3,'calculated data '!$A$3,D5773&lt;=$G$4,'calculated data '!$A$4,D5773&lt;=$G$6,'calculated data '!$A$5,D5773&gt;=$G$6,'calculated data '!$A$6)</f>
        <v>Target Market (Core IQR)</v>
      </c>
      <c r="F5773" s="10">
        <f t="shared" si="1"/>
        <v>-0.3171516115</v>
      </c>
    </row>
    <row r="5774" ht="14.25" customHeight="1">
      <c r="A5774" s="2" t="s">
        <v>301</v>
      </c>
      <c r="B5774" s="2" t="s">
        <v>302</v>
      </c>
      <c r="C5774" s="2">
        <v>1980.0</v>
      </c>
      <c r="D5774" s="9">
        <v>13072.513</v>
      </c>
      <c r="E5774" s="10" t="str">
        <f t="array" ref="E5774">IFS(D5774&lt;=$G$3,'calculated data '!$A$3,D5774&lt;=$G$4,'calculated data '!$A$4,D5774&lt;=$G$6,'calculated data '!$A$5,D5774&gt;=$G$6,'calculated data '!$A$6)</f>
        <v>Target Market (Core IQR)</v>
      </c>
      <c r="F5774" s="10">
        <f t="shared" si="1"/>
        <v>-0.3171453117</v>
      </c>
    </row>
    <row r="5775" ht="14.25" customHeight="1">
      <c r="A5775" s="2" t="s">
        <v>99</v>
      </c>
      <c r="B5775" s="2" t="s">
        <v>100</v>
      </c>
      <c r="C5775" s="2">
        <v>2011.0</v>
      </c>
      <c r="D5775" s="9">
        <v>13086.583</v>
      </c>
      <c r="E5775" s="10" t="str">
        <f t="array" ref="E5775">IFS(D5775&lt;=$G$3,'calculated data '!$A$3,D5775&lt;=$G$4,'calculated data '!$A$4,D5775&lt;=$G$6,'calculated data '!$A$5,D5775&gt;=$G$6,'calculated data '!$A$6)</f>
        <v>Target Market (Core IQR)</v>
      </c>
      <c r="F5775" s="10">
        <f t="shared" si="1"/>
        <v>-0.3167728823</v>
      </c>
    </row>
    <row r="5776" ht="14.25" customHeight="1">
      <c r="A5776" s="2" t="s">
        <v>343</v>
      </c>
      <c r="B5776" s="2" t="s">
        <v>344</v>
      </c>
      <c r="C5776" s="2">
        <v>1983.0</v>
      </c>
      <c r="D5776" s="9">
        <v>13087.896</v>
      </c>
      <c r="E5776" s="10" t="str">
        <f t="array" ref="E5776">IFS(D5776&lt;=$G$3,'calculated data '!$A$3,D5776&lt;=$G$4,'calculated data '!$A$4,D5776&lt;=$G$6,'calculated data '!$A$5,D5776&gt;=$G$6,'calculated data '!$A$6)</f>
        <v>Target Market (Core IQR)</v>
      </c>
      <c r="F5776" s="10">
        <f t="shared" si="1"/>
        <v>-0.3167381275</v>
      </c>
    </row>
    <row r="5777" ht="14.25" customHeight="1">
      <c r="A5777" s="2" t="s">
        <v>57</v>
      </c>
      <c r="B5777" s="2" t="s">
        <v>58</v>
      </c>
      <c r="C5777" s="2">
        <v>1967.0</v>
      </c>
      <c r="D5777" s="9">
        <v>13091.742</v>
      </c>
      <c r="E5777" s="10" t="str">
        <f t="array" ref="E5777">IFS(D5777&lt;=$G$3,'calculated data '!$A$3,D5777&lt;=$G$4,'calculated data '!$A$4,D5777&lt;=$G$6,'calculated data '!$A$5,D5777&gt;=$G$6,'calculated data '!$A$6)</f>
        <v>Target Market (Core IQR)</v>
      </c>
      <c r="F5777" s="10">
        <f t="shared" si="1"/>
        <v>-0.3166363248</v>
      </c>
    </row>
    <row r="5778" ht="14.25" customHeight="1">
      <c r="A5778" s="2" t="s">
        <v>303</v>
      </c>
      <c r="B5778" s="2" t="s">
        <v>304</v>
      </c>
      <c r="C5778" s="2">
        <v>1987.0</v>
      </c>
      <c r="D5778" s="9">
        <v>13098.38</v>
      </c>
      <c r="E5778" s="10" t="str">
        <f t="array" ref="E5778">IFS(D5778&lt;=$G$3,'calculated data '!$A$3,D5778&lt;=$G$4,'calculated data '!$A$4,D5778&lt;=$G$6,'calculated data '!$A$5,D5778&gt;=$G$6,'calculated data '!$A$6)</f>
        <v>Target Market (Core IQR)</v>
      </c>
      <c r="F5778" s="10">
        <f t="shared" si="1"/>
        <v>-0.3164606186</v>
      </c>
    </row>
    <row r="5779" ht="14.25" customHeight="1">
      <c r="A5779" s="2" t="s">
        <v>339</v>
      </c>
      <c r="B5779" s="2" t="s">
        <v>340</v>
      </c>
      <c r="C5779" s="2">
        <v>2003.0</v>
      </c>
      <c r="D5779" s="9">
        <v>13100.263</v>
      </c>
      <c r="E5779" s="10" t="str">
        <f t="array" ref="E5779">IFS(D5779&lt;=$G$3,'calculated data '!$A$3,D5779&lt;=$G$4,'calculated data '!$A$4,D5779&lt;=$G$6,'calculated data '!$A$5,D5779&gt;=$G$6,'calculated data '!$A$6)</f>
        <v>Target Market (Core IQR)</v>
      </c>
      <c r="F5779" s="10">
        <f t="shared" si="1"/>
        <v>-0.3164107761</v>
      </c>
    </row>
    <row r="5780" ht="14.25" customHeight="1">
      <c r="A5780" s="2" t="s">
        <v>319</v>
      </c>
      <c r="B5780" s="2" t="s">
        <v>320</v>
      </c>
      <c r="C5780" s="2">
        <v>1976.0</v>
      </c>
      <c r="D5780" s="9">
        <v>13100.408</v>
      </c>
      <c r="E5780" s="10" t="str">
        <f t="array" ref="E5780">IFS(D5780&lt;=$G$3,'calculated data '!$A$3,D5780&lt;=$G$4,'calculated data '!$A$4,D5780&lt;=$G$6,'calculated data '!$A$5,D5780&gt;=$G$6,'calculated data '!$A$6)</f>
        <v>Target Market (Core IQR)</v>
      </c>
      <c r="F5780" s="10">
        <f t="shared" si="1"/>
        <v>-0.316406938</v>
      </c>
    </row>
    <row r="5781" ht="14.25" customHeight="1">
      <c r="A5781" s="2" t="s">
        <v>227</v>
      </c>
      <c r="B5781" s="2" t="s">
        <v>228</v>
      </c>
      <c r="C5781" s="2">
        <v>2011.0</v>
      </c>
      <c r="D5781" s="9">
        <v>13103.908</v>
      </c>
      <c r="E5781" s="10" t="str">
        <f t="array" ref="E5781">IFS(D5781&lt;=$G$3,'calculated data '!$A$3,D5781&lt;=$G$4,'calculated data '!$A$4,D5781&lt;=$G$6,'calculated data '!$A$5,D5781&gt;=$G$6,'calculated data '!$A$6)</f>
        <v>Target Market (Core IQR)</v>
      </c>
      <c r="F5781" s="10">
        <f t="shared" si="1"/>
        <v>-0.3163142938</v>
      </c>
    </row>
    <row r="5782" ht="14.25" customHeight="1">
      <c r="A5782" s="2" t="s">
        <v>241</v>
      </c>
      <c r="B5782" s="2" t="s">
        <v>242</v>
      </c>
      <c r="C5782" s="2">
        <v>2000.0</v>
      </c>
      <c r="D5782" s="9">
        <v>13104.263</v>
      </c>
      <c r="E5782" s="10" t="str">
        <f t="array" ref="E5782">IFS(D5782&lt;=$G$3,'calculated data '!$A$3,D5782&lt;=$G$4,'calculated data '!$A$4,D5782&lt;=$G$6,'calculated data '!$A$5,D5782&gt;=$G$6,'calculated data '!$A$6)</f>
        <v>Target Market (Core IQR)</v>
      </c>
      <c r="F5782" s="10">
        <f t="shared" si="1"/>
        <v>-0.3163048971</v>
      </c>
    </row>
    <row r="5783" ht="14.25" customHeight="1">
      <c r="A5783" s="2" t="s">
        <v>295</v>
      </c>
      <c r="B5783" s="2" t="s">
        <v>296</v>
      </c>
      <c r="C5783" s="2">
        <v>2000.0</v>
      </c>
      <c r="D5783" s="9">
        <v>13112.501</v>
      </c>
      <c r="E5783" s="10" t="str">
        <f t="array" ref="E5783">IFS(D5783&lt;=$G$3,'calculated data '!$A$3,D5783&lt;=$G$4,'calculated data '!$A$4,D5783&lt;=$G$6,'calculated data '!$A$5,D5783&gt;=$G$6,'calculated data '!$A$6)</f>
        <v>Target Market (Core IQR)</v>
      </c>
      <c r="F5783" s="10">
        <f t="shared" si="1"/>
        <v>-0.3160868393</v>
      </c>
    </row>
    <row r="5784" ht="14.25" customHeight="1">
      <c r="A5784" s="2" t="s">
        <v>241</v>
      </c>
      <c r="B5784" s="2" t="s">
        <v>242</v>
      </c>
      <c r="C5784" s="2">
        <v>2003.0</v>
      </c>
      <c r="D5784" s="9">
        <v>13112.625</v>
      </c>
      <c r="E5784" s="10" t="str">
        <f t="array" ref="E5784">IFS(D5784&lt;=$G$3,'calculated data '!$A$3,D5784&lt;=$G$4,'calculated data '!$A$4,D5784&lt;=$G$6,'calculated data '!$A$5,D5784&gt;=$G$6,'calculated data '!$A$6)</f>
        <v>Target Market (Core IQR)</v>
      </c>
      <c r="F5784" s="10">
        <f t="shared" si="1"/>
        <v>-0.316083557</v>
      </c>
    </row>
    <row r="5785" ht="14.25" customHeight="1">
      <c r="A5785" s="2" t="s">
        <v>287</v>
      </c>
      <c r="B5785" s="2" t="s">
        <v>288</v>
      </c>
      <c r="C5785" s="2">
        <v>1995.0</v>
      </c>
      <c r="D5785" s="9">
        <v>13113.397</v>
      </c>
      <c r="E5785" s="10" t="str">
        <f t="array" ref="E5785">IFS(D5785&lt;=$G$3,'calculated data '!$A$3,D5785&lt;=$G$4,'calculated data '!$A$4,D5785&lt;=$G$6,'calculated data '!$A$5,D5785&gt;=$G$6,'calculated data '!$A$6)</f>
        <v>Target Market (Core IQR)</v>
      </c>
      <c r="F5785" s="10">
        <f t="shared" si="1"/>
        <v>-0.3160631224</v>
      </c>
    </row>
    <row r="5786" ht="14.25" customHeight="1">
      <c r="A5786" s="2" t="s">
        <v>323</v>
      </c>
      <c r="B5786" s="2" t="s">
        <v>324</v>
      </c>
      <c r="C5786" s="2">
        <v>1993.0</v>
      </c>
      <c r="D5786" s="9">
        <v>13113.937</v>
      </c>
      <c r="E5786" s="10" t="str">
        <f t="array" ref="E5786">IFS(D5786&lt;=$G$3,'calculated data '!$A$3,D5786&lt;=$G$4,'calculated data '!$A$4,D5786&lt;=$G$6,'calculated data '!$A$5,D5786&gt;=$G$6,'calculated data '!$A$6)</f>
        <v>Target Market (Core IQR)</v>
      </c>
      <c r="F5786" s="10">
        <f t="shared" si="1"/>
        <v>-0.3160488287</v>
      </c>
    </row>
    <row r="5787" ht="14.25" customHeight="1">
      <c r="A5787" s="2" t="s">
        <v>45</v>
      </c>
      <c r="B5787" s="2" t="s">
        <v>46</v>
      </c>
      <c r="C5787" s="2">
        <v>2006.0</v>
      </c>
      <c r="D5787" s="9">
        <v>13118.102</v>
      </c>
      <c r="E5787" s="10" t="str">
        <f t="array" ref="E5787">IFS(D5787&lt;=$G$3,'calculated data '!$A$3,D5787&lt;=$G$4,'calculated data '!$A$4,D5787&lt;=$G$6,'calculated data '!$A$5,D5787&gt;=$G$6,'calculated data '!$A$6)</f>
        <v>Target Market (Core IQR)</v>
      </c>
      <c r="F5787" s="10">
        <f t="shared" si="1"/>
        <v>-0.3159385822</v>
      </c>
    </row>
    <row r="5788" ht="14.25" customHeight="1">
      <c r="A5788" s="2" t="s">
        <v>267</v>
      </c>
      <c r="B5788" s="2" t="s">
        <v>268</v>
      </c>
      <c r="C5788" s="2">
        <v>1992.0</v>
      </c>
      <c r="D5788" s="9">
        <v>13150.103</v>
      </c>
      <c r="E5788" s="10" t="str">
        <f t="array" ref="E5788">IFS(D5788&lt;=$G$3,'calculated data '!$A$3,D5788&lt;=$G$4,'calculated data '!$A$4,D5788&lt;=$G$6,'calculated data '!$A$5,D5788&gt;=$G$6,'calculated data '!$A$6)</f>
        <v>Target Market (Core IQR)</v>
      </c>
      <c r="F5788" s="10">
        <f t="shared" si="1"/>
        <v>-0.3150915237</v>
      </c>
    </row>
    <row r="5789" ht="14.25" customHeight="1">
      <c r="A5789" s="2" t="s">
        <v>269</v>
      </c>
      <c r="B5789" s="2" t="s">
        <v>270</v>
      </c>
      <c r="C5789" s="2">
        <v>2010.0</v>
      </c>
      <c r="D5789" s="9">
        <v>13154.189</v>
      </c>
      <c r="E5789" s="10" t="str">
        <f t="array" ref="E5789">IFS(D5789&lt;=$G$3,'calculated data '!$A$3,D5789&lt;=$G$4,'calculated data '!$A$4,D5789&lt;=$G$6,'calculated data '!$A$5,D5789&gt;=$G$6,'calculated data '!$A$6)</f>
        <v>Target Market (Core IQR)</v>
      </c>
      <c r="F5789" s="10">
        <f t="shared" si="1"/>
        <v>-0.3149833683</v>
      </c>
    </row>
    <row r="5790" ht="14.25" customHeight="1">
      <c r="A5790" s="2" t="s">
        <v>207</v>
      </c>
      <c r="B5790" s="2" t="s">
        <v>208</v>
      </c>
      <c r="C5790" s="2">
        <v>1983.0</v>
      </c>
      <c r="D5790" s="9">
        <v>13158.147</v>
      </c>
      <c r="E5790" s="10" t="str">
        <f t="array" ref="E5790">IFS(D5790&lt;=$G$3,'calculated data '!$A$3,D5790&lt;=$G$4,'calculated data '!$A$4,D5790&lt;=$G$6,'calculated data '!$A$5,D5790&gt;=$G$6,'calculated data '!$A$6)</f>
        <v>Target Market (Core IQR)</v>
      </c>
      <c r="F5790" s="10">
        <f t="shared" si="1"/>
        <v>-0.314878601</v>
      </c>
    </row>
    <row r="5791" ht="14.25" customHeight="1">
      <c r="A5791" s="2" t="s">
        <v>233</v>
      </c>
      <c r="B5791" s="2" t="s">
        <v>234</v>
      </c>
      <c r="C5791" s="2">
        <v>2011.0</v>
      </c>
      <c r="D5791" s="9">
        <v>13161.981</v>
      </c>
      <c r="E5791" s="10" t="str">
        <f t="array" ref="E5791">IFS(D5791&lt;=$G$3,'calculated data '!$A$3,D5791&lt;=$G$4,'calculated data '!$A$4,D5791&lt;=$G$6,'calculated data '!$A$5,D5791&gt;=$G$6,'calculated data '!$A$6)</f>
        <v>Target Market (Core IQR)</v>
      </c>
      <c r="F5791" s="10">
        <f t="shared" si="1"/>
        <v>-0.314777116</v>
      </c>
    </row>
    <row r="5792" ht="14.25" customHeight="1">
      <c r="A5792" s="2" t="s">
        <v>345</v>
      </c>
      <c r="B5792" s="2" t="s">
        <v>346</v>
      </c>
      <c r="C5792" s="2">
        <v>2015.0</v>
      </c>
      <c r="D5792" s="9">
        <v>13165.649</v>
      </c>
      <c r="E5792" s="10" t="str">
        <f t="array" ref="E5792">IFS(D5792&lt;=$G$3,'calculated data '!$A$3,D5792&lt;=$G$4,'calculated data '!$A$4,D5792&lt;=$G$6,'calculated data '!$A$5,D5792&gt;=$G$6,'calculated data '!$A$6)</f>
        <v>Target Market (Core IQR)</v>
      </c>
      <c r="F5792" s="10">
        <f t="shared" si="1"/>
        <v>-0.3146800249</v>
      </c>
    </row>
    <row r="5793" ht="14.25" customHeight="1">
      <c r="A5793" s="2" t="s">
        <v>339</v>
      </c>
      <c r="B5793" s="2" t="s">
        <v>340</v>
      </c>
      <c r="C5793" s="2">
        <v>1984.0</v>
      </c>
      <c r="D5793" s="9">
        <v>13166.584</v>
      </c>
      <c r="E5793" s="10" t="str">
        <f t="array" ref="E5793">IFS(D5793&lt;=$G$3,'calculated data '!$A$3,D5793&lt;=$G$4,'calculated data '!$A$4,D5793&lt;=$G$6,'calculated data '!$A$5,D5793&gt;=$G$6,'calculated data '!$A$6)</f>
        <v>Target Market (Core IQR)</v>
      </c>
      <c r="F5793" s="10">
        <f t="shared" si="1"/>
        <v>-0.3146552757</v>
      </c>
    </row>
    <row r="5794" ht="14.25" customHeight="1">
      <c r="A5794" s="2" t="s">
        <v>329</v>
      </c>
      <c r="B5794" s="2" t="s">
        <v>330</v>
      </c>
      <c r="C5794" s="2">
        <v>2007.0</v>
      </c>
      <c r="D5794" s="9">
        <v>13184.075</v>
      </c>
      <c r="E5794" s="10" t="str">
        <f t="array" ref="E5794">IFS(D5794&lt;=$G$3,'calculated data '!$A$3,D5794&lt;=$G$4,'calculated data '!$A$4,D5794&lt;=$G$6,'calculated data '!$A$5,D5794&gt;=$G$6,'calculated data '!$A$6)</f>
        <v>Target Market (Core IQR)</v>
      </c>
      <c r="F5794" s="10">
        <f t="shared" si="1"/>
        <v>-0.3141922933</v>
      </c>
    </row>
    <row r="5795" ht="14.25" customHeight="1">
      <c r="A5795" s="2" t="s">
        <v>291</v>
      </c>
      <c r="B5795" s="2" t="s">
        <v>292</v>
      </c>
      <c r="C5795" s="2">
        <v>1998.0</v>
      </c>
      <c r="D5795" s="9">
        <v>13184.423</v>
      </c>
      <c r="E5795" s="10" t="str">
        <f t="array" ref="E5795">IFS(D5795&lt;=$G$3,'calculated data '!$A$3,D5795&lt;=$G$4,'calculated data '!$A$4,D5795&lt;=$G$6,'calculated data '!$A$5,D5795&gt;=$G$6,'calculated data '!$A$6)</f>
        <v>Target Market (Core IQR)</v>
      </c>
      <c r="F5795" s="10">
        <f t="shared" si="1"/>
        <v>-0.3141830818</v>
      </c>
    </row>
    <row r="5796" ht="14.25" customHeight="1">
      <c r="A5796" s="2" t="s">
        <v>285</v>
      </c>
      <c r="B5796" s="2" t="s">
        <v>286</v>
      </c>
      <c r="C5796" s="2">
        <v>1988.0</v>
      </c>
      <c r="D5796" s="9">
        <v>13204.113</v>
      </c>
      <c r="E5796" s="10" t="str">
        <f t="array" ref="E5796">IFS(D5796&lt;=$G$3,'calculated data '!$A$3,D5796&lt;=$G$4,'calculated data '!$A$4,D5796&lt;=$G$6,'calculated data '!$A$5,D5796&gt;=$G$6,'calculated data '!$A$6)</f>
        <v>Target Market (Core IQR)</v>
      </c>
      <c r="F5796" s="10">
        <f t="shared" si="1"/>
        <v>-0.3136618924</v>
      </c>
    </row>
    <row r="5797" ht="14.25" customHeight="1">
      <c r="A5797" s="2" t="s">
        <v>327</v>
      </c>
      <c r="B5797" s="2" t="s">
        <v>328</v>
      </c>
      <c r="C5797" s="2">
        <v>2018.0</v>
      </c>
      <c r="D5797" s="9">
        <v>13204.306</v>
      </c>
      <c r="E5797" s="10" t="str">
        <f t="array" ref="E5797">IFS(D5797&lt;=$G$3,'calculated data '!$A$3,D5797&lt;=$G$4,'calculated data '!$A$4,D5797&lt;=$G$6,'calculated data '!$A$5,D5797&gt;=$G$6,'calculated data '!$A$6)</f>
        <v>Target Market (Core IQR)</v>
      </c>
      <c r="F5797" s="10">
        <f t="shared" si="1"/>
        <v>-0.3136567838</v>
      </c>
    </row>
    <row r="5798" ht="14.25" customHeight="1">
      <c r="A5798" s="2" t="s">
        <v>347</v>
      </c>
      <c r="B5798" s="2" t="s">
        <v>348</v>
      </c>
      <c r="C5798" s="2">
        <v>2014.0</v>
      </c>
      <c r="D5798" s="9">
        <v>13214.047</v>
      </c>
      <c r="E5798" s="10" t="str">
        <f t="array" ref="E5798">IFS(D5798&lt;=$G$3,'calculated data '!$A$3,D5798&lt;=$G$4,'calculated data '!$A$4,D5798&lt;=$G$6,'calculated data '!$A$5,D5798&gt;=$G$6,'calculated data '!$A$6)</f>
        <v>Target Market (Core IQR)</v>
      </c>
      <c r="F5798" s="10">
        <f t="shared" si="1"/>
        <v>-0.3133989419</v>
      </c>
    </row>
    <row r="5799" ht="14.25" customHeight="1">
      <c r="A5799" s="2" t="s">
        <v>291</v>
      </c>
      <c r="B5799" s="2" t="s">
        <v>292</v>
      </c>
      <c r="C5799" s="2">
        <v>2020.0</v>
      </c>
      <c r="D5799" s="9">
        <v>13222.443</v>
      </c>
      <c r="E5799" s="10" t="str">
        <f t="array" ref="E5799">IFS(D5799&lt;=$G$3,'calculated data '!$A$3,D5799&lt;=$G$4,'calculated data '!$A$4,D5799&lt;=$G$6,'calculated data '!$A$5,D5799&gt;=$G$6,'calculated data '!$A$6)</f>
        <v>Target Market (Core IQR)</v>
      </c>
      <c r="F5799" s="10">
        <f t="shared" si="1"/>
        <v>-0.3131767019</v>
      </c>
    </row>
    <row r="5800" ht="14.25" customHeight="1">
      <c r="A5800" s="2" t="s">
        <v>203</v>
      </c>
      <c r="B5800" s="2" t="s">
        <v>204</v>
      </c>
      <c r="C5800" s="2">
        <v>2019.0</v>
      </c>
      <c r="D5800" s="9">
        <v>13225.631</v>
      </c>
      <c r="E5800" s="10" t="str">
        <f t="array" ref="E5800">IFS(D5800&lt;=$G$3,'calculated data '!$A$3,D5800&lt;=$G$4,'calculated data '!$A$4,D5800&lt;=$G$6,'calculated data '!$A$5,D5800&gt;=$G$6,'calculated data '!$A$6)</f>
        <v>Target Market (Core IQR)</v>
      </c>
      <c r="F5800" s="10">
        <f t="shared" si="1"/>
        <v>-0.3130923163</v>
      </c>
    </row>
    <row r="5801" ht="14.25" customHeight="1">
      <c r="A5801" s="2" t="s">
        <v>327</v>
      </c>
      <c r="B5801" s="2" t="s">
        <v>328</v>
      </c>
      <c r="C5801" s="2">
        <v>2016.0</v>
      </c>
      <c r="D5801" s="9">
        <v>13239.611</v>
      </c>
      <c r="E5801" s="10" t="str">
        <f t="array" ref="E5801">IFS(D5801&lt;=$G$3,'calculated data '!$A$3,D5801&lt;=$G$4,'calculated data '!$A$4,D5801&lt;=$G$6,'calculated data '!$A$5,D5801&gt;=$G$6,'calculated data '!$A$6)</f>
        <v>Target Market (Core IQR)</v>
      </c>
      <c r="F5801" s="10">
        <f t="shared" si="1"/>
        <v>-0.3127222692</v>
      </c>
    </row>
    <row r="5802" ht="14.25" customHeight="1">
      <c r="A5802" s="2" t="s">
        <v>291</v>
      </c>
      <c r="B5802" s="2" t="s">
        <v>292</v>
      </c>
      <c r="C5802" s="2">
        <v>1994.0</v>
      </c>
      <c r="D5802" s="9">
        <v>13251.755</v>
      </c>
      <c r="E5802" s="10" t="str">
        <f t="array" ref="E5802">IFS(D5802&lt;=$G$3,'calculated data '!$A$3,D5802&lt;=$G$4,'calculated data '!$A$4,D5802&lt;=$G$6,'calculated data '!$A$5,D5802&gt;=$G$6,'calculated data '!$A$6)</f>
        <v>Target Market (Core IQR)</v>
      </c>
      <c r="F5802" s="10">
        <f t="shared" si="1"/>
        <v>-0.3124008206</v>
      </c>
    </row>
    <row r="5803" ht="14.25" customHeight="1">
      <c r="A5803" s="2" t="s">
        <v>315</v>
      </c>
      <c r="B5803" s="2" t="s">
        <v>316</v>
      </c>
      <c r="C5803" s="2">
        <v>2019.0</v>
      </c>
      <c r="D5803" s="9">
        <v>13260.26</v>
      </c>
      <c r="E5803" s="10" t="str">
        <f t="array" ref="E5803">IFS(D5803&lt;=$G$3,'calculated data '!$A$3,D5803&lt;=$G$4,'calculated data '!$A$4,D5803&lt;=$G$6,'calculated data '!$A$5,D5803&gt;=$G$6,'calculated data '!$A$6)</f>
        <v>Target Market (Core IQR)</v>
      </c>
      <c r="F5803" s="10">
        <f t="shared" si="1"/>
        <v>-0.3121756953</v>
      </c>
    </row>
    <row r="5804" ht="14.25" customHeight="1">
      <c r="A5804" s="2" t="s">
        <v>269</v>
      </c>
      <c r="B5804" s="2" t="s">
        <v>270</v>
      </c>
      <c r="C5804" s="2">
        <v>2004.0</v>
      </c>
      <c r="D5804" s="9">
        <v>13289.391</v>
      </c>
      <c r="E5804" s="10" t="str">
        <f t="array" ref="E5804">IFS(D5804&lt;=$G$3,'calculated data '!$A$3,D5804&lt;=$G$4,'calculated data '!$A$4,D5804&lt;=$G$6,'calculated data '!$A$5,D5804&gt;=$G$6,'calculated data '!$A$6)</f>
        <v>Target Market (Core IQR)</v>
      </c>
      <c r="F5804" s="10">
        <f t="shared" si="1"/>
        <v>-0.311404605</v>
      </c>
    </row>
    <row r="5805" ht="14.25" customHeight="1">
      <c r="A5805" s="2" t="s">
        <v>305</v>
      </c>
      <c r="B5805" s="2" t="s">
        <v>306</v>
      </c>
      <c r="C5805" s="2">
        <v>1983.0</v>
      </c>
      <c r="D5805" s="9">
        <v>13292.285</v>
      </c>
      <c r="E5805" s="10" t="str">
        <f t="array" ref="E5805">IFS(D5805&lt;=$G$3,'calculated data '!$A$3,D5805&lt;=$G$4,'calculated data '!$A$4,D5805&lt;=$G$6,'calculated data '!$A$5,D5805&gt;=$G$6,'calculated data '!$A$6)</f>
        <v>Target Market (Core IQR)</v>
      </c>
      <c r="F5805" s="10">
        <f t="shared" si="1"/>
        <v>-0.3113280016</v>
      </c>
    </row>
    <row r="5806" ht="14.25" customHeight="1">
      <c r="A5806" s="2" t="s">
        <v>273</v>
      </c>
      <c r="B5806" s="2" t="s">
        <v>274</v>
      </c>
      <c r="C5806" s="2">
        <v>1996.0</v>
      </c>
      <c r="D5806" s="9">
        <v>13296.237</v>
      </c>
      <c r="E5806" s="10" t="str">
        <f t="array" ref="E5806">IFS(D5806&lt;=$G$3,'calculated data '!$A$3,D5806&lt;=$G$4,'calculated data '!$A$4,D5806&lt;=$G$6,'calculated data '!$A$5,D5806&gt;=$G$6,'calculated data '!$A$6)</f>
        <v>Target Market (Core IQR)</v>
      </c>
      <c r="F5806" s="10">
        <f t="shared" si="1"/>
        <v>-0.3112233931</v>
      </c>
    </row>
    <row r="5807" ht="14.25" customHeight="1">
      <c r="A5807" s="2" t="s">
        <v>285</v>
      </c>
      <c r="B5807" s="2" t="s">
        <v>286</v>
      </c>
      <c r="C5807" s="2">
        <v>1997.0</v>
      </c>
      <c r="D5807" s="9">
        <v>13301.653</v>
      </c>
      <c r="E5807" s="10" t="str">
        <f t="array" ref="E5807">IFS(D5807&lt;=$G$3,'calculated data '!$A$3,D5807&lt;=$G$4,'calculated data '!$A$4,D5807&lt;=$G$6,'calculated data '!$A$5,D5807&gt;=$G$6,'calculated data '!$A$6)</f>
        <v>Target Market (Core IQR)</v>
      </c>
      <c r="F5807" s="10">
        <f t="shared" si="1"/>
        <v>-0.3110800329</v>
      </c>
    </row>
    <row r="5808" ht="14.25" customHeight="1">
      <c r="A5808" s="2" t="s">
        <v>231</v>
      </c>
      <c r="B5808" s="2" t="s">
        <v>232</v>
      </c>
      <c r="C5808" s="2">
        <v>2005.0</v>
      </c>
      <c r="D5808" s="9">
        <v>13312.747</v>
      </c>
      <c r="E5808" s="10" t="str">
        <f t="array" ref="E5808">IFS(D5808&lt;=$G$3,'calculated data '!$A$3,D5808&lt;=$G$4,'calculated data '!$A$4,D5808&lt;=$G$6,'calculated data '!$A$5,D5808&gt;=$G$6,'calculated data '!$A$6)</f>
        <v>Target Market (Core IQR)</v>
      </c>
      <c r="F5808" s="10">
        <f t="shared" si="1"/>
        <v>-0.3107863775</v>
      </c>
    </row>
    <row r="5809" ht="14.25" customHeight="1">
      <c r="A5809" s="2" t="s">
        <v>287</v>
      </c>
      <c r="B5809" s="2" t="s">
        <v>288</v>
      </c>
      <c r="C5809" s="2">
        <v>2008.0</v>
      </c>
      <c r="D5809" s="9">
        <v>13316.851</v>
      </c>
      <c r="E5809" s="10" t="str">
        <f t="array" ref="E5809">IFS(D5809&lt;=$G$3,'calculated data '!$A$3,D5809&lt;=$G$4,'calculated data '!$A$4,D5809&lt;=$G$6,'calculated data '!$A$5,D5809&gt;=$G$6,'calculated data '!$A$6)</f>
        <v>Target Market (Core IQR)</v>
      </c>
      <c r="F5809" s="10">
        <f t="shared" si="1"/>
        <v>-0.3106777457</v>
      </c>
    </row>
    <row r="5810" ht="14.25" customHeight="1">
      <c r="A5810" s="2" t="s">
        <v>233</v>
      </c>
      <c r="B5810" s="2" t="s">
        <v>234</v>
      </c>
      <c r="C5810" s="2">
        <v>2012.0</v>
      </c>
      <c r="D5810" s="9">
        <v>13320.374</v>
      </c>
      <c r="E5810" s="10" t="str">
        <f t="array" ref="E5810">IFS(D5810&lt;=$G$3,'calculated data '!$A$3,D5810&lt;=$G$4,'calculated data '!$A$4,D5810&lt;=$G$6,'calculated data '!$A$5,D5810&gt;=$G$6,'calculated data '!$A$6)</f>
        <v>Target Market (Core IQR)</v>
      </c>
      <c r="F5810" s="10">
        <f t="shared" si="1"/>
        <v>-0.3105844927</v>
      </c>
    </row>
    <row r="5811" ht="14.25" customHeight="1">
      <c r="A5811" s="2" t="s">
        <v>291</v>
      </c>
      <c r="B5811" s="2" t="s">
        <v>292</v>
      </c>
      <c r="C5811" s="2">
        <v>1997.0</v>
      </c>
      <c r="D5811" s="9">
        <v>13322.563</v>
      </c>
      <c r="E5811" s="10" t="str">
        <f t="array" ref="E5811">IFS(D5811&lt;=$G$3,'calculated data '!$A$3,D5811&lt;=$G$4,'calculated data '!$A$4,D5811&lt;=$G$6,'calculated data '!$A$5,D5811&gt;=$G$6,'calculated data '!$A$6)</f>
        <v>Target Market (Core IQR)</v>
      </c>
      <c r="F5811" s="10">
        <f t="shared" si="1"/>
        <v>-0.3105265504</v>
      </c>
    </row>
    <row r="5812" ht="14.25" customHeight="1">
      <c r="A5812" s="2" t="s">
        <v>291</v>
      </c>
      <c r="B5812" s="2" t="s">
        <v>292</v>
      </c>
      <c r="C5812" s="2">
        <v>1996.0</v>
      </c>
      <c r="D5812" s="9">
        <v>13322.61</v>
      </c>
      <c r="E5812" s="10" t="str">
        <f t="array" ref="E5812">IFS(D5812&lt;=$G$3,'calculated data '!$A$3,D5812&lt;=$G$4,'calculated data '!$A$4,D5812&lt;=$G$6,'calculated data '!$A$5,D5812&gt;=$G$6,'calculated data '!$A$6)</f>
        <v>Target Market (Core IQR)</v>
      </c>
      <c r="F5812" s="10">
        <f t="shared" si="1"/>
        <v>-0.3105253064</v>
      </c>
    </row>
    <row r="5813" ht="14.25" customHeight="1">
      <c r="A5813" s="2" t="s">
        <v>45</v>
      </c>
      <c r="B5813" s="2" t="s">
        <v>46</v>
      </c>
      <c r="C5813" s="2">
        <v>2001.0</v>
      </c>
      <c r="D5813" s="9">
        <v>13326.549</v>
      </c>
      <c r="E5813" s="10" t="str">
        <f t="array" ref="E5813">IFS(D5813&lt;=$G$3,'calculated data '!$A$3,D5813&lt;=$G$4,'calculated data '!$A$4,D5813&lt;=$G$6,'calculated data '!$A$5,D5813&gt;=$G$6,'calculated data '!$A$6)</f>
        <v>Target Market (Core IQR)</v>
      </c>
      <c r="F5813" s="10">
        <f t="shared" si="1"/>
        <v>-0.310421042</v>
      </c>
    </row>
    <row r="5814" ht="14.25" customHeight="1">
      <c r="A5814" s="2" t="s">
        <v>241</v>
      </c>
      <c r="B5814" s="2" t="s">
        <v>242</v>
      </c>
      <c r="C5814" s="2">
        <v>2001.0</v>
      </c>
      <c r="D5814" s="9">
        <v>13332.863</v>
      </c>
      <c r="E5814" s="10" t="str">
        <f t="array" ref="E5814">IFS(D5814&lt;=$G$3,'calculated data '!$A$3,D5814&lt;=$G$4,'calculated data '!$A$4,D5814&lt;=$G$6,'calculated data '!$A$5,D5814&gt;=$G$6,'calculated data '!$A$6)</f>
        <v>Target Market (Core IQR)</v>
      </c>
      <c r="F5814" s="10">
        <f t="shared" si="1"/>
        <v>-0.310253912</v>
      </c>
    </row>
    <row r="5815" ht="14.25" customHeight="1">
      <c r="A5815" s="2" t="s">
        <v>31</v>
      </c>
      <c r="B5815" s="2" t="s">
        <v>32</v>
      </c>
      <c r="C5815" s="2">
        <v>1988.0</v>
      </c>
      <c r="D5815" s="9">
        <v>13335.08</v>
      </c>
      <c r="E5815" s="10" t="str">
        <f t="array" ref="E5815">IFS(D5815&lt;=$G$3,'calculated data '!$A$3,D5815&lt;=$G$4,'calculated data '!$A$4,D5815&lt;=$G$6,'calculated data '!$A$5,D5815&gt;=$G$6,'calculated data '!$A$6)</f>
        <v>Target Market (Core IQR)</v>
      </c>
      <c r="F5815" s="10">
        <f t="shared" si="1"/>
        <v>-0.3101952286</v>
      </c>
    </row>
    <row r="5816" ht="14.25" customHeight="1">
      <c r="A5816" s="2" t="s">
        <v>303</v>
      </c>
      <c r="B5816" s="2" t="s">
        <v>304</v>
      </c>
      <c r="C5816" s="2">
        <v>1988.0</v>
      </c>
      <c r="D5816" s="9">
        <v>13339.722</v>
      </c>
      <c r="E5816" s="10" t="str">
        <f t="array" ref="E5816">IFS(D5816&lt;=$G$3,'calculated data '!$A$3,D5816&lt;=$G$4,'calculated data '!$A$4,D5816&lt;=$G$6,'calculated data '!$A$5,D5816&gt;=$G$6,'calculated data '!$A$6)</f>
        <v>Target Market (Core IQR)</v>
      </c>
      <c r="F5816" s="10">
        <f t="shared" si="1"/>
        <v>-0.310072356</v>
      </c>
    </row>
    <row r="5817" ht="14.25" customHeight="1">
      <c r="A5817" s="2" t="s">
        <v>329</v>
      </c>
      <c r="B5817" s="2" t="s">
        <v>330</v>
      </c>
      <c r="C5817" s="2">
        <v>2009.0</v>
      </c>
      <c r="D5817" s="9">
        <v>13344.797</v>
      </c>
      <c r="E5817" s="10" t="str">
        <f t="array" ref="E5817">IFS(D5817&lt;=$G$3,'calculated data '!$A$3,D5817&lt;=$G$4,'calculated data '!$A$4,D5817&lt;=$G$6,'calculated data '!$A$5,D5817&gt;=$G$6,'calculated data '!$A$6)</f>
        <v>Target Market (Core IQR)</v>
      </c>
      <c r="F5817" s="10">
        <f t="shared" si="1"/>
        <v>-0.309938022</v>
      </c>
    </row>
    <row r="5818" ht="14.25" customHeight="1">
      <c r="A5818" s="2" t="s">
        <v>233</v>
      </c>
      <c r="B5818" s="2" t="s">
        <v>234</v>
      </c>
      <c r="C5818" s="2">
        <v>1998.0</v>
      </c>
      <c r="D5818" s="9">
        <v>13354.18</v>
      </c>
      <c r="E5818" s="10" t="str">
        <f t="array" ref="E5818">IFS(D5818&lt;=$G$3,'calculated data '!$A$3,D5818&lt;=$G$4,'calculated data '!$A$4,D5818&lt;=$G$6,'calculated data '!$A$5,D5818&gt;=$G$6,'calculated data '!$A$6)</f>
        <v>Target Market (Core IQR)</v>
      </c>
      <c r="F5818" s="10">
        <f t="shared" si="1"/>
        <v>-0.3096896563</v>
      </c>
    </row>
    <row r="5819" ht="14.25" customHeight="1">
      <c r="A5819" s="2" t="s">
        <v>349</v>
      </c>
      <c r="B5819" s="2" t="s">
        <v>350</v>
      </c>
      <c r="C5819" s="2">
        <v>2010.0</v>
      </c>
      <c r="D5819" s="9">
        <v>13372.831</v>
      </c>
      <c r="E5819" s="10" t="str">
        <f t="array" ref="E5819">IFS(D5819&lt;=$G$3,'calculated data '!$A$3,D5819&lt;=$G$4,'calculated data '!$A$4,D5819&lt;=$G$6,'calculated data '!$A$5,D5819&gt;=$G$6,'calculated data '!$A$6)</f>
        <v>Target Market (Core IQR)</v>
      </c>
      <c r="F5819" s="10">
        <f t="shared" si="1"/>
        <v>-0.309195969</v>
      </c>
    </row>
    <row r="5820" ht="14.25" customHeight="1">
      <c r="A5820" s="2" t="s">
        <v>233</v>
      </c>
      <c r="B5820" s="2" t="s">
        <v>234</v>
      </c>
      <c r="C5820" s="2">
        <v>2016.0</v>
      </c>
      <c r="D5820" s="9">
        <v>13376.791</v>
      </c>
      <c r="E5820" s="10" t="str">
        <f t="array" ref="E5820">IFS(D5820&lt;=$G$3,'calculated data '!$A$3,D5820&lt;=$G$4,'calculated data '!$A$4,D5820&lt;=$G$6,'calculated data '!$A$5,D5820&gt;=$G$6,'calculated data '!$A$6)</f>
        <v>Target Market (Core IQR)</v>
      </c>
      <c r="F5820" s="10">
        <f t="shared" si="1"/>
        <v>-0.3090911488</v>
      </c>
    </row>
    <row r="5821" ht="14.25" customHeight="1">
      <c r="A5821" s="2" t="s">
        <v>293</v>
      </c>
      <c r="B5821" s="2" t="s">
        <v>294</v>
      </c>
      <c r="C5821" s="2">
        <v>2020.0</v>
      </c>
      <c r="D5821" s="9">
        <v>13378.593</v>
      </c>
      <c r="E5821" s="10" t="str">
        <f t="array" ref="E5821">IFS(D5821&lt;=$G$3,'calculated data '!$A$3,D5821&lt;=$G$4,'calculated data '!$A$4,D5821&lt;=$G$6,'calculated data '!$A$5,D5821&gt;=$G$6,'calculated data '!$A$6)</f>
        <v>Target Market (Core IQR)</v>
      </c>
      <c r="F5821" s="10">
        <f t="shared" si="1"/>
        <v>-0.3090434503</v>
      </c>
    </row>
    <row r="5822" ht="14.25" customHeight="1">
      <c r="A5822" s="2" t="s">
        <v>227</v>
      </c>
      <c r="B5822" s="2" t="s">
        <v>228</v>
      </c>
      <c r="C5822" s="2">
        <v>2018.0</v>
      </c>
      <c r="D5822" s="9">
        <v>13389.451</v>
      </c>
      <c r="E5822" s="10" t="str">
        <f t="array" ref="E5822">IFS(D5822&lt;=$G$3,'calculated data '!$A$3,D5822&lt;=$G$4,'calculated data '!$A$4,D5822&lt;=$G$6,'calculated data '!$A$5,D5822&gt;=$G$6,'calculated data '!$A$6)</f>
        <v>Target Market (Core IQR)</v>
      </c>
      <c r="F5822" s="10">
        <f t="shared" si="1"/>
        <v>-0.3087560417</v>
      </c>
    </row>
    <row r="5823" ht="14.25" customHeight="1">
      <c r="A5823" s="2" t="s">
        <v>309</v>
      </c>
      <c r="B5823" s="2" t="s">
        <v>310</v>
      </c>
      <c r="C5823" s="2">
        <v>1972.0</v>
      </c>
      <c r="D5823" s="9">
        <v>13396.264</v>
      </c>
      <c r="E5823" s="10" t="str">
        <f t="array" ref="E5823">IFS(D5823&lt;=$G$3,'calculated data '!$A$3,D5823&lt;=$G$4,'calculated data '!$A$4,D5823&lt;=$G$6,'calculated data '!$A$5,D5823&gt;=$G$6,'calculated data '!$A$6)</f>
        <v>Target Market (Core IQR)</v>
      </c>
      <c r="F5823" s="10">
        <f t="shared" si="1"/>
        <v>-0.3085757033</v>
      </c>
    </row>
    <row r="5824" ht="14.25" customHeight="1">
      <c r="A5824" s="2" t="s">
        <v>333</v>
      </c>
      <c r="B5824" s="2" t="s">
        <v>334</v>
      </c>
      <c r="C5824" s="2">
        <v>1987.0</v>
      </c>
      <c r="D5824" s="9">
        <v>13402.703</v>
      </c>
      <c r="E5824" s="10" t="str">
        <f t="array" ref="E5824">IFS(D5824&lt;=$G$3,'calculated data '!$A$3,D5824&lt;=$G$4,'calculated data '!$A$4,D5824&lt;=$G$6,'calculated data '!$A$5,D5824&gt;=$G$6,'calculated data '!$A$6)</f>
        <v>Target Market (Core IQR)</v>
      </c>
      <c r="F5824" s="10">
        <f t="shared" si="1"/>
        <v>-0.3084052646</v>
      </c>
    </row>
    <row r="5825" ht="14.25" customHeight="1">
      <c r="A5825" s="2" t="s">
        <v>325</v>
      </c>
      <c r="B5825" s="2" t="s">
        <v>326</v>
      </c>
      <c r="C5825" s="2">
        <v>2013.0</v>
      </c>
      <c r="D5825" s="9">
        <v>13407.281</v>
      </c>
      <c r="E5825" s="10" t="str">
        <f t="array" ref="E5825">IFS(D5825&lt;=$G$3,'calculated data '!$A$3,D5825&lt;=$G$4,'calculated data '!$A$4,D5825&lt;=$G$6,'calculated data '!$A$5,D5825&gt;=$G$6,'calculated data '!$A$6)</f>
        <v>Target Market (Core IQR)</v>
      </c>
      <c r="F5825" s="10">
        <f t="shared" si="1"/>
        <v>-0.3082840861</v>
      </c>
    </row>
    <row r="5826" ht="14.25" customHeight="1">
      <c r="A5826" s="2" t="s">
        <v>45</v>
      </c>
      <c r="B5826" s="2" t="s">
        <v>46</v>
      </c>
      <c r="C5826" s="2">
        <v>2003.0</v>
      </c>
      <c r="D5826" s="9">
        <v>13411.241</v>
      </c>
      <c r="E5826" s="10" t="str">
        <f t="array" ref="E5826">IFS(D5826&lt;=$G$3,'calculated data '!$A$3,D5826&lt;=$G$4,'calculated data '!$A$4,D5826&lt;=$G$6,'calculated data '!$A$5,D5826&gt;=$G$6,'calculated data '!$A$6)</f>
        <v>Target Market (Core IQR)</v>
      </c>
      <c r="F5826" s="10">
        <f t="shared" si="1"/>
        <v>-0.3081792659</v>
      </c>
    </row>
    <row r="5827" ht="14.25" customHeight="1">
      <c r="A5827" s="2" t="s">
        <v>45</v>
      </c>
      <c r="B5827" s="2" t="s">
        <v>46</v>
      </c>
      <c r="C5827" s="2">
        <v>2002.0</v>
      </c>
      <c r="D5827" s="9">
        <v>13418.999</v>
      </c>
      <c r="E5827" s="10" t="str">
        <f t="array" ref="E5827">IFS(D5827&lt;=$G$3,'calculated data '!$A$3,D5827&lt;=$G$4,'calculated data '!$A$4,D5827&lt;=$G$6,'calculated data '!$A$5,D5827&gt;=$G$6,'calculated data '!$A$6)</f>
        <v>Target Market (Core IQR)</v>
      </c>
      <c r="F5827" s="10">
        <f t="shared" si="1"/>
        <v>-0.3079739135</v>
      </c>
    </row>
    <row r="5828" ht="14.25" customHeight="1">
      <c r="A5828" s="2" t="s">
        <v>325</v>
      </c>
      <c r="B5828" s="2" t="s">
        <v>326</v>
      </c>
      <c r="C5828" s="2">
        <v>2018.0</v>
      </c>
      <c r="D5828" s="9">
        <v>13424.767</v>
      </c>
      <c r="E5828" s="10" t="str">
        <f t="array" ref="E5828">IFS(D5828&lt;=$G$3,'calculated data '!$A$3,D5828&lt;=$G$4,'calculated data '!$A$4,D5828&lt;=$G$6,'calculated data '!$A$5,D5828&gt;=$G$6,'calculated data '!$A$6)</f>
        <v>Target Market (Core IQR)</v>
      </c>
      <c r="F5828" s="10">
        <f t="shared" si="1"/>
        <v>-0.307821236</v>
      </c>
    </row>
    <row r="5829" ht="14.25" customHeight="1">
      <c r="A5829" s="2" t="s">
        <v>241</v>
      </c>
      <c r="B5829" s="2" t="s">
        <v>242</v>
      </c>
      <c r="C5829" s="2">
        <v>2004.0</v>
      </c>
      <c r="D5829" s="9">
        <v>13432.692</v>
      </c>
      <c r="E5829" s="10" t="str">
        <f t="array" ref="E5829">IFS(D5829&lt;=$G$3,'calculated data '!$A$3,D5829&lt;=$G$4,'calculated data '!$A$4,D5829&lt;=$G$6,'calculated data '!$A$5,D5829&gt;=$G$6,'calculated data '!$A$6)</f>
        <v>Target Market (Core IQR)</v>
      </c>
      <c r="F5829" s="10">
        <f t="shared" si="1"/>
        <v>-0.3076114632</v>
      </c>
    </row>
    <row r="5830" ht="14.25" customHeight="1">
      <c r="A5830" s="2" t="s">
        <v>237</v>
      </c>
      <c r="B5830" s="2" t="s">
        <v>238</v>
      </c>
      <c r="C5830" s="2">
        <v>2020.0</v>
      </c>
      <c r="D5830" s="9">
        <v>13442.011</v>
      </c>
      <c r="E5830" s="10" t="str">
        <f t="array" ref="E5830">IFS(D5830&lt;=$G$3,'calculated data '!$A$3,D5830&lt;=$G$4,'calculated data '!$A$4,D5830&lt;=$G$6,'calculated data '!$A$5,D5830&gt;=$G$6,'calculated data '!$A$6)</f>
        <v>Target Market (Core IQR)</v>
      </c>
      <c r="F5830" s="10">
        <f t="shared" si="1"/>
        <v>-0.3073647916</v>
      </c>
    </row>
    <row r="5831" ht="14.25" customHeight="1">
      <c r="A5831" s="2" t="s">
        <v>233</v>
      </c>
      <c r="B5831" s="2" t="s">
        <v>234</v>
      </c>
      <c r="C5831" s="2">
        <v>2021.0</v>
      </c>
      <c r="D5831" s="9">
        <v>13442.319</v>
      </c>
      <c r="E5831" s="10" t="str">
        <f t="array" ref="E5831">IFS(D5831&lt;=$G$3,'calculated data '!$A$3,D5831&lt;=$G$4,'calculated data '!$A$4,D5831&lt;=$G$6,'calculated data '!$A$5,D5831&gt;=$G$6,'calculated data '!$A$6)</f>
        <v>Target Market (Core IQR)</v>
      </c>
      <c r="F5831" s="10">
        <f t="shared" si="1"/>
        <v>-0.307356639</v>
      </c>
    </row>
    <row r="5832" ht="14.25" customHeight="1">
      <c r="A5832" s="2" t="s">
        <v>327</v>
      </c>
      <c r="B5832" s="2" t="s">
        <v>328</v>
      </c>
      <c r="C5832" s="2">
        <v>1981.0</v>
      </c>
      <c r="D5832" s="9">
        <v>13457.069</v>
      </c>
      <c r="E5832" s="10" t="str">
        <f t="array" ref="E5832">IFS(D5832&lt;=$G$3,'calculated data '!$A$3,D5832&lt;=$G$4,'calculated data '!$A$4,D5832&lt;=$G$6,'calculated data '!$A$5,D5832&gt;=$G$6,'calculated data '!$A$6)</f>
        <v>Target Market (Core IQR)</v>
      </c>
      <c r="F5832" s="10">
        <f t="shared" si="1"/>
        <v>-0.3069662101</v>
      </c>
    </row>
    <row r="5833" ht="14.25" customHeight="1">
      <c r="A5833" s="2" t="s">
        <v>45</v>
      </c>
      <c r="B5833" s="2" t="s">
        <v>46</v>
      </c>
      <c r="C5833" s="2">
        <v>2000.0</v>
      </c>
      <c r="D5833" s="9">
        <v>13457.15</v>
      </c>
      <c r="E5833" s="10" t="str">
        <f t="array" ref="E5833">IFS(D5833&lt;=$G$3,'calculated data '!$A$3,D5833&lt;=$G$4,'calculated data '!$A$4,D5833&lt;=$G$6,'calculated data '!$A$5,D5833&gt;=$G$6,'calculated data '!$A$6)</f>
        <v>Target Market (Core IQR)</v>
      </c>
      <c r="F5833" s="10">
        <f t="shared" si="1"/>
        <v>-0.3069640661</v>
      </c>
    </row>
    <row r="5834" ht="14.25" customHeight="1">
      <c r="A5834" s="2" t="s">
        <v>345</v>
      </c>
      <c r="B5834" s="2" t="s">
        <v>346</v>
      </c>
      <c r="C5834" s="2">
        <v>2001.0</v>
      </c>
      <c r="D5834" s="9">
        <v>13459.57</v>
      </c>
      <c r="E5834" s="10" t="str">
        <f t="array" ref="E5834">IFS(D5834&lt;=$G$3,'calculated data '!$A$3,D5834&lt;=$G$4,'calculated data '!$A$4,D5834&lt;=$G$6,'calculated data '!$A$5,D5834&gt;=$G$6,'calculated data '!$A$6)</f>
        <v>Target Market (Core IQR)</v>
      </c>
      <c r="F5834" s="10">
        <f t="shared" si="1"/>
        <v>-0.3069000093</v>
      </c>
    </row>
    <row r="5835" ht="14.25" customHeight="1">
      <c r="A5835" s="2" t="s">
        <v>333</v>
      </c>
      <c r="B5835" s="2" t="s">
        <v>334</v>
      </c>
      <c r="C5835" s="2">
        <v>2004.0</v>
      </c>
      <c r="D5835" s="9">
        <v>13459.61</v>
      </c>
      <c r="E5835" s="10" t="str">
        <f t="array" ref="E5835">IFS(D5835&lt;=$G$3,'calculated data '!$A$3,D5835&lt;=$G$4,'calculated data '!$A$4,D5835&lt;=$G$6,'calculated data '!$A$5,D5835&gt;=$G$6,'calculated data '!$A$6)</f>
        <v>Target Market (Core IQR)</v>
      </c>
      <c r="F5835" s="10">
        <f t="shared" si="1"/>
        <v>-0.3068989505</v>
      </c>
    </row>
    <row r="5836" ht="14.25" customHeight="1">
      <c r="A5836" s="2" t="s">
        <v>207</v>
      </c>
      <c r="B5836" s="2" t="s">
        <v>208</v>
      </c>
      <c r="C5836" s="2">
        <v>2012.0</v>
      </c>
      <c r="D5836" s="9">
        <v>13466.118</v>
      </c>
      <c r="E5836" s="10" t="str">
        <f t="array" ref="E5836">IFS(D5836&lt;=$G$3,'calculated data '!$A$3,D5836&lt;=$G$4,'calculated data '!$A$4,D5836&lt;=$G$6,'calculated data '!$A$5,D5836&gt;=$G$6,'calculated data '!$A$6)</f>
        <v>Target Market (Core IQR)</v>
      </c>
      <c r="F5836" s="10">
        <f t="shared" si="1"/>
        <v>-0.3067266854</v>
      </c>
    </row>
    <row r="5837" ht="14.25" customHeight="1">
      <c r="A5837" s="2" t="s">
        <v>313</v>
      </c>
      <c r="B5837" s="2" t="s">
        <v>314</v>
      </c>
      <c r="C5837" s="2">
        <v>1995.0</v>
      </c>
      <c r="D5837" s="9">
        <v>13484.594</v>
      </c>
      <c r="E5837" s="10" t="str">
        <f t="array" ref="E5837">IFS(D5837&lt;=$G$3,'calculated data '!$A$3,D5837&lt;=$G$4,'calculated data '!$A$4,D5837&lt;=$G$6,'calculated data '!$A$5,D5837&gt;=$G$6,'calculated data '!$A$6)</f>
        <v>Target Market (Core IQR)</v>
      </c>
      <c r="F5837" s="10">
        <f t="shared" si="1"/>
        <v>-0.3062376302</v>
      </c>
    </row>
    <row r="5838" ht="14.25" customHeight="1">
      <c r="A5838" s="2" t="s">
        <v>247</v>
      </c>
      <c r="B5838" s="2" t="s">
        <v>248</v>
      </c>
      <c r="C5838" s="2">
        <v>2010.0</v>
      </c>
      <c r="D5838" s="9">
        <v>13489.117</v>
      </c>
      <c r="E5838" s="10" t="str">
        <f t="array" ref="E5838">IFS(D5838&lt;=$G$3,'calculated data '!$A$3,D5838&lt;=$G$4,'calculated data '!$A$4,D5838&lt;=$G$6,'calculated data '!$A$5,D5838&gt;=$G$6,'calculated data '!$A$6)</f>
        <v>Target Market (Core IQR)</v>
      </c>
      <c r="F5838" s="10">
        <f t="shared" si="1"/>
        <v>-0.3061179076</v>
      </c>
    </row>
    <row r="5839" ht="14.25" customHeight="1">
      <c r="A5839" s="2" t="s">
        <v>347</v>
      </c>
      <c r="B5839" s="2" t="s">
        <v>348</v>
      </c>
      <c r="C5839" s="2">
        <v>2008.0</v>
      </c>
      <c r="D5839" s="9">
        <v>13495.893</v>
      </c>
      <c r="E5839" s="10" t="str">
        <f t="array" ref="E5839">IFS(D5839&lt;=$G$3,'calculated data '!$A$3,D5839&lt;=$G$4,'calculated data '!$A$4,D5839&lt;=$G$6,'calculated data '!$A$5,D5839&gt;=$G$6,'calculated data '!$A$6)</f>
        <v>Target Market (Core IQR)</v>
      </c>
      <c r="F5839" s="10">
        <f t="shared" si="1"/>
        <v>-0.3059385485</v>
      </c>
    </row>
    <row r="5840" ht="14.25" customHeight="1">
      <c r="A5840" s="2" t="s">
        <v>321</v>
      </c>
      <c r="B5840" s="2" t="s">
        <v>322</v>
      </c>
      <c r="C5840" s="2">
        <v>1983.0</v>
      </c>
      <c r="D5840" s="9">
        <v>13507.265</v>
      </c>
      <c r="E5840" s="10" t="str">
        <f t="array" ref="E5840">IFS(D5840&lt;=$G$3,'calculated data '!$A$3,D5840&lt;=$G$4,'calculated data '!$A$4,D5840&lt;=$G$6,'calculated data '!$A$5,D5840&gt;=$G$6,'calculated data '!$A$6)</f>
        <v>Target Market (Core IQR)</v>
      </c>
      <c r="F5840" s="10">
        <f t="shared" si="1"/>
        <v>-0.3056375345</v>
      </c>
    </row>
    <row r="5841" ht="14.25" customHeight="1">
      <c r="A5841" s="2" t="s">
        <v>345</v>
      </c>
      <c r="B5841" s="2" t="s">
        <v>346</v>
      </c>
      <c r="C5841" s="2">
        <v>1991.0</v>
      </c>
      <c r="D5841" s="9">
        <v>13515.502</v>
      </c>
      <c r="E5841" s="10" t="str">
        <f t="array" ref="E5841">IFS(D5841&lt;=$G$3,'calculated data '!$A$3,D5841&lt;=$G$4,'calculated data '!$A$4,D5841&lt;=$G$6,'calculated data '!$A$5,D5841&gt;=$G$6,'calculated data '!$A$6)</f>
        <v>Target Market (Core IQR)</v>
      </c>
      <c r="F5841" s="10">
        <f t="shared" si="1"/>
        <v>-0.3054195032</v>
      </c>
    </row>
    <row r="5842" ht="14.25" customHeight="1">
      <c r="A5842" s="2" t="s">
        <v>253</v>
      </c>
      <c r="B5842" s="2" t="s">
        <v>254</v>
      </c>
      <c r="C5842" s="2">
        <v>1986.0</v>
      </c>
      <c r="D5842" s="9">
        <v>13516.784</v>
      </c>
      <c r="E5842" s="10" t="str">
        <f t="array" ref="E5842">IFS(D5842&lt;=$G$3,'calculated data '!$A$3,D5842&lt;=$G$4,'calculated data '!$A$4,D5842&lt;=$G$6,'calculated data '!$A$5,D5842&gt;=$G$6,'calculated data '!$A$6)</f>
        <v>Target Market (Core IQR)</v>
      </c>
      <c r="F5842" s="10">
        <f t="shared" si="1"/>
        <v>-0.305385569</v>
      </c>
    </row>
    <row r="5843" ht="14.25" customHeight="1">
      <c r="A5843" s="2" t="s">
        <v>273</v>
      </c>
      <c r="B5843" s="2" t="s">
        <v>274</v>
      </c>
      <c r="C5843" s="2">
        <v>1986.0</v>
      </c>
      <c r="D5843" s="9">
        <v>13520.645</v>
      </c>
      <c r="E5843" s="10" t="str">
        <f t="array" ref="E5843">IFS(D5843&lt;=$G$3,'calculated data '!$A$3,D5843&lt;=$G$4,'calculated data '!$A$4,D5843&lt;=$G$6,'calculated data '!$A$5,D5843&gt;=$G$6,'calculated data '!$A$6)</f>
        <v>Target Market (Core IQR)</v>
      </c>
      <c r="F5843" s="10">
        <f t="shared" si="1"/>
        <v>-0.3052833692</v>
      </c>
    </row>
    <row r="5844" ht="14.25" customHeight="1">
      <c r="A5844" s="2" t="s">
        <v>309</v>
      </c>
      <c r="B5844" s="2" t="s">
        <v>310</v>
      </c>
      <c r="C5844" s="2">
        <v>1974.0</v>
      </c>
      <c r="D5844" s="9">
        <v>13521.407</v>
      </c>
      <c r="E5844" s="10" t="str">
        <f t="array" ref="E5844">IFS(D5844&lt;=$G$3,'calculated data '!$A$3,D5844&lt;=$G$4,'calculated data '!$A$4,D5844&lt;=$G$6,'calculated data '!$A$5,D5844&gt;=$G$6,'calculated data '!$A$6)</f>
        <v>Target Market (Core IQR)</v>
      </c>
      <c r="F5844" s="10">
        <f t="shared" si="1"/>
        <v>-0.3052631993</v>
      </c>
    </row>
    <row r="5845" ht="14.25" customHeight="1">
      <c r="A5845" s="2" t="s">
        <v>279</v>
      </c>
      <c r="B5845" s="2" t="s">
        <v>280</v>
      </c>
      <c r="C5845" s="2">
        <v>1977.0</v>
      </c>
      <c r="D5845" s="9">
        <v>13522.258</v>
      </c>
      <c r="E5845" s="10" t="str">
        <f t="array" ref="E5845">IFS(D5845&lt;=$G$3,'calculated data '!$A$3,D5845&lt;=$G$4,'calculated data '!$A$4,D5845&lt;=$G$6,'calculated data '!$A$5,D5845&gt;=$G$6,'calculated data '!$A$6)</f>
        <v>Target Market (Core IQR)</v>
      </c>
      <c r="F5845" s="10">
        <f t="shared" si="1"/>
        <v>-0.3052406735</v>
      </c>
    </row>
    <row r="5846" ht="14.25" customHeight="1">
      <c r="A5846" s="2" t="s">
        <v>269</v>
      </c>
      <c r="B5846" s="2" t="s">
        <v>270</v>
      </c>
      <c r="C5846" s="2">
        <v>1998.0</v>
      </c>
      <c r="D5846" s="9">
        <v>13529.965</v>
      </c>
      <c r="E5846" s="10" t="str">
        <f t="array" ref="E5846">IFS(D5846&lt;=$G$3,'calculated data '!$A$3,D5846&lt;=$G$4,'calculated data '!$A$4,D5846&lt;=$G$6,'calculated data '!$A$5,D5846&gt;=$G$6,'calculated data '!$A$6)</f>
        <v>Target Market (Core IQR)</v>
      </c>
      <c r="F5846" s="10">
        <f t="shared" si="1"/>
        <v>-0.3050366712</v>
      </c>
    </row>
    <row r="5847" ht="14.25" customHeight="1">
      <c r="A5847" s="2" t="s">
        <v>309</v>
      </c>
      <c r="B5847" s="2" t="s">
        <v>310</v>
      </c>
      <c r="C5847" s="2">
        <v>1973.0</v>
      </c>
      <c r="D5847" s="9">
        <v>13544.569</v>
      </c>
      <c r="E5847" s="10" t="str">
        <f t="array" ref="E5847">IFS(D5847&lt;=$G$3,'calculated data '!$A$3,D5847&lt;=$G$4,'calculated data '!$A$4,D5847&lt;=$G$6,'calculated data '!$A$5,D5847&gt;=$G$6,'calculated data '!$A$6)</f>
        <v>Target Market (Core IQR)</v>
      </c>
      <c r="F5847" s="10">
        <f t="shared" si="1"/>
        <v>-0.3046501069</v>
      </c>
    </row>
    <row r="5848" ht="14.25" customHeight="1">
      <c r="A5848" s="2" t="s">
        <v>293</v>
      </c>
      <c r="B5848" s="2" t="s">
        <v>294</v>
      </c>
      <c r="C5848" s="2">
        <v>2017.0</v>
      </c>
      <c r="D5848" s="9">
        <v>13547.438</v>
      </c>
      <c r="E5848" s="10" t="str">
        <f t="array" ref="E5848">IFS(D5848&lt;=$G$3,'calculated data '!$A$3,D5848&lt;=$G$4,'calculated data '!$A$4,D5848&lt;=$G$6,'calculated data '!$A$5,D5848&gt;=$G$6,'calculated data '!$A$6)</f>
        <v>Target Market (Core IQR)</v>
      </c>
      <c r="F5848" s="10">
        <f t="shared" si="1"/>
        <v>-0.3045741652</v>
      </c>
    </row>
    <row r="5849" ht="14.25" customHeight="1">
      <c r="A5849" s="2" t="s">
        <v>345</v>
      </c>
      <c r="B5849" s="2" t="s">
        <v>346</v>
      </c>
      <c r="C5849" s="2">
        <v>1995.0</v>
      </c>
      <c r="D5849" s="9">
        <v>13551.748</v>
      </c>
      <c r="E5849" s="10" t="str">
        <f t="array" ref="E5849">IFS(D5849&lt;=$G$3,'calculated data '!$A$3,D5849&lt;=$G$4,'calculated data '!$A$4,D5849&lt;=$G$6,'calculated data '!$A$5,D5849&gt;=$G$6,'calculated data '!$A$6)</f>
        <v>Target Market (Core IQR)</v>
      </c>
      <c r="F5849" s="10">
        <f t="shared" si="1"/>
        <v>-0.3044600806</v>
      </c>
    </row>
    <row r="5850" ht="14.25" customHeight="1">
      <c r="A5850" s="2" t="s">
        <v>45</v>
      </c>
      <c r="B5850" s="2" t="s">
        <v>46</v>
      </c>
      <c r="C5850" s="2">
        <v>2008.0</v>
      </c>
      <c r="D5850" s="9">
        <v>13553.528</v>
      </c>
      <c r="E5850" s="10" t="str">
        <f t="array" ref="E5850">IFS(D5850&lt;=$G$3,'calculated data '!$A$3,D5850&lt;=$G$4,'calculated data '!$A$4,D5850&lt;=$G$6,'calculated data '!$A$5,D5850&gt;=$G$6,'calculated data '!$A$6)</f>
        <v>Target Market (Core IQR)</v>
      </c>
      <c r="F5850" s="10">
        <f t="shared" si="1"/>
        <v>-0.3044129644</v>
      </c>
    </row>
    <row r="5851" ht="14.25" customHeight="1">
      <c r="A5851" s="2" t="s">
        <v>227</v>
      </c>
      <c r="B5851" s="2" t="s">
        <v>228</v>
      </c>
      <c r="C5851" s="2">
        <v>2016.0</v>
      </c>
      <c r="D5851" s="9">
        <v>13558.617</v>
      </c>
      <c r="E5851" s="10" t="str">
        <f t="array" ref="E5851">IFS(D5851&lt;=$G$3,'calculated data '!$A$3,D5851&lt;=$G$4,'calculated data '!$A$4,D5851&lt;=$G$6,'calculated data '!$A$5,D5851&gt;=$G$6,'calculated data '!$A$6)</f>
        <v>Target Market (Core IQR)</v>
      </c>
      <c r="F5851" s="10">
        <f t="shared" si="1"/>
        <v>-0.3042782599</v>
      </c>
    </row>
    <row r="5852" ht="14.25" customHeight="1">
      <c r="A5852" s="2" t="s">
        <v>227</v>
      </c>
      <c r="B5852" s="2" t="s">
        <v>228</v>
      </c>
      <c r="C5852" s="2">
        <v>2019.0</v>
      </c>
      <c r="D5852" s="9">
        <v>13558.63</v>
      </c>
      <c r="E5852" s="10" t="str">
        <f t="array" ref="E5852">IFS(D5852&lt;=$G$3,'calculated data '!$A$3,D5852&lt;=$G$4,'calculated data '!$A$4,D5852&lt;=$G$6,'calculated data '!$A$5,D5852&gt;=$G$6,'calculated data '!$A$6)</f>
        <v>Target Market (Core IQR)</v>
      </c>
      <c r="F5852" s="10">
        <f t="shared" si="1"/>
        <v>-0.3042779158</v>
      </c>
    </row>
    <row r="5853" ht="14.25" customHeight="1">
      <c r="A5853" s="2" t="s">
        <v>345</v>
      </c>
      <c r="B5853" s="2" t="s">
        <v>346</v>
      </c>
      <c r="C5853" s="2">
        <v>2020.0</v>
      </c>
      <c r="D5853" s="9">
        <v>13564.127</v>
      </c>
      <c r="E5853" s="10" t="str">
        <f t="array" ref="E5853">IFS(D5853&lt;=$G$3,'calculated data '!$A$3,D5853&lt;=$G$4,'calculated data '!$A$4,D5853&lt;=$G$6,'calculated data '!$A$5,D5853&gt;=$G$6,'calculated data '!$A$6)</f>
        <v>Target Market (Core IQR)</v>
      </c>
      <c r="F5853" s="10">
        <f t="shared" si="1"/>
        <v>-0.3041324115</v>
      </c>
    </row>
    <row r="5854" ht="14.25" customHeight="1">
      <c r="A5854" s="2" t="s">
        <v>293</v>
      </c>
      <c r="B5854" s="2" t="s">
        <v>294</v>
      </c>
      <c r="C5854" s="2">
        <v>2010.0</v>
      </c>
      <c r="D5854" s="9">
        <v>13576.0625</v>
      </c>
      <c r="E5854" s="10" t="str">
        <f t="array" ref="E5854">IFS(D5854&lt;=$G$3,'calculated data '!$A$3,D5854&lt;=$G$4,'calculated data '!$A$4,D5854&lt;=$G$6,'calculated data '!$A$5,D5854&gt;=$G$6,'calculated data '!$A$6)</f>
        <v>Target Market (Core IQR)</v>
      </c>
      <c r="F5854" s="10">
        <f t="shared" si="1"/>
        <v>-0.3038164818</v>
      </c>
    </row>
    <row r="5855" ht="14.25" customHeight="1">
      <c r="A5855" s="2" t="s">
        <v>269</v>
      </c>
      <c r="B5855" s="2" t="s">
        <v>270</v>
      </c>
      <c r="C5855" s="2">
        <v>1999.0</v>
      </c>
      <c r="D5855" s="9">
        <v>13583.13</v>
      </c>
      <c r="E5855" s="10" t="str">
        <f t="array" ref="E5855">IFS(D5855&lt;=$G$3,'calculated data '!$A$3,D5855&lt;=$G$4,'calculated data '!$A$4,D5855&lt;=$G$6,'calculated data '!$A$5,D5855&gt;=$G$6,'calculated data '!$A$6)</f>
        <v>Target Market (Core IQR)</v>
      </c>
      <c r="F5855" s="10">
        <f t="shared" si="1"/>
        <v>-0.3036294069</v>
      </c>
    </row>
    <row r="5856" ht="14.25" customHeight="1">
      <c r="A5856" s="2" t="s">
        <v>321</v>
      </c>
      <c r="B5856" s="2" t="s">
        <v>322</v>
      </c>
      <c r="C5856" s="2">
        <v>1980.0</v>
      </c>
      <c r="D5856" s="9">
        <v>13585.013</v>
      </c>
      <c r="E5856" s="10" t="str">
        <f t="array" ref="E5856">IFS(D5856&lt;=$G$3,'calculated data '!$A$3,D5856&lt;=$G$4,'calculated data '!$A$4,D5856&lt;=$G$6,'calculated data '!$A$5,D5856&gt;=$G$6,'calculated data '!$A$6)</f>
        <v>Target Market (Core IQR)</v>
      </c>
      <c r="F5856" s="10">
        <f t="shared" si="1"/>
        <v>-0.3035795643</v>
      </c>
    </row>
    <row r="5857" ht="14.25" customHeight="1">
      <c r="A5857" s="2" t="s">
        <v>345</v>
      </c>
      <c r="B5857" s="2" t="s">
        <v>346</v>
      </c>
      <c r="C5857" s="2">
        <v>1994.0</v>
      </c>
      <c r="D5857" s="9">
        <v>13590.669</v>
      </c>
      <c r="E5857" s="10" t="str">
        <f t="array" ref="E5857">IFS(D5857&lt;=$G$3,'calculated data '!$A$3,D5857&lt;=$G$4,'calculated data '!$A$4,D5857&lt;=$G$6,'calculated data '!$A$5,D5857&gt;=$G$6,'calculated data '!$A$6)</f>
        <v>Target Market (Core IQR)</v>
      </c>
      <c r="F5857" s="10">
        <f t="shared" si="1"/>
        <v>-0.3034298514</v>
      </c>
    </row>
    <row r="5858" ht="14.25" customHeight="1">
      <c r="A5858" s="2" t="s">
        <v>345</v>
      </c>
      <c r="B5858" s="2" t="s">
        <v>346</v>
      </c>
      <c r="C5858" s="2">
        <v>2013.0</v>
      </c>
      <c r="D5858" s="9">
        <v>13595.529</v>
      </c>
      <c r="E5858" s="10" t="str">
        <f t="array" ref="E5858">IFS(D5858&lt;=$G$3,'calculated data '!$A$3,D5858&lt;=$G$4,'calculated data '!$A$4,D5858&lt;=$G$6,'calculated data '!$A$5,D5858&gt;=$G$6,'calculated data '!$A$6)</f>
        <v>Target Market (Core IQR)</v>
      </c>
      <c r="F5858" s="10">
        <f t="shared" si="1"/>
        <v>-0.3033012084</v>
      </c>
    </row>
    <row r="5859" ht="14.25" customHeight="1">
      <c r="A5859" s="2" t="s">
        <v>227</v>
      </c>
      <c r="B5859" s="2" t="s">
        <v>228</v>
      </c>
      <c r="C5859" s="2">
        <v>2012.0</v>
      </c>
      <c r="D5859" s="9">
        <v>13595.592</v>
      </c>
      <c r="E5859" s="10" t="str">
        <f t="array" ref="E5859">IFS(D5859&lt;=$G$3,'calculated data '!$A$3,D5859&lt;=$G$4,'calculated data '!$A$4,D5859&lt;=$G$6,'calculated data '!$A$5,D5859&gt;=$G$6,'calculated data '!$A$6)</f>
        <v>Target Market (Core IQR)</v>
      </c>
      <c r="F5859" s="10">
        <f t="shared" si="1"/>
        <v>-0.3032995408</v>
      </c>
    </row>
    <row r="5860" ht="14.25" customHeight="1">
      <c r="A5860" s="2" t="s">
        <v>227</v>
      </c>
      <c r="B5860" s="2" t="s">
        <v>228</v>
      </c>
      <c r="C5860" s="2">
        <v>2021.0</v>
      </c>
      <c r="D5860" s="9">
        <v>13597.028</v>
      </c>
      <c r="E5860" s="10" t="str">
        <f t="array" ref="E5860">IFS(D5860&lt;=$G$3,'calculated data '!$A$3,D5860&lt;=$G$4,'calculated data '!$A$4,D5860&lt;=$G$6,'calculated data '!$A$5,D5860&gt;=$G$6,'calculated data '!$A$6)</f>
        <v>Target Market (Core IQR)</v>
      </c>
      <c r="F5860" s="10">
        <f t="shared" si="1"/>
        <v>-0.3032615303</v>
      </c>
    </row>
    <row r="5861" ht="14.25" customHeight="1">
      <c r="A5861" s="2" t="s">
        <v>57</v>
      </c>
      <c r="B5861" s="2" t="s">
        <v>58</v>
      </c>
      <c r="C5861" s="2">
        <v>1968.0</v>
      </c>
      <c r="D5861" s="9">
        <v>13598.395</v>
      </c>
      <c r="E5861" s="10" t="str">
        <f t="array" ref="E5861">IFS(D5861&lt;=$G$3,'calculated data '!$A$3,D5861&lt;=$G$4,'calculated data '!$A$4,D5861&lt;=$G$6,'calculated data '!$A$5,D5861&gt;=$G$6,'calculated data '!$A$6)</f>
        <v>Target Market (Core IQR)</v>
      </c>
      <c r="F5861" s="10">
        <f t="shared" si="1"/>
        <v>-0.3032253461</v>
      </c>
    </row>
    <row r="5862" ht="14.25" customHeight="1">
      <c r="A5862" s="2" t="s">
        <v>325</v>
      </c>
      <c r="B5862" s="2" t="s">
        <v>326</v>
      </c>
      <c r="C5862" s="2">
        <v>2012.0</v>
      </c>
      <c r="D5862" s="9">
        <v>13606.589</v>
      </c>
      <c r="E5862" s="10" t="str">
        <f t="array" ref="E5862">IFS(D5862&lt;=$G$3,'calculated data '!$A$3,D5862&lt;=$G$4,'calculated data '!$A$4,D5862&lt;=$G$6,'calculated data '!$A$5,D5862&gt;=$G$6,'calculated data '!$A$6)</f>
        <v>Target Market (Core IQR)</v>
      </c>
      <c r="F5862" s="10">
        <f t="shared" si="1"/>
        <v>-0.303008453</v>
      </c>
    </row>
    <row r="5863" ht="14.25" customHeight="1">
      <c r="A5863" s="2" t="s">
        <v>227</v>
      </c>
      <c r="B5863" s="2" t="s">
        <v>228</v>
      </c>
      <c r="C5863" s="2">
        <v>2022.0</v>
      </c>
      <c r="D5863" s="9">
        <v>13621.862</v>
      </c>
      <c r="E5863" s="10" t="str">
        <f t="array" ref="E5863">IFS(D5863&lt;=$G$3,'calculated data '!$A$3,D5863&lt;=$G$4,'calculated data '!$A$4,D5863&lt;=$G$6,'calculated data '!$A$5,D5863&gt;=$G$6,'calculated data '!$A$6)</f>
        <v>Target Market (Core IQR)</v>
      </c>
      <c r="F5863" s="10">
        <f t="shared" si="1"/>
        <v>-0.3026041805</v>
      </c>
    </row>
    <row r="5864" ht="14.25" customHeight="1">
      <c r="A5864" s="2" t="s">
        <v>227</v>
      </c>
      <c r="B5864" s="2" t="s">
        <v>228</v>
      </c>
      <c r="C5864" s="2">
        <v>2017.0</v>
      </c>
      <c r="D5864" s="9">
        <v>13622.649</v>
      </c>
      <c r="E5864" s="10" t="str">
        <f t="array" ref="E5864">IFS(D5864&lt;=$G$3,'calculated data '!$A$3,D5864&lt;=$G$4,'calculated data '!$A$4,D5864&lt;=$G$6,'calculated data '!$A$5,D5864&gt;=$G$6,'calculated data '!$A$6)</f>
        <v>Target Market (Core IQR)</v>
      </c>
      <c r="F5864" s="10">
        <f t="shared" si="1"/>
        <v>-0.3025833488</v>
      </c>
    </row>
    <row r="5865" ht="14.25" customHeight="1">
      <c r="A5865" s="2" t="s">
        <v>285</v>
      </c>
      <c r="B5865" s="2" t="s">
        <v>286</v>
      </c>
      <c r="C5865" s="2">
        <v>1987.0</v>
      </c>
      <c r="D5865" s="9">
        <v>13625.07</v>
      </c>
      <c r="E5865" s="10" t="str">
        <f t="array" ref="E5865">IFS(D5865&lt;=$G$3,'calculated data '!$A$3,D5865&lt;=$G$4,'calculated data '!$A$4,D5865&lt;=$G$6,'calculated data '!$A$5,D5865&gt;=$G$6,'calculated data '!$A$6)</f>
        <v>Target Market (Core IQR)</v>
      </c>
      <c r="F5865" s="10">
        <f t="shared" si="1"/>
        <v>-0.3025192655</v>
      </c>
    </row>
    <row r="5866" ht="14.25" customHeight="1">
      <c r="A5866" s="2" t="s">
        <v>287</v>
      </c>
      <c r="B5866" s="2" t="s">
        <v>288</v>
      </c>
      <c r="C5866" s="2">
        <v>1996.0</v>
      </c>
      <c r="D5866" s="9">
        <v>13631.499</v>
      </c>
      <c r="E5866" s="10" t="str">
        <f t="array" ref="E5866">IFS(D5866&lt;=$G$3,'calculated data '!$A$3,D5866&lt;=$G$4,'calculated data '!$A$4,D5866&lt;=$G$6,'calculated data '!$A$5,D5866&gt;=$G$6,'calculated data '!$A$6)</f>
        <v>Target Market (Core IQR)</v>
      </c>
      <c r="F5866" s="10">
        <f t="shared" si="1"/>
        <v>-0.3023490915</v>
      </c>
    </row>
    <row r="5867" ht="14.25" customHeight="1">
      <c r="A5867" s="2" t="s">
        <v>229</v>
      </c>
      <c r="B5867" s="2" t="s">
        <v>230</v>
      </c>
      <c r="C5867" s="2">
        <v>2007.0</v>
      </c>
      <c r="D5867" s="9">
        <v>13634.282</v>
      </c>
      <c r="E5867" s="10" t="str">
        <f t="array" ref="E5867">IFS(D5867&lt;=$G$3,'calculated data '!$A$3,D5867&lt;=$G$4,'calculated data '!$A$4,D5867&lt;=$G$6,'calculated data '!$A$5,D5867&gt;=$G$6,'calculated data '!$A$6)</f>
        <v>Target Market (Core IQR)</v>
      </c>
      <c r="F5867" s="10">
        <f t="shared" si="1"/>
        <v>-0.3022754262</v>
      </c>
    </row>
    <row r="5868" ht="14.25" customHeight="1">
      <c r="A5868" s="2" t="s">
        <v>257</v>
      </c>
      <c r="B5868" s="2" t="s">
        <v>258</v>
      </c>
      <c r="C5868" s="2">
        <v>1990.0</v>
      </c>
      <c r="D5868" s="9">
        <v>13649.1455</v>
      </c>
      <c r="E5868" s="10" t="str">
        <f t="array" ref="E5868">IFS(D5868&lt;=$G$3,'calculated data '!$A$3,D5868&lt;=$G$4,'calculated data '!$A$4,D5868&lt;=$G$6,'calculated data '!$A$5,D5868&gt;=$G$6,'calculated data '!$A$6)</f>
        <v>Target Market (Core IQR)</v>
      </c>
      <c r="F5868" s="10">
        <f t="shared" si="1"/>
        <v>-0.301881993</v>
      </c>
    </row>
    <row r="5869" ht="14.25" customHeight="1">
      <c r="A5869" s="2" t="s">
        <v>325</v>
      </c>
      <c r="B5869" s="2" t="s">
        <v>326</v>
      </c>
      <c r="C5869" s="2">
        <v>2017.0</v>
      </c>
      <c r="D5869" s="9">
        <v>13658.813</v>
      </c>
      <c r="E5869" s="10" t="str">
        <f t="array" ref="E5869">IFS(D5869&lt;=$G$3,'calculated data '!$A$3,D5869&lt;=$G$4,'calculated data '!$A$4,D5869&lt;=$G$6,'calculated data '!$A$5,D5869&gt;=$G$6,'calculated data '!$A$6)</f>
        <v>Target Market (Core IQR)</v>
      </c>
      <c r="F5869" s="10">
        <f t="shared" si="1"/>
        <v>-0.3016260967</v>
      </c>
    </row>
    <row r="5870" ht="14.25" customHeight="1">
      <c r="A5870" s="2" t="s">
        <v>273</v>
      </c>
      <c r="B5870" s="2" t="s">
        <v>274</v>
      </c>
      <c r="C5870" s="2">
        <v>1985.0</v>
      </c>
      <c r="D5870" s="9">
        <v>13664.387</v>
      </c>
      <c r="E5870" s="10" t="str">
        <f t="array" ref="E5870">IFS(D5870&lt;=$G$3,'calculated data '!$A$3,D5870&lt;=$G$4,'calculated data '!$A$4,D5870&lt;=$G$6,'calculated data '!$A$5,D5870&gt;=$G$6,'calculated data '!$A$6)</f>
        <v>Target Market (Core IQR)</v>
      </c>
      <c r="F5870" s="10">
        <f t="shared" si="1"/>
        <v>-0.3014785543</v>
      </c>
    </row>
    <row r="5871" ht="14.25" customHeight="1">
      <c r="A5871" s="2" t="s">
        <v>247</v>
      </c>
      <c r="B5871" s="2" t="s">
        <v>248</v>
      </c>
      <c r="C5871" s="2">
        <v>2003.0</v>
      </c>
      <c r="D5871" s="9">
        <v>13664.849</v>
      </c>
      <c r="E5871" s="10" t="str">
        <f t="array" ref="E5871">IFS(D5871&lt;=$G$3,'calculated data '!$A$3,D5871&lt;=$G$4,'calculated data '!$A$4,D5871&lt;=$G$6,'calculated data '!$A$5,D5871&gt;=$G$6,'calculated data '!$A$6)</f>
        <v>Target Market (Core IQR)</v>
      </c>
      <c r="F5871" s="10">
        <f t="shared" si="1"/>
        <v>-0.3014663253</v>
      </c>
    </row>
    <row r="5872" ht="14.25" customHeight="1">
      <c r="A5872" s="2" t="s">
        <v>323</v>
      </c>
      <c r="B5872" s="2" t="s">
        <v>324</v>
      </c>
      <c r="C5872" s="2">
        <v>1994.0</v>
      </c>
      <c r="D5872" s="9">
        <v>13681.826</v>
      </c>
      <c r="E5872" s="10" t="str">
        <f t="array" ref="E5872">IFS(D5872&lt;=$G$3,'calculated data '!$A$3,D5872&lt;=$G$4,'calculated data '!$A$4,D5872&lt;=$G$6,'calculated data '!$A$5,D5872&gt;=$G$6,'calculated data '!$A$6)</f>
        <v>Target Market (Core IQR)</v>
      </c>
      <c r="F5872" s="10">
        <f t="shared" si="1"/>
        <v>-0.3010169483</v>
      </c>
    </row>
    <row r="5873" ht="14.25" customHeight="1">
      <c r="A5873" s="2" t="s">
        <v>285</v>
      </c>
      <c r="B5873" s="2" t="s">
        <v>286</v>
      </c>
      <c r="C5873" s="2">
        <v>1996.0</v>
      </c>
      <c r="D5873" s="9">
        <v>13682.49</v>
      </c>
      <c r="E5873" s="10" t="str">
        <f t="array" ref="E5873">IFS(D5873&lt;=$G$3,'calculated data '!$A$3,D5873&lt;=$G$4,'calculated data '!$A$4,D5873&lt;=$G$6,'calculated data '!$A$5,D5873&gt;=$G$6,'calculated data '!$A$6)</f>
        <v>Target Market (Core IQR)</v>
      </c>
      <c r="F5873" s="10">
        <f t="shared" si="1"/>
        <v>-0.3009993724</v>
      </c>
    </row>
    <row r="5874" ht="14.25" customHeight="1">
      <c r="A5874" s="2" t="s">
        <v>321</v>
      </c>
      <c r="B5874" s="2" t="s">
        <v>322</v>
      </c>
      <c r="C5874" s="2">
        <v>1990.0</v>
      </c>
      <c r="D5874" s="9">
        <v>13684.609</v>
      </c>
      <c r="E5874" s="10" t="str">
        <f t="array" ref="E5874">IFS(D5874&lt;=$G$3,'calculated data '!$A$3,D5874&lt;=$G$4,'calculated data '!$A$4,D5874&lt;=$G$6,'calculated data '!$A$5,D5874&gt;=$G$6,'calculated data '!$A$6)</f>
        <v>Target Market (Core IQR)</v>
      </c>
      <c r="F5874" s="10">
        <f t="shared" si="1"/>
        <v>-0.300943283</v>
      </c>
    </row>
    <row r="5875" ht="14.25" customHeight="1">
      <c r="A5875" s="2" t="s">
        <v>291</v>
      </c>
      <c r="B5875" s="2" t="s">
        <v>292</v>
      </c>
      <c r="C5875" s="2">
        <v>1995.0</v>
      </c>
      <c r="D5875" s="9">
        <v>13706.628</v>
      </c>
      <c r="E5875" s="10" t="str">
        <f t="array" ref="E5875">IFS(D5875&lt;=$G$3,'calculated data '!$A$3,D5875&lt;=$G$4,'calculated data '!$A$4,D5875&lt;=$G$6,'calculated data '!$A$5,D5875&gt;=$G$6,'calculated data '!$A$6)</f>
        <v>Target Market (Core IQR)</v>
      </c>
      <c r="F5875" s="10">
        <f t="shared" si="1"/>
        <v>-0.3003604456</v>
      </c>
    </row>
    <row r="5876" ht="14.25" customHeight="1">
      <c r="A5876" s="2" t="s">
        <v>197</v>
      </c>
      <c r="B5876" s="2" t="s">
        <v>198</v>
      </c>
      <c r="C5876" s="2">
        <v>2004.0</v>
      </c>
      <c r="D5876" s="9">
        <v>13712.551</v>
      </c>
      <c r="E5876" s="10" t="str">
        <f t="array" ref="E5876">IFS(D5876&lt;=$G$3,'calculated data '!$A$3,D5876&lt;=$G$4,'calculated data '!$A$4,D5876&lt;=$G$6,'calculated data '!$A$5,D5876&gt;=$G$6,'calculated data '!$A$6)</f>
        <v>Target Market (Core IQR)</v>
      </c>
      <c r="F5876" s="10">
        <f t="shared" si="1"/>
        <v>-0.3002036652</v>
      </c>
    </row>
    <row r="5877" ht="14.25" customHeight="1">
      <c r="A5877" s="2" t="s">
        <v>339</v>
      </c>
      <c r="B5877" s="2" t="s">
        <v>340</v>
      </c>
      <c r="C5877" s="2">
        <v>1988.0</v>
      </c>
      <c r="D5877" s="9">
        <v>13719.435</v>
      </c>
      <c r="E5877" s="10" t="str">
        <f t="array" ref="E5877">IFS(D5877&lt;=$G$3,'calculated data '!$A$3,D5877&lt;=$G$4,'calculated data '!$A$4,D5877&lt;=$G$6,'calculated data '!$A$5,D5877&gt;=$G$6,'calculated data '!$A$6)</f>
        <v>Target Market (Core IQR)</v>
      </c>
      <c r="F5877" s="10">
        <f t="shared" si="1"/>
        <v>-0.3000214475</v>
      </c>
    </row>
    <row r="5878" ht="14.25" customHeight="1">
      <c r="A5878" s="2" t="s">
        <v>247</v>
      </c>
      <c r="B5878" s="2" t="s">
        <v>248</v>
      </c>
      <c r="C5878" s="2">
        <v>2007.0</v>
      </c>
      <c r="D5878" s="9">
        <v>13725.276</v>
      </c>
      <c r="E5878" s="10" t="str">
        <f t="array" ref="E5878">IFS(D5878&lt;=$G$3,'calculated data '!$A$3,D5878&lt;=$G$4,'calculated data '!$A$4,D5878&lt;=$G$6,'calculated data '!$A$5,D5878&gt;=$G$6,'calculated data '!$A$6)</f>
        <v>Target Market (Core IQR)</v>
      </c>
      <c r="F5878" s="10">
        <f t="shared" si="1"/>
        <v>-0.2998668376</v>
      </c>
    </row>
    <row r="5879" ht="14.25" customHeight="1">
      <c r="A5879" s="2" t="s">
        <v>247</v>
      </c>
      <c r="B5879" s="2" t="s">
        <v>248</v>
      </c>
      <c r="C5879" s="2">
        <v>2000.0</v>
      </c>
      <c r="D5879" s="9">
        <v>13725.301</v>
      </c>
      <c r="E5879" s="10" t="str">
        <f t="array" ref="E5879">IFS(D5879&lt;=$G$3,'calculated data '!$A$3,D5879&lt;=$G$4,'calculated data '!$A$4,D5879&lt;=$G$6,'calculated data '!$A$5,D5879&gt;=$G$6,'calculated data '!$A$6)</f>
        <v>Target Market (Core IQR)</v>
      </c>
      <c r="F5879" s="10">
        <f t="shared" si="1"/>
        <v>-0.2998661759</v>
      </c>
    </row>
    <row r="5880" ht="14.25" customHeight="1">
      <c r="A5880" s="2" t="s">
        <v>329</v>
      </c>
      <c r="B5880" s="2" t="s">
        <v>330</v>
      </c>
      <c r="C5880" s="2">
        <v>2008.0</v>
      </c>
      <c r="D5880" s="9">
        <v>13747.477</v>
      </c>
      <c r="E5880" s="10" t="str">
        <f t="array" ref="E5880">IFS(D5880&lt;=$G$3,'calculated data '!$A$3,D5880&lt;=$G$4,'calculated data '!$A$4,D5880&lt;=$G$6,'calculated data '!$A$5,D5880&gt;=$G$6,'calculated data '!$A$6)</f>
        <v>Target Market (Core IQR)</v>
      </c>
      <c r="F5880" s="10">
        <f t="shared" si="1"/>
        <v>-0.2992791827</v>
      </c>
    </row>
    <row r="5881" ht="14.25" customHeight="1">
      <c r="A5881" s="2" t="s">
        <v>321</v>
      </c>
      <c r="B5881" s="2" t="s">
        <v>322</v>
      </c>
      <c r="C5881" s="2">
        <v>1981.0</v>
      </c>
      <c r="D5881" s="9">
        <v>13752.267</v>
      </c>
      <c r="E5881" s="10" t="str">
        <f t="array" ref="E5881">IFS(D5881&lt;=$G$3,'calculated data '!$A$3,D5881&lt;=$G$4,'calculated data '!$A$4,D5881&lt;=$G$6,'calculated data '!$A$5,D5881&gt;=$G$6,'calculated data '!$A$6)</f>
        <v>Target Market (Core IQR)</v>
      </c>
      <c r="F5881" s="10">
        <f t="shared" si="1"/>
        <v>-0.2991523926</v>
      </c>
    </row>
    <row r="5882" ht="14.25" customHeight="1">
      <c r="A5882" s="2" t="s">
        <v>287</v>
      </c>
      <c r="B5882" s="2" t="s">
        <v>288</v>
      </c>
      <c r="C5882" s="2">
        <v>2004.0</v>
      </c>
      <c r="D5882" s="9">
        <v>13763.996</v>
      </c>
      <c r="E5882" s="10" t="str">
        <f t="array" ref="E5882">IFS(D5882&lt;=$G$3,'calculated data '!$A$3,D5882&lt;=$G$4,'calculated data '!$A$4,D5882&lt;=$G$6,'calculated data '!$A$5,D5882&gt;=$G$6,'calculated data '!$A$6)</f>
        <v>Target Market (Core IQR)</v>
      </c>
      <c r="F5882" s="10">
        <f t="shared" si="1"/>
        <v>-0.2988419289</v>
      </c>
    </row>
    <row r="5883" ht="14.25" customHeight="1">
      <c r="A5883" s="2" t="s">
        <v>203</v>
      </c>
      <c r="B5883" s="2" t="s">
        <v>204</v>
      </c>
      <c r="C5883" s="2">
        <v>2023.0</v>
      </c>
      <c r="D5883" s="9">
        <v>13788.242</v>
      </c>
      <c r="E5883" s="10" t="str">
        <f t="array" ref="E5883">IFS(D5883&lt;=$G$3,'calculated data '!$A$3,D5883&lt;=$G$4,'calculated data '!$A$4,D5883&lt;=$G$6,'calculated data '!$A$5,D5883&gt;=$G$6,'calculated data '!$A$6)</f>
        <v>Target Market (Core IQR)</v>
      </c>
      <c r="F5883" s="10">
        <f t="shared" si="1"/>
        <v>-0.2982001433</v>
      </c>
    </row>
    <row r="5884" ht="14.25" customHeight="1">
      <c r="A5884" s="2" t="s">
        <v>287</v>
      </c>
      <c r="B5884" s="2" t="s">
        <v>288</v>
      </c>
      <c r="C5884" s="2">
        <v>2000.0</v>
      </c>
      <c r="D5884" s="9">
        <v>13793.698</v>
      </c>
      <c r="E5884" s="10" t="str">
        <f t="array" ref="E5884">IFS(D5884&lt;=$G$3,'calculated data '!$A$3,D5884&lt;=$G$4,'calculated data '!$A$4,D5884&lt;=$G$6,'calculated data '!$A$5,D5884&gt;=$G$6,'calculated data '!$A$6)</f>
        <v>Target Market (Core IQR)</v>
      </c>
      <c r="F5884" s="10">
        <f t="shared" si="1"/>
        <v>-0.2980557243</v>
      </c>
    </row>
    <row r="5885" ht="14.25" customHeight="1">
      <c r="A5885" s="2" t="s">
        <v>345</v>
      </c>
      <c r="B5885" s="2" t="s">
        <v>346</v>
      </c>
      <c r="C5885" s="2">
        <v>2004.0</v>
      </c>
      <c r="D5885" s="9">
        <v>13796.956</v>
      </c>
      <c r="E5885" s="10" t="str">
        <f t="array" ref="E5885">IFS(D5885&lt;=$G$3,'calculated data '!$A$3,D5885&lt;=$G$4,'calculated data '!$A$4,D5885&lt;=$G$6,'calculated data '!$A$5,D5885&gt;=$G$6,'calculated data '!$A$6)</f>
        <v>Target Market (Core IQR)</v>
      </c>
      <c r="F5885" s="10">
        <f t="shared" si="1"/>
        <v>-0.2979694859</v>
      </c>
    </row>
    <row r="5886" ht="14.25" customHeight="1">
      <c r="A5886" s="2" t="s">
        <v>293</v>
      </c>
      <c r="B5886" s="2" t="s">
        <v>294</v>
      </c>
      <c r="C5886" s="2">
        <v>2018.0</v>
      </c>
      <c r="D5886" s="9">
        <v>13806.079</v>
      </c>
      <c r="E5886" s="10" t="str">
        <f t="array" ref="E5886">IFS(D5886&lt;=$G$3,'calculated data '!$A$3,D5886&lt;=$G$4,'calculated data '!$A$4,D5886&lt;=$G$6,'calculated data '!$A$5,D5886&gt;=$G$6,'calculated data '!$A$6)</f>
        <v>Target Market (Core IQR)</v>
      </c>
      <c r="F5886" s="10">
        <f t="shared" si="1"/>
        <v>-0.2977280024</v>
      </c>
    </row>
    <row r="5887" ht="14.25" customHeight="1">
      <c r="A5887" s="2" t="s">
        <v>325</v>
      </c>
      <c r="B5887" s="2" t="s">
        <v>326</v>
      </c>
      <c r="C5887" s="2">
        <v>2014.0</v>
      </c>
      <c r="D5887" s="9">
        <v>13808.039</v>
      </c>
      <c r="E5887" s="10" t="str">
        <f t="array" ref="E5887">IFS(D5887&lt;=$G$3,'calculated data '!$A$3,D5887&lt;=$G$4,'calculated data '!$A$4,D5887&lt;=$G$6,'calculated data '!$A$5,D5887&gt;=$G$6,'calculated data '!$A$6)</f>
        <v>Target Market (Core IQR)</v>
      </c>
      <c r="F5887" s="10">
        <f t="shared" si="1"/>
        <v>-0.2976761216</v>
      </c>
    </row>
    <row r="5888" ht="14.25" customHeight="1">
      <c r="A5888" s="2" t="s">
        <v>317</v>
      </c>
      <c r="B5888" s="2" t="s">
        <v>318</v>
      </c>
      <c r="C5888" s="2">
        <v>2005.0</v>
      </c>
      <c r="D5888" s="9">
        <v>13815.043</v>
      </c>
      <c r="E5888" s="10" t="str">
        <f t="array" ref="E5888">IFS(D5888&lt;=$G$3,'calculated data '!$A$3,D5888&lt;=$G$4,'calculated data '!$A$4,D5888&lt;=$G$6,'calculated data '!$A$5,D5888&gt;=$G$6,'calculated data '!$A$6)</f>
        <v>Target Market (Core IQR)</v>
      </c>
      <c r="F5888" s="10">
        <f t="shared" si="1"/>
        <v>-0.2974907275</v>
      </c>
    </row>
    <row r="5889" ht="14.25" customHeight="1">
      <c r="A5889" s="2" t="s">
        <v>293</v>
      </c>
      <c r="B5889" s="2" t="s">
        <v>294</v>
      </c>
      <c r="C5889" s="2">
        <v>2014.0</v>
      </c>
      <c r="D5889" s="9">
        <v>13823.321</v>
      </c>
      <c r="E5889" s="10" t="str">
        <f t="array" ref="E5889">IFS(D5889&lt;=$G$3,'calculated data '!$A$3,D5889&lt;=$G$4,'calculated data '!$A$4,D5889&lt;=$G$6,'calculated data '!$A$5,D5889&gt;=$G$6,'calculated data '!$A$6)</f>
        <v>Target Market (Core IQR)</v>
      </c>
      <c r="F5889" s="10">
        <f t="shared" si="1"/>
        <v>-0.2972716109</v>
      </c>
    </row>
    <row r="5890" ht="14.25" customHeight="1">
      <c r="A5890" s="2" t="s">
        <v>327</v>
      </c>
      <c r="B5890" s="2" t="s">
        <v>328</v>
      </c>
      <c r="C5890" s="2">
        <v>1992.0</v>
      </c>
      <c r="D5890" s="9">
        <v>13825.233</v>
      </c>
      <c r="E5890" s="10" t="str">
        <f t="array" ref="E5890">IFS(D5890&lt;=$G$3,'calculated data '!$A$3,D5890&lt;=$G$4,'calculated data '!$A$4,D5890&lt;=$G$6,'calculated data '!$A$5,D5890&gt;=$G$6,'calculated data '!$A$6)</f>
        <v>Target Market (Core IQR)</v>
      </c>
      <c r="F5890" s="10">
        <f t="shared" si="1"/>
        <v>-0.2972210007</v>
      </c>
    </row>
    <row r="5891" ht="14.25" customHeight="1">
      <c r="A5891" s="2" t="s">
        <v>287</v>
      </c>
      <c r="B5891" s="2" t="s">
        <v>288</v>
      </c>
      <c r="C5891" s="2">
        <v>2003.0</v>
      </c>
      <c r="D5891" s="9">
        <v>13828.311</v>
      </c>
      <c r="E5891" s="10" t="str">
        <f t="array" ref="E5891">IFS(D5891&lt;=$G$3,'calculated data '!$A$3,D5891&lt;=$G$4,'calculated data '!$A$4,D5891&lt;=$G$6,'calculated data '!$A$5,D5891&gt;=$G$6,'calculated data '!$A$6)</f>
        <v>Target Market (Core IQR)</v>
      </c>
      <c r="F5891" s="10">
        <f t="shared" si="1"/>
        <v>-0.2971395269</v>
      </c>
    </row>
    <row r="5892" ht="14.25" customHeight="1">
      <c r="A5892" s="2" t="s">
        <v>333</v>
      </c>
      <c r="B5892" s="2" t="s">
        <v>334</v>
      </c>
      <c r="C5892" s="2">
        <v>2006.0</v>
      </c>
      <c r="D5892" s="9">
        <v>13830.34</v>
      </c>
      <c r="E5892" s="10" t="str">
        <f t="array" ref="E5892">IFS(D5892&lt;=$G$3,'calculated data '!$A$3,D5892&lt;=$G$4,'calculated data '!$A$4,D5892&lt;=$G$6,'calculated data '!$A$5,D5892&gt;=$G$6,'calculated data '!$A$6)</f>
        <v>Target Market (Core IQR)</v>
      </c>
      <c r="F5892" s="10">
        <f t="shared" si="1"/>
        <v>-0.2970858197</v>
      </c>
    </row>
    <row r="5893" ht="14.25" customHeight="1">
      <c r="A5893" s="2" t="s">
        <v>141</v>
      </c>
      <c r="B5893" s="2" t="s">
        <v>142</v>
      </c>
      <c r="C5893" s="2">
        <v>2003.0</v>
      </c>
      <c r="D5893" s="9">
        <v>13840.49</v>
      </c>
      <c r="E5893" s="10" t="str">
        <f t="array" ref="E5893">IFS(D5893&lt;=$G$3,'calculated data '!$A$3,D5893&lt;=$G$4,'calculated data '!$A$4,D5893&lt;=$G$6,'calculated data '!$A$5,D5893&gt;=$G$6,'calculated data '!$A$6)</f>
        <v>Target Market (Core IQR)</v>
      </c>
      <c r="F5893" s="10">
        <f t="shared" si="1"/>
        <v>-0.2968171518</v>
      </c>
    </row>
    <row r="5894" ht="14.25" customHeight="1">
      <c r="A5894" s="2" t="s">
        <v>291</v>
      </c>
      <c r="B5894" s="2" t="s">
        <v>292</v>
      </c>
      <c r="C5894" s="2">
        <v>2021.0</v>
      </c>
      <c r="D5894" s="9">
        <v>13841.908</v>
      </c>
      <c r="E5894" s="10" t="str">
        <f t="array" ref="E5894">IFS(D5894&lt;=$G$3,'calculated data '!$A$3,D5894&lt;=$G$4,'calculated data '!$A$4,D5894&lt;=$G$6,'calculated data '!$A$5,D5894&gt;=$G$6,'calculated data '!$A$6)</f>
        <v>Target Market (Core IQR)</v>
      </c>
      <c r="F5894" s="10">
        <f t="shared" si="1"/>
        <v>-0.2967796176</v>
      </c>
    </row>
    <row r="5895" ht="14.25" customHeight="1">
      <c r="A5895" s="2" t="s">
        <v>233</v>
      </c>
      <c r="B5895" s="2" t="s">
        <v>234</v>
      </c>
      <c r="C5895" s="2">
        <v>2013.0</v>
      </c>
      <c r="D5895" s="9">
        <v>13848.323</v>
      </c>
      <c r="E5895" s="10" t="str">
        <f t="array" ref="E5895">IFS(D5895&lt;=$G$3,'calculated data '!$A$3,D5895&lt;=$G$4,'calculated data '!$A$4,D5895&lt;=$G$6,'calculated data '!$A$5,D5895&gt;=$G$6,'calculated data '!$A$6)</f>
        <v>Target Market (Core IQR)</v>
      </c>
      <c r="F5895" s="10">
        <f t="shared" si="1"/>
        <v>-0.2966098142</v>
      </c>
    </row>
    <row r="5896" ht="14.25" customHeight="1">
      <c r="A5896" s="2" t="s">
        <v>345</v>
      </c>
      <c r="B5896" s="2" t="s">
        <v>346</v>
      </c>
      <c r="C5896" s="2">
        <v>2016.0</v>
      </c>
      <c r="D5896" s="9">
        <v>13858.904</v>
      </c>
      <c r="E5896" s="10" t="str">
        <f t="array" ref="E5896">IFS(D5896&lt;=$G$3,'calculated data '!$A$3,D5896&lt;=$G$4,'calculated data '!$A$4,D5896&lt;=$G$6,'calculated data '!$A$5,D5896&gt;=$G$6,'calculated data '!$A$6)</f>
        <v>Target Market (Core IQR)</v>
      </c>
      <c r="F5896" s="10">
        <f t="shared" si="1"/>
        <v>-0.2963297378</v>
      </c>
    </row>
    <row r="5897" ht="14.25" customHeight="1">
      <c r="A5897" s="2" t="s">
        <v>315</v>
      </c>
      <c r="B5897" s="2" t="s">
        <v>316</v>
      </c>
      <c r="C5897" s="2">
        <v>1992.0</v>
      </c>
      <c r="D5897" s="9">
        <v>13858.922</v>
      </c>
      <c r="E5897" s="10" t="str">
        <f t="array" ref="E5897">IFS(D5897&lt;=$G$3,'calculated data '!$A$3,D5897&lt;=$G$4,'calculated data '!$A$4,D5897&lt;=$G$6,'calculated data '!$A$5,D5897&gt;=$G$6,'calculated data '!$A$6)</f>
        <v>Target Market (Core IQR)</v>
      </c>
      <c r="F5897" s="10">
        <f t="shared" si="1"/>
        <v>-0.2963292613</v>
      </c>
    </row>
    <row r="5898" ht="14.25" customHeight="1">
      <c r="A5898" s="2" t="s">
        <v>323</v>
      </c>
      <c r="B5898" s="2" t="s">
        <v>324</v>
      </c>
      <c r="C5898" s="2">
        <v>1995.0</v>
      </c>
      <c r="D5898" s="9">
        <v>13864.266</v>
      </c>
      <c r="E5898" s="10" t="str">
        <f t="array" ref="E5898">IFS(D5898&lt;=$G$3,'calculated data '!$A$3,D5898&lt;=$G$4,'calculated data '!$A$4,D5898&lt;=$G$6,'calculated data '!$A$5,D5898&gt;=$G$6,'calculated data '!$A$6)</f>
        <v>Target Market (Core IQR)</v>
      </c>
      <c r="F5898" s="10">
        <f t="shared" si="1"/>
        <v>-0.296187807</v>
      </c>
    </row>
    <row r="5899" ht="14.25" customHeight="1">
      <c r="A5899" s="2" t="s">
        <v>229</v>
      </c>
      <c r="B5899" s="2" t="s">
        <v>230</v>
      </c>
      <c r="C5899" s="2">
        <v>2008.0</v>
      </c>
      <c r="D5899" s="9">
        <v>13867.356</v>
      </c>
      <c r="E5899" s="10" t="str">
        <f t="array" ref="E5899">IFS(D5899&lt;=$G$3,'calculated data '!$A$3,D5899&lt;=$G$4,'calculated data '!$A$4,D5899&lt;=$G$6,'calculated data '!$A$5,D5899&gt;=$G$6,'calculated data '!$A$6)</f>
        <v>Target Market (Core IQR)</v>
      </c>
      <c r="F5899" s="10">
        <f t="shared" si="1"/>
        <v>-0.2961060154</v>
      </c>
    </row>
    <row r="5900" ht="14.25" customHeight="1">
      <c r="A5900" s="2" t="s">
        <v>291</v>
      </c>
      <c r="B5900" s="2" t="s">
        <v>292</v>
      </c>
      <c r="C5900" s="2">
        <v>2000.0</v>
      </c>
      <c r="D5900" s="9">
        <v>13868.741</v>
      </c>
      <c r="E5900" s="10" t="str">
        <f t="array" ref="E5900">IFS(D5900&lt;=$G$3,'calculated data '!$A$3,D5900&lt;=$G$4,'calculated data '!$A$4,D5900&lt;=$G$6,'calculated data '!$A$5,D5900&gt;=$G$6,'calculated data '!$A$6)</f>
        <v>Target Market (Core IQR)</v>
      </c>
      <c r="F5900" s="10">
        <f t="shared" si="1"/>
        <v>-0.2960693548</v>
      </c>
    </row>
    <row r="5901" ht="14.25" customHeight="1">
      <c r="A5901" s="2" t="s">
        <v>221</v>
      </c>
      <c r="B5901" s="2" t="s">
        <v>222</v>
      </c>
      <c r="C5901" s="2">
        <v>1984.0</v>
      </c>
      <c r="D5901" s="9">
        <v>13869.427</v>
      </c>
      <c r="E5901" s="10" t="str">
        <f t="array" ref="E5901">IFS(D5901&lt;=$G$3,'calculated data '!$A$3,D5901&lt;=$G$4,'calculated data '!$A$4,D5901&lt;=$G$6,'calculated data '!$A$5,D5901&gt;=$G$6,'calculated data '!$A$6)</f>
        <v>Target Market (Core IQR)</v>
      </c>
      <c r="F5901" s="10">
        <f t="shared" si="1"/>
        <v>-0.2960511966</v>
      </c>
    </row>
    <row r="5902" ht="14.25" customHeight="1">
      <c r="A5902" s="2" t="s">
        <v>329</v>
      </c>
      <c r="B5902" s="2" t="s">
        <v>330</v>
      </c>
      <c r="C5902" s="2">
        <v>2021.0</v>
      </c>
      <c r="D5902" s="9">
        <v>13876.892</v>
      </c>
      <c r="E5902" s="10" t="str">
        <f t="array" ref="E5902">IFS(D5902&lt;=$G$3,'calculated data '!$A$3,D5902&lt;=$G$4,'calculated data '!$A$4,D5902&lt;=$G$6,'calculated data '!$A$5,D5902&gt;=$G$6,'calculated data '!$A$6)</f>
        <v>Target Market (Core IQR)</v>
      </c>
      <c r="F5902" s="10">
        <f t="shared" si="1"/>
        <v>-0.2958535999</v>
      </c>
    </row>
    <row r="5903" ht="14.25" customHeight="1">
      <c r="A5903" s="2" t="s">
        <v>321</v>
      </c>
      <c r="B5903" s="2" t="s">
        <v>322</v>
      </c>
      <c r="C5903" s="2">
        <v>1984.0</v>
      </c>
      <c r="D5903" s="9">
        <v>13880.552</v>
      </c>
      <c r="E5903" s="10" t="str">
        <f t="array" ref="E5903">IFS(D5903&lt;=$G$3,'calculated data '!$A$3,D5903&lt;=$G$4,'calculated data '!$A$4,D5903&lt;=$G$6,'calculated data '!$A$5,D5903&gt;=$G$6,'calculated data '!$A$6)</f>
        <v>Target Market (Core IQR)</v>
      </c>
      <c r="F5903" s="10">
        <f t="shared" si="1"/>
        <v>-0.2957567206</v>
      </c>
    </row>
    <row r="5904" ht="14.25" customHeight="1">
      <c r="A5904" s="2" t="s">
        <v>345</v>
      </c>
      <c r="B5904" s="2" t="s">
        <v>346</v>
      </c>
      <c r="C5904" s="2">
        <v>2000.0</v>
      </c>
      <c r="D5904" s="9">
        <v>13881.63</v>
      </c>
      <c r="E5904" s="10" t="str">
        <f t="array" ref="E5904">IFS(D5904&lt;=$G$3,'calculated data '!$A$3,D5904&lt;=$G$4,'calculated data '!$A$4,D5904&lt;=$G$6,'calculated data '!$A$5,D5904&gt;=$G$6,'calculated data '!$A$6)</f>
        <v>Target Market (Core IQR)</v>
      </c>
      <c r="F5904" s="10">
        <f t="shared" si="1"/>
        <v>-0.2957281862</v>
      </c>
    </row>
    <row r="5905" ht="14.25" customHeight="1">
      <c r="A5905" s="2" t="s">
        <v>45</v>
      </c>
      <c r="B5905" s="2" t="s">
        <v>46</v>
      </c>
      <c r="C5905" s="2">
        <v>2009.0</v>
      </c>
      <c r="D5905" s="9">
        <v>13890.095</v>
      </c>
      <c r="E5905" s="10" t="str">
        <f t="array" ref="E5905">IFS(D5905&lt;=$G$3,'calculated data '!$A$3,D5905&lt;=$G$4,'calculated data '!$A$4,D5905&lt;=$G$6,'calculated data '!$A$5,D5905&gt;=$G$6,'calculated data '!$A$6)</f>
        <v>Target Market (Core IQR)</v>
      </c>
      <c r="F5905" s="10">
        <f t="shared" si="1"/>
        <v>-0.2955041198</v>
      </c>
    </row>
    <row r="5906" ht="14.25" customHeight="1">
      <c r="A5906" s="2" t="s">
        <v>311</v>
      </c>
      <c r="B5906" s="2" t="s">
        <v>312</v>
      </c>
      <c r="C5906" s="2">
        <v>1981.0</v>
      </c>
      <c r="D5906" s="9">
        <v>13892.12</v>
      </c>
      <c r="E5906" s="10" t="str">
        <f t="array" ref="E5906">IFS(D5906&lt;=$G$3,'calculated data '!$A$3,D5906&lt;=$G$4,'calculated data '!$A$4,D5906&lt;=$G$6,'calculated data '!$A$5,D5906&gt;=$G$6,'calculated data '!$A$6)</f>
        <v>Target Market (Core IQR)</v>
      </c>
      <c r="F5906" s="10">
        <f t="shared" si="1"/>
        <v>-0.2954505185</v>
      </c>
    </row>
    <row r="5907" ht="14.25" customHeight="1">
      <c r="A5907" s="2" t="s">
        <v>267</v>
      </c>
      <c r="B5907" s="2" t="s">
        <v>268</v>
      </c>
      <c r="C5907" s="2">
        <v>1993.0</v>
      </c>
      <c r="D5907" s="9">
        <v>13892.802</v>
      </c>
      <c r="E5907" s="10" t="str">
        <f t="array" ref="E5907">IFS(D5907&lt;=$G$3,'calculated data '!$A$3,D5907&lt;=$G$4,'calculated data '!$A$4,D5907&lt;=$G$6,'calculated data '!$A$5,D5907&gt;=$G$6,'calculated data '!$A$6)</f>
        <v>Target Market (Core IQR)</v>
      </c>
      <c r="F5907" s="10">
        <f t="shared" si="1"/>
        <v>-0.2954324661</v>
      </c>
    </row>
    <row r="5908" ht="14.25" customHeight="1">
      <c r="A5908" s="2" t="s">
        <v>247</v>
      </c>
      <c r="B5908" s="2" t="s">
        <v>248</v>
      </c>
      <c r="C5908" s="2">
        <v>2004.0</v>
      </c>
      <c r="D5908" s="9">
        <v>13904.587</v>
      </c>
      <c r="E5908" s="10" t="str">
        <f t="array" ref="E5908">IFS(D5908&lt;=$G$3,'calculated data '!$A$3,D5908&lt;=$G$4,'calculated data '!$A$4,D5908&lt;=$G$6,'calculated data '!$A$5,D5908&gt;=$G$6,'calculated data '!$A$6)</f>
        <v>Target Market (Core IQR)</v>
      </c>
      <c r="F5908" s="10">
        <f t="shared" si="1"/>
        <v>-0.2951205201</v>
      </c>
    </row>
    <row r="5909" ht="14.25" customHeight="1">
      <c r="A5909" s="2" t="s">
        <v>345</v>
      </c>
      <c r="B5909" s="2" t="s">
        <v>346</v>
      </c>
      <c r="C5909" s="2">
        <v>1990.0</v>
      </c>
      <c r="D5909" s="9">
        <v>13906.491</v>
      </c>
      <c r="E5909" s="10" t="str">
        <f t="array" ref="E5909">IFS(D5909&lt;=$G$3,'calculated data '!$A$3,D5909&lt;=$G$4,'calculated data '!$A$4,D5909&lt;=$G$6,'calculated data '!$A$5,D5909&gt;=$G$6,'calculated data '!$A$6)</f>
        <v>Target Market (Core IQR)</v>
      </c>
      <c r="F5909" s="10">
        <f t="shared" si="1"/>
        <v>-0.2950701217</v>
      </c>
    </row>
    <row r="5910" ht="14.25" customHeight="1">
      <c r="A5910" s="2" t="s">
        <v>327</v>
      </c>
      <c r="B5910" s="2" t="s">
        <v>328</v>
      </c>
      <c r="C5910" s="2">
        <v>1993.0</v>
      </c>
      <c r="D5910" s="9">
        <v>13906.923</v>
      </c>
      <c r="E5910" s="10" t="str">
        <f t="array" ref="E5910">IFS(D5910&lt;=$G$3,'calculated data '!$A$3,D5910&lt;=$G$4,'calculated data '!$A$4,D5910&lt;=$G$6,'calculated data '!$A$5,D5910&gt;=$G$6,'calculated data '!$A$6)</f>
        <v>Target Market (Core IQR)</v>
      </c>
      <c r="F5910" s="10">
        <f t="shared" si="1"/>
        <v>-0.2950586868</v>
      </c>
    </row>
    <row r="5911" ht="14.25" customHeight="1">
      <c r="A5911" s="2" t="s">
        <v>321</v>
      </c>
      <c r="B5911" s="2" t="s">
        <v>322</v>
      </c>
      <c r="C5911" s="2">
        <v>1987.0</v>
      </c>
      <c r="D5911" s="9">
        <v>13910.086</v>
      </c>
      <c r="E5911" s="10" t="str">
        <f t="array" ref="E5911">IFS(D5911&lt;=$G$3,'calculated data '!$A$3,D5911&lt;=$G$4,'calculated data '!$A$4,D5911&lt;=$G$6,'calculated data '!$A$5,D5911&gt;=$G$6,'calculated data '!$A$6)</f>
        <v>Target Market (Core IQR)</v>
      </c>
      <c r="F5911" s="10">
        <f t="shared" si="1"/>
        <v>-0.294974963</v>
      </c>
    </row>
    <row r="5912" ht="14.25" customHeight="1">
      <c r="A5912" s="2" t="s">
        <v>227</v>
      </c>
      <c r="B5912" s="2" t="s">
        <v>228</v>
      </c>
      <c r="C5912" s="2">
        <v>2023.0</v>
      </c>
      <c r="D5912" s="9">
        <v>13914.182</v>
      </c>
      <c r="E5912" s="10" t="str">
        <f t="array" ref="E5912">IFS(D5912&lt;=$G$3,'calculated data '!$A$3,D5912&lt;=$G$4,'calculated data '!$A$4,D5912&lt;=$G$6,'calculated data '!$A$5,D5912&gt;=$G$6,'calculated data '!$A$6)</f>
        <v>Target Market (Core IQR)</v>
      </c>
      <c r="F5912" s="10">
        <f t="shared" si="1"/>
        <v>-0.2948665429</v>
      </c>
    </row>
    <row r="5913" ht="14.25" customHeight="1">
      <c r="A5913" s="2" t="s">
        <v>251</v>
      </c>
      <c r="B5913" s="2" t="s">
        <v>252</v>
      </c>
      <c r="C5913" s="2">
        <v>2020.0</v>
      </c>
      <c r="D5913" s="9">
        <v>13916.222</v>
      </c>
      <c r="E5913" s="10" t="str">
        <f t="array" ref="E5913">IFS(D5913&lt;=$G$3,'calculated data '!$A$3,D5913&lt;=$G$4,'calculated data '!$A$4,D5913&lt;=$G$6,'calculated data '!$A$5,D5913&gt;=$G$6,'calculated data '!$A$6)</f>
        <v>Target Market (Core IQR)</v>
      </c>
      <c r="F5913" s="10">
        <f t="shared" si="1"/>
        <v>-0.2948125446</v>
      </c>
    </row>
    <row r="5914" ht="14.25" customHeight="1">
      <c r="A5914" s="2" t="s">
        <v>301</v>
      </c>
      <c r="B5914" s="2" t="s">
        <v>302</v>
      </c>
      <c r="C5914" s="2">
        <v>1983.0</v>
      </c>
      <c r="D5914" s="9">
        <v>13918.935</v>
      </c>
      <c r="E5914" s="10" t="str">
        <f t="array" ref="E5914">IFS(D5914&lt;=$G$3,'calculated data '!$A$3,D5914&lt;=$G$4,'calculated data '!$A$4,D5914&lt;=$G$6,'calculated data '!$A$5,D5914&gt;=$G$6,'calculated data '!$A$6)</f>
        <v>Target Market (Core IQR)</v>
      </c>
      <c r="F5914" s="10">
        <f t="shared" si="1"/>
        <v>-0.2947407321</v>
      </c>
    </row>
    <row r="5915" ht="14.25" customHeight="1">
      <c r="A5915" s="2" t="s">
        <v>291</v>
      </c>
      <c r="B5915" s="2" t="s">
        <v>292</v>
      </c>
      <c r="C5915" s="2">
        <v>2018.0</v>
      </c>
      <c r="D5915" s="9">
        <v>13918.949</v>
      </c>
      <c r="E5915" s="10" t="str">
        <f t="array" ref="E5915">IFS(D5915&lt;=$G$3,'calculated data '!$A$3,D5915&lt;=$G$4,'calculated data '!$A$4,D5915&lt;=$G$6,'calculated data '!$A$5,D5915&gt;=$G$6,'calculated data '!$A$6)</f>
        <v>Target Market (Core IQR)</v>
      </c>
      <c r="F5915" s="10">
        <f t="shared" si="1"/>
        <v>-0.2947403616</v>
      </c>
    </row>
    <row r="5916" ht="14.25" customHeight="1">
      <c r="A5916" s="2" t="s">
        <v>299</v>
      </c>
      <c r="B5916" s="2" t="s">
        <v>300</v>
      </c>
      <c r="C5916" s="2">
        <v>1992.0</v>
      </c>
      <c r="D5916" s="9">
        <v>13925.849</v>
      </c>
      <c r="E5916" s="10" t="str">
        <f t="array" ref="E5916">IFS(D5916&lt;=$G$3,'calculated data '!$A$3,D5916&lt;=$G$4,'calculated data '!$A$4,D5916&lt;=$G$6,'calculated data '!$A$5,D5916&gt;=$G$6,'calculated data '!$A$6)</f>
        <v>Target Market (Core IQR)</v>
      </c>
      <c r="F5916" s="10">
        <f t="shared" si="1"/>
        <v>-0.2945577203</v>
      </c>
    </row>
    <row r="5917" ht="14.25" customHeight="1">
      <c r="A5917" s="2" t="s">
        <v>349</v>
      </c>
      <c r="B5917" s="2" t="s">
        <v>350</v>
      </c>
      <c r="C5917" s="2">
        <v>2009.0</v>
      </c>
      <c r="D5917" s="9">
        <v>13931.19</v>
      </c>
      <c r="E5917" s="10" t="str">
        <f t="array" ref="E5917">IFS(D5917&lt;=$G$3,'calculated data '!$A$3,D5917&lt;=$G$4,'calculated data '!$A$4,D5917&lt;=$G$6,'calculated data '!$A$5,D5917&gt;=$G$6,'calculated data '!$A$6)</f>
        <v>Target Market (Core IQR)</v>
      </c>
      <c r="F5917" s="10">
        <f t="shared" si="1"/>
        <v>-0.2944163453</v>
      </c>
    </row>
    <row r="5918" ht="14.25" customHeight="1">
      <c r="A5918" s="2" t="s">
        <v>339</v>
      </c>
      <c r="B5918" s="2" t="s">
        <v>340</v>
      </c>
      <c r="C5918" s="2">
        <v>2001.0</v>
      </c>
      <c r="D5918" s="9">
        <v>13946.476</v>
      </c>
      <c r="E5918" s="10" t="str">
        <f t="array" ref="E5918">IFS(D5918&lt;=$G$3,'calculated data '!$A$3,D5918&lt;=$G$4,'calculated data '!$A$4,D5918&lt;=$G$6,'calculated data '!$A$5,D5918&gt;=$G$6,'calculated data '!$A$6)</f>
        <v>Target Market (Core IQR)</v>
      </c>
      <c r="F5918" s="10">
        <f t="shared" si="1"/>
        <v>-0.2940117287</v>
      </c>
    </row>
    <row r="5919" ht="14.25" customHeight="1">
      <c r="A5919" s="2" t="s">
        <v>345</v>
      </c>
      <c r="B5919" s="2" t="s">
        <v>346</v>
      </c>
      <c r="C5919" s="2">
        <v>1997.0</v>
      </c>
      <c r="D5919" s="9">
        <v>13946.507</v>
      </c>
      <c r="E5919" s="10" t="str">
        <f t="array" ref="E5919">IFS(D5919&lt;=$G$3,'calculated data '!$A$3,D5919&lt;=$G$4,'calculated data '!$A$4,D5919&lt;=$G$6,'calculated data '!$A$5,D5919&gt;=$G$6,'calculated data '!$A$6)</f>
        <v>Target Market (Core IQR)</v>
      </c>
      <c r="F5919" s="10">
        <f t="shared" si="1"/>
        <v>-0.2940109082</v>
      </c>
    </row>
    <row r="5920" ht="14.25" customHeight="1">
      <c r="A5920" s="2" t="s">
        <v>301</v>
      </c>
      <c r="B5920" s="2" t="s">
        <v>302</v>
      </c>
      <c r="C5920" s="2">
        <v>1981.0</v>
      </c>
      <c r="D5920" s="9">
        <v>13946.576</v>
      </c>
      <c r="E5920" s="10" t="str">
        <f t="array" ref="E5920">IFS(D5920&lt;=$G$3,'calculated data '!$A$3,D5920&lt;=$G$4,'calculated data '!$A$4,D5920&lt;=$G$6,'calculated data '!$A$5,D5920&gt;=$G$6,'calculated data '!$A$6)</f>
        <v>Target Market (Core IQR)</v>
      </c>
      <c r="F5920" s="10">
        <f t="shared" si="1"/>
        <v>-0.2940090818</v>
      </c>
    </row>
    <row r="5921" ht="14.25" customHeight="1">
      <c r="A5921" s="2" t="s">
        <v>237</v>
      </c>
      <c r="B5921" s="2" t="s">
        <v>238</v>
      </c>
      <c r="C5921" s="2">
        <v>2021.0</v>
      </c>
      <c r="D5921" s="9">
        <v>13946.938</v>
      </c>
      <c r="E5921" s="10" t="str">
        <f t="array" ref="E5921">IFS(D5921&lt;=$G$3,'calculated data '!$A$3,D5921&lt;=$G$4,'calculated data '!$A$4,D5921&lt;=$G$6,'calculated data '!$A$5,D5921&gt;=$G$6,'calculated data '!$A$6)</f>
        <v>Target Market (Core IQR)</v>
      </c>
      <c r="F5921" s="10">
        <f t="shared" si="1"/>
        <v>-0.2939994997</v>
      </c>
    </row>
    <row r="5922" ht="14.25" customHeight="1">
      <c r="A5922" s="2" t="s">
        <v>351</v>
      </c>
      <c r="B5922" s="2" t="s">
        <v>352</v>
      </c>
      <c r="C5922" s="2">
        <v>2000.0</v>
      </c>
      <c r="D5922" s="9">
        <v>13965.743</v>
      </c>
      <c r="E5922" s="10" t="str">
        <f t="array" ref="E5922">IFS(D5922&lt;=$G$3,'calculated data '!$A$3,D5922&lt;=$G$4,'calculated data '!$A$4,D5922&lt;=$G$6,'calculated data '!$A$5,D5922&gt;=$G$6,'calculated data '!$A$6)</f>
        <v>Target Market (Core IQR)</v>
      </c>
      <c r="F5922" s="10">
        <f t="shared" si="1"/>
        <v>-0.293501736</v>
      </c>
    </row>
    <row r="5923" ht="14.25" customHeight="1">
      <c r="A5923" s="2" t="s">
        <v>273</v>
      </c>
      <c r="B5923" s="2" t="s">
        <v>274</v>
      </c>
      <c r="C5923" s="2">
        <v>1995.0</v>
      </c>
      <c r="D5923" s="9">
        <v>13966.649</v>
      </c>
      <c r="E5923" s="10" t="str">
        <f t="array" ref="E5923">IFS(D5923&lt;=$G$3,'calculated data '!$A$3,D5923&lt;=$G$4,'calculated data '!$A$4,D5923&lt;=$G$6,'calculated data '!$A$5,D5923&gt;=$G$6,'calculated data '!$A$6)</f>
        <v>Target Market (Core IQR)</v>
      </c>
      <c r="F5923" s="10">
        <f t="shared" si="1"/>
        <v>-0.2934777544</v>
      </c>
    </row>
    <row r="5924" ht="14.25" customHeight="1">
      <c r="A5924" s="2" t="s">
        <v>207</v>
      </c>
      <c r="B5924" s="2" t="s">
        <v>208</v>
      </c>
      <c r="C5924" s="2">
        <v>2013.0</v>
      </c>
      <c r="D5924" s="9">
        <v>13972.88</v>
      </c>
      <c r="E5924" s="10" t="str">
        <f t="array" ref="E5924">IFS(D5924&lt;=$G$3,'calculated data '!$A$3,D5924&lt;=$G$4,'calculated data '!$A$4,D5924&lt;=$G$6,'calculated data '!$A$5,D5924&gt;=$G$6,'calculated data '!$A$6)</f>
        <v>Target Market (Core IQR)</v>
      </c>
      <c r="F5924" s="10">
        <f t="shared" si="1"/>
        <v>-0.2933128214</v>
      </c>
    </row>
    <row r="5925" ht="14.25" customHeight="1">
      <c r="A5925" s="2" t="s">
        <v>321</v>
      </c>
      <c r="B5925" s="2" t="s">
        <v>322</v>
      </c>
      <c r="C5925" s="2">
        <v>1988.0</v>
      </c>
      <c r="D5925" s="9">
        <v>13974.234</v>
      </c>
      <c r="E5925" s="10" t="str">
        <f t="array" ref="E5925">IFS(D5925&lt;=$G$3,'calculated data '!$A$3,D5925&lt;=$G$4,'calculated data '!$A$4,D5925&lt;=$G$6,'calculated data '!$A$5,D5925&gt;=$G$6,'calculated data '!$A$6)</f>
        <v>Target Market (Core IQR)</v>
      </c>
      <c r="F5925" s="10">
        <f t="shared" si="1"/>
        <v>-0.2932769814</v>
      </c>
    </row>
    <row r="5926" ht="14.25" customHeight="1">
      <c r="A5926" s="2" t="s">
        <v>311</v>
      </c>
      <c r="B5926" s="2" t="s">
        <v>312</v>
      </c>
      <c r="C5926" s="2">
        <v>1982.0</v>
      </c>
      <c r="D5926" s="9">
        <v>13991.361</v>
      </c>
      <c r="E5926" s="10" t="str">
        <f t="array" ref="E5926">IFS(D5926&lt;=$G$3,'calculated data '!$A$3,D5926&lt;=$G$4,'calculated data '!$A$4,D5926&lt;=$G$6,'calculated data '!$A$5,D5926&gt;=$G$6,'calculated data '!$A$6)</f>
        <v>Target Market (Core IQR)</v>
      </c>
      <c r="F5926" s="10">
        <f t="shared" si="1"/>
        <v>-0.292823634</v>
      </c>
    </row>
    <row r="5927" ht="14.25" customHeight="1">
      <c r="A5927" s="2" t="s">
        <v>321</v>
      </c>
      <c r="B5927" s="2" t="s">
        <v>322</v>
      </c>
      <c r="C5927" s="2">
        <v>1985.0</v>
      </c>
      <c r="D5927" s="9">
        <v>13999.875</v>
      </c>
      <c r="E5927" s="10" t="str">
        <f t="array" ref="E5927">IFS(D5927&lt;=$G$3,'calculated data '!$A$3,D5927&lt;=$G$4,'calculated data '!$A$4,D5927&lt;=$G$6,'calculated data '!$A$5,D5927&gt;=$G$6,'calculated data '!$A$6)</f>
        <v>Target Market (Core IQR)</v>
      </c>
      <c r="F5927" s="10">
        <f t="shared" si="1"/>
        <v>-0.2925982705</v>
      </c>
    </row>
    <row r="5928" ht="14.25" customHeight="1">
      <c r="A5928" s="2" t="s">
        <v>345</v>
      </c>
      <c r="B5928" s="2" t="s">
        <v>346</v>
      </c>
      <c r="C5928" s="2">
        <v>2009.0</v>
      </c>
      <c r="D5928" s="9">
        <v>14006.871</v>
      </c>
      <c r="E5928" s="10" t="str">
        <f t="array" ref="E5928">IFS(D5928&lt;=$G$3,'calculated data '!$A$3,D5928&lt;=$G$4,'calculated data '!$A$4,D5928&lt;=$G$6,'calculated data '!$A$5,D5928&gt;=$G$6,'calculated data '!$A$6)</f>
        <v>Target Market (Core IQR)</v>
      </c>
      <c r="F5928" s="10">
        <f t="shared" si="1"/>
        <v>-0.2924130881</v>
      </c>
    </row>
    <row r="5929" ht="14.25" customHeight="1">
      <c r="A5929" s="2" t="s">
        <v>28</v>
      </c>
      <c r="B5929" s="2" t="s">
        <v>29</v>
      </c>
      <c r="C5929" s="2">
        <v>2000.0</v>
      </c>
      <c r="D5929" s="9">
        <v>14010.68</v>
      </c>
      <c r="E5929" s="10" t="str">
        <f t="array" ref="E5929">IFS(D5929&lt;=$G$3,'calculated data '!$A$3,D5929&lt;=$G$4,'calculated data '!$A$4,D5929&lt;=$G$6,'calculated data '!$A$5,D5929&gt;=$G$6,'calculated data '!$A$6)</f>
        <v>Target Market (Core IQR)</v>
      </c>
      <c r="F5929" s="10">
        <f t="shared" si="1"/>
        <v>-0.2923122648</v>
      </c>
    </row>
    <row r="5930" ht="14.25" customHeight="1">
      <c r="A5930" s="2" t="s">
        <v>233</v>
      </c>
      <c r="B5930" s="2" t="s">
        <v>234</v>
      </c>
      <c r="C5930" s="2">
        <v>2001.0</v>
      </c>
      <c r="D5930" s="9">
        <v>14017.975</v>
      </c>
      <c r="E5930" s="10" t="str">
        <f t="array" ref="E5930">IFS(D5930&lt;=$G$3,'calculated data '!$A$3,D5930&lt;=$G$4,'calculated data '!$A$4,D5930&lt;=$G$6,'calculated data '!$A$5,D5930&gt;=$G$6,'calculated data '!$A$6)</f>
        <v>Target Market (Core IQR)</v>
      </c>
      <c r="F5930" s="10">
        <f t="shared" si="1"/>
        <v>-0.292119168</v>
      </c>
    </row>
    <row r="5931" ht="14.25" customHeight="1">
      <c r="A5931" s="2" t="s">
        <v>28</v>
      </c>
      <c r="B5931" s="2" t="s">
        <v>29</v>
      </c>
      <c r="C5931" s="2">
        <v>2011.0</v>
      </c>
      <c r="D5931" s="9">
        <v>14023.606</v>
      </c>
      <c r="E5931" s="10" t="str">
        <f t="array" ref="E5931">IFS(D5931&lt;=$G$3,'calculated data '!$A$3,D5931&lt;=$G$4,'calculated data '!$A$4,D5931&lt;=$G$6,'calculated data '!$A$5,D5931&gt;=$G$6,'calculated data '!$A$6)</f>
        <v>Target Market (Core IQR)</v>
      </c>
      <c r="F5931" s="10">
        <f t="shared" si="1"/>
        <v>-0.2919701168</v>
      </c>
    </row>
    <row r="5932" ht="14.25" customHeight="1">
      <c r="A5932" s="2" t="s">
        <v>229</v>
      </c>
      <c r="B5932" s="2" t="s">
        <v>230</v>
      </c>
      <c r="C5932" s="2">
        <v>2009.0</v>
      </c>
      <c r="D5932" s="9">
        <v>14035.413</v>
      </c>
      <c r="E5932" s="10" t="str">
        <f t="array" ref="E5932">IFS(D5932&lt;=$G$3,'calculated data '!$A$3,D5932&lt;=$G$4,'calculated data '!$A$4,D5932&lt;=$G$6,'calculated data '!$A$5,D5932&gt;=$G$6,'calculated data '!$A$6)</f>
        <v>Target Market (Core IQR)</v>
      </c>
      <c r="F5932" s="10">
        <f t="shared" si="1"/>
        <v>-0.2916575885</v>
      </c>
    </row>
    <row r="5933" ht="14.25" customHeight="1">
      <c r="A5933" s="2" t="s">
        <v>335</v>
      </c>
      <c r="B5933" s="2" t="s">
        <v>336</v>
      </c>
      <c r="C5933" s="2">
        <v>1970.0</v>
      </c>
      <c r="D5933" s="9">
        <v>14035.587</v>
      </c>
      <c r="E5933" s="10" t="str">
        <f t="array" ref="E5933">IFS(D5933&lt;=$G$3,'calculated data '!$A$3,D5933&lt;=$G$4,'calculated data '!$A$4,D5933&lt;=$G$6,'calculated data '!$A$5,D5933&gt;=$G$6,'calculated data '!$A$6)</f>
        <v>Target Market (Core IQR)</v>
      </c>
      <c r="F5933" s="10">
        <f t="shared" si="1"/>
        <v>-0.2916529828</v>
      </c>
    </row>
    <row r="5934" ht="14.25" customHeight="1">
      <c r="A5934" s="2" t="s">
        <v>345</v>
      </c>
      <c r="B5934" s="2" t="s">
        <v>346</v>
      </c>
      <c r="C5934" s="2">
        <v>1992.0</v>
      </c>
      <c r="D5934" s="9">
        <v>14060.12</v>
      </c>
      <c r="E5934" s="10" t="str">
        <f t="array" ref="E5934">IFS(D5934&lt;=$G$3,'calculated data '!$A$3,D5934&lt;=$G$4,'calculated data '!$A$4,D5934&lt;=$G$6,'calculated data '!$A$5,D5934&gt;=$G$6,'calculated data '!$A$6)</f>
        <v>Target Market (Core IQR)</v>
      </c>
      <c r="F5934" s="10">
        <f t="shared" si="1"/>
        <v>-0.2910036004</v>
      </c>
    </row>
    <row r="5935" ht="14.25" customHeight="1">
      <c r="A5935" s="2" t="s">
        <v>45</v>
      </c>
      <c r="B5935" s="2" t="s">
        <v>46</v>
      </c>
      <c r="C5935" s="2">
        <v>2005.0</v>
      </c>
      <c r="D5935" s="9">
        <v>14071.059</v>
      </c>
      <c r="E5935" s="10" t="str">
        <f t="array" ref="E5935">IFS(D5935&lt;=$G$3,'calculated data '!$A$3,D5935&lt;=$G$4,'calculated data '!$A$4,D5935&lt;=$G$6,'calculated data '!$A$5,D5935&gt;=$G$6,'calculated data '!$A$6)</f>
        <v>Target Market (Core IQR)</v>
      </c>
      <c r="F5935" s="10">
        <f t="shared" si="1"/>
        <v>-0.2907140478</v>
      </c>
    </row>
    <row r="5936" ht="14.25" customHeight="1">
      <c r="A5936" s="2" t="s">
        <v>28</v>
      </c>
      <c r="B5936" s="2" t="s">
        <v>29</v>
      </c>
      <c r="C5936" s="2">
        <v>2006.0</v>
      </c>
      <c r="D5936" s="9">
        <v>14075.736</v>
      </c>
      <c r="E5936" s="10" t="str">
        <f t="array" ref="E5936">IFS(D5936&lt;=$G$3,'calculated data '!$A$3,D5936&lt;=$G$4,'calculated data '!$A$4,D5936&lt;=$G$6,'calculated data '!$A$5,D5936&gt;=$G$6,'calculated data '!$A$6)</f>
        <v>Target Market (Core IQR)</v>
      </c>
      <c r="F5936" s="10">
        <f t="shared" si="1"/>
        <v>-0.2905902487</v>
      </c>
    </row>
    <row r="5937" ht="14.25" customHeight="1">
      <c r="A5937" s="2" t="s">
        <v>329</v>
      </c>
      <c r="B5937" s="2" t="s">
        <v>330</v>
      </c>
      <c r="C5937" s="2">
        <v>2019.0</v>
      </c>
      <c r="D5937" s="9">
        <v>14080.451</v>
      </c>
      <c r="E5937" s="10" t="str">
        <f t="array" ref="E5937">IFS(D5937&lt;=$G$3,'calculated data '!$A$3,D5937&lt;=$G$4,'calculated data '!$A$4,D5937&lt;=$G$6,'calculated data '!$A$5,D5937&gt;=$G$6,'calculated data '!$A$6)</f>
        <v>Target Market (Core IQR)</v>
      </c>
      <c r="F5937" s="10">
        <f t="shared" si="1"/>
        <v>-0.2904654438</v>
      </c>
    </row>
    <row r="5938" ht="14.25" customHeight="1">
      <c r="A5938" s="2" t="s">
        <v>325</v>
      </c>
      <c r="B5938" s="2" t="s">
        <v>326</v>
      </c>
      <c r="C5938" s="2">
        <v>1996.0</v>
      </c>
      <c r="D5938" s="9">
        <v>14085.446</v>
      </c>
      <c r="E5938" s="10" t="str">
        <f t="array" ref="E5938">IFS(D5938&lt;=$G$3,'calculated data '!$A$3,D5938&lt;=$G$4,'calculated data '!$A$4,D5938&lt;=$G$6,'calculated data '!$A$5,D5938&gt;=$G$6,'calculated data '!$A$6)</f>
        <v>Target Market (Core IQR)</v>
      </c>
      <c r="F5938" s="10">
        <f t="shared" si="1"/>
        <v>-0.2903332274</v>
      </c>
    </row>
    <row r="5939" ht="14.25" customHeight="1">
      <c r="A5939" s="2" t="s">
        <v>269</v>
      </c>
      <c r="B5939" s="2" t="s">
        <v>270</v>
      </c>
      <c r="C5939" s="2">
        <v>2008.0</v>
      </c>
      <c r="D5939" s="9">
        <v>14093.719</v>
      </c>
      <c r="E5939" s="10" t="str">
        <f t="array" ref="E5939">IFS(D5939&lt;=$G$3,'calculated data '!$A$3,D5939&lt;=$G$4,'calculated data '!$A$4,D5939&lt;=$G$6,'calculated data '!$A$5,D5939&gt;=$G$6,'calculated data '!$A$6)</f>
        <v>Target Market (Core IQR)</v>
      </c>
      <c r="F5939" s="10">
        <f t="shared" si="1"/>
        <v>-0.2901142432</v>
      </c>
    </row>
    <row r="5940" ht="14.25" customHeight="1">
      <c r="A5940" s="2" t="s">
        <v>345</v>
      </c>
      <c r="B5940" s="2" t="s">
        <v>346</v>
      </c>
      <c r="C5940" s="2">
        <v>2017.0</v>
      </c>
      <c r="D5940" s="9">
        <v>14095.319</v>
      </c>
      <c r="E5940" s="10" t="str">
        <f t="array" ref="E5940">IFS(D5940&lt;=$G$3,'calculated data '!$A$3,D5940&lt;=$G$4,'calculated data '!$A$4,D5940&lt;=$G$6,'calculated data '!$A$5,D5940&gt;=$G$6,'calculated data '!$A$6)</f>
        <v>Target Market (Core IQR)</v>
      </c>
      <c r="F5940" s="10">
        <f t="shared" si="1"/>
        <v>-0.2900718916</v>
      </c>
    </row>
    <row r="5941" ht="14.25" customHeight="1">
      <c r="A5941" s="2" t="s">
        <v>291</v>
      </c>
      <c r="B5941" s="2" t="s">
        <v>292</v>
      </c>
      <c r="C5941" s="2">
        <v>2019.0</v>
      </c>
      <c r="D5941" s="9">
        <v>14102.941</v>
      </c>
      <c r="E5941" s="10" t="str">
        <f t="array" ref="E5941">IFS(D5941&lt;=$G$3,'calculated data '!$A$3,D5941&lt;=$G$4,'calculated data '!$A$4,D5941&lt;=$G$6,'calculated data '!$A$5,D5941&gt;=$G$6,'calculated data '!$A$6)</f>
        <v>Target Market (Core IQR)</v>
      </c>
      <c r="F5941" s="10">
        <f t="shared" si="1"/>
        <v>-0.2898701392</v>
      </c>
    </row>
    <row r="5942" ht="14.25" customHeight="1">
      <c r="A5942" s="2" t="s">
        <v>345</v>
      </c>
      <c r="B5942" s="2" t="s">
        <v>346</v>
      </c>
      <c r="C5942" s="2">
        <v>2003.0</v>
      </c>
      <c r="D5942" s="9">
        <v>14108.098</v>
      </c>
      <c r="E5942" s="10" t="str">
        <f t="array" ref="E5942">IFS(D5942&lt;=$G$3,'calculated data '!$A$3,D5942&lt;=$G$4,'calculated data '!$A$4,D5942&lt;=$G$6,'calculated data '!$A$5,D5942&gt;=$G$6,'calculated data '!$A$6)</f>
        <v>Target Market (Core IQR)</v>
      </c>
      <c r="F5942" s="10">
        <f t="shared" si="1"/>
        <v>-0.2897336346</v>
      </c>
    </row>
    <row r="5943" ht="14.25" customHeight="1">
      <c r="A5943" s="2" t="s">
        <v>321</v>
      </c>
      <c r="B5943" s="2" t="s">
        <v>322</v>
      </c>
      <c r="C5943" s="2">
        <v>1989.0</v>
      </c>
      <c r="D5943" s="9">
        <v>14112.1</v>
      </c>
      <c r="E5943" s="10" t="str">
        <f t="array" ref="E5943">IFS(D5943&lt;=$G$3,'calculated data '!$A$3,D5943&lt;=$G$4,'calculated data '!$A$4,D5943&lt;=$G$6,'calculated data '!$A$5,D5943&gt;=$G$6,'calculated data '!$A$6)</f>
        <v>Target Market (Core IQR)</v>
      </c>
      <c r="F5943" s="10">
        <f t="shared" si="1"/>
        <v>-0.2896277027</v>
      </c>
    </row>
    <row r="5944" ht="14.25" customHeight="1">
      <c r="A5944" s="2" t="s">
        <v>233</v>
      </c>
      <c r="B5944" s="2" t="s">
        <v>234</v>
      </c>
      <c r="C5944" s="2">
        <v>2022.0</v>
      </c>
      <c r="D5944" s="9">
        <v>14124.616</v>
      </c>
      <c r="E5944" s="10" t="str">
        <f t="array" ref="E5944">IFS(D5944&lt;=$G$3,'calculated data '!$A$3,D5944&lt;=$G$4,'calculated data '!$A$4,D5944&lt;=$G$6,'calculated data '!$A$5,D5944&gt;=$G$6,'calculated data '!$A$6)</f>
        <v>Target Market (Core IQR)</v>
      </c>
      <c r="F5944" s="10">
        <f t="shared" si="1"/>
        <v>-0.2892964073</v>
      </c>
    </row>
    <row r="5945" ht="14.25" customHeight="1">
      <c r="A5945" s="2" t="s">
        <v>329</v>
      </c>
      <c r="B5945" s="2" t="s">
        <v>330</v>
      </c>
      <c r="C5945" s="2">
        <v>2022.0</v>
      </c>
      <c r="D5945" s="9">
        <v>14133.179</v>
      </c>
      <c r="E5945" s="10" t="str">
        <f t="array" ref="E5945">IFS(D5945&lt;=$G$3,'calculated data '!$A$3,D5945&lt;=$G$4,'calculated data '!$A$4,D5945&lt;=$G$6,'calculated data '!$A$5,D5945&gt;=$G$6,'calculated data '!$A$6)</f>
        <v>Target Market (Core IQR)</v>
      </c>
      <c r="F5945" s="10">
        <f t="shared" si="1"/>
        <v>-0.2890697468</v>
      </c>
    </row>
    <row r="5946" ht="14.25" customHeight="1">
      <c r="A5946" s="2" t="s">
        <v>339</v>
      </c>
      <c r="B5946" s="2" t="s">
        <v>340</v>
      </c>
      <c r="C5946" s="2">
        <v>2018.0</v>
      </c>
      <c r="D5946" s="9">
        <v>14142.294</v>
      </c>
      <c r="E5946" s="10" t="str">
        <f t="array" ref="E5946">IFS(D5946&lt;=$G$3,'calculated data '!$A$3,D5946&lt;=$G$4,'calculated data '!$A$4,D5946&lt;=$G$6,'calculated data '!$A$5,D5946&gt;=$G$6,'calculated data '!$A$6)</f>
        <v>Target Market (Core IQR)</v>
      </c>
      <c r="F5946" s="10">
        <f t="shared" si="1"/>
        <v>-0.288828475</v>
      </c>
    </row>
    <row r="5947" ht="14.25" customHeight="1">
      <c r="A5947" s="2" t="s">
        <v>99</v>
      </c>
      <c r="B5947" s="2" t="s">
        <v>100</v>
      </c>
      <c r="C5947" s="2">
        <v>2022.0</v>
      </c>
      <c r="D5947" s="9">
        <v>14143.395</v>
      </c>
      <c r="E5947" s="10" t="str">
        <f t="array" ref="E5947">IFS(D5947&lt;=$G$3,'calculated data '!$A$3,D5947&lt;=$G$4,'calculated data '!$A$4,D5947&lt;=$G$6,'calculated data '!$A$5,D5947&gt;=$G$6,'calculated data '!$A$6)</f>
        <v>Target Market (Core IQR)</v>
      </c>
      <c r="F5947" s="10">
        <f t="shared" si="1"/>
        <v>-0.2887993318</v>
      </c>
    </row>
    <row r="5948" ht="14.25" customHeight="1">
      <c r="A5948" s="2" t="s">
        <v>353</v>
      </c>
      <c r="B5948" s="2" t="s">
        <v>354</v>
      </c>
      <c r="C5948" s="2">
        <v>1965.0</v>
      </c>
      <c r="D5948" s="9">
        <v>14143.596</v>
      </c>
      <c r="E5948" s="10" t="str">
        <f t="array" ref="E5948">IFS(D5948&lt;=$G$3,'calculated data '!$A$3,D5948&lt;=$G$4,'calculated data '!$A$4,D5948&lt;=$G$6,'calculated data '!$A$5,D5948&gt;=$G$6,'calculated data '!$A$6)</f>
        <v>Target Market (Core IQR)</v>
      </c>
      <c r="F5948" s="10">
        <f t="shared" si="1"/>
        <v>-0.2887940114</v>
      </c>
    </row>
    <row r="5949" ht="14.25" customHeight="1">
      <c r="A5949" s="2" t="s">
        <v>301</v>
      </c>
      <c r="B5949" s="2" t="s">
        <v>302</v>
      </c>
      <c r="C5949" s="2">
        <v>1986.0</v>
      </c>
      <c r="D5949" s="9">
        <v>14145.014</v>
      </c>
      <c r="E5949" s="10" t="str">
        <f t="array" ref="E5949">IFS(D5949&lt;=$G$3,'calculated data '!$A$3,D5949&lt;=$G$4,'calculated data '!$A$4,D5949&lt;=$G$6,'calculated data '!$A$5,D5949&gt;=$G$6,'calculated data '!$A$6)</f>
        <v>Target Market (Core IQR)</v>
      </c>
      <c r="F5949" s="10">
        <f t="shared" si="1"/>
        <v>-0.2887564773</v>
      </c>
    </row>
    <row r="5950" ht="14.25" customHeight="1">
      <c r="A5950" s="2" t="s">
        <v>237</v>
      </c>
      <c r="B5950" s="2" t="s">
        <v>238</v>
      </c>
      <c r="C5950" s="2">
        <v>2019.0</v>
      </c>
      <c r="D5950" s="9">
        <v>14145.36</v>
      </c>
      <c r="E5950" s="10" t="str">
        <f t="array" ref="E5950">IFS(D5950&lt;=$G$3,'calculated data '!$A$3,D5950&lt;=$G$4,'calculated data '!$A$4,D5950&lt;=$G$6,'calculated data '!$A$5,D5950&gt;=$G$6,'calculated data '!$A$6)</f>
        <v>Target Market (Core IQR)</v>
      </c>
      <c r="F5950" s="10">
        <f t="shared" si="1"/>
        <v>-0.2887473188</v>
      </c>
    </row>
    <row r="5951" ht="14.25" customHeight="1">
      <c r="A5951" s="2" t="s">
        <v>311</v>
      </c>
      <c r="B5951" s="2" t="s">
        <v>312</v>
      </c>
      <c r="C5951" s="2">
        <v>1983.0</v>
      </c>
      <c r="D5951" s="9">
        <v>14148.222</v>
      </c>
      <c r="E5951" s="10" t="str">
        <f t="array" ref="E5951">IFS(D5951&lt;=$G$3,'calculated data '!$A$3,D5951&lt;=$G$4,'calculated data '!$A$4,D5951&lt;=$G$6,'calculated data '!$A$5,D5951&gt;=$G$6,'calculated data '!$A$6)</f>
        <v>Target Market (Core IQR)</v>
      </c>
      <c r="F5951" s="10">
        <f t="shared" si="1"/>
        <v>-0.2886715624</v>
      </c>
    </row>
    <row r="5952" ht="14.25" customHeight="1">
      <c r="A5952" s="2" t="s">
        <v>39</v>
      </c>
      <c r="B5952" s="2" t="s">
        <v>40</v>
      </c>
      <c r="C5952" s="2">
        <v>1991.0</v>
      </c>
      <c r="D5952" s="9">
        <v>14157.611</v>
      </c>
      <c r="E5952" s="10" t="str">
        <f t="array" ref="E5952">IFS(D5952&lt;=$G$3,'calculated data '!$A$3,D5952&lt;=$G$4,'calculated data '!$A$4,D5952&lt;=$G$6,'calculated data '!$A$5,D5952&gt;=$G$6,'calculated data '!$A$6)</f>
        <v>Target Market (Core IQR)</v>
      </c>
      <c r="F5952" s="10">
        <f t="shared" si="1"/>
        <v>-0.2884230379</v>
      </c>
    </row>
    <row r="5953" ht="14.25" customHeight="1">
      <c r="A5953" s="2" t="s">
        <v>329</v>
      </c>
      <c r="B5953" s="2" t="s">
        <v>330</v>
      </c>
      <c r="C5953" s="2">
        <v>2023.0</v>
      </c>
      <c r="D5953" s="9">
        <v>14166.259</v>
      </c>
      <c r="E5953" s="10" t="str">
        <f t="array" ref="E5953">IFS(D5953&lt;=$G$3,'calculated data '!$A$3,D5953&lt;=$G$4,'calculated data '!$A$4,D5953&lt;=$G$6,'calculated data '!$A$5,D5953&gt;=$G$6,'calculated data '!$A$6)</f>
        <v>Target Market (Core IQR)</v>
      </c>
      <c r="F5953" s="10">
        <f t="shared" si="1"/>
        <v>-0.2881941275</v>
      </c>
    </row>
    <row r="5954" ht="14.25" customHeight="1">
      <c r="A5954" s="2" t="s">
        <v>291</v>
      </c>
      <c r="B5954" s="2" t="s">
        <v>292</v>
      </c>
      <c r="C5954" s="2">
        <v>1983.0</v>
      </c>
      <c r="D5954" s="9">
        <v>14166.347</v>
      </c>
      <c r="E5954" s="10" t="str">
        <f t="array" ref="E5954">IFS(D5954&lt;=$G$3,'calculated data '!$A$3,D5954&lt;=$G$4,'calculated data '!$A$4,D5954&lt;=$G$6,'calculated data '!$A$5,D5954&gt;=$G$6,'calculated data '!$A$6)</f>
        <v>Target Market (Core IQR)</v>
      </c>
      <c r="F5954" s="10">
        <f t="shared" si="1"/>
        <v>-0.2881917981</v>
      </c>
    </row>
    <row r="5955" ht="14.25" customHeight="1">
      <c r="A5955" s="2" t="s">
        <v>337</v>
      </c>
      <c r="B5955" s="2" t="s">
        <v>338</v>
      </c>
      <c r="C5955" s="2">
        <v>1980.0</v>
      </c>
      <c r="D5955" s="9">
        <v>14169.62</v>
      </c>
      <c r="E5955" s="10" t="str">
        <f t="array" ref="E5955">IFS(D5955&lt;=$G$3,'calculated data '!$A$3,D5955&lt;=$G$4,'calculated data '!$A$4,D5955&lt;=$G$6,'calculated data '!$A$5,D5955&gt;=$G$6,'calculated data '!$A$6)</f>
        <v>Target Market (Core IQR)</v>
      </c>
      <c r="F5955" s="10">
        <f t="shared" si="1"/>
        <v>-0.2881051626</v>
      </c>
    </row>
    <row r="5956" ht="14.25" customHeight="1">
      <c r="A5956" s="2" t="s">
        <v>297</v>
      </c>
      <c r="B5956" s="2" t="s">
        <v>298</v>
      </c>
      <c r="C5956" s="2">
        <v>2015.0</v>
      </c>
      <c r="D5956" s="9">
        <v>14169.743</v>
      </c>
      <c r="E5956" s="10" t="str">
        <f t="array" ref="E5956">IFS(D5956&lt;=$G$3,'calculated data '!$A$3,D5956&lt;=$G$4,'calculated data '!$A$4,D5956&lt;=$G$6,'calculated data '!$A$5,D5956&gt;=$G$6,'calculated data '!$A$6)</f>
        <v>Target Market (Core IQR)</v>
      </c>
      <c r="F5956" s="10">
        <f t="shared" si="1"/>
        <v>-0.2881019068</v>
      </c>
    </row>
    <row r="5957" ht="14.25" customHeight="1">
      <c r="A5957" s="2" t="s">
        <v>237</v>
      </c>
      <c r="B5957" s="2" t="s">
        <v>238</v>
      </c>
      <c r="C5957" s="2">
        <v>2022.0</v>
      </c>
      <c r="D5957" s="9">
        <v>14172.194</v>
      </c>
      <c r="E5957" s="10" t="str">
        <f t="array" ref="E5957">IFS(D5957&lt;=$G$3,'calculated data '!$A$3,D5957&lt;=$G$4,'calculated data '!$A$4,D5957&lt;=$G$6,'calculated data '!$A$5,D5957&gt;=$G$6,'calculated data '!$A$6)</f>
        <v>Target Market (Core IQR)</v>
      </c>
      <c r="F5957" s="10">
        <f t="shared" si="1"/>
        <v>-0.2880370295</v>
      </c>
    </row>
    <row r="5958" ht="14.25" customHeight="1">
      <c r="A5958" s="2" t="s">
        <v>327</v>
      </c>
      <c r="B5958" s="2" t="s">
        <v>328</v>
      </c>
      <c r="C5958" s="2">
        <v>1994.0</v>
      </c>
      <c r="D5958" s="9">
        <v>14178.675</v>
      </c>
      <c r="E5958" s="10" t="str">
        <f t="array" ref="E5958">IFS(D5958&lt;=$G$3,'calculated data '!$A$3,D5958&lt;=$G$4,'calculated data '!$A$4,D5958&lt;=$G$6,'calculated data '!$A$5,D5958&gt;=$G$6,'calculated data '!$A$6)</f>
        <v>Target Market (Core IQR)</v>
      </c>
      <c r="F5958" s="10">
        <f t="shared" si="1"/>
        <v>-0.287865479</v>
      </c>
    </row>
    <row r="5959" ht="14.25" customHeight="1">
      <c r="A5959" s="2" t="s">
        <v>227</v>
      </c>
      <c r="B5959" s="2" t="s">
        <v>228</v>
      </c>
      <c r="C5959" s="2">
        <v>2013.0</v>
      </c>
      <c r="D5959" s="9">
        <v>14181.674</v>
      </c>
      <c r="E5959" s="10" t="str">
        <f t="array" ref="E5959">IFS(D5959&lt;=$G$3,'calculated data '!$A$3,D5959&lt;=$G$4,'calculated data '!$A$4,D5959&lt;=$G$6,'calculated data '!$A$5,D5959&gt;=$G$6,'calculated data '!$A$6)</f>
        <v>Target Market (Core IQR)</v>
      </c>
      <c r="F5959" s="10">
        <f t="shared" si="1"/>
        <v>-0.2877860963</v>
      </c>
    </row>
    <row r="5960" ht="14.25" customHeight="1">
      <c r="A5960" s="2" t="s">
        <v>287</v>
      </c>
      <c r="B5960" s="2" t="s">
        <v>288</v>
      </c>
      <c r="C5960" s="2">
        <v>2002.0</v>
      </c>
      <c r="D5960" s="9">
        <v>14182.44</v>
      </c>
      <c r="E5960" s="10" t="str">
        <f t="array" ref="E5960">IFS(D5960&lt;=$G$3,'calculated data '!$A$3,D5960&lt;=$G$4,'calculated data '!$A$4,D5960&lt;=$G$6,'calculated data '!$A$5,D5960&gt;=$G$6,'calculated data '!$A$6)</f>
        <v>Target Market (Core IQR)</v>
      </c>
      <c r="F5960" s="10">
        <f t="shared" si="1"/>
        <v>-0.2877658204</v>
      </c>
    </row>
    <row r="5961" ht="14.25" customHeight="1">
      <c r="A5961" s="2" t="s">
        <v>235</v>
      </c>
      <c r="B5961" s="2" t="s">
        <v>236</v>
      </c>
      <c r="C5961" s="2">
        <v>1982.0</v>
      </c>
      <c r="D5961" s="9">
        <v>14184.875</v>
      </c>
      <c r="E5961" s="10" t="str">
        <f t="array" ref="E5961">IFS(D5961&lt;=$G$3,'calculated data '!$A$3,D5961&lt;=$G$4,'calculated data '!$A$4,D5961&lt;=$G$6,'calculated data '!$A$5,D5961&gt;=$G$6,'calculated data '!$A$6)</f>
        <v>Target Market (Core IQR)</v>
      </c>
      <c r="F5961" s="10">
        <f t="shared" si="1"/>
        <v>-0.2877013666</v>
      </c>
    </row>
    <row r="5962" ht="14.25" customHeight="1">
      <c r="A5962" s="2" t="s">
        <v>345</v>
      </c>
      <c r="B5962" s="2" t="s">
        <v>346</v>
      </c>
      <c r="C5962" s="2">
        <v>2018.0</v>
      </c>
      <c r="D5962" s="9">
        <v>14206.065</v>
      </c>
      <c r="E5962" s="10" t="str">
        <f t="array" ref="E5962">IFS(D5962&lt;=$G$3,'calculated data '!$A$3,D5962&lt;=$G$4,'calculated data '!$A$4,D5962&lt;=$G$6,'calculated data '!$A$5,D5962&gt;=$G$6,'calculated data '!$A$6)</f>
        <v>Target Market (Core IQR)</v>
      </c>
      <c r="F5962" s="10">
        <f t="shared" si="1"/>
        <v>-0.2871404726</v>
      </c>
    </row>
    <row r="5963" ht="14.25" customHeight="1">
      <c r="A5963" s="2" t="s">
        <v>253</v>
      </c>
      <c r="B5963" s="2" t="s">
        <v>254</v>
      </c>
      <c r="C5963" s="2">
        <v>1985.0</v>
      </c>
      <c r="D5963" s="9">
        <v>14210.347</v>
      </c>
      <c r="E5963" s="10" t="str">
        <f t="array" ref="E5963">IFS(D5963&lt;=$G$3,'calculated data '!$A$3,D5963&lt;=$G$4,'calculated data '!$A$4,D5963&lt;=$G$6,'calculated data '!$A$5,D5963&gt;=$G$6,'calculated data '!$A$6)</f>
        <v>Target Market (Core IQR)</v>
      </c>
      <c r="F5963" s="10">
        <f t="shared" si="1"/>
        <v>-0.2870271291</v>
      </c>
    </row>
    <row r="5964" ht="14.25" customHeight="1">
      <c r="A5964" s="2" t="s">
        <v>301</v>
      </c>
      <c r="B5964" s="2" t="s">
        <v>302</v>
      </c>
      <c r="C5964" s="2">
        <v>1984.0</v>
      </c>
      <c r="D5964" s="9">
        <v>14214.115</v>
      </c>
      <c r="E5964" s="10" t="str">
        <f t="array" ref="E5964">IFS(D5964&lt;=$G$3,'calculated data '!$A$3,D5964&lt;=$G$4,'calculated data '!$A$4,D5964&lt;=$G$6,'calculated data '!$A$5,D5964&gt;=$G$6,'calculated data '!$A$6)</f>
        <v>Target Market (Core IQR)</v>
      </c>
      <c r="F5964" s="10">
        <f t="shared" si="1"/>
        <v>-0.2869273911</v>
      </c>
    </row>
    <row r="5965" ht="14.25" customHeight="1">
      <c r="A5965" s="2" t="s">
        <v>351</v>
      </c>
      <c r="B5965" s="2" t="s">
        <v>352</v>
      </c>
      <c r="C5965" s="2">
        <v>1999.0</v>
      </c>
      <c r="D5965" s="9">
        <v>14214.481</v>
      </c>
      <c r="E5965" s="10" t="str">
        <f t="array" ref="E5965">IFS(D5965&lt;=$G$3,'calculated data '!$A$3,D5965&lt;=$G$4,'calculated data '!$A$4,D5965&lt;=$G$6,'calculated data '!$A$5,D5965&gt;=$G$6,'calculated data '!$A$6)</f>
        <v>Target Market (Core IQR)</v>
      </c>
      <c r="F5965" s="10">
        <f t="shared" si="1"/>
        <v>-0.2869177031</v>
      </c>
    </row>
    <row r="5966" ht="14.25" customHeight="1">
      <c r="A5966" s="2" t="s">
        <v>347</v>
      </c>
      <c r="B5966" s="2" t="s">
        <v>348</v>
      </c>
      <c r="C5966" s="2">
        <v>2013.0</v>
      </c>
      <c r="D5966" s="9">
        <v>14216.857</v>
      </c>
      <c r="E5966" s="10" t="str">
        <f t="array" ref="E5966">IFS(D5966&lt;=$G$3,'calculated data '!$A$3,D5966&lt;=$G$4,'calculated data '!$A$4,D5966&lt;=$G$6,'calculated data '!$A$5,D5966&gt;=$G$6,'calculated data '!$A$6)</f>
        <v>Target Market (Core IQR)</v>
      </c>
      <c r="F5966" s="10">
        <f t="shared" si="1"/>
        <v>-0.286854811</v>
      </c>
    </row>
    <row r="5967" ht="14.25" customHeight="1">
      <c r="A5967" s="2" t="s">
        <v>329</v>
      </c>
      <c r="B5967" s="2" t="s">
        <v>330</v>
      </c>
      <c r="C5967" s="2">
        <v>2010.0</v>
      </c>
      <c r="D5967" s="9">
        <v>14230.793</v>
      </c>
      <c r="E5967" s="10" t="str">
        <f t="array" ref="E5967">IFS(D5967&lt;=$G$3,'calculated data '!$A$3,D5967&lt;=$G$4,'calculated data '!$A$4,D5967&lt;=$G$6,'calculated data '!$A$5,D5967&gt;=$G$6,'calculated data '!$A$6)</f>
        <v>Target Market (Core IQR)</v>
      </c>
      <c r="F5967" s="10">
        <f t="shared" si="1"/>
        <v>-0.2864859286</v>
      </c>
    </row>
    <row r="5968" ht="14.25" customHeight="1">
      <c r="A5968" s="2" t="s">
        <v>57</v>
      </c>
      <c r="B5968" s="2" t="s">
        <v>58</v>
      </c>
      <c r="C5968" s="2">
        <v>1969.0</v>
      </c>
      <c r="D5968" s="9">
        <v>14240.698</v>
      </c>
      <c r="E5968" s="10" t="str">
        <f t="array" ref="E5968">IFS(D5968&lt;=$G$3,'calculated data '!$A$3,D5968&lt;=$G$4,'calculated data '!$A$4,D5968&lt;=$G$6,'calculated data '!$A$5,D5968&gt;=$G$6,'calculated data '!$A$6)</f>
        <v>Target Market (Core IQR)</v>
      </c>
      <c r="F5968" s="10">
        <f t="shared" si="1"/>
        <v>-0.2862237457</v>
      </c>
    </row>
    <row r="5969" ht="14.25" customHeight="1">
      <c r="A5969" s="2" t="s">
        <v>321</v>
      </c>
      <c r="B5969" s="2" t="s">
        <v>322</v>
      </c>
      <c r="C5969" s="2">
        <v>1986.0</v>
      </c>
      <c r="D5969" s="9">
        <v>14244.851</v>
      </c>
      <c r="E5969" s="10" t="str">
        <f t="array" ref="E5969">IFS(D5969&lt;=$G$3,'calculated data '!$A$3,D5969&lt;=$G$4,'calculated data '!$A$4,D5969&lt;=$G$6,'calculated data '!$A$5,D5969&gt;=$G$6,'calculated data '!$A$6)</f>
        <v>Target Market (Core IQR)</v>
      </c>
      <c r="F5969" s="10">
        <f t="shared" si="1"/>
        <v>-0.2861138168</v>
      </c>
    </row>
    <row r="5970" ht="14.25" customHeight="1">
      <c r="A5970" s="2" t="s">
        <v>325</v>
      </c>
      <c r="B5970" s="2" t="s">
        <v>326</v>
      </c>
      <c r="C5970" s="2">
        <v>2019.0</v>
      </c>
      <c r="D5970" s="9">
        <v>14248.773</v>
      </c>
      <c r="E5970" s="10" t="str">
        <f t="array" ref="E5970">IFS(D5970&lt;=$G$3,'calculated data '!$A$3,D5970&lt;=$G$4,'calculated data '!$A$4,D5970&lt;=$G$6,'calculated data '!$A$5,D5970&gt;=$G$6,'calculated data '!$A$6)</f>
        <v>Target Market (Core IQR)</v>
      </c>
      <c r="F5970" s="10">
        <f t="shared" si="1"/>
        <v>-0.2860100024</v>
      </c>
    </row>
    <row r="5971" ht="14.25" customHeight="1">
      <c r="A5971" s="2" t="s">
        <v>301</v>
      </c>
      <c r="B5971" s="2" t="s">
        <v>302</v>
      </c>
      <c r="C5971" s="2">
        <v>1988.0</v>
      </c>
      <c r="D5971" s="9">
        <v>14253.19</v>
      </c>
      <c r="E5971" s="10" t="str">
        <f t="array" ref="E5971">IFS(D5971&lt;=$G$3,'calculated data '!$A$3,D5971&lt;=$G$4,'calculated data '!$A$4,D5971&lt;=$G$6,'calculated data '!$A$5,D5971&gt;=$G$6,'calculated data '!$A$6)</f>
        <v>Target Market (Core IQR)</v>
      </c>
      <c r="F5971" s="10">
        <f t="shared" si="1"/>
        <v>-0.2858930855</v>
      </c>
    </row>
    <row r="5972" ht="14.25" customHeight="1">
      <c r="A5972" s="2" t="s">
        <v>333</v>
      </c>
      <c r="B5972" s="2" t="s">
        <v>334</v>
      </c>
      <c r="C5972" s="2">
        <v>2005.0</v>
      </c>
      <c r="D5972" s="9">
        <v>14255.92</v>
      </c>
      <c r="E5972" s="10" t="str">
        <f t="array" ref="E5972">IFS(D5972&lt;=$G$3,'calculated data '!$A$3,D5972&lt;=$G$4,'calculated data '!$A$4,D5972&lt;=$G$6,'calculated data '!$A$5,D5972&gt;=$G$6,'calculated data '!$A$6)</f>
        <v>Target Market (Core IQR)</v>
      </c>
      <c r="F5972" s="10">
        <f t="shared" si="1"/>
        <v>-0.2858208231</v>
      </c>
    </row>
    <row r="5973" ht="14.25" customHeight="1">
      <c r="A5973" s="2" t="s">
        <v>345</v>
      </c>
      <c r="B5973" s="2" t="s">
        <v>346</v>
      </c>
      <c r="C5973" s="2">
        <v>2021.0</v>
      </c>
      <c r="D5973" s="9">
        <v>14257.845</v>
      </c>
      <c r="E5973" s="10" t="str">
        <f t="array" ref="E5973">IFS(D5973&lt;=$G$3,'calculated data '!$A$3,D5973&lt;=$G$4,'calculated data '!$A$4,D5973&lt;=$G$6,'calculated data '!$A$5,D5973&gt;=$G$6,'calculated data '!$A$6)</f>
        <v>Target Market (Core IQR)</v>
      </c>
      <c r="F5973" s="10">
        <f t="shared" si="1"/>
        <v>-0.2857698689</v>
      </c>
    </row>
    <row r="5974" ht="14.25" customHeight="1">
      <c r="A5974" s="2" t="s">
        <v>345</v>
      </c>
      <c r="B5974" s="2" t="s">
        <v>346</v>
      </c>
      <c r="C5974" s="2">
        <v>2005.0</v>
      </c>
      <c r="D5974" s="9">
        <v>14261.52</v>
      </c>
      <c r="E5974" s="10" t="str">
        <f t="array" ref="E5974">IFS(D5974&lt;=$G$3,'calculated data '!$A$3,D5974&lt;=$G$4,'calculated data '!$A$4,D5974&lt;=$G$6,'calculated data '!$A$5,D5974&gt;=$G$6,'calculated data '!$A$6)</f>
        <v>Target Market (Core IQR)</v>
      </c>
      <c r="F5974" s="10">
        <f t="shared" si="1"/>
        <v>-0.2856725925</v>
      </c>
    </row>
    <row r="5975" ht="14.25" customHeight="1">
      <c r="A5975" s="2" t="s">
        <v>271</v>
      </c>
      <c r="B5975" s="2" t="s">
        <v>272</v>
      </c>
      <c r="C5975" s="2">
        <v>1986.0</v>
      </c>
      <c r="D5975" s="9">
        <v>14278.857</v>
      </c>
      <c r="E5975" s="10" t="str">
        <f t="array" ref="E5975">IFS(D5975&lt;=$G$3,'calculated data '!$A$3,D5975&lt;=$G$4,'calculated data '!$A$4,D5975&lt;=$G$6,'calculated data '!$A$5,D5975&gt;=$G$6,'calculated data '!$A$6)</f>
        <v>Target Market (Core IQR)</v>
      </c>
      <c r="F5975" s="10">
        <f t="shared" si="1"/>
        <v>-0.2852136864</v>
      </c>
    </row>
    <row r="5976" ht="14.25" customHeight="1">
      <c r="A5976" s="2" t="s">
        <v>247</v>
      </c>
      <c r="B5976" s="2" t="s">
        <v>248</v>
      </c>
      <c r="C5976" s="2">
        <v>2002.0</v>
      </c>
      <c r="D5976" s="9">
        <v>14281.594</v>
      </c>
      <c r="E5976" s="10" t="str">
        <f t="array" ref="E5976">IFS(D5976&lt;=$G$3,'calculated data '!$A$3,D5976&lt;=$G$4,'calculated data '!$A$4,D5976&lt;=$G$6,'calculated data '!$A$5,D5976&gt;=$G$6,'calculated data '!$A$6)</f>
        <v>Target Market (Core IQR)</v>
      </c>
      <c r="F5976" s="10">
        <f t="shared" si="1"/>
        <v>-0.2851412387</v>
      </c>
    </row>
    <row r="5977" ht="14.25" customHeight="1">
      <c r="A5977" s="2" t="s">
        <v>319</v>
      </c>
      <c r="B5977" s="2" t="s">
        <v>320</v>
      </c>
      <c r="C5977" s="2">
        <v>1981.0</v>
      </c>
      <c r="D5977" s="9">
        <v>14307.252</v>
      </c>
      <c r="E5977" s="10" t="str">
        <f t="array" ref="E5977">IFS(D5977&lt;=$G$3,'calculated data '!$A$3,D5977&lt;=$G$4,'calculated data '!$A$4,D5977&lt;=$G$6,'calculated data '!$A$5,D5977&gt;=$G$6,'calculated data '!$A$6)</f>
        <v>Target Market (Core IQR)</v>
      </c>
      <c r="F5977" s="10">
        <f t="shared" si="1"/>
        <v>-0.2844620779</v>
      </c>
    </row>
    <row r="5978" ht="14.25" customHeight="1">
      <c r="A5978" s="2" t="s">
        <v>227</v>
      </c>
      <c r="B5978" s="2" t="s">
        <v>228</v>
      </c>
      <c r="C5978" s="2">
        <v>2015.0</v>
      </c>
      <c r="D5978" s="9">
        <v>14320.974</v>
      </c>
      <c r="E5978" s="10" t="str">
        <f t="array" ref="E5978">IFS(D5978&lt;=$G$3,'calculated data '!$A$3,D5978&lt;=$G$4,'calculated data '!$A$4,D5978&lt;=$G$6,'calculated data '!$A$5,D5978&gt;=$G$6,'calculated data '!$A$6)</f>
        <v>Target Market (Core IQR)</v>
      </c>
      <c r="F5978" s="10">
        <f t="shared" si="1"/>
        <v>-0.2840988599</v>
      </c>
    </row>
    <row r="5979" ht="14.25" customHeight="1">
      <c r="A5979" s="2" t="s">
        <v>309</v>
      </c>
      <c r="B5979" s="2" t="s">
        <v>310</v>
      </c>
      <c r="C5979" s="2">
        <v>1976.0</v>
      </c>
      <c r="D5979" s="9">
        <v>14321.024</v>
      </c>
      <c r="E5979" s="10" t="str">
        <f t="array" ref="E5979">IFS(D5979&lt;=$G$3,'calculated data '!$A$3,D5979&lt;=$G$4,'calculated data '!$A$4,D5979&lt;=$G$6,'calculated data '!$A$5,D5979&gt;=$G$6,'calculated data '!$A$6)</f>
        <v>Target Market (Core IQR)</v>
      </c>
      <c r="F5979" s="10">
        <f t="shared" si="1"/>
        <v>-0.2840975365</v>
      </c>
    </row>
    <row r="5980" ht="14.25" customHeight="1">
      <c r="A5980" s="2" t="s">
        <v>203</v>
      </c>
      <c r="B5980" s="2" t="s">
        <v>204</v>
      </c>
      <c r="C5980" s="2">
        <v>2024.0</v>
      </c>
      <c r="D5980" s="9">
        <v>14321.675</v>
      </c>
      <c r="E5980" s="10" t="str">
        <f t="array" ref="E5980">IFS(D5980&lt;=$G$3,'calculated data '!$A$3,D5980&lt;=$G$4,'calculated data '!$A$4,D5980&lt;=$G$6,'calculated data '!$A$5,D5980&gt;=$G$6,'calculated data '!$A$6)</f>
        <v>Target Market (Core IQR)</v>
      </c>
      <c r="F5980" s="10">
        <f t="shared" si="1"/>
        <v>-0.2840803047</v>
      </c>
    </row>
    <row r="5981" ht="14.25" customHeight="1">
      <c r="A5981" s="2" t="s">
        <v>301</v>
      </c>
      <c r="B5981" s="2" t="s">
        <v>302</v>
      </c>
      <c r="C5981" s="2">
        <v>1982.0</v>
      </c>
      <c r="D5981" s="9">
        <v>14321.855</v>
      </c>
      <c r="E5981" s="10" t="str">
        <f t="array" ref="E5981">IFS(D5981&lt;=$G$3,'calculated data '!$A$3,D5981&lt;=$G$4,'calculated data '!$A$4,D5981&lt;=$G$6,'calculated data '!$A$5,D5981&gt;=$G$6,'calculated data '!$A$6)</f>
        <v>Target Market (Core IQR)</v>
      </c>
      <c r="F5981" s="10">
        <f t="shared" si="1"/>
        <v>-0.2840755401</v>
      </c>
    </row>
    <row r="5982" ht="14.25" customHeight="1">
      <c r="A5982" s="2" t="s">
        <v>269</v>
      </c>
      <c r="B5982" s="2" t="s">
        <v>270</v>
      </c>
      <c r="C5982" s="2">
        <v>2007.0</v>
      </c>
      <c r="D5982" s="9">
        <v>14325.909</v>
      </c>
      <c r="E5982" s="10" t="str">
        <f t="array" ref="E5982">IFS(D5982&lt;=$G$3,'calculated data '!$A$3,D5982&lt;=$G$4,'calculated data '!$A$4,D5982&lt;=$G$6,'calculated data '!$A$5,D5982&gt;=$G$6,'calculated data '!$A$6)</f>
        <v>Target Market (Core IQR)</v>
      </c>
      <c r="F5982" s="10">
        <f t="shared" si="1"/>
        <v>-0.2839682317</v>
      </c>
    </row>
    <row r="5983" ht="14.25" customHeight="1">
      <c r="A5983" s="2" t="s">
        <v>257</v>
      </c>
      <c r="B5983" s="2" t="s">
        <v>258</v>
      </c>
      <c r="C5983" s="2">
        <v>1993.0</v>
      </c>
      <c r="D5983" s="9">
        <v>14333.623</v>
      </c>
      <c r="E5983" s="10" t="str">
        <f t="array" ref="E5983">IFS(D5983&lt;=$G$3,'calculated data '!$A$3,D5983&lt;=$G$4,'calculated data '!$A$4,D5983&lt;=$G$6,'calculated data '!$A$5,D5983&gt;=$G$6,'calculated data '!$A$6)</f>
        <v>Target Market (Core IQR)</v>
      </c>
      <c r="F5983" s="10">
        <f t="shared" si="1"/>
        <v>-0.2837640441</v>
      </c>
    </row>
    <row r="5984" ht="14.25" customHeight="1">
      <c r="A5984" s="2" t="s">
        <v>241</v>
      </c>
      <c r="B5984" s="2" t="s">
        <v>242</v>
      </c>
      <c r="C5984" s="2">
        <v>2005.0</v>
      </c>
      <c r="D5984" s="9">
        <v>14340.227</v>
      </c>
      <c r="E5984" s="10" t="str">
        <f t="array" ref="E5984">IFS(D5984&lt;=$G$3,'calculated data '!$A$3,D5984&lt;=$G$4,'calculated data '!$A$4,D5984&lt;=$G$6,'calculated data '!$A$5,D5984&gt;=$G$6,'calculated data '!$A$6)</f>
        <v>Target Market (Core IQR)</v>
      </c>
      <c r="F5984" s="10">
        <f t="shared" si="1"/>
        <v>-0.2835892378</v>
      </c>
    </row>
    <row r="5985" ht="14.25" customHeight="1">
      <c r="A5985" s="2" t="s">
        <v>273</v>
      </c>
      <c r="B5985" s="2" t="s">
        <v>274</v>
      </c>
      <c r="C5985" s="2">
        <v>1999.0</v>
      </c>
      <c r="D5985" s="9">
        <v>14343.149</v>
      </c>
      <c r="E5985" s="10" t="str">
        <f t="array" ref="E5985">IFS(D5985&lt;=$G$3,'calculated data '!$A$3,D5985&lt;=$G$4,'calculated data '!$A$4,D5985&lt;=$G$6,'calculated data '!$A$5,D5985&gt;=$G$6,'calculated data '!$A$6)</f>
        <v>Target Market (Core IQR)</v>
      </c>
      <c r="F5985" s="10">
        <f t="shared" si="1"/>
        <v>-0.2835118932</v>
      </c>
    </row>
    <row r="5986" ht="14.25" customHeight="1">
      <c r="A5986" s="2" t="s">
        <v>99</v>
      </c>
      <c r="B5986" s="2" t="s">
        <v>100</v>
      </c>
      <c r="C5986" s="2">
        <v>2023.0</v>
      </c>
      <c r="D5986" s="9">
        <v>14354.3</v>
      </c>
      <c r="E5986" s="10" t="str">
        <f t="array" ref="E5986">IFS(D5986&lt;=$G$3,'calculated data '!$A$3,D5986&lt;=$G$4,'calculated data '!$A$4,D5986&lt;=$G$6,'calculated data '!$A$5,D5986&gt;=$G$6,'calculated data '!$A$6)</f>
        <v>Target Market (Core IQR)</v>
      </c>
      <c r="F5986" s="10">
        <f t="shared" si="1"/>
        <v>-0.283216729</v>
      </c>
    </row>
    <row r="5987" ht="14.25" customHeight="1">
      <c r="A5987" s="2" t="s">
        <v>247</v>
      </c>
      <c r="B5987" s="2" t="s">
        <v>248</v>
      </c>
      <c r="C5987" s="2">
        <v>2009.0</v>
      </c>
      <c r="D5987" s="9">
        <v>14357.932</v>
      </c>
      <c r="E5987" s="10" t="str">
        <f t="array" ref="E5987">IFS(D5987&lt;=$G$3,'calculated data '!$A$3,D5987&lt;=$G$4,'calculated data '!$A$4,D5987&lt;=$G$6,'calculated data '!$A$5,D5987&gt;=$G$6,'calculated data '!$A$6)</f>
        <v>Target Market (Core IQR)</v>
      </c>
      <c r="F5987" s="10">
        <f t="shared" si="1"/>
        <v>-0.2831205909</v>
      </c>
    </row>
    <row r="5988" ht="14.25" customHeight="1">
      <c r="A5988" s="2" t="s">
        <v>347</v>
      </c>
      <c r="B5988" s="2" t="s">
        <v>348</v>
      </c>
      <c r="C5988" s="2">
        <v>2017.0</v>
      </c>
      <c r="D5988" s="9">
        <v>14364.315</v>
      </c>
      <c r="E5988" s="10" t="str">
        <f t="array" ref="E5988">IFS(D5988&lt;=$G$3,'calculated data '!$A$3,D5988&lt;=$G$4,'calculated data '!$A$4,D5988&lt;=$G$6,'calculated data '!$A$5,D5988&gt;=$G$6,'calculated data '!$A$6)</f>
        <v>Target Market (Core IQR)</v>
      </c>
      <c r="F5988" s="10">
        <f t="shared" si="1"/>
        <v>-0.2829516345</v>
      </c>
    </row>
    <row r="5989" ht="14.25" customHeight="1">
      <c r="A5989" s="2" t="s">
        <v>311</v>
      </c>
      <c r="B5989" s="2" t="s">
        <v>312</v>
      </c>
      <c r="C5989" s="2">
        <v>1984.0</v>
      </c>
      <c r="D5989" s="9">
        <v>14368.836</v>
      </c>
      <c r="E5989" s="10" t="str">
        <f t="array" ref="E5989">IFS(D5989&lt;=$G$3,'calculated data '!$A$3,D5989&lt;=$G$4,'calculated data '!$A$4,D5989&lt;=$G$6,'calculated data '!$A$5,D5989&gt;=$G$6,'calculated data '!$A$6)</f>
        <v>Target Market (Core IQR)</v>
      </c>
      <c r="F5989" s="10">
        <f t="shared" si="1"/>
        <v>-0.2828319647</v>
      </c>
    </row>
    <row r="5990" ht="14.25" customHeight="1">
      <c r="A5990" s="2" t="s">
        <v>237</v>
      </c>
      <c r="B5990" s="2" t="s">
        <v>238</v>
      </c>
      <c r="C5990" s="2">
        <v>2018.0</v>
      </c>
      <c r="D5990" s="9">
        <v>14370.854</v>
      </c>
      <c r="E5990" s="10" t="str">
        <f t="array" ref="E5990">IFS(D5990&lt;=$G$3,'calculated data '!$A$3,D5990&lt;=$G$4,'calculated data '!$A$4,D5990&lt;=$G$6,'calculated data '!$A$5,D5990&gt;=$G$6,'calculated data '!$A$6)</f>
        <v>Target Market (Core IQR)</v>
      </c>
      <c r="F5990" s="10">
        <f t="shared" si="1"/>
        <v>-0.2827785488</v>
      </c>
    </row>
    <row r="5991" ht="14.25" customHeight="1">
      <c r="A5991" s="2" t="s">
        <v>251</v>
      </c>
      <c r="B5991" s="2" t="s">
        <v>252</v>
      </c>
      <c r="C5991" s="2">
        <v>2019.0</v>
      </c>
      <c r="D5991" s="9">
        <v>14371.433</v>
      </c>
      <c r="E5991" s="10" t="str">
        <f t="array" ref="E5991">IFS(D5991&lt;=$G$3,'calculated data '!$A$3,D5991&lt;=$G$4,'calculated data '!$A$4,D5991&lt;=$G$6,'calculated data '!$A$5,D5991&gt;=$G$6,'calculated data '!$A$6)</f>
        <v>Target Market (Core IQR)</v>
      </c>
      <c r="F5991" s="10">
        <f t="shared" si="1"/>
        <v>-0.2827632228</v>
      </c>
    </row>
    <row r="5992" ht="14.25" customHeight="1">
      <c r="A5992" s="2" t="s">
        <v>227</v>
      </c>
      <c r="B5992" s="2" t="s">
        <v>228</v>
      </c>
      <c r="C5992" s="2">
        <v>2024.0</v>
      </c>
      <c r="D5992" s="9">
        <v>14378.225</v>
      </c>
      <c r="E5992" s="10" t="str">
        <f t="array" ref="E5992">IFS(D5992&lt;=$G$3,'calculated data '!$A$3,D5992&lt;=$G$4,'calculated data '!$A$4,D5992&lt;=$G$6,'calculated data '!$A$5,D5992&gt;=$G$6,'calculated data '!$A$6)</f>
        <v>Target Market (Core IQR)</v>
      </c>
      <c r="F5992" s="10">
        <f t="shared" si="1"/>
        <v>-0.2825834402</v>
      </c>
    </row>
    <row r="5993" ht="14.25" customHeight="1">
      <c r="A5993" s="2" t="s">
        <v>45</v>
      </c>
      <c r="B5993" s="2" t="s">
        <v>46</v>
      </c>
      <c r="C5993" s="2">
        <v>1999.0</v>
      </c>
      <c r="D5993" s="9">
        <v>14379.254</v>
      </c>
      <c r="E5993" s="10" t="str">
        <f t="array" ref="E5993">IFS(D5993&lt;=$G$3,'calculated data '!$A$3,D5993&lt;=$G$4,'calculated data '!$A$4,D5993&lt;=$G$6,'calculated data '!$A$5,D5993&gt;=$G$6,'calculated data '!$A$6)</f>
        <v>Target Market (Core IQR)</v>
      </c>
      <c r="F5993" s="10">
        <f t="shared" si="1"/>
        <v>-0.2825562029</v>
      </c>
    </row>
    <row r="5994" ht="14.25" customHeight="1">
      <c r="A5994" s="2" t="s">
        <v>293</v>
      </c>
      <c r="B5994" s="2" t="s">
        <v>294</v>
      </c>
      <c r="C5994" s="2">
        <v>2013.0</v>
      </c>
      <c r="D5994" s="9">
        <v>14380.91</v>
      </c>
      <c r="E5994" s="10" t="str">
        <f t="array" ref="E5994">IFS(D5994&lt;=$G$3,'calculated data '!$A$3,D5994&lt;=$G$4,'calculated data '!$A$4,D5994&lt;=$G$6,'calculated data '!$A$5,D5994&gt;=$G$6,'calculated data '!$A$6)</f>
        <v>Target Market (Core IQR)</v>
      </c>
      <c r="F5994" s="10">
        <f t="shared" si="1"/>
        <v>-0.282512369</v>
      </c>
    </row>
    <row r="5995" ht="14.25" customHeight="1">
      <c r="A5995" s="2" t="s">
        <v>293</v>
      </c>
      <c r="B5995" s="2" t="s">
        <v>294</v>
      </c>
      <c r="C5995" s="2">
        <v>2008.0</v>
      </c>
      <c r="D5995" s="9">
        <v>14413.735</v>
      </c>
      <c r="E5995" s="10" t="str">
        <f t="array" ref="E5995">IFS(D5995&lt;=$G$3,'calculated data '!$A$3,D5995&lt;=$G$4,'calculated data '!$A$4,D5995&lt;=$G$6,'calculated data '!$A$5,D5995&gt;=$G$6,'calculated data '!$A$6)</f>
        <v>Target Market (Core IQR)</v>
      </c>
      <c r="F5995" s="10">
        <f t="shared" si="1"/>
        <v>-0.2816434994</v>
      </c>
    </row>
    <row r="5996" ht="14.25" customHeight="1">
      <c r="A5996" s="2" t="s">
        <v>345</v>
      </c>
      <c r="B5996" s="2" t="s">
        <v>346</v>
      </c>
      <c r="C5996" s="2">
        <v>2010.0</v>
      </c>
      <c r="D5996" s="9">
        <v>14419.6875</v>
      </c>
      <c r="E5996" s="10" t="str">
        <f t="array" ref="E5996">IFS(D5996&lt;=$G$3,'calculated data '!$A$3,D5996&lt;=$G$4,'calculated data '!$A$4,D5996&lt;=$G$6,'calculated data '!$A$5,D5996&gt;=$G$6,'calculated data '!$A$6)</f>
        <v>Target Market (Core IQR)</v>
      </c>
      <c r="F5996" s="10">
        <f t="shared" si="1"/>
        <v>-0.2814859382</v>
      </c>
    </row>
    <row r="5997" ht="14.25" customHeight="1">
      <c r="A5997" s="2" t="s">
        <v>313</v>
      </c>
      <c r="B5997" s="2" t="s">
        <v>314</v>
      </c>
      <c r="C5997" s="2">
        <v>1996.0</v>
      </c>
      <c r="D5997" s="9">
        <v>14425.255</v>
      </c>
      <c r="E5997" s="10" t="str">
        <f t="array" ref="E5997">IFS(D5997&lt;=$G$3,'calculated data '!$A$3,D5997&lt;=$G$4,'calculated data '!$A$4,D5997&lt;=$G$6,'calculated data '!$A$5,D5997&gt;=$G$6,'calculated data '!$A$6)</f>
        <v>Target Market (Core IQR)</v>
      </c>
      <c r="F5997" s="10">
        <f t="shared" si="1"/>
        <v>-0.2813385678</v>
      </c>
    </row>
    <row r="5998" ht="14.25" customHeight="1">
      <c r="A5998" s="2" t="s">
        <v>345</v>
      </c>
      <c r="B5998" s="2" t="s">
        <v>346</v>
      </c>
      <c r="C5998" s="2">
        <v>2006.0</v>
      </c>
      <c r="D5998" s="9">
        <v>14425.969</v>
      </c>
      <c r="E5998" s="10" t="str">
        <f t="array" ref="E5998">IFS(D5998&lt;=$G$3,'calculated data '!$A$3,D5998&lt;=$G$4,'calculated data '!$A$4,D5998&lt;=$G$6,'calculated data '!$A$5,D5998&gt;=$G$6,'calculated data '!$A$6)</f>
        <v>Target Market (Core IQR)</v>
      </c>
      <c r="F5998" s="10">
        <f t="shared" si="1"/>
        <v>-0.2813196684</v>
      </c>
    </row>
    <row r="5999" ht="14.25" customHeight="1">
      <c r="A5999" s="2" t="s">
        <v>287</v>
      </c>
      <c r="B5999" s="2" t="s">
        <v>288</v>
      </c>
      <c r="C5999" s="2">
        <v>2014.0</v>
      </c>
      <c r="D5999" s="9">
        <v>14433.08</v>
      </c>
      <c r="E5999" s="10" t="str">
        <f t="array" ref="E5999">IFS(D5999&lt;=$G$3,'calculated data '!$A$3,D5999&lt;=$G$4,'calculated data '!$A$4,D5999&lt;=$G$6,'calculated data '!$A$5,D5999&gt;=$G$6,'calculated data '!$A$6)</f>
        <v>Target Market (Core IQR)</v>
      </c>
      <c r="F5999" s="10">
        <f t="shared" si="1"/>
        <v>-0.281131442</v>
      </c>
    </row>
    <row r="6000" ht="14.25" customHeight="1">
      <c r="A6000" s="2" t="s">
        <v>293</v>
      </c>
      <c r="B6000" s="2" t="s">
        <v>294</v>
      </c>
      <c r="C6000" s="2">
        <v>2019.0</v>
      </c>
      <c r="D6000" s="9">
        <v>14435.28</v>
      </c>
      <c r="E6000" s="10" t="str">
        <f t="array" ref="E6000">IFS(D6000&lt;=$G$3,'calculated data '!$A$3,D6000&lt;=$G$4,'calculated data '!$A$4,D6000&lt;=$G$6,'calculated data '!$A$5,D6000&gt;=$G$6,'calculated data '!$A$6)</f>
        <v>Target Market (Core IQR)</v>
      </c>
      <c r="F6000" s="10">
        <f t="shared" si="1"/>
        <v>-0.2810732086</v>
      </c>
    </row>
    <row r="6001" ht="14.25" customHeight="1">
      <c r="A6001" s="2" t="s">
        <v>233</v>
      </c>
      <c r="B6001" s="2" t="s">
        <v>234</v>
      </c>
      <c r="C6001" s="2">
        <v>1989.0</v>
      </c>
      <c r="D6001" s="9">
        <v>14444.893</v>
      </c>
      <c r="E6001" s="10" t="str">
        <f t="array" ref="E6001">IFS(D6001&lt;=$G$3,'calculated data '!$A$3,D6001&lt;=$G$4,'calculated data '!$A$4,D6001&lt;=$G$6,'calculated data '!$A$5,D6001&gt;=$G$6,'calculated data '!$A$6)</f>
        <v>Target Market (Core IQR)</v>
      </c>
      <c r="F6001" s="10">
        <f t="shared" si="1"/>
        <v>-0.2808187549</v>
      </c>
    </row>
    <row r="6002" ht="14.25" customHeight="1">
      <c r="A6002" s="2" t="s">
        <v>31</v>
      </c>
      <c r="B6002" s="2" t="s">
        <v>32</v>
      </c>
      <c r="C6002" s="2">
        <v>1989.0</v>
      </c>
      <c r="D6002" s="9">
        <v>14446.366</v>
      </c>
      <c r="E6002" s="10" t="str">
        <f t="array" ref="E6002">IFS(D6002&lt;=$G$3,'calculated data '!$A$3,D6002&lt;=$G$4,'calculated data '!$A$4,D6002&lt;=$G$6,'calculated data '!$A$5,D6002&gt;=$G$6,'calculated data '!$A$6)</f>
        <v>Target Market (Core IQR)</v>
      </c>
      <c r="F6002" s="10">
        <f t="shared" si="1"/>
        <v>-0.2807797649</v>
      </c>
    </row>
    <row r="6003" ht="14.25" customHeight="1">
      <c r="A6003" s="2" t="s">
        <v>293</v>
      </c>
      <c r="B6003" s="2" t="s">
        <v>294</v>
      </c>
      <c r="C6003" s="2">
        <v>2011.0</v>
      </c>
      <c r="D6003" s="9">
        <v>14446.414</v>
      </c>
      <c r="E6003" s="10" t="str">
        <f t="array" ref="E6003">IFS(D6003&lt;=$G$3,'calculated data '!$A$3,D6003&lt;=$G$4,'calculated data '!$A$4,D6003&lt;=$G$6,'calculated data '!$A$5,D6003&gt;=$G$6,'calculated data '!$A$6)</f>
        <v>Target Market (Core IQR)</v>
      </c>
      <c r="F6003" s="10">
        <f t="shared" si="1"/>
        <v>-0.2807784944</v>
      </c>
    </row>
    <row r="6004" ht="14.25" customHeight="1">
      <c r="A6004" s="2" t="s">
        <v>329</v>
      </c>
      <c r="B6004" s="2" t="s">
        <v>330</v>
      </c>
      <c r="C6004" s="2">
        <v>2018.0</v>
      </c>
      <c r="D6004" s="9">
        <v>14449.026</v>
      </c>
      <c r="E6004" s="10" t="str">
        <f t="array" ref="E6004">IFS(D6004&lt;=$G$3,'calculated data '!$A$3,D6004&lt;=$G$4,'calculated data '!$A$4,D6004&lt;=$G$6,'calculated data '!$A$5,D6004&gt;=$G$6,'calculated data '!$A$6)</f>
        <v>Target Market (Core IQR)</v>
      </c>
      <c r="F6004" s="10">
        <f t="shared" si="1"/>
        <v>-0.2807093554</v>
      </c>
    </row>
    <row r="6005" ht="14.25" customHeight="1">
      <c r="A6005" s="2" t="s">
        <v>325</v>
      </c>
      <c r="B6005" s="2" t="s">
        <v>326</v>
      </c>
      <c r="C6005" s="2">
        <v>1992.0</v>
      </c>
      <c r="D6005" s="9">
        <v>14456.733</v>
      </c>
      <c r="E6005" s="10" t="str">
        <f t="array" ref="E6005">IFS(D6005&lt;=$G$3,'calculated data '!$A$3,D6005&lt;=$G$4,'calculated data '!$A$4,D6005&lt;=$G$6,'calculated data '!$A$5,D6005&gt;=$G$6,'calculated data '!$A$6)</f>
        <v>Target Market (Core IQR)</v>
      </c>
      <c r="F6005" s="10">
        <f t="shared" si="1"/>
        <v>-0.280505353</v>
      </c>
    </row>
    <row r="6006" ht="14.25" customHeight="1">
      <c r="A6006" s="2" t="s">
        <v>287</v>
      </c>
      <c r="B6006" s="2" t="s">
        <v>288</v>
      </c>
      <c r="C6006" s="2">
        <v>2021.0</v>
      </c>
      <c r="D6006" s="9">
        <v>14462.999</v>
      </c>
      <c r="E6006" s="10" t="str">
        <f t="array" ref="E6006">IFS(D6006&lt;=$G$3,'calculated data '!$A$3,D6006&lt;=$G$4,'calculated data '!$A$4,D6006&lt;=$G$6,'calculated data '!$A$5,D6006&gt;=$G$6,'calculated data '!$A$6)</f>
        <v>Target Market (Core IQR)</v>
      </c>
      <c r="F6006" s="10">
        <f t="shared" si="1"/>
        <v>-0.2803394936</v>
      </c>
    </row>
    <row r="6007" ht="14.25" customHeight="1">
      <c r="A6007" s="2" t="s">
        <v>301</v>
      </c>
      <c r="B6007" s="2" t="s">
        <v>302</v>
      </c>
      <c r="C6007" s="2">
        <v>1987.0</v>
      </c>
      <c r="D6007" s="9">
        <v>14472.11</v>
      </c>
      <c r="E6007" s="10" t="str">
        <f t="array" ref="E6007">IFS(D6007&lt;=$G$3,'calculated data '!$A$3,D6007&lt;=$G$4,'calculated data '!$A$4,D6007&lt;=$G$6,'calculated data '!$A$5,D6007&gt;=$G$6,'calculated data '!$A$6)</f>
        <v>Target Market (Core IQR)</v>
      </c>
      <c r="F6007" s="10">
        <f t="shared" si="1"/>
        <v>-0.2800983277</v>
      </c>
    </row>
    <row r="6008" ht="14.25" customHeight="1">
      <c r="A6008" s="2" t="s">
        <v>237</v>
      </c>
      <c r="B6008" s="2" t="s">
        <v>238</v>
      </c>
      <c r="C6008" s="2">
        <v>2023.0</v>
      </c>
      <c r="D6008" s="9">
        <v>14475.0</v>
      </c>
      <c r="E6008" s="10" t="str">
        <f t="array" ref="E6008">IFS(D6008&lt;=$G$3,'calculated data '!$A$3,D6008&lt;=$G$4,'calculated data '!$A$4,D6008&lt;=$G$6,'calculated data '!$A$5,D6008&gt;=$G$6,'calculated data '!$A$6)</f>
        <v>Target Market (Core IQR)</v>
      </c>
      <c r="F6008" s="10">
        <f t="shared" si="1"/>
        <v>-0.2800218301</v>
      </c>
    </row>
    <row r="6009" ht="14.25" customHeight="1">
      <c r="A6009" s="2" t="s">
        <v>257</v>
      </c>
      <c r="B6009" s="2" t="s">
        <v>258</v>
      </c>
      <c r="C6009" s="2">
        <v>1991.0</v>
      </c>
      <c r="D6009" s="9">
        <v>14490.754</v>
      </c>
      <c r="E6009" s="10" t="str">
        <f t="array" ref="E6009">IFS(D6009&lt;=$G$3,'calculated data '!$A$3,D6009&lt;=$G$4,'calculated data '!$A$4,D6009&lt;=$G$6,'calculated data '!$A$5,D6009&gt;=$G$6,'calculated data '!$A$6)</f>
        <v>Target Market (Core IQR)</v>
      </c>
      <c r="F6009" s="10">
        <f t="shared" si="1"/>
        <v>-0.2796048256</v>
      </c>
    </row>
    <row r="6010" ht="14.25" customHeight="1">
      <c r="A6010" s="2" t="s">
        <v>247</v>
      </c>
      <c r="B6010" s="2" t="s">
        <v>248</v>
      </c>
      <c r="C6010" s="2">
        <v>2001.0</v>
      </c>
      <c r="D6010" s="9">
        <v>14493.465</v>
      </c>
      <c r="E6010" s="10" t="str">
        <f t="array" ref="E6010">IFS(D6010&lt;=$G$3,'calculated data '!$A$3,D6010&lt;=$G$4,'calculated data '!$A$4,D6010&lt;=$G$6,'calculated data '!$A$5,D6010&gt;=$G$6,'calculated data '!$A$6)</f>
        <v>Target Market (Core IQR)</v>
      </c>
      <c r="F6010" s="10">
        <f t="shared" si="1"/>
        <v>-0.2795330661</v>
      </c>
    </row>
    <row r="6011" ht="14.25" customHeight="1">
      <c r="A6011" s="2" t="s">
        <v>315</v>
      </c>
      <c r="B6011" s="2" t="s">
        <v>316</v>
      </c>
      <c r="C6011" s="2">
        <v>2021.0</v>
      </c>
      <c r="D6011" s="9">
        <v>14503.401</v>
      </c>
      <c r="E6011" s="10" t="str">
        <f t="array" ref="E6011">IFS(D6011&lt;=$G$3,'calculated data '!$A$3,D6011&lt;=$G$4,'calculated data '!$A$4,D6011&lt;=$G$6,'calculated data '!$A$5,D6011&gt;=$G$6,'calculated data '!$A$6)</f>
        <v>Target Market (Core IQR)</v>
      </c>
      <c r="F6011" s="10">
        <f t="shared" si="1"/>
        <v>-0.2792700627</v>
      </c>
    </row>
    <row r="6012" ht="14.25" customHeight="1">
      <c r="A6012" s="2" t="s">
        <v>271</v>
      </c>
      <c r="B6012" s="2" t="s">
        <v>272</v>
      </c>
      <c r="C6012" s="2">
        <v>1987.0</v>
      </c>
      <c r="D6012" s="9">
        <v>14512.888</v>
      </c>
      <c r="E6012" s="10" t="str">
        <f t="array" ref="E6012">IFS(D6012&lt;=$G$3,'calculated data '!$A$3,D6012&lt;=$G$4,'calculated data '!$A$4,D6012&lt;=$G$6,'calculated data '!$A$5,D6012&gt;=$G$6,'calculated data '!$A$6)</f>
        <v>Target Market (Core IQR)</v>
      </c>
      <c r="F6012" s="10">
        <f t="shared" si="1"/>
        <v>-0.2790189442</v>
      </c>
    </row>
    <row r="6013" ht="14.25" customHeight="1">
      <c r="A6013" s="2" t="s">
        <v>253</v>
      </c>
      <c r="B6013" s="2" t="s">
        <v>254</v>
      </c>
      <c r="C6013" s="2">
        <v>1982.0</v>
      </c>
      <c r="D6013" s="9">
        <v>14521.8</v>
      </c>
      <c r="E6013" s="10" t="str">
        <f t="array" ref="E6013">IFS(D6013&lt;=$G$3,'calculated data '!$A$3,D6013&lt;=$G$4,'calculated data '!$A$4,D6013&lt;=$G$6,'calculated data '!$A$5,D6013&gt;=$G$6,'calculated data '!$A$6)</f>
        <v>Target Market (Core IQR)</v>
      </c>
      <c r="F6013" s="10">
        <f t="shared" si="1"/>
        <v>-0.2787830457</v>
      </c>
    </row>
    <row r="6014" ht="14.25" customHeight="1">
      <c r="A6014" s="2" t="s">
        <v>293</v>
      </c>
      <c r="B6014" s="2" t="s">
        <v>294</v>
      </c>
      <c r="C6014" s="2">
        <v>2015.0</v>
      </c>
      <c r="D6014" s="9">
        <v>14522.445</v>
      </c>
      <c r="E6014" s="10" t="str">
        <f t="array" ref="E6014">IFS(D6014&lt;=$G$3,'calculated data '!$A$3,D6014&lt;=$G$4,'calculated data '!$A$4,D6014&lt;=$G$6,'calculated data '!$A$5,D6014&gt;=$G$6,'calculated data '!$A$6)</f>
        <v>Target Market (Core IQR)</v>
      </c>
      <c r="F6014" s="10">
        <f t="shared" si="1"/>
        <v>-0.2787659728</v>
      </c>
    </row>
    <row r="6015" ht="14.25" customHeight="1">
      <c r="A6015" s="2" t="s">
        <v>311</v>
      </c>
      <c r="B6015" s="2" t="s">
        <v>312</v>
      </c>
      <c r="C6015" s="2">
        <v>1985.0</v>
      </c>
      <c r="D6015" s="9">
        <v>14526.84</v>
      </c>
      <c r="E6015" s="10" t="str">
        <f t="array" ref="E6015">IFS(D6015&lt;=$G$3,'calculated data '!$A$3,D6015&lt;=$G$4,'calculated data '!$A$4,D6015&lt;=$G$6,'calculated data '!$A$5,D6015&gt;=$G$6,'calculated data '!$A$6)</f>
        <v>Target Market (Core IQR)</v>
      </c>
      <c r="F6015" s="10">
        <f t="shared" si="1"/>
        <v>-0.2786496382</v>
      </c>
    </row>
    <row r="6016" ht="14.25" customHeight="1">
      <c r="A6016" s="2" t="s">
        <v>301</v>
      </c>
      <c r="B6016" s="2" t="s">
        <v>302</v>
      </c>
      <c r="C6016" s="2">
        <v>1985.0</v>
      </c>
      <c r="D6016" s="9">
        <v>14531.825</v>
      </c>
      <c r="E6016" s="10" t="str">
        <f t="array" ref="E6016">IFS(D6016&lt;=$G$3,'calculated data '!$A$3,D6016&lt;=$G$4,'calculated data '!$A$4,D6016&lt;=$G$6,'calculated data '!$A$5,D6016&gt;=$G$6,'calculated data '!$A$6)</f>
        <v>Target Market (Core IQR)</v>
      </c>
      <c r="F6016" s="10">
        <f t="shared" si="1"/>
        <v>-0.2785176865</v>
      </c>
    </row>
    <row r="6017" ht="14.25" customHeight="1">
      <c r="A6017" s="2" t="s">
        <v>287</v>
      </c>
      <c r="B6017" s="2" t="s">
        <v>288</v>
      </c>
      <c r="C6017" s="2">
        <v>2001.0</v>
      </c>
      <c r="D6017" s="9">
        <v>14536.152</v>
      </c>
      <c r="E6017" s="10" t="str">
        <f t="array" ref="E6017">IFS(D6017&lt;=$G$3,'calculated data '!$A$3,D6017&lt;=$G$4,'calculated data '!$A$4,D6017&lt;=$G$6,'calculated data '!$A$5,D6017&gt;=$G$6,'calculated data '!$A$6)</f>
        <v>Target Market (Core IQR)</v>
      </c>
      <c r="F6017" s="10">
        <f t="shared" si="1"/>
        <v>-0.2784031519</v>
      </c>
    </row>
    <row r="6018" ht="14.25" customHeight="1">
      <c r="A6018" s="2" t="s">
        <v>251</v>
      </c>
      <c r="B6018" s="2" t="s">
        <v>252</v>
      </c>
      <c r="C6018" s="2">
        <v>2021.0</v>
      </c>
      <c r="D6018" s="9">
        <v>14537.152</v>
      </c>
      <c r="E6018" s="10" t="str">
        <f t="array" ref="E6018">IFS(D6018&lt;=$G$3,'calculated data '!$A$3,D6018&lt;=$G$4,'calculated data '!$A$4,D6018&lt;=$G$6,'calculated data '!$A$5,D6018&gt;=$G$6,'calculated data '!$A$6)</f>
        <v>Target Market (Core IQR)</v>
      </c>
      <c r="F6018" s="10">
        <f t="shared" si="1"/>
        <v>-0.2783766821</v>
      </c>
    </row>
    <row r="6019" ht="14.25" customHeight="1">
      <c r="A6019" s="2" t="s">
        <v>345</v>
      </c>
      <c r="B6019" s="2" t="s">
        <v>346</v>
      </c>
      <c r="C6019" s="2">
        <v>1999.0</v>
      </c>
      <c r="D6019" s="9">
        <v>14543.177</v>
      </c>
      <c r="E6019" s="10" t="str">
        <f t="array" ref="E6019">IFS(D6019&lt;=$G$3,'calculated data '!$A$3,D6019&lt;=$G$4,'calculated data '!$A$4,D6019&lt;=$G$6,'calculated data '!$A$5,D6019&gt;=$G$6,'calculated data '!$A$6)</f>
        <v>Target Market (Core IQR)</v>
      </c>
      <c r="F6019" s="10">
        <f t="shared" si="1"/>
        <v>-0.2782172019</v>
      </c>
    </row>
    <row r="6020" ht="14.25" customHeight="1">
      <c r="A6020" s="2" t="s">
        <v>293</v>
      </c>
      <c r="B6020" s="2" t="s">
        <v>294</v>
      </c>
      <c r="C6020" s="2">
        <v>2016.0</v>
      </c>
      <c r="D6020" s="9">
        <v>14546.091</v>
      </c>
      <c r="E6020" s="10" t="str">
        <f t="array" ref="E6020">IFS(D6020&lt;=$G$3,'calculated data '!$A$3,D6020&lt;=$G$4,'calculated data '!$A$4,D6020&lt;=$G$6,'calculated data '!$A$5,D6020&gt;=$G$6,'calculated data '!$A$6)</f>
        <v>Target Market (Core IQR)</v>
      </c>
      <c r="F6020" s="10">
        <f t="shared" si="1"/>
        <v>-0.278140069</v>
      </c>
    </row>
    <row r="6021" ht="14.25" customHeight="1">
      <c r="A6021" s="2" t="s">
        <v>345</v>
      </c>
      <c r="B6021" s="2" t="s">
        <v>346</v>
      </c>
      <c r="C6021" s="2">
        <v>2012.0</v>
      </c>
      <c r="D6021" s="9">
        <v>14569.306</v>
      </c>
      <c r="E6021" s="10" t="str">
        <f t="array" ref="E6021">IFS(D6021&lt;=$G$3,'calculated data '!$A$3,D6021&lt;=$G$4,'calculated data '!$A$4,D6021&lt;=$G$6,'calculated data '!$A$5,D6021&gt;=$G$6,'calculated data '!$A$6)</f>
        <v>Target Market (Core IQR)</v>
      </c>
      <c r="F6021" s="10">
        <f t="shared" si="1"/>
        <v>-0.2775255738</v>
      </c>
    </row>
    <row r="6022" ht="14.25" customHeight="1">
      <c r="A6022" s="2" t="s">
        <v>45</v>
      </c>
      <c r="B6022" s="2" t="s">
        <v>46</v>
      </c>
      <c r="C6022" s="2">
        <v>1998.0</v>
      </c>
      <c r="D6022" s="9">
        <v>14570.667</v>
      </c>
      <c r="E6022" s="10" t="str">
        <f t="array" ref="E6022">IFS(D6022&lt;=$G$3,'calculated data '!$A$3,D6022&lt;=$G$4,'calculated data '!$A$4,D6022&lt;=$G$6,'calculated data '!$A$5,D6022&gt;=$G$6,'calculated data '!$A$6)</f>
        <v>Target Market (Core IQR)</v>
      </c>
      <c r="F6022" s="10">
        <f t="shared" si="1"/>
        <v>-0.2774895484</v>
      </c>
    </row>
    <row r="6023" ht="14.25" customHeight="1">
      <c r="A6023" s="2" t="s">
        <v>227</v>
      </c>
      <c r="B6023" s="2" t="s">
        <v>228</v>
      </c>
      <c r="C6023" s="2">
        <v>2014.0</v>
      </c>
      <c r="D6023" s="9">
        <v>14571.278</v>
      </c>
      <c r="E6023" s="10" t="str">
        <f t="array" ref="E6023">IFS(D6023&lt;=$G$3,'calculated data '!$A$3,D6023&lt;=$G$4,'calculated data '!$A$4,D6023&lt;=$G$6,'calculated data '!$A$5,D6023&gt;=$G$6,'calculated data '!$A$6)</f>
        <v>Target Market (Core IQR)</v>
      </c>
      <c r="F6023" s="10">
        <f t="shared" si="1"/>
        <v>-0.2774733754</v>
      </c>
    </row>
    <row r="6024" ht="14.25" customHeight="1">
      <c r="A6024" s="2" t="s">
        <v>347</v>
      </c>
      <c r="B6024" s="2" t="s">
        <v>348</v>
      </c>
      <c r="C6024" s="2">
        <v>2018.0</v>
      </c>
      <c r="D6024" s="9">
        <v>14571.582</v>
      </c>
      <c r="E6024" s="10" t="str">
        <f t="array" ref="E6024">IFS(D6024&lt;=$G$3,'calculated data '!$A$3,D6024&lt;=$G$4,'calculated data '!$A$4,D6024&lt;=$G$6,'calculated data '!$A$5,D6024&gt;=$G$6,'calculated data '!$A$6)</f>
        <v>Target Market (Core IQR)</v>
      </c>
      <c r="F6024" s="10">
        <f t="shared" si="1"/>
        <v>-0.2774653286</v>
      </c>
    </row>
    <row r="6025" ht="14.25" customHeight="1">
      <c r="A6025" s="2" t="s">
        <v>329</v>
      </c>
      <c r="B6025" s="2" t="s">
        <v>330</v>
      </c>
      <c r="C6025" s="2">
        <v>2024.0</v>
      </c>
      <c r="D6025" s="9">
        <v>14576.3</v>
      </c>
      <c r="E6025" s="10" t="str">
        <f t="array" ref="E6025">IFS(D6025&lt;=$G$3,'calculated data '!$A$3,D6025&lt;=$G$4,'calculated data '!$A$4,D6025&lt;=$G$6,'calculated data '!$A$5,D6025&gt;=$G$6,'calculated data '!$A$6)</f>
        <v>Target Market (Core IQR)</v>
      </c>
      <c r="F6025" s="10">
        <f t="shared" si="1"/>
        <v>-0.2773404443</v>
      </c>
    </row>
    <row r="6026" ht="14.25" customHeight="1">
      <c r="A6026" s="2" t="s">
        <v>345</v>
      </c>
      <c r="B6026" s="2" t="s">
        <v>346</v>
      </c>
      <c r="C6026" s="2">
        <v>1993.0</v>
      </c>
      <c r="D6026" s="9">
        <v>14579.007</v>
      </c>
      <c r="E6026" s="10" t="str">
        <f t="array" ref="E6026">IFS(D6026&lt;=$G$3,'calculated data '!$A$3,D6026&lt;=$G$4,'calculated data '!$A$4,D6026&lt;=$G$6,'calculated data '!$A$5,D6026&gt;=$G$6,'calculated data '!$A$6)</f>
        <v>Target Market (Core IQR)</v>
      </c>
      <c r="F6026" s="10">
        <f t="shared" si="1"/>
        <v>-0.2772687907</v>
      </c>
    </row>
    <row r="6027" ht="14.25" customHeight="1">
      <c r="A6027" s="2" t="s">
        <v>339</v>
      </c>
      <c r="B6027" s="2" t="s">
        <v>340</v>
      </c>
      <c r="C6027" s="2">
        <v>2000.0</v>
      </c>
      <c r="D6027" s="9">
        <v>14581.739</v>
      </c>
      <c r="E6027" s="10" t="str">
        <f t="array" ref="E6027">IFS(D6027&lt;=$G$3,'calculated data '!$A$3,D6027&lt;=$G$4,'calculated data '!$A$4,D6027&lt;=$G$6,'calculated data '!$A$5,D6027&gt;=$G$6,'calculated data '!$A$6)</f>
        <v>Target Market (Core IQR)</v>
      </c>
      <c r="F6027" s="10">
        <f t="shared" si="1"/>
        <v>-0.2771964753</v>
      </c>
    </row>
    <row r="6028" ht="14.25" customHeight="1">
      <c r="A6028" s="2" t="s">
        <v>355</v>
      </c>
      <c r="B6028" s="2" t="s">
        <v>356</v>
      </c>
      <c r="C6028" s="2">
        <v>2020.0</v>
      </c>
      <c r="D6028" s="9">
        <v>14585.901</v>
      </c>
      <c r="E6028" s="10" t="str">
        <f t="array" ref="E6028">IFS(D6028&lt;=$G$3,'calculated data '!$A$3,D6028&lt;=$G$4,'calculated data '!$A$4,D6028&lt;=$G$6,'calculated data '!$A$5,D6028&gt;=$G$6,'calculated data '!$A$6)</f>
        <v>Target Market (Core IQR)</v>
      </c>
      <c r="F6028" s="10">
        <f t="shared" si="1"/>
        <v>-0.2770863082</v>
      </c>
    </row>
    <row r="6029" ht="14.25" customHeight="1">
      <c r="A6029" s="2" t="s">
        <v>329</v>
      </c>
      <c r="B6029" s="2" t="s">
        <v>330</v>
      </c>
      <c r="C6029" s="2">
        <v>2011.0</v>
      </c>
      <c r="D6029" s="9">
        <v>14590.872</v>
      </c>
      <c r="E6029" s="10" t="str">
        <f t="array" ref="E6029">IFS(D6029&lt;=$G$3,'calculated data '!$A$3,D6029&lt;=$G$4,'calculated data '!$A$4,D6029&lt;=$G$6,'calculated data '!$A$5,D6029&gt;=$G$6,'calculated data '!$A$6)</f>
        <v>Target Market (Core IQR)</v>
      </c>
      <c r="F6029" s="10">
        <f t="shared" si="1"/>
        <v>-0.2769547271</v>
      </c>
    </row>
    <row r="6030" ht="14.25" customHeight="1">
      <c r="A6030" s="2" t="s">
        <v>253</v>
      </c>
      <c r="B6030" s="2" t="s">
        <v>254</v>
      </c>
      <c r="C6030" s="2">
        <v>1984.0</v>
      </c>
      <c r="D6030" s="9">
        <v>14592.307</v>
      </c>
      <c r="E6030" s="10" t="str">
        <f t="array" ref="E6030">IFS(D6030&lt;=$G$3,'calculated data '!$A$3,D6030&lt;=$G$4,'calculated data '!$A$4,D6030&lt;=$G$6,'calculated data '!$A$5,D6030&gt;=$G$6,'calculated data '!$A$6)</f>
        <v>Target Market (Core IQR)</v>
      </c>
      <c r="F6030" s="10">
        <f t="shared" si="1"/>
        <v>-0.276916743</v>
      </c>
    </row>
    <row r="6031" ht="14.25" customHeight="1">
      <c r="A6031" s="2" t="s">
        <v>319</v>
      </c>
      <c r="B6031" s="2" t="s">
        <v>320</v>
      </c>
      <c r="C6031" s="2">
        <v>1971.0</v>
      </c>
      <c r="D6031" s="9">
        <v>14598.88</v>
      </c>
      <c r="E6031" s="10" t="str">
        <f t="array" ref="E6031">IFS(D6031&lt;=$G$3,'calculated data '!$A$3,D6031&lt;=$G$4,'calculated data '!$A$4,D6031&lt;=$G$6,'calculated data '!$A$5,D6031&gt;=$G$6,'calculated data '!$A$6)</f>
        <v>Target Market (Core IQR)</v>
      </c>
      <c r="F6031" s="10">
        <f t="shared" si="1"/>
        <v>-0.2767427573</v>
      </c>
    </row>
    <row r="6032" ht="14.25" customHeight="1">
      <c r="A6032" s="2" t="s">
        <v>233</v>
      </c>
      <c r="B6032" s="2" t="s">
        <v>234</v>
      </c>
      <c r="C6032" s="2">
        <v>2024.0</v>
      </c>
      <c r="D6032" s="9">
        <v>14599.45</v>
      </c>
      <c r="E6032" s="10" t="str">
        <f t="array" ref="E6032">IFS(D6032&lt;=$G$3,'calculated data '!$A$3,D6032&lt;=$G$4,'calculated data '!$A$4,D6032&lt;=$G$6,'calculated data '!$A$5,D6032&gt;=$G$6,'calculated data '!$A$6)</f>
        <v>Target Market (Core IQR)</v>
      </c>
      <c r="F6032" s="10">
        <f t="shared" si="1"/>
        <v>-0.2767276696</v>
      </c>
    </row>
    <row r="6033" ht="14.25" customHeight="1">
      <c r="A6033" s="2" t="s">
        <v>327</v>
      </c>
      <c r="B6033" s="2" t="s">
        <v>328</v>
      </c>
      <c r="C6033" s="2">
        <v>2019.0</v>
      </c>
      <c r="D6033" s="9">
        <v>14605.562</v>
      </c>
      <c r="E6033" s="10" t="str">
        <f t="array" ref="E6033">IFS(D6033&lt;=$G$3,'calculated data '!$A$3,D6033&lt;=$G$4,'calculated data '!$A$4,D6033&lt;=$G$6,'calculated data '!$A$5,D6033&gt;=$G$6,'calculated data '!$A$6)</f>
        <v>Target Market (Core IQR)</v>
      </c>
      <c r="F6033" s="10">
        <f t="shared" si="1"/>
        <v>-0.2765658865</v>
      </c>
    </row>
    <row r="6034" ht="14.25" customHeight="1">
      <c r="A6034" s="2" t="s">
        <v>227</v>
      </c>
      <c r="B6034" s="2" t="s">
        <v>228</v>
      </c>
      <c r="C6034" s="2">
        <v>2025.0</v>
      </c>
      <c r="D6034" s="9">
        <v>14608.531</v>
      </c>
      <c r="E6034" s="10" t="str">
        <f t="array" ref="E6034">IFS(D6034&lt;=$G$3,'calculated data '!$A$3,D6034&lt;=$G$4,'calculated data '!$A$4,D6034&lt;=$G$6,'calculated data '!$A$5,D6034&gt;=$G$6,'calculated data '!$A$6)</f>
        <v>Target Market (Core IQR)</v>
      </c>
      <c r="F6034" s="10">
        <f t="shared" si="1"/>
        <v>-0.2764872978</v>
      </c>
    </row>
    <row r="6035" ht="14.25" customHeight="1">
      <c r="A6035" s="2" t="s">
        <v>231</v>
      </c>
      <c r="B6035" s="2" t="s">
        <v>232</v>
      </c>
      <c r="C6035" s="2">
        <v>2006.0</v>
      </c>
      <c r="D6035" s="9">
        <v>14616.346</v>
      </c>
      <c r="E6035" s="10" t="str">
        <f t="array" ref="E6035">IFS(D6035&lt;=$G$3,'calculated data '!$A$3,D6035&lt;=$G$4,'calculated data '!$A$4,D6035&lt;=$G$6,'calculated data '!$A$5,D6035&gt;=$G$6,'calculated data '!$A$6)</f>
        <v>Target Market (Core IQR)</v>
      </c>
      <c r="F6035" s="10">
        <f t="shared" si="1"/>
        <v>-0.2762804367</v>
      </c>
    </row>
    <row r="6036" ht="14.25" customHeight="1">
      <c r="A6036" s="2" t="s">
        <v>345</v>
      </c>
      <c r="B6036" s="2" t="s">
        <v>346</v>
      </c>
      <c r="C6036" s="2">
        <v>2008.0</v>
      </c>
      <c r="D6036" s="9">
        <v>14620.076</v>
      </c>
      <c r="E6036" s="10" t="str">
        <f t="array" ref="E6036">IFS(D6036&lt;=$G$3,'calculated data '!$A$3,D6036&lt;=$G$4,'calculated data '!$A$4,D6036&lt;=$G$6,'calculated data '!$A$5,D6036&gt;=$G$6,'calculated data '!$A$6)</f>
        <v>Target Market (Core IQR)</v>
      </c>
      <c r="F6036" s="10">
        <f t="shared" si="1"/>
        <v>-0.2761817045</v>
      </c>
    </row>
    <row r="6037" ht="14.25" customHeight="1">
      <c r="A6037" s="2" t="s">
        <v>349</v>
      </c>
      <c r="B6037" s="2" t="s">
        <v>350</v>
      </c>
      <c r="C6037" s="2">
        <v>2002.0</v>
      </c>
      <c r="D6037" s="9">
        <v>14620.53</v>
      </c>
      <c r="E6037" s="10" t="str">
        <f t="array" ref="E6037">IFS(D6037&lt;=$G$3,'calculated data '!$A$3,D6037&lt;=$G$4,'calculated data '!$A$4,D6037&lt;=$G$6,'calculated data '!$A$5,D6037&gt;=$G$6,'calculated data '!$A$6)</f>
        <v>Target Market (Core IQR)</v>
      </c>
      <c r="F6037" s="10">
        <f t="shared" si="1"/>
        <v>-0.2761696872</v>
      </c>
    </row>
    <row r="6038" ht="14.25" customHeight="1">
      <c r="A6038" s="2" t="s">
        <v>311</v>
      </c>
      <c r="B6038" s="2" t="s">
        <v>312</v>
      </c>
      <c r="C6038" s="2">
        <v>2004.0</v>
      </c>
      <c r="D6038" s="9">
        <v>14648.089</v>
      </c>
      <c r="E6038" s="10" t="str">
        <f t="array" ref="E6038">IFS(D6038&lt;=$G$3,'calculated data '!$A$3,D6038&lt;=$G$4,'calculated data '!$A$4,D6038&lt;=$G$6,'calculated data '!$A$5,D6038&gt;=$G$6,'calculated data '!$A$6)</f>
        <v>Target Market (Core IQR)</v>
      </c>
      <c r="F6038" s="10">
        <f t="shared" si="1"/>
        <v>-0.2754402074</v>
      </c>
    </row>
    <row r="6039" ht="14.25" customHeight="1">
      <c r="A6039" s="2" t="s">
        <v>317</v>
      </c>
      <c r="B6039" s="2" t="s">
        <v>318</v>
      </c>
      <c r="C6039" s="2">
        <v>2006.0</v>
      </c>
      <c r="D6039" s="9">
        <v>14650.105</v>
      </c>
      <c r="E6039" s="10" t="str">
        <f t="array" ref="E6039">IFS(D6039&lt;=$G$3,'calculated data '!$A$3,D6039&lt;=$G$4,'calculated data '!$A$4,D6039&lt;=$G$6,'calculated data '!$A$5,D6039&gt;=$G$6,'calculated data '!$A$6)</f>
        <v>Target Market (Core IQR)</v>
      </c>
      <c r="F6039" s="10">
        <f t="shared" si="1"/>
        <v>-0.2753868444</v>
      </c>
    </row>
    <row r="6040" ht="14.25" customHeight="1">
      <c r="A6040" s="2" t="s">
        <v>357</v>
      </c>
      <c r="B6040" s="2" t="s">
        <v>358</v>
      </c>
      <c r="C6040" s="2">
        <v>1990.0</v>
      </c>
      <c r="D6040" s="9">
        <v>14664.321</v>
      </c>
      <c r="E6040" s="10" t="str">
        <f t="array" ref="E6040">IFS(D6040&lt;=$G$3,'calculated data '!$A$3,D6040&lt;=$G$4,'calculated data '!$A$4,D6040&lt;=$G$6,'calculated data '!$A$5,D6040&gt;=$G$6,'calculated data '!$A$6)</f>
        <v>Target Market (Core IQR)</v>
      </c>
      <c r="F6040" s="10">
        <f t="shared" si="1"/>
        <v>-0.2750105504</v>
      </c>
    </row>
    <row r="6041" ht="14.25" customHeight="1">
      <c r="A6041" s="2" t="s">
        <v>345</v>
      </c>
      <c r="B6041" s="2" t="s">
        <v>346</v>
      </c>
      <c r="C6041" s="2">
        <v>2024.0</v>
      </c>
      <c r="D6041" s="9">
        <v>14665.6875</v>
      </c>
      <c r="E6041" s="10" t="str">
        <f t="array" ref="E6041">IFS(D6041&lt;=$G$3,'calculated data '!$A$3,D6041&lt;=$G$4,'calculated data '!$A$4,D6041&lt;=$G$6,'calculated data '!$A$5,D6041&gt;=$G$6,'calculated data '!$A$6)</f>
        <v>Target Market (Core IQR)</v>
      </c>
      <c r="F6041" s="10">
        <f t="shared" si="1"/>
        <v>-0.2749743795</v>
      </c>
    </row>
    <row r="6042" ht="14.25" customHeight="1">
      <c r="A6042" s="2" t="s">
        <v>269</v>
      </c>
      <c r="B6042" s="2" t="s">
        <v>270</v>
      </c>
      <c r="C6042" s="2">
        <v>2005.0</v>
      </c>
      <c r="D6042" s="9">
        <v>14674.131</v>
      </c>
      <c r="E6042" s="10" t="str">
        <f t="array" ref="E6042">IFS(D6042&lt;=$G$3,'calculated data '!$A$3,D6042&lt;=$G$4,'calculated data '!$A$4,D6042&lt;=$G$6,'calculated data '!$A$5,D6042&gt;=$G$6,'calculated data '!$A$6)</f>
        <v>Target Market (Core IQR)</v>
      </c>
      <c r="F6042" s="10">
        <f t="shared" si="1"/>
        <v>-0.2747508821</v>
      </c>
    </row>
    <row r="6043" ht="14.25" customHeight="1">
      <c r="A6043" s="2" t="s">
        <v>357</v>
      </c>
      <c r="B6043" s="2" t="s">
        <v>358</v>
      </c>
      <c r="C6043" s="2">
        <v>1970.0</v>
      </c>
      <c r="D6043" s="9">
        <v>14675.655</v>
      </c>
      <c r="E6043" s="10" t="str">
        <f t="array" ref="E6043">IFS(D6043&lt;=$G$3,'calculated data '!$A$3,D6043&lt;=$G$4,'calculated data '!$A$4,D6043&lt;=$G$6,'calculated data '!$A$5,D6043&gt;=$G$6,'calculated data '!$A$6)</f>
        <v>Target Market (Core IQR)</v>
      </c>
      <c r="F6043" s="10">
        <f t="shared" si="1"/>
        <v>-0.2747105422</v>
      </c>
    </row>
    <row r="6044" ht="14.25" customHeight="1">
      <c r="A6044" s="2" t="s">
        <v>319</v>
      </c>
      <c r="B6044" s="2" t="s">
        <v>320</v>
      </c>
      <c r="C6044" s="2">
        <v>1977.0</v>
      </c>
      <c r="D6044" s="9">
        <v>14685.842</v>
      </c>
      <c r="E6044" s="10" t="str">
        <f t="array" ref="E6044">IFS(D6044&lt;=$G$3,'calculated data '!$A$3,D6044&lt;=$G$4,'calculated data '!$A$4,D6044&lt;=$G$6,'calculated data '!$A$5,D6044&gt;=$G$6,'calculated data '!$A$6)</f>
        <v>Target Market (Core IQR)</v>
      </c>
      <c r="F6044" s="10">
        <f t="shared" si="1"/>
        <v>-0.2744408949</v>
      </c>
    </row>
    <row r="6045" ht="14.25" customHeight="1">
      <c r="A6045" s="2" t="s">
        <v>99</v>
      </c>
      <c r="B6045" s="2" t="s">
        <v>100</v>
      </c>
      <c r="C6045" s="2">
        <v>2024.0</v>
      </c>
      <c r="D6045" s="9">
        <v>14692.095</v>
      </c>
      <c r="E6045" s="10" t="str">
        <f t="array" ref="E6045">IFS(D6045&lt;=$G$3,'calculated data '!$A$3,D6045&lt;=$G$4,'calculated data '!$A$4,D6045&lt;=$G$6,'calculated data '!$A$5,D6045&gt;=$G$6,'calculated data '!$A$6)</f>
        <v>Target Market (Core IQR)</v>
      </c>
      <c r="F6045" s="10">
        <f t="shared" si="1"/>
        <v>-0.2742753795</v>
      </c>
    </row>
    <row r="6046" ht="14.25" customHeight="1">
      <c r="A6046" s="2" t="s">
        <v>301</v>
      </c>
      <c r="B6046" s="2" t="s">
        <v>302</v>
      </c>
      <c r="C6046" s="2">
        <v>1989.0</v>
      </c>
      <c r="D6046" s="9">
        <v>14693.04</v>
      </c>
      <c r="E6046" s="10" t="str">
        <f t="array" ref="E6046">IFS(D6046&lt;=$G$3,'calculated data '!$A$3,D6046&lt;=$G$4,'calculated data '!$A$4,D6046&lt;=$G$6,'calculated data '!$A$5,D6046&gt;=$G$6,'calculated data '!$A$6)</f>
        <v>Target Market (Core IQR)</v>
      </c>
      <c r="F6046" s="10">
        <f t="shared" si="1"/>
        <v>-0.2742503656</v>
      </c>
    </row>
    <row r="6047" ht="14.25" customHeight="1">
      <c r="A6047" s="2" t="s">
        <v>247</v>
      </c>
      <c r="B6047" s="2" t="s">
        <v>248</v>
      </c>
      <c r="C6047" s="2">
        <v>2005.0</v>
      </c>
      <c r="D6047" s="9">
        <v>14701.655</v>
      </c>
      <c r="E6047" s="10" t="str">
        <f t="array" ref="E6047">IFS(D6047&lt;=$G$3,'calculated data '!$A$3,D6047&lt;=$G$4,'calculated data '!$A$4,D6047&lt;=$G$6,'calculated data '!$A$5,D6047&gt;=$G$6,'calculated data '!$A$6)</f>
        <v>Target Market (Core IQR)</v>
      </c>
      <c r="F6047" s="10">
        <f t="shared" si="1"/>
        <v>-0.2740223287</v>
      </c>
    </row>
    <row r="6048" ht="14.25" customHeight="1">
      <c r="A6048" s="2" t="s">
        <v>207</v>
      </c>
      <c r="B6048" s="2" t="s">
        <v>208</v>
      </c>
      <c r="C6048" s="2">
        <v>2020.0</v>
      </c>
      <c r="D6048" s="9">
        <v>14706.195</v>
      </c>
      <c r="E6048" s="10" t="str">
        <f t="array" ref="E6048">IFS(D6048&lt;=$G$3,'calculated data '!$A$3,D6048&lt;=$G$4,'calculated data '!$A$4,D6048&lt;=$G$6,'calculated data '!$A$5,D6048&gt;=$G$6,'calculated data '!$A$6)</f>
        <v>Target Market (Core IQR)</v>
      </c>
      <c r="F6048" s="10">
        <f t="shared" si="1"/>
        <v>-0.273902156</v>
      </c>
    </row>
    <row r="6049" ht="14.25" customHeight="1">
      <c r="A6049" s="2" t="s">
        <v>269</v>
      </c>
      <c r="B6049" s="2" t="s">
        <v>270</v>
      </c>
      <c r="C6049" s="2">
        <v>2006.0</v>
      </c>
      <c r="D6049" s="9">
        <v>14710.876</v>
      </c>
      <c r="E6049" s="10" t="str">
        <f t="array" ref="E6049">IFS(D6049&lt;=$G$3,'calculated data '!$A$3,D6049&lt;=$G$4,'calculated data '!$A$4,D6049&lt;=$G$6,'calculated data '!$A$5,D6049&gt;=$G$6,'calculated data '!$A$6)</f>
        <v>Target Market (Core IQR)</v>
      </c>
      <c r="F6049" s="10">
        <f t="shared" si="1"/>
        <v>-0.2737782511</v>
      </c>
    </row>
    <row r="6050" ht="14.25" customHeight="1">
      <c r="A6050" s="2" t="s">
        <v>237</v>
      </c>
      <c r="B6050" s="2" t="s">
        <v>238</v>
      </c>
      <c r="C6050" s="2">
        <v>2024.0</v>
      </c>
      <c r="D6050" s="9">
        <v>14715.578</v>
      </c>
      <c r="E6050" s="10" t="str">
        <f t="array" ref="E6050">IFS(D6050&lt;=$G$3,'calculated data '!$A$3,D6050&lt;=$G$4,'calculated data '!$A$4,D6050&lt;=$G$6,'calculated data '!$A$5,D6050&gt;=$G$6,'calculated data '!$A$6)</f>
        <v>Target Market (Core IQR)</v>
      </c>
      <c r="F6050" s="10">
        <f t="shared" si="1"/>
        <v>-0.2736537903</v>
      </c>
    </row>
    <row r="6051" ht="14.25" customHeight="1">
      <c r="A6051" s="2" t="s">
        <v>357</v>
      </c>
      <c r="B6051" s="2" t="s">
        <v>358</v>
      </c>
      <c r="C6051" s="2">
        <v>1985.0</v>
      </c>
      <c r="D6051" s="9">
        <v>14727.061</v>
      </c>
      <c r="E6051" s="10" t="str">
        <f t="array" ref="E6051">IFS(D6051&lt;=$G$3,'calculated data '!$A$3,D6051&lt;=$G$4,'calculated data '!$A$4,D6051&lt;=$G$6,'calculated data '!$A$5,D6051&gt;=$G$6,'calculated data '!$A$6)</f>
        <v>Target Market (Core IQR)</v>
      </c>
      <c r="F6051" s="10">
        <f t="shared" si="1"/>
        <v>-0.2733498382</v>
      </c>
    </row>
    <row r="6052" ht="14.25" customHeight="1">
      <c r="A6052" s="2" t="s">
        <v>293</v>
      </c>
      <c r="B6052" s="2" t="s">
        <v>294</v>
      </c>
      <c r="C6052" s="2">
        <v>2009.0</v>
      </c>
      <c r="D6052" s="9">
        <v>14728.558</v>
      </c>
      <c r="E6052" s="10" t="str">
        <f t="array" ref="E6052">IFS(D6052&lt;=$G$3,'calculated data '!$A$3,D6052&lt;=$G$4,'calculated data '!$A$4,D6052&lt;=$G$6,'calculated data '!$A$5,D6052&gt;=$G$6,'calculated data '!$A$6)</f>
        <v>Target Market (Core IQR)</v>
      </c>
      <c r="F6052" s="10">
        <f t="shared" si="1"/>
        <v>-0.273310213</v>
      </c>
    </row>
    <row r="6053" ht="14.25" customHeight="1">
      <c r="A6053" s="2" t="s">
        <v>229</v>
      </c>
      <c r="B6053" s="2" t="s">
        <v>230</v>
      </c>
      <c r="C6053" s="2">
        <v>2010.0</v>
      </c>
      <c r="D6053" s="9">
        <v>14744.384</v>
      </c>
      <c r="E6053" s="10" t="str">
        <f t="array" ref="E6053">IFS(D6053&lt;=$G$3,'calculated data '!$A$3,D6053&lt;=$G$4,'calculated data '!$A$4,D6053&lt;=$G$6,'calculated data '!$A$5,D6053&gt;=$G$6,'calculated data '!$A$6)</f>
        <v>Target Market (Core IQR)</v>
      </c>
      <c r="F6053" s="10">
        <f t="shared" si="1"/>
        <v>-0.2728913027</v>
      </c>
    </row>
    <row r="6054" ht="14.25" customHeight="1">
      <c r="A6054" s="2" t="s">
        <v>357</v>
      </c>
      <c r="B6054" s="2" t="s">
        <v>358</v>
      </c>
      <c r="C6054" s="2">
        <v>1965.0</v>
      </c>
      <c r="D6054" s="9">
        <v>14748.587</v>
      </c>
      <c r="E6054" s="10" t="str">
        <f t="array" ref="E6054">IFS(D6054&lt;=$G$3,'calculated data '!$A$3,D6054&lt;=$G$4,'calculated data '!$A$4,D6054&lt;=$G$6,'calculated data '!$A$5,D6054&gt;=$G$6,'calculated data '!$A$6)</f>
        <v>Target Market (Core IQR)</v>
      </c>
      <c r="F6054" s="10">
        <f t="shared" si="1"/>
        <v>-0.2727800503</v>
      </c>
    </row>
    <row r="6055" ht="14.25" customHeight="1">
      <c r="A6055" s="2" t="s">
        <v>235</v>
      </c>
      <c r="B6055" s="2" t="s">
        <v>236</v>
      </c>
      <c r="C6055" s="2">
        <v>1981.0</v>
      </c>
      <c r="D6055" s="9">
        <v>14756.767</v>
      </c>
      <c r="E6055" s="10" t="str">
        <f t="array" ref="E6055">IFS(D6055&lt;=$G$3,'calculated data '!$A$3,D6055&lt;=$G$4,'calculated data '!$A$4,D6055&lt;=$G$6,'calculated data '!$A$5,D6055&gt;=$G$6,'calculated data '!$A$6)</f>
        <v>Target Market (Core IQR)</v>
      </c>
      <c r="F6055" s="10">
        <f t="shared" si="1"/>
        <v>-0.2725635278</v>
      </c>
    </row>
    <row r="6056" ht="14.25" customHeight="1">
      <c r="A6056" s="2" t="s">
        <v>297</v>
      </c>
      <c r="B6056" s="2" t="s">
        <v>298</v>
      </c>
      <c r="C6056" s="2">
        <v>2017.0</v>
      </c>
      <c r="D6056" s="9">
        <v>14774.392</v>
      </c>
      <c r="E6056" s="10" t="str">
        <f t="array" ref="E6056">IFS(D6056&lt;=$G$3,'calculated data '!$A$3,D6056&lt;=$G$4,'calculated data '!$A$4,D6056&lt;=$G$6,'calculated data '!$A$5,D6056&gt;=$G$6,'calculated data '!$A$6)</f>
        <v>Target Market (Core IQR)</v>
      </c>
      <c r="F6056" s="10">
        <f t="shared" si="1"/>
        <v>-0.2720969984</v>
      </c>
    </row>
    <row r="6057" ht="14.25" customHeight="1">
      <c r="A6057" s="2" t="s">
        <v>293</v>
      </c>
      <c r="B6057" s="2" t="s">
        <v>294</v>
      </c>
      <c r="C6057" s="2">
        <v>2021.0</v>
      </c>
      <c r="D6057" s="9">
        <v>14784.176</v>
      </c>
      <c r="E6057" s="10" t="str">
        <f t="array" ref="E6057">IFS(D6057&lt;=$G$3,'calculated data '!$A$3,D6057&lt;=$G$4,'calculated data '!$A$4,D6057&lt;=$G$6,'calculated data '!$A$5,D6057&gt;=$G$6,'calculated data '!$A$6)</f>
        <v>Target Market (Core IQR)</v>
      </c>
      <c r="F6057" s="10">
        <f t="shared" si="1"/>
        <v>-0.2718380184</v>
      </c>
    </row>
    <row r="6058" ht="14.25" customHeight="1">
      <c r="A6058" s="2" t="s">
        <v>253</v>
      </c>
      <c r="B6058" s="2" t="s">
        <v>254</v>
      </c>
      <c r="C6058" s="2">
        <v>1981.0</v>
      </c>
      <c r="D6058" s="9">
        <v>14787.413</v>
      </c>
      <c r="E6058" s="10" t="str">
        <f t="array" ref="E6058">IFS(D6058&lt;=$G$3,'calculated data '!$A$3,D6058&lt;=$G$4,'calculated data '!$A$4,D6058&lt;=$G$6,'calculated data '!$A$5,D6058&gt;=$G$6,'calculated data '!$A$6)</f>
        <v>Target Market (Core IQR)</v>
      </c>
      <c r="F6058" s="10">
        <f t="shared" si="1"/>
        <v>-0.2717523358</v>
      </c>
    </row>
    <row r="6059" ht="14.25" customHeight="1">
      <c r="A6059" s="2" t="s">
        <v>359</v>
      </c>
      <c r="B6059" s="2" t="s">
        <v>360</v>
      </c>
      <c r="C6059" s="2">
        <v>1965.0</v>
      </c>
      <c r="D6059" s="9">
        <v>14789.356</v>
      </c>
      <c r="E6059" s="10" t="str">
        <f t="array" ref="E6059">IFS(D6059&lt;=$G$3,'calculated data '!$A$3,D6059&lt;=$G$4,'calculated data '!$A$4,D6059&lt;=$G$6,'calculated data '!$A$5,D6059&gt;=$G$6,'calculated data '!$A$6)</f>
        <v>Target Market (Core IQR)</v>
      </c>
      <c r="F6059" s="10">
        <f t="shared" si="1"/>
        <v>-0.2717009051</v>
      </c>
    </row>
    <row r="6060" ht="14.25" customHeight="1">
      <c r="A6060" s="2" t="s">
        <v>28</v>
      </c>
      <c r="B6060" s="2" t="s">
        <v>29</v>
      </c>
      <c r="C6060" s="2">
        <v>2008.0</v>
      </c>
      <c r="D6060" s="9">
        <v>14792.063</v>
      </c>
      <c r="E6060" s="10" t="str">
        <f t="array" ref="E6060">IFS(D6060&lt;=$G$3,'calculated data '!$A$3,D6060&lt;=$G$4,'calculated data '!$A$4,D6060&lt;=$G$6,'calculated data '!$A$5,D6060&gt;=$G$6,'calculated data '!$A$6)</f>
        <v>Target Market (Core IQR)</v>
      </c>
      <c r="F6060" s="10">
        <f t="shared" si="1"/>
        <v>-0.2716292514</v>
      </c>
    </row>
    <row r="6061" ht="14.25" customHeight="1">
      <c r="A6061" s="2" t="s">
        <v>321</v>
      </c>
      <c r="B6061" s="2" t="s">
        <v>322</v>
      </c>
      <c r="C6061" s="2">
        <v>1982.0</v>
      </c>
      <c r="D6061" s="9">
        <v>14794.88</v>
      </c>
      <c r="E6061" s="10" t="str">
        <f t="array" ref="E6061">IFS(D6061&lt;=$G$3,'calculated data '!$A$3,D6061&lt;=$G$4,'calculated data '!$A$4,D6061&lt;=$G$6,'calculated data '!$A$5,D6061&gt;=$G$6,'calculated data '!$A$6)</f>
        <v>Target Market (Core IQR)</v>
      </c>
      <c r="F6061" s="10">
        <f t="shared" si="1"/>
        <v>-0.2715546862</v>
      </c>
    </row>
    <row r="6062" ht="14.25" customHeight="1">
      <c r="A6062" s="2" t="s">
        <v>247</v>
      </c>
      <c r="B6062" s="2" t="s">
        <v>248</v>
      </c>
      <c r="C6062" s="2">
        <v>2012.0</v>
      </c>
      <c r="D6062" s="9">
        <v>14796.282</v>
      </c>
      <c r="E6062" s="10" t="str">
        <f t="array" ref="E6062">IFS(D6062&lt;=$G$3,'calculated data '!$A$3,D6062&lt;=$G$4,'calculated data '!$A$4,D6062&lt;=$G$6,'calculated data '!$A$5,D6062&gt;=$G$6,'calculated data '!$A$6)</f>
        <v>Target Market (Core IQR)</v>
      </c>
      <c r="F6062" s="10">
        <f t="shared" si="1"/>
        <v>-0.2715175756</v>
      </c>
    </row>
    <row r="6063" ht="14.25" customHeight="1">
      <c r="A6063" s="2" t="s">
        <v>31</v>
      </c>
      <c r="B6063" s="2" t="s">
        <v>32</v>
      </c>
      <c r="C6063" s="2">
        <v>1992.0</v>
      </c>
      <c r="D6063" s="9">
        <v>14805.509</v>
      </c>
      <c r="E6063" s="10" t="str">
        <f t="array" ref="E6063">IFS(D6063&lt;=$G$3,'calculated data '!$A$3,D6063&lt;=$G$4,'calculated data '!$A$4,D6063&lt;=$G$6,'calculated data '!$A$5,D6063&gt;=$G$6,'calculated data '!$A$6)</f>
        <v>Target Market (Core IQR)</v>
      </c>
      <c r="F6063" s="10">
        <f t="shared" si="1"/>
        <v>-0.2712733392</v>
      </c>
    </row>
    <row r="6064" ht="14.25" customHeight="1">
      <c r="A6064" s="2" t="s">
        <v>247</v>
      </c>
      <c r="B6064" s="2" t="s">
        <v>248</v>
      </c>
      <c r="C6064" s="2">
        <v>2006.0</v>
      </c>
      <c r="D6064" s="9">
        <v>14805.982</v>
      </c>
      <c r="E6064" s="10" t="str">
        <f t="array" ref="E6064">IFS(D6064&lt;=$G$3,'calculated data '!$A$3,D6064&lt;=$G$4,'calculated data '!$A$4,D6064&lt;=$G$6,'calculated data '!$A$5,D6064&gt;=$G$6,'calculated data '!$A$6)</f>
        <v>Target Market (Core IQR)</v>
      </c>
      <c r="F6064" s="10">
        <f t="shared" si="1"/>
        <v>-0.271260819</v>
      </c>
    </row>
    <row r="6065" ht="14.25" customHeight="1">
      <c r="A6065" s="2" t="s">
        <v>293</v>
      </c>
      <c r="B6065" s="2" t="s">
        <v>294</v>
      </c>
      <c r="C6065" s="2">
        <v>2022.0</v>
      </c>
      <c r="D6065" s="9">
        <v>14808.726</v>
      </c>
      <c r="E6065" s="10" t="str">
        <f t="array" ref="E6065">IFS(D6065&lt;=$G$3,'calculated data '!$A$3,D6065&lt;=$G$4,'calculated data '!$A$4,D6065&lt;=$G$6,'calculated data '!$A$5,D6065&gt;=$G$6,'calculated data '!$A$6)</f>
        <v>Target Market (Core IQR)</v>
      </c>
      <c r="F6065" s="10">
        <f t="shared" si="1"/>
        <v>-0.271188186</v>
      </c>
    </row>
    <row r="6066" ht="14.25" customHeight="1">
      <c r="A6066" s="2" t="s">
        <v>253</v>
      </c>
      <c r="B6066" s="2" t="s">
        <v>254</v>
      </c>
      <c r="C6066" s="2">
        <v>1983.0</v>
      </c>
      <c r="D6066" s="9">
        <v>14811.815</v>
      </c>
      <c r="E6066" s="10" t="str">
        <f t="array" ref="E6066">IFS(D6066&lt;=$G$3,'calculated data '!$A$3,D6066&lt;=$G$4,'calculated data '!$A$4,D6066&lt;=$G$6,'calculated data '!$A$5,D6066&gt;=$G$6,'calculated data '!$A$6)</f>
        <v>Target Market (Core IQR)</v>
      </c>
      <c r="F6066" s="10">
        <f t="shared" si="1"/>
        <v>-0.2711064209</v>
      </c>
    </row>
    <row r="6067" ht="14.25" customHeight="1">
      <c r="A6067" s="2" t="s">
        <v>267</v>
      </c>
      <c r="B6067" s="2" t="s">
        <v>268</v>
      </c>
      <c r="C6067" s="2">
        <v>1994.0</v>
      </c>
      <c r="D6067" s="9">
        <v>14812.512</v>
      </c>
      <c r="E6067" s="10" t="str">
        <f t="array" ref="E6067">IFS(D6067&lt;=$G$3,'calculated data '!$A$3,D6067&lt;=$G$4,'calculated data '!$A$4,D6067&lt;=$G$6,'calculated data '!$A$5,D6067&gt;=$G$6,'calculated data '!$A$6)</f>
        <v>Target Market (Core IQR)</v>
      </c>
      <c r="F6067" s="10">
        <f t="shared" si="1"/>
        <v>-0.2710879715</v>
      </c>
    </row>
    <row r="6068" ht="14.25" customHeight="1">
      <c r="A6068" s="2" t="s">
        <v>357</v>
      </c>
      <c r="B6068" s="2" t="s">
        <v>358</v>
      </c>
      <c r="C6068" s="2">
        <v>1991.0</v>
      </c>
      <c r="D6068" s="9">
        <v>14832.151</v>
      </c>
      <c r="E6068" s="10" t="str">
        <f t="array" ref="E6068">IFS(D6068&lt;=$G$3,'calculated data '!$A$3,D6068&lt;=$G$4,'calculated data '!$A$4,D6068&lt;=$G$6,'calculated data '!$A$5,D6068&gt;=$G$6,'calculated data '!$A$6)</f>
        <v>Target Market (Core IQR)</v>
      </c>
      <c r="F6068" s="10">
        <f t="shared" si="1"/>
        <v>-0.2705681321</v>
      </c>
    </row>
    <row r="6069" ht="14.25" customHeight="1">
      <c r="A6069" s="2" t="s">
        <v>297</v>
      </c>
      <c r="B6069" s="2" t="s">
        <v>298</v>
      </c>
      <c r="C6069" s="2">
        <v>2016.0</v>
      </c>
      <c r="D6069" s="9">
        <v>14855.349</v>
      </c>
      <c r="E6069" s="10" t="str">
        <f t="array" ref="E6069">IFS(D6069&lt;=$G$3,'calculated data '!$A$3,D6069&lt;=$G$4,'calculated data '!$A$4,D6069&lt;=$G$6,'calculated data '!$A$5,D6069&gt;=$G$6,'calculated data '!$A$6)</f>
        <v>Target Market (Core IQR)</v>
      </c>
      <c r="F6069" s="10">
        <f t="shared" si="1"/>
        <v>-0.2699540868</v>
      </c>
    </row>
    <row r="6070" ht="14.25" customHeight="1">
      <c r="A6070" s="2" t="s">
        <v>329</v>
      </c>
      <c r="B6070" s="2" t="s">
        <v>330</v>
      </c>
      <c r="C6070" s="2">
        <v>2017.0</v>
      </c>
      <c r="D6070" s="9">
        <v>14855.548</v>
      </c>
      <c r="E6070" s="10" t="str">
        <f t="array" ref="E6070">IFS(D6070&lt;=$G$3,'calculated data '!$A$3,D6070&lt;=$G$4,'calculated data '!$A$4,D6070&lt;=$G$6,'calculated data '!$A$5,D6070&gt;=$G$6,'calculated data '!$A$6)</f>
        <v>Target Market (Core IQR)</v>
      </c>
      <c r="F6070" s="10">
        <f t="shared" si="1"/>
        <v>-0.2699488193</v>
      </c>
    </row>
    <row r="6071" ht="14.25" customHeight="1">
      <c r="A6071" s="2" t="s">
        <v>57</v>
      </c>
      <c r="B6071" s="2" t="s">
        <v>58</v>
      </c>
      <c r="C6071" s="2">
        <v>1970.0</v>
      </c>
      <c r="D6071" s="9">
        <v>14864.775</v>
      </c>
      <c r="E6071" s="10" t="str">
        <f t="array" ref="E6071">IFS(D6071&lt;=$G$3,'calculated data '!$A$3,D6071&lt;=$G$4,'calculated data '!$A$4,D6071&lt;=$G$6,'calculated data '!$A$5,D6071&gt;=$G$6,'calculated data '!$A$6)</f>
        <v>Target Market (Core IQR)</v>
      </c>
      <c r="F6071" s="10">
        <f t="shared" si="1"/>
        <v>-0.2697045829</v>
      </c>
    </row>
    <row r="6072" ht="14.25" customHeight="1">
      <c r="A6072" s="2" t="s">
        <v>233</v>
      </c>
      <c r="B6072" s="2" t="s">
        <v>234</v>
      </c>
      <c r="C6072" s="2">
        <v>2025.0</v>
      </c>
      <c r="D6072" s="9">
        <v>14867.331</v>
      </c>
      <c r="E6072" s="10" t="str">
        <f t="array" ref="E6072">IFS(D6072&lt;=$G$3,'calculated data '!$A$3,D6072&lt;=$G$4,'calculated data '!$A$4,D6072&lt;=$G$6,'calculated data '!$A$5,D6072&gt;=$G$6,'calculated data '!$A$6)</f>
        <v>Target Market (Core IQR)</v>
      </c>
      <c r="F6072" s="10">
        <f t="shared" si="1"/>
        <v>-0.2696369262</v>
      </c>
    </row>
    <row r="6073" ht="14.25" customHeight="1">
      <c r="A6073" s="2" t="s">
        <v>339</v>
      </c>
      <c r="B6073" s="2" t="s">
        <v>340</v>
      </c>
      <c r="C6073" s="2">
        <v>2007.0</v>
      </c>
      <c r="D6073" s="9">
        <v>14876.507</v>
      </c>
      <c r="E6073" s="10" t="str">
        <f t="array" ref="E6073">IFS(D6073&lt;=$G$3,'calculated data '!$A$3,D6073&lt;=$G$4,'calculated data '!$A$4,D6073&lt;=$G$6,'calculated data '!$A$5,D6073&gt;=$G$6,'calculated data '!$A$6)</f>
        <v>Target Market (Core IQR)</v>
      </c>
      <c r="F6073" s="10">
        <f t="shared" si="1"/>
        <v>-0.2693940398</v>
      </c>
    </row>
    <row r="6074" ht="14.25" customHeight="1">
      <c r="A6074" s="2" t="s">
        <v>297</v>
      </c>
      <c r="B6074" s="2" t="s">
        <v>298</v>
      </c>
      <c r="C6074" s="2">
        <v>2018.0</v>
      </c>
      <c r="D6074" s="9">
        <v>14901.221</v>
      </c>
      <c r="E6074" s="10" t="str">
        <f t="array" ref="E6074">IFS(D6074&lt;=$G$3,'calculated data '!$A$3,D6074&lt;=$G$4,'calculated data '!$A$4,D6074&lt;=$G$6,'calculated data '!$A$5,D6074&gt;=$G$6,'calculated data '!$A$6)</f>
        <v>Target Market (Core IQR)</v>
      </c>
      <c r="F6074" s="10">
        <f t="shared" si="1"/>
        <v>-0.2687398664</v>
      </c>
    </row>
    <row r="6075" ht="14.25" customHeight="1">
      <c r="A6075" s="2" t="s">
        <v>345</v>
      </c>
      <c r="B6075" s="2" t="s">
        <v>346</v>
      </c>
      <c r="C6075" s="2">
        <v>2007.0</v>
      </c>
      <c r="D6075" s="9">
        <v>14905.178</v>
      </c>
      <c r="E6075" s="10" t="str">
        <f t="array" ref="E6075">IFS(D6075&lt;=$G$3,'calculated data '!$A$3,D6075&lt;=$G$4,'calculated data '!$A$4,D6075&lt;=$G$6,'calculated data '!$A$5,D6075&gt;=$G$6,'calculated data '!$A$6)</f>
        <v>Target Market (Core IQR)</v>
      </c>
      <c r="F6075" s="10">
        <f t="shared" si="1"/>
        <v>-0.2686351256</v>
      </c>
    </row>
    <row r="6076" ht="14.25" customHeight="1">
      <c r="A6076" s="2" t="s">
        <v>207</v>
      </c>
      <c r="B6076" s="2" t="s">
        <v>208</v>
      </c>
      <c r="C6076" s="2">
        <v>2014.0</v>
      </c>
      <c r="D6076" s="9">
        <v>14926.124</v>
      </c>
      <c r="E6076" s="10" t="str">
        <f t="array" ref="E6076">IFS(D6076&lt;=$G$3,'calculated data '!$A$3,D6076&lt;=$G$4,'calculated data '!$A$4,D6076&lt;=$G$6,'calculated data '!$A$5,D6076&gt;=$G$6,'calculated data '!$A$6)</f>
        <v>Target Market (Core IQR)</v>
      </c>
      <c r="F6076" s="10">
        <f t="shared" si="1"/>
        <v>-0.2680806902</v>
      </c>
    </row>
    <row r="6077" ht="14.25" customHeight="1">
      <c r="A6077" s="2" t="s">
        <v>207</v>
      </c>
      <c r="B6077" s="2" t="s">
        <v>208</v>
      </c>
      <c r="C6077" s="2">
        <v>2017.0</v>
      </c>
      <c r="D6077" s="9">
        <v>14939.87</v>
      </c>
      <c r="E6077" s="10" t="str">
        <f t="array" ref="E6077">IFS(D6077&lt;=$G$3,'calculated data '!$A$3,D6077&lt;=$G$4,'calculated data '!$A$4,D6077&lt;=$G$6,'calculated data '!$A$5,D6077&gt;=$G$6,'calculated data '!$A$6)</f>
        <v>Target Market (Core IQR)</v>
      </c>
      <c r="F6077" s="10">
        <f t="shared" si="1"/>
        <v>-0.267716837</v>
      </c>
    </row>
    <row r="6078" ht="14.25" customHeight="1">
      <c r="A6078" s="2" t="s">
        <v>319</v>
      </c>
      <c r="B6078" s="2" t="s">
        <v>320</v>
      </c>
      <c r="C6078" s="2">
        <v>1978.0</v>
      </c>
      <c r="D6078" s="9">
        <v>14941.394</v>
      </c>
      <c r="E6078" s="10" t="str">
        <f t="array" ref="E6078">IFS(D6078&lt;=$G$3,'calculated data '!$A$3,D6078&lt;=$G$4,'calculated data '!$A$4,D6078&lt;=$G$6,'calculated data '!$A$5,D6078&gt;=$G$6,'calculated data '!$A$6)</f>
        <v>Target Market (Core IQR)</v>
      </c>
      <c r="F6078" s="10">
        <f t="shared" si="1"/>
        <v>-0.2676764971</v>
      </c>
    </row>
    <row r="6079" ht="14.25" customHeight="1">
      <c r="A6079" s="2" t="s">
        <v>45</v>
      </c>
      <c r="B6079" s="2" t="s">
        <v>46</v>
      </c>
      <c r="C6079" s="2">
        <v>2004.0</v>
      </c>
      <c r="D6079" s="9">
        <v>14942.129</v>
      </c>
      <c r="E6079" s="10" t="str">
        <f t="array" ref="E6079">IFS(D6079&lt;=$G$3,'calculated data '!$A$3,D6079&lt;=$G$4,'calculated data '!$A$4,D6079&lt;=$G$6,'calculated data '!$A$5,D6079&gt;=$G$6,'calculated data '!$A$6)</f>
        <v>Target Market (Core IQR)</v>
      </c>
      <c r="F6079" s="10">
        <f t="shared" si="1"/>
        <v>-0.2676570418</v>
      </c>
    </row>
    <row r="6080" ht="14.25" customHeight="1">
      <c r="A6080" s="2" t="s">
        <v>141</v>
      </c>
      <c r="B6080" s="2" t="s">
        <v>142</v>
      </c>
      <c r="C6080" s="2">
        <v>2004.0</v>
      </c>
      <c r="D6080" s="9">
        <v>14947.546</v>
      </c>
      <c r="E6080" s="10" t="str">
        <f t="array" ref="E6080">IFS(D6080&lt;=$G$3,'calculated data '!$A$3,D6080&lt;=$G$4,'calculated data '!$A$4,D6080&lt;=$G$6,'calculated data '!$A$5,D6080&gt;=$G$6,'calculated data '!$A$6)</f>
        <v>Target Market (Core IQR)</v>
      </c>
      <c r="F6080" s="10">
        <f t="shared" si="1"/>
        <v>-0.2675136552</v>
      </c>
    </row>
    <row r="6081" ht="14.25" customHeight="1">
      <c r="A6081" s="2" t="s">
        <v>303</v>
      </c>
      <c r="B6081" s="2" t="s">
        <v>304</v>
      </c>
      <c r="C6081" s="2">
        <v>2012.0</v>
      </c>
      <c r="D6081" s="9">
        <v>14956.306</v>
      </c>
      <c r="E6081" s="10" t="str">
        <f t="array" ref="E6081">IFS(D6081&lt;=$G$3,'calculated data '!$A$3,D6081&lt;=$G$4,'calculated data '!$A$4,D6081&lt;=$G$6,'calculated data '!$A$5,D6081&gt;=$G$6,'calculated data '!$A$6)</f>
        <v>Target Market (Core IQR)</v>
      </c>
      <c r="F6081" s="10">
        <f t="shared" si="1"/>
        <v>-0.2672817801</v>
      </c>
    </row>
    <row r="6082" ht="14.25" customHeight="1">
      <c r="A6082" s="2" t="s">
        <v>241</v>
      </c>
      <c r="B6082" s="2" t="s">
        <v>242</v>
      </c>
      <c r="C6082" s="2">
        <v>2006.0</v>
      </c>
      <c r="D6082" s="9">
        <v>14961.199</v>
      </c>
      <c r="E6082" s="10" t="str">
        <f t="array" ref="E6082">IFS(D6082&lt;=$G$3,'calculated data '!$A$3,D6082&lt;=$G$4,'calculated data '!$A$4,D6082&lt;=$G$6,'calculated data '!$A$5,D6082&gt;=$G$6,'calculated data '!$A$6)</f>
        <v>Target Market (Core IQR)</v>
      </c>
      <c r="F6082" s="10">
        <f t="shared" si="1"/>
        <v>-0.2671522637</v>
      </c>
    </row>
    <row r="6083" ht="14.25" customHeight="1">
      <c r="A6083" s="2" t="s">
        <v>339</v>
      </c>
      <c r="B6083" s="2" t="s">
        <v>340</v>
      </c>
      <c r="C6083" s="2">
        <v>2005.0</v>
      </c>
      <c r="D6083" s="9">
        <v>14968.09</v>
      </c>
      <c r="E6083" s="10" t="str">
        <f t="array" ref="E6083">IFS(D6083&lt;=$G$3,'calculated data '!$A$3,D6083&lt;=$G$4,'calculated data '!$A$4,D6083&lt;=$G$6,'calculated data '!$A$5,D6083&gt;=$G$6,'calculated data '!$A$6)</f>
        <v>Target Market (Core IQR)</v>
      </c>
      <c r="F6083" s="10">
        <f t="shared" si="1"/>
        <v>-0.2669698606</v>
      </c>
    </row>
    <row r="6084" ht="14.25" customHeight="1">
      <c r="A6084" s="2" t="s">
        <v>297</v>
      </c>
      <c r="B6084" s="2" t="s">
        <v>298</v>
      </c>
      <c r="C6084" s="2">
        <v>2020.0</v>
      </c>
      <c r="D6084" s="9">
        <v>14982.388</v>
      </c>
      <c r="E6084" s="10" t="str">
        <f t="array" ref="E6084">IFS(D6084&lt;=$G$3,'calculated data '!$A$3,D6084&lt;=$G$4,'calculated data '!$A$4,D6084&lt;=$G$6,'calculated data '!$A$5,D6084&gt;=$G$6,'calculated data '!$A$6)</f>
        <v>Target Market (Core IQR)</v>
      </c>
      <c r="F6084" s="10">
        <f t="shared" si="1"/>
        <v>-0.2665913961</v>
      </c>
    </row>
    <row r="6085" ht="14.25" customHeight="1">
      <c r="A6085" s="2" t="s">
        <v>233</v>
      </c>
      <c r="B6085" s="2" t="s">
        <v>234</v>
      </c>
      <c r="C6085" s="2">
        <v>2023.0</v>
      </c>
      <c r="D6085" s="9">
        <v>14983.002</v>
      </c>
      <c r="E6085" s="10" t="str">
        <f t="array" ref="E6085">IFS(D6085&lt;=$G$3,'calculated data '!$A$3,D6085&lt;=$G$4,'calculated data '!$A$4,D6085&lt;=$G$6,'calculated data '!$A$5,D6085&gt;=$G$6,'calculated data '!$A$6)</f>
        <v>Target Market (Core IQR)</v>
      </c>
      <c r="F6085" s="10">
        <f t="shared" si="1"/>
        <v>-0.2665751437</v>
      </c>
    </row>
    <row r="6086" ht="14.25" customHeight="1">
      <c r="A6086" s="2" t="s">
        <v>357</v>
      </c>
      <c r="B6086" s="2" t="s">
        <v>358</v>
      </c>
      <c r="C6086" s="2">
        <v>1966.0</v>
      </c>
      <c r="D6086" s="9">
        <v>14997.23</v>
      </c>
      <c r="E6086" s="10" t="str">
        <f t="array" ref="E6086">IFS(D6086&lt;=$G$3,'calculated data '!$A$3,D6086&lt;=$G$4,'calculated data '!$A$4,D6086&lt;=$G$6,'calculated data '!$A$5,D6086&gt;=$G$6,'calculated data '!$A$6)</f>
        <v>Target Market (Core IQR)</v>
      </c>
      <c r="F6086" s="10">
        <f t="shared" si="1"/>
        <v>-0.2661985321</v>
      </c>
    </row>
    <row r="6087" ht="14.25" customHeight="1">
      <c r="A6087" s="2" t="s">
        <v>347</v>
      </c>
      <c r="B6087" s="2" t="s">
        <v>348</v>
      </c>
      <c r="C6087" s="2">
        <v>2012.0</v>
      </c>
      <c r="D6087" s="9">
        <v>14999.254</v>
      </c>
      <c r="E6087" s="10" t="str">
        <f t="array" ref="E6087">IFS(D6087&lt;=$G$3,'calculated data '!$A$3,D6087&lt;=$G$4,'calculated data '!$A$4,D6087&lt;=$G$6,'calculated data '!$A$5,D6087&gt;=$G$6,'calculated data '!$A$6)</f>
        <v>Target Market (Core IQR)</v>
      </c>
      <c r="F6087" s="10">
        <f t="shared" si="1"/>
        <v>-0.2661449573</v>
      </c>
    </row>
    <row r="6088" ht="14.25" customHeight="1">
      <c r="A6088" s="2" t="s">
        <v>323</v>
      </c>
      <c r="B6088" s="2" t="s">
        <v>324</v>
      </c>
      <c r="C6088" s="2">
        <v>1996.0</v>
      </c>
      <c r="D6088" s="9">
        <v>15002.634</v>
      </c>
      <c r="E6088" s="10" t="str">
        <f t="array" ref="E6088">IFS(D6088&lt;=$G$3,'calculated data '!$A$3,D6088&lt;=$G$4,'calculated data '!$A$4,D6088&lt;=$G$6,'calculated data '!$A$5,D6088&gt;=$G$6,'calculated data '!$A$6)</f>
        <v>Target Market (Core IQR)</v>
      </c>
      <c r="F6088" s="10">
        <f t="shared" si="1"/>
        <v>-0.2660554895</v>
      </c>
    </row>
    <row r="6089" ht="14.25" customHeight="1">
      <c r="A6089" s="2" t="s">
        <v>45</v>
      </c>
      <c r="B6089" s="2" t="s">
        <v>46</v>
      </c>
      <c r="C6089" s="2">
        <v>2010.0</v>
      </c>
      <c r="D6089" s="9">
        <v>15002.828</v>
      </c>
      <c r="E6089" s="10" t="str">
        <f t="array" ref="E6089">IFS(D6089&lt;=$G$3,'calculated data '!$A$3,D6089&lt;=$G$4,'calculated data '!$A$4,D6089&lt;=$G$6,'calculated data '!$A$5,D6089&gt;=$G$6,'calculated data '!$A$6)</f>
        <v>Target Market (Core IQR)</v>
      </c>
      <c r="F6089" s="10">
        <f t="shared" si="1"/>
        <v>-0.2660503544</v>
      </c>
    </row>
    <row r="6090" ht="14.25" customHeight="1">
      <c r="A6090" s="2" t="s">
        <v>339</v>
      </c>
      <c r="B6090" s="2" t="s">
        <v>340</v>
      </c>
      <c r="C6090" s="2">
        <v>2004.0</v>
      </c>
      <c r="D6090" s="9">
        <v>15016.2295</v>
      </c>
      <c r="E6090" s="10" t="str">
        <f t="array" ref="E6090">IFS(D6090&lt;=$G$3,'calculated data '!$A$3,D6090&lt;=$G$4,'calculated data '!$A$4,D6090&lt;=$G$6,'calculated data '!$A$5,D6090&gt;=$G$6,'calculated data '!$A$6)</f>
        <v>Target Market (Core IQR)</v>
      </c>
      <c r="F6090" s="10">
        <f t="shared" si="1"/>
        <v>-0.26569562</v>
      </c>
    </row>
    <row r="6091" ht="14.25" customHeight="1">
      <c r="A6091" s="2" t="s">
        <v>285</v>
      </c>
      <c r="B6091" s="2" t="s">
        <v>286</v>
      </c>
      <c r="C6091" s="2">
        <v>1983.0</v>
      </c>
      <c r="D6091" s="9">
        <v>15019.59</v>
      </c>
      <c r="E6091" s="10" t="str">
        <f t="array" ref="E6091">IFS(D6091&lt;=$G$3,'calculated data '!$A$3,D6091&lt;=$G$4,'calculated data '!$A$4,D6091&lt;=$G$6,'calculated data '!$A$5,D6091&gt;=$G$6,'calculated data '!$A$6)</f>
        <v>Target Market (Core IQR)</v>
      </c>
      <c r="F6091" s="10">
        <f t="shared" si="1"/>
        <v>-0.2656066684</v>
      </c>
    </row>
    <row r="6092" ht="14.25" customHeight="1">
      <c r="A6092" s="2" t="s">
        <v>28</v>
      </c>
      <c r="B6092" s="2" t="s">
        <v>29</v>
      </c>
      <c r="C6092" s="2">
        <v>2007.0</v>
      </c>
      <c r="D6092" s="9">
        <v>15042.635</v>
      </c>
      <c r="E6092" s="10" t="str">
        <f t="array" ref="E6092">IFS(D6092&lt;=$G$3,'calculated data '!$A$3,D6092&lt;=$G$4,'calculated data '!$A$4,D6092&lt;=$G$6,'calculated data '!$A$5,D6092&gt;=$G$6,'calculated data '!$A$6)</f>
        <v>Target Market (Core IQR)</v>
      </c>
      <c r="F6092" s="10">
        <f t="shared" si="1"/>
        <v>-0.264996673</v>
      </c>
    </row>
    <row r="6093" ht="14.25" customHeight="1">
      <c r="A6093" s="2" t="s">
        <v>319</v>
      </c>
      <c r="B6093" s="2" t="s">
        <v>320</v>
      </c>
      <c r="C6093" s="2">
        <v>1979.0</v>
      </c>
      <c r="D6093" s="9">
        <v>15043.617</v>
      </c>
      <c r="E6093" s="10" t="str">
        <f t="array" ref="E6093">IFS(D6093&lt;=$G$3,'calculated data '!$A$3,D6093&lt;=$G$4,'calculated data '!$A$4,D6093&lt;=$G$6,'calculated data '!$A$5,D6093&gt;=$G$6,'calculated data '!$A$6)</f>
        <v>Target Market (Core IQR)</v>
      </c>
      <c r="F6093" s="10">
        <f t="shared" si="1"/>
        <v>-0.2649706797</v>
      </c>
    </row>
    <row r="6094" ht="14.25" customHeight="1">
      <c r="A6094" s="2" t="s">
        <v>339</v>
      </c>
      <c r="B6094" s="2" t="s">
        <v>340</v>
      </c>
      <c r="C6094" s="2">
        <v>1983.0</v>
      </c>
      <c r="D6094" s="9">
        <v>15046.135</v>
      </c>
      <c r="E6094" s="10" t="str">
        <f t="array" ref="E6094">IFS(D6094&lt;=$G$3,'calculated data '!$A$3,D6094&lt;=$G$4,'calculated data '!$A$4,D6094&lt;=$G$6,'calculated data '!$A$5,D6094&gt;=$G$6,'calculated data '!$A$6)</f>
        <v>Target Market (Core IQR)</v>
      </c>
      <c r="F6094" s="10">
        <f t="shared" si="1"/>
        <v>-0.2649040289</v>
      </c>
    </row>
    <row r="6095" ht="14.25" customHeight="1">
      <c r="A6095" s="2" t="s">
        <v>319</v>
      </c>
      <c r="B6095" s="2" t="s">
        <v>320</v>
      </c>
      <c r="C6095" s="2">
        <v>1980.0</v>
      </c>
      <c r="D6095" s="9">
        <v>15047.482</v>
      </c>
      <c r="E6095" s="10" t="str">
        <f t="array" ref="E6095">IFS(D6095&lt;=$G$3,'calculated data '!$A$3,D6095&lt;=$G$4,'calculated data '!$A$4,D6095&lt;=$G$6,'calculated data '!$A$5,D6095&gt;=$G$6,'calculated data '!$A$6)</f>
        <v>Target Market (Core IQR)</v>
      </c>
      <c r="F6095" s="10">
        <f t="shared" si="1"/>
        <v>-0.2648683741</v>
      </c>
    </row>
    <row r="6096" ht="14.25" customHeight="1">
      <c r="A6096" s="2" t="s">
        <v>361</v>
      </c>
      <c r="B6096" s="2" t="s">
        <v>362</v>
      </c>
      <c r="C6096" s="2">
        <v>1992.0</v>
      </c>
      <c r="D6096" s="9">
        <v>15058.098</v>
      </c>
      <c r="E6096" s="10" t="str">
        <f t="array" ref="E6096">IFS(D6096&lt;=$G$3,'calculated data '!$A$3,D6096&lt;=$G$4,'calculated data '!$A$4,D6096&lt;=$G$6,'calculated data '!$A$5,D6096&gt;=$G$6,'calculated data '!$A$6)</f>
        <v>Target Market (Core IQR)</v>
      </c>
      <c r="F6096" s="10">
        <f t="shared" si="1"/>
        <v>-0.2645873713</v>
      </c>
    </row>
    <row r="6097" ht="14.25" customHeight="1">
      <c r="A6097" s="2" t="s">
        <v>329</v>
      </c>
      <c r="B6097" s="2" t="s">
        <v>330</v>
      </c>
      <c r="C6097" s="2">
        <v>2016.0</v>
      </c>
      <c r="D6097" s="9">
        <v>15062.753</v>
      </c>
      <c r="E6097" s="10" t="str">
        <f t="array" ref="E6097">IFS(D6097&lt;=$G$3,'calculated data '!$A$3,D6097&lt;=$G$4,'calculated data '!$A$4,D6097&lt;=$G$6,'calculated data '!$A$5,D6097&gt;=$G$6,'calculated data '!$A$6)</f>
        <v>Target Market (Core IQR)</v>
      </c>
      <c r="F6097" s="10">
        <f t="shared" si="1"/>
        <v>-0.2644641546</v>
      </c>
    </row>
    <row r="6098" ht="14.25" customHeight="1">
      <c r="A6098" s="2" t="s">
        <v>363</v>
      </c>
      <c r="B6098" s="2" t="s">
        <v>364</v>
      </c>
      <c r="C6098" s="2">
        <v>2015.0</v>
      </c>
      <c r="D6098" s="9">
        <v>15075.383</v>
      </c>
      <c r="E6098" s="10" t="str">
        <f t="array" ref="E6098">IFS(D6098&lt;=$G$3,'calculated data '!$A$3,D6098&lt;=$G$4,'calculated data '!$A$4,D6098&lt;=$G$6,'calculated data '!$A$5,D6098&gt;=$G$6,'calculated data '!$A$6)</f>
        <v>Target Market (Core IQR)</v>
      </c>
      <c r="F6098" s="10">
        <f t="shared" si="1"/>
        <v>-0.2641298416</v>
      </c>
    </row>
    <row r="6099" ht="14.25" customHeight="1">
      <c r="A6099" s="2" t="s">
        <v>347</v>
      </c>
      <c r="B6099" s="2" t="s">
        <v>348</v>
      </c>
      <c r="C6099" s="2">
        <v>2010.0</v>
      </c>
      <c r="D6099" s="9">
        <v>15077.887</v>
      </c>
      <c r="E6099" s="10" t="str">
        <f t="array" ref="E6099">IFS(D6099&lt;=$G$3,'calculated data '!$A$3,D6099&lt;=$G$4,'calculated data '!$A$4,D6099&lt;=$G$6,'calculated data '!$A$5,D6099&gt;=$G$6,'calculated data '!$A$6)</f>
        <v>Target Market (Core IQR)</v>
      </c>
      <c r="F6099" s="10">
        <f t="shared" si="1"/>
        <v>-0.2640635614</v>
      </c>
    </row>
    <row r="6100" ht="14.25" customHeight="1">
      <c r="A6100" s="2" t="s">
        <v>351</v>
      </c>
      <c r="B6100" s="2" t="s">
        <v>352</v>
      </c>
      <c r="C6100" s="2">
        <v>1997.0</v>
      </c>
      <c r="D6100" s="9">
        <v>15082.66</v>
      </c>
      <c r="E6100" s="10" t="str">
        <f t="array" ref="E6100">IFS(D6100&lt;=$G$3,'calculated data '!$A$3,D6100&lt;=$G$4,'calculated data '!$A$4,D6100&lt;=$G$6,'calculated data '!$A$5,D6100&gt;=$G$6,'calculated data '!$A$6)</f>
        <v>Target Market (Core IQR)</v>
      </c>
      <c r="F6100" s="10">
        <f t="shared" si="1"/>
        <v>-0.2639372212</v>
      </c>
    </row>
    <row r="6101" ht="14.25" customHeight="1">
      <c r="A6101" s="2" t="s">
        <v>273</v>
      </c>
      <c r="B6101" s="2" t="s">
        <v>274</v>
      </c>
      <c r="C6101" s="2">
        <v>1980.0</v>
      </c>
      <c r="D6101" s="9">
        <v>15082.92</v>
      </c>
      <c r="E6101" s="10" t="str">
        <f t="array" ref="E6101">IFS(D6101&lt;=$G$3,'calculated data '!$A$3,D6101&lt;=$G$4,'calculated data '!$A$4,D6101&lt;=$G$6,'calculated data '!$A$5,D6101&gt;=$G$6,'calculated data '!$A$6)</f>
        <v>Target Market (Core IQR)</v>
      </c>
      <c r="F6101" s="10">
        <f t="shared" si="1"/>
        <v>-0.2639303391</v>
      </c>
    </row>
    <row r="6102" ht="14.25" customHeight="1">
      <c r="A6102" s="2" t="s">
        <v>357</v>
      </c>
      <c r="B6102" s="2" t="s">
        <v>358</v>
      </c>
      <c r="C6102" s="2">
        <v>1982.0</v>
      </c>
      <c r="D6102" s="9">
        <v>15083.153</v>
      </c>
      <c r="E6102" s="10" t="str">
        <f t="array" ref="E6102">IFS(D6102&lt;=$G$3,'calculated data '!$A$3,D6102&lt;=$G$4,'calculated data '!$A$4,D6102&lt;=$G$6,'calculated data '!$A$5,D6102&gt;=$G$6,'calculated data '!$A$6)</f>
        <v>Target Market (Core IQR)</v>
      </c>
      <c r="F6102" s="10">
        <f t="shared" si="1"/>
        <v>-0.2639241716</v>
      </c>
    </row>
    <row r="6103" ht="14.25" customHeight="1">
      <c r="A6103" s="2" t="s">
        <v>247</v>
      </c>
      <c r="B6103" s="2" t="s">
        <v>248</v>
      </c>
      <c r="C6103" s="2">
        <v>2011.0</v>
      </c>
      <c r="D6103" s="9">
        <v>15083.333</v>
      </c>
      <c r="E6103" s="10" t="str">
        <f t="array" ref="E6103">IFS(D6103&lt;=$G$3,'calculated data '!$A$3,D6103&lt;=$G$4,'calculated data '!$A$4,D6103&lt;=$G$6,'calculated data '!$A$5,D6103&gt;=$G$6,'calculated data '!$A$6)</f>
        <v>Target Market (Core IQR)</v>
      </c>
      <c r="F6103" s="10">
        <f t="shared" si="1"/>
        <v>-0.2639194071</v>
      </c>
    </row>
    <row r="6104" ht="14.25" customHeight="1">
      <c r="A6104" s="2" t="s">
        <v>323</v>
      </c>
      <c r="B6104" s="2" t="s">
        <v>324</v>
      </c>
      <c r="C6104" s="2">
        <v>1997.0</v>
      </c>
      <c r="D6104" s="9">
        <v>15085.991</v>
      </c>
      <c r="E6104" s="10" t="str">
        <f t="array" ref="E6104">IFS(D6104&lt;=$G$3,'calculated data '!$A$3,D6104&lt;=$G$4,'calculated data '!$A$4,D6104&lt;=$G$6,'calculated data '!$A$5,D6104&gt;=$G$6,'calculated data '!$A$6)</f>
        <v>Target Market (Core IQR)</v>
      </c>
      <c r="F6104" s="10">
        <f t="shared" si="1"/>
        <v>-0.2638490505</v>
      </c>
    </row>
    <row r="6105" ht="14.25" customHeight="1">
      <c r="A6105" s="2" t="s">
        <v>207</v>
      </c>
      <c r="B6105" s="2" t="s">
        <v>208</v>
      </c>
      <c r="C6105" s="2">
        <v>2016.0</v>
      </c>
      <c r="D6105" s="9">
        <v>15089.877</v>
      </c>
      <c r="E6105" s="10" t="str">
        <f t="array" ref="E6105">IFS(D6105&lt;=$G$3,'calculated data '!$A$3,D6105&lt;=$G$4,'calculated data '!$A$4,D6105&lt;=$G$6,'calculated data '!$A$5,D6105&gt;=$G$6,'calculated data '!$A$6)</f>
        <v>Target Market (Core IQR)</v>
      </c>
      <c r="F6105" s="10">
        <f t="shared" si="1"/>
        <v>-0.263746189</v>
      </c>
    </row>
    <row r="6106" ht="14.25" customHeight="1">
      <c r="A6106" s="2" t="s">
        <v>353</v>
      </c>
      <c r="B6106" s="2" t="s">
        <v>354</v>
      </c>
      <c r="C6106" s="2">
        <v>1966.0</v>
      </c>
      <c r="D6106" s="9">
        <v>15090.82</v>
      </c>
      <c r="E6106" s="10" t="str">
        <f t="array" ref="E6106">IFS(D6106&lt;=$G$3,'calculated data '!$A$3,D6106&lt;=$G$4,'calculated data '!$A$4,D6106&lt;=$G$6,'calculated data '!$A$5,D6106&gt;=$G$6,'calculated data '!$A$6)</f>
        <v>Target Market (Core IQR)</v>
      </c>
      <c r="F6106" s="10">
        <f t="shared" si="1"/>
        <v>-0.2637212281</v>
      </c>
    </row>
    <row r="6107" ht="14.25" customHeight="1">
      <c r="A6107" s="2" t="s">
        <v>233</v>
      </c>
      <c r="B6107" s="2" t="s">
        <v>234</v>
      </c>
      <c r="C6107" s="2">
        <v>2017.0</v>
      </c>
      <c r="D6107" s="9">
        <v>15090.873</v>
      </c>
      <c r="E6107" s="10" t="str">
        <f t="array" ref="E6107">IFS(D6107&lt;=$G$3,'calculated data '!$A$3,D6107&lt;=$G$4,'calculated data '!$A$4,D6107&lt;=$G$6,'calculated data '!$A$5,D6107&gt;=$G$6,'calculated data '!$A$6)</f>
        <v>Target Market (Core IQR)</v>
      </c>
      <c r="F6107" s="10">
        <f t="shared" si="1"/>
        <v>-0.2637198252</v>
      </c>
    </row>
    <row r="6108" ht="14.25" customHeight="1">
      <c r="A6108" s="2" t="s">
        <v>221</v>
      </c>
      <c r="B6108" s="2" t="s">
        <v>222</v>
      </c>
      <c r="C6108" s="2">
        <v>1985.0</v>
      </c>
      <c r="D6108" s="9">
        <v>15095.5205</v>
      </c>
      <c r="E6108" s="10" t="str">
        <f t="array" ref="E6108">IFS(D6108&lt;=$G$3,'calculated data '!$A$3,D6108&lt;=$G$4,'calculated data '!$A$4,D6108&lt;=$G$6,'calculated data '!$A$5,D6108&gt;=$G$6,'calculated data '!$A$6)</f>
        <v>Target Market (Core IQR)</v>
      </c>
      <c r="F6108" s="10">
        <f t="shared" si="1"/>
        <v>-0.263596807</v>
      </c>
    </row>
    <row r="6109" ht="14.25" customHeight="1">
      <c r="A6109" s="2" t="s">
        <v>293</v>
      </c>
      <c r="B6109" s="2" t="s">
        <v>294</v>
      </c>
      <c r="C6109" s="2">
        <v>2012.0</v>
      </c>
      <c r="D6109" s="9">
        <v>15106.379</v>
      </c>
      <c r="E6109" s="10" t="str">
        <f t="array" ref="E6109">IFS(D6109&lt;=$G$3,'calculated data '!$A$3,D6109&lt;=$G$4,'calculated data '!$A$4,D6109&lt;=$G$6,'calculated data '!$A$5,D6109&gt;=$G$6,'calculated data '!$A$6)</f>
        <v>Target Market (Core IQR)</v>
      </c>
      <c r="F6109" s="10">
        <f t="shared" si="1"/>
        <v>-0.2633093852</v>
      </c>
    </row>
    <row r="6110" ht="14.25" customHeight="1">
      <c r="A6110" s="2" t="s">
        <v>241</v>
      </c>
      <c r="B6110" s="2" t="s">
        <v>242</v>
      </c>
      <c r="C6110" s="2">
        <v>2009.0</v>
      </c>
      <c r="D6110" s="9">
        <v>15110.805</v>
      </c>
      <c r="E6110" s="10" t="str">
        <f t="array" ref="E6110">IFS(D6110&lt;=$G$3,'calculated data '!$A$3,D6110&lt;=$G$4,'calculated data '!$A$4,D6110&lt;=$G$6,'calculated data '!$A$5,D6110&gt;=$G$6,'calculated data '!$A$6)</f>
        <v>Target Market (Core IQR)</v>
      </c>
      <c r="F6110" s="10">
        <f t="shared" si="1"/>
        <v>-0.2631922301</v>
      </c>
    </row>
    <row r="6111" ht="14.25" customHeight="1">
      <c r="A6111" s="2" t="s">
        <v>349</v>
      </c>
      <c r="B6111" s="2" t="s">
        <v>350</v>
      </c>
      <c r="C6111" s="2">
        <v>2001.0</v>
      </c>
      <c r="D6111" s="9">
        <v>15112.676</v>
      </c>
      <c r="E6111" s="10" t="str">
        <f t="array" ref="E6111">IFS(D6111&lt;=$G$3,'calculated data '!$A$3,D6111&lt;=$G$4,'calculated data '!$A$4,D6111&lt;=$G$6,'calculated data '!$A$5,D6111&gt;=$G$6,'calculated data '!$A$6)</f>
        <v>Target Market (Core IQR)</v>
      </c>
      <c r="F6111" s="10">
        <f t="shared" si="1"/>
        <v>-0.2631427052</v>
      </c>
    </row>
    <row r="6112" ht="14.25" customHeight="1">
      <c r="A6112" s="2" t="s">
        <v>309</v>
      </c>
      <c r="B6112" s="2" t="s">
        <v>310</v>
      </c>
      <c r="C6112" s="2">
        <v>1977.0</v>
      </c>
      <c r="D6112" s="9">
        <v>15113.213</v>
      </c>
      <c r="E6112" s="10" t="str">
        <f t="array" ref="E6112">IFS(D6112&lt;=$G$3,'calculated data '!$A$3,D6112&lt;=$G$4,'calculated data '!$A$4,D6112&lt;=$G$6,'calculated data '!$A$5,D6112&gt;=$G$6,'calculated data '!$A$6)</f>
        <v>Target Market (Core IQR)</v>
      </c>
      <c r="F6112" s="10">
        <f t="shared" si="1"/>
        <v>-0.2631284909</v>
      </c>
    </row>
    <row r="6113" ht="14.25" customHeight="1">
      <c r="A6113" s="2" t="s">
        <v>361</v>
      </c>
      <c r="B6113" s="2" t="s">
        <v>362</v>
      </c>
      <c r="C6113" s="2">
        <v>1991.0</v>
      </c>
      <c r="D6113" s="9">
        <v>15123.848</v>
      </c>
      <c r="E6113" s="10" t="str">
        <f t="array" ref="E6113">IFS(D6113&lt;=$G$3,'calculated data '!$A$3,D6113&lt;=$G$4,'calculated data '!$A$4,D6113&lt;=$G$6,'calculated data '!$A$5,D6113&gt;=$G$6,'calculated data '!$A$6)</f>
        <v>Target Market (Core IQR)</v>
      </c>
      <c r="F6113" s="10">
        <f t="shared" si="1"/>
        <v>-0.2628469851</v>
      </c>
    </row>
    <row r="6114" ht="14.25" customHeight="1">
      <c r="A6114" s="2" t="s">
        <v>291</v>
      </c>
      <c r="B6114" s="2" t="s">
        <v>292</v>
      </c>
      <c r="C6114" s="2">
        <v>2017.0</v>
      </c>
      <c r="D6114" s="9">
        <v>15126.788</v>
      </c>
      <c r="E6114" s="10" t="str">
        <f t="array" ref="E6114">IFS(D6114&lt;=$G$3,'calculated data '!$A$3,D6114&lt;=$G$4,'calculated data '!$A$4,D6114&lt;=$G$6,'calculated data '!$A$5,D6114&gt;=$G$6,'calculated data '!$A$6)</f>
        <v>Target Market (Core IQR)</v>
      </c>
      <c r="F6114" s="10">
        <f t="shared" si="1"/>
        <v>-0.2627691641</v>
      </c>
    </row>
    <row r="6115" ht="14.25" customHeight="1">
      <c r="A6115" s="2" t="s">
        <v>357</v>
      </c>
      <c r="B6115" s="2" t="s">
        <v>358</v>
      </c>
      <c r="C6115" s="2">
        <v>1981.0</v>
      </c>
      <c r="D6115" s="9">
        <v>15130.011</v>
      </c>
      <c r="E6115" s="10" t="str">
        <f t="array" ref="E6115">IFS(D6115&lt;=$G$3,'calculated data '!$A$3,D6115&lt;=$G$4,'calculated data '!$A$4,D6115&lt;=$G$6,'calculated data '!$A$5,D6115&gt;=$G$6,'calculated data '!$A$6)</f>
        <v>Target Market (Core IQR)</v>
      </c>
      <c r="F6115" s="10">
        <f t="shared" si="1"/>
        <v>-0.2626838521</v>
      </c>
    </row>
    <row r="6116" ht="14.25" customHeight="1">
      <c r="A6116" s="2" t="s">
        <v>57</v>
      </c>
      <c r="B6116" s="2" t="s">
        <v>58</v>
      </c>
      <c r="C6116" s="2">
        <v>1971.0</v>
      </c>
      <c r="D6116" s="9">
        <v>15142.155</v>
      </c>
      <c r="E6116" s="10" t="str">
        <f t="array" ref="E6116">IFS(D6116&lt;=$G$3,'calculated data '!$A$3,D6116&lt;=$G$4,'calculated data '!$A$4,D6116&lt;=$G$6,'calculated data '!$A$5,D6116&gt;=$G$6,'calculated data '!$A$6)</f>
        <v>Target Market (Core IQR)</v>
      </c>
      <c r="F6116" s="10">
        <f t="shared" si="1"/>
        <v>-0.2623624034</v>
      </c>
    </row>
    <row r="6117" ht="14.25" customHeight="1">
      <c r="A6117" s="2" t="s">
        <v>287</v>
      </c>
      <c r="B6117" s="2" t="s">
        <v>288</v>
      </c>
      <c r="C6117" s="2">
        <v>2013.0</v>
      </c>
      <c r="D6117" s="9">
        <v>15143.684</v>
      </c>
      <c r="E6117" s="10" t="str">
        <f t="array" ref="E6117">IFS(D6117&lt;=$G$3,'calculated data '!$A$3,D6117&lt;=$G$4,'calculated data '!$A$4,D6117&lt;=$G$6,'calculated data '!$A$5,D6117&gt;=$G$6,'calculated data '!$A$6)</f>
        <v>Target Market (Core IQR)</v>
      </c>
      <c r="F6117" s="10">
        <f t="shared" si="1"/>
        <v>-0.2623219312</v>
      </c>
    </row>
    <row r="6118" ht="14.25" customHeight="1">
      <c r="A6118" s="2" t="s">
        <v>291</v>
      </c>
      <c r="B6118" s="2" t="s">
        <v>292</v>
      </c>
      <c r="C6118" s="2">
        <v>2001.0</v>
      </c>
      <c r="D6118" s="9">
        <v>15148.185</v>
      </c>
      <c r="E6118" s="10" t="str">
        <f t="array" ref="E6118">IFS(D6118&lt;=$G$3,'calculated data '!$A$3,D6118&lt;=$G$4,'calculated data '!$A$4,D6118&lt;=$G$6,'calculated data '!$A$5,D6118&gt;=$G$6,'calculated data '!$A$6)</f>
        <v>Target Market (Core IQR)</v>
      </c>
      <c r="F6118" s="10">
        <f t="shared" si="1"/>
        <v>-0.2622027908</v>
      </c>
    </row>
    <row r="6119" ht="14.25" customHeight="1">
      <c r="A6119" s="2" t="s">
        <v>357</v>
      </c>
      <c r="B6119" s="2" t="s">
        <v>358</v>
      </c>
      <c r="C6119" s="2">
        <v>1975.0</v>
      </c>
      <c r="D6119" s="9">
        <v>15184.292</v>
      </c>
      <c r="E6119" s="10" t="str">
        <f t="array" ref="E6119">IFS(D6119&lt;=$G$3,'calculated data '!$A$3,D6119&lt;=$G$4,'calculated data '!$A$4,D6119&lt;=$G$6,'calculated data '!$A$5,D6119&gt;=$G$6,'calculated data '!$A$6)</f>
        <v>Target Market (Core IQR)</v>
      </c>
      <c r="F6119" s="10">
        <f t="shared" si="1"/>
        <v>-0.2612470475</v>
      </c>
    </row>
    <row r="6120" ht="14.25" customHeight="1">
      <c r="A6120" s="2" t="s">
        <v>347</v>
      </c>
      <c r="B6120" s="2" t="s">
        <v>348</v>
      </c>
      <c r="C6120" s="2">
        <v>2011.0</v>
      </c>
      <c r="D6120" s="9">
        <v>15186.068</v>
      </c>
      <c r="E6120" s="10" t="str">
        <f t="array" ref="E6120">IFS(D6120&lt;=$G$3,'calculated data '!$A$3,D6120&lt;=$G$4,'calculated data '!$A$4,D6120&lt;=$G$6,'calculated data '!$A$5,D6120&gt;=$G$6,'calculated data '!$A$6)</f>
        <v>Target Market (Core IQR)</v>
      </c>
      <c r="F6120" s="10">
        <f t="shared" si="1"/>
        <v>-0.2612000372</v>
      </c>
    </row>
    <row r="6121" ht="14.25" customHeight="1">
      <c r="A6121" s="2" t="s">
        <v>331</v>
      </c>
      <c r="B6121" s="2" t="s">
        <v>332</v>
      </c>
      <c r="C6121" s="2">
        <v>1971.0</v>
      </c>
      <c r="D6121" s="9">
        <v>15186.331</v>
      </c>
      <c r="E6121" s="10" t="str">
        <f t="array" ref="E6121">IFS(D6121&lt;=$G$3,'calculated data '!$A$3,D6121&lt;=$G$4,'calculated data '!$A$4,D6121&lt;=$G$6,'calculated data '!$A$5,D6121&gt;=$G$6,'calculated data '!$A$6)</f>
        <v>Target Market (Core IQR)</v>
      </c>
      <c r="F6121" s="10">
        <f t="shared" si="1"/>
        <v>-0.2611930757</v>
      </c>
    </row>
    <row r="6122" ht="14.25" customHeight="1">
      <c r="A6122" s="2" t="s">
        <v>347</v>
      </c>
      <c r="B6122" s="2" t="s">
        <v>348</v>
      </c>
      <c r="C6122" s="2">
        <v>2009.0</v>
      </c>
      <c r="D6122" s="9">
        <v>15199.542</v>
      </c>
      <c r="E6122" s="10" t="str">
        <f t="array" ref="E6122">IFS(D6122&lt;=$G$3,'calculated data '!$A$3,D6122&lt;=$G$4,'calculated data '!$A$4,D6122&lt;=$G$6,'calculated data '!$A$5,D6122&gt;=$G$6,'calculated data '!$A$6)</f>
        <v>Target Market (Core IQR)</v>
      </c>
      <c r="F6122" s="10">
        <f t="shared" si="1"/>
        <v>-0.2608433838</v>
      </c>
    </row>
    <row r="6123" ht="14.25" customHeight="1">
      <c r="A6123" s="2" t="s">
        <v>357</v>
      </c>
      <c r="B6123" s="2" t="s">
        <v>358</v>
      </c>
      <c r="C6123" s="2">
        <v>1967.0</v>
      </c>
      <c r="D6123" s="9">
        <v>15199.989</v>
      </c>
      <c r="E6123" s="10" t="str">
        <f t="array" ref="E6123">IFS(D6123&lt;=$G$3,'calculated data '!$A$3,D6123&lt;=$G$4,'calculated data '!$A$4,D6123&lt;=$G$6,'calculated data '!$A$5,D6123&gt;=$G$6,'calculated data '!$A$6)</f>
        <v>Target Market (Core IQR)</v>
      </c>
      <c r="F6123" s="10">
        <f t="shared" si="1"/>
        <v>-0.2608315518</v>
      </c>
    </row>
    <row r="6124" ht="14.25" customHeight="1">
      <c r="A6124" s="2" t="s">
        <v>357</v>
      </c>
      <c r="B6124" s="2" t="s">
        <v>358</v>
      </c>
      <c r="C6124" s="2">
        <v>1984.0</v>
      </c>
      <c r="D6124" s="9">
        <v>15215.076</v>
      </c>
      <c r="E6124" s="10" t="str">
        <f t="array" ref="E6124">IFS(D6124&lt;=$G$3,'calculated data '!$A$3,D6124&lt;=$G$4,'calculated data '!$A$4,D6124&lt;=$G$6,'calculated data '!$A$5,D6124&gt;=$G$6,'calculated data '!$A$6)</f>
        <v>Target Market (Core IQR)</v>
      </c>
      <c r="F6124" s="10">
        <f t="shared" si="1"/>
        <v>-0.2604322027</v>
      </c>
    </row>
    <row r="6125" ht="14.25" customHeight="1">
      <c r="A6125" s="2" t="s">
        <v>329</v>
      </c>
      <c r="B6125" s="2" t="s">
        <v>330</v>
      </c>
      <c r="C6125" s="2">
        <v>2012.0</v>
      </c>
      <c r="D6125" s="9">
        <v>15216.128</v>
      </c>
      <c r="E6125" s="10" t="str">
        <f t="array" ref="E6125">IFS(D6125&lt;=$G$3,'calculated data '!$A$3,D6125&lt;=$G$4,'calculated data '!$A$4,D6125&lt;=$G$6,'calculated data '!$A$5,D6125&gt;=$G$6,'calculated data '!$A$6)</f>
        <v>Target Market (Core IQR)</v>
      </c>
      <c r="F6125" s="10">
        <f t="shared" si="1"/>
        <v>-0.2604043565</v>
      </c>
    </row>
    <row r="6126" ht="14.25" customHeight="1">
      <c r="A6126" s="2" t="s">
        <v>273</v>
      </c>
      <c r="B6126" s="2" t="s">
        <v>274</v>
      </c>
      <c r="C6126" s="2">
        <v>1988.0</v>
      </c>
      <c r="D6126" s="9">
        <v>15227.713</v>
      </c>
      <c r="E6126" s="10" t="str">
        <f t="array" ref="E6126">IFS(D6126&lt;=$G$3,'calculated data '!$A$3,D6126&lt;=$G$4,'calculated data '!$A$4,D6126&lt;=$G$6,'calculated data '!$A$5,D6126&gt;=$G$6,'calculated data '!$A$6)</f>
        <v>Target Market (Core IQR)</v>
      </c>
      <c r="F6126" s="10">
        <f t="shared" si="1"/>
        <v>-0.2600977045</v>
      </c>
    </row>
    <row r="6127" ht="14.25" customHeight="1">
      <c r="A6127" s="2" t="s">
        <v>349</v>
      </c>
      <c r="B6127" s="2" t="s">
        <v>350</v>
      </c>
      <c r="C6127" s="2">
        <v>1999.0</v>
      </c>
      <c r="D6127" s="9">
        <v>15234.443</v>
      </c>
      <c r="E6127" s="10" t="str">
        <f t="array" ref="E6127">IFS(D6127&lt;=$G$3,'calculated data '!$A$3,D6127&lt;=$G$4,'calculated data '!$A$4,D6127&lt;=$G$6,'calculated data '!$A$5,D6127&gt;=$G$6,'calculated data '!$A$6)</f>
        <v>Target Market (Core IQR)</v>
      </c>
      <c r="F6127" s="10">
        <f t="shared" si="1"/>
        <v>-0.259919563</v>
      </c>
    </row>
    <row r="6128" ht="14.25" customHeight="1">
      <c r="A6128" s="2" t="s">
        <v>335</v>
      </c>
      <c r="B6128" s="2" t="s">
        <v>336</v>
      </c>
      <c r="C6128" s="2">
        <v>1971.0</v>
      </c>
      <c r="D6128" s="9">
        <v>15235.772</v>
      </c>
      <c r="E6128" s="10" t="str">
        <f t="array" ref="E6128">IFS(D6128&lt;=$G$3,'calculated data '!$A$3,D6128&lt;=$G$4,'calculated data '!$A$4,D6128&lt;=$G$6,'calculated data '!$A$5,D6128&gt;=$G$6,'calculated data '!$A$6)</f>
        <v>Target Market (Core IQR)</v>
      </c>
      <c r="F6128" s="10">
        <f t="shared" si="1"/>
        <v>-0.2598843847</v>
      </c>
    </row>
    <row r="6129" ht="14.25" customHeight="1">
      <c r="A6129" s="2" t="s">
        <v>349</v>
      </c>
      <c r="B6129" s="2" t="s">
        <v>350</v>
      </c>
      <c r="C6129" s="2">
        <v>2011.0</v>
      </c>
      <c r="D6129" s="9">
        <v>15236.717</v>
      </c>
      <c r="E6129" s="10" t="str">
        <f t="array" ref="E6129">IFS(D6129&lt;=$G$3,'calculated data '!$A$3,D6129&lt;=$G$4,'calculated data '!$A$4,D6129&lt;=$G$6,'calculated data '!$A$5,D6129&gt;=$G$6,'calculated data '!$A$6)</f>
        <v>Target Market (Core IQR)</v>
      </c>
      <c r="F6129" s="10">
        <f t="shared" si="1"/>
        <v>-0.2598593708</v>
      </c>
    </row>
    <row r="6130" ht="14.25" customHeight="1">
      <c r="A6130" s="2" t="s">
        <v>357</v>
      </c>
      <c r="B6130" s="2" t="s">
        <v>358</v>
      </c>
      <c r="C6130" s="2">
        <v>1986.0</v>
      </c>
      <c r="D6130" s="9">
        <v>15241.893</v>
      </c>
      <c r="E6130" s="10" t="str">
        <f t="array" ref="E6130">IFS(D6130&lt;=$G$3,'calculated data '!$A$3,D6130&lt;=$G$4,'calculated data '!$A$4,D6130&lt;=$G$6,'calculated data '!$A$5,D6130&gt;=$G$6,'calculated data '!$A$6)</f>
        <v>Target Market (Core IQR)</v>
      </c>
      <c r="F6130" s="10">
        <f t="shared" si="1"/>
        <v>-0.2597223634</v>
      </c>
    </row>
    <row r="6131" ht="14.25" customHeight="1">
      <c r="A6131" s="2" t="s">
        <v>345</v>
      </c>
      <c r="B6131" s="2" t="s">
        <v>346</v>
      </c>
      <c r="C6131" s="2">
        <v>2019.0</v>
      </c>
      <c r="D6131" s="9">
        <v>15250.652</v>
      </c>
      <c r="E6131" s="10" t="str">
        <f t="array" ref="E6131">IFS(D6131&lt;=$G$3,'calculated data '!$A$3,D6131&lt;=$G$4,'calculated data '!$A$4,D6131&lt;=$G$6,'calculated data '!$A$5,D6131&gt;=$G$6,'calculated data '!$A$6)</f>
        <v>Target Market (Core IQR)</v>
      </c>
      <c r="F6131" s="10">
        <f t="shared" si="1"/>
        <v>-0.2594905148</v>
      </c>
    </row>
    <row r="6132" ht="14.25" customHeight="1">
      <c r="A6132" s="2" t="s">
        <v>291</v>
      </c>
      <c r="B6132" s="2" t="s">
        <v>292</v>
      </c>
      <c r="C6132" s="2">
        <v>2014.0</v>
      </c>
      <c r="D6132" s="9">
        <v>15258.123</v>
      </c>
      <c r="E6132" s="10" t="str">
        <f t="array" ref="E6132">IFS(D6132&lt;=$G$3,'calculated data '!$A$3,D6132&lt;=$G$4,'calculated data '!$A$4,D6132&lt;=$G$6,'calculated data '!$A$5,D6132&gt;=$G$6,'calculated data '!$A$6)</f>
        <v>Target Market (Core IQR)</v>
      </c>
      <c r="F6132" s="10">
        <f t="shared" si="1"/>
        <v>-0.2592927593</v>
      </c>
    </row>
    <row r="6133" ht="14.25" customHeight="1">
      <c r="A6133" s="2" t="s">
        <v>287</v>
      </c>
      <c r="B6133" s="2" t="s">
        <v>288</v>
      </c>
      <c r="C6133" s="2">
        <v>1998.0</v>
      </c>
      <c r="D6133" s="9">
        <v>15271.765</v>
      </c>
      <c r="E6133" s="10" t="str">
        <f t="array" ref="E6133">IFS(D6133&lt;=$G$3,'calculated data '!$A$3,D6133&lt;=$G$4,'calculated data '!$A$4,D6133&lt;=$G$6,'calculated data '!$A$5,D6133&gt;=$G$6,'calculated data '!$A$6)</f>
        <v>Target Market (Core IQR)</v>
      </c>
      <c r="F6133" s="10">
        <f t="shared" si="1"/>
        <v>-0.258931659</v>
      </c>
    </row>
    <row r="6134" ht="14.25" customHeight="1">
      <c r="A6134" s="2" t="s">
        <v>357</v>
      </c>
      <c r="B6134" s="2" t="s">
        <v>358</v>
      </c>
      <c r="C6134" s="2">
        <v>1972.0</v>
      </c>
      <c r="D6134" s="9">
        <v>15277.143</v>
      </c>
      <c r="E6134" s="10" t="str">
        <f t="array" ref="E6134">IFS(D6134&lt;=$G$3,'calculated data '!$A$3,D6134&lt;=$G$4,'calculated data '!$A$4,D6134&lt;=$G$6,'calculated data '!$A$5,D6134&gt;=$G$6,'calculated data '!$A$6)</f>
        <v>Target Market (Core IQR)</v>
      </c>
      <c r="F6134" s="10">
        <f t="shared" si="1"/>
        <v>-0.2587893047</v>
      </c>
    </row>
    <row r="6135" ht="14.25" customHeight="1">
      <c r="A6135" s="2" t="s">
        <v>253</v>
      </c>
      <c r="B6135" s="2" t="s">
        <v>254</v>
      </c>
      <c r="C6135" s="2">
        <v>1980.0</v>
      </c>
      <c r="D6135" s="9">
        <v>15280.113</v>
      </c>
      <c r="E6135" s="10" t="str">
        <f t="array" ref="E6135">IFS(D6135&lt;=$G$3,'calculated data '!$A$3,D6135&lt;=$G$4,'calculated data '!$A$4,D6135&lt;=$G$6,'calculated data '!$A$5,D6135&gt;=$G$6,'calculated data '!$A$6)</f>
        <v>Target Market (Core IQR)</v>
      </c>
      <c r="F6135" s="10">
        <f t="shared" si="1"/>
        <v>-0.2587106895</v>
      </c>
    </row>
    <row r="6136" ht="14.25" customHeight="1">
      <c r="A6136" s="2" t="s">
        <v>351</v>
      </c>
      <c r="B6136" s="2" t="s">
        <v>352</v>
      </c>
      <c r="C6136" s="2">
        <v>2001.0</v>
      </c>
      <c r="D6136" s="9">
        <v>15282.454</v>
      </c>
      <c r="E6136" s="10" t="str">
        <f t="array" ref="E6136">IFS(D6136&lt;=$G$3,'calculated data '!$A$3,D6136&lt;=$G$4,'calculated data '!$A$4,D6136&lt;=$G$6,'calculated data '!$A$5,D6136&gt;=$G$6,'calculated data '!$A$6)</f>
        <v>Target Market (Core IQR)</v>
      </c>
      <c r="F6136" s="10">
        <f t="shared" si="1"/>
        <v>-0.2586487238</v>
      </c>
    </row>
    <row r="6137" ht="14.25" customHeight="1">
      <c r="A6137" s="2" t="s">
        <v>141</v>
      </c>
      <c r="B6137" s="2" t="s">
        <v>142</v>
      </c>
      <c r="C6137" s="2">
        <v>2005.0</v>
      </c>
      <c r="D6137" s="9">
        <v>15302.928</v>
      </c>
      <c r="E6137" s="10" t="str">
        <f t="array" ref="E6137">IFS(D6137&lt;=$G$3,'calculated data '!$A$3,D6137&lt;=$G$4,'calculated data '!$A$4,D6137&lt;=$G$6,'calculated data '!$A$5,D6137&gt;=$G$6,'calculated data '!$A$6)</f>
        <v>Target Market (Core IQR)</v>
      </c>
      <c r="F6137" s="10">
        <f t="shared" si="1"/>
        <v>-0.2581067821</v>
      </c>
    </row>
    <row r="6138" ht="14.25" customHeight="1">
      <c r="A6138" s="2" t="s">
        <v>349</v>
      </c>
      <c r="B6138" s="2" t="s">
        <v>350</v>
      </c>
      <c r="C6138" s="2">
        <v>1998.0</v>
      </c>
      <c r="D6138" s="9">
        <v>15304.016</v>
      </c>
      <c r="E6138" s="10" t="str">
        <f t="array" ref="E6138">IFS(D6138&lt;=$G$3,'calculated data '!$A$3,D6138&lt;=$G$4,'calculated data '!$A$4,D6138&lt;=$G$6,'calculated data '!$A$5,D6138&gt;=$G$6,'calculated data '!$A$6)</f>
        <v>Target Market (Core IQR)</v>
      </c>
      <c r="F6138" s="10">
        <f t="shared" si="1"/>
        <v>-0.258077983</v>
      </c>
    </row>
    <row r="6139" ht="14.25" customHeight="1">
      <c r="A6139" s="2" t="s">
        <v>39</v>
      </c>
      <c r="B6139" s="2" t="s">
        <v>40</v>
      </c>
      <c r="C6139" s="2">
        <v>1992.0</v>
      </c>
      <c r="D6139" s="9">
        <v>15315.36</v>
      </c>
      <c r="E6139" s="10" t="str">
        <f t="array" ref="E6139">IFS(D6139&lt;=$G$3,'calculated data '!$A$3,D6139&lt;=$G$4,'calculated data '!$A$4,D6139&lt;=$G$6,'calculated data '!$A$5,D6139&gt;=$G$6,'calculated data '!$A$6)</f>
        <v>Target Market (Core IQR)</v>
      </c>
      <c r="F6139" s="10">
        <f t="shared" si="1"/>
        <v>-0.2577777102</v>
      </c>
    </row>
    <row r="6140" ht="14.25" customHeight="1">
      <c r="A6140" s="2" t="s">
        <v>297</v>
      </c>
      <c r="B6140" s="2" t="s">
        <v>298</v>
      </c>
      <c r="C6140" s="2">
        <v>1992.0</v>
      </c>
      <c r="D6140" s="9">
        <v>15323.368</v>
      </c>
      <c r="E6140" s="10" t="str">
        <f t="array" ref="E6140">IFS(D6140&lt;=$G$3,'calculated data '!$A$3,D6140&lt;=$G$4,'calculated data '!$A$4,D6140&lt;=$G$6,'calculated data '!$A$5,D6140&gt;=$G$6,'calculated data '!$A$6)</f>
        <v>Target Market (Core IQR)</v>
      </c>
      <c r="F6140" s="10">
        <f t="shared" si="1"/>
        <v>-0.2575657404</v>
      </c>
    </row>
    <row r="6141" ht="14.25" customHeight="1">
      <c r="A6141" s="2" t="s">
        <v>357</v>
      </c>
      <c r="B6141" s="2" t="s">
        <v>358</v>
      </c>
      <c r="C6141" s="2">
        <v>1971.0</v>
      </c>
      <c r="D6141" s="9">
        <v>15323.539</v>
      </c>
      <c r="E6141" s="10" t="str">
        <f t="array" ref="E6141">IFS(D6141&lt;=$G$3,'calculated data '!$A$3,D6141&lt;=$G$4,'calculated data '!$A$4,D6141&lt;=$G$6,'calculated data '!$A$5,D6141&gt;=$G$6,'calculated data '!$A$6)</f>
        <v>Target Market (Core IQR)</v>
      </c>
      <c r="F6141" s="10">
        <f t="shared" si="1"/>
        <v>-0.2575612141</v>
      </c>
    </row>
    <row r="6142" ht="14.25" customHeight="1">
      <c r="A6142" s="2" t="s">
        <v>345</v>
      </c>
      <c r="B6142" s="2" t="s">
        <v>346</v>
      </c>
      <c r="C6142" s="2">
        <v>2011.0</v>
      </c>
      <c r="D6142" s="9">
        <v>15324.37</v>
      </c>
      <c r="E6142" s="10" t="str">
        <f t="array" ref="E6142">IFS(D6142&lt;=$G$3,'calculated data '!$A$3,D6142&lt;=$G$4,'calculated data '!$A$4,D6142&lt;=$G$6,'calculated data '!$A$5,D6142&gt;=$G$6,'calculated data '!$A$6)</f>
        <v>Target Market (Core IQR)</v>
      </c>
      <c r="F6142" s="10">
        <f t="shared" si="1"/>
        <v>-0.2575392177</v>
      </c>
    </row>
    <row r="6143" ht="14.25" customHeight="1">
      <c r="A6143" s="2" t="s">
        <v>229</v>
      </c>
      <c r="B6143" s="2" t="s">
        <v>230</v>
      </c>
      <c r="C6143" s="2">
        <v>2011.0</v>
      </c>
      <c r="D6143" s="9">
        <v>15326.533</v>
      </c>
      <c r="E6143" s="10" t="str">
        <f t="array" ref="E6143">IFS(D6143&lt;=$G$3,'calculated data '!$A$3,D6143&lt;=$G$4,'calculated data '!$A$4,D6143&lt;=$G$6,'calculated data '!$A$5,D6143&gt;=$G$6,'calculated data '!$A$6)</f>
        <v>Target Market (Core IQR)</v>
      </c>
      <c r="F6143" s="10">
        <f t="shared" si="1"/>
        <v>-0.2574819637</v>
      </c>
    </row>
    <row r="6144" ht="14.25" customHeight="1">
      <c r="A6144" s="2" t="s">
        <v>339</v>
      </c>
      <c r="B6144" s="2" t="s">
        <v>340</v>
      </c>
      <c r="C6144" s="2">
        <v>2020.0</v>
      </c>
      <c r="D6144" s="9">
        <v>15335.727</v>
      </c>
      <c r="E6144" s="10" t="str">
        <f t="array" ref="E6144">IFS(D6144&lt;=$G$3,'calculated data '!$A$3,D6144&lt;=$G$4,'calculated data '!$A$4,D6144&lt;=$G$6,'calculated data '!$A$5,D6144&gt;=$G$6,'calculated data '!$A$6)</f>
        <v>Target Market (Core IQR)</v>
      </c>
      <c r="F6144" s="10">
        <f t="shared" si="1"/>
        <v>-0.2572386008</v>
      </c>
    </row>
    <row r="6145" ht="14.25" customHeight="1">
      <c r="A6145" s="2" t="s">
        <v>345</v>
      </c>
      <c r="B6145" s="2" t="s">
        <v>346</v>
      </c>
      <c r="C6145" s="2">
        <v>2022.0</v>
      </c>
      <c r="D6145" s="9">
        <v>15339.659</v>
      </c>
      <c r="E6145" s="10" t="str">
        <f t="array" ref="E6145">IFS(D6145&lt;=$G$3,'calculated data '!$A$3,D6145&lt;=$G$4,'calculated data '!$A$4,D6145&lt;=$G$6,'calculated data '!$A$5,D6145&gt;=$G$6,'calculated data '!$A$6)</f>
        <v>Target Market (Core IQR)</v>
      </c>
      <c r="F6145" s="10">
        <f t="shared" si="1"/>
        <v>-0.2571345217</v>
      </c>
    </row>
    <row r="6146" ht="14.25" customHeight="1">
      <c r="A6146" s="2" t="s">
        <v>287</v>
      </c>
      <c r="B6146" s="2" t="s">
        <v>288</v>
      </c>
      <c r="C6146" s="2">
        <v>1997.0</v>
      </c>
      <c r="D6146" s="9">
        <v>15342.784</v>
      </c>
      <c r="E6146" s="10" t="str">
        <f t="array" ref="E6146">IFS(D6146&lt;=$G$3,'calculated data '!$A$3,D6146&lt;=$G$4,'calculated data '!$A$4,D6146&lt;=$G$6,'calculated data '!$A$5,D6146&gt;=$G$6,'calculated data '!$A$6)</f>
        <v>Target Market (Core IQR)</v>
      </c>
      <c r="F6146" s="10">
        <f t="shared" si="1"/>
        <v>-0.2570518037</v>
      </c>
    </row>
    <row r="6147" ht="14.25" customHeight="1">
      <c r="A6147" s="2" t="s">
        <v>309</v>
      </c>
      <c r="B6147" s="2" t="s">
        <v>310</v>
      </c>
      <c r="C6147" s="2">
        <v>1978.0</v>
      </c>
      <c r="D6147" s="9">
        <v>15358.8125</v>
      </c>
      <c r="E6147" s="10" t="str">
        <f t="array" ref="E6147">IFS(D6147&lt;=$G$3,'calculated data '!$A$3,D6147&lt;=$G$4,'calculated data '!$A$4,D6147&lt;=$G$6,'calculated data '!$A$5,D6147&gt;=$G$6,'calculated data '!$A$6)</f>
        <v>Target Market (Core IQR)</v>
      </c>
      <c r="F6147" s="10">
        <f t="shared" si="1"/>
        <v>-0.2566275333</v>
      </c>
    </row>
    <row r="6148" ht="14.25" customHeight="1">
      <c r="A6148" s="2" t="s">
        <v>329</v>
      </c>
      <c r="B6148" s="2" t="s">
        <v>330</v>
      </c>
      <c r="C6148" s="2">
        <v>2015.0</v>
      </c>
      <c r="D6148" s="9">
        <v>15371.378</v>
      </c>
      <c r="E6148" s="10" t="str">
        <f t="array" ref="E6148">IFS(D6148&lt;=$G$3,'calculated data '!$A$3,D6148&lt;=$G$4,'calculated data '!$A$4,D6148&lt;=$G$6,'calculated data '!$A$5,D6148&gt;=$G$6,'calculated data '!$A$6)</f>
        <v>Target Market (Core IQR)</v>
      </c>
      <c r="F6148" s="10">
        <f t="shared" si="1"/>
        <v>-0.2562949277</v>
      </c>
    </row>
    <row r="6149" ht="14.25" customHeight="1">
      <c r="A6149" s="2" t="s">
        <v>99</v>
      </c>
      <c r="B6149" s="2" t="s">
        <v>100</v>
      </c>
      <c r="C6149" s="2">
        <v>2015.0</v>
      </c>
      <c r="D6149" s="9">
        <v>15375.3955</v>
      </c>
      <c r="E6149" s="10" t="str">
        <f t="array" ref="E6149">IFS(D6149&lt;=$G$3,'calculated data '!$A$3,D6149&lt;=$G$4,'calculated data '!$A$4,D6149&lt;=$G$6,'calculated data '!$A$5,D6149&gt;=$G$6,'calculated data '!$A$6)</f>
        <v>Target Market (Core IQR)</v>
      </c>
      <c r="F6149" s="10">
        <f t="shared" si="1"/>
        <v>-0.2561885855</v>
      </c>
    </row>
    <row r="6150" ht="14.25" customHeight="1">
      <c r="A6150" s="2" t="s">
        <v>31</v>
      </c>
      <c r="B6150" s="2" t="s">
        <v>32</v>
      </c>
      <c r="C6150" s="2">
        <v>1990.0</v>
      </c>
      <c r="D6150" s="9">
        <v>15384.273</v>
      </c>
      <c r="E6150" s="10" t="str">
        <f t="array" ref="E6150">IFS(D6150&lt;=$G$3,'calculated data '!$A$3,D6150&lt;=$G$4,'calculated data '!$A$4,D6150&lt;=$G$6,'calculated data '!$A$5,D6150&gt;=$G$6,'calculated data '!$A$6)</f>
        <v>Target Market (Core IQR)</v>
      </c>
      <c r="F6150" s="10">
        <f t="shared" si="1"/>
        <v>-0.2559536002</v>
      </c>
    </row>
    <row r="6151" ht="14.25" customHeight="1">
      <c r="A6151" s="2" t="s">
        <v>293</v>
      </c>
      <c r="B6151" s="2" t="s">
        <v>294</v>
      </c>
      <c r="C6151" s="2">
        <v>2023.0</v>
      </c>
      <c r="D6151" s="9">
        <v>15388.066</v>
      </c>
      <c r="E6151" s="10" t="str">
        <f t="array" ref="E6151">IFS(D6151&lt;=$G$3,'calculated data '!$A$3,D6151&lt;=$G$4,'calculated data '!$A$4,D6151&lt;=$G$6,'calculated data '!$A$5,D6151&gt;=$G$6,'calculated data '!$A$6)</f>
        <v>Target Market (Core IQR)</v>
      </c>
      <c r="F6151" s="10">
        <f t="shared" si="1"/>
        <v>-0.2558532005</v>
      </c>
    </row>
    <row r="6152" ht="14.25" customHeight="1">
      <c r="A6152" s="2" t="s">
        <v>309</v>
      </c>
      <c r="B6152" s="2" t="s">
        <v>310</v>
      </c>
      <c r="C6152" s="2">
        <v>1979.0</v>
      </c>
      <c r="D6152" s="9">
        <v>15390.711</v>
      </c>
      <c r="E6152" s="10" t="str">
        <f t="array" ref="E6152">IFS(D6152&lt;=$G$3,'calculated data '!$A$3,D6152&lt;=$G$4,'calculated data '!$A$4,D6152&lt;=$G$6,'calculated data '!$A$5,D6152&gt;=$G$6,'calculated data '!$A$6)</f>
        <v>Target Market (Core IQR)</v>
      </c>
      <c r="F6152" s="10">
        <f t="shared" si="1"/>
        <v>-0.255783188</v>
      </c>
    </row>
    <row r="6153" ht="14.25" customHeight="1">
      <c r="A6153" s="2" t="s">
        <v>309</v>
      </c>
      <c r="B6153" s="2" t="s">
        <v>310</v>
      </c>
      <c r="C6153" s="2">
        <v>1980.0</v>
      </c>
      <c r="D6153" s="9">
        <v>15394.662</v>
      </c>
      <c r="E6153" s="10" t="str">
        <f t="array" ref="E6153">IFS(D6153&lt;=$G$3,'calculated data '!$A$3,D6153&lt;=$G$4,'calculated data '!$A$4,D6153&lt;=$G$6,'calculated data '!$A$5,D6153&gt;=$G$6,'calculated data '!$A$6)</f>
        <v>Target Market (Core IQR)</v>
      </c>
      <c r="F6153" s="10">
        <f t="shared" si="1"/>
        <v>-0.255678606</v>
      </c>
    </row>
    <row r="6154" ht="14.25" customHeight="1">
      <c r="A6154" s="2" t="s">
        <v>319</v>
      </c>
      <c r="B6154" s="2" t="s">
        <v>320</v>
      </c>
      <c r="C6154" s="2">
        <v>1974.0</v>
      </c>
      <c r="D6154" s="9">
        <v>15398.195</v>
      </c>
      <c r="E6154" s="10" t="str">
        <f t="array" ref="E6154">IFS(D6154&lt;=$G$3,'calculated data '!$A$3,D6154&lt;=$G$4,'calculated data '!$A$4,D6154&lt;=$G$6,'calculated data '!$A$5,D6154&gt;=$G$6,'calculated data '!$A$6)</f>
        <v>Target Market (Core IQR)</v>
      </c>
      <c r="F6154" s="10">
        <f t="shared" si="1"/>
        <v>-0.2555850884</v>
      </c>
    </row>
    <row r="6155" ht="14.25" customHeight="1">
      <c r="A6155" s="2" t="s">
        <v>287</v>
      </c>
      <c r="B6155" s="2" t="s">
        <v>288</v>
      </c>
      <c r="C6155" s="2">
        <v>2010.0</v>
      </c>
      <c r="D6155" s="9">
        <v>15401.946</v>
      </c>
      <c r="E6155" s="10" t="str">
        <f t="array" ref="E6155">IFS(D6155&lt;=$G$3,'calculated data '!$A$3,D6155&lt;=$G$4,'calculated data '!$A$4,D6155&lt;=$G$6,'calculated data '!$A$5,D6155&gt;=$G$6,'calculated data '!$A$6)</f>
        <v>Target Market (Core IQR)</v>
      </c>
      <c r="F6155" s="10">
        <f t="shared" si="1"/>
        <v>-0.2554858003</v>
      </c>
    </row>
    <row r="6156" ht="14.25" customHeight="1">
      <c r="A6156" s="2" t="s">
        <v>287</v>
      </c>
      <c r="B6156" s="2" t="s">
        <v>288</v>
      </c>
      <c r="C6156" s="2">
        <v>2011.0</v>
      </c>
      <c r="D6156" s="9">
        <v>15405.057</v>
      </c>
      <c r="E6156" s="10" t="str">
        <f t="array" ref="E6156">IFS(D6156&lt;=$G$3,'calculated data '!$A$3,D6156&lt;=$G$4,'calculated data '!$A$4,D6156&lt;=$G$6,'calculated data '!$A$5,D6156&gt;=$G$6,'calculated data '!$A$6)</f>
        <v>Target Market (Core IQR)</v>
      </c>
      <c r="F6156" s="10">
        <f t="shared" si="1"/>
        <v>-0.2554034529</v>
      </c>
    </row>
    <row r="6157" ht="14.25" customHeight="1">
      <c r="A6157" s="2" t="s">
        <v>365</v>
      </c>
      <c r="B6157" s="2" t="s">
        <v>366</v>
      </c>
      <c r="C6157" s="2">
        <v>2009.0</v>
      </c>
      <c r="D6157" s="9">
        <v>15405.96</v>
      </c>
      <c r="E6157" s="10" t="str">
        <f t="array" ref="E6157">IFS(D6157&lt;=$G$3,'calculated data '!$A$3,D6157&lt;=$G$4,'calculated data '!$A$4,D6157&lt;=$G$6,'calculated data '!$A$5,D6157&gt;=$G$6,'calculated data '!$A$6)</f>
        <v>Target Market (Core IQR)</v>
      </c>
      <c r="F6157" s="10">
        <f t="shared" si="1"/>
        <v>-0.2553795508</v>
      </c>
    </row>
    <row r="6158" ht="14.25" customHeight="1">
      <c r="A6158" s="2" t="s">
        <v>347</v>
      </c>
      <c r="B6158" s="2" t="s">
        <v>348</v>
      </c>
      <c r="C6158" s="2">
        <v>2015.0</v>
      </c>
      <c r="D6158" s="9">
        <v>15408.185</v>
      </c>
      <c r="E6158" s="10" t="str">
        <f t="array" ref="E6158">IFS(D6158&lt;=$G$3,'calculated data '!$A$3,D6158&lt;=$G$4,'calculated data '!$A$4,D6158&lt;=$G$6,'calculated data '!$A$5,D6158&gt;=$G$6,'calculated data '!$A$6)</f>
        <v>Target Market (Core IQR)</v>
      </c>
      <c r="F6158" s="10">
        <f t="shared" si="1"/>
        <v>-0.2553206556</v>
      </c>
    </row>
    <row r="6159" ht="14.25" customHeight="1">
      <c r="A6159" s="2" t="s">
        <v>357</v>
      </c>
      <c r="B6159" s="2" t="s">
        <v>358</v>
      </c>
      <c r="C6159" s="2">
        <v>1989.0</v>
      </c>
      <c r="D6159" s="9">
        <v>15408.899</v>
      </c>
      <c r="E6159" s="10" t="str">
        <f t="array" ref="E6159">IFS(D6159&lt;=$G$3,'calculated data '!$A$3,D6159&lt;=$G$4,'calculated data '!$A$4,D6159&lt;=$G$6,'calculated data '!$A$5,D6159&gt;=$G$6,'calculated data '!$A$6)</f>
        <v>Target Market (Core IQR)</v>
      </c>
      <c r="F6159" s="10">
        <f t="shared" si="1"/>
        <v>-0.2553017562</v>
      </c>
    </row>
    <row r="6160" ht="14.25" customHeight="1">
      <c r="A6160" s="2" t="s">
        <v>233</v>
      </c>
      <c r="B6160" s="2" t="s">
        <v>234</v>
      </c>
      <c r="C6160" s="2">
        <v>2018.0</v>
      </c>
      <c r="D6160" s="9">
        <v>15410.099</v>
      </c>
      <c r="E6160" s="10" t="str">
        <f t="array" ref="E6160">IFS(D6160&lt;=$G$3,'calculated data '!$A$3,D6160&lt;=$G$4,'calculated data '!$A$4,D6160&lt;=$G$6,'calculated data '!$A$5,D6160&gt;=$G$6,'calculated data '!$A$6)</f>
        <v>Target Market (Core IQR)</v>
      </c>
      <c r="F6160" s="10">
        <f t="shared" si="1"/>
        <v>-0.2552699925</v>
      </c>
    </row>
    <row r="6161" ht="14.25" customHeight="1">
      <c r="A6161" s="2" t="s">
        <v>47</v>
      </c>
      <c r="B6161" s="2" t="s">
        <v>48</v>
      </c>
      <c r="C6161" s="2">
        <v>2000.0</v>
      </c>
      <c r="D6161" s="9">
        <v>15414.862</v>
      </c>
      <c r="E6161" s="10" t="str">
        <f t="array" ref="E6161">IFS(D6161&lt;=$G$3,'calculated data '!$A$3,D6161&lt;=$G$4,'calculated data '!$A$4,D6161&lt;=$G$6,'calculated data '!$A$5,D6161&gt;=$G$6,'calculated data '!$A$6)</f>
        <v>Target Market (Core IQR)</v>
      </c>
      <c r="F6161" s="10">
        <f t="shared" si="1"/>
        <v>-0.255143917</v>
      </c>
    </row>
    <row r="6162" ht="14.25" customHeight="1">
      <c r="A6162" s="2" t="s">
        <v>329</v>
      </c>
      <c r="B6162" s="2" t="s">
        <v>330</v>
      </c>
      <c r="C6162" s="2">
        <v>2013.0</v>
      </c>
      <c r="D6162" s="9">
        <v>15417.788</v>
      </c>
      <c r="E6162" s="10" t="str">
        <f t="array" ref="E6162">IFS(D6162&lt;=$G$3,'calculated data '!$A$3,D6162&lt;=$G$4,'calculated data '!$A$4,D6162&lt;=$G$6,'calculated data '!$A$5,D6162&gt;=$G$6,'calculated data '!$A$6)</f>
        <v>Target Market (Core IQR)</v>
      </c>
      <c r="F6162" s="10">
        <f t="shared" si="1"/>
        <v>-0.2550664665</v>
      </c>
    </row>
    <row r="6163" ht="14.25" customHeight="1">
      <c r="A6163" s="2" t="s">
        <v>207</v>
      </c>
      <c r="B6163" s="2" t="s">
        <v>208</v>
      </c>
      <c r="C6163" s="2">
        <v>2015.0</v>
      </c>
      <c r="D6163" s="9">
        <v>15421.028</v>
      </c>
      <c r="E6163" s="10" t="str">
        <f t="array" ref="E6163">IFS(D6163&lt;=$G$3,'calculated data '!$A$3,D6163&lt;=$G$4,'calculated data '!$A$4,D6163&lt;=$G$6,'calculated data '!$A$5,D6163&gt;=$G$6,'calculated data '!$A$6)</f>
        <v>Target Market (Core IQR)</v>
      </c>
      <c r="F6163" s="10">
        <f t="shared" si="1"/>
        <v>-0.2549807045</v>
      </c>
    </row>
    <row r="6164" ht="14.25" customHeight="1">
      <c r="A6164" s="2" t="s">
        <v>28</v>
      </c>
      <c r="B6164" s="2" t="s">
        <v>29</v>
      </c>
      <c r="C6164" s="2">
        <v>1985.0</v>
      </c>
      <c r="D6164" s="9">
        <v>15439.019</v>
      </c>
      <c r="E6164" s="10" t="str">
        <f t="array" ref="E6164">IFS(D6164&lt;=$G$3,'calculated data '!$A$3,D6164&lt;=$G$4,'calculated data '!$A$4,D6164&lt;=$G$6,'calculated data '!$A$5,D6164&gt;=$G$6,'calculated data '!$A$6)</f>
        <v>Target Market (Core IQR)</v>
      </c>
      <c r="F6164" s="10">
        <f t="shared" si="1"/>
        <v>-0.2545044873</v>
      </c>
    </row>
    <row r="6165" ht="14.25" customHeight="1">
      <c r="A6165" s="2" t="s">
        <v>141</v>
      </c>
      <c r="B6165" s="2" t="s">
        <v>142</v>
      </c>
      <c r="C6165" s="2">
        <v>2006.0</v>
      </c>
      <c r="D6165" s="9">
        <v>15442.189</v>
      </c>
      <c r="E6165" s="10" t="str">
        <f t="array" ref="E6165">IFS(D6165&lt;=$G$3,'calculated data '!$A$3,D6165&lt;=$G$4,'calculated data '!$A$4,D6165&lt;=$G$6,'calculated data '!$A$5,D6165&gt;=$G$6,'calculated data '!$A$6)</f>
        <v>Target Market (Core IQR)</v>
      </c>
      <c r="F6165" s="10">
        <f t="shared" si="1"/>
        <v>-0.2544205781</v>
      </c>
    </row>
    <row r="6166" ht="14.25" customHeight="1">
      <c r="A6166" s="2" t="s">
        <v>241</v>
      </c>
      <c r="B6166" s="2" t="s">
        <v>242</v>
      </c>
      <c r="C6166" s="2">
        <v>2007.0</v>
      </c>
      <c r="D6166" s="9">
        <v>15454.462</v>
      </c>
      <c r="E6166" s="10" t="str">
        <f t="array" ref="E6166">IFS(D6166&lt;=$G$3,'calculated data '!$A$3,D6166&lt;=$G$4,'calculated data '!$A$4,D6166&lt;=$G$6,'calculated data '!$A$5,D6166&gt;=$G$6,'calculated data '!$A$6)</f>
        <v>Target Market (Core IQR)</v>
      </c>
      <c r="F6166" s="10">
        <f t="shared" si="1"/>
        <v>-0.2540957149</v>
      </c>
    </row>
    <row r="6167" ht="14.25" customHeight="1">
      <c r="A6167" s="2" t="s">
        <v>295</v>
      </c>
      <c r="B6167" s="2" t="s">
        <v>296</v>
      </c>
      <c r="C6167" s="2">
        <v>2009.0</v>
      </c>
      <c r="D6167" s="9">
        <v>15458.73</v>
      </c>
      <c r="E6167" s="10" t="str">
        <f t="array" ref="E6167">IFS(D6167&lt;=$G$3,'calculated data '!$A$3,D6167&lt;=$G$4,'calculated data '!$A$4,D6167&lt;=$G$6,'calculated data '!$A$5,D6167&gt;=$G$6,'calculated data '!$A$6)</f>
        <v>Target Market (Core IQR)</v>
      </c>
      <c r="F6167" s="10">
        <f t="shared" si="1"/>
        <v>-0.253982742</v>
      </c>
    </row>
    <row r="6168" ht="14.25" customHeight="1">
      <c r="A6168" s="2" t="s">
        <v>357</v>
      </c>
      <c r="B6168" s="2" t="s">
        <v>358</v>
      </c>
      <c r="C6168" s="2">
        <v>1968.0</v>
      </c>
      <c r="D6168" s="9">
        <v>15460.239</v>
      </c>
      <c r="E6168" s="10" t="str">
        <f t="array" ref="E6168">IFS(D6168&lt;=$G$3,'calculated data '!$A$3,D6168&lt;=$G$4,'calculated data '!$A$4,D6168&lt;=$G$6,'calculated data '!$A$5,D6168&gt;=$G$6,'calculated data '!$A$6)</f>
        <v>Target Market (Core IQR)</v>
      </c>
      <c r="F6168" s="10">
        <f t="shared" si="1"/>
        <v>-0.2539427991</v>
      </c>
    </row>
    <row r="6169" ht="14.25" customHeight="1">
      <c r="A6169" s="2" t="s">
        <v>273</v>
      </c>
      <c r="B6169" s="2" t="s">
        <v>274</v>
      </c>
      <c r="C6169" s="2">
        <v>1981.0</v>
      </c>
      <c r="D6169" s="9">
        <v>15467.449</v>
      </c>
      <c r="E6169" s="10" t="str">
        <f t="array" ref="E6169">IFS(D6169&lt;=$G$3,'calculated data '!$A$3,D6169&lt;=$G$4,'calculated data '!$A$4,D6169&lt;=$G$6,'calculated data '!$A$5,D6169&gt;=$G$6,'calculated data '!$A$6)</f>
        <v>Target Market (Core IQR)</v>
      </c>
      <c r="F6169" s="10">
        <f t="shared" si="1"/>
        <v>-0.2537519522</v>
      </c>
    </row>
    <row r="6170" ht="14.25" customHeight="1">
      <c r="A6170" s="2" t="s">
        <v>349</v>
      </c>
      <c r="B6170" s="2" t="s">
        <v>350</v>
      </c>
      <c r="C6170" s="2">
        <v>1997.0</v>
      </c>
      <c r="D6170" s="9">
        <v>15473.9</v>
      </c>
      <c r="E6170" s="10" t="str">
        <f t="array" ref="E6170">IFS(D6170&lt;=$G$3,'calculated data '!$A$3,D6170&lt;=$G$4,'calculated data '!$A$4,D6170&lt;=$G$6,'calculated data '!$A$5,D6170&gt;=$G$6,'calculated data '!$A$6)</f>
        <v>Target Market (Core IQR)</v>
      </c>
      <c r="F6170" s="10">
        <f t="shared" si="1"/>
        <v>-0.2535811959</v>
      </c>
    </row>
    <row r="6171" ht="14.25" customHeight="1">
      <c r="A6171" s="2" t="s">
        <v>325</v>
      </c>
      <c r="B6171" s="2" t="s">
        <v>326</v>
      </c>
      <c r="C6171" s="2">
        <v>2020.0</v>
      </c>
      <c r="D6171" s="9">
        <v>15475.302</v>
      </c>
      <c r="E6171" s="10" t="str">
        <f t="array" ref="E6171">IFS(D6171&lt;=$G$3,'calculated data '!$A$3,D6171&lt;=$G$4,'calculated data '!$A$4,D6171&lt;=$G$6,'calculated data '!$A$5,D6171&gt;=$G$6,'calculated data '!$A$6)</f>
        <v>Target Market (Core IQR)</v>
      </c>
      <c r="F6171" s="10">
        <f t="shared" si="1"/>
        <v>-0.2535440853</v>
      </c>
    </row>
    <row r="6172" ht="14.25" customHeight="1">
      <c r="A6172" s="2" t="s">
        <v>339</v>
      </c>
      <c r="B6172" s="2" t="s">
        <v>340</v>
      </c>
      <c r="C6172" s="2">
        <v>2002.0</v>
      </c>
      <c r="D6172" s="9">
        <v>15486.879</v>
      </c>
      <c r="E6172" s="10" t="str">
        <f t="array" ref="E6172">IFS(D6172&lt;=$G$3,'calculated data '!$A$3,D6172&lt;=$G$4,'calculated data '!$A$4,D6172&lt;=$G$6,'calculated data '!$A$5,D6172&gt;=$G$6,'calculated data '!$A$6)</f>
        <v>Target Market (Core IQR)</v>
      </c>
      <c r="F6172" s="10">
        <f t="shared" si="1"/>
        <v>-0.253237645</v>
      </c>
    </row>
    <row r="6173" ht="14.25" customHeight="1">
      <c r="A6173" s="2" t="s">
        <v>197</v>
      </c>
      <c r="B6173" s="2" t="s">
        <v>198</v>
      </c>
      <c r="C6173" s="2">
        <v>2005.0</v>
      </c>
      <c r="D6173" s="9">
        <v>15494.77</v>
      </c>
      <c r="E6173" s="10" t="str">
        <f t="array" ref="E6173">IFS(D6173&lt;=$G$3,'calculated data '!$A$3,D6173&lt;=$G$4,'calculated data '!$A$4,D6173&lt;=$G$6,'calculated data '!$A$5,D6173&gt;=$G$6,'calculated data '!$A$6)</f>
        <v>Target Market (Core IQR)</v>
      </c>
      <c r="F6173" s="10">
        <f t="shared" si="1"/>
        <v>-0.2530287722</v>
      </c>
    </row>
    <row r="6174" ht="14.25" customHeight="1">
      <c r="A6174" s="2" t="s">
        <v>357</v>
      </c>
      <c r="B6174" s="2" t="s">
        <v>358</v>
      </c>
      <c r="C6174" s="2">
        <v>1983.0</v>
      </c>
      <c r="D6174" s="9">
        <v>15496.227</v>
      </c>
      <c r="E6174" s="10" t="str">
        <f t="array" ref="E6174">IFS(D6174&lt;=$G$3,'calculated data '!$A$3,D6174&lt;=$G$4,'calculated data '!$A$4,D6174&lt;=$G$6,'calculated data '!$A$5,D6174&gt;=$G$6,'calculated data '!$A$6)</f>
        <v>Target Market (Core IQR)</v>
      </c>
      <c r="F6174" s="10">
        <f t="shared" si="1"/>
        <v>-0.2529902057</v>
      </c>
    </row>
    <row r="6175" ht="14.25" customHeight="1">
      <c r="A6175" s="2" t="s">
        <v>339</v>
      </c>
      <c r="B6175" s="2" t="s">
        <v>340</v>
      </c>
      <c r="C6175" s="2">
        <v>1986.0</v>
      </c>
      <c r="D6175" s="9">
        <v>15500.375</v>
      </c>
      <c r="E6175" s="10" t="str">
        <f t="array" ref="E6175">IFS(D6175&lt;=$G$3,'calculated data '!$A$3,D6175&lt;=$G$4,'calculated data '!$A$4,D6175&lt;=$G$6,'calculated data '!$A$5,D6175&gt;=$G$6,'calculated data '!$A$6)</f>
        <v>Target Market (Core IQR)</v>
      </c>
      <c r="F6175" s="10">
        <f t="shared" si="1"/>
        <v>-0.2528804092</v>
      </c>
    </row>
    <row r="6176" ht="14.25" customHeight="1">
      <c r="A6176" s="2" t="s">
        <v>317</v>
      </c>
      <c r="B6176" s="2" t="s">
        <v>318</v>
      </c>
      <c r="C6176" s="2">
        <v>2007.0</v>
      </c>
      <c r="D6176" s="9">
        <v>15519.601</v>
      </c>
      <c r="E6176" s="10" t="str">
        <f t="array" ref="E6176">IFS(D6176&lt;=$G$3,'calculated data '!$A$3,D6176&lt;=$G$4,'calculated data '!$A$4,D6176&lt;=$G$6,'calculated data '!$A$5,D6176&gt;=$G$6,'calculated data '!$A$6)</f>
        <v>Target Market (Core IQR)</v>
      </c>
      <c r="F6176" s="10">
        <f t="shared" si="1"/>
        <v>-0.2523715018</v>
      </c>
    </row>
    <row r="6177" ht="14.25" customHeight="1">
      <c r="A6177" s="2" t="s">
        <v>339</v>
      </c>
      <c r="B6177" s="2" t="s">
        <v>340</v>
      </c>
      <c r="C6177" s="2">
        <v>2024.0</v>
      </c>
      <c r="D6177" s="9">
        <v>15524.72</v>
      </c>
      <c r="E6177" s="10" t="str">
        <f t="array" ref="E6177">IFS(D6177&lt;=$G$3,'calculated data '!$A$3,D6177&lt;=$G$4,'calculated data '!$A$4,D6177&lt;=$G$6,'calculated data '!$A$5,D6177&gt;=$G$6,'calculated data '!$A$6)</f>
        <v>Target Market (Core IQR)</v>
      </c>
      <c r="F6177" s="10">
        <f t="shared" si="1"/>
        <v>-0.2522360031</v>
      </c>
    </row>
    <row r="6178" ht="14.25" customHeight="1">
      <c r="A6178" s="2" t="s">
        <v>357</v>
      </c>
      <c r="B6178" s="2" t="s">
        <v>358</v>
      </c>
      <c r="C6178" s="2">
        <v>2002.0</v>
      </c>
      <c r="D6178" s="9">
        <v>15530.269</v>
      </c>
      <c r="E6178" s="10" t="str">
        <f t="array" ref="E6178">IFS(D6178&lt;=$G$3,'calculated data '!$A$3,D6178&lt;=$G$4,'calculated data '!$A$4,D6178&lt;=$G$6,'calculated data '!$A$5,D6178&gt;=$G$6,'calculated data '!$A$6)</f>
        <v>Target Market (Core IQR)</v>
      </c>
      <c r="F6178" s="10">
        <f t="shared" si="1"/>
        <v>-0.2520891225</v>
      </c>
    </row>
    <row r="6179" ht="14.25" customHeight="1">
      <c r="A6179" s="2" t="s">
        <v>28</v>
      </c>
      <c r="B6179" s="2" t="s">
        <v>29</v>
      </c>
      <c r="C6179" s="2">
        <v>2002.0</v>
      </c>
      <c r="D6179" s="9">
        <v>15538.345</v>
      </c>
      <c r="E6179" s="10" t="str">
        <f t="array" ref="E6179">IFS(D6179&lt;=$G$3,'calculated data '!$A$3,D6179&lt;=$G$4,'calculated data '!$A$4,D6179&lt;=$G$6,'calculated data '!$A$5,D6179&gt;=$G$6,'calculated data '!$A$6)</f>
        <v>Target Market (Core IQR)</v>
      </c>
      <c r="F6179" s="10">
        <f t="shared" si="1"/>
        <v>-0.2518753528</v>
      </c>
    </row>
    <row r="6180" ht="14.25" customHeight="1">
      <c r="A6180" s="2" t="s">
        <v>287</v>
      </c>
      <c r="B6180" s="2" t="s">
        <v>288</v>
      </c>
      <c r="C6180" s="2">
        <v>2015.0</v>
      </c>
      <c r="D6180" s="9">
        <v>15547.409</v>
      </c>
      <c r="E6180" s="10" t="str">
        <f t="array" ref="E6180">IFS(D6180&lt;=$G$3,'calculated data '!$A$3,D6180&lt;=$G$4,'calculated data '!$A$4,D6180&lt;=$G$6,'calculated data '!$A$5,D6180&gt;=$G$6,'calculated data '!$A$6)</f>
        <v>Target Market (Core IQR)</v>
      </c>
      <c r="F6180" s="10">
        <f t="shared" si="1"/>
        <v>-0.251635431</v>
      </c>
    </row>
    <row r="6181" ht="14.25" customHeight="1">
      <c r="A6181" s="2" t="s">
        <v>357</v>
      </c>
      <c r="B6181" s="2" t="s">
        <v>358</v>
      </c>
      <c r="C6181" s="2">
        <v>1992.0</v>
      </c>
      <c r="D6181" s="9">
        <v>15557.192</v>
      </c>
      <c r="E6181" s="10" t="str">
        <f t="array" ref="E6181">IFS(D6181&lt;=$G$3,'calculated data '!$A$3,D6181&lt;=$G$4,'calculated data '!$A$4,D6181&lt;=$G$6,'calculated data '!$A$5,D6181&gt;=$G$6,'calculated data '!$A$6)</f>
        <v>Target Market (Core IQR)</v>
      </c>
      <c r="F6181" s="10">
        <f t="shared" si="1"/>
        <v>-0.2513764774</v>
      </c>
    </row>
    <row r="6182" ht="14.25" customHeight="1">
      <c r="A6182" s="2" t="s">
        <v>329</v>
      </c>
      <c r="B6182" s="2" t="s">
        <v>330</v>
      </c>
      <c r="C6182" s="2">
        <v>2014.0</v>
      </c>
      <c r="D6182" s="9">
        <v>15563.433</v>
      </c>
      <c r="E6182" s="10" t="str">
        <f t="array" ref="E6182">IFS(D6182&lt;=$G$3,'calculated data '!$A$3,D6182&lt;=$G$4,'calculated data '!$A$4,D6182&lt;=$G$6,'calculated data '!$A$5,D6182&gt;=$G$6,'calculated data '!$A$6)</f>
        <v>Target Market (Core IQR)</v>
      </c>
      <c r="F6182" s="10">
        <f t="shared" si="1"/>
        <v>-0.2512112797</v>
      </c>
    </row>
    <row r="6183" ht="14.25" customHeight="1">
      <c r="A6183" s="2" t="s">
        <v>303</v>
      </c>
      <c r="B6183" s="2" t="s">
        <v>304</v>
      </c>
      <c r="C6183" s="2">
        <v>2016.0</v>
      </c>
      <c r="D6183" s="9">
        <v>15564.2</v>
      </c>
      <c r="E6183" s="10" t="str">
        <f t="array" ref="E6183">IFS(D6183&lt;=$G$3,'calculated data '!$A$3,D6183&lt;=$G$4,'calculated data '!$A$4,D6183&lt;=$G$6,'calculated data '!$A$5,D6183&gt;=$G$6,'calculated data '!$A$6)</f>
        <v>Target Market (Core IQR)</v>
      </c>
      <c r="F6183" s="10">
        <f t="shared" si="1"/>
        <v>-0.2511909774</v>
      </c>
    </row>
    <row r="6184" ht="14.25" customHeight="1">
      <c r="A6184" s="2" t="s">
        <v>231</v>
      </c>
      <c r="B6184" s="2" t="s">
        <v>232</v>
      </c>
      <c r="C6184" s="2">
        <v>2009.0</v>
      </c>
      <c r="D6184" s="9">
        <v>15576.431</v>
      </c>
      <c r="E6184" s="10" t="str">
        <f t="array" ref="E6184">IFS(D6184&lt;=$G$3,'calculated data '!$A$3,D6184&lt;=$G$4,'calculated data '!$A$4,D6184&lt;=$G$6,'calculated data '!$A$5,D6184&gt;=$G$6,'calculated data '!$A$6)</f>
        <v>Target Market (Core IQR)</v>
      </c>
      <c r="F6184" s="10">
        <f t="shared" si="1"/>
        <v>-0.2508672258</v>
      </c>
    </row>
    <row r="6185" ht="14.25" customHeight="1">
      <c r="A6185" s="2" t="s">
        <v>285</v>
      </c>
      <c r="B6185" s="2" t="s">
        <v>286</v>
      </c>
      <c r="C6185" s="2">
        <v>1982.0</v>
      </c>
      <c r="D6185" s="9">
        <v>15577.92</v>
      </c>
      <c r="E6185" s="10" t="str">
        <f t="array" ref="E6185">IFS(D6185&lt;=$G$3,'calculated data '!$A$3,D6185&lt;=$G$4,'calculated data '!$A$4,D6185&lt;=$G$6,'calculated data '!$A$5,D6185&gt;=$G$6,'calculated data '!$A$6)</f>
        <v>Target Market (Core IQR)</v>
      </c>
      <c r="F6185" s="10">
        <f t="shared" si="1"/>
        <v>-0.2508278124</v>
      </c>
    </row>
    <row r="6186" ht="14.25" customHeight="1">
      <c r="A6186" s="2" t="s">
        <v>291</v>
      </c>
      <c r="B6186" s="2" t="s">
        <v>292</v>
      </c>
      <c r="C6186" s="2">
        <v>2016.0</v>
      </c>
      <c r="D6186" s="9">
        <v>15581.958</v>
      </c>
      <c r="E6186" s="10" t="str">
        <f t="array" ref="E6186">IFS(D6186&lt;=$G$3,'calculated data '!$A$3,D6186&lt;=$G$4,'calculated data '!$A$4,D6186&lt;=$G$6,'calculated data '!$A$5,D6186&gt;=$G$6,'calculated data '!$A$6)</f>
        <v>Target Market (Core IQR)</v>
      </c>
      <c r="F6186" s="10">
        <f t="shared" si="1"/>
        <v>-0.2507209275</v>
      </c>
    </row>
    <row r="6187" ht="14.25" customHeight="1">
      <c r="A6187" s="2" t="s">
        <v>339</v>
      </c>
      <c r="B6187" s="2" t="s">
        <v>340</v>
      </c>
      <c r="C6187" s="2">
        <v>2016.0</v>
      </c>
      <c r="D6187" s="9">
        <v>15591.238</v>
      </c>
      <c r="E6187" s="10" t="str">
        <f t="array" ref="E6187">IFS(D6187&lt;=$G$3,'calculated data '!$A$3,D6187&lt;=$G$4,'calculated data '!$A$4,D6187&lt;=$G$6,'calculated data '!$A$5,D6187&gt;=$G$6,'calculated data '!$A$6)</f>
        <v>Target Market (Core IQR)</v>
      </c>
      <c r="F6187" s="10">
        <f t="shared" si="1"/>
        <v>-0.2504752882</v>
      </c>
    </row>
    <row r="6188" ht="14.25" customHeight="1">
      <c r="A6188" s="2" t="s">
        <v>357</v>
      </c>
      <c r="B6188" s="2" t="s">
        <v>358</v>
      </c>
      <c r="C6188" s="2">
        <v>1973.0</v>
      </c>
      <c r="D6188" s="9">
        <v>15594.587</v>
      </c>
      <c r="E6188" s="10" t="str">
        <f t="array" ref="E6188">IFS(D6188&lt;=$G$3,'calculated data '!$A$3,D6188&lt;=$G$4,'calculated data '!$A$4,D6188&lt;=$G$6,'calculated data '!$A$5,D6188&gt;=$G$6,'calculated data '!$A$6)</f>
        <v>Target Market (Core IQR)</v>
      </c>
      <c r="F6188" s="10">
        <f t="shared" si="1"/>
        <v>-0.250386641</v>
      </c>
    </row>
    <row r="6189" ht="14.25" customHeight="1">
      <c r="A6189" s="2" t="s">
        <v>231</v>
      </c>
      <c r="B6189" s="2" t="s">
        <v>232</v>
      </c>
      <c r="C6189" s="2">
        <v>2008.0</v>
      </c>
      <c r="D6189" s="9">
        <v>15596.073</v>
      </c>
      <c r="E6189" s="10" t="str">
        <f t="array" ref="E6189">IFS(D6189&lt;=$G$3,'calculated data '!$A$3,D6189&lt;=$G$4,'calculated data '!$A$4,D6189&lt;=$G$6,'calculated data '!$A$5,D6189&gt;=$G$6,'calculated data '!$A$6)</f>
        <v>Target Market (Core IQR)</v>
      </c>
      <c r="F6189" s="10">
        <f t="shared" si="1"/>
        <v>-0.250347307</v>
      </c>
    </row>
    <row r="6190" ht="14.25" customHeight="1">
      <c r="A6190" s="2" t="s">
        <v>291</v>
      </c>
      <c r="B6190" s="2" t="s">
        <v>292</v>
      </c>
      <c r="C6190" s="2">
        <v>2013.0</v>
      </c>
      <c r="D6190" s="9">
        <v>15599.588</v>
      </c>
      <c r="E6190" s="10" t="str">
        <f t="array" ref="E6190">IFS(D6190&lt;=$G$3,'calculated data '!$A$3,D6190&lt;=$G$4,'calculated data '!$A$4,D6190&lt;=$G$6,'calculated data '!$A$5,D6190&gt;=$G$6,'calculated data '!$A$6)</f>
        <v>Target Market (Core IQR)</v>
      </c>
      <c r="F6190" s="10">
        <f t="shared" si="1"/>
        <v>-0.2502542658</v>
      </c>
    </row>
    <row r="6191" ht="14.25" customHeight="1">
      <c r="A6191" s="2" t="s">
        <v>287</v>
      </c>
      <c r="B6191" s="2" t="s">
        <v>288</v>
      </c>
      <c r="C6191" s="2">
        <v>1999.0</v>
      </c>
      <c r="D6191" s="9">
        <v>15600.096</v>
      </c>
      <c r="E6191" s="10" t="str">
        <f t="array" ref="E6191">IFS(D6191&lt;=$G$3,'calculated data '!$A$3,D6191&lt;=$G$4,'calculated data '!$A$4,D6191&lt;=$G$6,'calculated data '!$A$5,D6191&gt;=$G$6,'calculated data '!$A$6)</f>
        <v>Target Market (Core IQR)</v>
      </c>
      <c r="F6191" s="10">
        <f t="shared" si="1"/>
        <v>-0.2502408192</v>
      </c>
    </row>
    <row r="6192" ht="14.25" customHeight="1">
      <c r="A6192" s="2" t="s">
        <v>339</v>
      </c>
      <c r="B6192" s="2" t="s">
        <v>340</v>
      </c>
      <c r="C6192" s="2">
        <v>2023.0</v>
      </c>
      <c r="D6192" s="9">
        <v>15601.472</v>
      </c>
      <c r="E6192" s="10" t="str">
        <f t="array" ref="E6192">IFS(D6192&lt;=$G$3,'calculated data '!$A$3,D6192&lt;=$G$4,'calculated data '!$A$4,D6192&lt;=$G$6,'calculated data '!$A$5,D6192&gt;=$G$6,'calculated data '!$A$6)</f>
        <v>Target Market (Core IQR)</v>
      </c>
      <c r="F6192" s="10">
        <f t="shared" si="1"/>
        <v>-0.2502043968</v>
      </c>
    </row>
    <row r="6193" ht="14.25" customHeight="1">
      <c r="A6193" s="2" t="s">
        <v>279</v>
      </c>
      <c r="B6193" s="2" t="s">
        <v>280</v>
      </c>
      <c r="C6193" s="2">
        <v>1981.0</v>
      </c>
      <c r="D6193" s="9">
        <v>15606.014</v>
      </c>
      <c r="E6193" s="10" t="str">
        <f t="array" ref="E6193">IFS(D6193&lt;=$G$3,'calculated data '!$A$3,D6193&lt;=$G$4,'calculated data '!$A$4,D6193&lt;=$G$6,'calculated data '!$A$5,D6193&gt;=$G$6,'calculated data '!$A$6)</f>
        <v>Target Market (Core IQR)</v>
      </c>
      <c r="F6193" s="10">
        <f t="shared" si="1"/>
        <v>-0.2500841712</v>
      </c>
    </row>
    <row r="6194" ht="14.25" customHeight="1">
      <c r="A6194" s="2" t="s">
        <v>345</v>
      </c>
      <c r="B6194" s="2" t="s">
        <v>346</v>
      </c>
      <c r="C6194" s="2">
        <v>1998.0</v>
      </c>
      <c r="D6194" s="9">
        <v>15609.031</v>
      </c>
      <c r="E6194" s="10" t="str">
        <f t="array" ref="E6194">IFS(D6194&lt;=$G$3,'calculated data '!$A$3,D6194&lt;=$G$4,'calculated data '!$A$4,D6194&lt;=$G$6,'calculated data '!$A$5,D6194&gt;=$G$6,'calculated data '!$A$6)</f>
        <v>Target Market (Core IQR)</v>
      </c>
      <c r="F6194" s="10">
        <f t="shared" si="1"/>
        <v>-0.250004312</v>
      </c>
    </row>
    <row r="6195" ht="14.25" customHeight="1">
      <c r="A6195" s="2" t="s">
        <v>303</v>
      </c>
      <c r="B6195" s="2" t="s">
        <v>304</v>
      </c>
      <c r="C6195" s="2">
        <v>2022.0</v>
      </c>
      <c r="D6195" s="9">
        <v>15611.406</v>
      </c>
      <c r="E6195" s="10" t="str">
        <f t="array" ref="E6195">IFS(D6195&lt;=$G$3,'calculated data '!$A$3,D6195&lt;=$G$4,'calculated data '!$A$4,D6195&lt;=$G$6,'calculated data '!$A$5,D6195&gt;=$G$6,'calculated data '!$A$6)</f>
        <v>Target Market (Core IQR)</v>
      </c>
      <c r="F6195" s="10">
        <f t="shared" si="1"/>
        <v>-0.2499414463</v>
      </c>
    </row>
    <row r="6196" ht="14.25" customHeight="1">
      <c r="A6196" s="2" t="s">
        <v>229</v>
      </c>
      <c r="B6196" s="2" t="s">
        <v>230</v>
      </c>
      <c r="C6196" s="2">
        <v>2012.0</v>
      </c>
      <c r="D6196" s="9">
        <v>15613.623</v>
      </c>
      <c r="E6196" s="10" t="str">
        <f t="array" ref="E6196">IFS(D6196&lt;=$G$3,'calculated data '!$A$3,D6196&lt;=$G$4,'calculated data '!$A$4,D6196&lt;=$G$6,'calculated data '!$A$5,D6196&gt;=$G$6,'calculated data '!$A$6)</f>
        <v>Target Market (Core IQR)</v>
      </c>
      <c r="F6196" s="10">
        <f t="shared" si="1"/>
        <v>-0.2498827629</v>
      </c>
    </row>
    <row r="6197" ht="14.25" customHeight="1">
      <c r="A6197" s="2" t="s">
        <v>257</v>
      </c>
      <c r="B6197" s="2" t="s">
        <v>258</v>
      </c>
      <c r="C6197" s="2">
        <v>1992.0</v>
      </c>
      <c r="D6197" s="9">
        <v>15615.135</v>
      </c>
      <c r="E6197" s="10" t="str">
        <f t="array" ref="E6197">IFS(D6197&lt;=$G$3,'calculated data '!$A$3,D6197&lt;=$G$4,'calculated data '!$A$4,D6197&lt;=$G$6,'calculated data '!$A$5,D6197&gt;=$G$6,'calculated data '!$A$6)</f>
        <v>Target Market (Core IQR)</v>
      </c>
      <c r="F6197" s="10">
        <f t="shared" si="1"/>
        <v>-0.2498427406</v>
      </c>
    </row>
    <row r="6198" ht="14.25" customHeight="1">
      <c r="A6198" s="2" t="s">
        <v>357</v>
      </c>
      <c r="B6198" s="2" t="s">
        <v>358</v>
      </c>
      <c r="C6198" s="2">
        <v>1993.0</v>
      </c>
      <c r="D6198" s="9">
        <v>15629.645</v>
      </c>
      <c r="E6198" s="10" t="str">
        <f t="array" ref="E6198">IFS(D6198&lt;=$G$3,'calculated data '!$A$3,D6198&lt;=$G$4,'calculated data '!$A$4,D6198&lt;=$G$6,'calculated data '!$A$5,D6198&gt;=$G$6,'calculated data '!$A$6)</f>
        <v>Target Market (Core IQR)</v>
      </c>
      <c r="F6198" s="10">
        <f t="shared" si="1"/>
        <v>-0.2494586645</v>
      </c>
    </row>
    <row r="6199" ht="14.25" customHeight="1">
      <c r="A6199" s="2" t="s">
        <v>349</v>
      </c>
      <c r="B6199" s="2" t="s">
        <v>350</v>
      </c>
      <c r="C6199" s="2">
        <v>2003.0</v>
      </c>
      <c r="D6199" s="9">
        <v>15634.958</v>
      </c>
      <c r="E6199" s="10" t="str">
        <f t="array" ref="E6199">IFS(D6199&lt;=$G$3,'calculated data '!$A$3,D6199&lt;=$G$4,'calculated data '!$A$4,D6199&lt;=$G$6,'calculated data '!$A$5,D6199&gt;=$G$6,'calculated data '!$A$6)</f>
        <v>Target Market (Core IQR)</v>
      </c>
      <c r="F6199" s="10">
        <f t="shared" si="1"/>
        <v>-0.2493180307</v>
      </c>
    </row>
    <row r="6200" ht="14.25" customHeight="1">
      <c r="A6200" s="2" t="s">
        <v>365</v>
      </c>
      <c r="B6200" s="2" t="s">
        <v>366</v>
      </c>
      <c r="C6200" s="2">
        <v>2014.0</v>
      </c>
      <c r="D6200" s="9">
        <v>15636.253</v>
      </c>
      <c r="E6200" s="10" t="str">
        <f t="array" ref="E6200">IFS(D6200&lt;=$G$3,'calculated data '!$A$3,D6200&lt;=$G$4,'calculated data '!$A$4,D6200&lt;=$G$6,'calculated data '!$A$5,D6200&gt;=$G$6,'calculated data '!$A$6)</f>
        <v>Target Market (Core IQR)</v>
      </c>
      <c r="F6200" s="10">
        <f t="shared" si="1"/>
        <v>-0.2492837524</v>
      </c>
    </row>
    <row r="6201" ht="14.25" customHeight="1">
      <c r="A6201" s="2" t="s">
        <v>279</v>
      </c>
      <c r="B6201" s="2" t="s">
        <v>280</v>
      </c>
      <c r="C6201" s="2">
        <v>1978.0</v>
      </c>
      <c r="D6201" s="9">
        <v>15653.668</v>
      </c>
      <c r="E6201" s="10" t="str">
        <f t="array" ref="E6201">IFS(D6201&lt;=$G$3,'calculated data '!$A$3,D6201&lt;=$G$4,'calculated data '!$A$4,D6201&lt;=$G$6,'calculated data '!$A$5,D6201&gt;=$G$6,'calculated data '!$A$6)</f>
        <v>Target Market (Core IQR)</v>
      </c>
      <c r="F6201" s="10">
        <f t="shared" si="1"/>
        <v>-0.2488227817</v>
      </c>
    </row>
    <row r="6202" ht="14.25" customHeight="1">
      <c r="A6202" s="2" t="s">
        <v>47</v>
      </c>
      <c r="B6202" s="2" t="s">
        <v>48</v>
      </c>
      <c r="C6202" s="2">
        <v>2001.0</v>
      </c>
      <c r="D6202" s="9">
        <v>15656.771</v>
      </c>
      <c r="E6202" s="10" t="str">
        <f t="array" ref="E6202">IFS(D6202&lt;=$G$3,'calculated data '!$A$3,D6202&lt;=$G$4,'calculated data '!$A$4,D6202&lt;=$G$6,'calculated data '!$A$5,D6202&gt;=$G$6,'calculated data '!$A$6)</f>
        <v>Target Market (Core IQR)</v>
      </c>
      <c r="F6202" s="10">
        <f t="shared" si="1"/>
        <v>-0.2487406461</v>
      </c>
    </row>
    <row r="6203" ht="14.25" customHeight="1">
      <c r="A6203" s="2" t="s">
        <v>301</v>
      </c>
      <c r="B6203" s="2" t="s">
        <v>302</v>
      </c>
      <c r="C6203" s="2">
        <v>2020.0</v>
      </c>
      <c r="D6203" s="9">
        <v>15656.81</v>
      </c>
      <c r="E6203" s="10" t="str">
        <f t="array" ref="E6203">IFS(D6203&lt;=$G$3,'calculated data '!$A$3,D6203&lt;=$G$4,'calculated data '!$A$4,D6203&lt;=$G$6,'calculated data '!$A$5,D6203&gt;=$G$6,'calculated data '!$A$6)</f>
        <v>Target Market (Core IQR)</v>
      </c>
      <c r="F6203" s="10">
        <f t="shared" si="1"/>
        <v>-0.2487396137</v>
      </c>
    </row>
    <row r="6204" ht="14.25" customHeight="1">
      <c r="A6204" s="2" t="s">
        <v>291</v>
      </c>
      <c r="B6204" s="2" t="s">
        <v>292</v>
      </c>
      <c r="C6204" s="2">
        <v>2012.0</v>
      </c>
      <c r="D6204" s="9">
        <v>15657.83</v>
      </c>
      <c r="E6204" s="10" t="str">
        <f t="array" ref="E6204">IFS(D6204&lt;=$G$3,'calculated data '!$A$3,D6204&lt;=$G$4,'calculated data '!$A$4,D6204&lt;=$G$6,'calculated data '!$A$5,D6204&gt;=$G$6,'calculated data '!$A$6)</f>
        <v>Target Market (Core IQR)</v>
      </c>
      <c r="F6204" s="10">
        <f t="shared" si="1"/>
        <v>-0.2487126146</v>
      </c>
    </row>
    <row r="6205" ht="14.25" customHeight="1">
      <c r="A6205" s="2" t="s">
        <v>351</v>
      </c>
      <c r="B6205" s="2" t="s">
        <v>352</v>
      </c>
      <c r="C6205" s="2">
        <v>1998.0</v>
      </c>
      <c r="D6205" s="9">
        <v>15662.487</v>
      </c>
      <c r="E6205" s="10" t="str">
        <f t="array" ref="E6205">IFS(D6205&lt;=$G$3,'calculated data '!$A$3,D6205&lt;=$G$4,'calculated data '!$A$4,D6205&lt;=$G$6,'calculated data '!$A$5,D6205&gt;=$G$6,'calculated data '!$A$6)</f>
        <v>Target Market (Core IQR)</v>
      </c>
      <c r="F6205" s="10">
        <f t="shared" si="1"/>
        <v>-0.248589345</v>
      </c>
    </row>
    <row r="6206" ht="14.25" customHeight="1">
      <c r="A6206" s="2" t="s">
        <v>349</v>
      </c>
      <c r="B6206" s="2" t="s">
        <v>350</v>
      </c>
      <c r="C6206" s="2">
        <v>2012.0</v>
      </c>
      <c r="D6206" s="9">
        <v>15669.365</v>
      </c>
      <c r="E6206" s="10" t="str">
        <f t="array" ref="E6206">IFS(D6206&lt;=$G$3,'calculated data '!$A$3,D6206&lt;=$G$4,'calculated data '!$A$4,D6206&lt;=$G$6,'calculated data '!$A$5,D6206&gt;=$G$6,'calculated data '!$A$6)</f>
        <v>Target Market (Core IQR)</v>
      </c>
      <c r="F6206" s="10">
        <f t="shared" si="1"/>
        <v>-0.248407286</v>
      </c>
    </row>
    <row r="6207" ht="14.25" customHeight="1">
      <c r="A6207" s="2" t="s">
        <v>231</v>
      </c>
      <c r="B6207" s="2" t="s">
        <v>232</v>
      </c>
      <c r="C6207" s="2">
        <v>2007.0</v>
      </c>
      <c r="D6207" s="9">
        <v>15670.638</v>
      </c>
      <c r="E6207" s="10" t="str">
        <f t="array" ref="E6207">IFS(D6207&lt;=$G$3,'calculated data '!$A$3,D6207&lt;=$G$4,'calculated data '!$A$4,D6207&lt;=$G$6,'calculated data '!$A$5,D6207&gt;=$G$6,'calculated data '!$A$6)</f>
        <v>Target Market (Core IQR)</v>
      </c>
      <c r="F6207" s="10">
        <f t="shared" si="1"/>
        <v>-0.24837359</v>
      </c>
    </row>
    <row r="6208" ht="14.25" customHeight="1">
      <c r="A6208" s="2" t="s">
        <v>57</v>
      </c>
      <c r="B6208" s="2" t="s">
        <v>58</v>
      </c>
      <c r="C6208" s="2">
        <v>1972.0</v>
      </c>
      <c r="D6208" s="9">
        <v>15670.704</v>
      </c>
      <c r="E6208" s="10" t="str">
        <f t="array" ref="E6208">IFS(D6208&lt;=$G$3,'calculated data '!$A$3,D6208&lt;=$G$4,'calculated data '!$A$4,D6208&lt;=$G$6,'calculated data '!$A$5,D6208&gt;=$G$6,'calculated data '!$A$6)</f>
        <v>Target Market (Core IQR)</v>
      </c>
      <c r="F6208" s="10">
        <f t="shared" si="1"/>
        <v>-0.248371843</v>
      </c>
    </row>
    <row r="6209" ht="14.25" customHeight="1">
      <c r="A6209" s="2" t="s">
        <v>327</v>
      </c>
      <c r="B6209" s="2" t="s">
        <v>328</v>
      </c>
      <c r="C6209" s="2">
        <v>1995.0</v>
      </c>
      <c r="D6209" s="9">
        <v>15671.189</v>
      </c>
      <c r="E6209" s="10" t="str">
        <f t="array" ref="E6209">IFS(D6209&lt;=$G$3,'calculated data '!$A$3,D6209&lt;=$G$4,'calculated data '!$A$4,D6209&lt;=$G$6,'calculated data '!$A$5,D6209&gt;=$G$6,'calculated data '!$A$6)</f>
        <v>Target Market (Core IQR)</v>
      </c>
      <c r="F6209" s="10">
        <f t="shared" si="1"/>
        <v>-0.2483590052</v>
      </c>
    </row>
    <row r="6210" ht="14.25" customHeight="1">
      <c r="A6210" s="2" t="s">
        <v>363</v>
      </c>
      <c r="B6210" s="2" t="s">
        <v>364</v>
      </c>
      <c r="C6210" s="2">
        <v>2016.0</v>
      </c>
      <c r="D6210" s="9">
        <v>15675.543</v>
      </c>
      <c r="E6210" s="10" t="str">
        <f t="array" ref="E6210">IFS(D6210&lt;=$G$3,'calculated data '!$A$3,D6210&lt;=$G$4,'calculated data '!$A$4,D6210&lt;=$G$6,'calculated data '!$A$5,D6210&gt;=$G$6,'calculated data '!$A$6)</f>
        <v>Target Market (Core IQR)</v>
      </c>
      <c r="F6210" s="10">
        <f t="shared" si="1"/>
        <v>-0.2482437559</v>
      </c>
    </row>
    <row r="6211" ht="14.25" customHeight="1">
      <c r="A6211" s="2" t="s">
        <v>357</v>
      </c>
      <c r="B6211" s="2" t="s">
        <v>358</v>
      </c>
      <c r="C6211" s="2">
        <v>1987.0</v>
      </c>
      <c r="D6211" s="9">
        <v>15691.259</v>
      </c>
      <c r="E6211" s="10" t="str">
        <f t="array" ref="E6211">IFS(D6211&lt;=$G$3,'calculated data '!$A$3,D6211&lt;=$G$4,'calculated data '!$A$4,D6211&lt;=$G$6,'calculated data '!$A$5,D6211&gt;=$G$6,'calculated data '!$A$6)</f>
        <v>Target Market (Core IQR)</v>
      </c>
      <c r="F6211" s="10">
        <f t="shared" si="1"/>
        <v>-0.2478277573</v>
      </c>
    </row>
    <row r="6212" ht="14.25" customHeight="1">
      <c r="A6212" s="2" t="s">
        <v>271</v>
      </c>
      <c r="B6212" s="2" t="s">
        <v>272</v>
      </c>
      <c r="C6212" s="2">
        <v>1988.0</v>
      </c>
      <c r="D6212" s="9">
        <v>15693.799</v>
      </c>
      <c r="E6212" s="10" t="str">
        <f t="array" ref="E6212">IFS(D6212&lt;=$G$3,'calculated data '!$A$3,D6212&lt;=$G$4,'calculated data '!$A$4,D6212&lt;=$G$6,'calculated data '!$A$5,D6212&gt;=$G$6,'calculated data '!$A$6)</f>
        <v>Target Market (Core IQR)</v>
      </c>
      <c r="F6212" s="10">
        <f t="shared" si="1"/>
        <v>-0.2477605241</v>
      </c>
    </row>
    <row r="6213" ht="14.25" customHeight="1">
      <c r="A6213" s="2" t="s">
        <v>345</v>
      </c>
      <c r="B6213" s="2" t="s">
        <v>346</v>
      </c>
      <c r="C6213" s="2">
        <v>1996.0</v>
      </c>
      <c r="D6213" s="9">
        <v>15709.837</v>
      </c>
      <c r="E6213" s="10" t="str">
        <f t="array" ref="E6213">IFS(D6213&lt;=$G$3,'calculated data '!$A$3,D6213&lt;=$G$4,'calculated data '!$A$4,D6213&lt;=$G$6,'calculated data '!$A$5,D6213&gt;=$G$6,'calculated data '!$A$6)</f>
        <v>Target Market (Core IQR)</v>
      </c>
      <c r="F6213" s="10">
        <f t="shared" si="1"/>
        <v>-0.2473360023</v>
      </c>
    </row>
    <row r="6214" ht="14.25" customHeight="1">
      <c r="A6214" s="2" t="s">
        <v>291</v>
      </c>
      <c r="B6214" s="2" t="s">
        <v>292</v>
      </c>
      <c r="C6214" s="2">
        <v>2002.0</v>
      </c>
      <c r="D6214" s="9">
        <v>15723.746</v>
      </c>
      <c r="E6214" s="10" t="str">
        <f t="array" ref="E6214">IFS(D6214&lt;=$G$3,'calculated data '!$A$3,D6214&lt;=$G$4,'calculated data '!$A$4,D6214&lt;=$G$6,'calculated data '!$A$5,D6214&gt;=$G$6,'calculated data '!$A$6)</f>
        <v>Target Market (Core IQR)</v>
      </c>
      <c r="F6214" s="10">
        <f t="shared" si="1"/>
        <v>-0.2469678345</v>
      </c>
    </row>
    <row r="6215" ht="14.25" customHeight="1">
      <c r="A6215" s="2" t="s">
        <v>359</v>
      </c>
      <c r="B6215" s="2" t="s">
        <v>360</v>
      </c>
      <c r="C6215" s="2">
        <v>1966.0</v>
      </c>
      <c r="D6215" s="9">
        <v>15724.344</v>
      </c>
      <c r="E6215" s="10" t="str">
        <f t="array" ref="E6215">IFS(D6215&lt;=$G$3,'calculated data '!$A$3,D6215&lt;=$G$4,'calculated data '!$A$4,D6215&lt;=$G$6,'calculated data '!$A$5,D6215&gt;=$G$6,'calculated data '!$A$6)</f>
        <v>Target Market (Core IQR)</v>
      </c>
      <c r="F6215" s="10">
        <f t="shared" si="1"/>
        <v>-0.2469520056</v>
      </c>
    </row>
    <row r="6216" ht="14.25" customHeight="1">
      <c r="A6216" s="2" t="s">
        <v>207</v>
      </c>
      <c r="B6216" s="2" t="s">
        <v>208</v>
      </c>
      <c r="C6216" s="2">
        <v>2018.0</v>
      </c>
      <c r="D6216" s="9">
        <v>15725.629</v>
      </c>
      <c r="E6216" s="10" t="str">
        <f t="array" ref="E6216">IFS(D6216&lt;=$G$3,'calculated data '!$A$3,D6216&lt;=$G$4,'calculated data '!$A$4,D6216&lt;=$G$6,'calculated data '!$A$5,D6216&gt;=$G$6,'calculated data '!$A$6)</f>
        <v>Target Market (Core IQR)</v>
      </c>
      <c r="F6216" s="10">
        <f t="shared" si="1"/>
        <v>-0.2469179919</v>
      </c>
    </row>
    <row r="6217" ht="14.25" customHeight="1">
      <c r="A6217" s="2" t="s">
        <v>297</v>
      </c>
      <c r="B6217" s="2" t="s">
        <v>298</v>
      </c>
      <c r="C6217" s="2">
        <v>2019.0</v>
      </c>
      <c r="D6217" s="9">
        <v>15727.646</v>
      </c>
      <c r="E6217" s="10" t="str">
        <f t="array" ref="E6217">IFS(D6217&lt;=$G$3,'calculated data '!$A$3,D6217&lt;=$G$4,'calculated data '!$A$4,D6217&lt;=$G$6,'calculated data '!$A$5,D6217&gt;=$G$6,'calculated data '!$A$6)</f>
        <v>Target Market (Core IQR)</v>
      </c>
      <c r="F6217" s="10">
        <f t="shared" si="1"/>
        <v>-0.2468646025</v>
      </c>
    </row>
    <row r="6218" ht="14.25" customHeight="1">
      <c r="A6218" s="2" t="s">
        <v>357</v>
      </c>
      <c r="B6218" s="2" t="s">
        <v>358</v>
      </c>
      <c r="C6218" s="2">
        <v>1976.0</v>
      </c>
      <c r="D6218" s="9">
        <v>15728.6875</v>
      </c>
      <c r="E6218" s="10" t="str">
        <f t="array" ref="E6218">IFS(D6218&lt;=$G$3,'calculated data '!$A$3,D6218&lt;=$G$4,'calculated data '!$A$4,D6218&lt;=$G$6,'calculated data '!$A$5,D6218&gt;=$G$6,'calculated data '!$A$6)</f>
        <v>Target Market (Core IQR)</v>
      </c>
      <c r="F6218" s="10">
        <f t="shared" si="1"/>
        <v>-0.2468370342</v>
      </c>
    </row>
    <row r="6219" ht="14.25" customHeight="1">
      <c r="A6219" s="2" t="s">
        <v>303</v>
      </c>
      <c r="B6219" s="2" t="s">
        <v>304</v>
      </c>
      <c r="C6219" s="2">
        <v>2015.0</v>
      </c>
      <c r="D6219" s="9">
        <v>15730.632</v>
      </c>
      <c r="E6219" s="10" t="str">
        <f t="array" ref="E6219">IFS(D6219&lt;=$G$3,'calculated data '!$A$3,D6219&lt;=$G$4,'calculated data '!$A$4,D6219&lt;=$G$6,'calculated data '!$A$5,D6219&gt;=$G$6,'calculated data '!$A$6)</f>
        <v>Target Market (Core IQR)</v>
      </c>
      <c r="F6219" s="10">
        <f t="shared" si="1"/>
        <v>-0.2467855638</v>
      </c>
    </row>
    <row r="6220" ht="14.25" customHeight="1">
      <c r="A6220" s="2" t="s">
        <v>327</v>
      </c>
      <c r="B6220" s="2" t="s">
        <v>328</v>
      </c>
      <c r="C6220" s="2">
        <v>1980.0</v>
      </c>
      <c r="D6220" s="9">
        <v>15737.789</v>
      </c>
      <c r="E6220" s="10" t="str">
        <f t="array" ref="E6220">IFS(D6220&lt;=$G$3,'calculated data '!$A$3,D6220&lt;=$G$4,'calculated data '!$A$4,D6220&lt;=$G$6,'calculated data '!$A$5,D6220&gt;=$G$6,'calculated data '!$A$6)</f>
        <v>Target Market (Core IQR)</v>
      </c>
      <c r="F6220" s="10">
        <f t="shared" si="1"/>
        <v>-0.2465961198</v>
      </c>
    </row>
    <row r="6221" ht="14.25" customHeight="1">
      <c r="A6221" s="2" t="s">
        <v>99</v>
      </c>
      <c r="B6221" s="2" t="s">
        <v>100</v>
      </c>
      <c r="C6221" s="2">
        <v>2016.0</v>
      </c>
      <c r="D6221" s="9">
        <v>15741.273</v>
      </c>
      <c r="E6221" s="10" t="str">
        <f t="array" ref="E6221">IFS(D6221&lt;=$G$3,'calculated data '!$A$3,D6221&lt;=$G$4,'calculated data '!$A$4,D6221&lt;=$G$6,'calculated data '!$A$5,D6221&gt;=$G$6,'calculated data '!$A$6)</f>
        <v>Target Market (Core IQR)</v>
      </c>
      <c r="F6221" s="10">
        <f t="shared" si="1"/>
        <v>-0.2465038992</v>
      </c>
    </row>
    <row r="6222" ht="14.25" customHeight="1">
      <c r="A6222" s="2" t="s">
        <v>241</v>
      </c>
      <c r="B6222" s="2" t="s">
        <v>242</v>
      </c>
      <c r="C6222" s="2">
        <v>2008.0</v>
      </c>
      <c r="D6222" s="9">
        <v>15743.598</v>
      </c>
      <c r="E6222" s="10" t="str">
        <f t="array" ref="E6222">IFS(D6222&lt;=$G$3,'calculated data '!$A$3,D6222&lt;=$G$4,'calculated data '!$A$4,D6222&lt;=$G$6,'calculated data '!$A$5,D6222&gt;=$G$6,'calculated data '!$A$6)</f>
        <v>Target Market (Core IQR)</v>
      </c>
      <c r="F6222" s="10">
        <f t="shared" si="1"/>
        <v>-0.246442357</v>
      </c>
    </row>
    <row r="6223" ht="14.25" customHeight="1">
      <c r="A6223" s="2" t="s">
        <v>357</v>
      </c>
      <c r="B6223" s="2" t="s">
        <v>358</v>
      </c>
      <c r="C6223" s="2">
        <v>1969.0</v>
      </c>
      <c r="D6223" s="9">
        <v>15750.838</v>
      </c>
      <c r="E6223" s="10" t="str">
        <f t="array" ref="E6223">IFS(D6223&lt;=$G$3,'calculated data '!$A$3,D6223&lt;=$G$4,'calculated data '!$A$4,D6223&lt;=$G$6,'calculated data '!$A$5,D6223&gt;=$G$6,'calculated data '!$A$6)</f>
        <v>Target Market (Core IQR)</v>
      </c>
      <c r="F6223" s="10">
        <f t="shared" si="1"/>
        <v>-0.246250716</v>
      </c>
    </row>
    <row r="6224" ht="14.25" customHeight="1">
      <c r="A6224" s="2" t="s">
        <v>141</v>
      </c>
      <c r="B6224" s="2" t="s">
        <v>142</v>
      </c>
      <c r="C6224" s="2">
        <v>2008.0</v>
      </c>
      <c r="D6224" s="9">
        <v>15758.036</v>
      </c>
      <c r="E6224" s="10" t="str">
        <f t="array" ref="E6224">IFS(D6224&lt;=$G$3,'calculated data '!$A$3,D6224&lt;=$G$4,'calculated data '!$A$4,D6224&lt;=$G$6,'calculated data '!$A$5,D6224&gt;=$G$6,'calculated data '!$A$6)</f>
        <v>Target Market (Core IQR)</v>
      </c>
      <c r="F6224" s="10">
        <f t="shared" si="1"/>
        <v>-0.2460601867</v>
      </c>
    </row>
    <row r="6225" ht="14.25" customHeight="1">
      <c r="A6225" s="2" t="s">
        <v>229</v>
      </c>
      <c r="B6225" s="2" t="s">
        <v>230</v>
      </c>
      <c r="C6225" s="2">
        <v>2013.0</v>
      </c>
      <c r="D6225" s="9">
        <v>15771.943</v>
      </c>
      <c r="E6225" s="10" t="str">
        <f t="array" ref="E6225">IFS(D6225&lt;=$G$3,'calculated data '!$A$3,D6225&lt;=$G$4,'calculated data '!$A$4,D6225&lt;=$G$6,'calculated data '!$A$5,D6225&gt;=$G$6,'calculated data '!$A$6)</f>
        <v>Target Market (Core IQR)</v>
      </c>
      <c r="F6225" s="10">
        <f t="shared" si="1"/>
        <v>-0.2456920719</v>
      </c>
    </row>
    <row r="6226" ht="14.25" customHeight="1">
      <c r="A6226" s="2" t="s">
        <v>345</v>
      </c>
      <c r="B6226" s="2" t="s">
        <v>346</v>
      </c>
      <c r="C6226" s="2">
        <v>2025.0</v>
      </c>
      <c r="D6226" s="9">
        <v>15778.405</v>
      </c>
      <c r="E6226" s="10" t="str">
        <f t="array" ref="E6226">IFS(D6226&lt;=$G$3,'calculated data '!$A$3,D6226&lt;=$G$4,'calculated data '!$A$4,D6226&lt;=$G$6,'calculated data '!$A$5,D6226&gt;=$G$6,'calculated data '!$A$6)</f>
        <v>Target Market (Core IQR)</v>
      </c>
      <c r="F6226" s="10">
        <f t="shared" si="1"/>
        <v>-0.2455210244</v>
      </c>
    </row>
    <row r="6227" ht="14.25" customHeight="1">
      <c r="A6227" s="2" t="s">
        <v>323</v>
      </c>
      <c r="B6227" s="2" t="s">
        <v>324</v>
      </c>
      <c r="C6227" s="2">
        <v>2000.0</v>
      </c>
      <c r="D6227" s="9">
        <v>15780.08</v>
      </c>
      <c r="E6227" s="10" t="str">
        <f t="array" ref="E6227">IFS(D6227&lt;=$G$3,'calculated data '!$A$3,D6227&lt;=$G$4,'calculated data '!$A$4,D6227&lt;=$G$6,'calculated data '!$A$5,D6227&gt;=$G$6,'calculated data '!$A$6)</f>
        <v>Target Market (Core IQR)</v>
      </c>
      <c r="F6227" s="10">
        <f t="shared" si="1"/>
        <v>-0.2454766875</v>
      </c>
    </row>
    <row r="6228" ht="14.25" customHeight="1">
      <c r="A6228" s="2" t="s">
        <v>363</v>
      </c>
      <c r="B6228" s="2" t="s">
        <v>364</v>
      </c>
      <c r="C6228" s="2">
        <v>2020.0</v>
      </c>
      <c r="D6228" s="9">
        <v>15781.138</v>
      </c>
      <c r="E6228" s="10" t="str">
        <f t="array" ref="E6228">IFS(D6228&lt;=$G$3,'calculated data '!$A$3,D6228&lt;=$G$4,'calculated data '!$A$4,D6228&lt;=$G$6,'calculated data '!$A$5,D6228&gt;=$G$6,'calculated data '!$A$6)</f>
        <v>Target Market (Core IQR)</v>
      </c>
      <c r="F6228" s="10">
        <f t="shared" si="1"/>
        <v>-0.2454486825</v>
      </c>
    </row>
    <row r="6229" ht="14.25" customHeight="1">
      <c r="A6229" s="2" t="s">
        <v>99</v>
      </c>
      <c r="B6229" s="2" t="s">
        <v>100</v>
      </c>
      <c r="C6229" s="2">
        <v>2017.0</v>
      </c>
      <c r="D6229" s="9">
        <v>15783.8125</v>
      </c>
      <c r="E6229" s="10" t="str">
        <f t="array" ref="E6229">IFS(D6229&lt;=$G$3,'calculated data '!$A$3,D6229&lt;=$G$4,'calculated data '!$A$4,D6229&lt;=$G$6,'calculated data '!$A$5,D6229&gt;=$G$6,'calculated data '!$A$6)</f>
        <v>Target Market (Core IQR)</v>
      </c>
      <c r="F6229" s="10">
        <f t="shared" si="1"/>
        <v>-0.2453778892</v>
      </c>
    </row>
    <row r="6230" ht="14.25" customHeight="1">
      <c r="A6230" s="2" t="s">
        <v>207</v>
      </c>
      <c r="B6230" s="2" t="s">
        <v>208</v>
      </c>
      <c r="C6230" s="2">
        <v>2021.0</v>
      </c>
      <c r="D6230" s="9">
        <v>15784.281</v>
      </c>
      <c r="E6230" s="10" t="str">
        <f t="array" ref="E6230">IFS(D6230&lt;=$G$3,'calculated data '!$A$3,D6230&lt;=$G$4,'calculated data '!$A$4,D6230&lt;=$G$6,'calculated data '!$A$5,D6230&gt;=$G$6,'calculated data '!$A$6)</f>
        <v>Target Market (Core IQR)</v>
      </c>
      <c r="F6230" s="10">
        <f t="shared" si="1"/>
        <v>-0.2453654881</v>
      </c>
    </row>
    <row r="6231" ht="14.25" customHeight="1">
      <c r="A6231" s="2" t="s">
        <v>363</v>
      </c>
      <c r="B6231" s="2" t="s">
        <v>364</v>
      </c>
      <c r="C6231" s="2">
        <v>2024.0</v>
      </c>
      <c r="D6231" s="9">
        <v>15786.631</v>
      </c>
      <c r="E6231" s="10" t="str">
        <f t="array" ref="E6231">IFS(D6231&lt;=$G$3,'calculated data '!$A$3,D6231&lt;=$G$4,'calculated data '!$A$4,D6231&lt;=$G$6,'calculated data '!$A$5,D6231&gt;=$G$6,'calculated data '!$A$6)</f>
        <v>Target Market (Core IQR)</v>
      </c>
      <c r="F6231" s="10">
        <f t="shared" si="1"/>
        <v>-0.2453032842</v>
      </c>
    </row>
    <row r="6232" ht="14.25" customHeight="1">
      <c r="A6232" s="2" t="s">
        <v>349</v>
      </c>
      <c r="B6232" s="2" t="s">
        <v>350</v>
      </c>
      <c r="C6232" s="2">
        <v>2000.0</v>
      </c>
      <c r="D6232" s="9">
        <v>15786.742</v>
      </c>
      <c r="E6232" s="10" t="str">
        <f t="array" ref="E6232">IFS(D6232&lt;=$G$3,'calculated data '!$A$3,D6232&lt;=$G$4,'calculated data '!$A$4,D6232&lt;=$G$6,'calculated data '!$A$5,D6232&gt;=$G$6,'calculated data '!$A$6)</f>
        <v>Target Market (Core IQR)</v>
      </c>
      <c r="F6232" s="10">
        <f t="shared" si="1"/>
        <v>-0.2453003461</v>
      </c>
    </row>
    <row r="6233" ht="14.25" customHeight="1">
      <c r="A6233" s="2" t="s">
        <v>31</v>
      </c>
      <c r="B6233" s="2" t="s">
        <v>32</v>
      </c>
      <c r="C6233" s="2">
        <v>1991.0</v>
      </c>
      <c r="D6233" s="9">
        <v>15795.02</v>
      </c>
      <c r="E6233" s="10" t="str">
        <f t="array" ref="E6233">IFS(D6233&lt;=$G$3,'calculated data '!$A$3,D6233&lt;=$G$4,'calculated data '!$A$4,D6233&lt;=$G$6,'calculated data '!$A$5,D6233&gt;=$G$6,'calculated data '!$A$6)</f>
        <v>Target Market (Core IQR)</v>
      </c>
      <c r="F6233" s="10">
        <f t="shared" si="1"/>
        <v>-0.2450812295</v>
      </c>
    </row>
    <row r="6234" ht="14.25" customHeight="1">
      <c r="A6234" s="2" t="s">
        <v>293</v>
      </c>
      <c r="B6234" s="2" t="s">
        <v>294</v>
      </c>
      <c r="C6234" s="2">
        <v>2024.0</v>
      </c>
      <c r="D6234" s="9">
        <v>15800.801</v>
      </c>
      <c r="E6234" s="10" t="str">
        <f t="array" ref="E6234">IFS(D6234&lt;=$G$3,'calculated data '!$A$3,D6234&lt;=$G$4,'calculated data '!$A$4,D6234&lt;=$G$6,'calculated data '!$A$5,D6234&gt;=$G$6,'calculated data '!$A$6)</f>
        <v>Target Market (Core IQR)</v>
      </c>
      <c r="F6234" s="10">
        <f t="shared" si="1"/>
        <v>-0.2449282078</v>
      </c>
    </row>
    <row r="6235" ht="14.25" customHeight="1">
      <c r="A6235" s="2" t="s">
        <v>347</v>
      </c>
      <c r="B6235" s="2" t="s">
        <v>348</v>
      </c>
      <c r="C6235" s="2">
        <v>2023.0</v>
      </c>
      <c r="D6235" s="9">
        <v>15811.639</v>
      </c>
      <c r="E6235" s="10" t="str">
        <f t="array" ref="E6235">IFS(D6235&lt;=$G$3,'calculated data '!$A$3,D6235&lt;=$G$4,'calculated data '!$A$4,D6235&lt;=$G$6,'calculated data '!$A$5,D6235&gt;=$G$6,'calculated data '!$A$6)</f>
        <v>Target Market (Core IQR)</v>
      </c>
      <c r="F6235" s="10">
        <f t="shared" si="1"/>
        <v>-0.2446413287</v>
      </c>
    </row>
    <row r="6236" ht="14.25" customHeight="1">
      <c r="A6236" s="2" t="s">
        <v>357</v>
      </c>
      <c r="B6236" s="2" t="s">
        <v>358</v>
      </c>
      <c r="C6236" s="2">
        <v>1974.0</v>
      </c>
      <c r="D6236" s="9">
        <v>15815.861</v>
      </c>
      <c r="E6236" s="10" t="str">
        <f t="array" ref="E6236">IFS(D6236&lt;=$G$3,'calculated data '!$A$3,D6236&lt;=$G$4,'calculated data '!$A$4,D6236&lt;=$G$6,'calculated data '!$A$5,D6236&gt;=$G$6,'calculated data '!$A$6)</f>
        <v>Target Market (Core IQR)</v>
      </c>
      <c r="F6236" s="10">
        <f t="shared" si="1"/>
        <v>-0.2445295734</v>
      </c>
    </row>
    <row r="6237" ht="14.25" customHeight="1">
      <c r="A6237" s="2" t="s">
        <v>317</v>
      </c>
      <c r="B6237" s="2" t="s">
        <v>318</v>
      </c>
      <c r="C6237" s="2">
        <v>2008.0</v>
      </c>
      <c r="D6237" s="9">
        <v>15823.393</v>
      </c>
      <c r="E6237" s="10" t="str">
        <f t="array" ref="E6237">IFS(D6237&lt;=$G$3,'calculated data '!$A$3,D6237&lt;=$G$4,'calculated data '!$A$4,D6237&lt;=$G$6,'calculated data '!$A$5,D6237&gt;=$G$6,'calculated data '!$A$6)</f>
        <v>Target Market (Core IQR)</v>
      </c>
      <c r="F6237" s="10">
        <f t="shared" si="1"/>
        <v>-0.2443302032</v>
      </c>
    </row>
    <row r="6238" ht="14.25" customHeight="1">
      <c r="A6238" s="2" t="s">
        <v>231</v>
      </c>
      <c r="B6238" s="2" t="s">
        <v>232</v>
      </c>
      <c r="C6238" s="2">
        <v>2010.0</v>
      </c>
      <c r="D6238" s="9">
        <v>15827.088</v>
      </c>
      <c r="E6238" s="10" t="str">
        <f t="array" ref="E6238">IFS(D6238&lt;=$G$3,'calculated data '!$A$3,D6238&lt;=$G$4,'calculated data '!$A$4,D6238&lt;=$G$6,'calculated data '!$A$5,D6238&gt;=$G$6,'calculated data '!$A$6)</f>
        <v>Target Market (Core IQR)</v>
      </c>
      <c r="F6238" s="10">
        <f t="shared" si="1"/>
        <v>-0.2442323975</v>
      </c>
    </row>
    <row r="6239" ht="14.25" customHeight="1">
      <c r="A6239" s="2" t="s">
        <v>323</v>
      </c>
      <c r="B6239" s="2" t="s">
        <v>324</v>
      </c>
      <c r="C6239" s="2">
        <v>1998.0</v>
      </c>
      <c r="D6239" s="9">
        <v>15827.271</v>
      </c>
      <c r="E6239" s="10" t="str">
        <f t="array" ref="E6239">IFS(D6239&lt;=$G$3,'calculated data '!$A$3,D6239&lt;=$G$4,'calculated data '!$A$4,D6239&lt;=$G$6,'calculated data '!$A$5,D6239&gt;=$G$6,'calculated data '!$A$6)</f>
        <v>Target Market (Core IQR)</v>
      </c>
      <c r="F6239" s="10">
        <f t="shared" si="1"/>
        <v>-0.2442275535</v>
      </c>
    </row>
    <row r="6240" ht="14.25" customHeight="1">
      <c r="A6240" s="2" t="s">
        <v>57</v>
      </c>
      <c r="B6240" s="2" t="s">
        <v>58</v>
      </c>
      <c r="C6240" s="2">
        <v>1975.0</v>
      </c>
      <c r="D6240" s="9">
        <v>15832.391</v>
      </c>
      <c r="E6240" s="10" t="str">
        <f t="array" ref="E6240">IFS(D6240&lt;=$G$3,'calculated data '!$A$3,D6240&lt;=$G$4,'calculated data '!$A$4,D6240&lt;=$G$6,'calculated data '!$A$5,D6240&gt;=$G$6,'calculated data '!$A$6)</f>
        <v>Target Market (Core IQR)</v>
      </c>
      <c r="F6240" s="10">
        <f t="shared" si="1"/>
        <v>-0.2440920284</v>
      </c>
    </row>
    <row r="6241" ht="14.25" customHeight="1">
      <c r="A6241" s="2" t="s">
        <v>357</v>
      </c>
      <c r="B6241" s="2" t="s">
        <v>358</v>
      </c>
      <c r="C6241" s="2">
        <v>1978.0</v>
      </c>
      <c r="D6241" s="9">
        <v>15843.749</v>
      </c>
      <c r="E6241" s="10" t="str">
        <f t="array" ref="E6241">IFS(D6241&lt;=$G$3,'calculated data '!$A$3,D6241&lt;=$G$4,'calculated data '!$A$4,D6241&lt;=$G$6,'calculated data '!$A$5,D6241&gt;=$G$6,'calculated data '!$A$6)</f>
        <v>Target Market (Core IQR)</v>
      </c>
      <c r="F6241" s="10">
        <f t="shared" si="1"/>
        <v>-0.243791385</v>
      </c>
    </row>
    <row r="6242" ht="14.25" customHeight="1">
      <c r="A6242" s="2" t="s">
        <v>233</v>
      </c>
      <c r="B6242" s="2" t="s">
        <v>234</v>
      </c>
      <c r="C6242" s="2">
        <v>1993.0</v>
      </c>
      <c r="D6242" s="9">
        <v>15845.315</v>
      </c>
      <c r="E6242" s="10" t="str">
        <f t="array" ref="E6242">IFS(D6242&lt;=$G$3,'calculated data '!$A$3,D6242&lt;=$G$4,'calculated data '!$A$4,D6242&lt;=$G$6,'calculated data '!$A$5,D6242&gt;=$G$6,'calculated data '!$A$6)</f>
        <v>Target Market (Core IQR)</v>
      </c>
      <c r="F6242" s="10">
        <f t="shared" si="1"/>
        <v>-0.2437499333</v>
      </c>
    </row>
    <row r="6243" ht="14.25" customHeight="1">
      <c r="A6243" s="2" t="s">
        <v>141</v>
      </c>
      <c r="B6243" s="2" t="s">
        <v>142</v>
      </c>
      <c r="C6243" s="2">
        <v>2007.0</v>
      </c>
      <c r="D6243" s="9">
        <v>15851.195</v>
      </c>
      <c r="E6243" s="10" t="str">
        <f t="array" ref="E6243">IFS(D6243&lt;=$G$3,'calculated data '!$A$3,D6243&lt;=$G$4,'calculated data '!$A$4,D6243&lt;=$G$6,'calculated data '!$A$5,D6243&gt;=$G$6,'calculated data '!$A$6)</f>
        <v>Target Market (Core IQR)</v>
      </c>
      <c r="F6243" s="10">
        <f t="shared" si="1"/>
        <v>-0.2435942912</v>
      </c>
    </row>
    <row r="6244" ht="14.25" customHeight="1">
      <c r="A6244" s="2" t="s">
        <v>357</v>
      </c>
      <c r="B6244" s="2" t="s">
        <v>358</v>
      </c>
      <c r="C6244" s="2">
        <v>1980.0</v>
      </c>
      <c r="D6244" s="9">
        <v>15853.655</v>
      </c>
      <c r="E6244" s="10" t="str">
        <f t="array" ref="E6244">IFS(D6244&lt;=$G$3,'calculated data '!$A$3,D6244&lt;=$G$4,'calculated data '!$A$4,D6244&lt;=$G$6,'calculated data '!$A$5,D6244&gt;=$G$6,'calculated data '!$A$6)</f>
        <v>Target Market (Core IQR)</v>
      </c>
      <c r="F6244" s="10">
        <f t="shared" si="1"/>
        <v>-0.2435291756</v>
      </c>
    </row>
    <row r="6245" ht="14.25" customHeight="1">
      <c r="A6245" s="2" t="s">
        <v>291</v>
      </c>
      <c r="B6245" s="2" t="s">
        <v>292</v>
      </c>
      <c r="C6245" s="2">
        <v>2015.0</v>
      </c>
      <c r="D6245" s="9">
        <v>15853.955</v>
      </c>
      <c r="E6245" s="10" t="str">
        <f t="array" ref="E6245">IFS(D6245&lt;=$G$3,'calculated data '!$A$3,D6245&lt;=$G$4,'calculated data '!$A$4,D6245&lt;=$G$6,'calculated data '!$A$5,D6245&gt;=$G$6,'calculated data '!$A$6)</f>
        <v>Target Market (Core IQR)</v>
      </c>
      <c r="F6245" s="10">
        <f t="shared" si="1"/>
        <v>-0.2435212347</v>
      </c>
    </row>
    <row r="6246" ht="14.25" customHeight="1">
      <c r="A6246" s="2" t="s">
        <v>361</v>
      </c>
      <c r="B6246" s="2" t="s">
        <v>362</v>
      </c>
      <c r="C6246" s="2">
        <v>1994.0</v>
      </c>
      <c r="D6246" s="9">
        <v>15875.523</v>
      </c>
      <c r="E6246" s="10" t="str">
        <f t="array" ref="E6246">IFS(D6246&lt;=$G$3,'calculated data '!$A$3,D6246&lt;=$G$4,'calculated data '!$A$4,D6246&lt;=$G$6,'calculated data '!$A$5,D6246&gt;=$G$6,'calculated data '!$A$6)</f>
        <v>Target Market (Core IQR)</v>
      </c>
      <c r="F6246" s="10">
        <f t="shared" si="1"/>
        <v>-0.2429503351</v>
      </c>
    </row>
    <row r="6247" ht="14.25" customHeight="1">
      <c r="A6247" s="2" t="s">
        <v>361</v>
      </c>
      <c r="B6247" s="2" t="s">
        <v>362</v>
      </c>
      <c r="C6247" s="2">
        <v>1993.0</v>
      </c>
      <c r="D6247" s="9">
        <v>15878.066</v>
      </c>
      <c r="E6247" s="10" t="str">
        <f t="array" ref="E6247">IFS(D6247&lt;=$G$3,'calculated data '!$A$3,D6247&lt;=$G$4,'calculated data '!$A$4,D6247&lt;=$G$6,'calculated data '!$A$5,D6247&gt;=$G$6,'calculated data '!$A$6)</f>
        <v>Target Market (Core IQR)</v>
      </c>
      <c r="F6247" s="10">
        <f t="shared" si="1"/>
        <v>-0.2428830225</v>
      </c>
    </row>
    <row r="6248" ht="14.25" customHeight="1">
      <c r="A6248" s="2" t="s">
        <v>247</v>
      </c>
      <c r="B6248" s="2" t="s">
        <v>248</v>
      </c>
      <c r="C6248" s="2">
        <v>2013.0</v>
      </c>
      <c r="D6248" s="9">
        <v>15888.222</v>
      </c>
      <c r="E6248" s="10" t="str">
        <f t="array" ref="E6248">IFS(D6248&lt;=$G$3,'calculated data '!$A$3,D6248&lt;=$G$4,'calculated data '!$A$4,D6248&lt;=$G$6,'calculated data '!$A$5,D6248&gt;=$G$6,'calculated data '!$A$6)</f>
        <v>Target Market (Core IQR)</v>
      </c>
      <c r="F6248" s="10">
        <f t="shared" si="1"/>
        <v>-0.2426141957</v>
      </c>
    </row>
    <row r="6249" ht="14.25" customHeight="1">
      <c r="A6249" s="2" t="s">
        <v>345</v>
      </c>
      <c r="B6249" s="2" t="s">
        <v>346</v>
      </c>
      <c r="C6249" s="2">
        <v>2023.0</v>
      </c>
      <c r="D6249" s="9">
        <v>15892.66</v>
      </c>
      <c r="E6249" s="10" t="str">
        <f t="array" ref="E6249">IFS(D6249&lt;=$G$3,'calculated data '!$A$3,D6249&lt;=$G$4,'calculated data '!$A$4,D6249&lt;=$G$6,'calculated data '!$A$5,D6249&gt;=$G$6,'calculated data '!$A$6)</f>
        <v>Target Market (Core IQR)</v>
      </c>
      <c r="F6249" s="10">
        <f t="shared" si="1"/>
        <v>-0.242496723</v>
      </c>
    </row>
    <row r="6250" ht="14.25" customHeight="1">
      <c r="A6250" s="2" t="s">
        <v>365</v>
      </c>
      <c r="B6250" s="2" t="s">
        <v>366</v>
      </c>
      <c r="C6250" s="2">
        <v>2013.0</v>
      </c>
      <c r="D6250" s="9">
        <v>15910.187</v>
      </c>
      <c r="E6250" s="10" t="str">
        <f t="array" ref="E6250">IFS(D6250&lt;=$G$3,'calculated data '!$A$3,D6250&lt;=$G$4,'calculated data '!$A$4,D6250&lt;=$G$6,'calculated data '!$A$5,D6250&gt;=$G$6,'calculated data '!$A$6)</f>
        <v>Target Market (Core IQR)</v>
      </c>
      <c r="F6250" s="10">
        <f t="shared" si="1"/>
        <v>-0.2420327877</v>
      </c>
    </row>
    <row r="6251" ht="14.25" customHeight="1">
      <c r="A6251" s="2" t="s">
        <v>351</v>
      </c>
      <c r="B6251" s="2" t="s">
        <v>352</v>
      </c>
      <c r="C6251" s="2">
        <v>1996.0</v>
      </c>
      <c r="D6251" s="9">
        <v>15914.574</v>
      </c>
      <c r="E6251" s="10" t="str">
        <f t="array" ref="E6251">IFS(D6251&lt;=$G$3,'calculated data '!$A$3,D6251&lt;=$G$4,'calculated data '!$A$4,D6251&lt;=$G$6,'calculated data '!$A$5,D6251&gt;=$G$6,'calculated data '!$A$6)</f>
        <v>Target Market (Core IQR)</v>
      </c>
      <c r="F6251" s="10">
        <f t="shared" si="1"/>
        <v>-0.2419166649</v>
      </c>
    </row>
    <row r="6252" ht="14.25" customHeight="1">
      <c r="A6252" s="2" t="s">
        <v>363</v>
      </c>
      <c r="B6252" s="2" t="s">
        <v>364</v>
      </c>
      <c r="C6252" s="2">
        <v>2014.0</v>
      </c>
      <c r="D6252" s="9">
        <v>15920.115</v>
      </c>
      <c r="E6252" s="10" t="str">
        <f t="array" ref="E6252">IFS(D6252&lt;=$G$3,'calculated data '!$A$3,D6252&lt;=$G$4,'calculated data '!$A$4,D6252&lt;=$G$6,'calculated data '!$A$5,D6252&gt;=$G$6,'calculated data '!$A$6)</f>
        <v>Target Market (Core IQR)</v>
      </c>
      <c r="F6252" s="10">
        <f t="shared" si="1"/>
        <v>-0.241769996</v>
      </c>
    </row>
    <row r="6253" ht="14.25" customHeight="1">
      <c r="A6253" s="2" t="s">
        <v>363</v>
      </c>
      <c r="B6253" s="2" t="s">
        <v>364</v>
      </c>
      <c r="C6253" s="2">
        <v>2025.0</v>
      </c>
      <c r="D6253" s="9">
        <v>15948.529</v>
      </c>
      <c r="E6253" s="10" t="str">
        <f t="array" ref="E6253">IFS(D6253&lt;=$G$3,'calculated data '!$A$3,D6253&lt;=$G$4,'calculated data '!$A$4,D6253&lt;=$G$6,'calculated data '!$A$5,D6253&gt;=$G$6,'calculated data '!$A$6)</f>
        <v>Target Market (Core IQR)</v>
      </c>
      <c r="F6253" s="10">
        <f t="shared" si="1"/>
        <v>-0.2410178845</v>
      </c>
    </row>
    <row r="6254" ht="14.25" customHeight="1">
      <c r="A6254" s="2" t="s">
        <v>273</v>
      </c>
      <c r="B6254" s="2" t="s">
        <v>274</v>
      </c>
      <c r="C6254" s="2">
        <v>1982.0</v>
      </c>
      <c r="D6254" s="9">
        <v>15949.624</v>
      </c>
      <c r="E6254" s="10" t="str">
        <f t="array" ref="E6254">IFS(D6254&lt;=$G$3,'calculated data '!$A$3,D6254&lt;=$G$4,'calculated data '!$A$4,D6254&lt;=$G$6,'calculated data '!$A$5,D6254&gt;=$G$6,'calculated data '!$A$6)</f>
        <v>Target Market (Core IQR)</v>
      </c>
      <c r="F6254" s="10">
        <f t="shared" si="1"/>
        <v>-0.2409889001</v>
      </c>
    </row>
    <row r="6255" ht="14.25" customHeight="1">
      <c r="A6255" s="2" t="s">
        <v>349</v>
      </c>
      <c r="B6255" s="2" t="s">
        <v>350</v>
      </c>
      <c r="C6255" s="2">
        <v>2013.0</v>
      </c>
      <c r="D6255" s="9">
        <v>15953.512</v>
      </c>
      <c r="E6255" s="10" t="str">
        <f t="array" ref="E6255">IFS(D6255&lt;=$G$3,'calculated data '!$A$3,D6255&lt;=$G$4,'calculated data '!$A$4,D6255&lt;=$G$6,'calculated data '!$A$5,D6255&gt;=$G$6,'calculated data '!$A$6)</f>
        <v>Target Market (Core IQR)</v>
      </c>
      <c r="F6255" s="10">
        <f t="shared" si="1"/>
        <v>-0.2408859857</v>
      </c>
    </row>
    <row r="6256" ht="14.25" customHeight="1">
      <c r="A6256" s="2" t="s">
        <v>301</v>
      </c>
      <c r="B6256" s="2" t="s">
        <v>302</v>
      </c>
      <c r="C6256" s="2">
        <v>1993.0</v>
      </c>
      <c r="D6256" s="9">
        <v>15961.881</v>
      </c>
      <c r="E6256" s="10" t="str">
        <f t="array" ref="E6256">IFS(D6256&lt;=$G$3,'calculated data '!$A$3,D6256&lt;=$G$4,'calculated data '!$A$4,D6256&lt;=$G$6,'calculated data '!$A$5,D6256&gt;=$G$6,'calculated data '!$A$6)</f>
        <v>Target Market (Core IQR)</v>
      </c>
      <c r="F6256" s="10">
        <f t="shared" si="1"/>
        <v>-0.2406644603</v>
      </c>
    </row>
    <row r="6257" ht="14.25" customHeight="1">
      <c r="A6257" s="2" t="s">
        <v>229</v>
      </c>
      <c r="B6257" s="2" t="s">
        <v>230</v>
      </c>
      <c r="C6257" s="2">
        <v>2014.0</v>
      </c>
      <c r="D6257" s="9">
        <v>15970.117</v>
      </c>
      <c r="E6257" s="10" t="str">
        <f t="array" ref="E6257">IFS(D6257&lt;=$G$3,'calculated data '!$A$3,D6257&lt;=$G$4,'calculated data '!$A$4,D6257&lt;=$G$6,'calculated data '!$A$5,D6257&gt;=$G$6,'calculated data '!$A$6)</f>
        <v>Target Market (Core IQR)</v>
      </c>
      <c r="F6257" s="10">
        <f t="shared" si="1"/>
        <v>-0.2404464555</v>
      </c>
    </row>
    <row r="6258" ht="14.25" customHeight="1">
      <c r="A6258" s="2" t="s">
        <v>339</v>
      </c>
      <c r="B6258" s="2" t="s">
        <v>340</v>
      </c>
      <c r="C6258" s="2">
        <v>1989.0</v>
      </c>
      <c r="D6258" s="9">
        <v>15971.665</v>
      </c>
      <c r="E6258" s="10" t="str">
        <f t="array" ref="E6258">IFS(D6258&lt;=$G$3,'calculated data '!$A$3,D6258&lt;=$G$4,'calculated data '!$A$4,D6258&lt;=$G$6,'calculated data '!$A$5,D6258&gt;=$G$6,'calculated data '!$A$6)</f>
        <v>Target Market (Core IQR)</v>
      </c>
      <c r="F6258" s="10">
        <f t="shared" si="1"/>
        <v>-0.2404054803</v>
      </c>
    </row>
    <row r="6259" ht="14.25" customHeight="1">
      <c r="A6259" s="2" t="s">
        <v>325</v>
      </c>
      <c r="B6259" s="2" t="s">
        <v>326</v>
      </c>
      <c r="C6259" s="2">
        <v>2021.0</v>
      </c>
      <c r="D6259" s="9">
        <v>15976.376</v>
      </c>
      <c r="E6259" s="10" t="str">
        <f t="array" ref="E6259">IFS(D6259&lt;=$G$3,'calculated data '!$A$3,D6259&lt;=$G$4,'calculated data '!$A$4,D6259&lt;=$G$6,'calculated data '!$A$5,D6259&gt;=$G$6,'calculated data '!$A$6)</f>
        <v>Target Market (Core IQR)</v>
      </c>
      <c r="F6259" s="10">
        <f t="shared" si="1"/>
        <v>-0.2402807813</v>
      </c>
    </row>
    <row r="6260" ht="14.25" customHeight="1">
      <c r="A6260" s="2" t="s">
        <v>249</v>
      </c>
      <c r="B6260" s="2" t="s">
        <v>250</v>
      </c>
      <c r="C6260" s="2">
        <v>1991.0</v>
      </c>
      <c r="D6260" s="9">
        <v>15982.512</v>
      </c>
      <c r="E6260" s="10" t="str">
        <f t="array" ref="E6260">IFS(D6260&lt;=$G$3,'calculated data '!$A$3,D6260&lt;=$G$4,'calculated data '!$A$4,D6260&lt;=$G$6,'calculated data '!$A$5,D6260&gt;=$G$6,'calculated data '!$A$6)</f>
        <v>Target Market (Core IQR)</v>
      </c>
      <c r="F6260" s="10">
        <f t="shared" si="1"/>
        <v>-0.2401183629</v>
      </c>
    </row>
    <row r="6261" ht="14.25" customHeight="1">
      <c r="A6261" s="2" t="s">
        <v>367</v>
      </c>
      <c r="B6261" s="2" t="s">
        <v>368</v>
      </c>
      <c r="C6261" s="2">
        <v>2022.0</v>
      </c>
      <c r="D6261" s="9">
        <v>15984.226</v>
      </c>
      <c r="E6261" s="10" t="str">
        <f t="array" ref="E6261">IFS(D6261&lt;=$G$3,'calculated data '!$A$3,D6261&lt;=$G$4,'calculated data '!$A$4,D6261&lt;=$G$6,'calculated data '!$A$5,D6261&gt;=$G$6,'calculated data '!$A$6)</f>
        <v>Target Market (Core IQR)</v>
      </c>
      <c r="F6261" s="10">
        <f t="shared" si="1"/>
        <v>-0.2400729938</v>
      </c>
    </row>
    <row r="6262" ht="14.25" customHeight="1">
      <c r="A6262" s="2" t="s">
        <v>127</v>
      </c>
      <c r="B6262" s="2" t="s">
        <v>128</v>
      </c>
      <c r="C6262" s="2">
        <v>2019.0</v>
      </c>
      <c r="D6262" s="9">
        <v>15984.577</v>
      </c>
      <c r="E6262" s="10" t="str">
        <f t="array" ref="E6262">IFS(D6262&lt;=$G$3,'calculated data '!$A$3,D6262&lt;=$G$4,'calculated data '!$A$4,D6262&lt;=$G$6,'calculated data '!$A$5,D6262&gt;=$G$6,'calculated data '!$A$6)</f>
        <v>Target Market (Core IQR)</v>
      </c>
      <c r="F6262" s="10">
        <f t="shared" si="1"/>
        <v>-0.2400637029</v>
      </c>
    </row>
    <row r="6263" ht="14.25" customHeight="1">
      <c r="A6263" s="2" t="s">
        <v>327</v>
      </c>
      <c r="B6263" s="2" t="s">
        <v>328</v>
      </c>
      <c r="C6263" s="2">
        <v>1996.0</v>
      </c>
      <c r="D6263" s="9">
        <v>15992.55</v>
      </c>
      <c r="E6263" s="10" t="str">
        <f t="array" ref="E6263">IFS(D6263&lt;=$G$3,'calculated data '!$A$3,D6263&lt;=$G$4,'calculated data '!$A$4,D6263&lt;=$G$6,'calculated data '!$A$5,D6263&gt;=$G$6,'calculated data '!$A$6)</f>
        <v>Target Market (Core IQR)</v>
      </c>
      <c r="F6263" s="10">
        <f t="shared" si="1"/>
        <v>-0.2398526596</v>
      </c>
    </row>
    <row r="6264" ht="14.25" customHeight="1">
      <c r="A6264" s="2" t="s">
        <v>339</v>
      </c>
      <c r="B6264" s="2" t="s">
        <v>340</v>
      </c>
      <c r="C6264" s="2">
        <v>1999.0</v>
      </c>
      <c r="D6264" s="9">
        <v>15995.67</v>
      </c>
      <c r="E6264" s="10" t="str">
        <f t="array" ref="E6264">IFS(D6264&lt;=$G$3,'calculated data '!$A$3,D6264&lt;=$G$4,'calculated data '!$A$4,D6264&lt;=$G$6,'calculated data '!$A$5,D6264&gt;=$G$6,'calculated data '!$A$6)</f>
        <v>Target Market (Core IQR)</v>
      </c>
      <c r="F6264" s="10">
        <f t="shared" si="1"/>
        <v>-0.2397700739</v>
      </c>
    </row>
    <row r="6265" ht="14.25" customHeight="1">
      <c r="A6265" s="2" t="s">
        <v>39</v>
      </c>
      <c r="B6265" s="2" t="s">
        <v>40</v>
      </c>
      <c r="C6265" s="2">
        <v>1989.0</v>
      </c>
      <c r="D6265" s="9">
        <v>16006.05</v>
      </c>
      <c r="E6265" s="10" t="str">
        <f t="array" ref="E6265">IFS(D6265&lt;=$G$3,'calculated data '!$A$3,D6265&lt;=$G$4,'calculated data '!$A$4,D6265&lt;=$G$6,'calculated data '!$A$5,D6265&gt;=$G$6,'calculated data '!$A$6)</f>
        <v>Target Market (Core IQR)</v>
      </c>
      <c r="F6265" s="10">
        <f t="shared" si="1"/>
        <v>-0.2394953179</v>
      </c>
    </row>
    <row r="6266" ht="14.25" customHeight="1">
      <c r="A6266" s="2" t="s">
        <v>317</v>
      </c>
      <c r="B6266" s="2" t="s">
        <v>318</v>
      </c>
      <c r="C6266" s="2">
        <v>2009.0</v>
      </c>
      <c r="D6266" s="9">
        <v>16006.469</v>
      </c>
      <c r="E6266" s="10" t="str">
        <f t="array" ref="E6266">IFS(D6266&lt;=$G$3,'calculated data '!$A$3,D6266&lt;=$G$4,'calculated data '!$A$4,D6266&lt;=$G$6,'calculated data '!$A$5,D6266&gt;=$G$6,'calculated data '!$A$6)</f>
        <v>Target Market (Core IQR)</v>
      </c>
      <c r="F6266" s="10">
        <f t="shared" si="1"/>
        <v>-0.2394842271</v>
      </c>
    </row>
    <row r="6267" ht="14.25" customHeight="1">
      <c r="A6267" s="2" t="s">
        <v>207</v>
      </c>
      <c r="B6267" s="2" t="s">
        <v>208</v>
      </c>
      <c r="C6267" s="2">
        <v>2019.0</v>
      </c>
      <c r="D6267" s="9">
        <v>16008.428</v>
      </c>
      <c r="E6267" s="10" t="str">
        <f t="array" ref="E6267">IFS(D6267&lt;=$G$3,'calculated data '!$A$3,D6267&lt;=$G$4,'calculated data '!$A$4,D6267&lt;=$G$6,'calculated data '!$A$5,D6267&gt;=$G$6,'calculated data '!$A$6)</f>
        <v>Target Market (Core IQR)</v>
      </c>
      <c r="F6267" s="10">
        <f t="shared" si="1"/>
        <v>-0.2394323728</v>
      </c>
    </row>
    <row r="6268" ht="14.25" customHeight="1">
      <c r="A6268" s="2" t="s">
        <v>57</v>
      </c>
      <c r="B6268" s="2" t="s">
        <v>58</v>
      </c>
      <c r="C6268" s="2">
        <v>1974.0</v>
      </c>
      <c r="D6268" s="9">
        <v>16012.027</v>
      </c>
      <c r="E6268" s="10" t="str">
        <f t="array" ref="E6268">IFS(D6268&lt;=$G$3,'calculated data '!$A$3,D6268&lt;=$G$4,'calculated data '!$A$4,D6268&lt;=$G$6,'calculated data '!$A$5,D6268&gt;=$G$6,'calculated data '!$A$6)</f>
        <v>Target Market (Core IQR)</v>
      </c>
      <c r="F6268" s="10">
        <f t="shared" si="1"/>
        <v>-0.2393371082</v>
      </c>
    </row>
    <row r="6269" ht="14.25" customHeight="1">
      <c r="A6269" s="2" t="s">
        <v>233</v>
      </c>
      <c r="B6269" s="2" t="s">
        <v>234</v>
      </c>
      <c r="C6269" s="2">
        <v>1996.0</v>
      </c>
      <c r="D6269" s="9">
        <v>16017.228</v>
      </c>
      <c r="E6269" s="10" t="str">
        <f t="array" ref="E6269">IFS(D6269&lt;=$G$3,'calculated data '!$A$3,D6269&lt;=$G$4,'calculated data '!$A$4,D6269&lt;=$G$6,'calculated data '!$A$5,D6269&gt;=$G$6,'calculated data '!$A$6)</f>
        <v>Target Market (Core IQR)</v>
      </c>
      <c r="F6269" s="10">
        <f t="shared" si="1"/>
        <v>-0.239199439</v>
      </c>
    </row>
    <row r="6270" ht="14.25" customHeight="1">
      <c r="A6270" s="2" t="s">
        <v>57</v>
      </c>
      <c r="B6270" s="2" t="s">
        <v>58</v>
      </c>
      <c r="C6270" s="2">
        <v>1983.0</v>
      </c>
      <c r="D6270" s="9">
        <v>16019.516</v>
      </c>
      <c r="E6270" s="10" t="str">
        <f t="array" ref="E6270">IFS(D6270&lt;=$G$3,'calculated data '!$A$3,D6270&lt;=$G$4,'calculated data '!$A$4,D6270&lt;=$G$6,'calculated data '!$A$5,D6270&gt;=$G$6,'calculated data '!$A$6)</f>
        <v>Target Market (Core IQR)</v>
      </c>
      <c r="F6270" s="10">
        <f t="shared" si="1"/>
        <v>-0.2391388763</v>
      </c>
    </row>
    <row r="6271" ht="14.25" customHeight="1">
      <c r="A6271" s="2" t="s">
        <v>291</v>
      </c>
      <c r="B6271" s="2" t="s">
        <v>292</v>
      </c>
      <c r="C6271" s="2">
        <v>2006.0</v>
      </c>
      <c r="D6271" s="9">
        <v>16040.549</v>
      </c>
      <c r="E6271" s="10" t="str">
        <f t="array" ref="E6271">IFS(D6271&lt;=$G$3,'calculated data '!$A$3,D6271&lt;=$G$4,'calculated data '!$A$4,D6271&lt;=$G$6,'calculated data '!$A$5,D6271&gt;=$G$6,'calculated data '!$A$6)</f>
        <v>Target Market (Core IQR)</v>
      </c>
      <c r="F6271" s="10">
        <f t="shared" si="1"/>
        <v>-0.238582138</v>
      </c>
    </row>
    <row r="6272" ht="14.25" customHeight="1">
      <c r="A6272" s="2" t="s">
        <v>301</v>
      </c>
      <c r="B6272" s="2" t="s">
        <v>302</v>
      </c>
      <c r="C6272" s="2">
        <v>1995.0</v>
      </c>
      <c r="D6272" s="9">
        <v>16044.685</v>
      </c>
      <c r="E6272" s="10" t="str">
        <f t="array" ref="E6272">IFS(D6272&lt;=$G$3,'calculated data '!$A$3,D6272&lt;=$G$4,'calculated data '!$A$4,D6272&lt;=$G$6,'calculated data '!$A$5,D6272&gt;=$G$6,'calculated data '!$A$6)</f>
        <v>Target Market (Core IQR)</v>
      </c>
      <c r="F6272" s="10">
        <f t="shared" si="1"/>
        <v>-0.2384726591</v>
      </c>
    </row>
    <row r="6273" ht="14.25" customHeight="1">
      <c r="A6273" s="2" t="s">
        <v>57</v>
      </c>
      <c r="B6273" s="2" t="s">
        <v>58</v>
      </c>
      <c r="C6273" s="2">
        <v>1982.0</v>
      </c>
      <c r="D6273" s="9">
        <v>16050.318</v>
      </c>
      <c r="E6273" s="10" t="str">
        <f t="array" ref="E6273">IFS(D6273&lt;=$G$3,'calculated data '!$A$3,D6273&lt;=$G$4,'calculated data '!$A$4,D6273&lt;=$G$6,'calculated data '!$A$5,D6273&gt;=$G$6,'calculated data '!$A$6)</f>
        <v>Target Market (Core IQR)</v>
      </c>
      <c r="F6273" s="10">
        <f t="shared" si="1"/>
        <v>-0.238323555</v>
      </c>
    </row>
    <row r="6274" ht="14.25" customHeight="1">
      <c r="A6274" s="2" t="s">
        <v>347</v>
      </c>
      <c r="B6274" s="2" t="s">
        <v>348</v>
      </c>
      <c r="C6274" s="2">
        <v>2016.0</v>
      </c>
      <c r="D6274" s="9">
        <v>16056.002</v>
      </c>
      <c r="E6274" s="10" t="str">
        <f t="array" ref="E6274">IFS(D6274&lt;=$G$3,'calculated data '!$A$3,D6274&lt;=$G$4,'calculated data '!$A$4,D6274&lt;=$G$6,'calculated data '!$A$5,D6274&gt;=$G$6,'calculated data '!$A$6)</f>
        <v>Target Market (Core IQR)</v>
      </c>
      <c r="F6274" s="10">
        <f t="shared" si="1"/>
        <v>-0.2381731009</v>
      </c>
    </row>
    <row r="6275" ht="14.25" customHeight="1">
      <c r="A6275" s="2" t="s">
        <v>343</v>
      </c>
      <c r="B6275" s="2" t="s">
        <v>344</v>
      </c>
      <c r="C6275" s="2">
        <v>1980.0</v>
      </c>
      <c r="D6275" s="9">
        <v>16076.346</v>
      </c>
      <c r="E6275" s="10" t="str">
        <f t="array" ref="E6275">IFS(D6275&lt;=$G$3,'calculated data '!$A$3,D6275&lt;=$G$4,'calculated data '!$A$4,D6275&lt;=$G$6,'calculated data '!$A$5,D6275&gt;=$G$6,'calculated data '!$A$6)</f>
        <v>Target Market (Core IQR)</v>
      </c>
      <c r="F6275" s="10">
        <f t="shared" si="1"/>
        <v>-0.2376346003</v>
      </c>
    </row>
    <row r="6276" ht="14.25" customHeight="1">
      <c r="A6276" s="2" t="s">
        <v>229</v>
      </c>
      <c r="B6276" s="2" t="s">
        <v>230</v>
      </c>
      <c r="C6276" s="2">
        <v>2015.0</v>
      </c>
      <c r="D6276" s="9">
        <v>16080.7705</v>
      </c>
      <c r="E6276" s="10" t="str">
        <f t="array" ref="E6276">IFS(D6276&lt;=$G$3,'calculated data '!$A$3,D6276&lt;=$G$4,'calculated data '!$A$4,D6276&lt;=$G$6,'calculated data '!$A$5,D6276&gt;=$G$6,'calculated data '!$A$6)</f>
        <v>Target Market (Core IQR)</v>
      </c>
      <c r="F6276" s="10">
        <f t="shared" si="1"/>
        <v>-0.2375174849</v>
      </c>
    </row>
    <row r="6277" ht="14.25" customHeight="1">
      <c r="A6277" s="2" t="s">
        <v>309</v>
      </c>
      <c r="B6277" s="2" t="s">
        <v>310</v>
      </c>
      <c r="C6277" s="2">
        <v>1981.0</v>
      </c>
      <c r="D6277" s="9">
        <v>16085.721</v>
      </c>
      <c r="E6277" s="10" t="str">
        <f t="array" ref="E6277">IFS(D6277&lt;=$G$3,'calculated data '!$A$3,D6277&lt;=$G$4,'calculated data '!$A$4,D6277&lt;=$G$6,'calculated data '!$A$5,D6277&gt;=$G$6,'calculated data '!$A$6)</f>
        <v>Target Market (Core IQR)</v>
      </c>
      <c r="F6277" s="10">
        <f t="shared" si="1"/>
        <v>-0.2373864464</v>
      </c>
    </row>
    <row r="6278" ht="14.25" customHeight="1">
      <c r="A6278" s="2" t="s">
        <v>363</v>
      </c>
      <c r="B6278" s="2" t="s">
        <v>364</v>
      </c>
      <c r="C6278" s="2">
        <v>2022.0</v>
      </c>
      <c r="D6278" s="9">
        <v>16087.517</v>
      </c>
      <c r="E6278" s="10" t="str">
        <f t="array" ref="E6278">IFS(D6278&lt;=$G$3,'calculated data '!$A$3,D6278&lt;=$G$4,'calculated data '!$A$4,D6278&lt;=$G$6,'calculated data '!$A$5,D6278&gt;=$G$6,'calculated data '!$A$6)</f>
        <v>Target Market (Core IQR)</v>
      </c>
      <c r="F6278" s="10">
        <f t="shared" si="1"/>
        <v>-0.2373389067</v>
      </c>
    </row>
    <row r="6279" ht="14.25" customHeight="1">
      <c r="A6279" s="2" t="s">
        <v>141</v>
      </c>
      <c r="B6279" s="2" t="s">
        <v>142</v>
      </c>
      <c r="C6279" s="2">
        <v>2009.0</v>
      </c>
      <c r="D6279" s="9">
        <v>16088.86</v>
      </c>
      <c r="E6279" s="10" t="str">
        <f t="array" ref="E6279">IFS(D6279&lt;=$G$3,'calculated data '!$A$3,D6279&lt;=$G$4,'calculated data '!$A$4,D6279&lt;=$G$6,'calculated data '!$A$5,D6279&gt;=$G$6,'calculated data '!$A$6)</f>
        <v>Target Market (Core IQR)</v>
      </c>
      <c r="F6279" s="10">
        <f t="shared" si="1"/>
        <v>-0.2373033578</v>
      </c>
    </row>
    <row r="6280" ht="14.25" customHeight="1">
      <c r="A6280" s="2" t="s">
        <v>349</v>
      </c>
      <c r="B6280" s="2" t="s">
        <v>350</v>
      </c>
      <c r="C6280" s="2">
        <v>2014.0</v>
      </c>
      <c r="D6280" s="9">
        <v>16093.326</v>
      </c>
      <c r="E6280" s="10" t="str">
        <f t="array" ref="E6280">IFS(D6280&lt;=$G$3,'calculated data '!$A$3,D6280&lt;=$G$4,'calculated data '!$A$4,D6280&lt;=$G$6,'calculated data '!$A$5,D6280&gt;=$G$6,'calculated data '!$A$6)</f>
        <v>Target Market (Core IQR)</v>
      </c>
      <c r="F6280" s="10">
        <f t="shared" si="1"/>
        <v>-0.2371851439</v>
      </c>
    </row>
    <row r="6281" ht="14.25" customHeight="1">
      <c r="A6281" s="2" t="s">
        <v>301</v>
      </c>
      <c r="B6281" s="2" t="s">
        <v>302</v>
      </c>
      <c r="C6281" s="2">
        <v>1990.0</v>
      </c>
      <c r="D6281" s="9">
        <v>16095.264</v>
      </c>
      <c r="E6281" s="10" t="str">
        <f t="array" ref="E6281">IFS(D6281&lt;=$G$3,'calculated data '!$A$3,D6281&lt;=$G$4,'calculated data '!$A$4,D6281&lt;=$G$6,'calculated data '!$A$5,D6281&gt;=$G$6,'calculated data '!$A$6)</f>
        <v>Target Market (Core IQR)</v>
      </c>
      <c r="F6281" s="10">
        <f t="shared" si="1"/>
        <v>-0.2371338456</v>
      </c>
    </row>
    <row r="6282" ht="14.25" customHeight="1">
      <c r="A6282" s="2" t="s">
        <v>99</v>
      </c>
      <c r="B6282" s="2" t="s">
        <v>100</v>
      </c>
      <c r="C6282" s="2">
        <v>2012.0</v>
      </c>
      <c r="D6282" s="9">
        <v>16100.758</v>
      </c>
      <c r="E6282" s="10" t="str">
        <f t="array" ref="E6282">IFS(D6282&lt;=$G$3,'calculated data '!$A$3,D6282&lt;=$G$4,'calculated data '!$A$4,D6282&lt;=$G$6,'calculated data '!$A$5,D6282&gt;=$G$6,'calculated data '!$A$6)</f>
        <v>Target Market (Core IQR)</v>
      </c>
      <c r="F6282" s="10">
        <f t="shared" si="1"/>
        <v>-0.2369884207</v>
      </c>
    </row>
    <row r="6283" ht="14.25" customHeight="1">
      <c r="A6283" s="2" t="s">
        <v>301</v>
      </c>
      <c r="B6283" s="2" t="s">
        <v>302</v>
      </c>
      <c r="C6283" s="2">
        <v>1996.0</v>
      </c>
      <c r="D6283" s="9">
        <v>16104.376</v>
      </c>
      <c r="E6283" s="10" t="str">
        <f t="array" ref="E6283">IFS(D6283&lt;=$G$3,'calculated data '!$A$3,D6283&lt;=$G$4,'calculated data '!$A$4,D6283&lt;=$G$6,'calculated data '!$A$5,D6283&gt;=$G$6,'calculated data '!$A$6)</f>
        <v>Target Market (Core IQR)</v>
      </c>
      <c r="F6283" s="10">
        <f t="shared" si="1"/>
        <v>-0.2368926532</v>
      </c>
    </row>
    <row r="6284" ht="14.25" customHeight="1">
      <c r="A6284" s="2" t="s">
        <v>207</v>
      </c>
      <c r="B6284" s="2" t="s">
        <v>208</v>
      </c>
      <c r="C6284" s="2">
        <v>2022.0</v>
      </c>
      <c r="D6284" s="9">
        <v>16121.271</v>
      </c>
      <c r="E6284" s="10" t="str">
        <f t="array" ref="E6284">IFS(D6284&lt;=$G$3,'calculated data '!$A$3,D6284&lt;=$G$4,'calculated data '!$A$4,D6284&lt;=$G$6,'calculated data '!$A$5,D6284&gt;=$G$6,'calculated data '!$A$6)</f>
        <v>Target Market (Core IQR)</v>
      </c>
      <c r="F6284" s="10">
        <f t="shared" si="1"/>
        <v>-0.2364454467</v>
      </c>
    </row>
    <row r="6285" ht="14.25" customHeight="1">
      <c r="A6285" s="2" t="s">
        <v>357</v>
      </c>
      <c r="B6285" s="2" t="s">
        <v>358</v>
      </c>
      <c r="C6285" s="2">
        <v>1977.0</v>
      </c>
      <c r="D6285" s="9">
        <v>16121.678</v>
      </c>
      <c r="E6285" s="10" t="str">
        <f t="array" ref="E6285">IFS(D6285&lt;=$G$3,'calculated data '!$A$3,D6285&lt;=$G$4,'calculated data '!$A$4,D6285&lt;=$G$6,'calculated data '!$A$5,D6285&gt;=$G$6,'calculated data '!$A$6)</f>
        <v>Target Market (Core IQR)</v>
      </c>
      <c r="F6285" s="10">
        <f t="shared" si="1"/>
        <v>-0.2364346736</v>
      </c>
    </row>
    <row r="6286" ht="14.25" customHeight="1">
      <c r="A6286" s="2" t="s">
        <v>351</v>
      </c>
      <c r="B6286" s="2" t="s">
        <v>352</v>
      </c>
      <c r="C6286" s="2">
        <v>2002.0</v>
      </c>
      <c r="D6286" s="9">
        <v>16122.266</v>
      </c>
      <c r="E6286" s="10" t="str">
        <f t="array" ref="E6286">IFS(D6286&lt;=$G$3,'calculated data '!$A$3,D6286&lt;=$G$4,'calculated data '!$A$4,D6286&lt;=$G$6,'calculated data '!$A$5,D6286&gt;=$G$6,'calculated data '!$A$6)</f>
        <v>Target Market (Core IQR)</v>
      </c>
      <c r="F6286" s="10">
        <f t="shared" si="1"/>
        <v>-0.2364191093</v>
      </c>
    </row>
    <row r="6287" ht="14.25" customHeight="1">
      <c r="A6287" s="2" t="s">
        <v>357</v>
      </c>
      <c r="B6287" s="2" t="s">
        <v>358</v>
      </c>
      <c r="C6287" s="2">
        <v>1988.0</v>
      </c>
      <c r="D6287" s="9">
        <v>16129.959</v>
      </c>
      <c r="E6287" s="10" t="str">
        <f t="array" ref="E6287">IFS(D6287&lt;=$G$3,'calculated data '!$A$3,D6287&lt;=$G$4,'calculated data '!$A$4,D6287&lt;=$G$6,'calculated data '!$A$5,D6287&gt;=$G$6,'calculated data '!$A$6)</f>
        <v>Target Market (Core IQR)</v>
      </c>
      <c r="F6287" s="10">
        <f t="shared" si="1"/>
        <v>-0.2362154775</v>
      </c>
    </row>
    <row r="6288" ht="14.25" customHeight="1">
      <c r="A6288" s="2" t="s">
        <v>363</v>
      </c>
      <c r="B6288" s="2" t="s">
        <v>364</v>
      </c>
      <c r="C6288" s="2">
        <v>2017.0</v>
      </c>
      <c r="D6288" s="9">
        <v>16130.45</v>
      </c>
      <c r="E6288" s="10" t="str">
        <f t="array" ref="E6288">IFS(D6288&lt;=$G$3,'calculated data '!$A$3,D6288&lt;=$G$4,'calculated data '!$A$4,D6288&lt;=$G$6,'calculated data '!$A$5,D6288&gt;=$G$6,'calculated data '!$A$6)</f>
        <v>Target Market (Core IQR)</v>
      </c>
      <c r="F6288" s="10">
        <f t="shared" si="1"/>
        <v>-0.2362024809</v>
      </c>
    </row>
    <row r="6289" ht="14.25" customHeight="1">
      <c r="A6289" s="2" t="s">
        <v>291</v>
      </c>
      <c r="B6289" s="2" t="s">
        <v>292</v>
      </c>
      <c r="C6289" s="2">
        <v>2004.0</v>
      </c>
      <c r="D6289" s="9">
        <v>16134.95</v>
      </c>
      <c r="E6289" s="10" t="str">
        <f t="array" ref="E6289">IFS(D6289&lt;=$G$3,'calculated data '!$A$3,D6289&lt;=$G$4,'calculated data '!$A$4,D6289&lt;=$G$6,'calculated data '!$A$5,D6289&gt;=$G$6,'calculated data '!$A$6)</f>
        <v>Target Market (Core IQR)</v>
      </c>
      <c r="F6289" s="10">
        <f t="shared" si="1"/>
        <v>-0.236083367</v>
      </c>
    </row>
    <row r="6290" ht="14.25" customHeight="1">
      <c r="A6290" s="2" t="s">
        <v>347</v>
      </c>
      <c r="B6290" s="2" t="s">
        <v>348</v>
      </c>
      <c r="C6290" s="2">
        <v>2019.0</v>
      </c>
      <c r="D6290" s="9">
        <v>16139.251</v>
      </c>
      <c r="E6290" s="10" t="str">
        <f t="array" ref="E6290">IFS(D6290&lt;=$G$3,'calculated data '!$A$3,D6290&lt;=$G$4,'calculated data '!$A$4,D6290&lt;=$G$6,'calculated data '!$A$5,D6290&gt;=$G$6,'calculated data '!$A$6)</f>
        <v>Target Market (Core IQR)</v>
      </c>
      <c r="F6290" s="10">
        <f t="shared" si="1"/>
        <v>-0.2359695206</v>
      </c>
    </row>
    <row r="6291" ht="14.25" customHeight="1">
      <c r="A6291" s="2" t="s">
        <v>357</v>
      </c>
      <c r="B6291" s="2" t="s">
        <v>358</v>
      </c>
      <c r="C6291" s="2">
        <v>1994.0</v>
      </c>
      <c r="D6291" s="9">
        <v>16159.83</v>
      </c>
      <c r="E6291" s="10" t="str">
        <f t="array" ref="E6291">IFS(D6291&lt;=$G$3,'calculated data '!$A$3,D6291&lt;=$G$4,'calculated data '!$A$4,D6291&lt;=$G$6,'calculated data '!$A$5,D6291&gt;=$G$6,'calculated data '!$A$6)</f>
        <v>Target Market (Core IQR)</v>
      </c>
      <c r="F6291" s="10">
        <f t="shared" si="1"/>
        <v>-0.2354247996</v>
      </c>
    </row>
    <row r="6292" ht="14.25" customHeight="1">
      <c r="A6292" s="2" t="s">
        <v>257</v>
      </c>
      <c r="B6292" s="2" t="s">
        <v>258</v>
      </c>
      <c r="C6292" s="2">
        <v>1994.0</v>
      </c>
      <c r="D6292" s="9">
        <v>16177.504</v>
      </c>
      <c r="E6292" s="10" t="str">
        <f t="array" ref="E6292">IFS(D6292&lt;=$G$3,'calculated data '!$A$3,D6292&lt;=$G$4,'calculated data '!$A$4,D6292&lt;=$G$6,'calculated data '!$A$5,D6292&gt;=$G$6,'calculated data '!$A$6)</f>
        <v>Target Market (Core IQR)</v>
      </c>
      <c r="F6292" s="10">
        <f t="shared" si="1"/>
        <v>-0.2349569732</v>
      </c>
    </row>
    <row r="6293" ht="14.25" customHeight="1">
      <c r="A6293" s="2" t="s">
        <v>301</v>
      </c>
      <c r="B6293" s="2" t="s">
        <v>302</v>
      </c>
      <c r="C6293" s="2">
        <v>1997.0</v>
      </c>
      <c r="D6293" s="9">
        <v>16180.151</v>
      </c>
      <c r="E6293" s="10" t="str">
        <f t="array" ref="E6293">IFS(D6293&lt;=$G$3,'calculated data '!$A$3,D6293&lt;=$G$4,'calculated data '!$A$4,D6293&lt;=$G$6,'calculated data '!$A$5,D6293&gt;=$G$6,'calculated data '!$A$6)</f>
        <v>Target Market (Core IQR)</v>
      </c>
      <c r="F6293" s="10">
        <f t="shared" si="1"/>
        <v>-0.2348869078</v>
      </c>
    </row>
    <row r="6294" ht="14.25" customHeight="1">
      <c r="A6294" s="2" t="s">
        <v>285</v>
      </c>
      <c r="B6294" s="2" t="s">
        <v>286</v>
      </c>
      <c r="C6294" s="2">
        <v>1981.0</v>
      </c>
      <c r="D6294" s="9">
        <v>16180.7705</v>
      </c>
      <c r="E6294" s="10" t="str">
        <f t="array" ref="E6294">IFS(D6294&lt;=$G$3,'calculated data '!$A$3,D6294&lt;=$G$4,'calculated data '!$A$4,D6294&lt;=$G$6,'calculated data '!$A$5,D6294&gt;=$G$6,'calculated data '!$A$6)</f>
        <v>Target Market (Core IQR)</v>
      </c>
      <c r="F6294" s="10">
        <f t="shared" si="1"/>
        <v>-0.2348705098</v>
      </c>
    </row>
    <row r="6295" ht="14.25" customHeight="1">
      <c r="A6295" s="2" t="s">
        <v>363</v>
      </c>
      <c r="B6295" s="2" t="s">
        <v>364</v>
      </c>
      <c r="C6295" s="2">
        <v>2023.0</v>
      </c>
      <c r="D6295" s="9">
        <v>16181.724</v>
      </c>
      <c r="E6295" s="10" t="str">
        <f t="array" ref="E6295">IFS(D6295&lt;=$G$3,'calculated data '!$A$3,D6295&lt;=$G$4,'calculated data '!$A$4,D6295&lt;=$G$6,'calculated data '!$A$5,D6295&gt;=$G$6,'calculated data '!$A$6)</f>
        <v>Target Market (Core IQR)</v>
      </c>
      <c r="F6295" s="10">
        <f t="shared" si="1"/>
        <v>-0.2348452709</v>
      </c>
    </row>
    <row r="6296" ht="14.25" customHeight="1">
      <c r="A6296" s="2" t="s">
        <v>301</v>
      </c>
      <c r="B6296" s="2" t="s">
        <v>302</v>
      </c>
      <c r="C6296" s="2">
        <v>2021.0</v>
      </c>
      <c r="D6296" s="9">
        <v>16187.255</v>
      </c>
      <c r="E6296" s="10" t="str">
        <f t="array" ref="E6296">IFS(D6296&lt;=$G$3,'calculated data '!$A$3,D6296&lt;=$G$4,'calculated data '!$A$4,D6296&lt;=$G$6,'calculated data '!$A$5,D6296&gt;=$G$6,'calculated data '!$A$6)</f>
        <v>Target Market (Core IQR)</v>
      </c>
      <c r="F6296" s="10">
        <f t="shared" si="1"/>
        <v>-0.2346988667</v>
      </c>
    </row>
    <row r="6297" ht="14.25" customHeight="1">
      <c r="A6297" s="2" t="s">
        <v>229</v>
      </c>
      <c r="B6297" s="2" t="s">
        <v>230</v>
      </c>
      <c r="C6297" s="2">
        <v>2016.0</v>
      </c>
      <c r="D6297" s="9">
        <v>16189.192</v>
      </c>
      <c r="E6297" s="10" t="str">
        <f t="array" ref="E6297">IFS(D6297&lt;=$G$3,'calculated data '!$A$3,D6297&lt;=$G$4,'calculated data '!$A$4,D6297&lt;=$G$6,'calculated data '!$A$5,D6297&gt;=$G$6,'calculated data '!$A$6)</f>
        <v>Target Market (Core IQR)</v>
      </c>
      <c r="F6297" s="10">
        <f t="shared" si="1"/>
        <v>-0.2346475948</v>
      </c>
    </row>
    <row r="6298" ht="14.25" customHeight="1">
      <c r="A6298" s="2" t="s">
        <v>287</v>
      </c>
      <c r="B6298" s="2" t="s">
        <v>288</v>
      </c>
      <c r="C6298" s="2">
        <v>2009.0</v>
      </c>
      <c r="D6298" s="9">
        <v>16190.095</v>
      </c>
      <c r="E6298" s="10" t="str">
        <f t="array" ref="E6298">IFS(D6298&lt;=$G$3,'calculated data '!$A$3,D6298&lt;=$G$4,'calculated data '!$A$4,D6298&lt;=$G$6,'calculated data '!$A$5,D6298&gt;=$G$6,'calculated data '!$A$6)</f>
        <v>Target Market (Core IQR)</v>
      </c>
      <c r="F6298" s="10">
        <f t="shared" si="1"/>
        <v>-0.2346236926</v>
      </c>
    </row>
    <row r="6299" ht="14.25" customHeight="1">
      <c r="A6299" s="2" t="s">
        <v>351</v>
      </c>
      <c r="B6299" s="2" t="s">
        <v>352</v>
      </c>
      <c r="C6299" s="2">
        <v>1995.0</v>
      </c>
      <c r="D6299" s="9">
        <v>16190.844</v>
      </c>
      <c r="E6299" s="10" t="str">
        <f t="array" ref="E6299">IFS(D6299&lt;=$G$3,'calculated data '!$A$3,D6299&lt;=$G$4,'calculated data '!$A$4,D6299&lt;=$G$6,'calculated data '!$A$5,D6299&gt;=$G$6,'calculated data '!$A$6)</f>
        <v>Target Market (Core IQR)</v>
      </c>
      <c r="F6299" s="10">
        <f t="shared" si="1"/>
        <v>-0.2346038668</v>
      </c>
    </row>
    <row r="6300" ht="14.25" customHeight="1">
      <c r="A6300" s="2" t="s">
        <v>28</v>
      </c>
      <c r="B6300" s="2" t="s">
        <v>29</v>
      </c>
      <c r="C6300" s="2">
        <v>2005.0</v>
      </c>
      <c r="D6300" s="9">
        <v>16191.794</v>
      </c>
      <c r="E6300" s="10" t="str">
        <f t="array" ref="E6300">IFS(D6300&lt;=$G$3,'calculated data '!$A$3,D6300&lt;=$G$4,'calculated data '!$A$4,D6300&lt;=$G$6,'calculated data '!$A$5,D6300&gt;=$G$6,'calculated data '!$A$6)</f>
        <v>Target Market (Core IQR)</v>
      </c>
      <c r="F6300" s="10">
        <f t="shared" si="1"/>
        <v>-0.2345787205</v>
      </c>
    </row>
    <row r="6301" ht="14.25" customHeight="1">
      <c r="A6301" s="2" t="s">
        <v>295</v>
      </c>
      <c r="B6301" s="2" t="s">
        <v>296</v>
      </c>
      <c r="C6301" s="2">
        <v>2010.0</v>
      </c>
      <c r="D6301" s="9">
        <v>16196.391</v>
      </c>
      <c r="E6301" s="10" t="str">
        <f t="array" ref="E6301">IFS(D6301&lt;=$G$3,'calculated data '!$A$3,D6301&lt;=$G$4,'calculated data '!$A$4,D6301&lt;=$G$6,'calculated data '!$A$5,D6301&gt;=$G$6,'calculated data '!$A$6)</f>
        <v>Target Market (Core IQR)</v>
      </c>
      <c r="F6301" s="10">
        <f t="shared" si="1"/>
        <v>-0.2344570391</v>
      </c>
    </row>
    <row r="6302" ht="14.25" customHeight="1">
      <c r="A6302" s="2" t="s">
        <v>347</v>
      </c>
      <c r="B6302" s="2" t="s">
        <v>348</v>
      </c>
      <c r="C6302" s="2">
        <v>2020.0</v>
      </c>
      <c r="D6302" s="9">
        <v>16199.065</v>
      </c>
      <c r="E6302" s="10" t="str">
        <f t="array" ref="E6302">IFS(D6302&lt;=$G$3,'calculated data '!$A$3,D6302&lt;=$G$4,'calculated data '!$A$4,D6302&lt;=$G$6,'calculated data '!$A$5,D6302&gt;=$G$6,'calculated data '!$A$6)</f>
        <v>Target Market (Core IQR)</v>
      </c>
      <c r="F6302" s="10">
        <f t="shared" si="1"/>
        <v>-0.2343862589</v>
      </c>
    </row>
    <row r="6303" ht="14.25" customHeight="1">
      <c r="A6303" s="2" t="s">
        <v>291</v>
      </c>
      <c r="B6303" s="2" t="s">
        <v>292</v>
      </c>
      <c r="C6303" s="2">
        <v>2011.0</v>
      </c>
      <c r="D6303" s="9">
        <v>16200.954</v>
      </c>
      <c r="E6303" s="10" t="str">
        <f t="array" ref="E6303">IFS(D6303&lt;=$G$3,'calculated data '!$A$3,D6303&lt;=$G$4,'calculated data '!$A$4,D6303&lt;=$G$6,'calculated data '!$A$5,D6303&gt;=$G$6,'calculated data '!$A$6)</f>
        <v>Target Market (Core IQR)</v>
      </c>
      <c r="F6303" s="10">
        <f t="shared" si="1"/>
        <v>-0.2343362576</v>
      </c>
    </row>
    <row r="6304" ht="14.25" customHeight="1">
      <c r="A6304" s="2" t="s">
        <v>319</v>
      </c>
      <c r="B6304" s="2" t="s">
        <v>320</v>
      </c>
      <c r="C6304" s="2">
        <v>1972.0</v>
      </c>
      <c r="D6304" s="9">
        <v>16241.959</v>
      </c>
      <c r="E6304" s="10" t="str">
        <f t="array" ref="E6304">IFS(D6304&lt;=$G$3,'calculated data '!$A$3,D6304&lt;=$G$4,'calculated data '!$A$4,D6304&lt;=$G$6,'calculated data '!$A$5,D6304&gt;=$G$6,'calculated data '!$A$6)</f>
        <v>Target Market (Core IQR)</v>
      </c>
      <c r="F6304" s="10">
        <f t="shared" si="1"/>
        <v>-0.2332508654</v>
      </c>
    </row>
    <row r="6305" ht="14.25" customHeight="1">
      <c r="A6305" s="2" t="s">
        <v>335</v>
      </c>
      <c r="B6305" s="2" t="s">
        <v>336</v>
      </c>
      <c r="C6305" s="2">
        <v>1972.0</v>
      </c>
      <c r="D6305" s="9">
        <v>16243.728</v>
      </c>
      <c r="E6305" s="10" t="str">
        <f t="array" ref="E6305">IFS(D6305&lt;=$G$3,'calculated data '!$A$3,D6305&lt;=$G$4,'calculated data '!$A$4,D6305&lt;=$G$6,'calculated data '!$A$5,D6305&gt;=$G$6,'calculated data '!$A$6)</f>
        <v>Target Market (Core IQR)</v>
      </c>
      <c r="F6305" s="10">
        <f t="shared" si="1"/>
        <v>-0.2332040405</v>
      </c>
    </row>
    <row r="6306" ht="14.25" customHeight="1">
      <c r="A6306" s="2" t="s">
        <v>241</v>
      </c>
      <c r="B6306" s="2" t="s">
        <v>242</v>
      </c>
      <c r="C6306" s="2">
        <v>2010.0</v>
      </c>
      <c r="D6306" s="9">
        <v>16275.126</v>
      </c>
      <c r="E6306" s="10" t="str">
        <f t="array" ref="E6306">IFS(D6306&lt;=$G$3,'calculated data '!$A$3,D6306&lt;=$G$4,'calculated data '!$A$4,D6306&lt;=$G$6,'calculated data '!$A$5,D6306&gt;=$G$6,'calculated data '!$A$6)</f>
        <v>Target Market (Core IQR)</v>
      </c>
      <c r="F6306" s="10">
        <f t="shared" si="1"/>
        <v>-0.2323729432</v>
      </c>
    </row>
    <row r="6307" ht="14.25" customHeight="1">
      <c r="A6307" s="2" t="s">
        <v>301</v>
      </c>
      <c r="B6307" s="2" t="s">
        <v>302</v>
      </c>
      <c r="C6307" s="2">
        <v>1992.0</v>
      </c>
      <c r="D6307" s="9">
        <v>16285.674</v>
      </c>
      <c r="E6307" s="10" t="str">
        <f t="array" ref="E6307">IFS(D6307&lt;=$G$3,'calculated data '!$A$3,D6307&lt;=$G$4,'calculated data '!$A$4,D6307&lt;=$G$6,'calculated data '!$A$5,D6307&gt;=$G$6,'calculated data '!$A$6)</f>
        <v>Target Market (Core IQR)</v>
      </c>
      <c r="F6307" s="10">
        <f t="shared" si="1"/>
        <v>-0.2320937403</v>
      </c>
    </row>
    <row r="6308" ht="14.25" customHeight="1">
      <c r="A6308" s="2" t="s">
        <v>57</v>
      </c>
      <c r="B6308" s="2" t="s">
        <v>58</v>
      </c>
      <c r="C6308" s="2">
        <v>1973.0</v>
      </c>
      <c r="D6308" s="9">
        <v>16288.396</v>
      </c>
      <c r="E6308" s="10" t="str">
        <f t="array" ref="E6308">IFS(D6308&lt;=$G$3,'calculated data '!$A$3,D6308&lt;=$G$4,'calculated data '!$A$4,D6308&lt;=$G$6,'calculated data '!$A$5,D6308&gt;=$G$6,'calculated data '!$A$6)</f>
        <v>Target Market (Core IQR)</v>
      </c>
      <c r="F6308" s="10">
        <f t="shared" si="1"/>
        <v>-0.2320216896</v>
      </c>
    </row>
    <row r="6309" ht="14.25" customHeight="1">
      <c r="A6309" s="2" t="s">
        <v>339</v>
      </c>
      <c r="B6309" s="2" t="s">
        <v>340</v>
      </c>
      <c r="C6309" s="2">
        <v>1998.0</v>
      </c>
      <c r="D6309" s="9">
        <v>16291.136</v>
      </c>
      <c r="E6309" s="10" t="str">
        <f t="array" ref="E6309">IFS(D6309&lt;=$G$3,'calculated data '!$A$3,D6309&lt;=$G$4,'calculated data '!$A$4,D6309&lt;=$G$6,'calculated data '!$A$5,D6309&gt;=$G$6,'calculated data '!$A$6)</f>
        <v>Target Market (Core IQR)</v>
      </c>
      <c r="F6309" s="10">
        <f t="shared" si="1"/>
        <v>-0.2319491625</v>
      </c>
    </row>
    <row r="6310" ht="14.25" customHeight="1">
      <c r="A6310" s="2" t="s">
        <v>339</v>
      </c>
      <c r="B6310" s="2" t="s">
        <v>340</v>
      </c>
      <c r="C6310" s="2">
        <v>2006.0</v>
      </c>
      <c r="D6310" s="9">
        <v>16295.912</v>
      </c>
      <c r="E6310" s="10" t="str">
        <f t="array" ref="E6310">IFS(D6310&lt;=$G$3,'calculated data '!$A$3,D6310&lt;=$G$4,'calculated data '!$A$4,D6310&lt;=$G$6,'calculated data '!$A$5,D6310&gt;=$G$6,'calculated data '!$A$6)</f>
        <v>Target Market (Core IQR)</v>
      </c>
      <c r="F6310" s="10">
        <f t="shared" si="1"/>
        <v>-0.231822743</v>
      </c>
    </row>
    <row r="6311" ht="14.25" customHeight="1">
      <c r="A6311" s="2" t="s">
        <v>207</v>
      </c>
      <c r="B6311" s="2" t="s">
        <v>208</v>
      </c>
      <c r="C6311" s="2">
        <v>2023.0</v>
      </c>
      <c r="D6311" s="9">
        <v>16298.5</v>
      </c>
      <c r="E6311" s="10" t="str">
        <f t="array" ref="E6311">IFS(D6311&lt;=$G$3,'calculated data '!$A$3,D6311&lt;=$G$4,'calculated data '!$A$4,D6311&lt;=$G$6,'calculated data '!$A$5,D6311&gt;=$G$6,'calculated data '!$A$6)</f>
        <v>Target Market (Core IQR)</v>
      </c>
      <c r="F6311" s="10">
        <f t="shared" si="1"/>
        <v>-0.2317542393</v>
      </c>
    </row>
    <row r="6312" ht="14.25" customHeight="1">
      <c r="A6312" s="2" t="s">
        <v>233</v>
      </c>
      <c r="B6312" s="2" t="s">
        <v>234</v>
      </c>
      <c r="C6312" s="2">
        <v>2019.0</v>
      </c>
      <c r="D6312" s="9">
        <v>16304.499</v>
      </c>
      <c r="E6312" s="10" t="str">
        <f t="array" ref="E6312">IFS(D6312&lt;=$G$3,'calculated data '!$A$3,D6312&lt;=$G$4,'calculated data '!$A$4,D6312&lt;=$G$6,'calculated data '!$A$5,D6312&gt;=$G$6,'calculated data '!$A$6)</f>
        <v>Target Market (Core IQR)</v>
      </c>
      <c r="F6312" s="10">
        <f t="shared" si="1"/>
        <v>-0.2315954472</v>
      </c>
    </row>
    <row r="6313" ht="14.25" customHeight="1">
      <c r="A6313" s="2" t="s">
        <v>301</v>
      </c>
      <c r="B6313" s="2" t="s">
        <v>302</v>
      </c>
      <c r="C6313" s="2">
        <v>2001.0</v>
      </c>
      <c r="D6313" s="9">
        <v>16307.347</v>
      </c>
      <c r="E6313" s="10" t="str">
        <f t="array" ref="E6313">IFS(D6313&lt;=$G$3,'calculated data '!$A$3,D6313&lt;=$G$4,'calculated data '!$A$4,D6313&lt;=$G$6,'calculated data '!$A$5,D6313&gt;=$G$6,'calculated data '!$A$6)</f>
        <v>Target Market (Core IQR)</v>
      </c>
      <c r="F6313" s="10">
        <f t="shared" si="1"/>
        <v>-0.2315200614</v>
      </c>
    </row>
    <row r="6314" ht="14.25" customHeight="1">
      <c r="A6314" s="2" t="s">
        <v>313</v>
      </c>
      <c r="B6314" s="2" t="s">
        <v>314</v>
      </c>
      <c r="C6314" s="2">
        <v>1997.0</v>
      </c>
      <c r="D6314" s="9">
        <v>16320.511</v>
      </c>
      <c r="E6314" s="10" t="str">
        <f t="array" ref="E6314">IFS(D6314&lt;=$G$3,'calculated data '!$A$3,D6314&lt;=$G$4,'calculated data '!$A$4,D6314&lt;=$G$6,'calculated data '!$A$5,D6314&gt;=$G$6,'calculated data '!$A$6)</f>
        <v>Target Market (Core IQR)</v>
      </c>
      <c r="F6314" s="10">
        <f t="shared" si="1"/>
        <v>-0.2311716136</v>
      </c>
    </row>
    <row r="6315" ht="14.25" customHeight="1">
      <c r="A6315" s="2" t="s">
        <v>343</v>
      </c>
      <c r="B6315" s="2" t="s">
        <v>344</v>
      </c>
      <c r="C6315" s="2">
        <v>1986.0</v>
      </c>
      <c r="D6315" s="9">
        <v>16329.653</v>
      </c>
      <c r="E6315" s="10" t="str">
        <f t="array" ref="E6315">IFS(D6315&lt;=$G$3,'calculated data '!$A$3,D6315&lt;=$G$4,'calculated data '!$A$4,D6315&lt;=$G$6,'calculated data '!$A$5,D6315&gt;=$G$6,'calculated data '!$A$6)</f>
        <v>Target Market (Core IQR)</v>
      </c>
      <c r="F6315" s="10">
        <f t="shared" si="1"/>
        <v>-0.2309296271</v>
      </c>
    </row>
    <row r="6316" ht="14.25" customHeight="1">
      <c r="A6316" s="2" t="s">
        <v>339</v>
      </c>
      <c r="B6316" s="2" t="s">
        <v>340</v>
      </c>
      <c r="C6316" s="2">
        <v>1985.0</v>
      </c>
      <c r="D6316" s="9">
        <v>16333.504</v>
      </c>
      <c r="E6316" s="10" t="str">
        <f t="array" ref="E6316">IFS(D6316&lt;=$G$3,'calculated data '!$A$3,D6316&lt;=$G$4,'calculated data '!$A$4,D6316&lt;=$G$6,'calculated data '!$A$5,D6316&gt;=$G$6,'calculated data '!$A$6)</f>
        <v>Target Market (Core IQR)</v>
      </c>
      <c r="F6316" s="10">
        <f t="shared" si="1"/>
        <v>-0.2308276921</v>
      </c>
    </row>
    <row r="6317" ht="14.25" customHeight="1">
      <c r="A6317" s="2" t="s">
        <v>351</v>
      </c>
      <c r="B6317" s="2" t="s">
        <v>352</v>
      </c>
      <c r="C6317" s="2">
        <v>2003.0</v>
      </c>
      <c r="D6317" s="9">
        <v>16335.281</v>
      </c>
      <c r="E6317" s="10" t="str">
        <f t="array" ref="E6317">IFS(D6317&lt;=$G$3,'calculated data '!$A$3,D6317&lt;=$G$4,'calculated data '!$A$4,D6317&lt;=$G$6,'calculated data '!$A$5,D6317&gt;=$G$6,'calculated data '!$A$6)</f>
        <v>Target Market (Core IQR)</v>
      </c>
      <c r="F6317" s="10">
        <f t="shared" si="1"/>
        <v>-0.2307806553</v>
      </c>
    </row>
    <row r="6318" ht="14.25" customHeight="1">
      <c r="A6318" s="2" t="s">
        <v>297</v>
      </c>
      <c r="B6318" s="2" t="s">
        <v>298</v>
      </c>
      <c r="C6318" s="2">
        <v>2021.0</v>
      </c>
      <c r="D6318" s="9">
        <v>16341.953</v>
      </c>
      <c r="E6318" s="10" t="str">
        <f t="array" ref="E6318">IFS(D6318&lt;=$G$3,'calculated data '!$A$3,D6318&lt;=$G$4,'calculated data '!$A$4,D6318&lt;=$G$6,'calculated data '!$A$5,D6318&gt;=$G$6,'calculated data '!$A$6)</f>
        <v>Target Market (Core IQR)</v>
      </c>
      <c r="F6318" s="10">
        <f t="shared" si="1"/>
        <v>-0.2306040492</v>
      </c>
    </row>
    <row r="6319" ht="14.25" customHeight="1">
      <c r="A6319" s="2" t="s">
        <v>365</v>
      </c>
      <c r="B6319" s="2" t="s">
        <v>366</v>
      </c>
      <c r="C6319" s="2">
        <v>2016.0</v>
      </c>
      <c r="D6319" s="9">
        <v>16356.96</v>
      </c>
      <c r="E6319" s="10" t="str">
        <f t="array" ref="E6319">IFS(D6319&lt;=$G$3,'calculated data '!$A$3,D6319&lt;=$G$4,'calculated data '!$A$4,D6319&lt;=$G$6,'calculated data '!$A$5,D6319&gt;=$G$6,'calculated data '!$A$6)</f>
        <v>Target Market (Core IQR)</v>
      </c>
      <c r="F6319" s="10">
        <f t="shared" si="1"/>
        <v>-0.2302068176</v>
      </c>
    </row>
    <row r="6320" ht="14.25" customHeight="1">
      <c r="A6320" s="2" t="s">
        <v>28</v>
      </c>
      <c r="B6320" s="2" t="s">
        <v>29</v>
      </c>
      <c r="C6320" s="2">
        <v>2010.0</v>
      </c>
      <c r="D6320" s="9">
        <v>16357.027</v>
      </c>
      <c r="E6320" s="10" t="str">
        <f t="array" ref="E6320">IFS(D6320&lt;=$G$3,'calculated data '!$A$3,D6320&lt;=$G$4,'calculated data '!$A$4,D6320&lt;=$G$6,'calculated data '!$A$5,D6320&gt;=$G$6,'calculated data '!$A$6)</f>
        <v>Target Market (Core IQR)</v>
      </c>
      <c r="F6320" s="10">
        <f t="shared" si="1"/>
        <v>-0.2302050441</v>
      </c>
    </row>
    <row r="6321" ht="14.25" customHeight="1">
      <c r="A6321" s="2" t="s">
        <v>247</v>
      </c>
      <c r="B6321" s="2" t="s">
        <v>248</v>
      </c>
      <c r="C6321" s="2">
        <v>2014.0</v>
      </c>
      <c r="D6321" s="9">
        <v>16357.539</v>
      </c>
      <c r="E6321" s="10" t="str">
        <f t="array" ref="E6321">IFS(D6321&lt;=$G$3,'calculated data '!$A$3,D6321&lt;=$G$4,'calculated data '!$A$4,D6321&lt;=$G$6,'calculated data '!$A$5,D6321&gt;=$G$6,'calculated data '!$A$6)</f>
        <v>Target Market (Core IQR)</v>
      </c>
      <c r="F6321" s="10">
        <f t="shared" si="1"/>
        <v>-0.2301914916</v>
      </c>
    </row>
    <row r="6322" ht="14.25" customHeight="1">
      <c r="A6322" s="2" t="s">
        <v>323</v>
      </c>
      <c r="B6322" s="2" t="s">
        <v>324</v>
      </c>
      <c r="C6322" s="2">
        <v>2001.0</v>
      </c>
      <c r="D6322" s="9">
        <v>16362.185</v>
      </c>
      <c r="E6322" s="10" t="str">
        <f t="array" ref="E6322">IFS(D6322&lt;=$G$3,'calculated data '!$A$3,D6322&lt;=$G$4,'calculated data '!$A$4,D6322&lt;=$G$6,'calculated data '!$A$5,D6322&gt;=$G$6,'calculated data '!$A$6)</f>
        <v>Target Market (Core IQR)</v>
      </c>
      <c r="F6322" s="10">
        <f t="shared" si="1"/>
        <v>-0.2300685132</v>
      </c>
    </row>
    <row r="6323" ht="14.25" customHeight="1">
      <c r="A6323" s="2" t="s">
        <v>279</v>
      </c>
      <c r="B6323" s="2" t="s">
        <v>280</v>
      </c>
      <c r="C6323" s="2">
        <v>1979.0</v>
      </c>
      <c r="D6323" s="9">
        <v>16393.557</v>
      </c>
      <c r="E6323" s="10" t="str">
        <f t="array" ref="E6323">IFS(D6323&lt;=$G$3,'calculated data '!$A$3,D6323&lt;=$G$4,'calculated data '!$A$4,D6323&lt;=$G$6,'calculated data '!$A$5,D6323&gt;=$G$6,'calculated data '!$A$6)</f>
        <v>Target Market (Core IQR)</v>
      </c>
      <c r="F6323" s="10">
        <f t="shared" si="1"/>
        <v>-0.2292381041</v>
      </c>
    </row>
    <row r="6324" ht="14.25" customHeight="1">
      <c r="A6324" s="2" t="s">
        <v>287</v>
      </c>
      <c r="B6324" s="2" t="s">
        <v>288</v>
      </c>
      <c r="C6324" s="2">
        <v>2016.0</v>
      </c>
      <c r="D6324" s="9">
        <v>16396.982</v>
      </c>
      <c r="E6324" s="10" t="str">
        <f t="array" ref="E6324">IFS(D6324&lt;=$G$3,'calculated data '!$A$3,D6324&lt;=$G$4,'calculated data '!$A$4,D6324&lt;=$G$6,'calculated data '!$A$5,D6324&gt;=$G$6,'calculated data '!$A$6)</f>
        <v>Target Market (Core IQR)</v>
      </c>
      <c r="F6324" s="10">
        <f t="shared" si="1"/>
        <v>-0.2291474452</v>
      </c>
    </row>
    <row r="6325" ht="14.25" customHeight="1">
      <c r="A6325" s="2" t="s">
        <v>28</v>
      </c>
      <c r="B6325" s="2" t="s">
        <v>29</v>
      </c>
      <c r="C6325" s="2">
        <v>1984.0</v>
      </c>
      <c r="D6325" s="9">
        <v>16406.475</v>
      </c>
      <c r="E6325" s="10" t="str">
        <f t="array" ref="E6325">IFS(D6325&lt;=$G$3,'calculated data '!$A$3,D6325&lt;=$G$4,'calculated data '!$A$4,D6325&lt;=$G$6,'calculated data '!$A$5,D6325&gt;=$G$6,'calculated data '!$A$6)</f>
        <v>Target Market (Core IQR)</v>
      </c>
      <c r="F6325" s="10">
        <f t="shared" si="1"/>
        <v>-0.2288961679</v>
      </c>
    </row>
    <row r="6326" ht="14.25" customHeight="1">
      <c r="A6326" s="2" t="s">
        <v>301</v>
      </c>
      <c r="B6326" s="2" t="s">
        <v>302</v>
      </c>
      <c r="C6326" s="2">
        <v>1991.0</v>
      </c>
      <c r="D6326" s="9">
        <v>16407.592</v>
      </c>
      <c r="E6326" s="10" t="str">
        <f t="array" ref="E6326">IFS(D6326&lt;=$G$3,'calculated data '!$A$3,D6326&lt;=$G$4,'calculated data '!$A$4,D6326&lt;=$G$6,'calculated data '!$A$5,D6326&gt;=$G$6,'calculated data '!$A$6)</f>
        <v>Target Market (Core IQR)</v>
      </c>
      <c r="F6326" s="10">
        <f t="shared" si="1"/>
        <v>-0.2288666012</v>
      </c>
    </row>
    <row r="6327" ht="14.25" customHeight="1">
      <c r="A6327" s="2" t="s">
        <v>127</v>
      </c>
      <c r="B6327" s="2" t="s">
        <v>128</v>
      </c>
      <c r="C6327" s="2">
        <v>2024.0</v>
      </c>
      <c r="D6327" s="9">
        <v>16416.217</v>
      </c>
      <c r="E6327" s="10" t="str">
        <f t="array" ref="E6327">IFS(D6327&lt;=$G$3,'calculated data '!$A$3,D6327&lt;=$G$4,'calculated data '!$A$4,D6327&lt;=$G$6,'calculated data '!$A$5,D6327&gt;=$G$6,'calculated data '!$A$6)</f>
        <v>Target Market (Core IQR)</v>
      </c>
      <c r="F6327" s="10">
        <f t="shared" si="1"/>
        <v>-0.2286382996</v>
      </c>
    </row>
    <row r="6328" ht="14.25" customHeight="1">
      <c r="A6328" s="2" t="s">
        <v>99</v>
      </c>
      <c r="B6328" s="2" t="s">
        <v>100</v>
      </c>
      <c r="C6328" s="2">
        <v>2013.0</v>
      </c>
      <c r="D6328" s="9">
        <v>16418.617</v>
      </c>
      <c r="E6328" s="10" t="str">
        <f t="array" ref="E6328">IFS(D6328&lt;=$G$3,'calculated data '!$A$3,D6328&lt;=$G$4,'calculated data '!$A$4,D6328&lt;=$G$6,'calculated data '!$A$5,D6328&gt;=$G$6,'calculated data '!$A$6)</f>
        <v>Target Market (Core IQR)</v>
      </c>
      <c r="F6328" s="10">
        <f t="shared" si="1"/>
        <v>-0.2285747722</v>
      </c>
    </row>
    <row r="6329" ht="14.25" customHeight="1">
      <c r="A6329" s="2" t="s">
        <v>357</v>
      </c>
      <c r="B6329" s="2" t="s">
        <v>358</v>
      </c>
      <c r="C6329" s="2">
        <v>2001.0</v>
      </c>
      <c r="D6329" s="9">
        <v>16419.816</v>
      </c>
      <c r="E6329" s="10" t="str">
        <f t="array" ref="E6329">IFS(D6329&lt;=$G$3,'calculated data '!$A$3,D6329&lt;=$G$4,'calculated data '!$A$4,D6329&lt;=$G$6,'calculated data '!$A$5,D6329&gt;=$G$6,'calculated data '!$A$6)</f>
        <v>Target Market (Core IQR)</v>
      </c>
      <c r="F6329" s="10">
        <f t="shared" si="1"/>
        <v>-0.228543035</v>
      </c>
    </row>
    <row r="6330" ht="14.25" customHeight="1">
      <c r="A6330" s="2" t="s">
        <v>57</v>
      </c>
      <c r="B6330" s="2" t="s">
        <v>58</v>
      </c>
      <c r="C6330" s="2">
        <v>1976.0</v>
      </c>
      <c r="D6330" s="9">
        <v>16424.13</v>
      </c>
      <c r="E6330" s="10" t="str">
        <f t="array" ref="E6330">IFS(D6330&lt;=$G$3,'calculated data '!$A$3,D6330&lt;=$G$4,'calculated data '!$A$4,D6330&lt;=$G$6,'calculated data '!$A$5,D6330&gt;=$G$6,'calculated data '!$A$6)</f>
        <v>Target Market (Core IQR)</v>
      </c>
      <c r="F6330" s="10">
        <f t="shared" si="1"/>
        <v>-0.2284288444</v>
      </c>
    </row>
    <row r="6331" ht="14.25" customHeight="1">
      <c r="A6331" s="2" t="s">
        <v>339</v>
      </c>
      <c r="B6331" s="2" t="s">
        <v>340</v>
      </c>
      <c r="C6331" s="2">
        <v>1996.0</v>
      </c>
      <c r="D6331" s="9">
        <v>16430.97</v>
      </c>
      <c r="E6331" s="10" t="str">
        <f t="array" ref="E6331">IFS(D6331&lt;=$G$3,'calculated data '!$A$3,D6331&lt;=$G$4,'calculated data '!$A$4,D6331&lt;=$G$6,'calculated data '!$A$5,D6331&gt;=$G$6,'calculated data '!$A$6)</f>
        <v>Target Market (Core IQR)</v>
      </c>
      <c r="F6331" s="10">
        <f t="shared" si="1"/>
        <v>-0.2282477913</v>
      </c>
    </row>
    <row r="6332" ht="14.25" customHeight="1">
      <c r="A6332" s="2" t="s">
        <v>325</v>
      </c>
      <c r="B6332" s="2" t="s">
        <v>326</v>
      </c>
      <c r="C6332" s="2">
        <v>2023.0</v>
      </c>
      <c r="D6332" s="9">
        <v>16437.85</v>
      </c>
      <c r="E6332" s="10" t="str">
        <f t="array" ref="E6332">IFS(D6332&lt;=$G$3,'calculated data '!$A$3,D6332&lt;=$G$4,'calculated data '!$A$4,D6332&lt;=$G$6,'calculated data '!$A$5,D6332&gt;=$G$6,'calculated data '!$A$6)</f>
        <v>Target Market (Core IQR)</v>
      </c>
      <c r="F6332" s="10">
        <f t="shared" si="1"/>
        <v>-0.2280656795</v>
      </c>
    </row>
    <row r="6333" ht="14.25" customHeight="1">
      <c r="A6333" s="2" t="s">
        <v>349</v>
      </c>
      <c r="B6333" s="2" t="s">
        <v>350</v>
      </c>
      <c r="C6333" s="2">
        <v>1996.0</v>
      </c>
      <c r="D6333" s="9">
        <v>16438.914</v>
      </c>
      <c r="E6333" s="10" t="str">
        <f t="array" ref="E6333">IFS(D6333&lt;=$G$3,'calculated data '!$A$3,D6333&lt;=$G$4,'calculated data '!$A$4,D6333&lt;=$G$6,'calculated data '!$A$5,D6333&gt;=$G$6,'calculated data '!$A$6)</f>
        <v>Target Market (Core IQR)</v>
      </c>
      <c r="F6333" s="10">
        <f t="shared" si="1"/>
        <v>-0.2280375156</v>
      </c>
    </row>
    <row r="6334" ht="14.25" customHeight="1">
      <c r="A6334" s="2" t="s">
        <v>301</v>
      </c>
      <c r="B6334" s="2" t="s">
        <v>302</v>
      </c>
      <c r="C6334" s="2">
        <v>1999.0</v>
      </c>
      <c r="D6334" s="9">
        <v>16439.902</v>
      </c>
      <c r="E6334" s="10" t="str">
        <f t="array" ref="E6334">IFS(D6334&lt;=$G$3,'calculated data '!$A$3,D6334&lt;=$G$4,'calculated data '!$A$4,D6334&lt;=$G$6,'calculated data '!$A$5,D6334&gt;=$G$6,'calculated data '!$A$6)</f>
        <v>Target Market (Core IQR)</v>
      </c>
      <c r="F6334" s="10">
        <f t="shared" si="1"/>
        <v>-0.2280113635</v>
      </c>
    </row>
    <row r="6335" ht="14.25" customHeight="1">
      <c r="A6335" s="2" t="s">
        <v>57</v>
      </c>
      <c r="B6335" s="2" t="s">
        <v>58</v>
      </c>
      <c r="C6335" s="2">
        <v>1981.0</v>
      </c>
      <c r="D6335" s="9">
        <v>16443.174</v>
      </c>
      <c r="E6335" s="10" t="str">
        <f t="array" ref="E6335">IFS(D6335&lt;=$G$3,'calculated data '!$A$3,D6335&lt;=$G$4,'calculated data '!$A$4,D6335&lt;=$G$6,'calculated data '!$A$5,D6335&gt;=$G$6,'calculated data '!$A$6)</f>
        <v>Target Market (Core IQR)</v>
      </c>
      <c r="F6335" s="10">
        <f t="shared" si="1"/>
        <v>-0.2279247545</v>
      </c>
    </row>
    <row r="6336" ht="14.25" customHeight="1">
      <c r="A6336" s="2" t="s">
        <v>349</v>
      </c>
      <c r="B6336" s="2" t="s">
        <v>350</v>
      </c>
      <c r="C6336" s="2">
        <v>2017.0</v>
      </c>
      <c r="D6336" s="9">
        <v>16445.826</v>
      </c>
      <c r="E6336" s="10" t="str">
        <f t="array" ref="E6336">IFS(D6336&lt;=$G$3,'calculated data '!$A$3,D6336&lt;=$G$4,'calculated data '!$A$4,D6336&lt;=$G$6,'calculated data '!$A$5,D6336&gt;=$G$6,'calculated data '!$A$6)</f>
        <v>Target Market (Core IQR)</v>
      </c>
      <c r="F6336" s="10">
        <f t="shared" si="1"/>
        <v>-0.2278545567</v>
      </c>
    </row>
    <row r="6337" ht="14.25" customHeight="1">
      <c r="A6337" s="2" t="s">
        <v>349</v>
      </c>
      <c r="B6337" s="2" t="s">
        <v>350</v>
      </c>
      <c r="C6337" s="2">
        <v>2008.0</v>
      </c>
      <c r="D6337" s="9">
        <v>16451.91</v>
      </c>
      <c r="E6337" s="10" t="str">
        <f t="array" ref="E6337">IFS(D6337&lt;=$G$3,'calculated data '!$A$3,D6337&lt;=$G$4,'calculated data '!$A$4,D6337&lt;=$G$6,'calculated data '!$A$5,D6337&gt;=$G$6,'calculated data '!$A$6)</f>
        <v>Target Market (Core IQR)</v>
      </c>
      <c r="F6337" s="10">
        <f t="shared" si="1"/>
        <v>-0.2276935148</v>
      </c>
    </row>
    <row r="6338" ht="14.25" customHeight="1">
      <c r="A6338" s="2" t="s">
        <v>273</v>
      </c>
      <c r="B6338" s="2" t="s">
        <v>274</v>
      </c>
      <c r="C6338" s="2">
        <v>1983.0</v>
      </c>
      <c r="D6338" s="9">
        <v>16453.252</v>
      </c>
      <c r="E6338" s="10" t="str">
        <f t="array" ref="E6338">IFS(D6338&lt;=$G$3,'calculated data '!$A$3,D6338&lt;=$G$4,'calculated data '!$A$4,D6338&lt;=$G$6,'calculated data '!$A$5,D6338&gt;=$G$6,'calculated data '!$A$6)</f>
        <v>Target Market (Core IQR)</v>
      </c>
      <c r="F6338" s="10">
        <f t="shared" si="1"/>
        <v>-0.2276579924</v>
      </c>
    </row>
    <row r="6339" ht="14.25" customHeight="1">
      <c r="A6339" s="2" t="s">
        <v>233</v>
      </c>
      <c r="B6339" s="2" t="s">
        <v>234</v>
      </c>
      <c r="C6339" s="2">
        <v>1995.0</v>
      </c>
      <c r="D6339" s="9">
        <v>16458.209</v>
      </c>
      <c r="E6339" s="10" t="str">
        <f t="array" ref="E6339">IFS(D6339&lt;=$G$3,'calculated data '!$A$3,D6339&lt;=$G$4,'calculated data '!$A$4,D6339&lt;=$G$6,'calculated data '!$A$5,D6339&gt;=$G$6,'calculated data '!$A$6)</f>
        <v>Target Market (Core IQR)</v>
      </c>
      <c r="F6339" s="10">
        <f t="shared" si="1"/>
        <v>-0.2275267818</v>
      </c>
    </row>
    <row r="6340" ht="14.25" customHeight="1">
      <c r="A6340" s="2" t="s">
        <v>57</v>
      </c>
      <c r="B6340" s="2" t="s">
        <v>58</v>
      </c>
      <c r="C6340" s="2">
        <v>1984.0</v>
      </c>
      <c r="D6340" s="9">
        <v>16460.324</v>
      </c>
      <c r="E6340" s="10" t="str">
        <f t="array" ref="E6340">IFS(D6340&lt;=$G$3,'calculated data '!$A$3,D6340&lt;=$G$4,'calculated data '!$A$4,D6340&lt;=$G$6,'calculated data '!$A$5,D6340&gt;=$G$6,'calculated data '!$A$6)</f>
        <v>Target Market (Core IQR)</v>
      </c>
      <c r="F6340" s="10">
        <f t="shared" si="1"/>
        <v>-0.2274707983</v>
      </c>
    </row>
    <row r="6341" ht="14.25" customHeight="1">
      <c r="A6341" s="2" t="s">
        <v>339</v>
      </c>
      <c r="B6341" s="2" t="s">
        <v>340</v>
      </c>
      <c r="C6341" s="2">
        <v>2015.0</v>
      </c>
      <c r="D6341" s="9">
        <v>16460.896</v>
      </c>
      <c r="E6341" s="10" t="str">
        <f t="array" ref="E6341">IFS(D6341&lt;=$G$3,'calculated data '!$A$3,D6341&lt;=$G$4,'calculated data '!$A$4,D6341&lt;=$G$6,'calculated data '!$A$5,D6341&gt;=$G$6,'calculated data '!$A$6)</f>
        <v>Target Market (Core IQR)</v>
      </c>
      <c r="F6341" s="10">
        <f t="shared" si="1"/>
        <v>-0.2274556576</v>
      </c>
    </row>
    <row r="6342" ht="14.25" customHeight="1">
      <c r="A6342" s="2" t="s">
        <v>301</v>
      </c>
      <c r="B6342" s="2" t="s">
        <v>302</v>
      </c>
      <c r="C6342" s="2">
        <v>2025.0</v>
      </c>
      <c r="D6342" s="9">
        <v>16481.285</v>
      </c>
      <c r="E6342" s="10" t="str">
        <f t="array" ref="E6342">IFS(D6342&lt;=$G$3,'calculated data '!$A$3,D6342&lt;=$G$4,'calculated data '!$A$4,D6342&lt;=$G$6,'calculated data '!$A$5,D6342&gt;=$G$6,'calculated data '!$A$6)</f>
        <v>Target Market (Core IQR)</v>
      </c>
      <c r="F6342" s="10">
        <f t="shared" si="1"/>
        <v>-0.2269159658</v>
      </c>
    </row>
    <row r="6343" ht="14.25" customHeight="1">
      <c r="A6343" s="2" t="s">
        <v>327</v>
      </c>
      <c r="B6343" s="2" t="s">
        <v>328</v>
      </c>
      <c r="C6343" s="2">
        <v>2002.0</v>
      </c>
      <c r="D6343" s="9">
        <v>16495.219</v>
      </c>
      <c r="E6343" s="10" t="str">
        <f t="array" ref="E6343">IFS(D6343&lt;=$G$3,'calculated data '!$A$3,D6343&lt;=$G$4,'calculated data '!$A$4,D6343&lt;=$G$6,'calculated data '!$A$5,D6343&gt;=$G$6,'calculated data '!$A$6)</f>
        <v>Target Market (Core IQR)</v>
      </c>
      <c r="F6343" s="10">
        <f t="shared" si="1"/>
        <v>-0.2265471363</v>
      </c>
    </row>
    <row r="6344" ht="14.25" customHeight="1">
      <c r="A6344" s="2" t="s">
        <v>301</v>
      </c>
      <c r="B6344" s="2" t="s">
        <v>302</v>
      </c>
      <c r="C6344" s="2">
        <v>2003.0</v>
      </c>
      <c r="D6344" s="9">
        <v>16498.715</v>
      </c>
      <c r="E6344" s="10" t="str">
        <f t="array" ref="E6344">IFS(D6344&lt;=$G$3,'calculated data '!$A$3,D6344&lt;=$G$4,'calculated data '!$A$4,D6344&lt;=$G$6,'calculated data '!$A$5,D6344&gt;=$G$6,'calculated data '!$A$6)</f>
        <v>Target Market (Core IQR)</v>
      </c>
      <c r="F6344" s="10">
        <f t="shared" si="1"/>
        <v>-0.2264545981</v>
      </c>
    </row>
    <row r="6345" ht="14.25" customHeight="1">
      <c r="A6345" s="2" t="s">
        <v>247</v>
      </c>
      <c r="B6345" s="2" t="s">
        <v>248</v>
      </c>
      <c r="C6345" s="2">
        <v>2017.0</v>
      </c>
      <c r="D6345" s="9">
        <v>16501.904</v>
      </c>
      <c r="E6345" s="10" t="str">
        <f t="array" ref="E6345">IFS(D6345&lt;=$G$3,'calculated data '!$A$3,D6345&lt;=$G$4,'calculated data '!$A$4,D6345&lt;=$G$6,'calculated data '!$A$5,D6345&gt;=$G$6,'calculated data '!$A$6)</f>
        <v>Target Market (Core IQR)</v>
      </c>
      <c r="F6345" s="10">
        <f t="shared" si="1"/>
        <v>-0.226370186</v>
      </c>
    </row>
    <row r="6346" ht="14.25" customHeight="1">
      <c r="A6346" s="2" t="s">
        <v>323</v>
      </c>
      <c r="B6346" s="2" t="s">
        <v>324</v>
      </c>
      <c r="C6346" s="2">
        <v>1999.0</v>
      </c>
      <c r="D6346" s="9">
        <v>16516.43</v>
      </c>
      <c r="E6346" s="10" t="str">
        <f t="array" ref="E6346">IFS(D6346&lt;=$G$3,'calculated data '!$A$3,D6346&lt;=$G$4,'calculated data '!$A$4,D6346&lt;=$G$6,'calculated data '!$A$5,D6346&gt;=$G$6,'calculated data '!$A$6)</f>
        <v>Target Market (Core IQR)</v>
      </c>
      <c r="F6346" s="10">
        <f t="shared" si="1"/>
        <v>-0.2259856864</v>
      </c>
    </row>
    <row r="6347" ht="14.25" customHeight="1">
      <c r="A6347" s="2" t="s">
        <v>327</v>
      </c>
      <c r="B6347" s="2" t="s">
        <v>328</v>
      </c>
      <c r="C6347" s="2">
        <v>2008.0</v>
      </c>
      <c r="D6347" s="9">
        <v>16516.637</v>
      </c>
      <c r="E6347" s="10" t="str">
        <f t="array" ref="E6347">IFS(D6347&lt;=$G$3,'calculated data '!$A$3,D6347&lt;=$G$4,'calculated data '!$A$4,D6347&lt;=$G$6,'calculated data '!$A$5,D6347&gt;=$G$6,'calculated data '!$A$6)</f>
        <v>Target Market (Core IQR)</v>
      </c>
      <c r="F6347" s="10">
        <f t="shared" si="1"/>
        <v>-0.2259802072</v>
      </c>
    </row>
    <row r="6348" ht="14.25" customHeight="1">
      <c r="A6348" s="2" t="s">
        <v>357</v>
      </c>
      <c r="B6348" s="2" t="s">
        <v>358</v>
      </c>
      <c r="C6348" s="2">
        <v>1979.0</v>
      </c>
      <c r="D6348" s="9">
        <v>16519.184</v>
      </c>
      <c r="E6348" s="10" t="str">
        <f t="array" ref="E6348">IFS(D6348&lt;=$G$3,'calculated data '!$A$3,D6348&lt;=$G$4,'calculated data '!$A$4,D6348&lt;=$G$6,'calculated data '!$A$5,D6348&gt;=$G$6,'calculated data '!$A$6)</f>
        <v>Target Market (Core IQR)</v>
      </c>
      <c r="F6348" s="10">
        <f t="shared" si="1"/>
        <v>-0.2259127887</v>
      </c>
    </row>
    <row r="6349" ht="14.25" customHeight="1">
      <c r="A6349" s="2" t="s">
        <v>313</v>
      </c>
      <c r="B6349" s="2" t="s">
        <v>314</v>
      </c>
      <c r="C6349" s="2">
        <v>1998.0</v>
      </c>
      <c r="D6349" s="9">
        <v>16532.4</v>
      </c>
      <c r="E6349" s="10" t="str">
        <f t="array" ref="E6349">IFS(D6349&lt;=$G$3,'calculated data '!$A$3,D6349&lt;=$G$4,'calculated data '!$A$4,D6349&lt;=$G$6,'calculated data '!$A$5,D6349&gt;=$G$6,'calculated data '!$A$6)</f>
        <v>Target Market (Core IQR)</v>
      </c>
      <c r="F6349" s="10">
        <f t="shared" si="1"/>
        <v>-0.2255629645</v>
      </c>
    </row>
    <row r="6350" ht="14.25" customHeight="1">
      <c r="A6350" s="2" t="s">
        <v>357</v>
      </c>
      <c r="B6350" s="2" t="s">
        <v>358</v>
      </c>
      <c r="C6350" s="2">
        <v>1995.0</v>
      </c>
      <c r="D6350" s="9">
        <v>16541.969</v>
      </c>
      <c r="E6350" s="10" t="str">
        <f t="array" ref="E6350">IFS(D6350&lt;=$G$3,'calculated data '!$A$3,D6350&lt;=$G$4,'calculated data '!$A$4,D6350&lt;=$G$6,'calculated data '!$A$5,D6350&gt;=$G$6,'calculated data '!$A$6)</f>
        <v>Target Market (Core IQR)</v>
      </c>
      <c r="F6350" s="10">
        <f t="shared" si="1"/>
        <v>-0.2253096755</v>
      </c>
    </row>
    <row r="6351" ht="14.25" customHeight="1">
      <c r="A6351" s="2" t="s">
        <v>327</v>
      </c>
      <c r="B6351" s="2" t="s">
        <v>328</v>
      </c>
      <c r="C6351" s="2">
        <v>1997.0</v>
      </c>
      <c r="D6351" s="9">
        <v>16546.428</v>
      </c>
      <c r="E6351" s="10" t="str">
        <f t="array" ref="E6351">IFS(D6351&lt;=$G$3,'calculated data '!$A$3,D6351&lt;=$G$4,'calculated data '!$A$4,D6351&lt;=$G$6,'calculated data '!$A$5,D6351&gt;=$G$6,'calculated data '!$A$6)</f>
        <v>Target Market (Core IQR)</v>
      </c>
      <c r="F6351" s="10">
        <f t="shared" si="1"/>
        <v>-0.2251916468</v>
      </c>
    </row>
    <row r="6352" ht="14.25" customHeight="1">
      <c r="A6352" s="2" t="s">
        <v>229</v>
      </c>
      <c r="B6352" s="2" t="s">
        <v>230</v>
      </c>
      <c r="C6352" s="2">
        <v>2017.0</v>
      </c>
      <c r="D6352" s="9">
        <v>16556.791</v>
      </c>
      <c r="E6352" s="10" t="str">
        <f t="array" ref="E6352">IFS(D6352&lt;=$G$3,'calculated data '!$A$3,D6352&lt;=$G$4,'calculated data '!$A$4,D6352&lt;=$G$6,'calculated data '!$A$5,D6352&gt;=$G$6,'calculated data '!$A$6)</f>
        <v>Target Market (Core IQR)</v>
      </c>
      <c r="F6352" s="10">
        <f t="shared" si="1"/>
        <v>-0.2249173408</v>
      </c>
    </row>
    <row r="6353" ht="14.25" customHeight="1">
      <c r="A6353" s="2" t="s">
        <v>71</v>
      </c>
      <c r="B6353" s="2" t="s">
        <v>72</v>
      </c>
      <c r="C6353" s="2">
        <v>1975.0</v>
      </c>
      <c r="D6353" s="9">
        <v>16568.465</v>
      </c>
      <c r="E6353" s="10" t="str">
        <f t="array" ref="E6353">IFS(D6353&lt;=$G$3,'calculated data '!$A$3,D6353&lt;=$G$4,'calculated data '!$A$4,D6353&lt;=$G$6,'calculated data '!$A$5,D6353&gt;=$G$6,'calculated data '!$A$6)</f>
        <v>Target Market (Core IQR)</v>
      </c>
      <c r="F6353" s="10">
        <f t="shared" si="1"/>
        <v>-0.2246083329</v>
      </c>
    </row>
    <row r="6354" ht="14.25" customHeight="1">
      <c r="A6354" s="2" t="s">
        <v>327</v>
      </c>
      <c r="B6354" s="2" t="s">
        <v>328</v>
      </c>
      <c r="C6354" s="2">
        <v>2004.0</v>
      </c>
      <c r="D6354" s="9">
        <v>16572.15</v>
      </c>
      <c r="E6354" s="10" t="str">
        <f t="array" ref="E6354">IFS(D6354&lt;=$G$3,'calculated data '!$A$3,D6354&lt;=$G$4,'calculated data '!$A$4,D6354&lt;=$G$6,'calculated data '!$A$5,D6354&gt;=$G$6,'calculated data '!$A$6)</f>
        <v>Target Market (Core IQR)</v>
      </c>
      <c r="F6354" s="10">
        <f t="shared" si="1"/>
        <v>-0.2245107919</v>
      </c>
    </row>
    <row r="6355" ht="14.25" customHeight="1">
      <c r="A6355" s="2" t="s">
        <v>327</v>
      </c>
      <c r="B6355" s="2" t="s">
        <v>328</v>
      </c>
      <c r="C6355" s="2">
        <v>2000.0</v>
      </c>
      <c r="D6355" s="9">
        <v>16599.863</v>
      </c>
      <c r="E6355" s="10" t="str">
        <f t="array" ref="E6355">IFS(D6355&lt;=$G$3,'calculated data '!$A$3,D6355&lt;=$G$4,'calculated data '!$A$4,D6355&lt;=$G$6,'calculated data '!$A$5,D6355&gt;=$G$6,'calculated data '!$A$6)</f>
        <v>Target Market (Core IQR)</v>
      </c>
      <c r="F6355" s="10">
        <f t="shared" si="1"/>
        <v>-0.2237772357</v>
      </c>
    </row>
    <row r="6356" ht="14.25" customHeight="1">
      <c r="A6356" s="2" t="s">
        <v>291</v>
      </c>
      <c r="B6356" s="2" t="s">
        <v>292</v>
      </c>
      <c r="C6356" s="2">
        <v>2005.0</v>
      </c>
      <c r="D6356" s="9">
        <v>16605.646</v>
      </c>
      <c r="E6356" s="10" t="str">
        <f t="array" ref="E6356">IFS(D6356&lt;=$G$3,'calculated data '!$A$3,D6356&lt;=$G$4,'calculated data '!$A$4,D6356&lt;=$G$6,'calculated data '!$A$5,D6356&gt;=$G$6,'calculated data '!$A$6)</f>
        <v>Target Market (Core IQR)</v>
      </c>
      <c r="F6356" s="10">
        <f t="shared" si="1"/>
        <v>-0.2236241611</v>
      </c>
    </row>
    <row r="6357" ht="14.25" customHeight="1">
      <c r="A6357" s="2" t="s">
        <v>361</v>
      </c>
      <c r="B6357" s="2" t="s">
        <v>362</v>
      </c>
      <c r="C6357" s="2">
        <v>1995.0</v>
      </c>
      <c r="D6357" s="9">
        <v>16609.873</v>
      </c>
      <c r="E6357" s="10" t="str">
        <f t="array" ref="E6357">IFS(D6357&lt;=$G$3,'calculated data '!$A$3,D6357&lt;=$G$4,'calculated data '!$A$4,D6357&lt;=$G$6,'calculated data '!$A$5,D6357&gt;=$G$6,'calculated data '!$A$6)</f>
        <v>Target Market (Core IQR)</v>
      </c>
      <c r="F6357" s="10">
        <f t="shared" si="1"/>
        <v>-0.2235122735</v>
      </c>
    </row>
    <row r="6358" ht="14.25" customHeight="1">
      <c r="A6358" s="2" t="s">
        <v>57</v>
      </c>
      <c r="B6358" s="2" t="s">
        <v>58</v>
      </c>
      <c r="C6358" s="2">
        <v>1985.0</v>
      </c>
      <c r="D6358" s="9">
        <v>16614.912</v>
      </c>
      <c r="E6358" s="10" t="str">
        <f t="array" ref="E6358">IFS(D6358&lt;=$G$3,'calculated data '!$A$3,D6358&lt;=$G$4,'calculated data '!$A$4,D6358&lt;=$G$6,'calculated data '!$A$5,D6358&gt;=$G$6,'calculated data '!$A$6)</f>
        <v>Target Market (Core IQR)</v>
      </c>
      <c r="F6358" s="10">
        <f t="shared" si="1"/>
        <v>-0.2233788924</v>
      </c>
    </row>
    <row r="6359" ht="14.25" customHeight="1">
      <c r="A6359" s="2" t="s">
        <v>301</v>
      </c>
      <c r="B6359" s="2" t="s">
        <v>302</v>
      </c>
      <c r="C6359" s="2">
        <v>2002.0</v>
      </c>
      <c r="D6359" s="9">
        <v>16615.45</v>
      </c>
      <c r="E6359" s="10" t="str">
        <f t="array" ref="E6359">IFS(D6359&lt;=$G$3,'calculated data '!$A$3,D6359&lt;=$G$4,'calculated data '!$A$4,D6359&lt;=$G$6,'calculated data '!$A$5,D6359&gt;=$G$6,'calculated data '!$A$6)</f>
        <v>Target Market (Core IQR)</v>
      </c>
      <c r="F6359" s="10">
        <f t="shared" si="1"/>
        <v>-0.2233646517</v>
      </c>
    </row>
    <row r="6360" ht="14.25" customHeight="1">
      <c r="A6360" s="2" t="s">
        <v>349</v>
      </c>
      <c r="B6360" s="2" t="s">
        <v>350</v>
      </c>
      <c r="C6360" s="2">
        <v>2007.0</v>
      </c>
      <c r="D6360" s="9">
        <v>16622.727</v>
      </c>
      <c r="E6360" s="10" t="str">
        <f t="array" ref="E6360">IFS(D6360&lt;=$G$3,'calculated data '!$A$3,D6360&lt;=$G$4,'calculated data '!$A$4,D6360&lt;=$G$6,'calculated data '!$A$5,D6360&gt;=$G$6,'calculated data '!$A$6)</f>
        <v>Target Market (Core IQR)</v>
      </c>
      <c r="F6360" s="10">
        <f t="shared" si="1"/>
        <v>-0.2231720313</v>
      </c>
    </row>
    <row r="6361" ht="14.25" customHeight="1">
      <c r="A6361" s="2" t="s">
        <v>367</v>
      </c>
      <c r="B6361" s="2" t="s">
        <v>368</v>
      </c>
      <c r="C6361" s="2">
        <v>2023.0</v>
      </c>
      <c r="D6361" s="9">
        <v>16641.146</v>
      </c>
      <c r="E6361" s="10" t="str">
        <f t="array" ref="E6361">IFS(D6361&lt;=$G$3,'calculated data '!$A$3,D6361&lt;=$G$4,'calculated data '!$A$4,D6361&lt;=$G$6,'calculated data '!$A$5,D6361&gt;=$G$6,'calculated data '!$A$6)</f>
        <v>Target Market (Core IQR)</v>
      </c>
      <c r="F6361" s="10">
        <f t="shared" si="1"/>
        <v>-0.222684485</v>
      </c>
    </row>
    <row r="6362" ht="14.25" customHeight="1">
      <c r="A6362" s="2" t="s">
        <v>127</v>
      </c>
      <c r="B6362" s="2" t="s">
        <v>128</v>
      </c>
      <c r="C6362" s="2">
        <v>2018.0</v>
      </c>
      <c r="D6362" s="9">
        <v>16651.627</v>
      </c>
      <c r="E6362" s="10" t="str">
        <f t="array" ref="E6362">IFS(D6362&lt;=$G$3,'calculated data '!$A$3,D6362&lt;=$G$4,'calculated data '!$A$4,D6362&lt;=$G$6,'calculated data '!$A$5,D6362&gt;=$G$6,'calculated data '!$A$6)</f>
        <v>Target Market (Core IQR)</v>
      </c>
      <c r="F6362" s="10">
        <f t="shared" si="1"/>
        <v>-0.2224070555</v>
      </c>
    </row>
    <row r="6363" ht="14.25" customHeight="1">
      <c r="A6363" s="2" t="s">
        <v>303</v>
      </c>
      <c r="B6363" s="2" t="s">
        <v>304</v>
      </c>
      <c r="C6363" s="2">
        <v>2013.0</v>
      </c>
      <c r="D6363" s="9">
        <v>16651.838</v>
      </c>
      <c r="E6363" s="10" t="str">
        <f t="array" ref="E6363">IFS(D6363&lt;=$G$3,'calculated data '!$A$3,D6363&lt;=$G$4,'calculated data '!$A$4,D6363&lt;=$G$6,'calculated data '!$A$5,D6363&gt;=$G$6,'calculated data '!$A$6)</f>
        <v>Target Market (Core IQR)</v>
      </c>
      <c r="F6363" s="10">
        <f t="shared" si="1"/>
        <v>-0.2224014704</v>
      </c>
    </row>
    <row r="6364" ht="14.25" customHeight="1">
      <c r="A6364" s="2" t="s">
        <v>339</v>
      </c>
      <c r="B6364" s="2" t="s">
        <v>340</v>
      </c>
      <c r="C6364" s="2">
        <v>1997.0</v>
      </c>
      <c r="D6364" s="9">
        <v>16653.143</v>
      </c>
      <c r="E6364" s="10" t="str">
        <f t="array" ref="E6364">IFS(D6364&lt;=$G$3,'calculated data '!$A$3,D6364&lt;=$G$4,'calculated data '!$A$4,D6364&lt;=$G$6,'calculated data '!$A$5,D6364&gt;=$G$6,'calculated data '!$A$6)</f>
        <v>Target Market (Core IQR)</v>
      </c>
      <c r="F6364" s="10">
        <f t="shared" si="1"/>
        <v>-0.2223669274</v>
      </c>
    </row>
    <row r="6365" ht="14.25" customHeight="1">
      <c r="A6365" s="2" t="s">
        <v>291</v>
      </c>
      <c r="B6365" s="2" t="s">
        <v>292</v>
      </c>
      <c r="C6365" s="2">
        <v>2003.0</v>
      </c>
      <c r="D6365" s="9">
        <v>16663.97</v>
      </c>
      <c r="E6365" s="10" t="str">
        <f t="array" ref="E6365">IFS(D6365&lt;=$G$3,'calculated data '!$A$3,D6365&lt;=$G$4,'calculated data '!$A$4,D6365&lt;=$G$6,'calculated data '!$A$5,D6365&gt;=$G$6,'calculated data '!$A$6)</f>
        <v>Target Market (Core IQR)</v>
      </c>
      <c r="F6365" s="10">
        <f t="shared" si="1"/>
        <v>-0.2220803394</v>
      </c>
    </row>
    <row r="6366" ht="14.25" customHeight="1">
      <c r="A6366" s="2" t="s">
        <v>301</v>
      </c>
      <c r="B6366" s="2" t="s">
        <v>302</v>
      </c>
      <c r="C6366" s="2">
        <v>1998.0</v>
      </c>
      <c r="D6366" s="9">
        <v>16670.137</v>
      </c>
      <c r="E6366" s="10" t="str">
        <f t="array" ref="E6366">IFS(D6366&lt;=$G$3,'calculated data '!$A$3,D6366&lt;=$G$4,'calculated data '!$A$4,D6366&lt;=$G$6,'calculated data '!$A$5,D6366&gt;=$G$6,'calculated data '!$A$6)</f>
        <v>Target Market (Core IQR)</v>
      </c>
      <c r="F6366" s="10">
        <f t="shared" si="1"/>
        <v>-0.2219171004</v>
      </c>
    </row>
    <row r="6367" ht="14.25" customHeight="1">
      <c r="A6367" s="2" t="s">
        <v>369</v>
      </c>
      <c r="B6367" s="2" t="s">
        <v>370</v>
      </c>
      <c r="C6367" s="2">
        <v>1965.0</v>
      </c>
      <c r="D6367" s="9">
        <v>16676.975</v>
      </c>
      <c r="E6367" s="10" t="str">
        <f t="array" ref="E6367">IFS(D6367&lt;=$G$3,'calculated data '!$A$3,D6367&lt;=$G$4,'calculated data '!$A$4,D6367&lt;=$G$6,'calculated data '!$A$5,D6367&gt;=$G$6,'calculated data '!$A$6)</f>
        <v>Target Market (Core IQR)</v>
      </c>
      <c r="F6367" s="10">
        <f t="shared" si="1"/>
        <v>-0.2217361003</v>
      </c>
    </row>
    <row r="6368" ht="14.25" customHeight="1">
      <c r="A6368" s="2" t="s">
        <v>273</v>
      </c>
      <c r="B6368" s="2" t="s">
        <v>274</v>
      </c>
      <c r="C6368" s="2">
        <v>1984.0</v>
      </c>
      <c r="D6368" s="9">
        <v>16683.229</v>
      </c>
      <c r="E6368" s="10" t="str">
        <f t="array" ref="E6368">IFS(D6368&lt;=$G$3,'calculated data '!$A$3,D6368&lt;=$G$4,'calculated data '!$A$4,D6368&lt;=$G$6,'calculated data '!$A$5,D6368&gt;=$G$6,'calculated data '!$A$6)</f>
        <v>Target Market (Core IQR)</v>
      </c>
      <c r="F6368" s="10">
        <f t="shared" si="1"/>
        <v>-0.2215705584</v>
      </c>
    </row>
    <row r="6369" ht="14.25" customHeight="1">
      <c r="A6369" s="2" t="s">
        <v>367</v>
      </c>
      <c r="B6369" s="2" t="s">
        <v>368</v>
      </c>
      <c r="C6369" s="2">
        <v>2024.0</v>
      </c>
      <c r="D6369" s="9">
        <v>16686.729</v>
      </c>
      <c r="E6369" s="10" t="str">
        <f t="array" ref="E6369">IFS(D6369&lt;=$G$3,'calculated data '!$A$3,D6369&lt;=$G$4,'calculated data '!$A$4,D6369&lt;=$G$6,'calculated data '!$A$5,D6369&gt;=$G$6,'calculated data '!$A$6)</f>
        <v>Target Market (Core IQR)</v>
      </c>
      <c r="F6369" s="10">
        <f t="shared" si="1"/>
        <v>-0.2214779143</v>
      </c>
    </row>
    <row r="6370" ht="14.25" customHeight="1">
      <c r="A6370" s="2" t="s">
        <v>57</v>
      </c>
      <c r="B6370" s="2" t="s">
        <v>58</v>
      </c>
      <c r="C6370" s="2">
        <v>1986.0</v>
      </c>
      <c r="D6370" s="9">
        <v>16691.162</v>
      </c>
      <c r="E6370" s="10" t="str">
        <f t="array" ref="E6370">IFS(D6370&lt;=$G$3,'calculated data '!$A$3,D6370&lt;=$G$4,'calculated data '!$A$4,D6370&lt;=$G$6,'calculated data '!$A$5,D6370&gt;=$G$6,'calculated data '!$A$6)</f>
        <v>Target Market (Core IQR)</v>
      </c>
      <c r="F6370" s="10">
        <f t="shared" si="1"/>
        <v>-0.2213605739</v>
      </c>
    </row>
    <row r="6371" ht="14.25" customHeight="1">
      <c r="A6371" s="2" t="s">
        <v>207</v>
      </c>
      <c r="B6371" s="2" t="s">
        <v>208</v>
      </c>
      <c r="C6371" s="2">
        <v>2024.0</v>
      </c>
      <c r="D6371" s="9">
        <v>16692.586</v>
      </c>
      <c r="E6371" s="10" t="str">
        <f t="array" ref="E6371">IFS(D6371&lt;=$G$3,'calculated data '!$A$3,D6371&lt;=$G$4,'calculated data '!$A$4,D6371&lt;=$G$6,'calculated data '!$A$5,D6371&gt;=$G$6,'calculated data '!$A$6)</f>
        <v>Target Market (Core IQR)</v>
      </c>
      <c r="F6371" s="10">
        <f t="shared" si="1"/>
        <v>-0.221322881</v>
      </c>
    </row>
    <row r="6372" ht="14.25" customHeight="1">
      <c r="A6372" s="2" t="s">
        <v>241</v>
      </c>
      <c r="B6372" s="2" t="s">
        <v>242</v>
      </c>
      <c r="C6372" s="2">
        <v>2011.0</v>
      </c>
      <c r="D6372" s="9">
        <v>16704.727</v>
      </c>
      <c r="E6372" s="10" t="str">
        <f t="array" ref="E6372">IFS(D6372&lt;=$G$3,'calculated data '!$A$3,D6372&lt;=$G$4,'calculated data '!$A$4,D6372&lt;=$G$6,'calculated data '!$A$5,D6372&gt;=$G$6,'calculated data '!$A$6)</f>
        <v>Target Market (Core IQR)</v>
      </c>
      <c r="F6372" s="10">
        <f t="shared" si="1"/>
        <v>-0.2210015117</v>
      </c>
    </row>
    <row r="6373" ht="14.25" customHeight="1">
      <c r="A6373" s="2" t="s">
        <v>31</v>
      </c>
      <c r="B6373" s="2" t="s">
        <v>32</v>
      </c>
      <c r="C6373" s="2">
        <v>1993.0</v>
      </c>
      <c r="D6373" s="9">
        <v>16709.176</v>
      </c>
      <c r="E6373" s="10" t="str">
        <f t="array" ref="E6373">IFS(D6373&lt;=$G$3,'calculated data '!$A$3,D6373&lt;=$G$4,'calculated data '!$A$4,D6373&lt;=$G$6,'calculated data '!$A$5,D6373&gt;=$G$6,'calculated data '!$A$6)</f>
        <v>Target Market (Core IQR)</v>
      </c>
      <c r="F6373" s="10">
        <f t="shared" si="1"/>
        <v>-0.2208837478</v>
      </c>
    </row>
    <row r="6374" ht="14.25" customHeight="1">
      <c r="A6374" s="2" t="s">
        <v>357</v>
      </c>
      <c r="B6374" s="2" t="s">
        <v>358</v>
      </c>
      <c r="C6374" s="2">
        <v>2003.0</v>
      </c>
      <c r="D6374" s="9">
        <v>16711.129</v>
      </c>
      <c r="E6374" s="10" t="str">
        <f t="array" ref="E6374">IFS(D6374&lt;=$G$3,'calculated data '!$A$3,D6374&lt;=$G$4,'calculated data '!$A$4,D6374&lt;=$G$6,'calculated data '!$A$5,D6374&gt;=$G$6,'calculated data '!$A$6)</f>
        <v>Target Market (Core IQR)</v>
      </c>
      <c r="F6374" s="10">
        <f t="shared" si="1"/>
        <v>-0.2208320524</v>
      </c>
    </row>
    <row r="6375" ht="14.25" customHeight="1">
      <c r="A6375" s="2" t="s">
        <v>339</v>
      </c>
      <c r="B6375" s="2" t="s">
        <v>340</v>
      </c>
      <c r="C6375" s="2">
        <v>2019.0</v>
      </c>
      <c r="D6375" s="9">
        <v>16713.479</v>
      </c>
      <c r="E6375" s="10" t="str">
        <f t="array" ref="E6375">IFS(D6375&lt;=$G$3,'calculated data '!$A$3,D6375&lt;=$G$4,'calculated data '!$A$4,D6375&lt;=$G$6,'calculated data '!$A$5,D6375&gt;=$G$6,'calculated data '!$A$6)</f>
        <v>Target Market (Core IQR)</v>
      </c>
      <c r="F6375" s="10">
        <f t="shared" si="1"/>
        <v>-0.2207698485</v>
      </c>
    </row>
    <row r="6376" ht="14.25" customHeight="1">
      <c r="A6376" s="2" t="s">
        <v>295</v>
      </c>
      <c r="B6376" s="2" t="s">
        <v>296</v>
      </c>
      <c r="C6376" s="2">
        <v>2013.0</v>
      </c>
      <c r="D6376" s="9">
        <v>16714.635</v>
      </c>
      <c r="E6376" s="10" t="str">
        <f t="array" ref="E6376">IFS(D6376&lt;=$G$3,'calculated data '!$A$3,D6376&lt;=$G$4,'calculated data '!$A$4,D6376&lt;=$G$6,'calculated data '!$A$5,D6376&gt;=$G$6,'calculated data '!$A$6)</f>
        <v>Target Market (Core IQR)</v>
      </c>
      <c r="F6376" s="10">
        <f t="shared" si="1"/>
        <v>-0.2207392494</v>
      </c>
    </row>
    <row r="6377" ht="14.25" customHeight="1">
      <c r="A6377" s="2" t="s">
        <v>291</v>
      </c>
      <c r="B6377" s="2" t="s">
        <v>292</v>
      </c>
      <c r="C6377" s="2">
        <v>2007.0</v>
      </c>
      <c r="D6377" s="9">
        <v>16722.227</v>
      </c>
      <c r="E6377" s="10" t="str">
        <f t="array" ref="E6377">IFS(D6377&lt;=$G$3,'calculated data '!$A$3,D6377&lt;=$G$4,'calculated data '!$A$4,D6377&lt;=$G$6,'calculated data '!$A$5,D6377&gt;=$G$6,'calculated data '!$A$6)</f>
        <v>Target Market (Core IQR)</v>
      </c>
      <c r="F6377" s="10">
        <f t="shared" si="1"/>
        <v>-0.2205382911</v>
      </c>
    </row>
    <row r="6378" ht="14.25" customHeight="1">
      <c r="A6378" s="2" t="s">
        <v>301</v>
      </c>
      <c r="B6378" s="2" t="s">
        <v>302</v>
      </c>
      <c r="C6378" s="2">
        <v>1994.0</v>
      </c>
      <c r="D6378" s="9">
        <v>16724.977</v>
      </c>
      <c r="E6378" s="10" t="str">
        <f t="array" ref="E6378">IFS(D6378&lt;=$G$3,'calculated data '!$A$3,D6378&lt;=$G$4,'calculated data '!$A$4,D6378&lt;=$G$6,'calculated data '!$A$5,D6378&gt;=$G$6,'calculated data '!$A$6)</f>
        <v>Target Market (Core IQR)</v>
      </c>
      <c r="F6378" s="10">
        <f t="shared" si="1"/>
        <v>-0.2204654993</v>
      </c>
    </row>
    <row r="6379" ht="14.25" customHeight="1">
      <c r="A6379" s="2" t="s">
        <v>57</v>
      </c>
      <c r="B6379" s="2" t="s">
        <v>58</v>
      </c>
      <c r="C6379" s="2">
        <v>1977.0</v>
      </c>
      <c r="D6379" s="9">
        <v>16726.98</v>
      </c>
      <c r="E6379" s="10" t="str">
        <f t="array" ref="E6379">IFS(D6379&lt;=$G$3,'calculated data '!$A$3,D6379&lt;=$G$4,'calculated data '!$A$4,D6379&lt;=$G$6,'calculated data '!$A$5,D6379&gt;=$G$6,'calculated data '!$A$6)</f>
        <v>Target Market (Core IQR)</v>
      </c>
      <c r="F6379" s="10">
        <f t="shared" si="1"/>
        <v>-0.2204124804</v>
      </c>
    </row>
    <row r="6380" ht="14.25" customHeight="1">
      <c r="A6380" s="2" t="s">
        <v>339</v>
      </c>
      <c r="B6380" s="2" t="s">
        <v>340</v>
      </c>
      <c r="C6380" s="2">
        <v>2011.0</v>
      </c>
      <c r="D6380" s="9">
        <v>16731.12</v>
      </c>
      <c r="E6380" s="10" t="str">
        <f t="array" ref="E6380">IFS(D6380&lt;=$G$3,'calculated data '!$A$3,D6380&lt;=$G$4,'calculated data '!$A$4,D6380&lt;=$G$6,'calculated data '!$A$5,D6380&gt;=$G$6,'calculated data '!$A$6)</f>
        <v>Target Market (Core IQR)</v>
      </c>
      <c r="F6380" s="10">
        <f t="shared" si="1"/>
        <v>-0.2203028956</v>
      </c>
    </row>
    <row r="6381" ht="14.25" customHeight="1">
      <c r="A6381" s="2" t="s">
        <v>231</v>
      </c>
      <c r="B6381" s="2" t="s">
        <v>232</v>
      </c>
      <c r="C6381" s="2">
        <v>2011.0</v>
      </c>
      <c r="D6381" s="9">
        <v>16731.314</v>
      </c>
      <c r="E6381" s="10" t="str">
        <f t="array" ref="E6381">IFS(D6381&lt;=$G$3,'calculated data '!$A$3,D6381&lt;=$G$4,'calculated data '!$A$4,D6381&lt;=$G$6,'calculated data '!$A$5,D6381&gt;=$G$6,'calculated data '!$A$6)</f>
        <v>Target Market (Core IQR)</v>
      </c>
      <c r="F6381" s="10">
        <f t="shared" si="1"/>
        <v>-0.2202977605</v>
      </c>
    </row>
    <row r="6382" ht="14.25" customHeight="1">
      <c r="A6382" s="2" t="s">
        <v>301</v>
      </c>
      <c r="B6382" s="2" t="s">
        <v>302</v>
      </c>
      <c r="C6382" s="2">
        <v>2024.0</v>
      </c>
      <c r="D6382" s="9">
        <v>16732.615</v>
      </c>
      <c r="E6382" s="10" t="str">
        <f t="array" ref="E6382">IFS(D6382&lt;=$G$3,'calculated data '!$A$3,D6382&lt;=$G$4,'calculated data '!$A$4,D6382&lt;=$G$6,'calculated data '!$A$5,D6382&gt;=$G$6,'calculated data '!$A$6)</f>
        <v>Target Market (Core IQR)</v>
      </c>
      <c r="F6382" s="10">
        <f t="shared" si="1"/>
        <v>-0.2202633233</v>
      </c>
    </row>
    <row r="6383" ht="14.25" customHeight="1">
      <c r="A6383" s="2" t="s">
        <v>71</v>
      </c>
      <c r="B6383" s="2" t="s">
        <v>72</v>
      </c>
      <c r="C6383" s="2">
        <v>1977.0</v>
      </c>
      <c r="D6383" s="9">
        <v>16733.195</v>
      </c>
      <c r="E6383" s="10" t="str">
        <f t="array" ref="E6383">IFS(D6383&lt;=$G$3,'calculated data '!$A$3,D6383&lt;=$G$4,'calculated data '!$A$4,D6383&lt;=$G$6,'calculated data '!$A$5,D6383&gt;=$G$6,'calculated data '!$A$6)</f>
        <v>Target Market (Core IQR)</v>
      </c>
      <c r="F6383" s="10">
        <f t="shared" si="1"/>
        <v>-0.2202479709</v>
      </c>
    </row>
    <row r="6384" ht="14.25" customHeight="1">
      <c r="A6384" s="2" t="s">
        <v>301</v>
      </c>
      <c r="B6384" s="2" t="s">
        <v>302</v>
      </c>
      <c r="C6384" s="2">
        <v>2000.0</v>
      </c>
      <c r="D6384" s="9">
        <v>16736.297</v>
      </c>
      <c r="E6384" s="10" t="str">
        <f t="array" ref="E6384">IFS(D6384&lt;=$G$3,'calculated data '!$A$3,D6384&lt;=$G$4,'calculated data '!$A$4,D6384&lt;=$G$6,'calculated data '!$A$5,D6384&gt;=$G$6,'calculated data '!$A$6)</f>
        <v>Target Market (Core IQR)</v>
      </c>
      <c r="F6384" s="10">
        <f t="shared" si="1"/>
        <v>-0.2201658617</v>
      </c>
    </row>
    <row r="6385" ht="14.25" customHeight="1">
      <c r="A6385" s="2" t="s">
        <v>325</v>
      </c>
      <c r="B6385" s="2" t="s">
        <v>326</v>
      </c>
      <c r="C6385" s="2">
        <v>2024.0</v>
      </c>
      <c r="D6385" s="9">
        <v>16739.324</v>
      </c>
      <c r="E6385" s="10" t="str">
        <f t="array" ref="E6385">IFS(D6385&lt;=$G$3,'calculated data '!$A$3,D6385&lt;=$G$4,'calculated data '!$A$4,D6385&lt;=$G$6,'calculated data '!$A$5,D6385&gt;=$G$6,'calculated data '!$A$6)</f>
        <v>Target Market (Core IQR)</v>
      </c>
      <c r="F6385" s="10">
        <f t="shared" si="1"/>
        <v>-0.2200857378</v>
      </c>
    </row>
    <row r="6386" ht="14.25" customHeight="1">
      <c r="A6386" s="2" t="s">
        <v>301</v>
      </c>
      <c r="B6386" s="2" t="s">
        <v>302</v>
      </c>
      <c r="C6386" s="2">
        <v>2022.0</v>
      </c>
      <c r="D6386" s="9">
        <v>16740.793</v>
      </c>
      <c r="E6386" s="10" t="str">
        <f t="array" ref="E6386">IFS(D6386&lt;=$G$3,'calculated data '!$A$3,D6386&lt;=$G$4,'calculated data '!$A$4,D6386&lt;=$G$6,'calculated data '!$A$5,D6386&gt;=$G$6,'calculated data '!$A$6)</f>
        <v>Target Market (Core IQR)</v>
      </c>
      <c r="F6386" s="10">
        <f t="shared" si="1"/>
        <v>-0.2200468537</v>
      </c>
    </row>
    <row r="6387" ht="14.25" customHeight="1">
      <c r="A6387" s="2" t="s">
        <v>257</v>
      </c>
      <c r="B6387" s="2" t="s">
        <v>258</v>
      </c>
      <c r="C6387" s="2">
        <v>1995.0</v>
      </c>
      <c r="D6387" s="9">
        <v>16745.383</v>
      </c>
      <c r="E6387" s="10" t="str">
        <f t="array" ref="E6387">IFS(D6387&lt;=$G$3,'calculated data '!$A$3,D6387&lt;=$G$4,'calculated data '!$A$4,D6387&lt;=$G$6,'calculated data '!$A$5,D6387&gt;=$G$6,'calculated data '!$A$6)</f>
        <v>Target Market (Core IQR)</v>
      </c>
      <c r="F6387" s="10">
        <f t="shared" si="1"/>
        <v>-0.2199253575</v>
      </c>
    </row>
    <row r="6388" ht="14.25" customHeight="1">
      <c r="A6388" s="2" t="s">
        <v>363</v>
      </c>
      <c r="B6388" s="2" t="s">
        <v>364</v>
      </c>
      <c r="C6388" s="2">
        <v>2018.0</v>
      </c>
      <c r="D6388" s="9">
        <v>16746.898</v>
      </c>
      <c r="E6388" s="10" t="str">
        <f t="array" ref="E6388">IFS(D6388&lt;=$G$3,'calculated data '!$A$3,D6388&lt;=$G$4,'calculated data '!$A$4,D6388&lt;=$G$6,'calculated data '!$A$5,D6388&gt;=$G$6,'calculated data '!$A$6)</f>
        <v>Target Market (Core IQR)</v>
      </c>
      <c r="F6388" s="10">
        <f t="shared" si="1"/>
        <v>-0.2198852559</v>
      </c>
    </row>
    <row r="6389" ht="14.25" customHeight="1">
      <c r="A6389" s="2" t="s">
        <v>57</v>
      </c>
      <c r="B6389" s="2" t="s">
        <v>58</v>
      </c>
      <c r="C6389" s="2">
        <v>1994.0</v>
      </c>
      <c r="D6389" s="9">
        <v>16754.139</v>
      </c>
      <c r="E6389" s="10" t="str">
        <f t="array" ref="E6389">IFS(D6389&lt;=$G$3,'calculated data '!$A$3,D6389&lt;=$G$4,'calculated data '!$A$4,D6389&lt;=$G$6,'calculated data '!$A$5,D6389&gt;=$G$6,'calculated data '!$A$6)</f>
        <v>Target Market (Core IQR)</v>
      </c>
      <c r="F6389" s="10">
        <f t="shared" si="1"/>
        <v>-0.2196935884</v>
      </c>
    </row>
    <row r="6390" ht="14.25" customHeight="1">
      <c r="A6390" s="2" t="s">
        <v>287</v>
      </c>
      <c r="B6390" s="2" t="s">
        <v>288</v>
      </c>
      <c r="C6390" s="2">
        <v>2012.0</v>
      </c>
      <c r="D6390" s="9">
        <v>16755.264</v>
      </c>
      <c r="E6390" s="10" t="str">
        <f t="array" ref="E6390">IFS(D6390&lt;=$G$3,'calculated data '!$A$3,D6390&lt;=$G$4,'calculated data '!$A$4,D6390&lt;=$G$6,'calculated data '!$A$5,D6390&gt;=$G$6,'calculated data '!$A$6)</f>
        <v>Target Market (Core IQR)</v>
      </c>
      <c r="F6390" s="10">
        <f t="shared" si="1"/>
        <v>-0.2196638099</v>
      </c>
    </row>
    <row r="6391" ht="14.25" customHeight="1">
      <c r="A6391" s="2" t="s">
        <v>359</v>
      </c>
      <c r="B6391" s="2" t="s">
        <v>360</v>
      </c>
      <c r="C6391" s="2">
        <v>2025.0</v>
      </c>
      <c r="D6391" s="9">
        <v>16755.49</v>
      </c>
      <c r="E6391" s="10" t="str">
        <f t="array" ref="E6391">IFS(D6391&lt;=$G$3,'calculated data '!$A$3,D6391&lt;=$G$4,'calculated data '!$A$4,D6391&lt;=$G$6,'calculated data '!$A$5,D6391&gt;=$G$6,'calculated data '!$A$6)</f>
        <v>Target Market (Core IQR)</v>
      </c>
      <c r="F6391" s="10">
        <f t="shared" si="1"/>
        <v>-0.2196578278</v>
      </c>
    </row>
    <row r="6392" ht="14.25" customHeight="1">
      <c r="A6392" s="2" t="s">
        <v>327</v>
      </c>
      <c r="B6392" s="2" t="s">
        <v>328</v>
      </c>
      <c r="C6392" s="2">
        <v>2001.0</v>
      </c>
      <c r="D6392" s="9">
        <v>16758.637</v>
      </c>
      <c r="E6392" s="10" t="str">
        <f t="array" ref="E6392">IFS(D6392&lt;=$G$3,'calculated data '!$A$3,D6392&lt;=$G$4,'calculated data '!$A$4,D6392&lt;=$G$6,'calculated data '!$A$5,D6392&gt;=$G$6,'calculated data '!$A$6)</f>
        <v>Target Market (Core IQR)</v>
      </c>
      <c r="F6392" s="10">
        <f t="shared" si="1"/>
        <v>-0.2195745275</v>
      </c>
    </row>
    <row r="6393" ht="14.25" customHeight="1">
      <c r="A6393" s="2" t="s">
        <v>303</v>
      </c>
      <c r="B6393" s="2" t="s">
        <v>304</v>
      </c>
      <c r="C6393" s="2">
        <v>2017.0</v>
      </c>
      <c r="D6393" s="9">
        <v>16759.918</v>
      </c>
      <c r="E6393" s="10" t="str">
        <f t="array" ref="E6393">IFS(D6393&lt;=$G$3,'calculated data '!$A$3,D6393&lt;=$G$4,'calculated data '!$A$4,D6393&lt;=$G$6,'calculated data '!$A$5,D6393&gt;=$G$6,'calculated data '!$A$6)</f>
        <v>Target Market (Core IQR)</v>
      </c>
      <c r="F6393" s="10">
        <f t="shared" si="1"/>
        <v>-0.2195406197</v>
      </c>
    </row>
    <row r="6394" ht="14.25" customHeight="1">
      <c r="A6394" s="2" t="s">
        <v>327</v>
      </c>
      <c r="B6394" s="2" t="s">
        <v>328</v>
      </c>
      <c r="C6394" s="2">
        <v>1998.0</v>
      </c>
      <c r="D6394" s="9">
        <v>16773.613</v>
      </c>
      <c r="E6394" s="10" t="str">
        <f t="array" ref="E6394">IFS(D6394&lt;=$G$3,'calculated data '!$A$3,D6394&lt;=$G$4,'calculated data '!$A$4,D6394&lt;=$G$6,'calculated data '!$A$5,D6394&gt;=$G$6,'calculated data '!$A$6)</f>
        <v>Target Market (Core IQR)</v>
      </c>
      <c r="F6394" s="10">
        <f t="shared" si="1"/>
        <v>-0.2191781165</v>
      </c>
    </row>
    <row r="6395" ht="14.25" customHeight="1">
      <c r="A6395" s="2" t="s">
        <v>221</v>
      </c>
      <c r="B6395" s="2" t="s">
        <v>222</v>
      </c>
      <c r="C6395" s="2">
        <v>1986.0</v>
      </c>
      <c r="D6395" s="9">
        <v>16775.338</v>
      </c>
      <c r="E6395" s="10" t="str">
        <f t="array" ref="E6395">IFS(D6395&lt;=$G$3,'calculated data '!$A$3,D6395&lt;=$G$4,'calculated data '!$A$4,D6395&lt;=$G$6,'calculated data '!$A$5,D6395&gt;=$G$6,'calculated data '!$A$6)</f>
        <v>Target Market (Core IQR)</v>
      </c>
      <c r="F6395" s="10">
        <f t="shared" si="1"/>
        <v>-0.2191324562</v>
      </c>
    </row>
    <row r="6396" ht="14.25" customHeight="1">
      <c r="A6396" s="2" t="s">
        <v>241</v>
      </c>
      <c r="B6396" s="2" t="s">
        <v>242</v>
      </c>
      <c r="C6396" s="2">
        <v>2012.0</v>
      </c>
      <c r="D6396" s="9">
        <v>16781.137</v>
      </c>
      <c r="E6396" s="10" t="str">
        <f t="array" ref="E6396">IFS(D6396&lt;=$G$3,'calculated data '!$A$3,D6396&lt;=$G$4,'calculated data '!$A$4,D6396&lt;=$G$6,'calculated data '!$A$5,D6396&gt;=$G$6,'calculated data '!$A$6)</f>
        <v>Target Market (Core IQR)</v>
      </c>
      <c r="F6396" s="10">
        <f t="shared" si="1"/>
        <v>-0.2189789581</v>
      </c>
    </row>
    <row r="6397" ht="14.25" customHeight="1">
      <c r="A6397" s="2" t="s">
        <v>57</v>
      </c>
      <c r="B6397" s="2" t="s">
        <v>58</v>
      </c>
      <c r="C6397" s="2">
        <v>1993.0</v>
      </c>
      <c r="D6397" s="9">
        <v>16781.63</v>
      </c>
      <c r="E6397" s="10" t="str">
        <f t="array" ref="E6397">IFS(D6397&lt;=$G$3,'calculated data '!$A$3,D6397&lt;=$G$4,'calculated data '!$A$4,D6397&lt;=$G$6,'calculated data '!$A$5,D6397&gt;=$G$6,'calculated data '!$A$6)</f>
        <v>Target Market (Core IQR)</v>
      </c>
      <c r="F6397" s="10">
        <f t="shared" si="1"/>
        <v>-0.2189659085</v>
      </c>
    </row>
    <row r="6398" ht="14.25" customHeight="1">
      <c r="A6398" s="2" t="s">
        <v>207</v>
      </c>
      <c r="B6398" s="2" t="s">
        <v>208</v>
      </c>
      <c r="C6398" s="2">
        <v>2025.0</v>
      </c>
      <c r="D6398" s="9">
        <v>16784.922</v>
      </c>
      <c r="E6398" s="10" t="str">
        <f t="array" ref="E6398">IFS(D6398&lt;=$G$3,'calculated data '!$A$3,D6398&lt;=$G$4,'calculated data '!$A$4,D6398&lt;=$G$6,'calculated data '!$A$5,D6398&gt;=$G$6,'calculated data '!$A$6)</f>
        <v>Target Market (Core IQR)</v>
      </c>
      <c r="F6398" s="10">
        <f t="shared" si="1"/>
        <v>-0.2188787701</v>
      </c>
    </row>
    <row r="6399" ht="14.25" customHeight="1">
      <c r="A6399" s="2" t="s">
        <v>371</v>
      </c>
      <c r="B6399" s="2" t="s">
        <v>372</v>
      </c>
      <c r="C6399" s="2">
        <v>1965.0</v>
      </c>
      <c r="D6399" s="9">
        <v>16785.678</v>
      </c>
      <c r="E6399" s="10" t="str">
        <f t="array" ref="E6399">IFS(D6399&lt;=$G$3,'calculated data '!$A$3,D6399&lt;=$G$4,'calculated data '!$A$4,D6399&lt;=$G$6,'calculated data '!$A$5,D6399&gt;=$G$6,'calculated data '!$A$6)</f>
        <v>Target Market (Core IQR)</v>
      </c>
      <c r="F6399" s="10">
        <f t="shared" si="1"/>
        <v>-0.2188587589</v>
      </c>
    </row>
    <row r="6400" ht="14.25" customHeight="1">
      <c r="A6400" s="2" t="s">
        <v>359</v>
      </c>
      <c r="B6400" s="2" t="s">
        <v>360</v>
      </c>
      <c r="C6400" s="2">
        <v>2023.0</v>
      </c>
      <c r="D6400" s="9">
        <v>16790.314</v>
      </c>
      <c r="E6400" s="10" t="str">
        <f t="array" ref="E6400">IFS(D6400&lt;=$G$3,'calculated data '!$A$3,D6400&lt;=$G$4,'calculated data '!$A$4,D6400&lt;=$G$6,'calculated data '!$A$5,D6400&gt;=$G$6,'calculated data '!$A$6)</f>
        <v>Target Market (Core IQR)</v>
      </c>
      <c r="F6400" s="10">
        <f t="shared" si="1"/>
        <v>-0.2187360452</v>
      </c>
    </row>
    <row r="6401" ht="14.25" customHeight="1">
      <c r="A6401" s="2" t="s">
        <v>303</v>
      </c>
      <c r="B6401" s="2" t="s">
        <v>304</v>
      </c>
      <c r="C6401" s="2">
        <v>2014.0</v>
      </c>
      <c r="D6401" s="9">
        <v>16812.264</v>
      </c>
      <c r="E6401" s="10" t="str">
        <f t="array" ref="E6401">IFS(D6401&lt;=$G$3,'calculated data '!$A$3,D6401&lt;=$G$4,'calculated data '!$A$4,D6401&lt;=$G$6,'calculated data '!$A$5,D6401&gt;=$G$6,'calculated data '!$A$6)</f>
        <v>Target Market (Core IQR)</v>
      </c>
      <c r="F6401" s="10">
        <f t="shared" si="1"/>
        <v>-0.2181550341</v>
      </c>
    </row>
    <row r="6402" ht="14.25" customHeight="1">
      <c r="A6402" s="2" t="s">
        <v>57</v>
      </c>
      <c r="B6402" s="2" t="s">
        <v>58</v>
      </c>
      <c r="C6402" s="2">
        <v>1980.0</v>
      </c>
      <c r="D6402" s="9">
        <v>16829.99</v>
      </c>
      <c r="E6402" s="10" t="str">
        <f t="array" ref="E6402">IFS(D6402&lt;=$G$3,'calculated data '!$A$3,D6402&lt;=$G$4,'calculated data '!$A$4,D6402&lt;=$G$6,'calculated data '!$A$5,D6402&gt;=$G$6,'calculated data '!$A$6)</f>
        <v>Target Market (Core IQR)</v>
      </c>
      <c r="F6402" s="10">
        <f t="shared" si="1"/>
        <v>-0.2176858313</v>
      </c>
    </row>
    <row r="6403" ht="14.25" customHeight="1">
      <c r="A6403" s="2" t="s">
        <v>57</v>
      </c>
      <c r="B6403" s="2" t="s">
        <v>58</v>
      </c>
      <c r="C6403" s="2">
        <v>1995.0</v>
      </c>
      <c r="D6403" s="9">
        <v>16839.115</v>
      </c>
      <c r="E6403" s="10" t="str">
        <f t="array" ref="E6403">IFS(D6403&lt;=$G$3,'calculated data '!$A$3,D6403&lt;=$G$4,'calculated data '!$A$4,D6403&lt;=$G$6,'calculated data '!$A$5,D6403&gt;=$G$6,'calculated data '!$A$6)</f>
        <v>Target Market (Core IQR)</v>
      </c>
      <c r="F6403" s="10">
        <f t="shared" si="1"/>
        <v>-0.2174442949</v>
      </c>
    </row>
    <row r="6404" ht="14.25" customHeight="1">
      <c r="A6404" s="2" t="s">
        <v>317</v>
      </c>
      <c r="B6404" s="2" t="s">
        <v>318</v>
      </c>
      <c r="C6404" s="2">
        <v>2010.0</v>
      </c>
      <c r="D6404" s="9">
        <v>16842.107</v>
      </c>
      <c r="E6404" s="10" t="str">
        <f t="array" ref="E6404">IFS(D6404&lt;=$G$3,'calculated data '!$A$3,D6404&lt;=$G$4,'calculated data '!$A$4,D6404&lt;=$G$6,'calculated data '!$A$5,D6404&gt;=$G$6,'calculated data '!$A$6)</f>
        <v>Target Market (Core IQR)</v>
      </c>
      <c r="F6404" s="10">
        <f t="shared" si="1"/>
        <v>-0.2173650974</v>
      </c>
    </row>
    <row r="6405" ht="14.25" customHeight="1">
      <c r="A6405" s="2" t="s">
        <v>229</v>
      </c>
      <c r="B6405" s="2" t="s">
        <v>230</v>
      </c>
      <c r="C6405" s="2">
        <v>2020.0</v>
      </c>
      <c r="D6405" s="9">
        <v>16848.453</v>
      </c>
      <c r="E6405" s="10" t="str">
        <f t="array" ref="E6405">IFS(D6405&lt;=$G$3,'calculated data '!$A$3,D6405&lt;=$G$4,'calculated data '!$A$4,D6405&lt;=$G$6,'calculated data '!$A$5,D6405&gt;=$G$6,'calculated data '!$A$6)</f>
        <v>Target Market (Core IQR)</v>
      </c>
      <c r="F6405" s="10">
        <f t="shared" si="1"/>
        <v>-0.2171971203</v>
      </c>
    </row>
    <row r="6406" ht="14.25" customHeight="1">
      <c r="A6406" s="2" t="s">
        <v>363</v>
      </c>
      <c r="B6406" s="2" t="s">
        <v>364</v>
      </c>
      <c r="C6406" s="2">
        <v>2019.0</v>
      </c>
      <c r="D6406" s="9">
        <v>16850.295</v>
      </c>
      <c r="E6406" s="10" t="str">
        <f t="array" ref="E6406">IFS(D6406&lt;=$G$3,'calculated data '!$A$3,D6406&lt;=$G$4,'calculated data '!$A$4,D6406&lt;=$G$6,'calculated data '!$A$5,D6406&gt;=$G$6,'calculated data '!$A$6)</f>
        <v>Target Market (Core IQR)</v>
      </c>
      <c r="F6406" s="10">
        <f t="shared" si="1"/>
        <v>-0.217148363</v>
      </c>
    </row>
    <row r="6407" ht="14.25" customHeight="1">
      <c r="A6407" s="2" t="s">
        <v>241</v>
      </c>
      <c r="B6407" s="2" t="s">
        <v>242</v>
      </c>
      <c r="C6407" s="2">
        <v>2022.0</v>
      </c>
      <c r="D6407" s="9">
        <v>16850.51</v>
      </c>
      <c r="E6407" s="10" t="str">
        <f t="array" ref="E6407">IFS(D6407&lt;=$G$3,'calculated data '!$A$3,D6407&lt;=$G$4,'calculated data '!$A$4,D6407&lt;=$G$6,'calculated data '!$A$5,D6407&gt;=$G$6,'calculated data '!$A$6)</f>
        <v>Target Market (Core IQR)</v>
      </c>
      <c r="F6407" s="10">
        <f t="shared" si="1"/>
        <v>-0.217142672</v>
      </c>
    </row>
    <row r="6408" ht="14.25" customHeight="1">
      <c r="A6408" s="2" t="s">
        <v>291</v>
      </c>
      <c r="B6408" s="2" t="s">
        <v>292</v>
      </c>
      <c r="C6408" s="2">
        <v>2009.0</v>
      </c>
      <c r="D6408" s="9">
        <v>16860.293</v>
      </c>
      <c r="E6408" s="10" t="str">
        <f t="array" ref="E6408">IFS(D6408&lt;=$G$3,'calculated data '!$A$3,D6408&lt;=$G$4,'calculated data '!$A$4,D6408&lt;=$G$6,'calculated data '!$A$5,D6408&gt;=$G$6,'calculated data '!$A$6)</f>
        <v>Target Market (Core IQR)</v>
      </c>
      <c r="F6408" s="10">
        <f t="shared" si="1"/>
        <v>-0.2168837185</v>
      </c>
    </row>
    <row r="6409" ht="14.25" customHeight="1">
      <c r="A6409" s="2" t="s">
        <v>241</v>
      </c>
      <c r="B6409" s="2" t="s">
        <v>242</v>
      </c>
      <c r="C6409" s="2">
        <v>2021.0</v>
      </c>
      <c r="D6409" s="9">
        <v>16870.012</v>
      </c>
      <c r="E6409" s="10" t="str">
        <f t="array" ref="E6409">IFS(D6409&lt;=$G$3,'calculated data '!$A$3,D6409&lt;=$G$4,'calculated data '!$A$4,D6409&lt;=$G$6,'calculated data '!$A$5,D6409&gt;=$G$6,'calculated data '!$A$6)</f>
        <v>Target Market (Core IQR)</v>
      </c>
      <c r="F6409" s="10">
        <f t="shared" si="1"/>
        <v>-0.216626459</v>
      </c>
    </row>
    <row r="6410" ht="14.25" customHeight="1">
      <c r="A6410" s="2" t="s">
        <v>57</v>
      </c>
      <c r="B6410" s="2" t="s">
        <v>58</v>
      </c>
      <c r="C6410" s="2">
        <v>1998.0</v>
      </c>
      <c r="D6410" s="9">
        <v>16877.793</v>
      </c>
      <c r="E6410" s="10" t="str">
        <f t="array" ref="E6410">IFS(D6410&lt;=$G$3,'calculated data '!$A$3,D6410&lt;=$G$4,'calculated data '!$A$4,D6410&lt;=$G$6,'calculated data '!$A$5,D6410&gt;=$G$6,'calculated data '!$A$6)</f>
        <v>Target Market (Core IQR)</v>
      </c>
      <c r="F6410" s="10">
        <f t="shared" si="1"/>
        <v>-0.2164204978</v>
      </c>
    </row>
    <row r="6411" ht="14.25" customHeight="1">
      <c r="A6411" s="2" t="s">
        <v>197</v>
      </c>
      <c r="B6411" s="2" t="s">
        <v>198</v>
      </c>
      <c r="C6411" s="2">
        <v>2006.0</v>
      </c>
      <c r="D6411" s="9">
        <v>16883.477</v>
      </c>
      <c r="E6411" s="10" t="str">
        <f t="array" ref="E6411">IFS(D6411&lt;=$G$3,'calculated data '!$A$3,D6411&lt;=$G$4,'calculated data '!$A$4,D6411&lt;=$G$6,'calculated data '!$A$5,D6411&gt;=$G$6,'calculated data '!$A$6)</f>
        <v>Target Market (Core IQR)</v>
      </c>
      <c r="F6411" s="10">
        <f t="shared" si="1"/>
        <v>-0.2162700438</v>
      </c>
    </row>
    <row r="6412" ht="14.25" customHeight="1">
      <c r="A6412" s="2" t="s">
        <v>247</v>
      </c>
      <c r="B6412" s="2" t="s">
        <v>248</v>
      </c>
      <c r="C6412" s="2">
        <v>2016.0</v>
      </c>
      <c r="D6412" s="9">
        <v>16896.666</v>
      </c>
      <c r="E6412" s="10" t="str">
        <f t="array" ref="E6412">IFS(D6412&lt;=$G$3,'calculated data '!$A$3,D6412&lt;=$G$4,'calculated data '!$A$4,D6412&lt;=$G$6,'calculated data '!$A$5,D6412&gt;=$G$6,'calculated data '!$A$6)</f>
        <v>Target Market (Core IQR)</v>
      </c>
      <c r="F6412" s="10">
        <f t="shared" si="1"/>
        <v>-0.2159209342</v>
      </c>
    </row>
    <row r="6413" ht="14.25" customHeight="1">
      <c r="A6413" s="2" t="s">
        <v>349</v>
      </c>
      <c r="B6413" s="2" t="s">
        <v>350</v>
      </c>
      <c r="C6413" s="2">
        <v>2016.0</v>
      </c>
      <c r="D6413" s="9">
        <v>16901.867</v>
      </c>
      <c r="E6413" s="10" t="str">
        <f t="array" ref="E6413">IFS(D6413&lt;=$G$3,'calculated data '!$A$3,D6413&lt;=$G$4,'calculated data '!$A$4,D6413&lt;=$G$6,'calculated data '!$A$5,D6413&gt;=$G$6,'calculated data '!$A$6)</f>
        <v>Target Market (Core IQR)</v>
      </c>
      <c r="F6413" s="10">
        <f t="shared" si="1"/>
        <v>-0.215783265</v>
      </c>
    </row>
    <row r="6414" ht="14.25" customHeight="1">
      <c r="A6414" s="2" t="s">
        <v>291</v>
      </c>
      <c r="B6414" s="2" t="s">
        <v>292</v>
      </c>
      <c r="C6414" s="2">
        <v>1993.0</v>
      </c>
      <c r="D6414" s="9">
        <v>16905.676</v>
      </c>
      <c r="E6414" s="10" t="str">
        <f t="array" ref="E6414">IFS(D6414&lt;=$G$3,'calculated data '!$A$3,D6414&lt;=$G$4,'calculated data '!$A$4,D6414&lt;=$G$6,'calculated data '!$A$5,D6414&gt;=$G$6,'calculated data '!$A$6)</f>
        <v>Target Market (Core IQR)</v>
      </c>
      <c r="F6414" s="10">
        <f t="shared" si="1"/>
        <v>-0.2156824418</v>
      </c>
    </row>
    <row r="6415" ht="14.25" customHeight="1">
      <c r="A6415" s="2" t="s">
        <v>295</v>
      </c>
      <c r="B6415" s="2" t="s">
        <v>296</v>
      </c>
      <c r="C6415" s="2">
        <v>2014.0</v>
      </c>
      <c r="D6415" s="9">
        <v>16940.182</v>
      </c>
      <c r="E6415" s="10" t="str">
        <f t="array" ref="E6415">IFS(D6415&lt;=$G$3,'calculated data '!$A$3,D6415&lt;=$G$4,'calculated data '!$A$4,D6415&lt;=$G$6,'calculated data '!$A$5,D6415&gt;=$G$6,'calculated data '!$A$6)</f>
        <v>Target Market (Core IQR)</v>
      </c>
      <c r="F6415" s="10">
        <f t="shared" si="1"/>
        <v>-0.2147690765</v>
      </c>
    </row>
    <row r="6416" ht="14.25" customHeight="1">
      <c r="A6416" s="2" t="s">
        <v>57</v>
      </c>
      <c r="B6416" s="2" t="s">
        <v>58</v>
      </c>
      <c r="C6416" s="2">
        <v>1992.0</v>
      </c>
      <c r="D6416" s="9">
        <v>16943.713</v>
      </c>
      <c r="E6416" s="10" t="str">
        <f t="array" ref="E6416">IFS(D6416&lt;=$G$3,'calculated data '!$A$3,D6416&lt;=$G$4,'calculated data '!$A$4,D6416&lt;=$G$6,'calculated data '!$A$5,D6416&gt;=$G$6,'calculated data '!$A$6)</f>
        <v>Target Market (Core IQR)</v>
      </c>
      <c r="F6416" s="10">
        <f t="shared" si="1"/>
        <v>-0.2146756118</v>
      </c>
    </row>
    <row r="6417" ht="14.25" customHeight="1">
      <c r="A6417" s="2" t="s">
        <v>57</v>
      </c>
      <c r="B6417" s="2" t="s">
        <v>58</v>
      </c>
      <c r="C6417" s="2">
        <v>1999.0</v>
      </c>
      <c r="D6417" s="9">
        <v>16944.68</v>
      </c>
      <c r="E6417" s="10" t="str">
        <f t="array" ref="E6417">IFS(D6417&lt;=$G$3,'calculated data '!$A$3,D6417&lt;=$G$4,'calculated data '!$A$4,D6417&lt;=$G$6,'calculated data '!$A$5,D6417&gt;=$G$6,'calculated data '!$A$6)</f>
        <v>Target Market (Core IQR)</v>
      </c>
      <c r="F6417" s="10">
        <f t="shared" si="1"/>
        <v>-0.2146500156</v>
      </c>
    </row>
    <row r="6418" ht="14.25" customHeight="1">
      <c r="A6418" s="2" t="s">
        <v>359</v>
      </c>
      <c r="B6418" s="2" t="s">
        <v>360</v>
      </c>
      <c r="C6418" s="2">
        <v>2024.0</v>
      </c>
      <c r="D6418" s="9">
        <v>16956.576</v>
      </c>
      <c r="E6418" s="10" t="str">
        <f t="array" ref="E6418">IFS(D6418&lt;=$G$3,'calculated data '!$A$3,D6418&lt;=$G$4,'calculated data '!$A$4,D6418&lt;=$G$6,'calculated data '!$A$5,D6418&gt;=$G$6,'calculated data '!$A$6)</f>
        <v>Target Market (Core IQR)</v>
      </c>
      <c r="F6418" s="10">
        <f t="shared" si="1"/>
        <v>-0.2143351314</v>
      </c>
    </row>
    <row r="6419" ht="14.25" customHeight="1">
      <c r="A6419" s="2" t="s">
        <v>241</v>
      </c>
      <c r="B6419" s="2" t="s">
        <v>242</v>
      </c>
      <c r="C6419" s="2">
        <v>2013.0</v>
      </c>
      <c r="D6419" s="9">
        <v>16960.322</v>
      </c>
      <c r="E6419" s="10" t="str">
        <f t="array" ref="E6419">IFS(D6419&lt;=$G$3,'calculated data '!$A$3,D6419&lt;=$G$4,'calculated data '!$A$4,D6419&lt;=$G$6,'calculated data '!$A$5,D6419&gt;=$G$6,'calculated data '!$A$6)</f>
        <v>Target Market (Core IQR)</v>
      </c>
      <c r="F6419" s="10">
        <f t="shared" si="1"/>
        <v>-0.2142359758</v>
      </c>
    </row>
    <row r="6420" ht="14.25" customHeight="1">
      <c r="A6420" s="2" t="s">
        <v>319</v>
      </c>
      <c r="B6420" s="2" t="s">
        <v>320</v>
      </c>
      <c r="C6420" s="2">
        <v>1982.0</v>
      </c>
      <c r="D6420" s="9">
        <v>16961.58</v>
      </c>
      <c r="E6420" s="10" t="str">
        <f t="array" ref="E6420">IFS(D6420&lt;=$G$3,'calculated data '!$A$3,D6420&lt;=$G$4,'calculated data '!$A$4,D6420&lt;=$G$6,'calculated data '!$A$5,D6420&gt;=$G$6,'calculated data '!$A$6)</f>
        <v>Target Market (Core IQR)</v>
      </c>
      <c r="F6420" s="10">
        <f t="shared" si="1"/>
        <v>-0.2142026768</v>
      </c>
    </row>
    <row r="6421" ht="14.25" customHeight="1">
      <c r="A6421" s="2" t="s">
        <v>365</v>
      </c>
      <c r="B6421" s="2" t="s">
        <v>366</v>
      </c>
      <c r="C6421" s="2">
        <v>2020.0</v>
      </c>
      <c r="D6421" s="9">
        <v>16963.93</v>
      </c>
      <c r="E6421" s="10" t="str">
        <f t="array" ref="E6421">IFS(D6421&lt;=$G$3,'calculated data '!$A$3,D6421&lt;=$G$4,'calculated data '!$A$4,D6421&lt;=$G$6,'calculated data '!$A$5,D6421&gt;=$G$6,'calculated data '!$A$6)</f>
        <v>Target Market (Core IQR)</v>
      </c>
      <c r="F6421" s="10">
        <f t="shared" si="1"/>
        <v>-0.2141404729</v>
      </c>
    </row>
    <row r="6422" ht="14.25" customHeight="1">
      <c r="A6422" s="2" t="s">
        <v>359</v>
      </c>
      <c r="B6422" s="2" t="s">
        <v>360</v>
      </c>
      <c r="C6422" s="2">
        <v>2013.0</v>
      </c>
      <c r="D6422" s="9">
        <v>16963.969</v>
      </c>
      <c r="E6422" s="10" t="str">
        <f t="array" ref="E6422">IFS(D6422&lt;=$G$3,'calculated data '!$A$3,D6422&lt;=$G$4,'calculated data '!$A$4,D6422&lt;=$G$6,'calculated data '!$A$5,D6422&gt;=$G$6,'calculated data '!$A$6)</f>
        <v>Target Market (Core IQR)</v>
      </c>
      <c r="F6422" s="10">
        <f t="shared" si="1"/>
        <v>-0.2141394406</v>
      </c>
    </row>
    <row r="6423" ht="14.25" customHeight="1">
      <c r="A6423" s="2" t="s">
        <v>363</v>
      </c>
      <c r="B6423" s="2" t="s">
        <v>364</v>
      </c>
      <c r="C6423" s="2">
        <v>2021.0</v>
      </c>
      <c r="D6423" s="9">
        <v>16968.162</v>
      </c>
      <c r="E6423" s="10" t="str">
        <f t="array" ref="E6423">IFS(D6423&lt;=$G$3,'calculated data '!$A$3,D6423&lt;=$G$4,'calculated data '!$A$4,D6423&lt;=$G$6,'calculated data '!$A$5,D6423&gt;=$G$6,'calculated data '!$A$6)</f>
        <v>Target Market (Core IQR)</v>
      </c>
      <c r="F6423" s="10">
        <f t="shared" si="1"/>
        <v>-0.2140284529</v>
      </c>
    </row>
    <row r="6424" ht="14.25" customHeight="1">
      <c r="A6424" s="2" t="s">
        <v>327</v>
      </c>
      <c r="B6424" s="2" t="s">
        <v>328</v>
      </c>
      <c r="C6424" s="2">
        <v>2005.0</v>
      </c>
      <c r="D6424" s="9">
        <v>16972.453</v>
      </c>
      <c r="E6424" s="10" t="str">
        <f t="array" ref="E6424">IFS(D6424&lt;=$G$3,'calculated data '!$A$3,D6424&lt;=$G$4,'calculated data '!$A$4,D6424&lt;=$G$6,'calculated data '!$A$5,D6424&gt;=$G$6,'calculated data '!$A$6)</f>
        <v>Target Market (Core IQR)</v>
      </c>
      <c r="F6424" s="10">
        <f t="shared" si="1"/>
        <v>-0.2139148712</v>
      </c>
    </row>
    <row r="6425" ht="14.25" customHeight="1">
      <c r="A6425" s="2" t="s">
        <v>229</v>
      </c>
      <c r="B6425" s="2" t="s">
        <v>230</v>
      </c>
      <c r="C6425" s="2">
        <v>2018.0</v>
      </c>
      <c r="D6425" s="9">
        <v>16978.447</v>
      </c>
      <c r="E6425" s="10" t="str">
        <f t="array" ref="E6425">IFS(D6425&lt;=$G$3,'calculated data '!$A$3,D6425&lt;=$G$4,'calculated data '!$A$4,D6425&lt;=$G$6,'calculated data '!$A$5,D6425&gt;=$G$6,'calculated data '!$A$6)</f>
        <v>Target Market (Core IQR)</v>
      </c>
      <c r="F6425" s="10">
        <f t="shared" si="1"/>
        <v>-0.2137562115</v>
      </c>
    </row>
    <row r="6426" ht="14.25" customHeight="1">
      <c r="A6426" s="2" t="s">
        <v>367</v>
      </c>
      <c r="B6426" s="2" t="s">
        <v>368</v>
      </c>
      <c r="C6426" s="2">
        <v>2025.0</v>
      </c>
      <c r="D6426" s="9">
        <v>16981.389</v>
      </c>
      <c r="E6426" s="10" t="str">
        <f t="array" ref="E6426">IFS(D6426&lt;=$G$3,'calculated data '!$A$3,D6426&lt;=$G$4,'calculated data '!$A$4,D6426&lt;=$G$6,'calculated data '!$A$5,D6426&gt;=$G$6,'calculated data '!$A$6)</f>
        <v>Target Market (Core IQR)</v>
      </c>
      <c r="F6426" s="10">
        <f t="shared" si="1"/>
        <v>-0.2136783375</v>
      </c>
    </row>
    <row r="6427" ht="14.25" customHeight="1">
      <c r="A6427" s="2" t="s">
        <v>331</v>
      </c>
      <c r="B6427" s="2" t="s">
        <v>332</v>
      </c>
      <c r="C6427" s="2">
        <v>1972.0</v>
      </c>
      <c r="D6427" s="9">
        <v>16981.713</v>
      </c>
      <c r="E6427" s="10" t="str">
        <f t="array" ref="E6427">IFS(D6427&lt;=$G$3,'calculated data '!$A$3,D6427&lt;=$G$4,'calculated data '!$A$4,D6427&lt;=$G$6,'calculated data '!$A$5,D6427&gt;=$G$6,'calculated data '!$A$6)</f>
        <v>Target Market (Core IQR)</v>
      </c>
      <c r="F6427" s="10">
        <f t="shared" si="1"/>
        <v>-0.2136697613</v>
      </c>
    </row>
    <row r="6428" ht="14.25" customHeight="1">
      <c r="A6428" s="2" t="s">
        <v>57</v>
      </c>
      <c r="B6428" s="2" t="s">
        <v>58</v>
      </c>
      <c r="C6428" s="2">
        <v>1987.0</v>
      </c>
      <c r="D6428" s="9">
        <v>17002.732</v>
      </c>
      <c r="E6428" s="10" t="str">
        <f t="array" ref="E6428">IFS(D6428&lt;=$G$3,'calculated data '!$A$3,D6428&lt;=$G$4,'calculated data '!$A$4,D6428&lt;=$G$6,'calculated data '!$A$5,D6428&gt;=$G$6,'calculated data '!$A$6)</f>
        <v>Target Market (Core IQR)</v>
      </c>
      <c r="F6428" s="10">
        <f t="shared" si="1"/>
        <v>-0.2131133936</v>
      </c>
    </row>
    <row r="6429" ht="14.25" customHeight="1">
      <c r="A6429" s="2" t="s">
        <v>365</v>
      </c>
      <c r="B6429" s="2" t="s">
        <v>366</v>
      </c>
      <c r="C6429" s="2">
        <v>2017.0</v>
      </c>
      <c r="D6429" s="9">
        <v>17004.28</v>
      </c>
      <c r="E6429" s="10" t="str">
        <f t="array" ref="E6429">IFS(D6429&lt;=$G$3,'calculated data '!$A$3,D6429&lt;=$G$4,'calculated data '!$A$4,D6429&lt;=$G$6,'calculated data '!$A$5,D6429&gt;=$G$6,'calculated data '!$A$6)</f>
        <v>Target Market (Core IQR)</v>
      </c>
      <c r="F6429" s="10">
        <f t="shared" si="1"/>
        <v>-0.2130724184</v>
      </c>
    </row>
    <row r="6430" ht="14.25" customHeight="1">
      <c r="A6430" s="2" t="s">
        <v>247</v>
      </c>
      <c r="B6430" s="2" t="s">
        <v>248</v>
      </c>
      <c r="C6430" s="2">
        <v>2018.0</v>
      </c>
      <c r="D6430" s="9">
        <v>17009.488</v>
      </c>
      <c r="E6430" s="10" t="str">
        <f t="array" ref="E6430">IFS(D6430&lt;=$G$3,'calculated data '!$A$3,D6430&lt;=$G$4,'calculated data '!$A$4,D6430&lt;=$G$6,'calculated data '!$A$5,D6430&gt;=$G$6,'calculated data '!$A$6)</f>
        <v>Target Market (Core IQR)</v>
      </c>
      <c r="F6430" s="10">
        <f t="shared" si="1"/>
        <v>-0.212934564</v>
      </c>
    </row>
    <row r="6431" ht="14.25" customHeight="1">
      <c r="A6431" s="2" t="s">
        <v>291</v>
      </c>
      <c r="B6431" s="2" t="s">
        <v>292</v>
      </c>
      <c r="C6431" s="2">
        <v>2008.0</v>
      </c>
      <c r="D6431" s="9">
        <v>17011.865</v>
      </c>
      <c r="E6431" s="10" t="str">
        <f t="array" ref="E6431">IFS(D6431&lt;=$G$3,'calculated data '!$A$3,D6431&lt;=$G$4,'calculated data '!$A$4,D6431&lt;=$G$6,'calculated data '!$A$5,D6431&gt;=$G$6,'calculated data '!$A$6)</f>
        <v>Target Market (Core IQR)</v>
      </c>
      <c r="F6431" s="10">
        <f t="shared" si="1"/>
        <v>-0.2128716454</v>
      </c>
    </row>
    <row r="6432" ht="14.25" customHeight="1">
      <c r="A6432" s="2" t="s">
        <v>301</v>
      </c>
      <c r="B6432" s="2" t="s">
        <v>302</v>
      </c>
      <c r="C6432" s="2">
        <v>2023.0</v>
      </c>
      <c r="D6432" s="9">
        <v>17012.234</v>
      </c>
      <c r="E6432" s="10" t="str">
        <f t="array" ref="E6432">IFS(D6432&lt;=$G$3,'calculated data '!$A$3,D6432&lt;=$G$4,'calculated data '!$A$4,D6432&lt;=$G$6,'calculated data '!$A$5,D6432&gt;=$G$6,'calculated data '!$A$6)</f>
        <v>Target Market (Core IQR)</v>
      </c>
      <c r="F6432" s="10">
        <f t="shared" si="1"/>
        <v>-0.212861878</v>
      </c>
    </row>
    <row r="6433" ht="14.25" customHeight="1">
      <c r="A6433" s="2" t="s">
        <v>57</v>
      </c>
      <c r="B6433" s="2" t="s">
        <v>58</v>
      </c>
      <c r="C6433" s="2">
        <v>1997.0</v>
      </c>
      <c r="D6433" s="9">
        <v>17012.96</v>
      </c>
      <c r="E6433" s="10" t="str">
        <f t="array" ref="E6433">IFS(D6433&lt;=$G$3,'calculated data '!$A$3,D6433&lt;=$G$4,'calculated data '!$A$4,D6433&lt;=$G$6,'calculated data '!$A$5,D6433&gt;=$G$6,'calculated data '!$A$6)</f>
        <v>Target Market (Core IQR)</v>
      </c>
      <c r="F6433" s="10">
        <f t="shared" si="1"/>
        <v>-0.212842661</v>
      </c>
    </row>
    <row r="6434" ht="14.25" customHeight="1">
      <c r="A6434" s="2" t="s">
        <v>373</v>
      </c>
      <c r="B6434" s="2" t="s">
        <v>374</v>
      </c>
      <c r="C6434" s="2">
        <v>1980.0</v>
      </c>
      <c r="D6434" s="9">
        <v>17019.666</v>
      </c>
      <c r="E6434" s="10" t="str">
        <f t="array" ref="E6434">IFS(D6434&lt;=$G$3,'calculated data '!$A$3,D6434&lt;=$G$4,'calculated data '!$A$4,D6434&lt;=$G$6,'calculated data '!$A$5,D6434&gt;=$G$6,'calculated data '!$A$6)</f>
        <v>Target Market (Core IQR)</v>
      </c>
      <c r="F6434" s="10">
        <f t="shared" si="1"/>
        <v>-0.2126651549</v>
      </c>
    </row>
    <row r="6435" ht="14.25" customHeight="1">
      <c r="A6435" s="2" t="s">
        <v>277</v>
      </c>
      <c r="B6435" s="2" t="s">
        <v>278</v>
      </c>
      <c r="C6435" s="2">
        <v>2000.0</v>
      </c>
      <c r="D6435" s="9">
        <v>17035.725</v>
      </c>
      <c r="E6435" s="10" t="str">
        <f t="array" ref="E6435">IFS(D6435&lt;=$G$3,'calculated data '!$A$3,D6435&lt;=$G$4,'calculated data '!$A$4,D6435&lt;=$G$6,'calculated data '!$A$5,D6435&gt;=$G$6,'calculated data '!$A$6)</f>
        <v>Target Market (Core IQR)</v>
      </c>
      <c r="F6435" s="10">
        <f t="shared" si="1"/>
        <v>-0.2122400771</v>
      </c>
    </row>
    <row r="6436" ht="14.25" customHeight="1">
      <c r="A6436" s="2" t="s">
        <v>71</v>
      </c>
      <c r="B6436" s="2" t="s">
        <v>72</v>
      </c>
      <c r="C6436" s="2">
        <v>1980.0</v>
      </c>
      <c r="D6436" s="9">
        <v>17037.115</v>
      </c>
      <c r="E6436" s="10" t="str">
        <f t="array" ref="E6436">IFS(D6436&lt;=$G$3,'calculated data '!$A$3,D6436&lt;=$G$4,'calculated data '!$A$4,D6436&lt;=$G$6,'calculated data '!$A$5,D6436&gt;=$G$6,'calculated data '!$A$6)</f>
        <v>Target Market (Core IQR)</v>
      </c>
      <c r="F6436" s="10">
        <f t="shared" si="1"/>
        <v>-0.2122032842</v>
      </c>
    </row>
    <row r="6437" ht="14.25" customHeight="1">
      <c r="A6437" s="2" t="s">
        <v>327</v>
      </c>
      <c r="B6437" s="2" t="s">
        <v>328</v>
      </c>
      <c r="C6437" s="2">
        <v>1999.0</v>
      </c>
      <c r="D6437" s="9">
        <v>17044.453</v>
      </c>
      <c r="E6437" s="10" t="str">
        <f t="array" ref="E6437">IFS(D6437&lt;=$G$3,'calculated data '!$A$3,D6437&lt;=$G$4,'calculated data '!$A$4,D6437&lt;=$G$6,'calculated data '!$A$5,D6437&gt;=$G$6,'calculated data '!$A$6)</f>
        <v>Target Market (Core IQR)</v>
      </c>
      <c r="F6437" s="10">
        <f t="shared" si="1"/>
        <v>-0.2120090491</v>
      </c>
    </row>
    <row r="6438" ht="14.25" customHeight="1">
      <c r="A6438" s="2" t="s">
        <v>241</v>
      </c>
      <c r="B6438" s="2" t="s">
        <v>242</v>
      </c>
      <c r="C6438" s="2">
        <v>2020.0</v>
      </c>
      <c r="D6438" s="9">
        <v>17047.527</v>
      </c>
      <c r="E6438" s="10" t="str">
        <f t="array" ref="E6438">IFS(D6438&lt;=$G$3,'calculated data '!$A$3,D6438&lt;=$G$4,'calculated data '!$A$4,D6438&lt;=$G$6,'calculated data '!$A$5,D6438&gt;=$G$6,'calculated data '!$A$6)</f>
        <v>Target Market (Core IQR)</v>
      </c>
      <c r="F6438" s="10">
        <f t="shared" si="1"/>
        <v>-0.2119276811</v>
      </c>
    </row>
    <row r="6439" ht="14.25" customHeight="1">
      <c r="A6439" s="2" t="s">
        <v>141</v>
      </c>
      <c r="B6439" s="2" t="s">
        <v>142</v>
      </c>
      <c r="C6439" s="2">
        <v>2010.0</v>
      </c>
      <c r="D6439" s="9">
        <v>17050.422</v>
      </c>
      <c r="E6439" s="10" t="str">
        <f t="array" ref="E6439">IFS(D6439&lt;=$G$3,'calculated data '!$A$3,D6439&lt;=$G$4,'calculated data '!$A$4,D6439&lt;=$G$6,'calculated data '!$A$5,D6439&gt;=$G$6,'calculated data '!$A$6)</f>
        <v>Target Market (Core IQR)</v>
      </c>
      <c r="F6439" s="10">
        <f t="shared" si="1"/>
        <v>-0.2118510512</v>
      </c>
    </row>
    <row r="6440" ht="14.25" customHeight="1">
      <c r="A6440" s="2" t="s">
        <v>71</v>
      </c>
      <c r="B6440" s="2" t="s">
        <v>72</v>
      </c>
      <c r="C6440" s="2">
        <v>1981.0</v>
      </c>
      <c r="D6440" s="9">
        <v>17050.559</v>
      </c>
      <c r="E6440" s="10" t="str">
        <f t="array" ref="E6440">IFS(D6440&lt;=$G$3,'calculated data '!$A$3,D6440&lt;=$G$4,'calculated data '!$A$4,D6440&lt;=$G$6,'calculated data '!$A$5,D6440&gt;=$G$6,'calculated data '!$A$6)</f>
        <v>Target Market (Core IQR)</v>
      </c>
      <c r="F6440" s="10">
        <f t="shared" si="1"/>
        <v>-0.2118474248</v>
      </c>
    </row>
    <row r="6441" ht="14.25" customHeight="1">
      <c r="A6441" s="2" t="s">
        <v>57</v>
      </c>
      <c r="B6441" s="2" t="s">
        <v>58</v>
      </c>
      <c r="C6441" s="2">
        <v>1978.0</v>
      </c>
      <c r="D6441" s="9">
        <v>17055.178</v>
      </c>
      <c r="E6441" s="10" t="str">
        <f t="array" ref="E6441">IFS(D6441&lt;=$G$3,'calculated data '!$A$3,D6441&lt;=$G$4,'calculated data '!$A$4,D6441&lt;=$G$6,'calculated data '!$A$5,D6441&gt;=$G$6,'calculated data '!$A$6)</f>
        <v>Target Market (Core IQR)</v>
      </c>
      <c r="F6441" s="10">
        <f t="shared" si="1"/>
        <v>-0.2117251611</v>
      </c>
    </row>
    <row r="6442" ht="14.25" customHeight="1">
      <c r="A6442" s="2" t="s">
        <v>291</v>
      </c>
      <c r="B6442" s="2" t="s">
        <v>292</v>
      </c>
      <c r="C6442" s="2">
        <v>2010.0</v>
      </c>
      <c r="D6442" s="9">
        <v>17059.22</v>
      </c>
      <c r="E6442" s="10" t="str">
        <f t="array" ref="E6442">IFS(D6442&lt;=$G$3,'calculated data '!$A$3,D6442&lt;=$G$4,'calculated data '!$A$4,D6442&lt;=$G$6,'calculated data '!$A$5,D6442&gt;=$G$6,'calculated data '!$A$6)</f>
        <v>Target Market (Core IQR)</v>
      </c>
      <c r="F6442" s="10">
        <f t="shared" si="1"/>
        <v>-0.2116181703</v>
      </c>
    </row>
    <row r="6443" ht="14.25" customHeight="1">
      <c r="A6443" s="2" t="s">
        <v>327</v>
      </c>
      <c r="B6443" s="2" t="s">
        <v>328</v>
      </c>
      <c r="C6443" s="2">
        <v>2003.0</v>
      </c>
      <c r="D6443" s="9">
        <v>17072.861</v>
      </c>
      <c r="E6443" s="10" t="str">
        <f t="array" ref="E6443">IFS(D6443&lt;=$G$3,'calculated data '!$A$3,D6443&lt;=$G$4,'calculated data '!$A$4,D6443&lt;=$G$6,'calculated data '!$A$5,D6443&gt;=$G$6,'calculated data '!$A$6)</f>
        <v>Target Market (Core IQR)</v>
      </c>
      <c r="F6443" s="10">
        <f t="shared" si="1"/>
        <v>-0.2112570965</v>
      </c>
    </row>
    <row r="6444" ht="14.25" customHeight="1">
      <c r="A6444" s="2" t="s">
        <v>28</v>
      </c>
      <c r="B6444" s="2" t="s">
        <v>29</v>
      </c>
      <c r="C6444" s="2">
        <v>1986.0</v>
      </c>
      <c r="D6444" s="9">
        <v>17087.75</v>
      </c>
      <c r="E6444" s="10" t="str">
        <f t="array" ref="E6444">IFS(D6444&lt;=$G$3,'calculated data '!$A$3,D6444&lt;=$G$4,'calculated data '!$A$4,D6444&lt;=$G$6,'calculated data '!$A$5,D6444&gt;=$G$6,'calculated data '!$A$6)</f>
        <v>Target Market (Core IQR)</v>
      </c>
      <c r="F6444" s="10">
        <f t="shared" si="1"/>
        <v>-0.2108629883</v>
      </c>
    </row>
    <row r="6445" ht="14.25" customHeight="1">
      <c r="A6445" s="2" t="s">
        <v>57</v>
      </c>
      <c r="B6445" s="2" t="s">
        <v>58</v>
      </c>
      <c r="C6445" s="2">
        <v>1996.0</v>
      </c>
      <c r="D6445" s="9">
        <v>17092.805</v>
      </c>
      <c r="E6445" s="10" t="str">
        <f t="array" ref="E6445">IFS(D6445&lt;=$G$3,'calculated data '!$A$3,D6445&lt;=$G$4,'calculated data '!$A$4,D6445&lt;=$G$6,'calculated data '!$A$5,D6445&gt;=$G$6,'calculated data '!$A$6)</f>
        <v>Target Market (Core IQR)</v>
      </c>
      <c r="F6445" s="10">
        <f t="shared" si="1"/>
        <v>-0.2107291837</v>
      </c>
    </row>
    <row r="6446" ht="14.25" customHeight="1">
      <c r="A6446" s="2" t="s">
        <v>339</v>
      </c>
      <c r="B6446" s="2" t="s">
        <v>340</v>
      </c>
      <c r="C6446" s="2">
        <v>1995.0</v>
      </c>
      <c r="D6446" s="9">
        <v>17093.832</v>
      </c>
      <c r="E6446" s="10" t="str">
        <f t="array" ref="E6446">IFS(D6446&lt;=$G$3,'calculated data '!$A$3,D6446&lt;=$G$4,'calculated data '!$A$4,D6446&lt;=$G$6,'calculated data '!$A$5,D6446&gt;=$G$6,'calculated data '!$A$6)</f>
        <v>Target Market (Core IQR)</v>
      </c>
      <c r="F6446" s="10">
        <f t="shared" si="1"/>
        <v>-0.2107019993</v>
      </c>
    </row>
    <row r="6447" ht="14.25" customHeight="1">
      <c r="A6447" s="2" t="s">
        <v>231</v>
      </c>
      <c r="B6447" s="2" t="s">
        <v>232</v>
      </c>
      <c r="C6447" s="2">
        <v>2013.0</v>
      </c>
      <c r="D6447" s="9">
        <v>17100.605</v>
      </c>
      <c r="E6447" s="10" t="str">
        <f t="array" ref="E6447">IFS(D6447&lt;=$G$3,'calculated data '!$A$3,D6447&lt;=$G$4,'calculated data '!$A$4,D6447&lt;=$G$6,'calculated data '!$A$5,D6447&gt;=$G$6,'calculated data '!$A$6)</f>
        <v>Target Market (Core IQR)</v>
      </c>
      <c r="F6447" s="10">
        <f t="shared" si="1"/>
        <v>-0.2105227197</v>
      </c>
    </row>
    <row r="6448" ht="14.25" customHeight="1">
      <c r="A6448" s="2" t="s">
        <v>311</v>
      </c>
      <c r="B6448" s="2" t="s">
        <v>312</v>
      </c>
      <c r="C6448" s="2">
        <v>2001.0</v>
      </c>
      <c r="D6448" s="9">
        <v>17105.523</v>
      </c>
      <c r="E6448" s="10" t="str">
        <f t="array" ref="E6448">IFS(D6448&lt;=$G$3,'calculated data '!$A$3,D6448&lt;=$G$4,'calculated data '!$A$4,D6448&lt;=$G$6,'calculated data '!$A$5,D6448&gt;=$G$6,'calculated data '!$A$6)</f>
        <v>Target Market (Core IQR)</v>
      </c>
      <c r="F6448" s="10">
        <f t="shared" si="1"/>
        <v>-0.2103925414</v>
      </c>
    </row>
    <row r="6449" ht="14.25" customHeight="1">
      <c r="A6449" s="2" t="s">
        <v>57</v>
      </c>
      <c r="B6449" s="2" t="s">
        <v>58</v>
      </c>
      <c r="C6449" s="2">
        <v>1991.0</v>
      </c>
      <c r="D6449" s="9">
        <v>17106.277</v>
      </c>
      <c r="E6449" s="10" t="str">
        <f t="array" ref="E6449">IFS(D6449&lt;=$G$3,'calculated data '!$A$3,D6449&lt;=$G$4,'calculated data '!$A$4,D6449&lt;=$G$6,'calculated data '!$A$5,D6449&gt;=$G$6,'calculated data '!$A$6)</f>
        <v>Target Market (Core IQR)</v>
      </c>
      <c r="F6449" s="10">
        <f t="shared" si="1"/>
        <v>-0.2103725833</v>
      </c>
    </row>
    <row r="6450" ht="14.25" customHeight="1">
      <c r="A6450" s="2" t="s">
        <v>31</v>
      </c>
      <c r="B6450" s="2" t="s">
        <v>32</v>
      </c>
      <c r="C6450" s="2">
        <v>1994.0</v>
      </c>
      <c r="D6450" s="9">
        <v>17108.479</v>
      </c>
      <c r="E6450" s="10" t="str">
        <f t="array" ref="E6450">IFS(D6450&lt;=$G$3,'calculated data '!$A$3,D6450&lt;=$G$4,'calculated data '!$A$4,D6450&lt;=$G$6,'calculated data '!$A$5,D6450&gt;=$G$6,'calculated data '!$A$6)</f>
        <v>Target Market (Core IQR)</v>
      </c>
      <c r="F6450" s="10">
        <f t="shared" si="1"/>
        <v>-0.2103142969</v>
      </c>
    </row>
    <row r="6451" ht="14.25" customHeight="1">
      <c r="A6451" s="2" t="s">
        <v>28</v>
      </c>
      <c r="B6451" s="2" t="s">
        <v>29</v>
      </c>
      <c r="C6451" s="2">
        <v>2004.0</v>
      </c>
      <c r="D6451" s="9">
        <v>17118.662</v>
      </c>
      <c r="E6451" s="10" t="str">
        <f t="array" ref="E6451">IFS(D6451&lt;=$G$3,'calculated data '!$A$3,D6451&lt;=$G$4,'calculated data '!$A$4,D6451&lt;=$G$6,'calculated data '!$A$5,D6451&gt;=$G$6,'calculated data '!$A$6)</f>
        <v>Target Market (Core IQR)</v>
      </c>
      <c r="F6451" s="10">
        <f t="shared" si="1"/>
        <v>-0.2100447554</v>
      </c>
    </row>
    <row r="6452" ht="14.25" customHeight="1">
      <c r="A6452" s="2" t="s">
        <v>357</v>
      </c>
      <c r="B6452" s="2" t="s">
        <v>358</v>
      </c>
      <c r="C6452" s="2">
        <v>1997.0</v>
      </c>
      <c r="D6452" s="9">
        <v>17130.695</v>
      </c>
      <c r="E6452" s="10" t="str">
        <f t="array" ref="E6452">IFS(D6452&lt;=$G$3,'calculated data '!$A$3,D6452&lt;=$G$4,'calculated data '!$A$4,D6452&lt;=$G$6,'calculated data '!$A$5,D6452&gt;=$G$6,'calculated data '!$A$6)</f>
        <v>Target Market (Core IQR)</v>
      </c>
      <c r="F6452" s="10">
        <f t="shared" si="1"/>
        <v>-0.2097262449</v>
      </c>
    </row>
    <row r="6453" ht="14.25" customHeight="1">
      <c r="A6453" s="2" t="s">
        <v>339</v>
      </c>
      <c r="B6453" s="2" t="s">
        <v>340</v>
      </c>
      <c r="C6453" s="2">
        <v>1992.0</v>
      </c>
      <c r="D6453" s="9">
        <v>17132.494</v>
      </c>
      <c r="E6453" s="10" t="str">
        <f t="array" ref="E6453">IFS(D6453&lt;=$G$3,'calculated data '!$A$3,D6453&lt;=$G$4,'calculated data '!$A$4,D6453&lt;=$G$6,'calculated data '!$A$5,D6453&gt;=$G$6,'calculated data '!$A$6)</f>
        <v>Target Market (Core IQR)</v>
      </c>
      <c r="F6453" s="10">
        <f t="shared" si="1"/>
        <v>-0.2096786258</v>
      </c>
    </row>
    <row r="6454" ht="14.25" customHeight="1">
      <c r="A6454" s="2" t="s">
        <v>301</v>
      </c>
      <c r="B6454" s="2" t="s">
        <v>302</v>
      </c>
      <c r="C6454" s="2">
        <v>2004.0</v>
      </c>
      <c r="D6454" s="9">
        <v>17134.89</v>
      </c>
      <c r="E6454" s="10" t="str">
        <f t="array" ref="E6454">IFS(D6454&lt;=$G$3,'calculated data '!$A$3,D6454&lt;=$G$4,'calculated data '!$A$4,D6454&lt;=$G$6,'calculated data '!$A$5,D6454&gt;=$G$6,'calculated data '!$A$6)</f>
        <v>Target Market (Core IQR)</v>
      </c>
      <c r="F6454" s="10">
        <f t="shared" si="1"/>
        <v>-0.2096152043</v>
      </c>
    </row>
    <row r="6455" ht="14.25" customHeight="1">
      <c r="A6455" s="2" t="s">
        <v>359</v>
      </c>
      <c r="B6455" s="2" t="s">
        <v>360</v>
      </c>
      <c r="C6455" s="2">
        <v>2014.0</v>
      </c>
      <c r="D6455" s="9">
        <v>17135.658</v>
      </c>
      <c r="E6455" s="10" t="str">
        <f t="array" ref="E6455">IFS(D6455&lt;=$G$3,'calculated data '!$A$3,D6455&lt;=$G$4,'calculated data '!$A$4,D6455&lt;=$G$6,'calculated data '!$A$5,D6455&gt;=$G$6,'calculated data '!$A$6)</f>
        <v>Target Market (Core IQR)</v>
      </c>
      <c r="F6455" s="10">
        <f t="shared" si="1"/>
        <v>-0.2095948755</v>
      </c>
    </row>
    <row r="6456" ht="14.25" customHeight="1">
      <c r="A6456" s="2" t="s">
        <v>279</v>
      </c>
      <c r="B6456" s="2" t="s">
        <v>280</v>
      </c>
      <c r="C6456" s="2">
        <v>1982.0</v>
      </c>
      <c r="D6456" s="9">
        <v>17137.08</v>
      </c>
      <c r="E6456" s="10" t="str">
        <f t="array" ref="E6456">IFS(D6456&lt;=$G$3,'calculated data '!$A$3,D6456&lt;=$G$4,'calculated data '!$A$4,D6456&lt;=$G$6,'calculated data '!$A$5,D6456&gt;=$G$6,'calculated data '!$A$6)</f>
        <v>Target Market (Core IQR)</v>
      </c>
      <c r="F6456" s="10">
        <f t="shared" si="1"/>
        <v>-0.2095572355</v>
      </c>
    </row>
    <row r="6457" ht="14.25" customHeight="1">
      <c r="A6457" s="2" t="s">
        <v>31</v>
      </c>
      <c r="B6457" s="2" t="s">
        <v>32</v>
      </c>
      <c r="C6457" s="2">
        <v>1996.0</v>
      </c>
      <c r="D6457" s="9">
        <v>17150.654</v>
      </c>
      <c r="E6457" s="10" t="str">
        <f t="array" ref="E6457">IFS(D6457&lt;=$G$3,'calculated data '!$A$3,D6457&lt;=$G$4,'calculated data '!$A$4,D6457&lt;=$G$6,'calculated data '!$A$5,D6457&gt;=$G$6,'calculated data '!$A$6)</f>
        <v>Target Market (Core IQR)</v>
      </c>
      <c r="F6457" s="10">
        <f t="shared" si="1"/>
        <v>-0.2091979351</v>
      </c>
    </row>
    <row r="6458" ht="14.25" customHeight="1">
      <c r="A6458" s="2" t="s">
        <v>365</v>
      </c>
      <c r="B6458" s="2" t="s">
        <v>366</v>
      </c>
      <c r="C6458" s="2">
        <v>2012.0</v>
      </c>
      <c r="D6458" s="9">
        <v>17150.955</v>
      </c>
      <c r="E6458" s="10" t="str">
        <f t="array" ref="E6458">IFS(D6458&lt;=$G$3,'calculated data '!$A$3,D6458&lt;=$G$4,'calculated data '!$A$4,D6458&lt;=$G$6,'calculated data '!$A$5,D6458&gt;=$G$6,'calculated data '!$A$6)</f>
        <v>Target Market (Core IQR)</v>
      </c>
      <c r="F6458" s="10">
        <f t="shared" si="1"/>
        <v>-0.2091899677</v>
      </c>
    </row>
    <row r="6459" ht="14.25" customHeight="1">
      <c r="A6459" s="2" t="s">
        <v>57</v>
      </c>
      <c r="B6459" s="2" t="s">
        <v>58</v>
      </c>
      <c r="C6459" s="2">
        <v>2001.0</v>
      </c>
      <c r="D6459" s="9">
        <v>17155.463</v>
      </c>
      <c r="E6459" s="10" t="str">
        <f t="array" ref="E6459">IFS(D6459&lt;=$G$3,'calculated data '!$A$3,D6459&lt;=$G$4,'calculated data '!$A$4,D6459&lt;=$G$6,'calculated data '!$A$5,D6459&gt;=$G$6,'calculated data '!$A$6)</f>
        <v>Target Market (Core IQR)</v>
      </c>
      <c r="F6459" s="10">
        <f t="shared" si="1"/>
        <v>-0.2090706421</v>
      </c>
    </row>
    <row r="6460" ht="14.25" customHeight="1">
      <c r="A6460" s="2" t="s">
        <v>365</v>
      </c>
      <c r="B6460" s="2" t="s">
        <v>366</v>
      </c>
      <c r="C6460" s="2">
        <v>2015.0</v>
      </c>
      <c r="D6460" s="9">
        <v>17168.646</v>
      </c>
      <c r="E6460" s="10" t="str">
        <f t="array" ref="E6460">IFS(D6460&lt;=$G$3,'calculated data '!$A$3,D6460&lt;=$G$4,'calculated data '!$A$4,D6460&lt;=$G$6,'calculated data '!$A$5,D6460&gt;=$G$6,'calculated data '!$A$6)</f>
        <v>Target Market (Core IQR)</v>
      </c>
      <c r="F6460" s="10">
        <f t="shared" si="1"/>
        <v>-0.2087216914</v>
      </c>
    </row>
    <row r="6461" ht="14.25" customHeight="1">
      <c r="A6461" s="2" t="s">
        <v>279</v>
      </c>
      <c r="B6461" s="2" t="s">
        <v>280</v>
      </c>
      <c r="C6461" s="2">
        <v>1980.0</v>
      </c>
      <c r="D6461" s="9">
        <v>17168.812</v>
      </c>
      <c r="E6461" s="10" t="str">
        <f t="array" ref="E6461">IFS(D6461&lt;=$G$3,'calculated data '!$A$3,D6461&lt;=$G$4,'calculated data '!$A$4,D6461&lt;=$G$6,'calculated data '!$A$5,D6461&gt;=$G$6,'calculated data '!$A$6)</f>
        <v>Target Market (Core IQR)</v>
      </c>
      <c r="F6461" s="10">
        <f t="shared" si="1"/>
        <v>-0.2087172974</v>
      </c>
    </row>
    <row r="6462" ht="14.25" customHeight="1">
      <c r="A6462" s="2" t="s">
        <v>233</v>
      </c>
      <c r="B6462" s="2" t="s">
        <v>234</v>
      </c>
      <c r="C6462" s="2">
        <v>1994.0</v>
      </c>
      <c r="D6462" s="9">
        <v>17170.379</v>
      </c>
      <c r="E6462" s="10" t="str">
        <f t="array" ref="E6462">IFS(D6462&lt;=$G$3,'calculated data '!$A$3,D6462&lt;=$G$4,'calculated data '!$A$4,D6462&lt;=$G$6,'calculated data '!$A$5,D6462&gt;=$G$6,'calculated data '!$A$6)</f>
        <v>Target Market (Core IQR)</v>
      </c>
      <c r="F6462" s="10">
        <f t="shared" si="1"/>
        <v>-0.2086758193</v>
      </c>
    </row>
    <row r="6463" ht="14.25" customHeight="1">
      <c r="A6463" s="2" t="s">
        <v>57</v>
      </c>
      <c r="B6463" s="2" t="s">
        <v>58</v>
      </c>
      <c r="C6463" s="2">
        <v>2000.0</v>
      </c>
      <c r="D6463" s="9">
        <v>17172.146</v>
      </c>
      <c r="E6463" s="10" t="str">
        <f t="array" ref="E6463">IFS(D6463&lt;=$G$3,'calculated data '!$A$3,D6463&lt;=$G$4,'calculated data '!$A$4,D6463&lt;=$G$6,'calculated data '!$A$5,D6463&gt;=$G$6,'calculated data '!$A$6)</f>
        <v>Target Market (Core IQR)</v>
      </c>
      <c r="F6463" s="10">
        <f t="shared" si="1"/>
        <v>-0.2086290472</v>
      </c>
    </row>
    <row r="6464" ht="14.25" customHeight="1">
      <c r="A6464" s="2" t="s">
        <v>229</v>
      </c>
      <c r="B6464" s="2" t="s">
        <v>230</v>
      </c>
      <c r="C6464" s="2">
        <v>2019.0</v>
      </c>
      <c r="D6464" s="9">
        <v>17179.545</v>
      </c>
      <c r="E6464" s="10" t="str">
        <f t="array" ref="E6464">IFS(D6464&lt;=$G$3,'calculated data '!$A$3,D6464&lt;=$G$4,'calculated data '!$A$4,D6464&lt;=$G$6,'calculated data '!$A$5,D6464&gt;=$G$6,'calculated data '!$A$6)</f>
        <v>Target Market (Core IQR)</v>
      </c>
      <c r="F6464" s="10">
        <f t="shared" si="1"/>
        <v>-0.2084331975</v>
      </c>
    </row>
    <row r="6465" ht="14.25" customHeight="1">
      <c r="A6465" s="2" t="s">
        <v>359</v>
      </c>
      <c r="B6465" s="2" t="s">
        <v>360</v>
      </c>
      <c r="C6465" s="2">
        <v>2022.0</v>
      </c>
      <c r="D6465" s="9">
        <v>17179.89</v>
      </c>
      <c r="E6465" s="10" t="str">
        <f t="array" ref="E6465">IFS(D6465&lt;=$G$3,'calculated data '!$A$3,D6465&lt;=$G$4,'calculated data '!$A$4,D6465&lt;=$G$6,'calculated data '!$A$5,D6465&gt;=$G$6,'calculated data '!$A$6)</f>
        <v>Target Market (Core IQR)</v>
      </c>
      <c r="F6465" s="10">
        <f t="shared" si="1"/>
        <v>-0.2084240655</v>
      </c>
    </row>
    <row r="6466" ht="14.25" customHeight="1">
      <c r="A6466" s="2" t="s">
        <v>325</v>
      </c>
      <c r="B6466" s="2" t="s">
        <v>326</v>
      </c>
      <c r="C6466" s="2">
        <v>2022.0</v>
      </c>
      <c r="D6466" s="9">
        <v>17194.473</v>
      </c>
      <c r="E6466" s="10" t="str">
        <f t="array" ref="E6466">IFS(D6466&lt;=$G$3,'calculated data '!$A$3,D6466&lt;=$G$4,'calculated data '!$A$4,D6466&lt;=$G$6,'calculated data '!$A$5,D6466&gt;=$G$6,'calculated data '!$A$6)</f>
        <v>Target Market (Core IQR)</v>
      </c>
      <c r="F6466" s="10">
        <f t="shared" si="1"/>
        <v>-0.2080380571</v>
      </c>
    </row>
    <row r="6467" ht="14.25" customHeight="1">
      <c r="A6467" s="2" t="s">
        <v>291</v>
      </c>
      <c r="B6467" s="2" t="s">
        <v>292</v>
      </c>
      <c r="C6467" s="2">
        <v>1992.0</v>
      </c>
      <c r="D6467" s="9">
        <v>17224.73</v>
      </c>
      <c r="E6467" s="10" t="str">
        <f t="array" ref="E6467">IFS(D6467&lt;=$G$3,'calculated data '!$A$3,D6467&lt;=$G$4,'calculated data '!$A$4,D6467&lt;=$G$6,'calculated data '!$A$5,D6467&gt;=$G$6,'calculated data '!$A$6)</f>
        <v>Target Market (Core IQR)</v>
      </c>
      <c r="F6467" s="10">
        <f t="shared" si="1"/>
        <v>-0.2072371618</v>
      </c>
    </row>
    <row r="6468" ht="14.25" customHeight="1">
      <c r="A6468" s="2" t="s">
        <v>39</v>
      </c>
      <c r="B6468" s="2" t="s">
        <v>40</v>
      </c>
      <c r="C6468" s="2">
        <v>1990.0</v>
      </c>
      <c r="D6468" s="9">
        <v>17230.557</v>
      </c>
      <c r="E6468" s="10" t="str">
        <f t="array" ref="E6468">IFS(D6468&lt;=$G$3,'calculated data '!$A$3,D6468&lt;=$G$4,'calculated data '!$A$4,D6468&lt;=$G$6,'calculated data '!$A$5,D6468&gt;=$G$6,'calculated data '!$A$6)</f>
        <v>Target Market (Core IQR)</v>
      </c>
      <c r="F6468" s="10">
        <f t="shared" si="1"/>
        <v>-0.2070829226</v>
      </c>
    </row>
    <row r="6469" ht="14.25" customHeight="1">
      <c r="A6469" s="2" t="s">
        <v>249</v>
      </c>
      <c r="B6469" s="2" t="s">
        <v>250</v>
      </c>
      <c r="C6469" s="2">
        <v>1993.0</v>
      </c>
      <c r="D6469" s="9">
        <v>17235.146</v>
      </c>
      <c r="E6469" s="10" t="str">
        <f t="array" ref="E6469">IFS(D6469&lt;=$G$3,'calculated data '!$A$3,D6469&lt;=$G$4,'calculated data '!$A$4,D6469&lt;=$G$6,'calculated data '!$A$5,D6469&gt;=$G$6,'calculated data '!$A$6)</f>
        <v>Target Market (Core IQR)</v>
      </c>
      <c r="F6469" s="10">
        <f t="shared" si="1"/>
        <v>-0.2069614529</v>
      </c>
    </row>
    <row r="6470" ht="14.25" customHeight="1">
      <c r="A6470" s="2" t="s">
        <v>349</v>
      </c>
      <c r="B6470" s="2" t="s">
        <v>350</v>
      </c>
      <c r="C6470" s="2">
        <v>2018.0</v>
      </c>
      <c r="D6470" s="9">
        <v>17235.754</v>
      </c>
      <c r="E6470" s="10" t="str">
        <f t="array" ref="E6470">IFS(D6470&lt;=$G$3,'calculated data '!$A$3,D6470&lt;=$G$4,'calculated data '!$A$4,D6470&lt;=$G$6,'calculated data '!$A$5,D6470&gt;=$G$6,'calculated data '!$A$6)</f>
        <v>Target Market (Core IQR)</v>
      </c>
      <c r="F6470" s="10">
        <f t="shared" si="1"/>
        <v>-0.2069453593</v>
      </c>
    </row>
    <row r="6471" ht="14.25" customHeight="1">
      <c r="A6471" s="2" t="s">
        <v>311</v>
      </c>
      <c r="B6471" s="2" t="s">
        <v>312</v>
      </c>
      <c r="C6471" s="2">
        <v>2000.0</v>
      </c>
      <c r="D6471" s="9">
        <v>17236.658</v>
      </c>
      <c r="E6471" s="10" t="str">
        <f t="array" ref="E6471">IFS(D6471&lt;=$G$3,'calculated data '!$A$3,D6471&lt;=$G$4,'calculated data '!$A$4,D6471&lt;=$G$6,'calculated data '!$A$5,D6471&gt;=$G$6,'calculated data '!$A$6)</f>
        <v>Target Market (Core IQR)</v>
      </c>
      <c r="F6471" s="10">
        <f t="shared" si="1"/>
        <v>-0.2069214307</v>
      </c>
    </row>
    <row r="6472" ht="14.25" customHeight="1">
      <c r="A6472" s="2" t="s">
        <v>295</v>
      </c>
      <c r="B6472" s="2" t="s">
        <v>296</v>
      </c>
      <c r="C6472" s="2">
        <v>2020.0</v>
      </c>
      <c r="D6472" s="9">
        <v>17240.398</v>
      </c>
      <c r="E6472" s="10" t="str">
        <f t="array" ref="E6472">IFS(D6472&lt;=$G$3,'calculated data '!$A$3,D6472&lt;=$G$4,'calculated data '!$A$4,D6472&lt;=$G$6,'calculated data '!$A$5,D6472&gt;=$G$6,'calculated data '!$A$6)</f>
        <v>Target Market (Core IQR)</v>
      </c>
      <c r="F6472" s="10">
        <f t="shared" si="1"/>
        <v>-0.2068224338</v>
      </c>
    </row>
    <row r="6473" ht="14.25" customHeight="1">
      <c r="A6473" s="2" t="s">
        <v>359</v>
      </c>
      <c r="B6473" s="2" t="s">
        <v>360</v>
      </c>
      <c r="C6473" s="2">
        <v>2015.0</v>
      </c>
      <c r="D6473" s="9">
        <v>17253.637</v>
      </c>
      <c r="E6473" s="10" t="str">
        <f t="array" ref="E6473">IFS(D6473&lt;=$G$3,'calculated data '!$A$3,D6473&lt;=$G$4,'calculated data '!$A$4,D6473&lt;=$G$6,'calculated data '!$A$5,D6473&gt;=$G$6,'calculated data '!$A$6)</f>
        <v>Target Market (Core IQR)</v>
      </c>
      <c r="F6473" s="10">
        <f t="shared" si="1"/>
        <v>-0.2064720008</v>
      </c>
    </row>
    <row r="6474" ht="14.25" customHeight="1">
      <c r="A6474" s="2" t="s">
        <v>323</v>
      </c>
      <c r="B6474" s="2" t="s">
        <v>324</v>
      </c>
      <c r="C6474" s="2">
        <v>2002.0</v>
      </c>
      <c r="D6474" s="9">
        <v>17263.035</v>
      </c>
      <c r="E6474" s="10" t="str">
        <f t="array" ref="E6474">IFS(D6474&lt;=$G$3,'calculated data '!$A$3,D6474&lt;=$G$4,'calculated data '!$A$4,D6474&lt;=$G$6,'calculated data '!$A$5,D6474&gt;=$G$6,'calculated data '!$A$6)</f>
        <v>Target Market (Core IQR)</v>
      </c>
      <c r="F6474" s="10">
        <f t="shared" si="1"/>
        <v>-0.206223238</v>
      </c>
    </row>
    <row r="6475" ht="14.25" customHeight="1">
      <c r="A6475" s="2" t="s">
        <v>31</v>
      </c>
      <c r="B6475" s="2" t="s">
        <v>32</v>
      </c>
      <c r="C6475" s="2">
        <v>1999.0</v>
      </c>
      <c r="D6475" s="9">
        <v>17266.11</v>
      </c>
      <c r="E6475" s="10" t="str">
        <f t="array" ref="E6475">IFS(D6475&lt;=$G$3,'calculated data '!$A$3,D6475&lt;=$G$4,'calculated data '!$A$4,D6475&lt;=$G$6,'calculated data '!$A$5,D6475&gt;=$G$6,'calculated data '!$A$6)</f>
        <v>Target Market (Core IQR)</v>
      </c>
      <c r="F6475" s="10">
        <f t="shared" si="1"/>
        <v>-0.2061418436</v>
      </c>
    </row>
    <row r="6476" ht="14.25" customHeight="1">
      <c r="A6476" s="2" t="s">
        <v>57</v>
      </c>
      <c r="B6476" s="2" t="s">
        <v>58</v>
      </c>
      <c r="C6476" s="2">
        <v>1990.0</v>
      </c>
      <c r="D6476" s="9">
        <v>17270.41</v>
      </c>
      <c r="E6476" s="10" t="str">
        <f t="array" ref="E6476">IFS(D6476&lt;=$G$3,'calculated data '!$A$3,D6476&lt;=$G$4,'calculated data '!$A$4,D6476&lt;=$G$6,'calculated data '!$A$5,D6476&gt;=$G$6,'calculated data '!$A$6)</f>
        <v>Target Market (Core IQR)</v>
      </c>
      <c r="F6476" s="10">
        <f t="shared" si="1"/>
        <v>-0.2060280236</v>
      </c>
    </row>
    <row r="6477" ht="14.25" customHeight="1">
      <c r="A6477" s="2" t="s">
        <v>313</v>
      </c>
      <c r="B6477" s="2" t="s">
        <v>314</v>
      </c>
      <c r="C6477" s="2">
        <v>2001.0</v>
      </c>
      <c r="D6477" s="9">
        <v>17281.953</v>
      </c>
      <c r="E6477" s="10" t="str">
        <f t="array" ref="E6477">IFS(D6477&lt;=$G$3,'calculated data '!$A$3,D6477&lt;=$G$4,'calculated data '!$A$4,D6477&lt;=$G$6,'calculated data '!$A$5,D6477&gt;=$G$6,'calculated data '!$A$6)</f>
        <v>Target Market (Core IQR)</v>
      </c>
      <c r="F6477" s="10">
        <f t="shared" si="1"/>
        <v>-0.2057224833</v>
      </c>
    </row>
    <row r="6478" ht="14.25" customHeight="1">
      <c r="A6478" s="2" t="s">
        <v>361</v>
      </c>
      <c r="B6478" s="2" t="s">
        <v>362</v>
      </c>
      <c r="C6478" s="2">
        <v>1996.0</v>
      </c>
      <c r="D6478" s="9">
        <v>17283.504</v>
      </c>
      <c r="E6478" s="10" t="str">
        <f t="array" ref="E6478">IFS(D6478&lt;=$G$3,'calculated data '!$A$3,D6478&lt;=$G$4,'calculated data '!$A$4,D6478&lt;=$G$6,'calculated data '!$A$5,D6478&gt;=$G$6,'calculated data '!$A$6)</f>
        <v>Target Market (Core IQR)</v>
      </c>
      <c r="F6478" s="10">
        <f t="shared" si="1"/>
        <v>-0.2056814287</v>
      </c>
    </row>
    <row r="6479" ht="14.25" customHeight="1">
      <c r="A6479" s="2" t="s">
        <v>31</v>
      </c>
      <c r="B6479" s="2" t="s">
        <v>32</v>
      </c>
      <c r="C6479" s="2">
        <v>1998.0</v>
      </c>
      <c r="D6479" s="9">
        <v>17285.285</v>
      </c>
      <c r="E6479" s="10" t="str">
        <f t="array" ref="E6479">IFS(D6479&lt;=$G$3,'calculated data '!$A$3,D6479&lt;=$G$4,'calculated data '!$A$4,D6479&lt;=$G$6,'calculated data '!$A$5,D6479&gt;=$G$6,'calculated data '!$A$6)</f>
        <v>Target Market (Core IQR)</v>
      </c>
      <c r="F6479" s="10">
        <f t="shared" si="1"/>
        <v>-0.2056342861</v>
      </c>
    </row>
    <row r="6480" ht="14.25" customHeight="1">
      <c r="A6480" s="2" t="s">
        <v>359</v>
      </c>
      <c r="B6480" s="2" t="s">
        <v>360</v>
      </c>
      <c r="C6480" s="2">
        <v>2016.0</v>
      </c>
      <c r="D6480" s="9">
        <v>17289.984</v>
      </c>
      <c r="E6480" s="10" t="str">
        <f t="array" ref="E6480">IFS(D6480&lt;=$G$3,'calculated data '!$A$3,D6480&lt;=$G$4,'calculated data '!$A$4,D6480&lt;=$G$6,'calculated data '!$A$5,D6480&gt;=$G$6,'calculated data '!$A$6)</f>
        <v>Target Market (Core IQR)</v>
      </c>
      <c r="F6480" s="10">
        <f t="shared" si="1"/>
        <v>-0.2055099047</v>
      </c>
    </row>
    <row r="6481" ht="14.25" customHeight="1">
      <c r="A6481" s="2" t="s">
        <v>319</v>
      </c>
      <c r="B6481" s="2" t="s">
        <v>320</v>
      </c>
      <c r="C6481" s="2">
        <v>1973.0</v>
      </c>
      <c r="D6481" s="9">
        <v>17297.453</v>
      </c>
      <c r="E6481" s="10" t="str">
        <f t="array" ref="E6481">IFS(D6481&lt;=$G$3,'calculated data '!$A$3,D6481&lt;=$G$4,'calculated data '!$A$4,D6481&lt;=$G$6,'calculated data '!$A$5,D6481&gt;=$G$6,'calculated data '!$A$6)</f>
        <v>Target Market (Core IQR)</v>
      </c>
      <c r="F6481" s="10">
        <f t="shared" si="1"/>
        <v>-0.2053122021</v>
      </c>
    </row>
    <row r="6482" ht="14.25" customHeight="1">
      <c r="A6482" s="2" t="s">
        <v>57</v>
      </c>
      <c r="B6482" s="2" t="s">
        <v>58</v>
      </c>
      <c r="C6482" s="2">
        <v>1979.0</v>
      </c>
      <c r="D6482" s="9">
        <v>17302.312</v>
      </c>
      <c r="E6482" s="10" t="str">
        <f t="array" ref="E6482">IFS(D6482&lt;=$G$3,'calculated data '!$A$3,D6482&lt;=$G$4,'calculated data '!$A$4,D6482&lt;=$G$6,'calculated data '!$A$5,D6482&gt;=$G$6,'calculated data '!$A$6)</f>
        <v>Target Market (Core IQR)</v>
      </c>
      <c r="F6482" s="10">
        <f t="shared" si="1"/>
        <v>-0.2051835856</v>
      </c>
    </row>
    <row r="6483" ht="14.25" customHeight="1">
      <c r="A6483" s="2" t="s">
        <v>301</v>
      </c>
      <c r="B6483" s="2" t="s">
        <v>302</v>
      </c>
      <c r="C6483" s="2">
        <v>2019.0</v>
      </c>
      <c r="D6483" s="9">
        <v>17304.479</v>
      </c>
      <c r="E6483" s="10" t="str">
        <f t="array" ref="E6483">IFS(D6483&lt;=$G$3,'calculated data '!$A$3,D6483&lt;=$G$4,'calculated data '!$A$4,D6483&lt;=$G$6,'calculated data '!$A$5,D6483&gt;=$G$6,'calculated data '!$A$6)</f>
        <v>Target Market (Core IQR)</v>
      </c>
      <c r="F6483" s="10">
        <f t="shared" si="1"/>
        <v>-0.2051262257</v>
      </c>
    </row>
    <row r="6484" ht="14.25" customHeight="1">
      <c r="A6484" s="2" t="s">
        <v>359</v>
      </c>
      <c r="B6484" s="2" t="s">
        <v>360</v>
      </c>
      <c r="C6484" s="2">
        <v>1967.0</v>
      </c>
      <c r="D6484" s="9">
        <v>17308.941</v>
      </c>
      <c r="E6484" s="10" t="str">
        <f t="array" ref="E6484">IFS(D6484&lt;=$G$3,'calculated data '!$A$3,D6484&lt;=$G$4,'calculated data '!$A$4,D6484&lt;=$G$6,'calculated data '!$A$5,D6484&gt;=$G$6,'calculated data '!$A$6)</f>
        <v>Target Market (Core IQR)</v>
      </c>
      <c r="F6484" s="10">
        <f t="shared" si="1"/>
        <v>-0.2050081176</v>
      </c>
    </row>
    <row r="6485" ht="14.25" customHeight="1">
      <c r="A6485" s="2" t="s">
        <v>57</v>
      </c>
      <c r="B6485" s="2" t="s">
        <v>58</v>
      </c>
      <c r="C6485" s="2">
        <v>2002.0</v>
      </c>
      <c r="D6485" s="9">
        <v>17314.21</v>
      </c>
      <c r="E6485" s="10" t="str">
        <f t="array" ref="E6485">IFS(D6485&lt;=$G$3,'calculated data '!$A$3,D6485&lt;=$G$4,'calculated data '!$A$4,D6485&lt;=$G$6,'calculated data '!$A$5,D6485&gt;=$G$6,'calculated data '!$A$6)</f>
        <v>Target Market (Core IQR)</v>
      </c>
      <c r="F6485" s="10">
        <f t="shared" si="1"/>
        <v>-0.2048686485</v>
      </c>
    </row>
    <row r="6486" ht="14.25" customHeight="1">
      <c r="A6486" s="2" t="s">
        <v>363</v>
      </c>
      <c r="B6486" s="2" t="s">
        <v>364</v>
      </c>
      <c r="C6486" s="2">
        <v>2013.0</v>
      </c>
      <c r="D6486" s="9">
        <v>17314.732</v>
      </c>
      <c r="E6486" s="10" t="str">
        <f t="array" ref="E6486">IFS(D6486&lt;=$G$3,'calculated data '!$A$3,D6486&lt;=$G$4,'calculated data '!$A$4,D6486&lt;=$G$6,'calculated data '!$A$5,D6486&gt;=$G$6,'calculated data '!$A$6)</f>
        <v>Target Market (Core IQR)</v>
      </c>
      <c r="F6486" s="10">
        <f t="shared" si="1"/>
        <v>-0.2048548313</v>
      </c>
    </row>
    <row r="6487" ht="14.25" customHeight="1">
      <c r="A6487" s="2" t="s">
        <v>339</v>
      </c>
      <c r="B6487" s="2" t="s">
        <v>340</v>
      </c>
      <c r="C6487" s="2">
        <v>2017.0</v>
      </c>
      <c r="D6487" s="9">
        <v>17317.955</v>
      </c>
      <c r="E6487" s="10" t="str">
        <f t="array" ref="E6487">IFS(D6487&lt;=$G$3,'calculated data '!$A$3,D6487&lt;=$G$4,'calculated data '!$A$4,D6487&lt;=$G$6,'calculated data '!$A$5,D6487&gt;=$G$6,'calculated data '!$A$6)</f>
        <v>Target Market (Core IQR)</v>
      </c>
      <c r="F6487" s="10">
        <f t="shared" si="1"/>
        <v>-0.2047695193</v>
      </c>
    </row>
    <row r="6488" ht="14.25" customHeight="1">
      <c r="A6488" s="2" t="s">
        <v>57</v>
      </c>
      <c r="B6488" s="2" t="s">
        <v>58</v>
      </c>
      <c r="C6488" s="2">
        <v>1988.0</v>
      </c>
      <c r="D6488" s="9">
        <v>17328.123</v>
      </c>
      <c r="E6488" s="10" t="str">
        <f t="array" ref="E6488">IFS(D6488&lt;=$G$3,'calculated data '!$A$3,D6488&lt;=$G$4,'calculated data '!$A$4,D6488&lt;=$G$6,'calculated data '!$A$5,D6488&gt;=$G$6,'calculated data '!$A$6)</f>
        <v>Target Market (Core IQR)</v>
      </c>
      <c r="F6488" s="10">
        <f t="shared" si="1"/>
        <v>-0.2045003749</v>
      </c>
    </row>
    <row r="6489" ht="14.25" customHeight="1">
      <c r="A6489" s="2" t="s">
        <v>349</v>
      </c>
      <c r="B6489" s="2" t="s">
        <v>350</v>
      </c>
      <c r="C6489" s="2">
        <v>2015.0</v>
      </c>
      <c r="D6489" s="9">
        <v>17330.672</v>
      </c>
      <c r="E6489" s="10" t="str">
        <f t="array" ref="E6489">IFS(D6489&lt;=$G$3,'calculated data '!$A$3,D6489&lt;=$G$4,'calculated data '!$A$4,D6489&lt;=$G$6,'calculated data '!$A$5,D6489&gt;=$G$6,'calculated data '!$A$6)</f>
        <v>Target Market (Core IQR)</v>
      </c>
      <c r="F6489" s="10">
        <f t="shared" si="1"/>
        <v>-0.2044329035</v>
      </c>
    </row>
    <row r="6490" ht="14.25" customHeight="1">
      <c r="A6490" s="2" t="s">
        <v>309</v>
      </c>
      <c r="B6490" s="2" t="s">
        <v>310</v>
      </c>
      <c r="C6490" s="2">
        <v>1982.0</v>
      </c>
      <c r="D6490" s="9">
        <v>17349.246</v>
      </c>
      <c r="E6490" s="10" t="str">
        <f t="array" ref="E6490">IFS(D6490&lt;=$G$3,'calculated data '!$A$3,D6490&lt;=$G$4,'calculated data '!$A$4,D6490&lt;=$G$6,'calculated data '!$A$5,D6490&gt;=$G$6,'calculated data '!$A$6)</f>
        <v>Target Market (Core IQR)</v>
      </c>
      <c r="F6490" s="10">
        <f t="shared" si="1"/>
        <v>-0.2039412543</v>
      </c>
    </row>
    <row r="6491" ht="14.25" customHeight="1">
      <c r="A6491" s="2" t="s">
        <v>337</v>
      </c>
      <c r="B6491" s="2" t="s">
        <v>338</v>
      </c>
      <c r="C6491" s="2">
        <v>1983.0</v>
      </c>
      <c r="D6491" s="9">
        <v>17349.969</v>
      </c>
      <c r="E6491" s="10" t="str">
        <f t="array" ref="E6491">IFS(D6491&lt;=$G$3,'calculated data '!$A$3,D6491&lt;=$G$4,'calculated data '!$A$4,D6491&lt;=$G$6,'calculated data '!$A$5,D6491&gt;=$G$6,'calculated data '!$A$6)</f>
        <v>Target Market (Core IQR)</v>
      </c>
      <c r="F6491" s="10">
        <f t="shared" si="1"/>
        <v>-0.2039221167</v>
      </c>
    </row>
    <row r="6492" ht="14.25" customHeight="1">
      <c r="A6492" s="2" t="s">
        <v>359</v>
      </c>
      <c r="B6492" s="2" t="s">
        <v>360</v>
      </c>
      <c r="C6492" s="2">
        <v>2020.0</v>
      </c>
      <c r="D6492" s="9">
        <v>17350.008</v>
      </c>
      <c r="E6492" s="10" t="str">
        <f t="array" ref="E6492">IFS(D6492&lt;=$G$3,'calculated data '!$A$3,D6492&lt;=$G$4,'calculated data '!$A$4,D6492&lt;=$G$6,'calculated data '!$A$5,D6492&gt;=$G$6,'calculated data '!$A$6)</f>
        <v>Target Market (Core IQR)</v>
      </c>
      <c r="F6492" s="10">
        <f t="shared" si="1"/>
        <v>-0.2039210844</v>
      </c>
    </row>
    <row r="6493" ht="14.25" customHeight="1">
      <c r="A6493" s="2" t="s">
        <v>141</v>
      </c>
      <c r="B6493" s="2" t="s">
        <v>142</v>
      </c>
      <c r="C6493" s="2">
        <v>2011.0</v>
      </c>
      <c r="D6493" s="9">
        <v>17356.479</v>
      </c>
      <c r="E6493" s="10" t="str">
        <f t="array" ref="E6493">IFS(D6493&lt;=$G$3,'calculated data '!$A$3,D6493&lt;=$G$4,'calculated data '!$A$4,D6493&lt;=$G$6,'calculated data '!$A$5,D6493&gt;=$G$6,'calculated data '!$A$6)</f>
        <v>Target Market (Core IQR)</v>
      </c>
      <c r="F6493" s="10">
        <f t="shared" si="1"/>
        <v>-0.2037497986</v>
      </c>
    </row>
    <row r="6494" ht="14.25" customHeight="1">
      <c r="A6494" s="2" t="s">
        <v>251</v>
      </c>
      <c r="B6494" s="2" t="s">
        <v>252</v>
      </c>
      <c r="C6494" s="2">
        <v>2022.0</v>
      </c>
      <c r="D6494" s="9">
        <v>17358.39</v>
      </c>
      <c r="E6494" s="10" t="str">
        <f t="array" ref="E6494">IFS(D6494&lt;=$G$3,'calculated data '!$A$3,D6494&lt;=$G$4,'calculated data '!$A$4,D6494&lt;=$G$6,'calculated data '!$A$5,D6494&gt;=$G$6,'calculated data '!$A$6)</f>
        <v>Target Market (Core IQR)</v>
      </c>
      <c r="F6494" s="10">
        <f t="shared" si="1"/>
        <v>-0.2036992149</v>
      </c>
    </row>
    <row r="6495" ht="14.25" customHeight="1">
      <c r="A6495" s="2" t="s">
        <v>357</v>
      </c>
      <c r="B6495" s="2" t="s">
        <v>358</v>
      </c>
      <c r="C6495" s="2">
        <v>1996.0</v>
      </c>
      <c r="D6495" s="9">
        <v>17359.752</v>
      </c>
      <c r="E6495" s="10" t="str">
        <f t="array" ref="E6495">IFS(D6495&lt;=$G$3,'calculated data '!$A$3,D6495&lt;=$G$4,'calculated data '!$A$4,D6495&lt;=$G$6,'calculated data '!$A$5,D6495&gt;=$G$6,'calculated data '!$A$6)</f>
        <v>Target Market (Core IQR)</v>
      </c>
      <c r="F6495" s="10">
        <f t="shared" si="1"/>
        <v>-0.2036631631</v>
      </c>
    </row>
    <row r="6496" ht="14.25" customHeight="1">
      <c r="A6496" s="2" t="s">
        <v>339</v>
      </c>
      <c r="B6496" s="2" t="s">
        <v>340</v>
      </c>
      <c r="C6496" s="2">
        <v>2014.0</v>
      </c>
      <c r="D6496" s="9">
        <v>17378.723</v>
      </c>
      <c r="E6496" s="10" t="str">
        <f t="array" ref="E6496">IFS(D6496&lt;=$G$3,'calculated data '!$A$3,D6496&lt;=$G$4,'calculated data '!$A$4,D6496&lt;=$G$6,'calculated data '!$A$5,D6496&gt;=$G$6,'calculated data '!$A$6)</f>
        <v>Target Market (Core IQR)</v>
      </c>
      <c r="F6496" s="10">
        <f t="shared" si="1"/>
        <v>-0.2031610055</v>
      </c>
    </row>
    <row r="6497" ht="14.25" customHeight="1">
      <c r="A6497" s="2" t="s">
        <v>57</v>
      </c>
      <c r="B6497" s="2" t="s">
        <v>58</v>
      </c>
      <c r="C6497" s="2">
        <v>1989.0</v>
      </c>
      <c r="D6497" s="9">
        <v>17381.523</v>
      </c>
      <c r="E6497" s="10" t="str">
        <f t="array" ref="E6497">IFS(D6497&lt;=$G$3,'calculated data '!$A$3,D6497&lt;=$G$4,'calculated data '!$A$4,D6497&lt;=$G$6,'calculated data '!$A$5,D6497&gt;=$G$6,'calculated data '!$A$6)</f>
        <v>Target Market (Core IQR)</v>
      </c>
      <c r="F6497" s="10">
        <f t="shared" si="1"/>
        <v>-0.2030868902</v>
      </c>
    </row>
    <row r="6498" ht="14.25" customHeight="1">
      <c r="A6498" s="2" t="s">
        <v>313</v>
      </c>
      <c r="B6498" s="2" t="s">
        <v>314</v>
      </c>
      <c r="C6498" s="2">
        <v>1999.0</v>
      </c>
      <c r="D6498" s="9">
        <v>17383.969</v>
      </c>
      <c r="E6498" s="10" t="str">
        <f t="array" ref="E6498">IFS(D6498&lt;=$G$3,'calculated data '!$A$3,D6498&lt;=$G$4,'calculated data '!$A$4,D6498&lt;=$G$6,'calculated data '!$A$5,D6498&gt;=$G$6,'calculated data '!$A$6)</f>
        <v>Target Market (Core IQR)</v>
      </c>
      <c r="F6498" s="10">
        <f t="shared" si="1"/>
        <v>-0.2030221452</v>
      </c>
    </row>
    <row r="6499" ht="14.25" customHeight="1">
      <c r="A6499" s="2" t="s">
        <v>31</v>
      </c>
      <c r="B6499" s="2" t="s">
        <v>32</v>
      </c>
      <c r="C6499" s="2">
        <v>1997.0</v>
      </c>
      <c r="D6499" s="9">
        <v>17392.564</v>
      </c>
      <c r="E6499" s="10" t="str">
        <f t="array" ref="E6499">IFS(D6499&lt;=$G$3,'calculated data '!$A$3,D6499&lt;=$G$4,'calculated data '!$A$4,D6499&lt;=$G$6,'calculated data '!$A$5,D6499&gt;=$G$6,'calculated data '!$A$6)</f>
        <v>Target Market (Core IQR)</v>
      </c>
      <c r="F6499" s="10">
        <f t="shared" si="1"/>
        <v>-0.2027946377</v>
      </c>
    </row>
    <row r="6500" ht="14.25" customHeight="1">
      <c r="A6500" s="2" t="s">
        <v>287</v>
      </c>
      <c r="B6500" s="2" t="s">
        <v>288</v>
      </c>
      <c r="C6500" s="2">
        <v>2018.0</v>
      </c>
      <c r="D6500" s="9">
        <v>17403.566</v>
      </c>
      <c r="E6500" s="10" t="str">
        <f t="array" ref="E6500">IFS(D6500&lt;=$G$3,'calculated data '!$A$3,D6500&lt;=$G$4,'calculated data '!$A$4,D6500&lt;=$G$6,'calculated data '!$A$5,D6500&gt;=$G$6,'calculated data '!$A$6)</f>
        <v>Target Market (Core IQR)</v>
      </c>
      <c r="F6500" s="10">
        <f t="shared" si="1"/>
        <v>-0.2025034175</v>
      </c>
    </row>
    <row r="6501" ht="14.25" customHeight="1">
      <c r="A6501" s="2" t="s">
        <v>313</v>
      </c>
      <c r="B6501" s="2" t="s">
        <v>314</v>
      </c>
      <c r="C6501" s="2">
        <v>2000.0</v>
      </c>
      <c r="D6501" s="9">
        <v>17404.129</v>
      </c>
      <c r="E6501" s="10" t="str">
        <f t="array" ref="E6501">IFS(D6501&lt;=$G$3,'calculated data '!$A$3,D6501&lt;=$G$4,'calculated data '!$A$4,D6501&lt;=$G$6,'calculated data '!$A$5,D6501&gt;=$G$6,'calculated data '!$A$6)</f>
        <v>Target Market (Core IQR)</v>
      </c>
      <c r="F6501" s="10">
        <f t="shared" si="1"/>
        <v>-0.202488515</v>
      </c>
    </row>
    <row r="6502" ht="14.25" customHeight="1">
      <c r="A6502" s="2" t="s">
        <v>313</v>
      </c>
      <c r="B6502" s="2" t="s">
        <v>314</v>
      </c>
      <c r="C6502" s="2">
        <v>2002.0</v>
      </c>
      <c r="D6502" s="9">
        <v>17405.027</v>
      </c>
      <c r="E6502" s="10" t="str">
        <f t="array" ref="E6502">IFS(D6502&lt;=$G$3,'calculated data '!$A$3,D6502&lt;=$G$4,'calculated data '!$A$4,D6502&lt;=$G$6,'calculated data '!$A$5,D6502&gt;=$G$6,'calculated data '!$A$6)</f>
        <v>Target Market (Core IQR)</v>
      </c>
      <c r="F6502" s="10">
        <f t="shared" si="1"/>
        <v>-0.2024647452</v>
      </c>
    </row>
    <row r="6503" ht="14.25" customHeight="1">
      <c r="A6503" s="2" t="s">
        <v>31</v>
      </c>
      <c r="B6503" s="2" t="s">
        <v>32</v>
      </c>
      <c r="C6503" s="2">
        <v>1995.0</v>
      </c>
      <c r="D6503" s="9">
        <v>17407.123</v>
      </c>
      <c r="E6503" s="10" t="str">
        <f t="array" ref="E6503">IFS(D6503&lt;=$G$3,'calculated data '!$A$3,D6503&lt;=$G$4,'calculated data '!$A$4,D6503&lt;=$G$6,'calculated data '!$A$5,D6503&gt;=$G$6,'calculated data '!$A$6)</f>
        <v>Target Market (Core IQR)</v>
      </c>
      <c r="F6503" s="10">
        <f t="shared" si="1"/>
        <v>-0.2024092646</v>
      </c>
    </row>
    <row r="6504" ht="14.25" customHeight="1">
      <c r="A6504" s="2" t="s">
        <v>277</v>
      </c>
      <c r="B6504" s="2" t="s">
        <v>278</v>
      </c>
      <c r="C6504" s="2">
        <v>2001.0</v>
      </c>
      <c r="D6504" s="9">
        <v>17412.256</v>
      </c>
      <c r="E6504" s="10" t="str">
        <f t="array" ref="E6504">IFS(D6504&lt;=$G$3,'calculated data '!$A$3,D6504&lt;=$G$4,'calculated data '!$A$4,D6504&lt;=$G$6,'calculated data '!$A$5,D6504&gt;=$G$6,'calculated data '!$A$6)</f>
        <v>Target Market (Core IQR)</v>
      </c>
      <c r="F6504" s="10">
        <f t="shared" si="1"/>
        <v>-0.2022733953</v>
      </c>
    </row>
    <row r="6505" ht="14.25" customHeight="1">
      <c r="A6505" s="2" t="s">
        <v>71</v>
      </c>
      <c r="B6505" s="2" t="s">
        <v>72</v>
      </c>
      <c r="C6505" s="2">
        <v>1982.0</v>
      </c>
      <c r="D6505" s="9">
        <v>17421.605</v>
      </c>
      <c r="E6505" s="10" t="str">
        <f t="array" ref="E6505">IFS(D6505&lt;=$G$3,'calculated data '!$A$3,D6505&lt;=$G$4,'calculated data '!$A$4,D6505&lt;=$G$6,'calculated data '!$A$5,D6505&gt;=$G$6,'calculated data '!$A$6)</f>
        <v>Target Market (Core IQR)</v>
      </c>
      <c r="F6505" s="10">
        <f t="shared" si="1"/>
        <v>-0.2020259296</v>
      </c>
    </row>
    <row r="6506" ht="14.25" customHeight="1">
      <c r="A6506" s="2" t="s">
        <v>313</v>
      </c>
      <c r="B6506" s="2" t="s">
        <v>314</v>
      </c>
      <c r="C6506" s="2">
        <v>2003.0</v>
      </c>
      <c r="D6506" s="9">
        <v>17426.383</v>
      </c>
      <c r="E6506" s="10" t="str">
        <f t="array" ref="E6506">IFS(D6506&lt;=$G$3,'calculated data '!$A$3,D6506&lt;=$G$4,'calculated data '!$A$4,D6506&lt;=$G$6,'calculated data '!$A$5,D6506&gt;=$G$6,'calculated data '!$A$6)</f>
        <v>Target Market (Core IQR)</v>
      </c>
      <c r="F6506" s="10">
        <f t="shared" si="1"/>
        <v>-0.2018994572</v>
      </c>
    </row>
    <row r="6507" ht="14.25" customHeight="1">
      <c r="A6507" s="2" t="s">
        <v>355</v>
      </c>
      <c r="B6507" s="2" t="s">
        <v>356</v>
      </c>
      <c r="C6507" s="2">
        <v>2021.0</v>
      </c>
      <c r="D6507" s="9">
        <v>17431.803</v>
      </c>
      <c r="E6507" s="10" t="str">
        <f t="array" ref="E6507">IFS(D6507&lt;=$G$3,'calculated data '!$A$3,D6507&lt;=$G$4,'calculated data '!$A$4,D6507&lt;=$G$6,'calculated data '!$A$5,D6507&gt;=$G$6,'calculated data '!$A$6)</f>
        <v>Target Market (Core IQR)</v>
      </c>
      <c r="F6507" s="10">
        <f t="shared" si="1"/>
        <v>-0.2017559911</v>
      </c>
    </row>
    <row r="6508" ht="14.25" customHeight="1">
      <c r="A6508" s="2" t="s">
        <v>357</v>
      </c>
      <c r="B6508" s="2" t="s">
        <v>358</v>
      </c>
      <c r="C6508" s="2">
        <v>2000.0</v>
      </c>
      <c r="D6508" s="9">
        <v>17433.594</v>
      </c>
      <c r="E6508" s="10" t="str">
        <f t="array" ref="E6508">IFS(D6508&lt;=$G$3,'calculated data '!$A$3,D6508&lt;=$G$4,'calculated data '!$A$4,D6508&lt;=$G$6,'calculated data '!$A$5,D6508&gt;=$G$6,'calculated data '!$A$6)</f>
        <v>Target Market (Core IQR)</v>
      </c>
      <c r="F6508" s="10">
        <f t="shared" si="1"/>
        <v>-0.2017085838</v>
      </c>
    </row>
    <row r="6509" ht="14.25" customHeight="1">
      <c r="A6509" s="2" t="s">
        <v>241</v>
      </c>
      <c r="B6509" s="2" t="s">
        <v>242</v>
      </c>
      <c r="C6509" s="2">
        <v>2014.0</v>
      </c>
      <c r="D6509" s="9">
        <v>17446.719</v>
      </c>
      <c r="E6509" s="10" t="str">
        <f t="array" ref="E6509">IFS(D6509&lt;=$G$3,'calculated data '!$A$3,D6509&lt;=$G$4,'calculated data '!$A$4,D6509&lt;=$G$6,'calculated data '!$A$5,D6509&gt;=$G$6,'calculated data '!$A$6)</f>
        <v>Target Market (Core IQR)</v>
      </c>
      <c r="F6509" s="10">
        <f t="shared" si="1"/>
        <v>-0.2013611683</v>
      </c>
    </row>
    <row r="6510" ht="14.25" customHeight="1">
      <c r="A6510" s="2" t="s">
        <v>363</v>
      </c>
      <c r="B6510" s="2" t="s">
        <v>364</v>
      </c>
      <c r="C6510" s="2">
        <v>2012.0</v>
      </c>
      <c r="D6510" s="9">
        <v>17447.246</v>
      </c>
      <c r="E6510" s="10" t="str">
        <f t="array" ref="E6510">IFS(D6510&lt;=$G$3,'calculated data '!$A$3,D6510&lt;=$G$4,'calculated data '!$A$4,D6510&lt;=$G$6,'calculated data '!$A$5,D6510&gt;=$G$6,'calculated data '!$A$6)</f>
        <v>Target Market (Core IQR)</v>
      </c>
      <c r="F6510" s="10">
        <f t="shared" si="1"/>
        <v>-0.2013472187</v>
      </c>
    </row>
    <row r="6511" ht="14.25" customHeight="1">
      <c r="A6511" s="2" t="s">
        <v>287</v>
      </c>
      <c r="B6511" s="2" t="s">
        <v>288</v>
      </c>
      <c r="C6511" s="2">
        <v>2020.0</v>
      </c>
      <c r="D6511" s="9">
        <v>17467.385</v>
      </c>
      <c r="E6511" s="10" t="str">
        <f t="array" ref="E6511">IFS(D6511&lt;=$G$3,'calculated data '!$A$3,D6511&lt;=$G$4,'calculated data '!$A$4,D6511&lt;=$G$6,'calculated data '!$A$5,D6511&gt;=$G$6,'calculated data '!$A$6)</f>
        <v>Target Market (Core IQR)</v>
      </c>
      <c r="F6511" s="10">
        <f t="shared" si="1"/>
        <v>-0.2008141444</v>
      </c>
    </row>
    <row r="6512" ht="14.25" customHeight="1">
      <c r="A6512" s="2" t="s">
        <v>339</v>
      </c>
      <c r="B6512" s="2" t="s">
        <v>340</v>
      </c>
      <c r="C6512" s="2">
        <v>2013.0</v>
      </c>
      <c r="D6512" s="9">
        <v>17473.527</v>
      </c>
      <c r="E6512" s="10" t="str">
        <f t="array" ref="E6512">IFS(D6512&lt;=$G$3,'calculated data '!$A$3,D6512&lt;=$G$4,'calculated data '!$A$4,D6512&lt;=$G$6,'calculated data '!$A$5,D6512&gt;=$G$6,'calculated data '!$A$6)</f>
        <v>Target Market (Core IQR)</v>
      </c>
      <c r="F6512" s="10">
        <f t="shared" si="1"/>
        <v>-0.2006515672</v>
      </c>
    </row>
    <row r="6513" ht="14.25" customHeight="1">
      <c r="A6513" s="2" t="s">
        <v>295</v>
      </c>
      <c r="B6513" s="2" t="s">
        <v>296</v>
      </c>
      <c r="C6513" s="2">
        <v>2015.0</v>
      </c>
      <c r="D6513" s="9">
        <v>17474.537</v>
      </c>
      <c r="E6513" s="10" t="str">
        <f t="array" ref="E6513">IFS(D6513&lt;=$G$3,'calculated data '!$A$3,D6513&lt;=$G$4,'calculated data '!$A$4,D6513&lt;=$G$6,'calculated data '!$A$5,D6513&gt;=$G$6,'calculated data '!$A$6)</f>
        <v>Target Market (Core IQR)</v>
      </c>
      <c r="F6513" s="10">
        <f t="shared" si="1"/>
        <v>-0.2006248328</v>
      </c>
    </row>
    <row r="6514" ht="14.25" customHeight="1">
      <c r="A6514" s="2" t="s">
        <v>339</v>
      </c>
      <c r="B6514" s="2" t="s">
        <v>340</v>
      </c>
      <c r="C6514" s="2">
        <v>2021.0</v>
      </c>
      <c r="D6514" s="9">
        <v>17477.805</v>
      </c>
      <c r="E6514" s="10" t="str">
        <f t="array" ref="E6514">IFS(D6514&lt;=$G$3,'calculated data '!$A$3,D6514&lt;=$G$4,'calculated data '!$A$4,D6514&lt;=$G$6,'calculated data '!$A$5,D6514&gt;=$G$6,'calculated data '!$A$6)</f>
        <v>Target Market (Core IQR)</v>
      </c>
      <c r="F6514" s="10">
        <f t="shared" si="1"/>
        <v>-0.2005383296</v>
      </c>
    </row>
    <row r="6515" ht="14.25" customHeight="1">
      <c r="A6515" s="2" t="s">
        <v>339</v>
      </c>
      <c r="B6515" s="2" t="s">
        <v>340</v>
      </c>
      <c r="C6515" s="2">
        <v>1994.0</v>
      </c>
      <c r="D6515" s="9">
        <v>17479.79</v>
      </c>
      <c r="E6515" s="10" t="str">
        <f t="array" ref="E6515">IFS(D6515&lt;=$G$3,'calculated data '!$A$3,D6515&lt;=$G$4,'calculated data '!$A$4,D6515&lt;=$G$6,'calculated data '!$A$5,D6515&gt;=$G$6,'calculated data '!$A$6)</f>
        <v>Target Market (Core IQR)</v>
      </c>
      <c r="F6515" s="10">
        <f t="shared" si="1"/>
        <v>-0.2004857872</v>
      </c>
    </row>
    <row r="6516" ht="14.25" customHeight="1">
      <c r="A6516" s="2" t="s">
        <v>353</v>
      </c>
      <c r="B6516" s="2" t="s">
        <v>354</v>
      </c>
      <c r="C6516" s="2">
        <v>1967.0</v>
      </c>
      <c r="D6516" s="9">
        <v>17492.645</v>
      </c>
      <c r="E6516" s="10" t="str">
        <f t="array" ref="E6516">IFS(D6516&lt;=$G$3,'calculated data '!$A$3,D6516&lt;=$G$4,'calculated data '!$A$4,D6516&lt;=$G$6,'calculated data '!$A$5,D6516&gt;=$G$6,'calculated data '!$A$6)</f>
        <v>Target Market (Core IQR)</v>
      </c>
      <c r="F6516" s="10">
        <f t="shared" si="1"/>
        <v>-0.2001455185</v>
      </c>
    </row>
    <row r="6517" ht="14.25" customHeight="1">
      <c r="A6517" s="2" t="s">
        <v>231</v>
      </c>
      <c r="B6517" s="2" t="s">
        <v>232</v>
      </c>
      <c r="C6517" s="2">
        <v>2012.0</v>
      </c>
      <c r="D6517" s="9">
        <v>17508.084</v>
      </c>
      <c r="E6517" s="10" t="str">
        <f t="array" ref="E6517">IFS(D6517&lt;=$G$3,'calculated data '!$A$3,D6517&lt;=$G$4,'calculated data '!$A$4,D6517&lt;=$G$6,'calculated data '!$A$5,D6517&gt;=$G$6,'calculated data '!$A$6)</f>
        <v>Target Market (Core IQR)</v>
      </c>
      <c r="F6517" s="10">
        <f t="shared" si="1"/>
        <v>-0.199736852</v>
      </c>
    </row>
    <row r="6518" ht="14.25" customHeight="1">
      <c r="A6518" s="2" t="s">
        <v>375</v>
      </c>
      <c r="B6518" s="2" t="s">
        <v>376</v>
      </c>
      <c r="C6518" s="2">
        <v>1967.0</v>
      </c>
      <c r="D6518" s="9">
        <v>17511.047</v>
      </c>
      <c r="E6518" s="10" t="str">
        <f t="array" ref="E6518">IFS(D6518&lt;=$G$3,'calculated data '!$A$3,D6518&lt;=$G$4,'calculated data '!$A$4,D6518&lt;=$G$6,'calculated data '!$A$5,D6518&gt;=$G$6,'calculated data '!$A$6)</f>
        <v>Target Market (Core IQR)</v>
      </c>
      <c r="F6518" s="10">
        <f t="shared" si="1"/>
        <v>-0.1996584222</v>
      </c>
    </row>
    <row r="6519" ht="14.25" customHeight="1">
      <c r="A6519" s="2" t="s">
        <v>349</v>
      </c>
      <c r="B6519" s="2" t="s">
        <v>350</v>
      </c>
      <c r="C6519" s="2">
        <v>2004.0</v>
      </c>
      <c r="D6519" s="9">
        <v>17516.63</v>
      </c>
      <c r="E6519" s="10" t="str">
        <f t="array" ref="E6519">IFS(D6519&lt;=$G$3,'calculated data '!$A$3,D6519&lt;=$G$4,'calculated data '!$A$4,D6519&lt;=$G$6,'calculated data '!$A$5,D6519&gt;=$G$6,'calculated data '!$A$6)</f>
        <v>Target Market (Core IQR)</v>
      </c>
      <c r="F6519" s="10">
        <f t="shared" si="1"/>
        <v>-0.1995106415</v>
      </c>
    </row>
    <row r="6520" ht="14.25" customHeight="1">
      <c r="A6520" s="2" t="s">
        <v>377</v>
      </c>
      <c r="B6520" s="2" t="s">
        <v>378</v>
      </c>
      <c r="C6520" s="2">
        <v>1999.0</v>
      </c>
      <c r="D6520" s="9">
        <v>17516.676</v>
      </c>
      <c r="E6520" s="10" t="str">
        <f t="array" ref="E6520">IFS(D6520&lt;=$G$3,'calculated data '!$A$3,D6520&lt;=$G$4,'calculated data '!$A$4,D6520&lt;=$G$6,'calculated data '!$A$5,D6520&gt;=$G$6,'calculated data '!$A$6)</f>
        <v>Target Market (Core IQR)</v>
      </c>
      <c r="F6520" s="10">
        <f t="shared" si="1"/>
        <v>-0.1995094239</v>
      </c>
    </row>
    <row r="6521" ht="14.25" customHeight="1">
      <c r="A6521" s="2" t="s">
        <v>379</v>
      </c>
      <c r="B6521" s="2" t="s">
        <v>380</v>
      </c>
      <c r="C6521" s="2">
        <v>1966.0</v>
      </c>
      <c r="D6521" s="9">
        <v>17520.318</v>
      </c>
      <c r="E6521" s="10" t="str">
        <f t="array" ref="E6521">IFS(D6521&lt;=$G$3,'calculated data '!$A$3,D6521&lt;=$G$4,'calculated data '!$A$4,D6521&lt;=$G$6,'calculated data '!$A$5,D6521&gt;=$G$6,'calculated data '!$A$6)</f>
        <v>Target Market (Core IQR)</v>
      </c>
      <c r="F6521" s="10">
        <f t="shared" si="1"/>
        <v>-0.1994130211</v>
      </c>
    </row>
    <row r="6522" ht="14.25" customHeight="1">
      <c r="A6522" s="2" t="s">
        <v>319</v>
      </c>
      <c r="B6522" s="2" t="s">
        <v>320</v>
      </c>
      <c r="C6522" s="2">
        <v>1984.0</v>
      </c>
      <c r="D6522" s="9">
        <v>17533.297</v>
      </c>
      <c r="E6522" s="10" t="str">
        <f t="array" ref="E6522">IFS(D6522&lt;=$G$3,'calculated data '!$A$3,D6522&lt;=$G$4,'calculated data '!$A$4,D6522&lt;=$G$6,'calculated data '!$A$5,D6522&gt;=$G$6,'calculated data '!$A$6)</f>
        <v>Target Market (Core IQR)</v>
      </c>
      <c r="F6522" s="10">
        <f t="shared" si="1"/>
        <v>-0.1990694702</v>
      </c>
    </row>
    <row r="6523" ht="14.25" customHeight="1">
      <c r="A6523" s="2" t="s">
        <v>351</v>
      </c>
      <c r="B6523" s="2" t="s">
        <v>352</v>
      </c>
      <c r="C6523" s="2">
        <v>2024.0</v>
      </c>
      <c r="D6523" s="9">
        <v>17534.783</v>
      </c>
      <c r="E6523" s="10" t="str">
        <f t="array" ref="E6523">IFS(D6523&lt;=$G$3,'calculated data '!$A$3,D6523&lt;=$G$4,'calculated data '!$A$4,D6523&lt;=$G$6,'calculated data '!$A$5,D6523&gt;=$G$6,'calculated data '!$A$6)</f>
        <v>Target Market (Core IQR)</v>
      </c>
      <c r="F6523" s="10">
        <f t="shared" si="1"/>
        <v>-0.1990301362</v>
      </c>
    </row>
    <row r="6524" ht="14.25" customHeight="1">
      <c r="A6524" s="2" t="s">
        <v>291</v>
      </c>
      <c r="B6524" s="2" t="s">
        <v>292</v>
      </c>
      <c r="C6524" s="2">
        <v>1985.0</v>
      </c>
      <c r="D6524" s="9">
        <v>17537.49</v>
      </c>
      <c r="E6524" s="10" t="str">
        <f t="array" ref="E6524">IFS(D6524&lt;=$G$3,'calculated data '!$A$3,D6524&lt;=$G$4,'calculated data '!$A$4,D6524&lt;=$G$6,'calculated data '!$A$5,D6524&gt;=$G$6,'calculated data '!$A$6)</f>
        <v>Target Market (Core IQR)</v>
      </c>
      <c r="F6524" s="10">
        <f t="shared" si="1"/>
        <v>-0.1989584825</v>
      </c>
    </row>
    <row r="6525" ht="14.25" customHeight="1">
      <c r="A6525" s="2" t="s">
        <v>343</v>
      </c>
      <c r="B6525" s="2" t="s">
        <v>344</v>
      </c>
      <c r="C6525" s="2">
        <v>1981.0</v>
      </c>
      <c r="D6525" s="9">
        <v>17574.09</v>
      </c>
      <c r="E6525" s="10" t="str">
        <f t="array" ref="E6525">IFS(D6525&lt;=$G$3,'calculated data '!$A$3,D6525&lt;=$G$4,'calculated data '!$A$4,D6525&lt;=$G$6,'calculated data '!$A$5,D6525&gt;=$G$6,'calculated data '!$A$6)</f>
        <v>Target Market (Core IQR)</v>
      </c>
      <c r="F6525" s="10">
        <f t="shared" si="1"/>
        <v>-0.1979896897</v>
      </c>
    </row>
    <row r="6526" ht="14.25" customHeight="1">
      <c r="A6526" s="2" t="s">
        <v>319</v>
      </c>
      <c r="B6526" s="2" t="s">
        <v>320</v>
      </c>
      <c r="C6526" s="2">
        <v>1983.0</v>
      </c>
      <c r="D6526" s="9">
        <v>17576.723</v>
      </c>
      <c r="E6526" s="10" t="str">
        <f t="array" ref="E6526">IFS(D6526&lt;=$G$3,'calculated data '!$A$3,D6526&lt;=$G$4,'calculated data '!$A$4,D6526&lt;=$G$6,'calculated data '!$A$5,D6526&gt;=$G$6,'calculated data '!$A$6)</f>
        <v>Target Market (Core IQR)</v>
      </c>
      <c r="F6526" s="10">
        <f t="shared" si="1"/>
        <v>-0.1979199948</v>
      </c>
    </row>
    <row r="6527" ht="14.25" customHeight="1">
      <c r="A6527" s="2" t="s">
        <v>247</v>
      </c>
      <c r="B6527" s="2" t="s">
        <v>248</v>
      </c>
      <c r="C6527" s="2">
        <v>2015.0</v>
      </c>
      <c r="D6527" s="9">
        <v>17585.445</v>
      </c>
      <c r="E6527" s="10" t="str">
        <f t="array" ref="E6527">IFS(D6527&lt;=$G$3,'calculated data '!$A$3,D6527&lt;=$G$4,'calculated data '!$A$4,D6527&lt;=$G$6,'calculated data '!$A$5,D6527&gt;=$G$6,'calculated data '!$A$6)</f>
        <v>Target Market (Core IQR)</v>
      </c>
      <c r="F6527" s="10">
        <f t="shared" si="1"/>
        <v>-0.1976891256</v>
      </c>
    </row>
    <row r="6528" ht="14.25" customHeight="1">
      <c r="A6528" s="2" t="s">
        <v>229</v>
      </c>
      <c r="B6528" s="2" t="s">
        <v>230</v>
      </c>
      <c r="C6528" s="2">
        <v>2021.0</v>
      </c>
      <c r="D6528" s="9">
        <v>17587.178</v>
      </c>
      <c r="E6528" s="10" t="str">
        <f t="array" ref="E6528">IFS(D6528&lt;=$G$3,'calculated data '!$A$3,D6528&lt;=$G$4,'calculated data '!$A$4,D6528&lt;=$G$6,'calculated data '!$A$5,D6528&gt;=$G$6,'calculated data '!$A$6)</f>
        <v>Target Market (Core IQR)</v>
      </c>
      <c r="F6528" s="10">
        <f t="shared" si="1"/>
        <v>-0.1976432536</v>
      </c>
    </row>
    <row r="6529" ht="14.25" customHeight="1">
      <c r="A6529" s="2" t="s">
        <v>379</v>
      </c>
      <c r="B6529" s="2" t="s">
        <v>380</v>
      </c>
      <c r="C6529" s="2">
        <v>1965.0</v>
      </c>
      <c r="D6529" s="9">
        <v>17588.584</v>
      </c>
      <c r="E6529" s="10" t="str">
        <f t="array" ref="E6529">IFS(D6529&lt;=$G$3,'calculated data '!$A$3,D6529&lt;=$G$4,'calculated data '!$A$4,D6529&lt;=$G$6,'calculated data '!$A$5,D6529&gt;=$G$6,'calculated data '!$A$6)</f>
        <v>Target Market (Core IQR)</v>
      </c>
      <c r="F6529" s="10">
        <f t="shared" si="1"/>
        <v>-0.1976060371</v>
      </c>
    </row>
    <row r="6530" ht="14.25" customHeight="1">
      <c r="A6530" s="2" t="s">
        <v>351</v>
      </c>
      <c r="B6530" s="2" t="s">
        <v>352</v>
      </c>
      <c r="C6530" s="2">
        <v>2025.0</v>
      </c>
      <c r="D6530" s="9">
        <v>17612.113</v>
      </c>
      <c r="E6530" s="10" t="str">
        <f t="array" ref="E6530">IFS(D6530&lt;=$G$3,'calculated data '!$A$3,D6530&lt;=$G$4,'calculated data '!$A$4,D6530&lt;=$G$6,'calculated data '!$A$5,D6530&gt;=$G$6,'calculated data '!$A$6)</f>
        <v>Target Market (Core IQR)</v>
      </c>
      <c r="F6530" s="10">
        <f t="shared" si="1"/>
        <v>-0.1969832303</v>
      </c>
    </row>
    <row r="6531" ht="14.25" customHeight="1">
      <c r="A6531" s="2" t="s">
        <v>295</v>
      </c>
      <c r="B6531" s="2" t="s">
        <v>296</v>
      </c>
      <c r="C6531" s="2">
        <v>2012.0</v>
      </c>
      <c r="D6531" s="9">
        <v>17613.062</v>
      </c>
      <c r="E6531" s="10" t="str">
        <f t="array" ref="E6531">IFS(D6531&lt;=$G$3,'calculated data '!$A$3,D6531&lt;=$G$4,'calculated data '!$A$4,D6531&lt;=$G$6,'calculated data '!$A$5,D6531&gt;=$G$6,'calculated data '!$A$6)</f>
        <v>Target Market (Core IQR)</v>
      </c>
      <c r="F6531" s="10">
        <f t="shared" si="1"/>
        <v>-0.1969581105</v>
      </c>
    </row>
    <row r="6532" ht="14.25" customHeight="1">
      <c r="A6532" s="2" t="s">
        <v>323</v>
      </c>
      <c r="B6532" s="2" t="s">
        <v>324</v>
      </c>
      <c r="C6532" s="2">
        <v>2022.0</v>
      </c>
      <c r="D6532" s="9">
        <v>17630.773</v>
      </c>
      <c r="E6532" s="10" t="str">
        <f t="array" ref="E6532">IFS(D6532&lt;=$G$3,'calculated data '!$A$3,D6532&lt;=$G$4,'calculated data '!$A$4,D6532&lt;=$G$6,'calculated data '!$A$5,D6532&gt;=$G$6,'calculated data '!$A$6)</f>
        <v>Target Market (Core IQR)</v>
      </c>
      <c r="F6532" s="10">
        <f t="shared" si="1"/>
        <v>-0.1964893048</v>
      </c>
    </row>
    <row r="6533" ht="14.25" customHeight="1">
      <c r="A6533" s="2" t="s">
        <v>249</v>
      </c>
      <c r="B6533" s="2" t="s">
        <v>250</v>
      </c>
      <c r="C6533" s="2">
        <v>1992.0</v>
      </c>
      <c r="D6533" s="9">
        <v>17636.014</v>
      </c>
      <c r="E6533" s="10" t="str">
        <f t="array" ref="E6533">IFS(D6533&lt;=$G$3,'calculated data '!$A$3,D6533&lt;=$G$4,'calculated data '!$A$4,D6533&lt;=$G$6,'calculated data '!$A$5,D6533&gt;=$G$6,'calculated data '!$A$6)</f>
        <v>Target Market (Core IQR)</v>
      </c>
      <c r="F6533" s="10">
        <f t="shared" si="1"/>
        <v>-0.1963505768</v>
      </c>
    </row>
    <row r="6534" ht="14.25" customHeight="1">
      <c r="A6534" s="2" t="s">
        <v>339</v>
      </c>
      <c r="B6534" s="2" t="s">
        <v>340</v>
      </c>
      <c r="C6534" s="2">
        <v>1993.0</v>
      </c>
      <c r="D6534" s="9">
        <v>17636.992</v>
      </c>
      <c r="E6534" s="10" t="str">
        <f t="array" ref="E6534">IFS(D6534&lt;=$G$3,'calculated data '!$A$3,D6534&lt;=$G$4,'calculated data '!$A$4,D6534&lt;=$G$6,'calculated data '!$A$5,D6534&gt;=$G$6,'calculated data '!$A$6)</f>
        <v>Target Market (Core IQR)</v>
      </c>
      <c r="F6534" s="10">
        <f t="shared" si="1"/>
        <v>-0.1963246894</v>
      </c>
    </row>
    <row r="6535" ht="14.25" customHeight="1">
      <c r="A6535" s="2" t="s">
        <v>347</v>
      </c>
      <c r="B6535" s="2" t="s">
        <v>348</v>
      </c>
      <c r="C6535" s="2">
        <v>2022.0</v>
      </c>
      <c r="D6535" s="9">
        <v>17638.7</v>
      </c>
      <c r="E6535" s="10" t="str">
        <f t="array" ref="E6535">IFS(D6535&lt;=$G$3,'calculated data '!$A$3,D6535&lt;=$G$4,'calculated data '!$A$4,D6535&lt;=$G$6,'calculated data '!$A$5,D6535&gt;=$G$6,'calculated data '!$A$6)</f>
        <v>Target Market (Core IQR)</v>
      </c>
      <c r="F6535" s="10">
        <f t="shared" si="1"/>
        <v>-0.1962794791</v>
      </c>
    </row>
    <row r="6536" ht="14.25" customHeight="1">
      <c r="A6536" s="2" t="s">
        <v>337</v>
      </c>
      <c r="B6536" s="2" t="s">
        <v>338</v>
      </c>
      <c r="C6536" s="2">
        <v>1986.0</v>
      </c>
      <c r="D6536" s="9">
        <v>17648.066</v>
      </c>
      <c r="E6536" s="10" t="str">
        <f t="array" ref="E6536">IFS(D6536&lt;=$G$3,'calculated data '!$A$3,D6536&lt;=$G$4,'calculated data '!$A$4,D6536&lt;=$G$6,'calculated data '!$A$5,D6536&gt;=$G$6,'calculated data '!$A$6)</f>
        <v>Target Market (Core IQR)</v>
      </c>
      <c r="F6536" s="10">
        <f t="shared" si="1"/>
        <v>-0.1960315634</v>
      </c>
    </row>
    <row r="6537" ht="14.25" customHeight="1">
      <c r="A6537" s="2" t="s">
        <v>295</v>
      </c>
      <c r="B6537" s="2" t="s">
        <v>296</v>
      </c>
      <c r="C6537" s="2">
        <v>2019.0</v>
      </c>
      <c r="D6537" s="9">
        <v>17657.438</v>
      </c>
      <c r="E6537" s="10" t="str">
        <f t="array" ref="E6537">IFS(D6537&lt;=$G$3,'calculated data '!$A$3,D6537&lt;=$G$4,'calculated data '!$A$4,D6537&lt;=$G$6,'calculated data '!$A$5,D6537&gt;=$G$6,'calculated data '!$A$6)</f>
        <v>Target Market (Core IQR)</v>
      </c>
      <c r="F6537" s="10">
        <f t="shared" si="1"/>
        <v>-0.1957834889</v>
      </c>
    </row>
    <row r="6538" ht="14.25" customHeight="1">
      <c r="A6538" s="2" t="s">
        <v>373</v>
      </c>
      <c r="B6538" s="2" t="s">
        <v>374</v>
      </c>
      <c r="C6538" s="2">
        <v>1981.0</v>
      </c>
      <c r="D6538" s="9">
        <v>17660.674</v>
      </c>
      <c r="E6538" s="10" t="str">
        <f t="array" ref="E6538">IFS(D6538&lt;=$G$3,'calculated data '!$A$3,D6538&lt;=$G$4,'calculated data '!$A$4,D6538&lt;=$G$6,'calculated data '!$A$5,D6538&gt;=$G$6,'calculated data '!$A$6)</f>
        <v>Target Market (Core IQR)</v>
      </c>
      <c r="F6538" s="10">
        <f t="shared" si="1"/>
        <v>-0.1956978327</v>
      </c>
    </row>
    <row r="6539" ht="14.25" customHeight="1">
      <c r="A6539" s="2" t="s">
        <v>295</v>
      </c>
      <c r="B6539" s="2" t="s">
        <v>296</v>
      </c>
      <c r="C6539" s="2">
        <v>2011.0</v>
      </c>
      <c r="D6539" s="9">
        <v>17665.49</v>
      </c>
      <c r="E6539" s="10" t="str">
        <f t="array" ref="E6539">IFS(D6539&lt;=$G$3,'calculated data '!$A$3,D6539&lt;=$G$4,'calculated data '!$A$4,D6539&lt;=$G$6,'calculated data '!$A$5,D6539&gt;=$G$6,'calculated data '!$A$6)</f>
        <v>Target Market (Core IQR)</v>
      </c>
      <c r="F6539" s="10">
        <f t="shared" si="1"/>
        <v>-0.1955703544</v>
      </c>
    </row>
    <row r="6540" ht="14.25" customHeight="1">
      <c r="A6540" s="2" t="s">
        <v>127</v>
      </c>
      <c r="B6540" s="2" t="s">
        <v>128</v>
      </c>
      <c r="C6540" s="2">
        <v>2020.0</v>
      </c>
      <c r="D6540" s="9">
        <v>17686.465</v>
      </c>
      <c r="E6540" s="10" t="str">
        <f t="array" ref="E6540">IFS(D6540&lt;=$G$3,'calculated data '!$A$3,D6540&lt;=$G$4,'calculated data '!$A$4,D6540&lt;=$G$6,'calculated data '!$A$5,D6540&gt;=$G$6,'calculated data '!$A$6)</f>
        <v>Target Market (Core IQR)</v>
      </c>
      <c r="F6540" s="10">
        <f t="shared" si="1"/>
        <v>-0.1950151514</v>
      </c>
    </row>
    <row r="6541" ht="14.25" customHeight="1">
      <c r="A6541" s="2" t="s">
        <v>357</v>
      </c>
      <c r="B6541" s="2" t="s">
        <v>358</v>
      </c>
      <c r="C6541" s="2">
        <v>1998.0</v>
      </c>
      <c r="D6541" s="9">
        <v>17699.582</v>
      </c>
      <c r="E6541" s="10" t="str">
        <f t="array" ref="E6541">IFS(D6541&lt;=$G$3,'calculated data '!$A$3,D6541&lt;=$G$4,'calculated data '!$A$4,D6541&lt;=$G$6,'calculated data '!$A$5,D6541&gt;=$G$6,'calculated data '!$A$6)</f>
        <v>Target Market (Core IQR)</v>
      </c>
      <c r="F6541" s="10">
        <f t="shared" si="1"/>
        <v>-0.1946679477</v>
      </c>
    </row>
    <row r="6542" ht="14.25" customHeight="1">
      <c r="A6542" s="2" t="s">
        <v>323</v>
      </c>
      <c r="B6542" s="2" t="s">
        <v>324</v>
      </c>
      <c r="C6542" s="2">
        <v>2003.0</v>
      </c>
      <c r="D6542" s="9">
        <v>17705.162</v>
      </c>
      <c r="E6542" s="10" t="str">
        <f t="array" ref="E6542">IFS(D6542&lt;=$G$3,'calculated data '!$A$3,D6542&lt;=$G$4,'calculated data '!$A$4,D6542&lt;=$G$6,'calculated data '!$A$5,D6542&gt;=$G$6,'calculated data '!$A$6)</f>
        <v>Target Market (Core IQR)</v>
      </c>
      <c r="F6542" s="10">
        <f t="shared" si="1"/>
        <v>-0.1945202465</v>
      </c>
    </row>
    <row r="6543" ht="14.25" customHeight="1">
      <c r="A6543" s="2" t="s">
        <v>249</v>
      </c>
      <c r="B6543" s="2" t="s">
        <v>250</v>
      </c>
      <c r="C6543" s="2">
        <v>1994.0</v>
      </c>
      <c r="D6543" s="9">
        <v>17711.51</v>
      </c>
      <c r="E6543" s="10" t="str">
        <f t="array" ref="E6543">IFS(D6543&lt;=$G$3,'calculated data '!$A$3,D6543&lt;=$G$4,'calculated data '!$A$4,D6543&lt;=$G$6,'calculated data '!$A$5,D6543&gt;=$G$6,'calculated data '!$A$6)</f>
        <v>Target Market (Core IQR)</v>
      </c>
      <c r="F6543" s="10">
        <f t="shared" si="1"/>
        <v>-0.1943522165</v>
      </c>
    </row>
    <row r="6544" ht="14.25" customHeight="1">
      <c r="A6544" s="2" t="s">
        <v>57</v>
      </c>
      <c r="B6544" s="2" t="s">
        <v>58</v>
      </c>
      <c r="C6544" s="2">
        <v>2003.0</v>
      </c>
      <c r="D6544" s="9">
        <v>17715.055</v>
      </c>
      <c r="E6544" s="10" t="str">
        <f t="array" ref="E6544">IFS(D6544&lt;=$G$3,'calculated data '!$A$3,D6544&lt;=$G$4,'calculated data '!$A$4,D6544&lt;=$G$6,'calculated data '!$A$5,D6544&gt;=$G$6,'calculated data '!$A$6)</f>
        <v>Target Market (Core IQR)</v>
      </c>
      <c r="F6544" s="10">
        <f t="shared" si="1"/>
        <v>-0.1942583812</v>
      </c>
    </row>
    <row r="6545" ht="14.25" customHeight="1">
      <c r="A6545" s="2" t="s">
        <v>323</v>
      </c>
      <c r="B6545" s="2" t="s">
        <v>324</v>
      </c>
      <c r="C6545" s="2">
        <v>2021.0</v>
      </c>
      <c r="D6545" s="9">
        <v>17717.014</v>
      </c>
      <c r="E6545" s="10" t="str">
        <f t="array" ref="E6545">IFS(D6545&lt;=$G$3,'calculated data '!$A$3,D6545&lt;=$G$4,'calculated data '!$A$4,D6545&lt;=$G$6,'calculated data '!$A$5,D6545&gt;=$G$6,'calculated data '!$A$6)</f>
        <v>Target Market (Core IQR)</v>
      </c>
      <c r="F6545" s="10">
        <f t="shared" si="1"/>
        <v>-0.194206527</v>
      </c>
    </row>
    <row r="6546" ht="14.25" customHeight="1">
      <c r="A6546" s="2" t="s">
        <v>301</v>
      </c>
      <c r="B6546" s="2" t="s">
        <v>302</v>
      </c>
      <c r="C6546" s="2">
        <v>2005.0</v>
      </c>
      <c r="D6546" s="9">
        <v>17721.885</v>
      </c>
      <c r="E6546" s="10" t="str">
        <f t="array" ref="E6546">IFS(D6546&lt;=$G$3,'calculated data '!$A$3,D6546&lt;=$G$4,'calculated data '!$A$4,D6546&lt;=$G$6,'calculated data '!$A$5,D6546&gt;=$G$6,'calculated data '!$A$6)</f>
        <v>Target Market (Core IQR)</v>
      </c>
      <c r="F6546" s="10">
        <f t="shared" si="1"/>
        <v>-0.1940775928</v>
      </c>
    </row>
    <row r="6547" ht="14.25" customHeight="1">
      <c r="A6547" s="2" t="s">
        <v>241</v>
      </c>
      <c r="B6547" s="2" t="s">
        <v>242</v>
      </c>
      <c r="C6547" s="2">
        <v>2023.0</v>
      </c>
      <c r="D6547" s="9">
        <v>17726.076</v>
      </c>
      <c r="E6547" s="10" t="str">
        <f t="array" ref="E6547">IFS(D6547&lt;=$G$3,'calculated data '!$A$3,D6547&lt;=$G$4,'calculated data '!$A$4,D6547&lt;=$G$6,'calculated data '!$A$5,D6547&gt;=$G$6,'calculated data '!$A$6)</f>
        <v>Target Market (Core IQR)</v>
      </c>
      <c r="F6547" s="10">
        <f t="shared" si="1"/>
        <v>-0.1939666581</v>
      </c>
    </row>
    <row r="6548" ht="14.25" customHeight="1">
      <c r="A6548" s="2" t="s">
        <v>377</v>
      </c>
      <c r="B6548" s="2" t="s">
        <v>378</v>
      </c>
      <c r="C6548" s="2">
        <v>1998.0</v>
      </c>
      <c r="D6548" s="9">
        <v>17742.139</v>
      </c>
      <c r="E6548" s="10" t="str">
        <f t="array" ref="E6548">IFS(D6548&lt;=$G$3,'calculated data '!$A$3,D6548&lt;=$G$4,'calculated data '!$A$4,D6548&lt;=$G$6,'calculated data '!$A$5,D6548&gt;=$G$6,'calculated data '!$A$6)</f>
        <v>Target Market (Core IQR)</v>
      </c>
      <c r="F6548" s="10">
        <f t="shared" si="1"/>
        <v>-0.1935414745</v>
      </c>
    </row>
    <row r="6549" ht="14.25" customHeight="1">
      <c r="A6549" s="2" t="s">
        <v>359</v>
      </c>
      <c r="B6549" s="2" t="s">
        <v>360</v>
      </c>
      <c r="C6549" s="2">
        <v>1999.0</v>
      </c>
      <c r="D6549" s="9">
        <v>17765.83</v>
      </c>
      <c r="E6549" s="10" t="str">
        <f t="array" ref="E6549">IFS(D6549&lt;=$G$3,'calculated data '!$A$3,D6549&lt;=$G$4,'calculated data '!$A$4,D6549&lt;=$G$6,'calculated data '!$A$5,D6549&gt;=$G$6,'calculated data '!$A$6)</f>
        <v>Target Market (Core IQR)</v>
      </c>
      <c r="F6549" s="10">
        <f t="shared" si="1"/>
        <v>-0.1929143796</v>
      </c>
    </row>
    <row r="6550" ht="14.25" customHeight="1">
      <c r="A6550" s="2" t="s">
        <v>127</v>
      </c>
      <c r="B6550" s="2" t="s">
        <v>128</v>
      </c>
      <c r="C6550" s="2">
        <v>2016.0</v>
      </c>
      <c r="D6550" s="9">
        <v>17766.676</v>
      </c>
      <c r="E6550" s="10" t="str">
        <f t="array" ref="E6550">IFS(D6550&lt;=$G$3,'calculated data '!$A$3,D6550&lt;=$G$4,'calculated data '!$A$4,D6550&lt;=$G$6,'calculated data '!$A$5,D6550&gt;=$G$6,'calculated data '!$A$6)</f>
        <v>Target Market (Core IQR)</v>
      </c>
      <c r="F6550" s="10">
        <f t="shared" si="1"/>
        <v>-0.1928919862</v>
      </c>
    </row>
    <row r="6551" ht="14.25" customHeight="1">
      <c r="A6551" s="2" t="s">
        <v>347</v>
      </c>
      <c r="B6551" s="2" t="s">
        <v>348</v>
      </c>
      <c r="C6551" s="2">
        <v>2021.0</v>
      </c>
      <c r="D6551" s="9">
        <v>17771.857</v>
      </c>
      <c r="E6551" s="10" t="str">
        <f t="array" ref="E6551">IFS(D6551&lt;=$G$3,'calculated data '!$A$3,D6551&lt;=$G$4,'calculated data '!$A$4,D6551&lt;=$G$6,'calculated data '!$A$5,D6551&gt;=$G$6,'calculated data '!$A$6)</f>
        <v>Target Market (Core IQR)</v>
      </c>
      <c r="F6551" s="10">
        <f t="shared" si="1"/>
        <v>-0.1927548464</v>
      </c>
    </row>
    <row r="6552" ht="14.25" customHeight="1">
      <c r="A6552" s="2" t="s">
        <v>351</v>
      </c>
      <c r="B6552" s="2" t="s">
        <v>352</v>
      </c>
      <c r="C6552" s="2">
        <v>2004.0</v>
      </c>
      <c r="D6552" s="9">
        <v>17781.133</v>
      </c>
      <c r="E6552" s="10" t="str">
        <f t="array" ref="E6552">IFS(D6552&lt;=$G$3,'calculated data '!$A$3,D6552&lt;=$G$4,'calculated data '!$A$4,D6552&lt;=$G$6,'calculated data '!$A$5,D6552&gt;=$G$6,'calculated data '!$A$6)</f>
        <v>Target Market (Core IQR)</v>
      </c>
      <c r="F6552" s="10">
        <f t="shared" si="1"/>
        <v>-0.192509313</v>
      </c>
    </row>
    <row r="6553" ht="14.25" customHeight="1">
      <c r="A6553" s="2" t="s">
        <v>231</v>
      </c>
      <c r="B6553" s="2" t="s">
        <v>232</v>
      </c>
      <c r="C6553" s="2">
        <v>2014.0</v>
      </c>
      <c r="D6553" s="9">
        <v>17781.723</v>
      </c>
      <c r="E6553" s="10" t="str">
        <f t="array" ref="E6553">IFS(D6553&lt;=$G$3,'calculated data '!$A$3,D6553&lt;=$G$4,'calculated data '!$A$4,D6553&lt;=$G$6,'calculated data '!$A$5,D6553&gt;=$G$6,'calculated data '!$A$6)</f>
        <v>Target Market (Core IQR)</v>
      </c>
      <c r="F6553" s="10">
        <f t="shared" si="1"/>
        <v>-0.1924936959</v>
      </c>
    </row>
    <row r="6554" ht="14.25" customHeight="1">
      <c r="A6554" s="2" t="s">
        <v>317</v>
      </c>
      <c r="B6554" s="2" t="s">
        <v>318</v>
      </c>
      <c r="C6554" s="2">
        <v>2011.0</v>
      </c>
      <c r="D6554" s="9">
        <v>17783.152</v>
      </c>
      <c r="E6554" s="10" t="str">
        <f t="array" ref="E6554">IFS(D6554&lt;=$G$3,'calculated data '!$A$3,D6554&lt;=$G$4,'calculated data '!$A$4,D6554&lt;=$G$6,'calculated data '!$A$5,D6554&gt;=$G$6,'calculated data '!$A$6)</f>
        <v>Target Market (Core IQR)</v>
      </c>
      <c r="F6554" s="10">
        <f t="shared" si="1"/>
        <v>-0.1924558706</v>
      </c>
    </row>
    <row r="6555" ht="14.25" customHeight="1">
      <c r="A6555" s="2" t="s">
        <v>297</v>
      </c>
      <c r="B6555" s="2" t="s">
        <v>298</v>
      </c>
      <c r="C6555" s="2">
        <v>2023.0</v>
      </c>
      <c r="D6555" s="9">
        <v>17783.207</v>
      </c>
      <c r="E6555" s="10" t="str">
        <f t="array" ref="E6555">IFS(D6555&lt;=$G$3,'calculated data '!$A$3,D6555&lt;=$G$4,'calculated data '!$A$4,D6555&lt;=$G$6,'calculated data '!$A$5,D6555&gt;=$G$6,'calculated data '!$A$6)</f>
        <v>Target Market (Core IQR)</v>
      </c>
      <c r="F6555" s="10">
        <f t="shared" si="1"/>
        <v>-0.1924544148</v>
      </c>
    </row>
    <row r="6556" ht="14.25" customHeight="1">
      <c r="A6556" s="2" t="s">
        <v>381</v>
      </c>
      <c r="B6556" s="2" t="s">
        <v>382</v>
      </c>
      <c r="C6556" s="2">
        <v>1987.0</v>
      </c>
      <c r="D6556" s="9">
        <v>17787.668</v>
      </c>
      <c r="E6556" s="10" t="str">
        <f t="array" ref="E6556">IFS(D6556&lt;=$G$3,'calculated data '!$A$3,D6556&lt;=$G$4,'calculated data '!$A$4,D6556&lt;=$G$6,'calculated data '!$A$5,D6556&gt;=$G$6,'calculated data '!$A$6)</f>
        <v>Target Market (Core IQR)</v>
      </c>
      <c r="F6556" s="10">
        <f t="shared" si="1"/>
        <v>-0.1923363332</v>
      </c>
    </row>
    <row r="6557" ht="14.25" customHeight="1">
      <c r="A6557" s="2" t="s">
        <v>363</v>
      </c>
      <c r="B6557" s="2" t="s">
        <v>364</v>
      </c>
      <c r="C6557" s="2">
        <v>2010.0</v>
      </c>
      <c r="D6557" s="9">
        <v>17792.572</v>
      </c>
      <c r="E6557" s="10" t="str">
        <f t="array" ref="E6557">IFS(D6557&lt;=$G$3,'calculated data '!$A$3,D6557&lt;=$G$4,'calculated data '!$A$4,D6557&lt;=$G$6,'calculated data '!$A$5,D6557&gt;=$G$6,'calculated data '!$A$6)</f>
        <v>Target Market (Core IQR)</v>
      </c>
      <c r="F6557" s="10">
        <f t="shared" si="1"/>
        <v>-0.1922065255</v>
      </c>
    </row>
    <row r="6558" ht="14.25" customHeight="1">
      <c r="A6558" s="2" t="s">
        <v>351</v>
      </c>
      <c r="B6558" s="2" t="s">
        <v>352</v>
      </c>
      <c r="C6558" s="2">
        <v>2022.0</v>
      </c>
      <c r="D6558" s="9">
        <v>17831.693</v>
      </c>
      <c r="E6558" s="10" t="str">
        <f t="array" ref="E6558">IFS(D6558&lt;=$G$3,'calculated data '!$A$3,D6558&lt;=$G$4,'calculated data '!$A$4,D6558&lt;=$G$6,'calculated data '!$A$5,D6558&gt;=$G$6,'calculated data '!$A$6)</f>
        <v>Target Market (Core IQR)</v>
      </c>
      <c r="F6558" s="10">
        <f t="shared" si="1"/>
        <v>-0.1911710024</v>
      </c>
    </row>
    <row r="6559" ht="14.25" customHeight="1">
      <c r="A6559" s="2" t="s">
        <v>373</v>
      </c>
      <c r="B6559" s="2" t="s">
        <v>374</v>
      </c>
      <c r="C6559" s="2">
        <v>1982.0</v>
      </c>
      <c r="D6559" s="9">
        <v>17847.723</v>
      </c>
      <c r="E6559" s="10" t="str">
        <f t="array" ref="E6559">IFS(D6559&lt;=$G$3,'calculated data '!$A$3,D6559&lt;=$G$4,'calculated data '!$A$4,D6559&lt;=$G$6,'calculated data '!$A$5,D6559&gt;=$G$6,'calculated data '!$A$6)</f>
        <v>Target Market (Core IQR)</v>
      </c>
      <c r="F6559" s="10">
        <f t="shared" si="1"/>
        <v>-0.1907466923</v>
      </c>
    </row>
    <row r="6560" ht="14.25" customHeight="1">
      <c r="A6560" s="2" t="s">
        <v>377</v>
      </c>
      <c r="B6560" s="2" t="s">
        <v>378</v>
      </c>
      <c r="C6560" s="2">
        <v>1997.0</v>
      </c>
      <c r="D6560" s="9">
        <v>17847.889</v>
      </c>
      <c r="E6560" s="10" t="str">
        <f t="array" ref="E6560">IFS(D6560&lt;=$G$3,'calculated data '!$A$3,D6560&lt;=$G$4,'calculated data '!$A$4,D6560&lt;=$G$6,'calculated data '!$A$5,D6560&gt;=$G$6,'calculated data '!$A$6)</f>
        <v>Target Market (Core IQR)</v>
      </c>
      <c r="F6560" s="10">
        <f t="shared" si="1"/>
        <v>-0.1907422983</v>
      </c>
    </row>
    <row r="6561" ht="14.25" customHeight="1">
      <c r="A6561" s="2" t="s">
        <v>359</v>
      </c>
      <c r="B6561" s="2" t="s">
        <v>360</v>
      </c>
      <c r="C6561" s="2">
        <v>2010.0</v>
      </c>
      <c r="D6561" s="9">
        <v>17856.018</v>
      </c>
      <c r="E6561" s="10" t="str">
        <f t="array" ref="E6561">IFS(D6561&lt;=$G$3,'calculated data '!$A$3,D6561&lt;=$G$4,'calculated data '!$A$4,D6561&lt;=$G$6,'calculated data '!$A$5,D6561&gt;=$G$6,'calculated data '!$A$6)</f>
        <v>Target Market (Core IQR)</v>
      </c>
      <c r="F6561" s="10">
        <f t="shared" si="1"/>
        <v>-0.1905271257</v>
      </c>
    </row>
    <row r="6562" ht="14.25" customHeight="1">
      <c r="A6562" s="2" t="s">
        <v>301</v>
      </c>
      <c r="B6562" s="2" t="s">
        <v>302</v>
      </c>
      <c r="C6562" s="2">
        <v>2014.0</v>
      </c>
      <c r="D6562" s="9">
        <v>17874.97</v>
      </c>
      <c r="E6562" s="10" t="str">
        <f t="array" ref="E6562">IFS(D6562&lt;=$G$3,'calculated data '!$A$3,D6562&lt;=$G$4,'calculated data '!$A$4,D6562&lt;=$G$6,'calculated data '!$A$5,D6562&gt;=$G$6,'calculated data '!$A$6)</f>
        <v>Target Market (Core IQR)</v>
      </c>
      <c r="F6562" s="10">
        <f t="shared" si="1"/>
        <v>-0.190025471</v>
      </c>
    </row>
    <row r="6563" ht="14.25" customHeight="1">
      <c r="A6563" s="2" t="s">
        <v>347</v>
      </c>
      <c r="B6563" s="2" t="s">
        <v>348</v>
      </c>
      <c r="C6563" s="2">
        <v>2024.0</v>
      </c>
      <c r="D6563" s="9">
        <v>17884.244</v>
      </c>
      <c r="E6563" s="10" t="str">
        <f t="array" ref="E6563">IFS(D6563&lt;=$G$3,'calculated data '!$A$3,D6563&lt;=$G$4,'calculated data '!$A$4,D6563&lt;=$G$6,'calculated data '!$A$5,D6563&gt;=$G$6,'calculated data '!$A$6)</f>
        <v>Target Market (Core IQR)</v>
      </c>
      <c r="F6563" s="10">
        <f t="shared" si="1"/>
        <v>-0.1897799905</v>
      </c>
    </row>
    <row r="6564" ht="14.25" customHeight="1">
      <c r="A6564" s="2" t="s">
        <v>359</v>
      </c>
      <c r="B6564" s="2" t="s">
        <v>360</v>
      </c>
      <c r="C6564" s="2">
        <v>2009.0</v>
      </c>
      <c r="D6564" s="9">
        <v>17910.203</v>
      </c>
      <c r="E6564" s="10" t="str">
        <f t="array" ref="E6564">IFS(D6564&lt;=$G$3,'calculated data '!$A$3,D6564&lt;=$G$4,'calculated data '!$A$4,D6564&lt;=$G$6,'calculated data '!$A$5,D6564&gt;=$G$6,'calculated data '!$A$6)</f>
        <v>Target Market (Core IQR)</v>
      </c>
      <c r="F6564" s="10">
        <f t="shared" si="1"/>
        <v>-0.1890928623</v>
      </c>
    </row>
    <row r="6565" ht="14.25" customHeight="1">
      <c r="A6565" s="2" t="s">
        <v>357</v>
      </c>
      <c r="B6565" s="2" t="s">
        <v>358</v>
      </c>
      <c r="C6565" s="2">
        <v>2004.0</v>
      </c>
      <c r="D6565" s="9">
        <v>17921.68</v>
      </c>
      <c r="E6565" s="10" t="str">
        <f t="array" ref="E6565">IFS(D6565&lt;=$G$3,'calculated data '!$A$3,D6565&lt;=$G$4,'calculated data '!$A$4,D6565&lt;=$G$6,'calculated data '!$A$5,D6565&gt;=$G$6,'calculated data '!$A$6)</f>
        <v>Target Market (Core IQR)</v>
      </c>
      <c r="F6565" s="10">
        <f t="shared" si="1"/>
        <v>-0.1887890689</v>
      </c>
    </row>
    <row r="6566" ht="14.25" customHeight="1">
      <c r="A6566" s="2" t="s">
        <v>229</v>
      </c>
      <c r="B6566" s="2" t="s">
        <v>230</v>
      </c>
      <c r="C6566" s="2">
        <v>2022.0</v>
      </c>
      <c r="D6566" s="9">
        <v>17939.137</v>
      </c>
      <c r="E6566" s="10" t="str">
        <f t="array" ref="E6566">IFS(D6566&lt;=$G$3,'calculated data '!$A$3,D6566&lt;=$G$4,'calculated data '!$A$4,D6566&lt;=$G$6,'calculated data '!$A$5,D6566&gt;=$G$6,'calculated data '!$A$6)</f>
        <v>Target Market (Core IQR)</v>
      </c>
      <c r="F6566" s="10">
        <f t="shared" si="1"/>
        <v>-0.1883269865</v>
      </c>
    </row>
    <row r="6567" ht="14.25" customHeight="1">
      <c r="A6567" s="2" t="s">
        <v>351</v>
      </c>
      <c r="B6567" s="2" t="s">
        <v>352</v>
      </c>
      <c r="C6567" s="2">
        <v>2023.0</v>
      </c>
      <c r="D6567" s="9">
        <v>17946.95</v>
      </c>
      <c r="E6567" s="10" t="str">
        <f t="array" ref="E6567">IFS(D6567&lt;=$G$3,'calculated data '!$A$3,D6567&lt;=$G$4,'calculated data '!$A$4,D6567&lt;=$G$6,'calculated data '!$A$5,D6567&gt;=$G$6,'calculated data '!$A$6)</f>
        <v>Target Market (Core IQR)</v>
      </c>
      <c r="F6567" s="10">
        <f t="shared" si="1"/>
        <v>-0.1881201783</v>
      </c>
    </row>
    <row r="6568" ht="14.25" customHeight="1">
      <c r="A6568" s="2" t="s">
        <v>28</v>
      </c>
      <c r="B6568" s="2" t="s">
        <v>29</v>
      </c>
      <c r="C6568" s="2">
        <v>2009.0</v>
      </c>
      <c r="D6568" s="9">
        <v>17953.27</v>
      </c>
      <c r="E6568" s="10" t="str">
        <f t="array" ref="E6568">IFS(D6568&lt;=$G$3,'calculated data '!$A$3,D6568&lt;=$G$4,'calculated data '!$A$4,D6568&lt;=$G$6,'calculated data '!$A$5,D6568&gt;=$G$6,'calculated data '!$A$6)</f>
        <v>Target Market (Core IQR)</v>
      </c>
      <c r="F6568" s="10">
        <f t="shared" si="1"/>
        <v>-0.1879528895</v>
      </c>
    </row>
    <row r="6569" ht="14.25" customHeight="1">
      <c r="A6569" s="2" t="s">
        <v>359</v>
      </c>
      <c r="B6569" s="2" t="s">
        <v>360</v>
      </c>
      <c r="C6569" s="2">
        <v>2019.0</v>
      </c>
      <c r="D6569" s="9">
        <v>17956.227</v>
      </c>
      <c r="E6569" s="10" t="str">
        <f t="array" ref="E6569">IFS(D6569&lt;=$G$3,'calculated data '!$A$3,D6569&lt;=$G$4,'calculated data '!$A$4,D6569&lt;=$G$6,'calculated data '!$A$5,D6569&gt;=$G$6,'calculated data '!$A$6)</f>
        <v>Target Market (Core IQR)</v>
      </c>
      <c r="F6569" s="10">
        <f t="shared" si="1"/>
        <v>-0.1878746184</v>
      </c>
    </row>
    <row r="6570" ht="14.25" customHeight="1">
      <c r="A6570" s="2" t="s">
        <v>339</v>
      </c>
      <c r="B6570" s="2" t="s">
        <v>340</v>
      </c>
      <c r="C6570" s="2">
        <v>1991.0</v>
      </c>
      <c r="D6570" s="9">
        <v>17960.684</v>
      </c>
      <c r="E6570" s="10" t="str">
        <f t="array" ref="E6570">IFS(D6570&lt;=$G$3,'calculated data '!$A$3,D6570&lt;=$G$4,'calculated data '!$A$4,D6570&lt;=$G$6,'calculated data '!$A$5,D6570&gt;=$G$6,'calculated data '!$A$6)</f>
        <v>Target Market (Core IQR)</v>
      </c>
      <c r="F6570" s="10">
        <f t="shared" si="1"/>
        <v>-0.1877566428</v>
      </c>
    </row>
    <row r="6571" ht="14.25" customHeight="1">
      <c r="A6571" s="2" t="s">
        <v>287</v>
      </c>
      <c r="B6571" s="2" t="s">
        <v>288</v>
      </c>
      <c r="C6571" s="2">
        <v>2017.0</v>
      </c>
      <c r="D6571" s="9">
        <v>17961.676</v>
      </c>
      <c r="E6571" s="10" t="str">
        <f t="array" ref="E6571">IFS(D6571&lt;=$G$3,'calculated data '!$A$3,D6571&lt;=$G$4,'calculated data '!$A$4,D6571&lt;=$G$6,'calculated data '!$A$5,D6571&gt;=$G$6,'calculated data '!$A$6)</f>
        <v>Target Market (Core IQR)</v>
      </c>
      <c r="F6571" s="10">
        <f t="shared" si="1"/>
        <v>-0.1877303848</v>
      </c>
    </row>
    <row r="6572" ht="14.25" customHeight="1">
      <c r="A6572" s="2" t="s">
        <v>359</v>
      </c>
      <c r="B6572" s="2" t="s">
        <v>360</v>
      </c>
      <c r="C6572" s="2">
        <v>2000.0</v>
      </c>
      <c r="D6572" s="9">
        <v>17962.22</v>
      </c>
      <c r="E6572" s="10" t="str">
        <f t="array" ref="E6572">IFS(D6572&lt;=$G$3,'calculated data '!$A$3,D6572&lt;=$G$4,'calculated data '!$A$4,D6572&lt;=$G$6,'calculated data '!$A$5,D6572&gt;=$G$6,'calculated data '!$A$6)</f>
        <v>Target Market (Core IQR)</v>
      </c>
      <c r="F6572" s="10">
        <f t="shared" si="1"/>
        <v>-0.1877159852</v>
      </c>
    </row>
    <row r="6573" ht="14.25" customHeight="1">
      <c r="A6573" s="2" t="s">
        <v>377</v>
      </c>
      <c r="B6573" s="2" t="s">
        <v>378</v>
      </c>
      <c r="C6573" s="2">
        <v>1996.0</v>
      </c>
      <c r="D6573" s="9">
        <v>17963.77</v>
      </c>
      <c r="E6573" s="10" t="str">
        <f t="array" ref="E6573">IFS(D6573&lt;=$G$3,'calculated data '!$A$3,D6573&lt;=$G$4,'calculated data '!$A$4,D6573&lt;=$G$6,'calculated data '!$A$5,D6573&gt;=$G$6,'calculated data '!$A$6)</f>
        <v>Target Market (Core IQR)</v>
      </c>
      <c r="F6573" s="10">
        <f t="shared" si="1"/>
        <v>-0.1876749571</v>
      </c>
    </row>
    <row r="6574" ht="14.25" customHeight="1">
      <c r="A6574" s="2" t="s">
        <v>339</v>
      </c>
      <c r="B6574" s="2" t="s">
        <v>340</v>
      </c>
      <c r="C6574" s="2">
        <v>2008.0</v>
      </c>
      <c r="D6574" s="9">
        <v>17964.354</v>
      </c>
      <c r="E6574" s="10" t="str">
        <f t="array" ref="E6574">IFS(D6574&lt;=$G$3,'calculated data '!$A$3,D6574&lt;=$G$4,'calculated data '!$A$4,D6574&lt;=$G$6,'calculated data '!$A$5,D6574&gt;=$G$6,'calculated data '!$A$6)</f>
        <v>Target Market (Core IQR)</v>
      </c>
      <c r="F6574" s="10">
        <f t="shared" si="1"/>
        <v>-0.1876594988</v>
      </c>
    </row>
    <row r="6575" ht="14.25" customHeight="1">
      <c r="A6575" s="2" t="s">
        <v>303</v>
      </c>
      <c r="B6575" s="2" t="s">
        <v>304</v>
      </c>
      <c r="C6575" s="2">
        <v>2018.0</v>
      </c>
      <c r="D6575" s="9">
        <v>17967.139</v>
      </c>
      <c r="E6575" s="10" t="str">
        <f t="array" ref="E6575">IFS(D6575&lt;=$G$3,'calculated data '!$A$3,D6575&lt;=$G$4,'calculated data '!$A$4,D6575&lt;=$G$6,'calculated data '!$A$5,D6575&gt;=$G$6,'calculated data '!$A$6)</f>
        <v>Target Market (Core IQR)</v>
      </c>
      <c r="F6575" s="10">
        <f t="shared" si="1"/>
        <v>-0.1875857805</v>
      </c>
    </row>
    <row r="6576" ht="14.25" customHeight="1">
      <c r="A6576" s="2" t="s">
        <v>349</v>
      </c>
      <c r="B6576" s="2" t="s">
        <v>350</v>
      </c>
      <c r="C6576" s="2">
        <v>2020.0</v>
      </c>
      <c r="D6576" s="9">
        <v>17967.488</v>
      </c>
      <c r="E6576" s="10" t="str">
        <f t="array" ref="E6576">IFS(D6576&lt;=$G$3,'calculated data '!$A$3,D6576&lt;=$G$4,'calculated data '!$A$4,D6576&lt;=$G$6,'calculated data '!$A$5,D6576&gt;=$G$6,'calculated data '!$A$6)</f>
        <v>Target Market (Core IQR)</v>
      </c>
      <c r="F6576" s="10">
        <f t="shared" si="1"/>
        <v>-0.1875765426</v>
      </c>
    </row>
    <row r="6577" ht="14.25" customHeight="1">
      <c r="A6577" s="2" t="s">
        <v>301</v>
      </c>
      <c r="B6577" s="2" t="s">
        <v>302</v>
      </c>
      <c r="C6577" s="2">
        <v>2009.0</v>
      </c>
      <c r="D6577" s="9">
        <v>17967.81</v>
      </c>
      <c r="E6577" s="10" t="str">
        <f t="array" ref="E6577">IFS(D6577&lt;=$G$3,'calculated data '!$A$3,D6577&lt;=$G$4,'calculated data '!$A$4,D6577&lt;=$G$6,'calculated data '!$A$5,D6577&gt;=$G$6,'calculated data '!$A$6)</f>
        <v>Target Market (Core IQR)</v>
      </c>
      <c r="F6577" s="10">
        <f t="shared" si="1"/>
        <v>-0.1875680193</v>
      </c>
    </row>
    <row r="6578" ht="14.25" customHeight="1">
      <c r="A6578" s="2" t="s">
        <v>357</v>
      </c>
      <c r="B6578" s="2" t="s">
        <v>358</v>
      </c>
      <c r="C6578" s="2">
        <v>2020.0</v>
      </c>
      <c r="D6578" s="9">
        <v>17974.082</v>
      </c>
      <c r="E6578" s="10" t="str">
        <f t="array" ref="E6578">IFS(D6578&lt;=$G$3,'calculated data '!$A$3,D6578&lt;=$G$4,'calculated data '!$A$4,D6578&lt;=$G$6,'calculated data '!$A$5,D6578&gt;=$G$6,'calculated data '!$A$6)</f>
        <v>Target Market (Core IQR)</v>
      </c>
      <c r="F6578" s="10">
        <f t="shared" si="1"/>
        <v>-0.187402001</v>
      </c>
    </row>
    <row r="6579" ht="14.25" customHeight="1">
      <c r="A6579" s="2" t="s">
        <v>359</v>
      </c>
      <c r="B6579" s="2" t="s">
        <v>360</v>
      </c>
      <c r="C6579" s="2">
        <v>2017.0</v>
      </c>
      <c r="D6579" s="9">
        <v>17976.148</v>
      </c>
      <c r="E6579" s="10" t="str">
        <f t="array" ref="E6579">IFS(D6579&lt;=$G$3,'calculated data '!$A$3,D6579&lt;=$G$4,'calculated data '!$A$4,D6579&lt;=$G$6,'calculated data '!$A$5,D6579&gt;=$G$6,'calculated data '!$A$6)</f>
        <v>Target Market (Core IQR)</v>
      </c>
      <c r="F6579" s="10">
        <f t="shared" si="1"/>
        <v>-0.1873473145</v>
      </c>
    </row>
    <row r="6580" ht="14.25" customHeight="1">
      <c r="A6580" s="2" t="s">
        <v>247</v>
      </c>
      <c r="B6580" s="2" t="s">
        <v>248</v>
      </c>
      <c r="C6580" s="2">
        <v>2020.0</v>
      </c>
      <c r="D6580" s="9">
        <v>17978.35</v>
      </c>
      <c r="E6580" s="10" t="str">
        <f t="array" ref="E6580">IFS(D6580&lt;=$G$3,'calculated data '!$A$3,D6580&lt;=$G$4,'calculated data '!$A$4,D6580&lt;=$G$6,'calculated data '!$A$5,D6580&gt;=$G$6,'calculated data '!$A$6)</f>
        <v>Target Market (Core IQR)</v>
      </c>
      <c r="F6580" s="10">
        <f t="shared" si="1"/>
        <v>-0.1872890281</v>
      </c>
    </row>
    <row r="6581" ht="14.25" customHeight="1">
      <c r="A6581" s="2" t="s">
        <v>383</v>
      </c>
      <c r="B6581" s="2" t="s">
        <v>384</v>
      </c>
      <c r="C6581" s="2">
        <v>1994.0</v>
      </c>
      <c r="D6581" s="9">
        <v>17982.88</v>
      </c>
      <c r="E6581" s="10" t="str">
        <f t="array" ref="E6581">IFS(D6581&lt;=$G$3,'calculated data '!$A$3,D6581&lt;=$G$4,'calculated data '!$A$4,D6581&lt;=$G$6,'calculated data '!$A$5,D6581&gt;=$G$6,'calculated data '!$A$6)</f>
        <v>Target Market (Core IQR)</v>
      </c>
      <c r="F6581" s="10">
        <f t="shared" si="1"/>
        <v>-0.1871691202</v>
      </c>
    </row>
    <row r="6582" ht="14.25" customHeight="1">
      <c r="A6582" s="2" t="s">
        <v>301</v>
      </c>
      <c r="B6582" s="2" t="s">
        <v>302</v>
      </c>
      <c r="C6582" s="2">
        <v>2018.0</v>
      </c>
      <c r="D6582" s="9">
        <v>18000.162</v>
      </c>
      <c r="E6582" s="10" t="str">
        <f t="array" ref="E6582">IFS(D6582&lt;=$G$3,'calculated data '!$A$3,D6582&lt;=$G$4,'calculated data '!$A$4,D6582&lt;=$G$6,'calculated data '!$A$5,D6582&gt;=$G$6,'calculated data '!$A$6)</f>
        <v>Target Market (Core IQR)</v>
      </c>
      <c r="F6582" s="10">
        <f t="shared" si="1"/>
        <v>-0.1867116699</v>
      </c>
    </row>
    <row r="6583" ht="14.25" customHeight="1">
      <c r="A6583" s="2" t="s">
        <v>373</v>
      </c>
      <c r="B6583" s="2" t="s">
        <v>374</v>
      </c>
      <c r="C6583" s="2">
        <v>1984.0</v>
      </c>
      <c r="D6583" s="9">
        <v>18010.146</v>
      </c>
      <c r="E6583" s="10" t="str">
        <f t="array" ref="E6583">IFS(D6583&lt;=$G$3,'calculated data '!$A$3,D6583&lt;=$G$4,'calculated data '!$A$4,D6583&lt;=$G$6,'calculated data '!$A$5,D6583&gt;=$G$6,'calculated data '!$A$6)</f>
        <v>Target Market (Core IQR)</v>
      </c>
      <c r="F6583" s="10">
        <f t="shared" si="1"/>
        <v>-0.1864473959</v>
      </c>
    </row>
    <row r="6584" ht="14.25" customHeight="1">
      <c r="A6584" s="2" t="s">
        <v>257</v>
      </c>
      <c r="B6584" s="2" t="s">
        <v>258</v>
      </c>
      <c r="C6584" s="2">
        <v>1996.0</v>
      </c>
      <c r="D6584" s="9">
        <v>18028.166</v>
      </c>
      <c r="E6584" s="10" t="str">
        <f t="array" ref="E6584">IFS(D6584&lt;=$G$3,'calculated data '!$A$3,D6584&lt;=$G$4,'calculated data '!$A$4,D6584&lt;=$G$6,'calculated data '!$A$5,D6584&gt;=$G$6,'calculated data '!$A$6)</f>
        <v>Target Market (Core IQR)</v>
      </c>
      <c r="F6584" s="10">
        <f t="shared" si="1"/>
        <v>-0.185970411</v>
      </c>
    </row>
    <row r="6585" ht="14.25" customHeight="1">
      <c r="A6585" s="2" t="s">
        <v>301</v>
      </c>
      <c r="B6585" s="2" t="s">
        <v>302</v>
      </c>
      <c r="C6585" s="2">
        <v>2006.0</v>
      </c>
      <c r="D6585" s="9">
        <v>18032.59</v>
      </c>
      <c r="E6585" s="10" t="str">
        <f t="array" ref="E6585">IFS(D6585&lt;=$G$3,'calculated data '!$A$3,D6585&lt;=$G$4,'calculated data '!$A$4,D6585&lt;=$G$6,'calculated data '!$A$5,D6585&gt;=$G$6,'calculated data '!$A$6)</f>
        <v>Target Market (Core IQR)</v>
      </c>
      <c r="F6585" s="10">
        <f t="shared" si="1"/>
        <v>-0.1858533089</v>
      </c>
    </row>
    <row r="6586" ht="14.25" customHeight="1">
      <c r="A6586" s="2" t="s">
        <v>301</v>
      </c>
      <c r="B6586" s="2" t="s">
        <v>302</v>
      </c>
      <c r="C6586" s="2">
        <v>2015.0</v>
      </c>
      <c r="D6586" s="9">
        <v>18056.396</v>
      </c>
      <c r="E6586" s="10" t="str">
        <f t="array" ref="E6586">IFS(D6586&lt;=$G$3,'calculated data '!$A$3,D6586&lt;=$G$4,'calculated data '!$A$4,D6586&lt;=$G$6,'calculated data '!$A$5,D6586&gt;=$G$6,'calculated data '!$A$6)</f>
        <v>Target Market (Core IQR)</v>
      </c>
      <c r="F6586" s="10">
        <f t="shared" si="1"/>
        <v>-0.18522317</v>
      </c>
    </row>
    <row r="6587" ht="14.25" customHeight="1">
      <c r="A6587" s="2" t="s">
        <v>241</v>
      </c>
      <c r="B6587" s="2" t="s">
        <v>242</v>
      </c>
      <c r="C6587" s="2">
        <v>2015.0</v>
      </c>
      <c r="D6587" s="9">
        <v>18058.996</v>
      </c>
      <c r="E6587" s="10" t="str">
        <f t="array" ref="E6587">IFS(D6587&lt;=$G$3,'calculated data '!$A$3,D6587&lt;=$G$4,'calculated data '!$A$4,D6587&lt;=$G$6,'calculated data '!$A$5,D6587&gt;=$G$6,'calculated data '!$A$6)</f>
        <v>Target Market (Core IQR)</v>
      </c>
      <c r="F6587" s="10">
        <f t="shared" si="1"/>
        <v>-0.1851543486</v>
      </c>
    </row>
    <row r="6588" ht="14.25" customHeight="1">
      <c r="A6588" s="2" t="s">
        <v>341</v>
      </c>
      <c r="B6588" s="2" t="s">
        <v>342</v>
      </c>
      <c r="C6588" s="2">
        <v>1996.0</v>
      </c>
      <c r="D6588" s="9">
        <v>18064.951</v>
      </c>
      <c r="E6588" s="10" t="str">
        <f t="array" ref="E6588">IFS(D6588&lt;=$G$3,'calculated data '!$A$3,D6588&lt;=$G$4,'calculated data '!$A$4,D6588&lt;=$G$6,'calculated data '!$A$5,D6588&gt;=$G$6,'calculated data '!$A$6)</f>
        <v>Target Market (Core IQR)</v>
      </c>
      <c r="F6588" s="10">
        <f t="shared" si="1"/>
        <v>-0.1849967212</v>
      </c>
    </row>
    <row r="6589" ht="14.25" customHeight="1">
      <c r="A6589" s="2" t="s">
        <v>28</v>
      </c>
      <c r="B6589" s="2" t="s">
        <v>29</v>
      </c>
      <c r="C6589" s="2">
        <v>2003.0</v>
      </c>
      <c r="D6589" s="9">
        <v>18067.742</v>
      </c>
      <c r="E6589" s="10" t="str">
        <f t="array" ref="E6589">IFS(D6589&lt;=$G$3,'calculated data '!$A$3,D6589&lt;=$G$4,'calculated data '!$A$4,D6589&lt;=$G$6,'calculated data '!$A$5,D6589&gt;=$G$6,'calculated data '!$A$6)</f>
        <v>Target Market (Core IQR)</v>
      </c>
      <c r="F6589" s="10">
        <f t="shared" si="1"/>
        <v>-0.1849228442</v>
      </c>
    </row>
    <row r="6590" ht="14.25" customHeight="1">
      <c r="A6590" s="2" t="s">
        <v>357</v>
      </c>
      <c r="B6590" s="2" t="s">
        <v>358</v>
      </c>
      <c r="C6590" s="2">
        <v>1999.0</v>
      </c>
      <c r="D6590" s="9">
        <v>18071.475</v>
      </c>
      <c r="E6590" s="10" t="str">
        <f t="array" ref="E6590">IFS(D6590&lt;=$G$3,'calculated data '!$A$3,D6590&lt;=$G$4,'calculated data '!$A$4,D6590&lt;=$G$6,'calculated data '!$A$5,D6590&gt;=$G$6,'calculated data '!$A$6)</f>
        <v>Target Market (Core IQR)</v>
      </c>
      <c r="F6590" s="10">
        <f t="shared" si="1"/>
        <v>-0.1848240326</v>
      </c>
    </row>
    <row r="6591" ht="14.25" customHeight="1">
      <c r="A6591" s="2" t="s">
        <v>359</v>
      </c>
      <c r="B6591" s="2" t="s">
        <v>360</v>
      </c>
      <c r="C6591" s="2">
        <v>1968.0</v>
      </c>
      <c r="D6591" s="9">
        <v>18073.553</v>
      </c>
      <c r="E6591" s="10" t="str">
        <f t="array" ref="E6591">IFS(D6591&lt;=$G$3,'calculated data '!$A$3,D6591&lt;=$G$4,'calculated data '!$A$4,D6591&lt;=$G$6,'calculated data '!$A$5,D6591&gt;=$G$6,'calculated data '!$A$6)</f>
        <v>Target Market (Core IQR)</v>
      </c>
      <c r="F6591" s="10">
        <f t="shared" si="1"/>
        <v>-0.1847690284</v>
      </c>
    </row>
    <row r="6592" ht="14.25" customHeight="1">
      <c r="A6592" s="2" t="s">
        <v>297</v>
      </c>
      <c r="B6592" s="2" t="s">
        <v>298</v>
      </c>
      <c r="C6592" s="2">
        <v>2022.0</v>
      </c>
      <c r="D6592" s="9">
        <v>18080.918</v>
      </c>
      <c r="E6592" s="10" t="str">
        <f t="array" ref="E6592">IFS(D6592&lt;=$G$3,'calculated data '!$A$3,D6592&lt;=$G$4,'calculated data '!$A$4,D6592&lt;=$G$6,'calculated data '!$A$5,D6592&gt;=$G$6,'calculated data '!$A$6)</f>
        <v>Target Market (Core IQR)</v>
      </c>
      <c r="F6592" s="10">
        <f t="shared" si="1"/>
        <v>-0.1845740787</v>
      </c>
    </row>
    <row r="6593" ht="14.25" customHeight="1">
      <c r="A6593" s="2" t="s">
        <v>343</v>
      </c>
      <c r="B6593" s="2" t="s">
        <v>344</v>
      </c>
      <c r="C6593" s="2">
        <v>1987.0</v>
      </c>
      <c r="D6593" s="9">
        <v>18085.92</v>
      </c>
      <c r="E6593" s="10" t="str">
        <f t="array" ref="E6593">IFS(D6593&lt;=$G$3,'calculated data '!$A$3,D6593&lt;=$G$4,'calculated data '!$A$4,D6593&lt;=$G$6,'calculated data '!$A$5,D6593&gt;=$G$6,'calculated data '!$A$6)</f>
        <v>Target Market (Core IQR)</v>
      </c>
      <c r="F6593" s="10">
        <f t="shared" si="1"/>
        <v>-0.184441677</v>
      </c>
    </row>
    <row r="6594" ht="14.25" customHeight="1">
      <c r="A6594" s="2" t="s">
        <v>377</v>
      </c>
      <c r="B6594" s="2" t="s">
        <v>378</v>
      </c>
      <c r="C6594" s="2">
        <v>1995.0</v>
      </c>
      <c r="D6594" s="9">
        <v>18087.041</v>
      </c>
      <c r="E6594" s="10" t="str">
        <f t="array" ref="E6594">IFS(D6594&lt;=$G$3,'calculated data '!$A$3,D6594&lt;=$G$4,'calculated data '!$A$4,D6594&lt;=$G$6,'calculated data '!$A$5,D6594&gt;=$G$6,'calculated data '!$A$6)</f>
        <v>Target Market (Core IQR)</v>
      </c>
      <c r="F6594" s="10">
        <f t="shared" si="1"/>
        <v>-0.1844120044</v>
      </c>
    </row>
    <row r="6595" ht="14.25" customHeight="1">
      <c r="A6595" s="2" t="s">
        <v>28</v>
      </c>
      <c r="B6595" s="2" t="s">
        <v>29</v>
      </c>
      <c r="C6595" s="2">
        <v>2001.0</v>
      </c>
      <c r="D6595" s="9">
        <v>18087.426</v>
      </c>
      <c r="E6595" s="10" t="str">
        <f t="array" ref="E6595">IFS(D6595&lt;=$G$3,'calculated data '!$A$3,D6595&lt;=$G$4,'calculated data '!$A$4,D6595&lt;=$G$6,'calculated data '!$A$5,D6595&gt;=$G$6,'calculated data '!$A$6)</f>
        <v>Target Market (Core IQR)</v>
      </c>
      <c r="F6595" s="10">
        <f t="shared" si="1"/>
        <v>-0.1844018136</v>
      </c>
    </row>
    <row r="6596" ht="14.25" customHeight="1">
      <c r="A6596" s="2" t="s">
        <v>365</v>
      </c>
      <c r="B6596" s="2" t="s">
        <v>366</v>
      </c>
      <c r="C6596" s="2">
        <v>2018.0</v>
      </c>
      <c r="D6596" s="9">
        <v>18089.064</v>
      </c>
      <c r="E6596" s="10" t="str">
        <f t="array" ref="E6596">IFS(D6596&lt;=$G$3,'calculated data '!$A$3,D6596&lt;=$G$4,'calculated data '!$A$4,D6596&lt;=$G$6,'calculated data '!$A$5,D6596&gt;=$G$6,'calculated data '!$A$6)</f>
        <v>Target Market (Core IQR)</v>
      </c>
      <c r="F6596" s="10">
        <f t="shared" si="1"/>
        <v>-0.1843584561</v>
      </c>
    </row>
    <row r="6597" ht="14.25" customHeight="1">
      <c r="A6597" s="2" t="s">
        <v>309</v>
      </c>
      <c r="B6597" s="2" t="s">
        <v>310</v>
      </c>
      <c r="C6597" s="2">
        <v>1983.0</v>
      </c>
      <c r="D6597" s="9">
        <v>18097.594</v>
      </c>
      <c r="E6597" s="10" t="str">
        <f t="array" ref="E6597">IFS(D6597&lt;=$G$3,'calculated data '!$A$3,D6597&lt;=$G$4,'calculated data '!$A$4,D6597&lt;=$G$6,'calculated data '!$A$5,D6597&gt;=$G$6,'calculated data '!$A$6)</f>
        <v>Target Market (Core IQR)</v>
      </c>
      <c r="F6597" s="10">
        <f t="shared" si="1"/>
        <v>-0.1841326692</v>
      </c>
    </row>
    <row r="6598" ht="14.25" customHeight="1">
      <c r="A6598" s="2" t="s">
        <v>385</v>
      </c>
      <c r="B6598" s="2" t="s">
        <v>386</v>
      </c>
      <c r="C6598" s="2">
        <v>1966.0</v>
      </c>
      <c r="D6598" s="9">
        <v>18098.373</v>
      </c>
      <c r="E6598" s="10" t="str">
        <f t="array" ref="E6598">IFS(D6598&lt;=$G$3,'calculated data '!$A$3,D6598&lt;=$G$4,'calculated data '!$A$4,D6598&lt;=$G$6,'calculated data '!$A$5,D6598&gt;=$G$6,'calculated data '!$A$6)</f>
        <v>Target Market (Core IQR)</v>
      </c>
      <c r="F6598" s="10">
        <f t="shared" si="1"/>
        <v>-0.1841120492</v>
      </c>
    </row>
    <row r="6599" ht="14.25" customHeight="1">
      <c r="A6599" s="2" t="s">
        <v>375</v>
      </c>
      <c r="B6599" s="2" t="s">
        <v>376</v>
      </c>
      <c r="C6599" s="2">
        <v>1968.0</v>
      </c>
      <c r="D6599" s="9">
        <v>18100.527</v>
      </c>
      <c r="E6599" s="10" t="str">
        <f t="array" ref="E6599">IFS(D6599&lt;=$G$3,'calculated data '!$A$3,D6599&lt;=$G$4,'calculated data '!$A$4,D6599&lt;=$G$6,'calculated data '!$A$5,D6599&gt;=$G$6,'calculated data '!$A$6)</f>
        <v>Target Market (Core IQR)</v>
      </c>
      <c r="F6599" s="10">
        <f t="shared" si="1"/>
        <v>-0.1840550334</v>
      </c>
    </row>
    <row r="6600" ht="14.25" customHeight="1">
      <c r="A6600" s="2" t="s">
        <v>349</v>
      </c>
      <c r="B6600" s="2" t="s">
        <v>350</v>
      </c>
      <c r="C6600" s="2">
        <v>2019.0</v>
      </c>
      <c r="D6600" s="9">
        <v>18106.951</v>
      </c>
      <c r="E6600" s="10" t="str">
        <f t="array" ref="E6600">IFS(D6600&lt;=$G$3,'calculated data '!$A$3,D6600&lt;=$G$4,'calculated data '!$A$4,D6600&lt;=$G$6,'calculated data '!$A$5,D6600&gt;=$G$6,'calculated data '!$A$6)</f>
        <v>Target Market (Core IQR)</v>
      </c>
      <c r="F6600" s="10">
        <f t="shared" si="1"/>
        <v>-0.1838849917</v>
      </c>
    </row>
    <row r="6601" ht="14.25" customHeight="1">
      <c r="A6601" s="2" t="s">
        <v>301</v>
      </c>
      <c r="B6601" s="2" t="s">
        <v>302</v>
      </c>
      <c r="C6601" s="2">
        <v>2010.0</v>
      </c>
      <c r="D6601" s="9">
        <v>18115.555</v>
      </c>
      <c r="E6601" s="10" t="str">
        <f t="array" ref="E6601">IFS(D6601&lt;=$G$3,'calculated data '!$A$3,D6601&lt;=$G$4,'calculated data '!$A$4,D6601&lt;=$G$6,'calculated data '!$A$5,D6601&gt;=$G$6,'calculated data '!$A$6)</f>
        <v>Target Market (Core IQR)</v>
      </c>
      <c r="F6601" s="10">
        <f t="shared" si="1"/>
        <v>-0.183657246</v>
      </c>
    </row>
    <row r="6602" ht="14.25" customHeight="1">
      <c r="A6602" s="2" t="s">
        <v>337</v>
      </c>
      <c r="B6602" s="2" t="s">
        <v>338</v>
      </c>
      <c r="C6602" s="2">
        <v>1984.0</v>
      </c>
      <c r="D6602" s="9">
        <v>18121.291</v>
      </c>
      <c r="E6602" s="10" t="str">
        <f t="array" ref="E6602">IFS(D6602&lt;=$G$3,'calculated data '!$A$3,D6602&lt;=$G$4,'calculated data '!$A$4,D6602&lt;=$G$6,'calculated data '!$A$5,D6602&gt;=$G$6,'calculated data '!$A$6)</f>
        <v>Target Market (Core IQR)</v>
      </c>
      <c r="F6602" s="10">
        <f t="shared" si="1"/>
        <v>-0.1835054155</v>
      </c>
    </row>
    <row r="6603" ht="14.25" customHeight="1">
      <c r="A6603" s="2" t="s">
        <v>359</v>
      </c>
      <c r="B6603" s="2" t="s">
        <v>360</v>
      </c>
      <c r="C6603" s="2">
        <v>2018.0</v>
      </c>
      <c r="D6603" s="9">
        <v>18130.752</v>
      </c>
      <c r="E6603" s="10" t="str">
        <f t="array" ref="E6603">IFS(D6603&lt;=$G$3,'calculated data '!$A$3,D6603&lt;=$G$4,'calculated data '!$A$4,D6603&lt;=$G$6,'calculated data '!$A$5,D6603&gt;=$G$6,'calculated data '!$A$6)</f>
        <v>Target Market (Core IQR)</v>
      </c>
      <c r="F6603" s="10">
        <f t="shared" si="1"/>
        <v>-0.1832549852</v>
      </c>
    </row>
    <row r="6604" ht="14.25" customHeight="1">
      <c r="A6604" s="2" t="s">
        <v>287</v>
      </c>
      <c r="B6604" s="2" t="s">
        <v>288</v>
      </c>
      <c r="C6604" s="2">
        <v>2019.0</v>
      </c>
      <c r="D6604" s="9">
        <v>18132.562</v>
      </c>
      <c r="E6604" s="10" t="str">
        <f t="array" ref="E6604">IFS(D6604&lt;=$G$3,'calculated data '!$A$3,D6604&lt;=$G$4,'calculated data '!$A$4,D6604&lt;=$G$6,'calculated data '!$A$5,D6604&gt;=$G$6,'calculated data '!$A$6)</f>
        <v>Target Market (Core IQR)</v>
      </c>
      <c r="F6604" s="10">
        <f t="shared" si="1"/>
        <v>-0.1832070749</v>
      </c>
    </row>
    <row r="6605" ht="14.25" customHeight="1">
      <c r="A6605" s="2" t="s">
        <v>247</v>
      </c>
      <c r="B6605" s="2" t="s">
        <v>248</v>
      </c>
      <c r="C6605" s="2">
        <v>2019.0</v>
      </c>
      <c r="D6605" s="9">
        <v>18138.418</v>
      </c>
      <c r="E6605" s="10" t="str">
        <f t="array" ref="E6605">IFS(D6605&lt;=$G$3,'calculated data '!$A$3,D6605&lt;=$G$4,'calculated data '!$A$4,D6605&lt;=$G$6,'calculated data '!$A$5,D6605&gt;=$G$6,'calculated data '!$A$6)</f>
        <v>Target Market (Core IQR)</v>
      </c>
      <c r="F6605" s="10">
        <f t="shared" si="1"/>
        <v>-0.1830520681</v>
      </c>
    </row>
    <row r="6606" ht="14.25" customHeight="1">
      <c r="A6606" s="2" t="s">
        <v>313</v>
      </c>
      <c r="B6606" s="2" t="s">
        <v>314</v>
      </c>
      <c r="C6606" s="2">
        <v>2009.0</v>
      </c>
      <c r="D6606" s="9">
        <v>18139.17</v>
      </c>
      <c r="E6606" s="10" t="str">
        <f t="array" ref="E6606">IFS(D6606&lt;=$G$3,'calculated data '!$A$3,D6606&lt;=$G$4,'calculated data '!$A$4,D6606&lt;=$G$6,'calculated data '!$A$5,D6606&gt;=$G$6,'calculated data '!$A$6)</f>
        <v>Target Market (Core IQR)</v>
      </c>
      <c r="F6606" s="10">
        <f t="shared" si="1"/>
        <v>-0.1830321628</v>
      </c>
    </row>
    <row r="6607" ht="14.25" customHeight="1">
      <c r="A6607" s="2" t="s">
        <v>295</v>
      </c>
      <c r="B6607" s="2" t="s">
        <v>296</v>
      </c>
      <c r="C6607" s="2">
        <v>2016.0</v>
      </c>
      <c r="D6607" s="9">
        <v>18144.992</v>
      </c>
      <c r="E6607" s="10" t="str">
        <f t="array" ref="E6607">IFS(D6607&lt;=$G$3,'calculated data '!$A$3,D6607&lt;=$G$4,'calculated data '!$A$4,D6607&lt;=$G$6,'calculated data '!$A$5,D6607&gt;=$G$6,'calculated data '!$A$6)</f>
        <v>Target Market (Core IQR)</v>
      </c>
      <c r="F6607" s="10">
        <f t="shared" si="1"/>
        <v>-0.1828780559</v>
      </c>
    </row>
    <row r="6608" ht="14.25" customHeight="1">
      <c r="A6608" s="2" t="s">
        <v>371</v>
      </c>
      <c r="B6608" s="2" t="s">
        <v>372</v>
      </c>
      <c r="C6608" s="2">
        <v>1966.0</v>
      </c>
      <c r="D6608" s="9">
        <v>18148.094</v>
      </c>
      <c r="E6608" s="10" t="str">
        <f t="array" ref="E6608">IFS(D6608&lt;=$G$3,'calculated data '!$A$3,D6608&lt;=$G$4,'calculated data '!$A$4,D6608&lt;=$G$6,'calculated data '!$A$5,D6608&gt;=$G$6,'calculated data '!$A$6)</f>
        <v>Target Market (Core IQR)</v>
      </c>
      <c r="F6608" s="10">
        <f t="shared" si="1"/>
        <v>-0.1827959467</v>
      </c>
    </row>
    <row r="6609" ht="14.25" customHeight="1">
      <c r="A6609" s="2" t="s">
        <v>335</v>
      </c>
      <c r="B6609" s="2" t="s">
        <v>336</v>
      </c>
      <c r="C6609" s="2">
        <v>1973.0</v>
      </c>
      <c r="D6609" s="9">
        <v>18149.818</v>
      </c>
      <c r="E6609" s="10" t="str">
        <f t="array" ref="E6609">IFS(D6609&lt;=$G$3,'calculated data '!$A$3,D6609&lt;=$G$4,'calculated data '!$A$4,D6609&lt;=$G$6,'calculated data '!$A$5,D6609&gt;=$G$6,'calculated data '!$A$6)</f>
        <v>Target Market (Core IQR)</v>
      </c>
      <c r="F6609" s="10">
        <f t="shared" si="1"/>
        <v>-0.1827503129</v>
      </c>
    </row>
    <row r="6610" ht="14.25" customHeight="1">
      <c r="A6610" s="2" t="s">
        <v>339</v>
      </c>
      <c r="B6610" s="2" t="s">
        <v>340</v>
      </c>
      <c r="C6610" s="2">
        <v>2009.0</v>
      </c>
      <c r="D6610" s="9">
        <v>18152.479</v>
      </c>
      <c r="E6610" s="10" t="str">
        <f t="array" ref="E6610">IFS(D6610&lt;=$G$3,'calculated data '!$A$3,D6610&lt;=$G$4,'calculated data '!$A$4,D6610&lt;=$G$6,'calculated data '!$A$5,D6610&gt;=$G$6,'calculated data '!$A$6)</f>
        <v>Target Market (Core IQR)</v>
      </c>
      <c r="F6610" s="10">
        <f t="shared" si="1"/>
        <v>-0.1826798769</v>
      </c>
    </row>
    <row r="6611" ht="14.25" customHeight="1">
      <c r="A6611" s="2" t="s">
        <v>301</v>
      </c>
      <c r="B6611" s="2" t="s">
        <v>302</v>
      </c>
      <c r="C6611" s="2">
        <v>2007.0</v>
      </c>
      <c r="D6611" s="9">
        <v>18180.15</v>
      </c>
      <c r="E6611" s="10" t="str">
        <f t="array" ref="E6611">IFS(D6611&lt;=$G$3,'calculated data '!$A$3,D6611&lt;=$G$4,'calculated data '!$A$4,D6611&lt;=$G$6,'calculated data '!$A$5,D6611&gt;=$G$6,'calculated data '!$A$6)</f>
        <v>Target Market (Core IQR)</v>
      </c>
      <c r="F6611" s="10">
        <f t="shared" si="1"/>
        <v>-0.1819474324</v>
      </c>
    </row>
    <row r="6612" ht="14.25" customHeight="1">
      <c r="A6612" s="2" t="s">
        <v>361</v>
      </c>
      <c r="B6612" s="2" t="s">
        <v>362</v>
      </c>
      <c r="C6612" s="2">
        <v>1997.0</v>
      </c>
      <c r="D6612" s="9">
        <v>18182.08</v>
      </c>
      <c r="E6612" s="10" t="str">
        <f t="array" ref="E6612">IFS(D6612&lt;=$G$3,'calculated data '!$A$3,D6612&lt;=$G$4,'calculated data '!$A$4,D6612&lt;=$G$6,'calculated data '!$A$5,D6612&gt;=$G$6,'calculated data '!$A$6)</f>
        <v>Target Market (Core IQR)</v>
      </c>
      <c r="F6612" s="10">
        <f t="shared" si="1"/>
        <v>-0.1818963458</v>
      </c>
    </row>
    <row r="6613" ht="14.25" customHeight="1">
      <c r="A6613" s="2" t="s">
        <v>247</v>
      </c>
      <c r="B6613" s="2" t="s">
        <v>248</v>
      </c>
      <c r="C6613" s="2">
        <v>2023.0</v>
      </c>
      <c r="D6613" s="9">
        <v>18197.238</v>
      </c>
      <c r="E6613" s="10" t="str">
        <f t="array" ref="E6613">IFS(D6613&lt;=$G$3,'calculated data '!$A$3,D6613&lt;=$G$4,'calculated data '!$A$4,D6613&lt;=$G$6,'calculated data '!$A$5,D6613&gt;=$G$6,'calculated data '!$A$6)</f>
        <v>Target Market (Core IQR)</v>
      </c>
      <c r="F6613" s="10">
        <f t="shared" si="1"/>
        <v>-0.1814951173</v>
      </c>
    </row>
    <row r="6614" ht="14.25" customHeight="1">
      <c r="A6614" s="2" t="s">
        <v>247</v>
      </c>
      <c r="B6614" s="2" t="s">
        <v>248</v>
      </c>
      <c r="C6614" s="2">
        <v>2021.0</v>
      </c>
      <c r="D6614" s="9">
        <v>18198.82</v>
      </c>
      <c r="E6614" s="10" t="str">
        <f t="array" ref="E6614">IFS(D6614&lt;=$G$3,'calculated data '!$A$3,D6614&lt;=$G$4,'calculated data '!$A$4,D6614&lt;=$G$6,'calculated data '!$A$5,D6614&gt;=$G$6,'calculated data '!$A$6)</f>
        <v>Target Market (Core IQR)</v>
      </c>
      <c r="F6614" s="10">
        <f t="shared" si="1"/>
        <v>-0.1814532422</v>
      </c>
    </row>
    <row r="6615" ht="14.25" customHeight="1">
      <c r="A6615" s="2" t="s">
        <v>317</v>
      </c>
      <c r="B6615" s="2" t="s">
        <v>318</v>
      </c>
      <c r="C6615" s="2">
        <v>2012.0</v>
      </c>
      <c r="D6615" s="9">
        <v>18212.965</v>
      </c>
      <c r="E6615" s="10" t="str">
        <f t="array" ref="E6615">IFS(D6615&lt;=$G$3,'calculated data '!$A$3,D6615&lt;=$G$4,'calculated data '!$A$4,D6615&lt;=$G$6,'calculated data '!$A$5,D6615&gt;=$G$6,'calculated data '!$A$6)</f>
        <v>Target Market (Core IQR)</v>
      </c>
      <c r="F6615" s="10">
        <f t="shared" si="1"/>
        <v>-0.1810788275</v>
      </c>
    </row>
    <row r="6616" ht="14.25" customHeight="1">
      <c r="A6616" s="2" t="s">
        <v>303</v>
      </c>
      <c r="B6616" s="2" t="s">
        <v>304</v>
      </c>
      <c r="C6616" s="2">
        <v>2021.0</v>
      </c>
      <c r="D6616" s="9">
        <v>18217.95</v>
      </c>
      <c r="E6616" s="10" t="str">
        <f t="array" ref="E6616">IFS(D6616&lt;=$G$3,'calculated data '!$A$3,D6616&lt;=$G$4,'calculated data '!$A$4,D6616&lt;=$G$6,'calculated data '!$A$5,D6616&gt;=$G$6,'calculated data '!$A$6)</f>
        <v>Target Market (Core IQR)</v>
      </c>
      <c r="F6616" s="10">
        <f t="shared" si="1"/>
        <v>-0.1809468758</v>
      </c>
    </row>
    <row r="6617" ht="14.25" customHeight="1">
      <c r="A6617" s="2" t="s">
        <v>375</v>
      </c>
      <c r="B6617" s="2" t="s">
        <v>376</v>
      </c>
      <c r="C6617" s="2">
        <v>1965.0</v>
      </c>
      <c r="D6617" s="9">
        <v>18225.668</v>
      </c>
      <c r="E6617" s="10" t="str">
        <f t="array" ref="E6617">IFS(D6617&lt;=$G$3,'calculated data '!$A$3,D6617&lt;=$G$4,'calculated data '!$A$4,D6617&lt;=$G$6,'calculated data '!$A$5,D6617&gt;=$G$6,'calculated data '!$A$6)</f>
        <v>Target Market (Core IQR)</v>
      </c>
      <c r="F6617" s="10">
        <f t="shared" si="1"/>
        <v>-0.1807425823</v>
      </c>
    </row>
    <row r="6618" ht="14.25" customHeight="1">
      <c r="A6618" s="2" t="s">
        <v>363</v>
      </c>
      <c r="B6618" s="2" t="s">
        <v>364</v>
      </c>
      <c r="C6618" s="2">
        <v>2009.0</v>
      </c>
      <c r="D6618" s="9">
        <v>18227.662</v>
      </c>
      <c r="E6618" s="10" t="str">
        <f t="array" ref="E6618">IFS(D6618&lt;=$G$3,'calculated data '!$A$3,D6618&lt;=$G$4,'calculated data '!$A$4,D6618&lt;=$G$6,'calculated data '!$A$5,D6618&gt;=$G$6,'calculated data '!$A$6)</f>
        <v>Target Market (Core IQR)</v>
      </c>
      <c r="F6618" s="10">
        <f t="shared" si="1"/>
        <v>-0.1806898016</v>
      </c>
    </row>
    <row r="6619" ht="14.25" customHeight="1">
      <c r="A6619" s="2" t="s">
        <v>197</v>
      </c>
      <c r="B6619" s="2" t="s">
        <v>198</v>
      </c>
      <c r="C6619" s="2">
        <v>2007.0</v>
      </c>
      <c r="D6619" s="9">
        <v>18231.395</v>
      </c>
      <c r="E6619" s="10" t="str">
        <f t="array" ref="E6619">IFS(D6619&lt;=$G$3,'calculated data '!$A$3,D6619&lt;=$G$4,'calculated data '!$A$4,D6619&lt;=$G$6,'calculated data '!$A$5,D6619&gt;=$G$6,'calculated data '!$A$6)</f>
        <v>Target Market (Core IQR)</v>
      </c>
      <c r="F6619" s="10">
        <f t="shared" si="1"/>
        <v>-0.18059099</v>
      </c>
    </row>
    <row r="6620" ht="14.25" customHeight="1">
      <c r="A6620" s="2" t="s">
        <v>377</v>
      </c>
      <c r="B6620" s="2" t="s">
        <v>378</v>
      </c>
      <c r="C6620" s="2">
        <v>1994.0</v>
      </c>
      <c r="D6620" s="9">
        <v>18233.812</v>
      </c>
      <c r="E6620" s="10" t="str">
        <f t="array" ref="E6620">IFS(D6620&lt;=$G$3,'calculated data '!$A$3,D6620&lt;=$G$4,'calculated data '!$A$4,D6620&lt;=$G$6,'calculated data '!$A$5,D6620&gt;=$G$6,'calculated data '!$A$6)</f>
        <v>Target Market (Core IQR)</v>
      </c>
      <c r="F6620" s="10">
        <f t="shared" si="1"/>
        <v>-0.1805270126</v>
      </c>
    </row>
    <row r="6621" ht="14.25" customHeight="1">
      <c r="A6621" s="2" t="s">
        <v>71</v>
      </c>
      <c r="B6621" s="2" t="s">
        <v>72</v>
      </c>
      <c r="C6621" s="2">
        <v>1976.0</v>
      </c>
      <c r="D6621" s="9">
        <v>18235.354</v>
      </c>
      <c r="E6621" s="10" t="str">
        <f t="array" ref="E6621">IFS(D6621&lt;=$G$3,'calculated data '!$A$3,D6621&lt;=$G$4,'calculated data '!$A$4,D6621&lt;=$G$6,'calculated data '!$A$5,D6621&gt;=$G$6,'calculated data '!$A$6)</f>
        <v>Target Market (Core IQR)</v>
      </c>
      <c r="F6621" s="10">
        <f t="shared" si="1"/>
        <v>-0.1804861963</v>
      </c>
    </row>
    <row r="6622" ht="14.25" customHeight="1">
      <c r="A6622" s="2" t="s">
        <v>301</v>
      </c>
      <c r="B6622" s="2" t="s">
        <v>302</v>
      </c>
      <c r="C6622" s="2">
        <v>2016.0</v>
      </c>
      <c r="D6622" s="9">
        <v>18242.656</v>
      </c>
      <c r="E6622" s="10" t="str">
        <f t="array" ref="E6622">IFS(D6622&lt;=$G$3,'calculated data '!$A$3,D6622&lt;=$G$4,'calculated data '!$A$4,D6622&lt;=$G$6,'calculated data '!$A$5,D6622&gt;=$G$6,'calculated data '!$A$6)</f>
        <v>Target Market (Core IQR)</v>
      </c>
      <c r="F6622" s="10">
        <f t="shared" si="1"/>
        <v>-0.1802929142</v>
      </c>
    </row>
    <row r="6623" ht="14.25" customHeight="1">
      <c r="A6623" s="2" t="s">
        <v>309</v>
      </c>
      <c r="B6623" s="2" t="s">
        <v>310</v>
      </c>
      <c r="C6623" s="2">
        <v>1984.0</v>
      </c>
      <c r="D6623" s="9">
        <v>18258.678</v>
      </c>
      <c r="E6623" s="10" t="str">
        <f t="array" ref="E6623">IFS(D6623&lt;=$G$3,'calculated data '!$A$3,D6623&lt;=$G$4,'calculated data '!$A$4,D6623&lt;=$G$6,'calculated data '!$A$5,D6623&gt;=$G$6,'calculated data '!$A$6)</f>
        <v>Target Market (Core IQR)</v>
      </c>
      <c r="F6623" s="10">
        <f t="shared" si="1"/>
        <v>-0.1798688158</v>
      </c>
    </row>
    <row r="6624" ht="14.25" customHeight="1">
      <c r="A6624" s="2" t="s">
        <v>385</v>
      </c>
      <c r="B6624" s="2" t="s">
        <v>386</v>
      </c>
      <c r="C6624" s="2">
        <v>1967.0</v>
      </c>
      <c r="D6624" s="9">
        <v>18268.32</v>
      </c>
      <c r="E6624" s="10" t="str">
        <f t="array" ref="E6624">IFS(D6624&lt;=$G$3,'calculated data '!$A$3,D6624&lt;=$G$4,'calculated data '!$A$4,D6624&lt;=$G$6,'calculated data '!$A$5,D6624&gt;=$G$6,'calculated data '!$A$6)</f>
        <v>Target Market (Core IQR)</v>
      </c>
      <c r="F6624" s="10">
        <f t="shared" si="1"/>
        <v>-0.1796135945</v>
      </c>
    </row>
    <row r="6625" ht="14.25" customHeight="1">
      <c r="A6625" s="2" t="s">
        <v>311</v>
      </c>
      <c r="B6625" s="2" t="s">
        <v>312</v>
      </c>
      <c r="C6625" s="2">
        <v>2009.0</v>
      </c>
      <c r="D6625" s="9">
        <v>18272.61</v>
      </c>
      <c r="E6625" s="10" t="str">
        <f t="array" ref="E6625">IFS(D6625&lt;=$G$3,'calculated data '!$A$3,D6625&lt;=$G$4,'calculated data '!$A$4,D6625&lt;=$G$6,'calculated data '!$A$5,D6625&gt;=$G$6,'calculated data '!$A$6)</f>
        <v>Target Market (Core IQR)</v>
      </c>
      <c r="F6625" s="10">
        <f t="shared" si="1"/>
        <v>-0.1795000392</v>
      </c>
    </row>
    <row r="6626" ht="14.25" customHeight="1">
      <c r="A6626" s="2" t="s">
        <v>349</v>
      </c>
      <c r="B6626" s="2" t="s">
        <v>350</v>
      </c>
      <c r="C6626" s="2">
        <v>2006.0</v>
      </c>
      <c r="D6626" s="9">
        <v>18303.053</v>
      </c>
      <c r="E6626" s="10" t="str">
        <f t="array" ref="E6626">IFS(D6626&lt;=$G$3,'calculated data '!$A$3,D6626&lt;=$G$4,'calculated data '!$A$4,D6626&lt;=$G$6,'calculated data '!$A$5,D6626&gt;=$G$6,'calculated data '!$A$6)</f>
        <v>Target Market (Core IQR)</v>
      </c>
      <c r="F6626" s="10">
        <f t="shared" si="1"/>
        <v>-0.1786942206</v>
      </c>
    </row>
    <row r="6627" ht="14.25" customHeight="1">
      <c r="A6627" s="2" t="s">
        <v>339</v>
      </c>
      <c r="B6627" s="2" t="s">
        <v>340</v>
      </c>
      <c r="C6627" s="2">
        <v>2022.0</v>
      </c>
      <c r="D6627" s="9">
        <v>18310.578</v>
      </c>
      <c r="E6627" s="10" t="str">
        <f t="array" ref="E6627">IFS(D6627&lt;=$G$3,'calculated data '!$A$3,D6627&lt;=$G$4,'calculated data '!$A$4,D6627&lt;=$G$6,'calculated data '!$A$5,D6627&gt;=$G$6,'calculated data '!$A$6)</f>
        <v>Target Market (Core IQR)</v>
      </c>
      <c r="F6627" s="10">
        <f t="shared" si="1"/>
        <v>-0.1784950357</v>
      </c>
    </row>
    <row r="6628" ht="14.25" customHeight="1">
      <c r="A6628" s="2" t="s">
        <v>377</v>
      </c>
      <c r="B6628" s="2" t="s">
        <v>378</v>
      </c>
      <c r="C6628" s="2">
        <v>1993.0</v>
      </c>
      <c r="D6628" s="9">
        <v>18313.562</v>
      </c>
      <c r="E6628" s="10" t="str">
        <f t="array" ref="E6628">IFS(D6628&lt;=$G$3,'calculated data '!$A$3,D6628&lt;=$G$4,'calculated data '!$A$4,D6628&lt;=$G$6,'calculated data '!$A$5,D6628&gt;=$G$6,'calculated data '!$A$6)</f>
        <v>Target Market (Core IQR)</v>
      </c>
      <c r="F6628" s="10">
        <f t="shared" si="1"/>
        <v>-0.17841605</v>
      </c>
    </row>
    <row r="6629" ht="14.25" customHeight="1">
      <c r="A6629" s="2" t="s">
        <v>301</v>
      </c>
      <c r="B6629" s="2" t="s">
        <v>302</v>
      </c>
      <c r="C6629" s="2">
        <v>2008.0</v>
      </c>
      <c r="D6629" s="9">
        <v>18325.873</v>
      </c>
      <c r="E6629" s="10" t="str">
        <f t="array" ref="E6629">IFS(D6629&lt;=$G$3,'calculated data '!$A$3,D6629&lt;=$G$4,'calculated data '!$A$4,D6629&lt;=$G$6,'calculated data '!$A$5,D6629&gt;=$G$6,'calculated data '!$A$6)</f>
        <v>Target Market (Core IQR)</v>
      </c>
      <c r="F6629" s="10">
        <f t="shared" si="1"/>
        <v>-0.1780901809</v>
      </c>
    </row>
    <row r="6630" ht="14.25" customHeight="1">
      <c r="A6630" s="2" t="s">
        <v>323</v>
      </c>
      <c r="B6630" s="2" t="s">
        <v>324</v>
      </c>
      <c r="C6630" s="2">
        <v>2008.0</v>
      </c>
      <c r="D6630" s="9">
        <v>18332.191</v>
      </c>
      <c r="E6630" s="10" t="str">
        <f t="array" ref="E6630">IFS(D6630&lt;=$G$3,'calculated data '!$A$3,D6630&lt;=$G$4,'calculated data '!$A$4,D6630&lt;=$G$6,'calculated data '!$A$5,D6630&gt;=$G$6,'calculated data '!$A$6)</f>
        <v>Target Market (Core IQR)</v>
      </c>
      <c r="F6630" s="10">
        <f t="shared" si="1"/>
        <v>-0.177922945</v>
      </c>
    </row>
    <row r="6631" ht="14.25" customHeight="1">
      <c r="A6631" s="2" t="s">
        <v>301</v>
      </c>
      <c r="B6631" s="2" t="s">
        <v>302</v>
      </c>
      <c r="C6631" s="2">
        <v>2013.0</v>
      </c>
      <c r="D6631" s="9">
        <v>18340.729</v>
      </c>
      <c r="E6631" s="10" t="str">
        <f t="array" ref="E6631">IFS(D6631&lt;=$G$3,'calculated data '!$A$3,D6631&lt;=$G$4,'calculated data '!$A$4,D6631&lt;=$G$6,'calculated data '!$A$5,D6631&gt;=$G$6,'calculated data '!$A$6)</f>
        <v>Target Market (Core IQR)</v>
      </c>
      <c r="F6631" s="10">
        <f t="shared" si="1"/>
        <v>-0.1776969463</v>
      </c>
    </row>
    <row r="6632" ht="14.25" customHeight="1">
      <c r="A6632" s="2" t="s">
        <v>221</v>
      </c>
      <c r="B6632" s="2" t="s">
        <v>222</v>
      </c>
      <c r="C6632" s="2">
        <v>1987.0</v>
      </c>
      <c r="D6632" s="9">
        <v>18342.82</v>
      </c>
      <c r="E6632" s="10" t="str">
        <f t="array" ref="E6632">IFS(D6632&lt;=$G$3,'calculated data '!$A$3,D6632&lt;=$G$4,'calculated data '!$A$4,D6632&lt;=$G$6,'calculated data '!$A$5,D6632&gt;=$G$6,'calculated data '!$A$6)</f>
        <v>Target Market (Core IQR)</v>
      </c>
      <c r="F6632" s="10">
        <f t="shared" si="1"/>
        <v>-0.177641598</v>
      </c>
    </row>
    <row r="6633" ht="14.25" customHeight="1">
      <c r="A6633" s="2" t="s">
        <v>301</v>
      </c>
      <c r="B6633" s="2" t="s">
        <v>302</v>
      </c>
      <c r="C6633" s="2">
        <v>2012.0</v>
      </c>
      <c r="D6633" s="9">
        <v>18357.195</v>
      </c>
      <c r="E6633" s="10" t="str">
        <f t="array" ref="E6633">IFS(D6633&lt;=$G$3,'calculated data '!$A$3,D6633&lt;=$G$4,'calculated data '!$A$4,D6633&lt;=$G$6,'calculated data '!$A$5,D6633&gt;=$G$6,'calculated data '!$A$6)</f>
        <v>Target Market (Core IQR)</v>
      </c>
      <c r="F6633" s="10">
        <f t="shared" si="1"/>
        <v>-0.1772610954</v>
      </c>
    </row>
    <row r="6634" ht="14.25" customHeight="1">
      <c r="A6634" s="2" t="s">
        <v>57</v>
      </c>
      <c r="B6634" s="2" t="s">
        <v>58</v>
      </c>
      <c r="C6634" s="2">
        <v>2004.0</v>
      </c>
      <c r="D6634" s="9">
        <v>18357.658</v>
      </c>
      <c r="E6634" s="10" t="str">
        <f t="array" ref="E6634">IFS(D6634&lt;=$G$3,'calculated data '!$A$3,D6634&lt;=$G$4,'calculated data '!$A$4,D6634&lt;=$G$6,'calculated data '!$A$5,D6634&gt;=$G$6,'calculated data '!$A$6)</f>
        <v>Target Market (Core IQR)</v>
      </c>
      <c r="F6634" s="10">
        <f t="shared" si="1"/>
        <v>-0.1772488399</v>
      </c>
    </row>
    <row r="6635" ht="14.25" customHeight="1">
      <c r="A6635" s="2" t="s">
        <v>341</v>
      </c>
      <c r="B6635" s="2" t="s">
        <v>342</v>
      </c>
      <c r="C6635" s="2">
        <v>1997.0</v>
      </c>
      <c r="D6635" s="9">
        <v>18369.316</v>
      </c>
      <c r="E6635" s="10" t="str">
        <f t="array" ref="E6635">IFS(D6635&lt;=$G$3,'calculated data '!$A$3,D6635&lt;=$G$4,'calculated data '!$A$4,D6635&lt;=$G$6,'calculated data '!$A$5,D6635&gt;=$G$6,'calculated data '!$A$6)</f>
        <v>Target Market (Core IQR)</v>
      </c>
      <c r="F6635" s="10">
        <f t="shared" si="1"/>
        <v>-0.1769402555</v>
      </c>
    </row>
    <row r="6636" ht="14.25" customHeight="1">
      <c r="A6636" s="2" t="s">
        <v>141</v>
      </c>
      <c r="B6636" s="2" t="s">
        <v>142</v>
      </c>
      <c r="C6636" s="2">
        <v>2012.0</v>
      </c>
      <c r="D6636" s="9">
        <v>18384.273</v>
      </c>
      <c r="E6636" s="10" t="str">
        <f t="array" ref="E6636">IFS(D6636&lt;=$G$3,'calculated data '!$A$3,D6636&lt;=$G$4,'calculated data '!$A$4,D6636&lt;=$G$6,'calculated data '!$A$5,D6636&gt;=$G$6,'calculated data '!$A$6)</f>
        <v>Target Market (Core IQR)</v>
      </c>
      <c r="F6636" s="10">
        <f t="shared" si="1"/>
        <v>-0.1765443474</v>
      </c>
    </row>
    <row r="6637" ht="14.25" customHeight="1">
      <c r="A6637" s="2" t="s">
        <v>343</v>
      </c>
      <c r="B6637" s="2" t="s">
        <v>344</v>
      </c>
      <c r="C6637" s="2">
        <v>1984.0</v>
      </c>
      <c r="D6637" s="9">
        <v>18384.707</v>
      </c>
      <c r="E6637" s="10" t="str">
        <f t="array" ref="E6637">IFS(D6637&lt;=$G$3,'calculated data '!$A$3,D6637&lt;=$G$4,'calculated data '!$A$4,D6637&lt;=$G$6,'calculated data '!$A$5,D6637&gt;=$G$6,'calculated data '!$A$6)</f>
        <v>Target Market (Core IQR)</v>
      </c>
      <c r="F6637" s="10">
        <f t="shared" si="1"/>
        <v>-0.1765328596</v>
      </c>
    </row>
    <row r="6638" ht="14.25" customHeight="1">
      <c r="A6638" s="2" t="s">
        <v>351</v>
      </c>
      <c r="B6638" s="2" t="s">
        <v>352</v>
      </c>
      <c r="C6638" s="2">
        <v>2005.0</v>
      </c>
      <c r="D6638" s="9">
        <v>18390.398</v>
      </c>
      <c r="E6638" s="10" t="str">
        <f t="array" ref="E6638">IFS(D6638&lt;=$G$3,'calculated data '!$A$3,D6638&lt;=$G$4,'calculated data '!$A$4,D6638&lt;=$G$6,'calculated data '!$A$5,D6638&gt;=$G$6,'calculated data '!$A$6)</f>
        <v>Target Market (Core IQR)</v>
      </c>
      <c r="F6638" s="10">
        <f t="shared" si="1"/>
        <v>-0.1763822202</v>
      </c>
    </row>
    <row r="6639" ht="14.25" customHeight="1">
      <c r="A6639" s="2" t="s">
        <v>271</v>
      </c>
      <c r="B6639" s="2" t="s">
        <v>272</v>
      </c>
      <c r="C6639" s="2">
        <v>1989.0</v>
      </c>
      <c r="D6639" s="9">
        <v>18394.787</v>
      </c>
      <c r="E6639" s="10" t="str">
        <f t="array" ref="E6639">IFS(D6639&lt;=$G$3,'calculated data '!$A$3,D6639&lt;=$G$4,'calculated data '!$A$4,D6639&lt;=$G$6,'calculated data '!$A$5,D6639&gt;=$G$6,'calculated data '!$A$6)</f>
        <v>Target Market (Core IQR)</v>
      </c>
      <c r="F6639" s="10">
        <f t="shared" si="1"/>
        <v>-0.1762660445</v>
      </c>
    </row>
    <row r="6640" ht="14.25" customHeight="1">
      <c r="A6640" s="2" t="s">
        <v>351</v>
      </c>
      <c r="B6640" s="2" t="s">
        <v>352</v>
      </c>
      <c r="C6640" s="2">
        <v>1994.0</v>
      </c>
      <c r="D6640" s="9">
        <v>18394.86</v>
      </c>
      <c r="E6640" s="10" t="str">
        <f t="array" ref="E6640">IFS(D6640&lt;=$G$3,'calculated data '!$A$3,D6640&lt;=$G$4,'calculated data '!$A$4,D6640&lt;=$G$6,'calculated data '!$A$5,D6640&gt;=$G$6,'calculated data '!$A$6)</f>
        <v>Target Market (Core IQR)</v>
      </c>
      <c r="F6640" s="10">
        <f t="shared" si="1"/>
        <v>-0.1762641122</v>
      </c>
    </row>
    <row r="6641" ht="14.25" customHeight="1">
      <c r="A6641" s="2" t="s">
        <v>365</v>
      </c>
      <c r="B6641" s="2" t="s">
        <v>366</v>
      </c>
      <c r="C6641" s="2">
        <v>2023.0</v>
      </c>
      <c r="D6641" s="9">
        <v>18402.727</v>
      </c>
      <c r="E6641" s="10" t="str">
        <f t="array" ref="E6641">IFS(D6641&lt;=$G$3,'calculated data '!$A$3,D6641&lt;=$G$4,'calculated data '!$A$4,D6641&lt;=$G$6,'calculated data '!$A$5,D6641&gt;=$G$6,'calculated data '!$A$6)</f>
        <v>Target Market (Core IQR)</v>
      </c>
      <c r="F6641" s="10">
        <f t="shared" si="1"/>
        <v>-0.1760558747</v>
      </c>
    </row>
    <row r="6642" ht="14.25" customHeight="1">
      <c r="A6642" s="2" t="s">
        <v>301</v>
      </c>
      <c r="B6642" s="2" t="s">
        <v>302</v>
      </c>
      <c r="C6642" s="2">
        <v>2017.0</v>
      </c>
      <c r="D6642" s="9">
        <v>18402.977</v>
      </c>
      <c r="E6642" s="10" t="str">
        <f t="array" ref="E6642">IFS(D6642&lt;=$G$3,'calculated data '!$A$3,D6642&lt;=$G$4,'calculated data '!$A$4,D6642&lt;=$G$6,'calculated data '!$A$5,D6642&gt;=$G$6,'calculated data '!$A$6)</f>
        <v>Target Market (Core IQR)</v>
      </c>
      <c r="F6642" s="10">
        <f t="shared" si="1"/>
        <v>-0.1760492572</v>
      </c>
    </row>
    <row r="6643" ht="14.25" customHeight="1">
      <c r="A6643" s="2" t="s">
        <v>375</v>
      </c>
      <c r="B6643" s="2" t="s">
        <v>376</v>
      </c>
      <c r="C6643" s="2">
        <v>1966.0</v>
      </c>
      <c r="D6643" s="9">
        <v>18412.941</v>
      </c>
      <c r="E6643" s="10" t="str">
        <f t="array" ref="E6643">IFS(D6643&lt;=$G$3,'calculated data '!$A$3,D6643&lt;=$G$4,'calculated data '!$A$4,D6643&lt;=$G$6,'calculated data '!$A$5,D6643&gt;=$G$6,'calculated data '!$A$6)</f>
        <v>Target Market (Core IQR)</v>
      </c>
      <c r="F6643" s="10">
        <f t="shared" si="1"/>
        <v>-0.1757855126</v>
      </c>
    </row>
    <row r="6644" ht="14.25" customHeight="1">
      <c r="A6644" s="2" t="s">
        <v>365</v>
      </c>
      <c r="B6644" s="2" t="s">
        <v>366</v>
      </c>
      <c r="C6644" s="2">
        <v>2021.0</v>
      </c>
      <c r="D6644" s="9">
        <v>18418.84</v>
      </c>
      <c r="E6644" s="10" t="str">
        <f t="array" ref="E6644">IFS(D6644&lt;=$G$3,'calculated data '!$A$3,D6644&lt;=$G$4,'calculated data '!$A$4,D6644&lt;=$G$6,'calculated data '!$A$5,D6644&gt;=$G$6,'calculated data '!$A$6)</f>
        <v>Target Market (Core IQR)</v>
      </c>
      <c r="F6644" s="10">
        <f t="shared" si="1"/>
        <v>-0.1756293676</v>
      </c>
    </row>
    <row r="6645" ht="14.25" customHeight="1">
      <c r="A6645" s="2" t="s">
        <v>359</v>
      </c>
      <c r="B6645" s="2" t="s">
        <v>360</v>
      </c>
      <c r="C6645" s="2">
        <v>2021.0</v>
      </c>
      <c r="D6645" s="9">
        <v>18421.07</v>
      </c>
      <c r="E6645" s="10" t="str">
        <f t="array" ref="E6645">IFS(D6645&lt;=$G$3,'calculated data '!$A$3,D6645&lt;=$G$4,'calculated data '!$A$4,D6645&lt;=$G$6,'calculated data '!$A$5,D6645&gt;=$G$6,'calculated data '!$A$6)</f>
        <v>Target Market (Core IQR)</v>
      </c>
      <c r="F6645" s="10">
        <f t="shared" si="1"/>
        <v>-0.17557034</v>
      </c>
    </row>
    <row r="6646" ht="14.25" customHeight="1">
      <c r="A6646" s="2" t="s">
        <v>337</v>
      </c>
      <c r="B6646" s="2" t="s">
        <v>338</v>
      </c>
      <c r="C6646" s="2">
        <v>1987.0</v>
      </c>
      <c r="D6646" s="9">
        <v>18435.262</v>
      </c>
      <c r="E6646" s="10" t="str">
        <f t="array" ref="E6646">IFS(D6646&lt;=$G$3,'calculated data '!$A$3,D6646&lt;=$G$4,'calculated data '!$A$4,D6646&lt;=$G$6,'calculated data '!$A$5,D6646&gt;=$G$6,'calculated data '!$A$6)</f>
        <v>Target Market (Core IQR)</v>
      </c>
      <c r="F6646" s="10">
        <f t="shared" si="1"/>
        <v>-0.1751946813</v>
      </c>
    </row>
    <row r="6647" ht="14.25" customHeight="1">
      <c r="A6647" s="2" t="s">
        <v>323</v>
      </c>
      <c r="B6647" s="2" t="s">
        <v>324</v>
      </c>
      <c r="C6647" s="2">
        <v>2023.0</v>
      </c>
      <c r="D6647" s="9">
        <v>18437.537</v>
      </c>
      <c r="E6647" s="10" t="str">
        <f t="array" ref="E6647">IFS(D6647&lt;=$G$3,'calculated data '!$A$3,D6647&lt;=$G$4,'calculated data '!$A$4,D6647&lt;=$G$6,'calculated data '!$A$5,D6647&gt;=$G$6,'calculated data '!$A$6)</f>
        <v>Target Market (Core IQR)</v>
      </c>
      <c r="F6647" s="10">
        <f t="shared" si="1"/>
        <v>-0.1751344626</v>
      </c>
    </row>
    <row r="6648" ht="14.25" customHeight="1">
      <c r="A6648" s="2" t="s">
        <v>361</v>
      </c>
      <c r="B6648" s="2" t="s">
        <v>362</v>
      </c>
      <c r="C6648" s="2">
        <v>2012.0</v>
      </c>
      <c r="D6648" s="9">
        <v>18448.648</v>
      </c>
      <c r="E6648" s="10" t="str">
        <f t="array" ref="E6648">IFS(D6648&lt;=$G$3,'calculated data '!$A$3,D6648&lt;=$G$4,'calculated data '!$A$4,D6648&lt;=$G$6,'calculated data '!$A$5,D6648&gt;=$G$6,'calculated data '!$A$6)</f>
        <v>Target Market (Core IQR)</v>
      </c>
      <c r="F6648" s="10">
        <f t="shared" si="1"/>
        <v>-0.1748403572</v>
      </c>
    </row>
    <row r="6649" ht="14.25" customHeight="1">
      <c r="A6649" s="2" t="s">
        <v>365</v>
      </c>
      <c r="B6649" s="2" t="s">
        <v>366</v>
      </c>
      <c r="C6649" s="2">
        <v>2011.0</v>
      </c>
      <c r="D6649" s="9">
        <v>18448.959</v>
      </c>
      <c r="E6649" s="10" t="str">
        <f t="array" ref="E6649">IFS(D6649&lt;=$G$3,'calculated data '!$A$3,D6649&lt;=$G$4,'calculated data '!$A$4,D6649&lt;=$G$6,'calculated data '!$A$5,D6649&gt;=$G$6,'calculated data '!$A$6)</f>
        <v>Target Market (Core IQR)</v>
      </c>
      <c r="F6649" s="10">
        <f t="shared" si="1"/>
        <v>-0.1748321251</v>
      </c>
    </row>
    <row r="6650" ht="14.25" customHeight="1">
      <c r="A6650" s="2" t="s">
        <v>28</v>
      </c>
      <c r="B6650" s="2" t="s">
        <v>29</v>
      </c>
      <c r="C6650" s="2">
        <v>1987.0</v>
      </c>
      <c r="D6650" s="9">
        <v>18453.33</v>
      </c>
      <c r="E6650" s="10" t="str">
        <f t="array" ref="E6650">IFS(D6650&lt;=$G$3,'calculated data '!$A$3,D6650&lt;=$G$4,'calculated data '!$A$4,D6650&lt;=$G$6,'calculated data '!$A$5,D6650&gt;=$G$6,'calculated data '!$A$6)</f>
        <v>Target Market (Core IQR)</v>
      </c>
      <c r="F6650" s="10">
        <f t="shared" si="1"/>
        <v>-0.1747164258</v>
      </c>
    </row>
    <row r="6651" ht="14.25" customHeight="1">
      <c r="A6651" s="2" t="s">
        <v>257</v>
      </c>
      <c r="B6651" s="2" t="s">
        <v>258</v>
      </c>
      <c r="C6651" s="2">
        <v>1997.0</v>
      </c>
      <c r="D6651" s="9">
        <v>18455.598</v>
      </c>
      <c r="E6651" s="10" t="str">
        <f t="array" ref="E6651">IFS(D6651&lt;=$G$3,'calculated data '!$A$3,D6651&lt;=$G$4,'calculated data '!$A$4,D6651&lt;=$G$6,'calculated data '!$A$5,D6651&gt;=$G$6,'calculated data '!$A$6)</f>
        <v>Target Market (Core IQR)</v>
      </c>
      <c r="F6651" s="10">
        <f t="shared" si="1"/>
        <v>-0.1746563925</v>
      </c>
    </row>
    <row r="6652" ht="14.25" customHeight="1">
      <c r="A6652" s="2" t="s">
        <v>365</v>
      </c>
      <c r="B6652" s="2" t="s">
        <v>366</v>
      </c>
      <c r="C6652" s="2">
        <v>2022.0</v>
      </c>
      <c r="D6652" s="9">
        <v>18458.855</v>
      </c>
      <c r="E6652" s="10" t="str">
        <f t="array" ref="E6652">IFS(D6652&lt;=$G$3,'calculated data '!$A$3,D6652&lt;=$G$4,'calculated data '!$A$4,D6652&lt;=$G$6,'calculated data '!$A$5,D6652&gt;=$G$6,'calculated data '!$A$6)</f>
        <v>Target Market (Core IQR)</v>
      </c>
      <c r="F6652" s="10">
        <f t="shared" si="1"/>
        <v>-0.1745701805</v>
      </c>
    </row>
    <row r="6653" ht="14.25" customHeight="1">
      <c r="A6653" s="2" t="s">
        <v>359</v>
      </c>
      <c r="B6653" s="2" t="s">
        <v>360</v>
      </c>
      <c r="C6653" s="2">
        <v>2012.0</v>
      </c>
      <c r="D6653" s="9">
        <v>18467.145</v>
      </c>
      <c r="E6653" s="10" t="str">
        <f t="array" ref="E6653">IFS(D6653&lt;=$G$3,'calculated data '!$A$3,D6653&lt;=$G$4,'calculated data '!$A$4,D6653&lt;=$G$6,'calculated data '!$A$5,D6653&gt;=$G$6,'calculated data '!$A$6)</f>
        <v>Target Market (Core IQR)</v>
      </c>
      <c r="F6653" s="10">
        <f t="shared" si="1"/>
        <v>-0.1743507462</v>
      </c>
    </row>
    <row r="6654" ht="14.25" customHeight="1">
      <c r="A6654" s="2" t="s">
        <v>363</v>
      </c>
      <c r="B6654" s="2" t="s">
        <v>364</v>
      </c>
      <c r="C6654" s="2">
        <v>2008.0</v>
      </c>
      <c r="D6654" s="9">
        <v>18468.623</v>
      </c>
      <c r="E6654" s="10" t="str">
        <f t="array" ref="E6654">IFS(D6654&lt;=$G$3,'calculated data '!$A$3,D6654&lt;=$G$4,'calculated data '!$A$4,D6654&lt;=$G$6,'calculated data '!$A$5,D6654&gt;=$G$6,'calculated data '!$A$6)</f>
        <v>Target Market (Core IQR)</v>
      </c>
      <c r="F6654" s="10">
        <f t="shared" si="1"/>
        <v>-0.1743116239</v>
      </c>
    </row>
    <row r="6655" ht="14.25" customHeight="1">
      <c r="A6655" s="2" t="s">
        <v>377</v>
      </c>
      <c r="B6655" s="2" t="s">
        <v>378</v>
      </c>
      <c r="C6655" s="2">
        <v>1992.0</v>
      </c>
      <c r="D6655" s="9">
        <v>18470.98</v>
      </c>
      <c r="E6655" s="10" t="str">
        <f t="array" ref="E6655">IFS(D6655&lt;=$G$3,'calculated data '!$A$3,D6655&lt;=$G$4,'calculated data '!$A$4,D6655&lt;=$G$6,'calculated data '!$A$5,D6655&gt;=$G$6,'calculated data '!$A$6)</f>
        <v>Target Market (Core IQR)</v>
      </c>
      <c r="F6655" s="10">
        <f t="shared" si="1"/>
        <v>-0.1742492347</v>
      </c>
    </row>
    <row r="6656" ht="14.25" customHeight="1">
      <c r="A6656" s="2" t="s">
        <v>271</v>
      </c>
      <c r="B6656" s="2" t="s">
        <v>272</v>
      </c>
      <c r="C6656" s="2">
        <v>1990.0</v>
      </c>
      <c r="D6656" s="9">
        <v>18484.117</v>
      </c>
      <c r="E6656" s="10" t="str">
        <f t="array" ref="E6656">IFS(D6656&lt;=$G$3,'calculated data '!$A$3,D6656&lt;=$G$4,'calculated data '!$A$4,D6656&lt;=$G$6,'calculated data '!$A$5,D6656&gt;=$G$6,'calculated data '!$A$6)</f>
        <v>Target Market (Core IQR)</v>
      </c>
      <c r="F6656" s="10">
        <f t="shared" si="1"/>
        <v>-0.1739015016</v>
      </c>
    </row>
    <row r="6657" ht="14.25" customHeight="1">
      <c r="A6657" s="2" t="s">
        <v>295</v>
      </c>
      <c r="B6657" s="2" t="s">
        <v>296</v>
      </c>
      <c r="C6657" s="2">
        <v>2018.0</v>
      </c>
      <c r="D6657" s="9">
        <v>18484.44</v>
      </c>
      <c r="E6657" s="10" t="str">
        <f t="array" ref="E6657">IFS(D6657&lt;=$G$3,'calculated data '!$A$3,D6657&lt;=$G$4,'calculated data '!$A$4,D6657&lt;=$G$6,'calculated data '!$A$5,D6657&gt;=$G$6,'calculated data '!$A$6)</f>
        <v>Target Market (Core IQR)</v>
      </c>
      <c r="F6657" s="10">
        <f t="shared" si="1"/>
        <v>-0.1738929519</v>
      </c>
    </row>
    <row r="6658" ht="14.25" customHeight="1">
      <c r="A6658" s="2" t="s">
        <v>71</v>
      </c>
      <c r="B6658" s="2" t="s">
        <v>72</v>
      </c>
      <c r="C6658" s="2">
        <v>1978.0</v>
      </c>
      <c r="D6658" s="9">
        <v>18485.121</v>
      </c>
      <c r="E6658" s="10" t="str">
        <f t="array" ref="E6658">IFS(D6658&lt;=$G$3,'calculated data '!$A$3,D6658&lt;=$G$4,'calculated data '!$A$4,D6658&lt;=$G$6,'calculated data '!$A$5,D6658&gt;=$G$6,'calculated data '!$A$6)</f>
        <v>Target Market (Core IQR)</v>
      </c>
      <c r="F6658" s="10">
        <f t="shared" si="1"/>
        <v>-0.173874926</v>
      </c>
    </row>
    <row r="6659" ht="14.25" customHeight="1">
      <c r="A6659" s="2" t="s">
        <v>363</v>
      </c>
      <c r="B6659" s="2" t="s">
        <v>364</v>
      </c>
      <c r="C6659" s="2">
        <v>2011.0</v>
      </c>
      <c r="D6659" s="9">
        <v>18488.58</v>
      </c>
      <c r="E6659" s="10" t="str">
        <f t="array" ref="E6659">IFS(D6659&lt;=$G$3,'calculated data '!$A$3,D6659&lt;=$G$4,'calculated data '!$A$4,D6659&lt;=$G$6,'calculated data '!$A$5,D6659&gt;=$G$6,'calculated data '!$A$6)</f>
        <v>Target Market (Core IQR)</v>
      </c>
      <c r="F6659" s="10">
        <f t="shared" si="1"/>
        <v>-0.1737833671</v>
      </c>
    </row>
    <row r="6660" ht="14.25" customHeight="1">
      <c r="A6660" s="2" t="s">
        <v>317</v>
      </c>
      <c r="B6660" s="2" t="s">
        <v>318</v>
      </c>
      <c r="C6660" s="2">
        <v>2013.0</v>
      </c>
      <c r="D6660" s="9">
        <v>18489.61</v>
      </c>
      <c r="E6660" s="10" t="str">
        <f t="array" ref="E6660">IFS(D6660&lt;=$G$3,'calculated data '!$A$3,D6660&lt;=$G$4,'calculated data '!$A$4,D6660&lt;=$G$6,'calculated data '!$A$5,D6660&gt;=$G$6,'calculated data '!$A$6)</f>
        <v>Target Market (Core IQR)</v>
      </c>
      <c r="F6660" s="10">
        <f t="shared" si="1"/>
        <v>-0.1737561033</v>
      </c>
    </row>
    <row r="6661" ht="14.25" customHeight="1">
      <c r="A6661" s="2" t="s">
        <v>383</v>
      </c>
      <c r="B6661" s="2" t="s">
        <v>384</v>
      </c>
      <c r="C6661" s="2">
        <v>1993.0</v>
      </c>
      <c r="D6661" s="9">
        <v>18493.479</v>
      </c>
      <c r="E6661" s="10" t="str">
        <f t="array" ref="E6661">IFS(D6661&lt;=$G$3,'calculated data '!$A$3,D6661&lt;=$G$4,'calculated data '!$A$4,D6661&lt;=$G$6,'calculated data '!$A$5,D6661&gt;=$G$6,'calculated data '!$A$6)</f>
        <v>Target Market (Core IQR)</v>
      </c>
      <c r="F6661" s="10">
        <f t="shared" si="1"/>
        <v>-0.1736536918</v>
      </c>
    </row>
    <row r="6662" ht="14.25" customHeight="1">
      <c r="A6662" s="2" t="s">
        <v>365</v>
      </c>
      <c r="B6662" s="2" t="s">
        <v>366</v>
      </c>
      <c r="C6662" s="2">
        <v>2019.0</v>
      </c>
      <c r="D6662" s="9">
        <v>18501.799</v>
      </c>
      <c r="E6662" s="10" t="str">
        <f t="array" ref="E6662">IFS(D6662&lt;=$G$3,'calculated data '!$A$3,D6662&lt;=$G$4,'calculated data '!$A$4,D6662&lt;=$G$6,'calculated data '!$A$5,D6662&gt;=$G$6,'calculated data '!$A$6)</f>
        <v>Target Market (Core IQR)</v>
      </c>
      <c r="F6662" s="10">
        <f t="shared" si="1"/>
        <v>-0.1734334635</v>
      </c>
    </row>
    <row r="6663" ht="14.25" customHeight="1">
      <c r="A6663" s="2" t="s">
        <v>231</v>
      </c>
      <c r="B6663" s="2" t="s">
        <v>232</v>
      </c>
      <c r="C6663" s="2">
        <v>2015.0</v>
      </c>
      <c r="D6663" s="9">
        <v>18502.758</v>
      </c>
      <c r="E6663" s="10" t="str">
        <f t="array" ref="E6663">IFS(D6663&lt;=$G$3,'calculated data '!$A$3,D6663&lt;=$G$4,'calculated data '!$A$4,D6663&lt;=$G$6,'calculated data '!$A$5,D6663&gt;=$G$6,'calculated data '!$A$6)</f>
        <v>Target Market (Core IQR)</v>
      </c>
      <c r="F6663" s="10">
        <f t="shared" si="1"/>
        <v>-0.173408079</v>
      </c>
    </row>
    <row r="6664" ht="14.25" customHeight="1">
      <c r="A6664" s="2" t="s">
        <v>233</v>
      </c>
      <c r="B6664" s="2" t="s">
        <v>234</v>
      </c>
      <c r="C6664" s="2">
        <v>1997.0</v>
      </c>
      <c r="D6664" s="9">
        <v>18504.148</v>
      </c>
      <c r="E6664" s="10" t="str">
        <f t="array" ref="E6664">IFS(D6664&lt;=$G$3,'calculated data '!$A$3,D6664&lt;=$G$4,'calculated data '!$A$4,D6664&lt;=$G$6,'calculated data '!$A$5,D6664&gt;=$G$6,'calculated data '!$A$6)</f>
        <v>Target Market (Core IQR)</v>
      </c>
      <c r="F6664" s="10">
        <f t="shared" si="1"/>
        <v>-0.173371286</v>
      </c>
    </row>
    <row r="6665" ht="14.25" customHeight="1">
      <c r="A6665" s="2" t="s">
        <v>373</v>
      </c>
      <c r="B6665" s="2" t="s">
        <v>374</v>
      </c>
      <c r="C6665" s="2">
        <v>1988.0</v>
      </c>
      <c r="D6665" s="9">
        <v>18510.422</v>
      </c>
      <c r="E6665" s="10" t="str">
        <f t="array" ref="E6665">IFS(D6665&lt;=$G$3,'calculated data '!$A$3,D6665&lt;=$G$4,'calculated data '!$A$4,D6665&lt;=$G$6,'calculated data '!$A$5,D6665&gt;=$G$6,'calculated data '!$A$6)</f>
        <v>Target Market (Core IQR)</v>
      </c>
      <c r="F6665" s="10">
        <f t="shared" si="1"/>
        <v>-0.1732052148</v>
      </c>
    </row>
    <row r="6666" ht="14.25" customHeight="1">
      <c r="A6666" s="2" t="s">
        <v>365</v>
      </c>
      <c r="B6666" s="2" t="s">
        <v>366</v>
      </c>
      <c r="C6666" s="2">
        <v>2024.0</v>
      </c>
      <c r="D6666" s="9">
        <v>18520.588</v>
      </c>
      <c r="E6666" s="10" t="str">
        <f t="array" ref="E6666">IFS(D6666&lt;=$G$3,'calculated data '!$A$3,D6666&lt;=$G$4,'calculated data '!$A$4,D6666&lt;=$G$6,'calculated data '!$A$5,D6666&gt;=$G$6,'calculated data '!$A$6)</f>
        <v>Target Market (Core IQR)</v>
      </c>
      <c r="F6666" s="10">
        <f t="shared" si="1"/>
        <v>-0.1729361233</v>
      </c>
    </row>
    <row r="6667" ht="14.25" customHeight="1">
      <c r="A6667" s="2" t="s">
        <v>355</v>
      </c>
      <c r="B6667" s="2" t="s">
        <v>356</v>
      </c>
      <c r="C6667" s="2">
        <v>1971.0</v>
      </c>
      <c r="D6667" s="9">
        <v>18538.75</v>
      </c>
      <c r="E6667" s="10" t="str">
        <f t="array" ref="E6667">IFS(D6667&lt;=$G$3,'calculated data '!$A$3,D6667&lt;=$G$4,'calculated data '!$A$4,D6667&lt;=$G$6,'calculated data '!$A$5,D6667&gt;=$G$6,'calculated data '!$A$6)</f>
        <v>Target Market (Core IQR)</v>
      </c>
      <c r="F6667" s="10">
        <f t="shared" si="1"/>
        <v>-0.1724553797</v>
      </c>
    </row>
    <row r="6668" ht="14.25" customHeight="1">
      <c r="A6668" s="2" t="s">
        <v>377</v>
      </c>
      <c r="B6668" s="2" t="s">
        <v>378</v>
      </c>
      <c r="C6668" s="2">
        <v>1991.0</v>
      </c>
      <c r="D6668" s="9">
        <v>18549.352</v>
      </c>
      <c r="E6668" s="10" t="str">
        <f t="array" ref="E6668">IFS(D6668&lt;=$G$3,'calculated data '!$A$3,D6668&lt;=$G$4,'calculated data '!$A$4,D6668&lt;=$G$6,'calculated data '!$A$5,D6668&gt;=$G$6,'calculated data '!$A$6)</f>
        <v>Target Market (Core IQR)</v>
      </c>
      <c r="F6668" s="10">
        <f t="shared" si="1"/>
        <v>-0.1721747474</v>
      </c>
    </row>
    <row r="6669" ht="14.25" customHeight="1">
      <c r="A6669" s="2" t="s">
        <v>319</v>
      </c>
      <c r="B6669" s="2" t="s">
        <v>320</v>
      </c>
      <c r="C6669" s="2">
        <v>1985.0</v>
      </c>
      <c r="D6669" s="9">
        <v>18549.932</v>
      </c>
      <c r="E6669" s="10" t="str">
        <f t="array" ref="E6669">IFS(D6669&lt;=$G$3,'calculated data '!$A$3,D6669&lt;=$G$4,'calculated data '!$A$4,D6669&lt;=$G$6,'calculated data '!$A$5,D6669&gt;=$G$6,'calculated data '!$A$6)</f>
        <v>Target Market (Core IQR)</v>
      </c>
      <c r="F6669" s="10">
        <f t="shared" si="1"/>
        <v>-0.172159395</v>
      </c>
    </row>
    <row r="6670" ht="14.25" customHeight="1">
      <c r="A6670" s="2" t="s">
        <v>385</v>
      </c>
      <c r="B6670" s="2" t="s">
        <v>386</v>
      </c>
      <c r="C6670" s="2">
        <v>1965.0</v>
      </c>
      <c r="D6670" s="9">
        <v>18552.518</v>
      </c>
      <c r="E6670" s="10" t="str">
        <f t="array" ref="E6670">IFS(D6670&lt;=$G$3,'calculated data '!$A$3,D6670&lt;=$G$4,'calculated data '!$A$4,D6670&lt;=$G$6,'calculated data '!$A$5,D6670&gt;=$G$6,'calculated data '!$A$6)</f>
        <v>Target Market (Core IQR)</v>
      </c>
      <c r="F6670" s="10">
        <f t="shared" si="1"/>
        <v>-0.1720909442</v>
      </c>
    </row>
    <row r="6671" ht="14.25" customHeight="1">
      <c r="A6671" s="2" t="s">
        <v>343</v>
      </c>
      <c r="B6671" s="2" t="s">
        <v>344</v>
      </c>
      <c r="C6671" s="2">
        <v>1982.0</v>
      </c>
      <c r="D6671" s="9">
        <v>18553.201</v>
      </c>
      <c r="E6671" s="10" t="str">
        <f t="array" ref="E6671">IFS(D6671&lt;=$G$3,'calculated data '!$A$3,D6671&lt;=$G$4,'calculated data '!$A$4,D6671&lt;=$G$6,'calculated data '!$A$5,D6671&gt;=$G$6,'calculated data '!$A$6)</f>
        <v>Target Market (Core IQR)</v>
      </c>
      <c r="F6671" s="10">
        <f t="shared" si="1"/>
        <v>-0.1720728654</v>
      </c>
    </row>
    <row r="6672" ht="14.25" customHeight="1">
      <c r="A6672" s="2" t="s">
        <v>339</v>
      </c>
      <c r="B6672" s="2" t="s">
        <v>340</v>
      </c>
      <c r="C6672" s="2">
        <v>1990.0</v>
      </c>
      <c r="D6672" s="9">
        <v>18564.055</v>
      </c>
      <c r="E6672" s="10" t="str">
        <f t="array" ref="E6672">IFS(D6672&lt;=$G$3,'calculated data '!$A$3,D6672&lt;=$G$4,'calculated data '!$A$4,D6672&lt;=$G$6,'calculated data '!$A$5,D6672&gt;=$G$6,'calculated data '!$A$6)</f>
        <v>Target Market (Core IQR)</v>
      </c>
      <c r="F6672" s="10">
        <f t="shared" si="1"/>
        <v>-0.1717855627</v>
      </c>
    </row>
    <row r="6673" ht="14.25" customHeight="1">
      <c r="A6673" s="2" t="s">
        <v>247</v>
      </c>
      <c r="B6673" s="2" t="s">
        <v>248</v>
      </c>
      <c r="C6673" s="2">
        <v>2022.0</v>
      </c>
      <c r="D6673" s="9">
        <v>18580.77</v>
      </c>
      <c r="E6673" s="10" t="str">
        <f t="array" ref="E6673">IFS(D6673&lt;=$G$3,'calculated data '!$A$3,D6673&lt;=$G$4,'calculated data '!$A$4,D6673&lt;=$G$6,'calculated data '!$A$5,D6673&gt;=$G$6,'calculated data '!$A$6)</f>
        <v>Target Market (Core IQR)</v>
      </c>
      <c r="F6673" s="10">
        <f t="shared" si="1"/>
        <v>-0.1713431208</v>
      </c>
    </row>
    <row r="6674" ht="14.25" customHeight="1">
      <c r="A6674" s="2" t="s">
        <v>317</v>
      </c>
      <c r="B6674" s="2" t="s">
        <v>318</v>
      </c>
      <c r="C6674" s="2">
        <v>2015.0</v>
      </c>
      <c r="D6674" s="9">
        <v>18590.184</v>
      </c>
      <c r="E6674" s="10" t="str">
        <f t="array" ref="E6674">IFS(D6674&lt;=$G$3,'calculated data '!$A$3,D6674&lt;=$G$4,'calculated data '!$A$4,D6674&lt;=$G$6,'calculated data '!$A$5,D6674&gt;=$G$6,'calculated data '!$A$6)</f>
        <v>Target Market (Core IQR)</v>
      </c>
      <c r="F6674" s="10">
        <f t="shared" si="1"/>
        <v>-0.1710939346</v>
      </c>
    </row>
    <row r="6675" ht="14.25" customHeight="1">
      <c r="A6675" s="2" t="s">
        <v>229</v>
      </c>
      <c r="B6675" s="2" t="s">
        <v>230</v>
      </c>
      <c r="C6675" s="2">
        <v>2023.0</v>
      </c>
      <c r="D6675" s="9">
        <v>18592.385</v>
      </c>
      <c r="E6675" s="10" t="str">
        <f t="array" ref="E6675">IFS(D6675&lt;=$G$3,'calculated data '!$A$3,D6675&lt;=$G$4,'calculated data '!$A$4,D6675&lt;=$G$6,'calculated data '!$A$5,D6675&gt;=$G$6,'calculated data '!$A$6)</f>
        <v>Target Market (Core IQR)</v>
      </c>
      <c r="F6675" s="10">
        <f t="shared" si="1"/>
        <v>-0.1710356746</v>
      </c>
    </row>
    <row r="6676" ht="14.25" customHeight="1">
      <c r="A6676" s="2" t="s">
        <v>341</v>
      </c>
      <c r="B6676" s="2" t="s">
        <v>342</v>
      </c>
      <c r="C6676" s="2">
        <v>2007.0</v>
      </c>
      <c r="D6676" s="9">
        <v>18597.8</v>
      </c>
      <c r="E6676" s="10" t="str">
        <f t="array" ref="E6676">IFS(D6676&lt;=$G$3,'calculated data '!$A$3,D6676&lt;=$G$4,'calculated data '!$A$4,D6676&lt;=$G$6,'calculated data '!$A$5,D6676&gt;=$G$6,'calculated data '!$A$6)</f>
        <v>Target Market (Core IQR)</v>
      </c>
      <c r="F6676" s="10">
        <f t="shared" si="1"/>
        <v>-0.1708923409</v>
      </c>
    </row>
    <row r="6677" ht="14.25" customHeight="1">
      <c r="A6677" s="2" t="s">
        <v>141</v>
      </c>
      <c r="B6677" s="2" t="s">
        <v>142</v>
      </c>
      <c r="C6677" s="2">
        <v>2013.0</v>
      </c>
      <c r="D6677" s="9">
        <v>18610.441</v>
      </c>
      <c r="E6677" s="10" t="str">
        <f t="array" ref="E6677">IFS(D6677&lt;=$G$3,'calculated data '!$A$3,D6677&lt;=$G$4,'calculated data '!$A$4,D6677&lt;=$G$6,'calculated data '!$A$5,D6677&gt;=$G$6,'calculated data '!$A$6)</f>
        <v>Target Market (Core IQR)</v>
      </c>
      <c r="F6677" s="10">
        <f t="shared" si="1"/>
        <v>-0.1705577368</v>
      </c>
    </row>
    <row r="6678" ht="14.25" customHeight="1">
      <c r="A6678" s="2" t="s">
        <v>317</v>
      </c>
      <c r="B6678" s="2" t="s">
        <v>318</v>
      </c>
      <c r="C6678" s="2">
        <v>2016.0</v>
      </c>
      <c r="D6678" s="9">
        <v>18610.697</v>
      </c>
      <c r="E6678" s="10" t="str">
        <f t="array" ref="E6678">IFS(D6678&lt;=$G$3,'calculated data '!$A$3,D6678&lt;=$G$4,'calculated data '!$A$4,D6678&lt;=$G$6,'calculated data '!$A$5,D6678&gt;=$G$6,'calculated data '!$A$6)</f>
        <v>Target Market (Core IQR)</v>
      </c>
      <c r="F6678" s="10">
        <f t="shared" si="1"/>
        <v>-0.1705509606</v>
      </c>
    </row>
    <row r="6679" ht="14.25" customHeight="1">
      <c r="A6679" s="2" t="s">
        <v>365</v>
      </c>
      <c r="B6679" s="2" t="s">
        <v>366</v>
      </c>
      <c r="C6679" s="2">
        <v>2010.0</v>
      </c>
      <c r="D6679" s="9">
        <v>18621.549</v>
      </c>
      <c r="E6679" s="10" t="str">
        <f t="array" ref="E6679">IFS(D6679&lt;=$G$3,'calculated data '!$A$3,D6679&lt;=$G$4,'calculated data '!$A$4,D6679&lt;=$G$6,'calculated data '!$A$5,D6679&gt;=$G$6,'calculated data '!$A$6)</f>
        <v>Target Market (Core IQR)</v>
      </c>
      <c r="F6679" s="10">
        <f t="shared" si="1"/>
        <v>-0.1702637108</v>
      </c>
    </row>
    <row r="6680" ht="14.25" customHeight="1">
      <c r="A6680" s="2" t="s">
        <v>341</v>
      </c>
      <c r="B6680" s="2" t="s">
        <v>342</v>
      </c>
      <c r="C6680" s="2">
        <v>1993.0</v>
      </c>
      <c r="D6680" s="9">
        <v>18627.982</v>
      </c>
      <c r="E6680" s="10" t="str">
        <f t="array" ref="E6680">IFS(D6680&lt;=$G$3,'calculated data '!$A$3,D6680&lt;=$G$4,'calculated data '!$A$4,D6680&lt;=$G$6,'calculated data '!$A$5,D6680&gt;=$G$6,'calculated data '!$A$6)</f>
        <v>Target Market (Core IQR)</v>
      </c>
      <c r="F6680" s="10">
        <f t="shared" si="1"/>
        <v>-0.1700934309</v>
      </c>
    </row>
    <row r="6681" ht="14.25" customHeight="1">
      <c r="A6681" s="2" t="s">
        <v>335</v>
      </c>
      <c r="B6681" s="2" t="s">
        <v>336</v>
      </c>
      <c r="C6681" s="2">
        <v>1974.0</v>
      </c>
      <c r="D6681" s="9">
        <v>18633.982</v>
      </c>
      <c r="E6681" s="10" t="str">
        <f t="array" ref="E6681">IFS(D6681&lt;=$G$3,'calculated data '!$A$3,D6681&lt;=$G$4,'calculated data '!$A$4,D6681&lt;=$G$6,'calculated data '!$A$5,D6681&gt;=$G$6,'calculated data '!$A$6)</f>
        <v>Target Market (Core IQR)</v>
      </c>
      <c r="F6681" s="10">
        <f t="shared" si="1"/>
        <v>-0.1699346124</v>
      </c>
    </row>
    <row r="6682" ht="14.25" customHeight="1">
      <c r="A6682" s="2" t="s">
        <v>301</v>
      </c>
      <c r="B6682" s="2" t="s">
        <v>302</v>
      </c>
      <c r="C6682" s="2">
        <v>2011.0</v>
      </c>
      <c r="D6682" s="9">
        <v>18641.135</v>
      </c>
      <c r="E6682" s="10" t="str">
        <f t="array" ref="E6682">IFS(D6682&lt;=$G$3,'calculated data '!$A$3,D6682&lt;=$G$4,'calculated data '!$A$4,D6682&lt;=$G$6,'calculated data '!$A$5,D6682&gt;=$G$6,'calculated data '!$A$6)</f>
        <v>Target Market (Core IQR)</v>
      </c>
      <c r="F6682" s="10">
        <f t="shared" si="1"/>
        <v>-0.1697452743</v>
      </c>
    </row>
    <row r="6683" ht="14.25" customHeight="1">
      <c r="A6683" s="2" t="s">
        <v>197</v>
      </c>
      <c r="B6683" s="2" t="s">
        <v>198</v>
      </c>
      <c r="C6683" s="2">
        <v>2008.0</v>
      </c>
      <c r="D6683" s="9">
        <v>18641.96</v>
      </c>
      <c r="E6683" s="10" t="str">
        <f t="array" ref="E6683">IFS(D6683&lt;=$G$3,'calculated data '!$A$3,D6683&lt;=$G$4,'calculated data '!$A$4,D6683&lt;=$G$6,'calculated data '!$A$5,D6683&gt;=$G$6,'calculated data '!$A$6)</f>
        <v>Target Market (Core IQR)</v>
      </c>
      <c r="F6683" s="10">
        <f t="shared" si="1"/>
        <v>-0.1697234367</v>
      </c>
    </row>
    <row r="6684" ht="14.25" customHeight="1">
      <c r="A6684" s="2" t="s">
        <v>317</v>
      </c>
      <c r="B6684" s="2" t="s">
        <v>318</v>
      </c>
      <c r="C6684" s="2">
        <v>2014.0</v>
      </c>
      <c r="D6684" s="9">
        <v>18646.225</v>
      </c>
      <c r="E6684" s="10" t="str">
        <f t="array" ref="E6684">IFS(D6684&lt;=$G$3,'calculated data '!$A$3,D6684&lt;=$G$4,'calculated data '!$A$4,D6684&lt;=$G$6,'calculated data '!$A$5,D6684&gt;=$G$6,'calculated data '!$A$6)</f>
        <v>Target Market (Core IQR)</v>
      </c>
      <c r="F6684" s="10">
        <f t="shared" si="1"/>
        <v>-0.1696105432</v>
      </c>
    </row>
    <row r="6685" ht="14.25" customHeight="1">
      <c r="A6685" s="2" t="s">
        <v>291</v>
      </c>
      <c r="B6685" s="2" t="s">
        <v>292</v>
      </c>
      <c r="C6685" s="2">
        <v>1991.0</v>
      </c>
      <c r="D6685" s="9">
        <v>18653.018</v>
      </c>
      <c r="E6685" s="10" t="str">
        <f t="array" ref="E6685">IFS(D6685&lt;=$G$3,'calculated data '!$A$3,D6685&lt;=$G$4,'calculated data '!$A$4,D6685&lt;=$G$6,'calculated data '!$A$5,D6685&gt;=$G$6,'calculated data '!$A$6)</f>
        <v>Target Market (Core IQR)</v>
      </c>
      <c r="F6685" s="10">
        <f t="shared" si="1"/>
        <v>-0.1694307342</v>
      </c>
    </row>
    <row r="6686" ht="14.25" customHeight="1">
      <c r="A6686" s="2" t="s">
        <v>385</v>
      </c>
      <c r="B6686" s="2" t="s">
        <v>386</v>
      </c>
      <c r="C6686" s="2">
        <v>1969.0</v>
      </c>
      <c r="D6686" s="9">
        <v>18657.398</v>
      </c>
      <c r="E6686" s="10" t="str">
        <f t="array" ref="E6686">IFS(D6686&lt;=$G$3,'calculated data '!$A$3,D6686&lt;=$G$4,'calculated data '!$A$4,D6686&lt;=$G$6,'calculated data '!$A$5,D6686&gt;=$G$6,'calculated data '!$A$6)</f>
        <v>Target Market (Core IQR)</v>
      </c>
      <c r="F6686" s="10">
        <f t="shared" si="1"/>
        <v>-0.1693147967</v>
      </c>
    </row>
    <row r="6687" ht="14.25" customHeight="1">
      <c r="A6687" s="2" t="s">
        <v>387</v>
      </c>
      <c r="B6687" s="2" t="s">
        <v>388</v>
      </c>
      <c r="C6687" s="2">
        <v>1983.0</v>
      </c>
      <c r="D6687" s="9">
        <v>18657.592</v>
      </c>
      <c r="E6687" s="10" t="str">
        <f t="array" ref="E6687">IFS(D6687&lt;=$G$3,'calculated data '!$A$3,D6687&lt;=$G$4,'calculated data '!$A$4,D6687&lt;=$G$6,'calculated data '!$A$5,D6687&gt;=$G$6,'calculated data '!$A$6)</f>
        <v>Target Market (Core IQR)</v>
      </c>
      <c r="F6687" s="10">
        <f t="shared" si="1"/>
        <v>-0.1693096616</v>
      </c>
    </row>
    <row r="6688" ht="14.25" customHeight="1">
      <c r="A6688" s="2" t="s">
        <v>127</v>
      </c>
      <c r="B6688" s="2" t="s">
        <v>128</v>
      </c>
      <c r="C6688" s="2">
        <v>2015.0</v>
      </c>
      <c r="D6688" s="9">
        <v>18663.375</v>
      </c>
      <c r="E6688" s="10" t="str">
        <f t="array" ref="E6688">IFS(D6688&lt;=$G$3,'calculated data '!$A$3,D6688&lt;=$G$4,'calculated data '!$A$4,D6688&lt;=$G$6,'calculated data '!$A$5,D6688&gt;=$G$6,'calculated data '!$A$6)</f>
        <v>Target Market (Core IQR)</v>
      </c>
      <c r="F6688" s="10">
        <f t="shared" si="1"/>
        <v>-0.169156587</v>
      </c>
    </row>
    <row r="6689" ht="14.25" customHeight="1">
      <c r="A6689" s="2" t="s">
        <v>247</v>
      </c>
      <c r="B6689" s="2" t="s">
        <v>248</v>
      </c>
      <c r="C6689" s="2">
        <v>2024.0</v>
      </c>
      <c r="D6689" s="9">
        <v>18668.357</v>
      </c>
      <c r="E6689" s="10" t="str">
        <f t="array" ref="E6689">IFS(D6689&lt;=$G$3,'calculated data '!$A$3,D6689&lt;=$G$4,'calculated data '!$A$4,D6689&lt;=$G$6,'calculated data '!$A$5,D6689&gt;=$G$6,'calculated data '!$A$6)</f>
        <v>Target Market (Core IQR)</v>
      </c>
      <c r="F6689" s="10">
        <f t="shared" si="1"/>
        <v>-0.1690247147</v>
      </c>
    </row>
    <row r="6690" ht="14.25" customHeight="1">
      <c r="A6690" s="2" t="s">
        <v>351</v>
      </c>
      <c r="B6690" s="2" t="s">
        <v>352</v>
      </c>
      <c r="C6690" s="2">
        <v>2009.0</v>
      </c>
      <c r="D6690" s="9">
        <v>18670.227</v>
      </c>
      <c r="E6690" s="10" t="str">
        <f t="array" ref="E6690">IFS(D6690&lt;=$G$3,'calculated data '!$A$3,D6690&lt;=$G$4,'calculated data '!$A$4,D6690&lt;=$G$6,'calculated data '!$A$5,D6690&gt;=$G$6,'calculated data '!$A$6)</f>
        <v>Target Market (Core IQR)</v>
      </c>
      <c r="F6690" s="10">
        <f t="shared" si="1"/>
        <v>-0.1689752163</v>
      </c>
    </row>
    <row r="6691" ht="14.25" customHeight="1">
      <c r="A6691" s="2" t="s">
        <v>309</v>
      </c>
      <c r="B6691" s="2" t="s">
        <v>310</v>
      </c>
      <c r="C6691" s="2">
        <v>1985.0</v>
      </c>
      <c r="D6691" s="9">
        <v>18684.586</v>
      </c>
      <c r="E6691" s="10" t="str">
        <f t="array" ref="E6691">IFS(D6691&lt;=$G$3,'calculated data '!$A$3,D6691&lt;=$G$4,'calculated data '!$A$4,D6691&lt;=$G$6,'calculated data '!$A$5,D6691&gt;=$G$6,'calculated data '!$A$6)</f>
        <v>Target Market (Core IQR)</v>
      </c>
      <c r="F6691" s="10">
        <f t="shared" si="1"/>
        <v>-0.1685951371</v>
      </c>
    </row>
    <row r="6692" ht="14.25" customHeight="1">
      <c r="A6692" s="2" t="s">
        <v>385</v>
      </c>
      <c r="B6692" s="2" t="s">
        <v>386</v>
      </c>
      <c r="C6692" s="2">
        <v>1968.0</v>
      </c>
      <c r="D6692" s="9">
        <v>18688.533</v>
      </c>
      <c r="E6692" s="10" t="str">
        <f t="array" ref="E6692">IFS(D6692&lt;=$G$3,'calculated data '!$A$3,D6692&lt;=$G$4,'calculated data '!$A$4,D6692&lt;=$G$6,'calculated data '!$A$5,D6692&gt;=$G$6,'calculated data '!$A$6)</f>
        <v>Target Market (Core IQR)</v>
      </c>
      <c r="F6692" s="10">
        <f t="shared" si="1"/>
        <v>-0.168490661</v>
      </c>
    </row>
    <row r="6693" ht="14.25" customHeight="1">
      <c r="A6693" s="2" t="s">
        <v>351</v>
      </c>
      <c r="B6693" s="2" t="s">
        <v>352</v>
      </c>
      <c r="C6693" s="2">
        <v>2014.0</v>
      </c>
      <c r="D6693" s="9">
        <v>18717.838</v>
      </c>
      <c r="E6693" s="10" t="str">
        <f t="array" ref="E6693">IFS(D6693&lt;=$G$3,'calculated data '!$A$3,D6693&lt;=$G$4,'calculated data '!$A$4,D6693&lt;=$G$6,'calculated data '!$A$5,D6693&gt;=$G$6,'calculated data '!$A$6)</f>
        <v>Target Market (Core IQR)</v>
      </c>
      <c r="F6693" s="10">
        <f t="shared" si="1"/>
        <v>-0.167714965</v>
      </c>
    </row>
    <row r="6694" ht="14.25" customHeight="1">
      <c r="A6694" s="2" t="s">
        <v>357</v>
      </c>
      <c r="B6694" s="2" t="s">
        <v>358</v>
      </c>
      <c r="C6694" s="2">
        <v>2005.0</v>
      </c>
      <c r="D6694" s="9">
        <v>18723.309</v>
      </c>
      <c r="E6694" s="10" t="str">
        <f t="array" ref="E6694">IFS(D6694&lt;=$G$3,'calculated data '!$A$3,D6694&lt;=$G$4,'calculated data '!$A$4,D6694&lt;=$G$6,'calculated data '!$A$5,D6694&gt;=$G$6,'calculated data '!$A$6)</f>
        <v>Target Market (Core IQR)</v>
      </c>
      <c r="F6694" s="10">
        <f t="shared" si="1"/>
        <v>-0.167570149</v>
      </c>
    </row>
    <row r="6695" ht="14.25" customHeight="1">
      <c r="A6695" s="2" t="s">
        <v>359</v>
      </c>
      <c r="B6695" s="2" t="s">
        <v>360</v>
      </c>
      <c r="C6695" s="2">
        <v>2001.0</v>
      </c>
      <c r="D6695" s="9">
        <v>18727.932</v>
      </c>
      <c r="E6695" s="10" t="str">
        <f t="array" ref="E6695">IFS(D6695&lt;=$G$3,'calculated data '!$A$3,D6695&lt;=$G$4,'calculated data '!$A$4,D6695&lt;=$G$6,'calculated data '!$A$5,D6695&gt;=$G$6,'calculated data '!$A$6)</f>
        <v>Target Market (Core IQR)</v>
      </c>
      <c r="F6695" s="10">
        <f t="shared" si="1"/>
        <v>-0.1674477793</v>
      </c>
    </row>
    <row r="6696" ht="14.25" customHeight="1">
      <c r="A6696" s="2" t="s">
        <v>57</v>
      </c>
      <c r="B6696" s="2" t="s">
        <v>58</v>
      </c>
      <c r="C6696" s="2">
        <v>2005.0</v>
      </c>
      <c r="D6696" s="9">
        <v>18728.182</v>
      </c>
      <c r="E6696" s="10" t="str">
        <f t="array" ref="E6696">IFS(D6696&lt;=$G$3,'calculated data '!$A$3,D6696&lt;=$G$4,'calculated data '!$A$4,D6696&lt;=$G$6,'calculated data '!$A$5,D6696&gt;=$G$6,'calculated data '!$A$6)</f>
        <v>Target Market (Core IQR)</v>
      </c>
      <c r="F6696" s="10">
        <f t="shared" si="1"/>
        <v>-0.1674411619</v>
      </c>
    </row>
    <row r="6697" ht="14.25" customHeight="1">
      <c r="A6697" s="2" t="s">
        <v>341</v>
      </c>
      <c r="B6697" s="2" t="s">
        <v>342</v>
      </c>
      <c r="C6697" s="2">
        <v>2005.0</v>
      </c>
      <c r="D6697" s="9">
        <v>18729.88</v>
      </c>
      <c r="E6697" s="10" t="str">
        <f t="array" ref="E6697">IFS(D6697&lt;=$G$3,'calculated data '!$A$3,D6697&lt;=$G$4,'calculated data '!$A$4,D6697&lt;=$G$6,'calculated data '!$A$5,D6697&gt;=$G$6,'calculated data '!$A$6)</f>
        <v>Target Market (Core IQR)</v>
      </c>
      <c r="F6697" s="10">
        <f t="shared" si="1"/>
        <v>-0.1673962162</v>
      </c>
    </row>
    <row r="6698" ht="14.25" customHeight="1">
      <c r="A6698" s="2" t="s">
        <v>323</v>
      </c>
      <c r="B6698" s="2" t="s">
        <v>324</v>
      </c>
      <c r="C6698" s="2">
        <v>2013.0</v>
      </c>
      <c r="D6698" s="9">
        <v>18736.98</v>
      </c>
      <c r="E6698" s="10" t="str">
        <f t="array" ref="E6698">IFS(D6698&lt;=$G$3,'calculated data '!$A$3,D6698&lt;=$G$4,'calculated data '!$A$4,D6698&lt;=$G$6,'calculated data '!$A$5,D6698&gt;=$G$6,'calculated data '!$A$6)</f>
        <v>Target Market (Core IQR)</v>
      </c>
      <c r="F6698" s="10">
        <f t="shared" si="1"/>
        <v>-0.167208281</v>
      </c>
    </row>
    <row r="6699" ht="14.25" customHeight="1">
      <c r="A6699" s="2" t="s">
        <v>57</v>
      </c>
      <c r="B6699" s="2" t="s">
        <v>58</v>
      </c>
      <c r="C6699" s="2">
        <v>2009.0</v>
      </c>
      <c r="D6699" s="9">
        <v>18740.543</v>
      </c>
      <c r="E6699" s="10" t="str">
        <f t="array" ref="E6699">IFS(D6699&lt;=$G$3,'calculated data '!$A$3,D6699&lt;=$G$4,'calculated data '!$A$4,D6699&lt;=$G$6,'calculated data '!$A$5,D6699&gt;=$G$6,'calculated data '!$A$6)</f>
        <v>Target Market (Core IQR)</v>
      </c>
      <c r="F6699" s="10">
        <f t="shared" si="1"/>
        <v>-0.1671139693</v>
      </c>
    </row>
    <row r="6700" ht="14.25" customHeight="1">
      <c r="A6700" s="2" t="s">
        <v>349</v>
      </c>
      <c r="B6700" s="2" t="s">
        <v>350</v>
      </c>
      <c r="C6700" s="2">
        <v>2005.0</v>
      </c>
      <c r="D6700" s="9">
        <v>18753.633</v>
      </c>
      <c r="E6700" s="10" t="str">
        <f t="array" ref="E6700">IFS(D6700&lt;=$G$3,'calculated data '!$A$3,D6700&lt;=$G$4,'calculated data '!$A$4,D6700&lt;=$G$6,'calculated data '!$A$5,D6700&gt;=$G$6,'calculated data '!$A$6)</f>
        <v>Target Market (Core IQR)</v>
      </c>
      <c r="F6700" s="10">
        <f t="shared" si="1"/>
        <v>-0.1667674802</v>
      </c>
    </row>
    <row r="6701" ht="14.25" customHeight="1">
      <c r="A6701" s="2" t="s">
        <v>355</v>
      </c>
      <c r="B6701" s="2" t="s">
        <v>356</v>
      </c>
      <c r="C6701" s="2">
        <v>2022.0</v>
      </c>
      <c r="D6701" s="9">
        <v>18757.299</v>
      </c>
      <c r="E6701" s="10" t="str">
        <f t="array" ref="E6701">IFS(D6701&lt;=$G$3,'calculated data '!$A$3,D6701&lt;=$G$4,'calculated data '!$A$4,D6701&lt;=$G$6,'calculated data '!$A$5,D6701&gt;=$G$6,'calculated data '!$A$6)</f>
        <v>Target Market (Core IQR)</v>
      </c>
      <c r="F6701" s="10">
        <f t="shared" si="1"/>
        <v>-0.1666704421</v>
      </c>
    </row>
    <row r="6702" ht="14.25" customHeight="1">
      <c r="A6702" s="2" t="s">
        <v>373</v>
      </c>
      <c r="B6702" s="2" t="s">
        <v>374</v>
      </c>
      <c r="C6702" s="2">
        <v>1983.0</v>
      </c>
      <c r="D6702" s="9">
        <v>18759.568</v>
      </c>
      <c r="E6702" s="10" t="str">
        <f t="array" ref="E6702">IFS(D6702&lt;=$G$3,'calculated data '!$A$3,D6702&lt;=$G$4,'calculated data '!$A$4,D6702&lt;=$G$6,'calculated data '!$A$5,D6702&gt;=$G$6,'calculated data '!$A$6)</f>
        <v>Target Market (Core IQR)</v>
      </c>
      <c r="F6702" s="10">
        <f t="shared" si="1"/>
        <v>-0.1666103823</v>
      </c>
    </row>
    <row r="6703" ht="14.25" customHeight="1">
      <c r="A6703" s="2" t="s">
        <v>57</v>
      </c>
      <c r="B6703" s="2" t="s">
        <v>58</v>
      </c>
      <c r="C6703" s="2">
        <v>2020.0</v>
      </c>
      <c r="D6703" s="9">
        <v>18763.19</v>
      </c>
      <c r="E6703" s="10" t="str">
        <f t="array" ref="E6703">IFS(D6703&lt;=$G$3,'calculated data '!$A$3,D6703&lt;=$G$4,'calculated data '!$A$4,D6703&lt;=$G$6,'calculated data '!$A$5,D6703&gt;=$G$6,'calculated data '!$A$6)</f>
        <v>Target Market (Core IQR)</v>
      </c>
      <c r="F6703" s="10">
        <f t="shared" si="1"/>
        <v>-0.1665145088</v>
      </c>
    </row>
    <row r="6704" ht="14.25" customHeight="1">
      <c r="A6704" s="2" t="s">
        <v>323</v>
      </c>
      <c r="B6704" s="2" t="s">
        <v>324</v>
      </c>
      <c r="C6704" s="2">
        <v>2012.0</v>
      </c>
      <c r="D6704" s="9">
        <v>18773.168</v>
      </c>
      <c r="E6704" s="10" t="str">
        <f t="array" ref="E6704">IFS(D6704&lt;=$G$3,'calculated data '!$A$3,D6704&lt;=$G$4,'calculated data '!$A$4,D6704&lt;=$G$6,'calculated data '!$A$5,D6704&gt;=$G$6,'calculated data '!$A$6)</f>
        <v>Target Market (Core IQR)</v>
      </c>
      <c r="F6704" s="10">
        <f t="shared" si="1"/>
        <v>-0.1662503936</v>
      </c>
    </row>
    <row r="6705" ht="14.25" customHeight="1">
      <c r="A6705" s="2" t="s">
        <v>337</v>
      </c>
      <c r="B6705" s="2" t="s">
        <v>338</v>
      </c>
      <c r="C6705" s="2">
        <v>1985.0</v>
      </c>
      <c r="D6705" s="9">
        <v>18775.932</v>
      </c>
      <c r="E6705" s="10" t="str">
        <f t="array" ref="E6705">IFS(D6705&lt;=$G$3,'calculated data '!$A$3,D6705&lt;=$G$4,'calculated data '!$A$4,D6705&lt;=$G$6,'calculated data '!$A$5,D6705&gt;=$G$6,'calculated data '!$A$6)</f>
        <v>Target Market (Core IQR)</v>
      </c>
      <c r="F6705" s="10">
        <f t="shared" si="1"/>
        <v>-0.1661772313</v>
      </c>
    </row>
    <row r="6706" ht="14.25" customHeight="1">
      <c r="A6706" s="2" t="s">
        <v>377</v>
      </c>
      <c r="B6706" s="2" t="s">
        <v>378</v>
      </c>
      <c r="C6706" s="2">
        <v>1990.0</v>
      </c>
      <c r="D6706" s="9">
        <v>18784.773</v>
      </c>
      <c r="E6706" s="10" t="str">
        <f t="array" ref="E6706">IFS(D6706&lt;=$G$3,'calculated data '!$A$3,D6706&lt;=$G$4,'calculated data '!$A$4,D6706&lt;=$G$6,'calculated data '!$A$5,D6706&gt;=$G$6,'calculated data '!$A$6)</f>
        <v>Target Market (Core IQR)</v>
      </c>
      <c r="F6706" s="10">
        <f t="shared" si="1"/>
        <v>-0.1659432122</v>
      </c>
    </row>
    <row r="6707" ht="14.25" customHeight="1">
      <c r="A6707" s="2" t="s">
        <v>351</v>
      </c>
      <c r="B6707" s="2" t="s">
        <v>352</v>
      </c>
      <c r="C6707" s="2">
        <v>1993.0</v>
      </c>
      <c r="D6707" s="9">
        <v>18786.547</v>
      </c>
      <c r="E6707" s="10" t="str">
        <f t="array" ref="E6707">IFS(D6707&lt;=$G$3,'calculated data '!$A$3,D6707&lt;=$G$4,'calculated data '!$A$4,D6707&lt;=$G$6,'calculated data '!$A$5,D6707&gt;=$G$6,'calculated data '!$A$6)</f>
        <v>Target Market (Core IQR)</v>
      </c>
      <c r="F6707" s="10">
        <f t="shared" si="1"/>
        <v>-0.1658962548</v>
      </c>
    </row>
    <row r="6708" ht="14.25" customHeight="1">
      <c r="A6708" s="2" t="s">
        <v>361</v>
      </c>
      <c r="B6708" s="2" t="s">
        <v>362</v>
      </c>
      <c r="C6708" s="2">
        <v>2014.0</v>
      </c>
      <c r="D6708" s="9">
        <v>18789.51</v>
      </c>
      <c r="E6708" s="10" t="str">
        <f t="array" ref="E6708">IFS(D6708&lt;=$G$3,'calculated data '!$A$3,D6708&lt;=$G$4,'calculated data '!$A$4,D6708&lt;=$G$6,'calculated data '!$A$5,D6708&gt;=$G$6,'calculated data '!$A$6)</f>
        <v>Target Market (Core IQR)</v>
      </c>
      <c r="F6708" s="10">
        <f t="shared" si="1"/>
        <v>-0.165817825</v>
      </c>
    </row>
    <row r="6709" ht="14.25" customHeight="1">
      <c r="A6709" s="2" t="s">
        <v>241</v>
      </c>
      <c r="B6709" s="2" t="s">
        <v>242</v>
      </c>
      <c r="C6709" s="2">
        <v>2016.0</v>
      </c>
      <c r="D6709" s="9">
        <v>18795.404</v>
      </c>
      <c r="E6709" s="10" t="str">
        <f t="array" ref="E6709">IFS(D6709&lt;=$G$3,'calculated data '!$A$3,D6709&lt;=$G$4,'calculated data '!$A$4,D6709&lt;=$G$6,'calculated data '!$A$5,D6709&gt;=$G$6,'calculated data '!$A$6)</f>
        <v>Target Market (Core IQR)</v>
      </c>
      <c r="F6709" s="10">
        <f t="shared" si="1"/>
        <v>-0.1656618123</v>
      </c>
    </row>
    <row r="6710" ht="14.25" customHeight="1">
      <c r="A6710" s="2" t="s">
        <v>297</v>
      </c>
      <c r="B6710" s="2" t="s">
        <v>298</v>
      </c>
      <c r="C6710" s="2">
        <v>2024.0</v>
      </c>
      <c r="D6710" s="9">
        <v>18798.164</v>
      </c>
      <c r="E6710" s="10" t="str">
        <f t="array" ref="E6710">IFS(D6710&lt;=$G$3,'calculated data '!$A$3,D6710&lt;=$G$4,'calculated data '!$A$4,D6710&lt;=$G$6,'calculated data '!$A$5,D6710&gt;=$G$6,'calculated data '!$A$6)</f>
        <v>Target Market (Core IQR)</v>
      </c>
      <c r="F6710" s="10">
        <f t="shared" si="1"/>
        <v>-0.1655887558</v>
      </c>
    </row>
    <row r="6711" ht="14.25" customHeight="1">
      <c r="A6711" s="2" t="s">
        <v>313</v>
      </c>
      <c r="B6711" s="2" t="s">
        <v>314</v>
      </c>
      <c r="C6711" s="2">
        <v>2004.0</v>
      </c>
      <c r="D6711" s="9">
        <v>18811.25</v>
      </c>
      <c r="E6711" s="10" t="str">
        <f t="array" ref="E6711">IFS(D6711&lt;=$G$3,'calculated data '!$A$3,D6711&lt;=$G$4,'calculated data '!$A$4,D6711&lt;=$G$6,'calculated data '!$A$5,D6711&gt;=$G$6,'calculated data '!$A$6)</f>
        <v>Target Market (Core IQR)</v>
      </c>
      <c r="F6711" s="10">
        <f t="shared" si="1"/>
        <v>-0.1652423726</v>
      </c>
    </row>
    <row r="6712" ht="14.25" customHeight="1">
      <c r="A6712" s="2" t="s">
        <v>279</v>
      </c>
      <c r="B6712" s="2" t="s">
        <v>280</v>
      </c>
      <c r="C6712" s="2">
        <v>1983.0</v>
      </c>
      <c r="D6712" s="9">
        <v>18811.96</v>
      </c>
      <c r="E6712" s="10" t="str">
        <f t="array" ref="E6712">IFS(D6712&lt;=$G$3,'calculated data '!$A$3,D6712&lt;=$G$4,'calculated data '!$A$4,D6712&lt;=$G$6,'calculated data '!$A$5,D6712&gt;=$G$6,'calculated data '!$A$6)</f>
        <v>Target Market (Core IQR)</v>
      </c>
      <c r="F6712" s="10">
        <f t="shared" si="1"/>
        <v>-0.1652235791</v>
      </c>
    </row>
    <row r="6713" ht="14.25" customHeight="1">
      <c r="A6713" s="2" t="s">
        <v>361</v>
      </c>
      <c r="B6713" s="2" t="s">
        <v>362</v>
      </c>
      <c r="C6713" s="2">
        <v>2015.0</v>
      </c>
      <c r="D6713" s="9">
        <v>18814.0</v>
      </c>
      <c r="E6713" s="10" t="str">
        <f t="array" ref="E6713">IFS(D6713&lt;=$G$3,'calculated data '!$A$3,D6713&lt;=$G$4,'calculated data '!$A$4,D6713&lt;=$G$6,'calculated data '!$A$5,D6713&gt;=$G$6,'calculated data '!$A$6)</f>
        <v>Target Market (Core IQR)</v>
      </c>
      <c r="F6713" s="10">
        <f t="shared" si="1"/>
        <v>-0.1651695808</v>
      </c>
    </row>
    <row r="6714" ht="14.25" customHeight="1">
      <c r="A6714" s="2" t="s">
        <v>241</v>
      </c>
      <c r="B6714" s="2" t="s">
        <v>242</v>
      </c>
      <c r="C6714" s="2">
        <v>2024.0</v>
      </c>
      <c r="D6714" s="9">
        <v>18847.379</v>
      </c>
      <c r="E6714" s="10" t="str">
        <f t="array" ref="E6714">IFS(D6714&lt;=$G$3,'calculated data '!$A$3,D6714&lt;=$G$4,'calculated data '!$A$4,D6714&lt;=$G$6,'calculated data '!$A$5,D6714&gt;=$G$6,'calculated data '!$A$6)</f>
        <v>Target Market (Core IQR)</v>
      </c>
      <c r="F6714" s="10">
        <f t="shared" si="1"/>
        <v>-0.164286047</v>
      </c>
    </row>
    <row r="6715" ht="14.25" customHeight="1">
      <c r="A6715" s="2" t="s">
        <v>365</v>
      </c>
      <c r="B6715" s="2" t="s">
        <v>366</v>
      </c>
      <c r="C6715" s="2">
        <v>2007.0</v>
      </c>
      <c r="D6715" s="9">
        <v>18849.15</v>
      </c>
      <c r="E6715" s="10" t="str">
        <f t="array" ref="E6715">IFS(D6715&lt;=$G$3,'calculated data '!$A$3,D6715&lt;=$G$4,'calculated data '!$A$4,D6715&lt;=$G$6,'calculated data '!$A$5,D6715&gt;=$G$6,'calculated data '!$A$6)</f>
        <v>Target Market (Core IQR)</v>
      </c>
      <c r="F6715" s="10">
        <f t="shared" si="1"/>
        <v>-0.164239169</v>
      </c>
    </row>
    <row r="6716" ht="14.25" customHeight="1">
      <c r="A6716" s="2" t="s">
        <v>313</v>
      </c>
      <c r="B6716" s="2" t="s">
        <v>314</v>
      </c>
      <c r="C6716" s="2">
        <v>2010.0</v>
      </c>
      <c r="D6716" s="9">
        <v>18868.12</v>
      </c>
      <c r="E6716" s="10" t="str">
        <f t="array" ref="E6716">IFS(D6716&lt;=$G$3,'calculated data '!$A$3,D6716&lt;=$G$4,'calculated data '!$A$4,D6716&lt;=$G$6,'calculated data '!$A$5,D6716&gt;=$G$6,'calculated data '!$A$6)</f>
        <v>Target Market (Core IQR)</v>
      </c>
      <c r="F6716" s="10">
        <f t="shared" si="1"/>
        <v>-0.1637370379</v>
      </c>
    </row>
    <row r="6717" ht="14.25" customHeight="1">
      <c r="A6717" s="2" t="s">
        <v>369</v>
      </c>
      <c r="B6717" s="2" t="s">
        <v>370</v>
      </c>
      <c r="C6717" s="2">
        <v>1966.0</v>
      </c>
      <c r="D6717" s="9">
        <v>18880.572</v>
      </c>
      <c r="E6717" s="10" t="str">
        <f t="array" ref="E6717">IFS(D6717&lt;=$G$3,'calculated data '!$A$3,D6717&lt;=$G$4,'calculated data '!$A$4,D6717&lt;=$G$6,'calculated data '!$A$5,D6717&gt;=$G$6,'calculated data '!$A$6)</f>
        <v>Target Market (Core IQR)</v>
      </c>
      <c r="F6717" s="10">
        <f t="shared" si="1"/>
        <v>-0.1634074365</v>
      </c>
    </row>
    <row r="6718" ht="14.25" customHeight="1">
      <c r="A6718" s="2" t="s">
        <v>323</v>
      </c>
      <c r="B6718" s="2" t="s">
        <v>324</v>
      </c>
      <c r="C6718" s="2">
        <v>2020.0</v>
      </c>
      <c r="D6718" s="9">
        <v>18887.785</v>
      </c>
      <c r="E6718" s="10" t="str">
        <f t="array" ref="E6718">IFS(D6718&lt;=$G$3,'calculated data '!$A$3,D6718&lt;=$G$4,'calculated data '!$A$4,D6718&lt;=$G$6,'calculated data '!$A$5,D6718&gt;=$G$6,'calculated data '!$A$6)</f>
        <v>Target Market (Core IQR)</v>
      </c>
      <c r="F6718" s="10">
        <f t="shared" si="1"/>
        <v>-0.1632165102</v>
      </c>
    </row>
    <row r="6719" ht="14.25" customHeight="1">
      <c r="A6719" s="2" t="s">
        <v>351</v>
      </c>
      <c r="B6719" s="2" t="s">
        <v>352</v>
      </c>
      <c r="C6719" s="2">
        <v>2006.0</v>
      </c>
      <c r="D6719" s="9">
        <v>18890.049</v>
      </c>
      <c r="E6719" s="10" t="str">
        <f t="array" ref="E6719">IFS(D6719&lt;=$G$3,'calculated data '!$A$3,D6719&lt;=$G$4,'calculated data '!$A$4,D6719&lt;=$G$6,'calculated data '!$A$5,D6719&gt;=$G$6,'calculated data '!$A$6)</f>
        <v>Target Market (Core IQR)</v>
      </c>
      <c r="F6719" s="10">
        <f t="shared" si="1"/>
        <v>-0.1631565827</v>
      </c>
    </row>
    <row r="6720" ht="14.25" customHeight="1">
      <c r="A6720" s="2" t="s">
        <v>51</v>
      </c>
      <c r="B6720" s="2" t="s">
        <v>52</v>
      </c>
      <c r="C6720" s="2">
        <v>2021.0</v>
      </c>
      <c r="D6720" s="9">
        <v>18890.2</v>
      </c>
      <c r="E6720" s="10" t="str">
        <f t="array" ref="E6720">IFS(D6720&lt;=$G$3,'calculated data '!$A$3,D6720&lt;=$G$4,'calculated data '!$A$4,D6720&lt;=$G$6,'calculated data '!$A$5,D6720&gt;=$G$6,'calculated data '!$A$6)</f>
        <v>Target Market (Core IQR)</v>
      </c>
      <c r="F6720" s="10">
        <f t="shared" si="1"/>
        <v>-0.1631525858</v>
      </c>
    </row>
    <row r="6721" ht="14.25" customHeight="1">
      <c r="A6721" s="2" t="s">
        <v>291</v>
      </c>
      <c r="B6721" s="2" t="s">
        <v>292</v>
      </c>
      <c r="C6721" s="2">
        <v>1990.0</v>
      </c>
      <c r="D6721" s="9">
        <v>18903.305</v>
      </c>
      <c r="E6721" s="10" t="str">
        <f t="array" ref="E6721">IFS(D6721&lt;=$G$3,'calculated data '!$A$3,D6721&lt;=$G$4,'calculated data '!$A$4,D6721&lt;=$G$6,'calculated data '!$A$5,D6721&gt;=$G$6,'calculated data '!$A$6)</f>
        <v>Target Market (Core IQR)</v>
      </c>
      <c r="F6721" s="10">
        <f t="shared" si="1"/>
        <v>-0.1628056997</v>
      </c>
    </row>
    <row r="6722" ht="14.25" customHeight="1">
      <c r="A6722" s="2" t="s">
        <v>277</v>
      </c>
      <c r="B6722" s="2" t="s">
        <v>278</v>
      </c>
      <c r="C6722" s="2">
        <v>2003.0</v>
      </c>
      <c r="D6722" s="9">
        <v>18908.277</v>
      </c>
      <c r="E6722" s="10" t="str">
        <f t="array" ref="E6722">IFS(D6722&lt;=$G$3,'calculated data '!$A$3,D6722&lt;=$G$4,'calculated data '!$A$4,D6722&lt;=$G$6,'calculated data '!$A$5,D6722&gt;=$G$6,'calculated data '!$A$6)</f>
        <v>Target Market (Core IQR)</v>
      </c>
      <c r="F6722" s="10">
        <f t="shared" si="1"/>
        <v>-0.1626740921</v>
      </c>
    </row>
    <row r="6723" ht="14.25" customHeight="1">
      <c r="A6723" s="2" t="s">
        <v>71</v>
      </c>
      <c r="B6723" s="2" t="s">
        <v>72</v>
      </c>
      <c r="C6723" s="2">
        <v>1974.0</v>
      </c>
      <c r="D6723" s="9">
        <v>18912.955</v>
      </c>
      <c r="E6723" s="10" t="str">
        <f t="array" ref="E6723">IFS(D6723&lt;=$G$3,'calculated data '!$A$3,D6723&lt;=$G$4,'calculated data '!$A$4,D6723&lt;=$G$6,'calculated data '!$A$5,D6723&gt;=$G$6,'calculated data '!$A$6)</f>
        <v>Target Market (Core IQR)</v>
      </c>
      <c r="F6723" s="10">
        <f t="shared" si="1"/>
        <v>-0.1625502666</v>
      </c>
    </row>
    <row r="6724" ht="14.25" customHeight="1">
      <c r="A6724" s="2" t="s">
        <v>385</v>
      </c>
      <c r="B6724" s="2" t="s">
        <v>386</v>
      </c>
      <c r="C6724" s="2">
        <v>1970.0</v>
      </c>
      <c r="D6724" s="9">
        <v>18915.133</v>
      </c>
      <c r="E6724" s="10" t="str">
        <f t="array" ref="E6724">IFS(D6724&lt;=$G$3,'calculated data '!$A$3,D6724&lt;=$G$4,'calculated data '!$A$4,D6724&lt;=$G$6,'calculated data '!$A$5,D6724&gt;=$G$6,'calculated data '!$A$6)</f>
        <v>Target Market (Core IQR)</v>
      </c>
      <c r="F6724" s="10">
        <f t="shared" si="1"/>
        <v>-0.1624926155</v>
      </c>
    </row>
    <row r="6725" ht="14.25" customHeight="1">
      <c r="A6725" s="2" t="s">
        <v>361</v>
      </c>
      <c r="B6725" s="2" t="s">
        <v>362</v>
      </c>
      <c r="C6725" s="2">
        <v>2013.0</v>
      </c>
      <c r="D6725" s="9">
        <v>18919.61</v>
      </c>
      <c r="E6725" s="10" t="str">
        <f t="array" ref="E6725">IFS(D6725&lt;=$G$3,'calculated data '!$A$3,D6725&lt;=$G$4,'calculated data '!$A$4,D6725&lt;=$G$6,'calculated data '!$A$5,D6725&gt;=$G$6,'calculated data '!$A$6)</f>
        <v>Target Market (Core IQR)</v>
      </c>
      <c r="F6725" s="10">
        <f t="shared" si="1"/>
        <v>-0.1623741104</v>
      </c>
    </row>
    <row r="6726" ht="14.25" customHeight="1">
      <c r="A6726" s="2" t="s">
        <v>257</v>
      </c>
      <c r="B6726" s="2" t="s">
        <v>258</v>
      </c>
      <c r="C6726" s="2">
        <v>1998.0</v>
      </c>
      <c r="D6726" s="9">
        <v>18922.123</v>
      </c>
      <c r="E6726" s="10" t="str">
        <f t="array" ref="E6726">IFS(D6726&lt;=$G$3,'calculated data '!$A$3,D6726&lt;=$G$4,'calculated data '!$A$4,D6726&lt;=$G$6,'calculated data '!$A$5,D6726&gt;=$G$6,'calculated data '!$A$6)</f>
        <v>Target Market (Core IQR)</v>
      </c>
      <c r="F6726" s="10">
        <f t="shared" si="1"/>
        <v>-0.1623075919</v>
      </c>
    </row>
    <row r="6727" ht="14.25" customHeight="1">
      <c r="A6727" s="2" t="s">
        <v>313</v>
      </c>
      <c r="B6727" s="2" t="s">
        <v>314</v>
      </c>
      <c r="C6727" s="2">
        <v>2005.0</v>
      </c>
      <c r="D6727" s="9">
        <v>18922.9</v>
      </c>
      <c r="E6727" s="10" t="str">
        <f t="array" ref="E6727">IFS(D6727&lt;=$G$3,'calculated data '!$A$3,D6727&lt;=$G$4,'calculated data '!$A$4,D6727&lt;=$G$6,'calculated data '!$A$5,D6727&gt;=$G$6,'calculated data '!$A$6)</f>
        <v>Target Market (Core IQR)</v>
      </c>
      <c r="F6727" s="10">
        <f t="shared" si="1"/>
        <v>-0.1622870249</v>
      </c>
    </row>
    <row r="6728" ht="14.25" customHeight="1">
      <c r="A6728" s="2" t="s">
        <v>47</v>
      </c>
      <c r="B6728" s="2" t="s">
        <v>48</v>
      </c>
      <c r="C6728" s="2">
        <v>2004.0</v>
      </c>
      <c r="D6728" s="9">
        <v>18923.941</v>
      </c>
      <c r="E6728" s="10" t="str">
        <f t="array" ref="E6728">IFS(D6728&lt;=$G$3,'calculated data '!$A$3,D6728&lt;=$G$4,'calculated data '!$A$4,D6728&lt;=$G$6,'calculated data '!$A$5,D6728&gt;=$G$6,'calculated data '!$A$6)</f>
        <v>Target Market (Core IQR)</v>
      </c>
      <c r="F6728" s="10">
        <f t="shared" si="1"/>
        <v>-0.1622594699</v>
      </c>
    </row>
    <row r="6729" ht="14.25" customHeight="1">
      <c r="A6729" s="2" t="s">
        <v>341</v>
      </c>
      <c r="B6729" s="2" t="s">
        <v>342</v>
      </c>
      <c r="C6729" s="2">
        <v>1989.0</v>
      </c>
      <c r="D6729" s="9">
        <v>18924.031</v>
      </c>
      <c r="E6729" s="10" t="str">
        <f t="array" ref="E6729">IFS(D6729&lt;=$G$3,'calculated data '!$A$3,D6729&lt;=$G$4,'calculated data '!$A$4,D6729&lt;=$G$6,'calculated data '!$A$5,D6729&gt;=$G$6,'calculated data '!$A$6)</f>
        <v>Target Market (Core IQR)</v>
      </c>
      <c r="F6729" s="10">
        <f t="shared" si="1"/>
        <v>-0.1622570876</v>
      </c>
    </row>
    <row r="6730" ht="14.25" customHeight="1">
      <c r="A6730" s="2" t="s">
        <v>277</v>
      </c>
      <c r="B6730" s="2" t="s">
        <v>278</v>
      </c>
      <c r="C6730" s="2">
        <v>2002.0</v>
      </c>
      <c r="D6730" s="9">
        <v>18940.201</v>
      </c>
      <c r="E6730" s="10" t="str">
        <f t="array" ref="E6730">IFS(D6730&lt;=$G$3,'calculated data '!$A$3,D6730&lt;=$G$4,'calculated data '!$A$4,D6730&lt;=$G$6,'calculated data '!$A$5,D6730&gt;=$G$6,'calculated data '!$A$6)</f>
        <v>Target Market (Core IQR)</v>
      </c>
      <c r="F6730" s="10">
        <f t="shared" si="1"/>
        <v>-0.1618290717</v>
      </c>
    </row>
    <row r="6731" ht="14.25" customHeight="1">
      <c r="A6731" s="2" t="s">
        <v>277</v>
      </c>
      <c r="B6731" s="2" t="s">
        <v>278</v>
      </c>
      <c r="C6731" s="2">
        <v>2005.0</v>
      </c>
      <c r="D6731" s="9">
        <v>18946.154</v>
      </c>
      <c r="E6731" s="10" t="str">
        <f t="array" ref="E6731">IFS(D6731&lt;=$G$3,'calculated data '!$A$3,D6731&lt;=$G$4,'calculated data '!$A$4,D6731&lt;=$G$6,'calculated data '!$A$5,D6731&gt;=$G$6,'calculated data '!$A$6)</f>
        <v>Target Market (Core IQR)</v>
      </c>
      <c r="F6731" s="10">
        <f t="shared" si="1"/>
        <v>-0.1616714973</v>
      </c>
    </row>
    <row r="6732" ht="14.25" customHeight="1">
      <c r="A6732" s="2" t="s">
        <v>339</v>
      </c>
      <c r="B6732" s="2" t="s">
        <v>340</v>
      </c>
      <c r="C6732" s="2">
        <v>2012.0</v>
      </c>
      <c r="D6732" s="9">
        <v>18948.658</v>
      </c>
      <c r="E6732" s="10" t="str">
        <f t="array" ref="E6732">IFS(D6732&lt;=$G$3,'calculated data '!$A$3,D6732&lt;=$G$4,'calculated data '!$A$4,D6732&lt;=$G$6,'calculated data '!$A$5,D6732&gt;=$G$6,'calculated data '!$A$6)</f>
        <v>Target Market (Core IQR)</v>
      </c>
      <c r="F6732" s="10">
        <f t="shared" si="1"/>
        <v>-0.1616052171</v>
      </c>
    </row>
    <row r="6733" ht="14.25" customHeight="1">
      <c r="A6733" s="2" t="s">
        <v>359</v>
      </c>
      <c r="B6733" s="2" t="s">
        <v>360</v>
      </c>
      <c r="C6733" s="2">
        <v>2011.0</v>
      </c>
      <c r="D6733" s="9">
        <v>18956.057</v>
      </c>
      <c r="E6733" s="10" t="str">
        <f t="array" ref="E6733">IFS(D6733&lt;=$G$3,'calculated data '!$A$3,D6733&lt;=$G$4,'calculated data '!$A$4,D6733&lt;=$G$6,'calculated data '!$A$5,D6733&gt;=$G$6,'calculated data '!$A$6)</f>
        <v>Target Market (Core IQR)</v>
      </c>
      <c r="F6733" s="10">
        <f t="shared" si="1"/>
        <v>-0.1614093674</v>
      </c>
    </row>
    <row r="6734" ht="14.25" customHeight="1">
      <c r="A6734" s="2" t="s">
        <v>323</v>
      </c>
      <c r="B6734" s="2" t="s">
        <v>324</v>
      </c>
      <c r="C6734" s="2">
        <v>2011.0</v>
      </c>
      <c r="D6734" s="9">
        <v>18956.566</v>
      </c>
      <c r="E6734" s="10" t="str">
        <f t="array" ref="E6734">IFS(D6734&lt;=$G$3,'calculated data '!$A$3,D6734&lt;=$G$4,'calculated data '!$A$4,D6734&lt;=$G$6,'calculated data '!$A$5,D6734&gt;=$G$6,'calculated data '!$A$6)</f>
        <v>Target Market (Core IQR)</v>
      </c>
      <c r="F6734" s="10">
        <f t="shared" si="1"/>
        <v>-0.1613958943</v>
      </c>
    </row>
    <row r="6735" ht="14.25" customHeight="1">
      <c r="A6735" s="2" t="s">
        <v>355</v>
      </c>
      <c r="B6735" s="2" t="s">
        <v>356</v>
      </c>
      <c r="C6735" s="2">
        <v>1972.0</v>
      </c>
      <c r="D6735" s="9">
        <v>18964.973</v>
      </c>
      <c r="E6735" s="10" t="str">
        <f t="array" ref="E6735">IFS(D6735&lt;=$G$3,'calculated data '!$A$3,D6735&lt;=$G$4,'calculated data '!$A$4,D6735&lt;=$G$6,'calculated data '!$A$5,D6735&gt;=$G$6,'calculated data '!$A$6)</f>
        <v>Target Market (Core IQR)</v>
      </c>
      <c r="F6735" s="10">
        <f t="shared" si="1"/>
        <v>-0.1611733631</v>
      </c>
    </row>
    <row r="6736" ht="14.25" customHeight="1">
      <c r="A6736" s="2" t="s">
        <v>249</v>
      </c>
      <c r="B6736" s="2" t="s">
        <v>250</v>
      </c>
      <c r="C6736" s="2">
        <v>1995.0</v>
      </c>
      <c r="D6736" s="9">
        <v>18975.465</v>
      </c>
      <c r="E6736" s="10" t="str">
        <f t="array" ref="E6736">IFS(D6736&lt;=$G$3,'calculated data '!$A$3,D6736&lt;=$G$4,'calculated data '!$A$4,D6736&lt;=$G$6,'calculated data '!$A$5,D6736&gt;=$G$6,'calculated data '!$A$6)</f>
        <v>Target Market (Core IQR)</v>
      </c>
      <c r="F6736" s="10">
        <f t="shared" si="1"/>
        <v>-0.1608956424</v>
      </c>
    </row>
    <row r="6737" ht="14.25" customHeight="1">
      <c r="A6737" s="2" t="s">
        <v>303</v>
      </c>
      <c r="B6737" s="2" t="s">
        <v>304</v>
      </c>
      <c r="C6737" s="2">
        <v>2020.0</v>
      </c>
      <c r="D6737" s="9">
        <v>18992.549</v>
      </c>
      <c r="E6737" s="10" t="str">
        <f t="array" ref="E6737">IFS(D6737&lt;=$G$3,'calculated data '!$A$3,D6737&lt;=$G$4,'calculated data '!$A$4,D6737&lt;=$G$6,'calculated data '!$A$5,D6737&gt;=$G$6,'calculated data '!$A$6)</f>
        <v>Target Market (Core IQR)</v>
      </c>
      <c r="F6737" s="10">
        <f t="shared" si="1"/>
        <v>-0.1604434332</v>
      </c>
    </row>
    <row r="6738" ht="14.25" customHeight="1">
      <c r="A6738" s="2" t="s">
        <v>291</v>
      </c>
      <c r="B6738" s="2" t="s">
        <v>292</v>
      </c>
      <c r="C6738" s="2">
        <v>2022.0</v>
      </c>
      <c r="D6738" s="9">
        <v>18995.113</v>
      </c>
      <c r="E6738" s="10" t="str">
        <f t="array" ref="E6738">IFS(D6738&lt;=$G$3,'calculated data '!$A$3,D6738&lt;=$G$4,'calculated data '!$A$4,D6738&lt;=$G$6,'calculated data '!$A$5,D6738&gt;=$G$6,'calculated data '!$A$6)</f>
        <v>Target Market (Core IQR)</v>
      </c>
      <c r="F6738" s="10">
        <f t="shared" si="1"/>
        <v>-0.1603755648</v>
      </c>
    </row>
    <row r="6739" ht="14.25" customHeight="1">
      <c r="A6739" s="2" t="s">
        <v>363</v>
      </c>
      <c r="B6739" s="2" t="s">
        <v>364</v>
      </c>
      <c r="C6739" s="2">
        <v>2006.0</v>
      </c>
      <c r="D6739" s="9">
        <v>18997.611</v>
      </c>
      <c r="E6739" s="10" t="str">
        <f t="array" ref="E6739">IFS(D6739&lt;=$G$3,'calculated data '!$A$3,D6739&lt;=$G$4,'calculated data '!$A$4,D6739&lt;=$G$6,'calculated data '!$A$5,D6739&gt;=$G$6,'calculated data '!$A$6)</f>
        <v>Target Market (Core IQR)</v>
      </c>
      <c r="F6739" s="10">
        <f t="shared" si="1"/>
        <v>-0.1603094433</v>
      </c>
    </row>
    <row r="6740" ht="14.25" customHeight="1">
      <c r="A6740" s="2" t="s">
        <v>71</v>
      </c>
      <c r="B6740" s="2" t="s">
        <v>72</v>
      </c>
      <c r="C6740" s="2">
        <v>1983.0</v>
      </c>
      <c r="D6740" s="9">
        <v>19002.33</v>
      </c>
      <c r="E6740" s="10" t="str">
        <f t="array" ref="E6740">IFS(D6740&lt;=$G$3,'calculated data '!$A$3,D6740&lt;=$G$4,'calculated data '!$A$4,D6740&lt;=$G$6,'calculated data '!$A$5,D6740&gt;=$G$6,'calculated data '!$A$6)</f>
        <v>Target Market (Core IQR)</v>
      </c>
      <c r="F6740" s="10">
        <f t="shared" si="1"/>
        <v>-0.1601845326</v>
      </c>
    </row>
    <row r="6741" ht="14.25" customHeight="1">
      <c r="A6741" s="2" t="s">
        <v>355</v>
      </c>
      <c r="B6741" s="2" t="s">
        <v>356</v>
      </c>
      <c r="C6741" s="2">
        <v>1970.0</v>
      </c>
      <c r="D6741" s="9">
        <v>19006.656</v>
      </c>
      <c r="E6741" s="10" t="str">
        <f t="array" ref="E6741">IFS(D6741&lt;=$G$3,'calculated data '!$A$3,D6741&lt;=$G$4,'calculated data '!$A$4,D6741&lt;=$G$6,'calculated data '!$A$5,D6741&gt;=$G$6,'calculated data '!$A$6)</f>
        <v>Target Market (Core IQR)</v>
      </c>
      <c r="F6741" s="10">
        <f t="shared" si="1"/>
        <v>-0.1600700244</v>
      </c>
    </row>
    <row r="6742" ht="14.25" customHeight="1">
      <c r="A6742" s="2" t="s">
        <v>355</v>
      </c>
      <c r="B6742" s="2" t="s">
        <v>356</v>
      </c>
      <c r="C6742" s="2">
        <v>1966.0</v>
      </c>
      <c r="D6742" s="9">
        <v>19010.418</v>
      </c>
      <c r="E6742" s="10" t="str">
        <f t="array" ref="E6742">IFS(D6742&lt;=$G$3,'calculated data '!$A$3,D6742&lt;=$G$4,'calculated data '!$A$4,D6742&lt;=$G$6,'calculated data '!$A$5,D6742&gt;=$G$6,'calculated data '!$A$6)</f>
        <v>Target Market (Core IQR)</v>
      </c>
      <c r="F6742" s="10">
        <f t="shared" si="1"/>
        <v>-0.1599704452</v>
      </c>
    </row>
    <row r="6743" ht="14.25" customHeight="1">
      <c r="A6743" s="2" t="s">
        <v>317</v>
      </c>
      <c r="B6743" s="2" t="s">
        <v>318</v>
      </c>
      <c r="C6743" s="2">
        <v>2017.0</v>
      </c>
      <c r="D6743" s="9">
        <v>19029.863</v>
      </c>
      <c r="E6743" s="10" t="str">
        <f t="array" ref="E6743">IFS(D6743&lt;=$G$3,'calculated data '!$A$3,D6743&lt;=$G$4,'calculated data '!$A$4,D6743&lt;=$G$6,'calculated data '!$A$5,D6743&gt;=$G$6,'calculated data '!$A$6)</f>
        <v>Target Market (Core IQR)</v>
      </c>
      <c r="F6743" s="10">
        <f t="shared" si="1"/>
        <v>-0.1594557409</v>
      </c>
    </row>
    <row r="6744" ht="14.25" customHeight="1">
      <c r="A6744" s="2" t="s">
        <v>323</v>
      </c>
      <c r="B6744" s="2" t="s">
        <v>324</v>
      </c>
      <c r="C6744" s="2">
        <v>2009.0</v>
      </c>
      <c r="D6744" s="9">
        <v>19031.008</v>
      </c>
      <c r="E6744" s="10" t="str">
        <f t="array" ref="E6744">IFS(D6744&lt;=$G$3,'calculated data '!$A$3,D6744&lt;=$G$4,'calculated data '!$A$4,D6744&lt;=$G$6,'calculated data '!$A$5,D6744&gt;=$G$6,'calculated data '!$A$6)</f>
        <v>Target Market (Core IQR)</v>
      </c>
      <c r="F6744" s="10">
        <f t="shared" si="1"/>
        <v>-0.1594254331</v>
      </c>
    </row>
    <row r="6745" ht="14.25" customHeight="1">
      <c r="A6745" s="2" t="s">
        <v>57</v>
      </c>
      <c r="B6745" s="2" t="s">
        <v>58</v>
      </c>
      <c r="C6745" s="2">
        <v>2006.0</v>
      </c>
      <c r="D6745" s="9">
        <v>19032.518</v>
      </c>
      <c r="E6745" s="10" t="str">
        <f t="array" ref="E6745">IFS(D6745&lt;=$G$3,'calculated data '!$A$3,D6745&lt;=$G$4,'calculated data '!$A$4,D6745&lt;=$G$6,'calculated data '!$A$5,D6745&gt;=$G$6,'calculated data '!$A$6)</f>
        <v>Target Market (Core IQR)</v>
      </c>
      <c r="F6745" s="10">
        <f t="shared" si="1"/>
        <v>-0.1593854637</v>
      </c>
    </row>
    <row r="6746" ht="14.25" customHeight="1">
      <c r="A6746" s="2" t="s">
        <v>319</v>
      </c>
      <c r="B6746" s="2" t="s">
        <v>320</v>
      </c>
      <c r="C6746" s="2">
        <v>1986.0</v>
      </c>
      <c r="D6746" s="9">
        <v>19032.611</v>
      </c>
      <c r="E6746" s="10" t="str">
        <f t="array" ref="E6746">IFS(D6746&lt;=$G$3,'calculated data '!$A$3,D6746&lt;=$G$4,'calculated data '!$A$4,D6746&lt;=$G$6,'calculated data '!$A$5,D6746&gt;=$G$6,'calculated data '!$A$6)</f>
        <v>Target Market (Core IQR)</v>
      </c>
      <c r="F6746" s="10">
        <f t="shared" si="1"/>
        <v>-0.1593830021</v>
      </c>
    </row>
    <row r="6747" ht="14.25" customHeight="1">
      <c r="A6747" s="2" t="s">
        <v>229</v>
      </c>
      <c r="B6747" s="2" t="s">
        <v>230</v>
      </c>
      <c r="C6747" s="2">
        <v>2024.0</v>
      </c>
      <c r="D6747" s="9">
        <v>19041.895</v>
      </c>
      <c r="E6747" s="10" t="str">
        <f t="array" ref="E6747">IFS(D6747&lt;=$G$3,'calculated data '!$A$3,D6747&lt;=$G$4,'calculated data '!$A$4,D6747&lt;=$G$6,'calculated data '!$A$5,D6747&gt;=$G$6,'calculated data '!$A$6)</f>
        <v>Target Market (Core IQR)</v>
      </c>
      <c r="F6747" s="10">
        <f t="shared" si="1"/>
        <v>-0.1591372569</v>
      </c>
    </row>
    <row r="6748" ht="14.25" customHeight="1">
      <c r="A6748" s="2" t="s">
        <v>349</v>
      </c>
      <c r="B6748" s="2" t="s">
        <v>350</v>
      </c>
      <c r="C6748" s="2">
        <v>2025.0</v>
      </c>
      <c r="D6748" s="9">
        <v>19044.314</v>
      </c>
      <c r="E6748" s="10" t="str">
        <f t="array" ref="E6748">IFS(D6748&lt;=$G$3,'calculated data '!$A$3,D6748&lt;=$G$4,'calculated data '!$A$4,D6748&lt;=$G$6,'calculated data '!$A$5,D6748&gt;=$G$6,'calculated data '!$A$6)</f>
        <v>Target Market (Core IQR)</v>
      </c>
      <c r="F6748" s="10">
        <f t="shared" si="1"/>
        <v>-0.1590732266</v>
      </c>
    </row>
    <row r="6749" ht="14.25" customHeight="1">
      <c r="A6749" s="2" t="s">
        <v>341</v>
      </c>
      <c r="B6749" s="2" t="s">
        <v>342</v>
      </c>
      <c r="C6749" s="2">
        <v>2004.0</v>
      </c>
      <c r="D6749" s="9">
        <v>19062.01</v>
      </c>
      <c r="E6749" s="10" t="str">
        <f t="array" ref="E6749">IFS(D6749&lt;=$G$3,'calculated data '!$A$3,D6749&lt;=$G$4,'calculated data '!$A$4,D6749&lt;=$G$6,'calculated data '!$A$5,D6749&gt;=$G$6,'calculated data '!$A$6)</f>
        <v>Target Market (Core IQR)</v>
      </c>
      <c r="F6749" s="10">
        <f t="shared" si="1"/>
        <v>-0.1586048178</v>
      </c>
    </row>
    <row r="6750" ht="14.25" customHeight="1">
      <c r="A6750" s="2" t="s">
        <v>349</v>
      </c>
      <c r="B6750" s="2" t="s">
        <v>350</v>
      </c>
      <c r="C6750" s="2">
        <v>2021.0</v>
      </c>
      <c r="D6750" s="9">
        <v>19076.092</v>
      </c>
      <c r="E6750" s="10" t="str">
        <f t="array" ref="E6750">IFS(D6750&lt;=$G$3,'calculated data '!$A$3,D6750&lt;=$G$4,'calculated data '!$A$4,D6750&lt;=$G$6,'calculated data '!$A$5,D6750&gt;=$G$6,'calculated data '!$A$6)</f>
        <v>Target Market (Core IQR)</v>
      </c>
      <c r="F6750" s="10">
        <f t="shared" si="1"/>
        <v>-0.1582320708</v>
      </c>
    </row>
    <row r="6751" ht="14.25" customHeight="1">
      <c r="A6751" s="2" t="s">
        <v>331</v>
      </c>
      <c r="B6751" s="2" t="s">
        <v>332</v>
      </c>
      <c r="C6751" s="2">
        <v>1974.0</v>
      </c>
      <c r="D6751" s="9">
        <v>19077.48</v>
      </c>
      <c r="E6751" s="10" t="str">
        <f t="array" ref="E6751">IFS(D6751&lt;=$G$3,'calculated data '!$A$3,D6751&lt;=$G$4,'calculated data '!$A$4,D6751&lt;=$G$6,'calculated data '!$A$5,D6751&gt;=$G$6,'calculated data '!$A$6)</f>
        <v>Target Market (Core IQR)</v>
      </c>
      <c r="F6751" s="10">
        <f t="shared" si="1"/>
        <v>-0.1581953308</v>
      </c>
    </row>
    <row r="6752" ht="14.25" customHeight="1">
      <c r="A6752" s="2" t="s">
        <v>39</v>
      </c>
      <c r="B6752" s="2" t="s">
        <v>40</v>
      </c>
      <c r="C6752" s="2">
        <v>1999.0</v>
      </c>
      <c r="D6752" s="9">
        <v>19080.52</v>
      </c>
      <c r="E6752" s="10" t="str">
        <f t="array" ref="E6752">IFS(D6752&lt;=$G$3,'calculated data '!$A$3,D6752&lt;=$G$4,'calculated data '!$A$4,D6752&lt;=$G$6,'calculated data '!$A$5,D6752&gt;=$G$6,'calculated data '!$A$6)</f>
        <v>Target Market (Core IQR)</v>
      </c>
      <c r="F6752" s="10">
        <f t="shared" si="1"/>
        <v>-0.1581148628</v>
      </c>
    </row>
    <row r="6753" ht="14.25" customHeight="1">
      <c r="A6753" s="2" t="s">
        <v>355</v>
      </c>
      <c r="B6753" s="2" t="s">
        <v>356</v>
      </c>
      <c r="C6753" s="2">
        <v>2019.0</v>
      </c>
      <c r="D6753" s="9">
        <v>19099.799</v>
      </c>
      <c r="E6753" s="10" t="str">
        <f t="array" ref="E6753">IFS(D6753&lt;=$G$3,'calculated data '!$A$3,D6753&lt;=$G$4,'calculated data '!$A$4,D6753&lt;=$G$6,'calculated data '!$A$5,D6753&gt;=$G$6,'calculated data '!$A$6)</f>
        <v>Target Market (Core IQR)</v>
      </c>
      <c r="F6753" s="10">
        <f t="shared" si="1"/>
        <v>-0.1576045524</v>
      </c>
    </row>
    <row r="6754" ht="14.25" customHeight="1">
      <c r="A6754" s="2" t="s">
        <v>357</v>
      </c>
      <c r="B6754" s="2" t="s">
        <v>358</v>
      </c>
      <c r="C6754" s="2">
        <v>2025.0</v>
      </c>
      <c r="D6754" s="9">
        <v>19108.129</v>
      </c>
      <c r="E6754" s="10" t="str">
        <f t="array" ref="E6754">IFS(D6754&lt;=$G$3,'calculated data '!$A$3,D6754&lt;=$G$4,'calculated data '!$A$4,D6754&lt;=$G$6,'calculated data '!$A$5,D6754&gt;=$G$6,'calculated data '!$A$6)</f>
        <v>Target Market (Core IQR)</v>
      </c>
      <c r="F6754" s="10">
        <f t="shared" si="1"/>
        <v>-0.1573840594</v>
      </c>
    </row>
    <row r="6755" ht="14.25" customHeight="1">
      <c r="A6755" s="2" t="s">
        <v>141</v>
      </c>
      <c r="B6755" s="2" t="s">
        <v>142</v>
      </c>
      <c r="C6755" s="2">
        <v>2014.0</v>
      </c>
      <c r="D6755" s="9">
        <v>19130.68</v>
      </c>
      <c r="E6755" s="10" t="str">
        <f t="array" ref="E6755">IFS(D6755&lt;=$G$3,'calculated data '!$A$3,D6755&lt;=$G$4,'calculated data '!$A$4,D6755&lt;=$G$6,'calculated data '!$A$5,D6755&gt;=$G$6,'calculated data '!$A$6)</f>
        <v>Target Market (Core IQR)</v>
      </c>
      <c r="F6755" s="10">
        <f t="shared" si="1"/>
        <v>-0.15678714</v>
      </c>
    </row>
    <row r="6756" ht="14.25" customHeight="1">
      <c r="A6756" s="2" t="s">
        <v>351</v>
      </c>
      <c r="B6756" s="2" t="s">
        <v>352</v>
      </c>
      <c r="C6756" s="2">
        <v>2011.0</v>
      </c>
      <c r="D6756" s="9">
        <v>19134.35</v>
      </c>
      <c r="E6756" s="10" t="str">
        <f t="array" ref="E6756">IFS(D6756&lt;=$G$3,'calculated data '!$A$3,D6756&lt;=$G$4,'calculated data '!$A$4,D6756&lt;=$G$6,'calculated data '!$A$5,D6756&gt;=$G$6,'calculated data '!$A$6)</f>
        <v>Target Market (Core IQR)</v>
      </c>
      <c r="F6756" s="10">
        <f t="shared" si="1"/>
        <v>-0.1566899961</v>
      </c>
    </row>
    <row r="6757" ht="14.25" customHeight="1">
      <c r="A6757" s="2" t="s">
        <v>341</v>
      </c>
      <c r="B6757" s="2" t="s">
        <v>342</v>
      </c>
      <c r="C6757" s="2">
        <v>1991.0</v>
      </c>
      <c r="D6757" s="9">
        <v>19145.158</v>
      </c>
      <c r="E6757" s="10" t="str">
        <f t="array" ref="E6757">IFS(D6757&lt;=$G$3,'calculated data '!$A$3,D6757&lt;=$G$4,'calculated data '!$A$4,D6757&lt;=$G$6,'calculated data '!$A$5,D6757&gt;=$G$6,'calculated data '!$A$6)</f>
        <v>Target Market (Core IQR)</v>
      </c>
      <c r="F6757" s="10">
        <f t="shared" si="1"/>
        <v>-0.156403911</v>
      </c>
    </row>
    <row r="6758" ht="14.25" customHeight="1">
      <c r="A6758" s="2" t="s">
        <v>231</v>
      </c>
      <c r="B6758" s="2" t="s">
        <v>232</v>
      </c>
      <c r="C6758" s="2">
        <v>2016.0</v>
      </c>
      <c r="D6758" s="9">
        <v>19157.629</v>
      </c>
      <c r="E6758" s="10" t="str">
        <f t="array" ref="E6758">IFS(D6758&lt;=$G$3,'calculated data '!$A$3,D6758&lt;=$G$4,'calculated data '!$A$4,D6758&lt;=$G$6,'calculated data '!$A$5,D6758&gt;=$G$6,'calculated data '!$A$6)</f>
        <v>Target Market (Core IQR)</v>
      </c>
      <c r="F6758" s="10">
        <f t="shared" si="1"/>
        <v>-0.1560738067</v>
      </c>
    </row>
    <row r="6759" ht="14.25" customHeight="1">
      <c r="A6759" s="2" t="s">
        <v>359</v>
      </c>
      <c r="B6759" s="2" t="s">
        <v>360</v>
      </c>
      <c r="C6759" s="2">
        <v>2002.0</v>
      </c>
      <c r="D6759" s="9">
        <v>19171.316</v>
      </c>
      <c r="E6759" s="10" t="str">
        <f t="array" ref="E6759">IFS(D6759&lt;=$G$3,'calculated data '!$A$3,D6759&lt;=$G$4,'calculated data '!$A$4,D6759&lt;=$G$6,'calculated data '!$A$5,D6759&gt;=$G$6,'calculated data '!$A$6)</f>
        <v>Target Market (Core IQR)</v>
      </c>
      <c r="F6759" s="10">
        <f t="shared" si="1"/>
        <v>-0.1557115153</v>
      </c>
    </row>
    <row r="6760" ht="14.25" customHeight="1">
      <c r="A6760" s="2" t="s">
        <v>39</v>
      </c>
      <c r="B6760" s="2" t="s">
        <v>40</v>
      </c>
      <c r="C6760" s="2">
        <v>1998.0</v>
      </c>
      <c r="D6760" s="9">
        <v>19174.607</v>
      </c>
      <c r="E6760" s="10" t="str">
        <f t="array" ref="E6760">IFS(D6760&lt;=$G$3,'calculated data '!$A$3,D6760&lt;=$G$4,'calculated data '!$A$4,D6760&lt;=$G$6,'calculated data '!$A$5,D6760&gt;=$G$6,'calculated data '!$A$6)</f>
        <v>Target Market (Core IQR)</v>
      </c>
      <c r="F6760" s="10">
        <f t="shared" si="1"/>
        <v>-0.1556244033</v>
      </c>
    </row>
    <row r="6761" ht="14.25" customHeight="1">
      <c r="A6761" s="2" t="s">
        <v>335</v>
      </c>
      <c r="B6761" s="2" t="s">
        <v>336</v>
      </c>
      <c r="C6761" s="2">
        <v>1975.0</v>
      </c>
      <c r="D6761" s="9">
        <v>19199.367</v>
      </c>
      <c r="E6761" s="10" t="str">
        <f t="array" ref="E6761">IFS(D6761&lt;=$G$3,'calculated data '!$A$3,D6761&lt;=$G$4,'calculated data '!$A$4,D6761&lt;=$G$6,'calculated data '!$A$5,D6761&gt;=$G$6,'calculated data '!$A$6)</f>
        <v>Target Market (Core IQR)</v>
      </c>
      <c r="F6761" s="10">
        <f t="shared" si="1"/>
        <v>-0.1549690123</v>
      </c>
    </row>
    <row r="6762" ht="14.25" customHeight="1">
      <c r="A6762" s="2" t="s">
        <v>295</v>
      </c>
      <c r="B6762" s="2" t="s">
        <v>296</v>
      </c>
      <c r="C6762" s="2">
        <v>2017.0</v>
      </c>
      <c r="D6762" s="9">
        <v>19206.406</v>
      </c>
      <c r="E6762" s="10" t="str">
        <f t="array" ref="E6762">IFS(D6762&lt;=$G$3,'calculated data '!$A$3,D6762&lt;=$G$4,'calculated data '!$A$4,D6762&lt;=$G$6,'calculated data '!$A$5,D6762&gt;=$G$6,'calculated data '!$A$6)</f>
        <v>Target Market (Core IQR)</v>
      </c>
      <c r="F6762" s="10">
        <f t="shared" si="1"/>
        <v>-0.1547826917</v>
      </c>
    </row>
    <row r="6763" ht="14.25" customHeight="1">
      <c r="A6763" s="2" t="s">
        <v>141</v>
      </c>
      <c r="B6763" s="2" t="s">
        <v>142</v>
      </c>
      <c r="C6763" s="2">
        <v>2020.0</v>
      </c>
      <c r="D6763" s="9">
        <v>19215.852</v>
      </c>
      <c r="E6763" s="10" t="str">
        <f t="array" ref="E6763">IFS(D6763&lt;=$G$3,'calculated data '!$A$3,D6763&lt;=$G$4,'calculated data '!$A$4,D6763&lt;=$G$6,'calculated data '!$A$5,D6763&gt;=$G$6,'calculated data '!$A$6)</f>
        <v>Target Market (Core IQR)</v>
      </c>
      <c r="F6763" s="10">
        <f t="shared" si="1"/>
        <v>-0.1545326584</v>
      </c>
    </row>
    <row r="6764" ht="14.25" customHeight="1">
      <c r="A6764" s="2" t="s">
        <v>313</v>
      </c>
      <c r="B6764" s="2" t="s">
        <v>314</v>
      </c>
      <c r="C6764" s="2">
        <v>2006.0</v>
      </c>
      <c r="D6764" s="9">
        <v>19223.805</v>
      </c>
      <c r="E6764" s="10" t="str">
        <f t="array" ref="E6764">IFS(D6764&lt;=$G$3,'calculated data '!$A$3,D6764&lt;=$G$4,'calculated data '!$A$4,D6764&lt;=$G$6,'calculated data '!$A$5,D6764&gt;=$G$6,'calculated data '!$A$6)</f>
        <v>Target Market (Core IQR)</v>
      </c>
      <c r="F6764" s="10">
        <f t="shared" si="1"/>
        <v>-0.1543221445</v>
      </c>
    </row>
    <row r="6765" ht="14.25" customHeight="1">
      <c r="A6765" s="2" t="s">
        <v>323</v>
      </c>
      <c r="B6765" s="2" t="s">
        <v>324</v>
      </c>
      <c r="C6765" s="2">
        <v>2010.0</v>
      </c>
      <c r="D6765" s="9">
        <v>19226.94</v>
      </c>
      <c r="E6765" s="10" t="str">
        <f t="array" ref="E6765">IFS(D6765&lt;=$G$3,'calculated data '!$A$3,D6765&lt;=$G$4,'calculated data '!$A$4,D6765&lt;=$G$6,'calculated data '!$A$5,D6765&gt;=$G$6,'calculated data '!$A$6)</f>
        <v>Target Market (Core IQR)</v>
      </c>
      <c r="F6765" s="10">
        <f t="shared" si="1"/>
        <v>-0.1542391618</v>
      </c>
    </row>
    <row r="6766" ht="14.25" customHeight="1">
      <c r="A6766" s="2" t="s">
        <v>141</v>
      </c>
      <c r="B6766" s="2" t="s">
        <v>142</v>
      </c>
      <c r="C6766" s="2">
        <v>2021.0</v>
      </c>
      <c r="D6766" s="9">
        <v>19234.855</v>
      </c>
      <c r="E6766" s="10" t="str">
        <f t="array" ref="E6766">IFS(D6766&lt;=$G$3,'calculated data '!$A$3,D6766&lt;=$G$4,'calculated data '!$A$4,D6766&lt;=$G$6,'calculated data '!$A$5,D6766&gt;=$G$6,'calculated data '!$A$6)</f>
        <v>Target Market (Core IQR)</v>
      </c>
      <c r="F6766" s="10">
        <f t="shared" si="1"/>
        <v>-0.1540296537</v>
      </c>
    </row>
    <row r="6767" ht="14.25" customHeight="1">
      <c r="A6767" s="2" t="s">
        <v>351</v>
      </c>
      <c r="B6767" s="2" t="s">
        <v>352</v>
      </c>
      <c r="C6767" s="2">
        <v>2020.0</v>
      </c>
      <c r="D6767" s="9">
        <v>19236.107</v>
      </c>
      <c r="E6767" s="10" t="str">
        <f t="array" ref="E6767">IFS(D6767&lt;=$G$3,'calculated data '!$A$3,D6767&lt;=$G$4,'calculated data '!$A$4,D6767&lt;=$G$6,'calculated data '!$A$5,D6767&gt;=$G$6,'calculated data '!$A$6)</f>
        <v>Target Market (Core IQR)</v>
      </c>
      <c r="F6767" s="10">
        <f t="shared" si="1"/>
        <v>-0.1539965136</v>
      </c>
    </row>
    <row r="6768" ht="14.25" customHeight="1">
      <c r="A6768" s="2" t="s">
        <v>141</v>
      </c>
      <c r="B6768" s="2" t="s">
        <v>142</v>
      </c>
      <c r="C6768" s="2">
        <v>2022.0</v>
      </c>
      <c r="D6768" s="9">
        <v>19237.67</v>
      </c>
      <c r="E6768" s="10" t="str">
        <f t="array" ref="E6768">IFS(D6768&lt;=$G$3,'calculated data '!$A$3,D6768&lt;=$G$4,'calculated data '!$A$4,D6768&lt;=$G$6,'calculated data '!$A$5,D6768&gt;=$G$6,'calculated data '!$A$6)</f>
        <v>Target Market (Core IQR)</v>
      </c>
      <c r="F6768" s="10">
        <f t="shared" si="1"/>
        <v>-0.1539551414</v>
      </c>
    </row>
    <row r="6769" ht="14.25" customHeight="1">
      <c r="A6769" s="2" t="s">
        <v>341</v>
      </c>
      <c r="B6769" s="2" t="s">
        <v>342</v>
      </c>
      <c r="C6769" s="2">
        <v>1992.0</v>
      </c>
      <c r="D6769" s="9">
        <v>19243.258</v>
      </c>
      <c r="E6769" s="10" t="str">
        <f t="array" ref="E6769">IFS(D6769&lt;=$G$3,'calculated data '!$A$3,D6769&lt;=$G$4,'calculated data '!$A$4,D6769&lt;=$G$6,'calculated data '!$A$5,D6769&gt;=$G$6,'calculated data '!$A$6)</f>
        <v>Target Market (Core IQR)</v>
      </c>
      <c r="F6769" s="10">
        <f t="shared" si="1"/>
        <v>-0.1538072284</v>
      </c>
    </row>
    <row r="6770" ht="14.25" customHeight="1">
      <c r="A6770" s="2" t="s">
        <v>229</v>
      </c>
      <c r="B6770" s="2" t="s">
        <v>230</v>
      </c>
      <c r="C6770" s="2">
        <v>2025.0</v>
      </c>
      <c r="D6770" s="9">
        <v>19249.178</v>
      </c>
      <c r="E6770" s="10" t="str">
        <f t="array" ref="E6770">IFS(D6770&lt;=$G$3,'calculated data '!$A$3,D6770&lt;=$G$4,'calculated data '!$A$4,D6770&lt;=$G$6,'calculated data '!$A$5,D6770&gt;=$G$6,'calculated data '!$A$6)</f>
        <v>Target Market (Core IQR)</v>
      </c>
      <c r="F6770" s="10">
        <f t="shared" si="1"/>
        <v>-0.1536505275</v>
      </c>
    </row>
    <row r="6771" ht="14.25" customHeight="1">
      <c r="A6771" s="2" t="s">
        <v>361</v>
      </c>
      <c r="B6771" s="2" t="s">
        <v>362</v>
      </c>
      <c r="C6771" s="2">
        <v>1990.0</v>
      </c>
      <c r="D6771" s="9">
        <v>19265.984</v>
      </c>
      <c r="E6771" s="10" t="str">
        <f t="array" ref="E6771">IFS(D6771&lt;=$G$3,'calculated data '!$A$3,D6771&lt;=$G$4,'calculated data '!$A$4,D6771&lt;=$G$6,'calculated data '!$A$5,D6771&gt;=$G$6,'calculated data '!$A$6)</f>
        <v>Target Market (Core IQR)</v>
      </c>
      <c r="F6771" s="10">
        <f t="shared" si="1"/>
        <v>-0.1532056769</v>
      </c>
    </row>
    <row r="6772" ht="14.25" customHeight="1">
      <c r="A6772" s="2" t="s">
        <v>28</v>
      </c>
      <c r="B6772" s="2" t="s">
        <v>29</v>
      </c>
      <c r="C6772" s="2">
        <v>1981.0</v>
      </c>
      <c r="D6772" s="9">
        <v>19280.861</v>
      </c>
      <c r="E6772" s="10" t="str">
        <f t="array" ref="E6772">IFS(D6772&lt;=$G$3,'calculated data '!$A$3,D6772&lt;=$G$4,'calculated data '!$A$4,D6772&lt;=$G$6,'calculated data '!$A$5,D6772&gt;=$G$6,'calculated data '!$A$6)</f>
        <v>Target Market (Core IQR)</v>
      </c>
      <c r="F6772" s="10">
        <f t="shared" si="1"/>
        <v>-0.1528118864</v>
      </c>
    </row>
    <row r="6773" ht="14.25" customHeight="1">
      <c r="A6773" s="2" t="s">
        <v>313</v>
      </c>
      <c r="B6773" s="2" t="s">
        <v>314</v>
      </c>
      <c r="C6773" s="2">
        <v>2008.0</v>
      </c>
      <c r="D6773" s="9">
        <v>19284.568</v>
      </c>
      <c r="E6773" s="10" t="str">
        <f t="array" ref="E6773">IFS(D6773&lt;=$G$3,'calculated data '!$A$3,D6773&lt;=$G$4,'calculated data '!$A$4,D6773&lt;=$G$6,'calculated data '!$A$5,D6773&gt;=$G$6,'calculated data '!$A$6)</f>
        <v>Target Market (Core IQR)</v>
      </c>
      <c r="F6773" s="10">
        <f t="shared" si="1"/>
        <v>-0.152713763</v>
      </c>
    </row>
    <row r="6774" ht="14.25" customHeight="1">
      <c r="A6774" s="2" t="s">
        <v>327</v>
      </c>
      <c r="B6774" s="2" t="s">
        <v>328</v>
      </c>
      <c r="C6774" s="2">
        <v>2006.0</v>
      </c>
      <c r="D6774" s="9">
        <v>19292.854</v>
      </c>
      <c r="E6774" s="10" t="str">
        <f t="array" ref="E6774">IFS(D6774&lt;=$G$3,'calculated data '!$A$3,D6774&lt;=$G$4,'calculated data '!$A$4,D6774&lt;=$G$6,'calculated data '!$A$5,D6774&gt;=$G$6,'calculated data '!$A$6)</f>
        <v>Target Market (Core IQR)</v>
      </c>
      <c r="F6774" s="10">
        <f t="shared" si="1"/>
        <v>-0.1524944347</v>
      </c>
    </row>
    <row r="6775" ht="14.25" customHeight="1">
      <c r="A6775" s="2" t="s">
        <v>373</v>
      </c>
      <c r="B6775" s="2" t="s">
        <v>374</v>
      </c>
      <c r="C6775" s="2">
        <v>1996.0</v>
      </c>
      <c r="D6775" s="9">
        <v>19295.63</v>
      </c>
      <c r="E6775" s="10" t="str">
        <f t="array" ref="E6775">IFS(D6775&lt;=$G$3,'calculated data '!$A$3,D6775&lt;=$G$4,'calculated data '!$A$4,D6775&lt;=$G$6,'calculated data '!$A$5,D6775&gt;=$G$6,'calculated data '!$A$6)</f>
        <v>Target Market (Core IQR)</v>
      </c>
      <c r="F6775" s="10">
        <f t="shared" si="1"/>
        <v>-0.1524209546</v>
      </c>
    </row>
    <row r="6776" ht="14.25" customHeight="1">
      <c r="A6776" s="2" t="s">
        <v>285</v>
      </c>
      <c r="B6776" s="2" t="s">
        <v>286</v>
      </c>
      <c r="C6776" s="2">
        <v>2018.0</v>
      </c>
      <c r="D6776" s="9">
        <v>19300.41</v>
      </c>
      <c r="E6776" s="10" t="str">
        <f t="array" ref="E6776">IFS(D6776&lt;=$G$3,'calculated data '!$A$3,D6776&lt;=$G$4,'calculated data '!$A$4,D6776&lt;=$G$6,'calculated data '!$A$5,D6776&gt;=$G$6,'calculated data '!$A$6)</f>
        <v>Target Market (Core IQR)</v>
      </c>
      <c r="F6776" s="10">
        <f t="shared" si="1"/>
        <v>-0.1522944292</v>
      </c>
    </row>
    <row r="6777" ht="14.25" customHeight="1">
      <c r="A6777" s="2" t="s">
        <v>377</v>
      </c>
      <c r="B6777" s="2" t="s">
        <v>378</v>
      </c>
      <c r="C6777" s="2">
        <v>1989.0</v>
      </c>
      <c r="D6777" s="9">
        <v>19304.434</v>
      </c>
      <c r="E6777" s="10" t="str">
        <f t="array" ref="E6777">IFS(D6777&lt;=$G$3,'calculated data '!$A$3,D6777&lt;=$G$4,'calculated data '!$A$4,D6777&lt;=$G$6,'calculated data '!$A$5,D6777&gt;=$G$6,'calculated data '!$A$6)</f>
        <v>Target Market (Core IQR)</v>
      </c>
      <c r="F6777" s="10">
        <f t="shared" si="1"/>
        <v>-0.1521879149</v>
      </c>
    </row>
    <row r="6778" ht="14.25" customHeight="1">
      <c r="A6778" s="2" t="s">
        <v>57</v>
      </c>
      <c r="B6778" s="2" t="s">
        <v>58</v>
      </c>
      <c r="C6778" s="2">
        <v>2008.0</v>
      </c>
      <c r="D6778" s="9">
        <v>19310.469</v>
      </c>
      <c r="E6778" s="10" t="str">
        <f t="array" ref="E6778">IFS(D6778&lt;=$G$3,'calculated data '!$A$3,D6778&lt;=$G$4,'calculated data '!$A$4,D6778&lt;=$G$6,'calculated data '!$A$5,D6778&gt;=$G$6,'calculated data '!$A$6)</f>
        <v>Target Market (Core IQR)</v>
      </c>
      <c r="F6778" s="10">
        <f t="shared" si="1"/>
        <v>-0.15202817</v>
      </c>
    </row>
    <row r="6779" ht="14.25" customHeight="1">
      <c r="A6779" s="2" t="s">
        <v>375</v>
      </c>
      <c r="B6779" s="2" t="s">
        <v>376</v>
      </c>
      <c r="C6779" s="2">
        <v>1969.0</v>
      </c>
      <c r="D6779" s="9">
        <v>19313.787</v>
      </c>
      <c r="E6779" s="10" t="str">
        <f t="array" ref="E6779">IFS(D6779&lt;=$G$3,'calculated data '!$A$3,D6779&lt;=$G$4,'calculated data '!$A$4,D6779&lt;=$G$6,'calculated data '!$A$5,D6779&gt;=$G$6,'calculated data '!$A$6)</f>
        <v>Target Market (Core IQR)</v>
      </c>
      <c r="F6779" s="10">
        <f t="shared" si="1"/>
        <v>-0.1519403434</v>
      </c>
    </row>
    <row r="6780" ht="14.25" customHeight="1">
      <c r="A6780" s="2" t="s">
        <v>357</v>
      </c>
      <c r="B6780" s="2" t="s">
        <v>358</v>
      </c>
      <c r="C6780" s="2">
        <v>2019.0</v>
      </c>
      <c r="D6780" s="9">
        <v>19319.297</v>
      </c>
      <c r="E6780" s="10" t="str">
        <f t="array" ref="E6780">IFS(D6780&lt;=$G$3,'calculated data '!$A$3,D6780&lt;=$G$4,'calculated data '!$A$4,D6780&lt;=$G$6,'calculated data '!$A$5,D6780&gt;=$G$6,'calculated data '!$A$6)</f>
        <v>Target Market (Core IQR)</v>
      </c>
      <c r="F6780" s="10">
        <f t="shared" si="1"/>
        <v>-0.151794495</v>
      </c>
    </row>
    <row r="6781" ht="14.25" customHeight="1">
      <c r="A6781" s="2" t="s">
        <v>47</v>
      </c>
      <c r="B6781" s="2" t="s">
        <v>48</v>
      </c>
      <c r="C6781" s="2">
        <v>2003.0</v>
      </c>
      <c r="D6781" s="9">
        <v>19323.348</v>
      </c>
      <c r="E6781" s="10" t="str">
        <f t="array" ref="E6781">IFS(D6781&lt;=$G$3,'calculated data '!$A$3,D6781&lt;=$G$4,'calculated data '!$A$4,D6781&lt;=$G$6,'calculated data '!$A$5,D6781&gt;=$G$6,'calculated data '!$A$6)</f>
        <v>Target Market (Core IQR)</v>
      </c>
      <c r="F6781" s="10">
        <f t="shared" si="1"/>
        <v>-0.1516872661</v>
      </c>
    </row>
    <row r="6782" ht="14.25" customHeight="1">
      <c r="A6782" s="2" t="s">
        <v>271</v>
      </c>
      <c r="B6782" s="2" t="s">
        <v>272</v>
      </c>
      <c r="C6782" s="2">
        <v>1991.0</v>
      </c>
      <c r="D6782" s="9">
        <v>19328.922</v>
      </c>
      <c r="E6782" s="10" t="str">
        <f t="array" ref="E6782">IFS(D6782&lt;=$G$3,'calculated data '!$A$3,D6782&lt;=$G$4,'calculated data '!$A$4,D6782&lt;=$G$6,'calculated data '!$A$5,D6782&gt;=$G$6,'calculated data '!$A$6)</f>
        <v>Target Market (Core IQR)</v>
      </c>
      <c r="F6782" s="10">
        <f t="shared" si="1"/>
        <v>-0.1515397237</v>
      </c>
    </row>
    <row r="6783" ht="14.25" customHeight="1">
      <c r="A6783" s="2" t="s">
        <v>303</v>
      </c>
      <c r="B6783" s="2" t="s">
        <v>304</v>
      </c>
      <c r="C6783" s="2">
        <v>2019.0</v>
      </c>
      <c r="D6783" s="9">
        <v>19338.586</v>
      </c>
      <c r="E6783" s="10" t="str">
        <f t="array" ref="E6783">IFS(D6783&lt;=$G$3,'calculated data '!$A$3,D6783&lt;=$G$4,'calculated data '!$A$4,D6783&lt;=$G$6,'calculated data '!$A$5,D6783&gt;=$G$6,'calculated data '!$A$6)</f>
        <v>Target Market (Core IQR)</v>
      </c>
      <c r="F6783" s="10">
        <f t="shared" si="1"/>
        <v>-0.15128392</v>
      </c>
    </row>
    <row r="6784" ht="14.25" customHeight="1">
      <c r="A6784" s="2" t="s">
        <v>141</v>
      </c>
      <c r="B6784" s="2" t="s">
        <v>142</v>
      </c>
      <c r="C6784" s="2">
        <v>2023.0</v>
      </c>
      <c r="D6784" s="9">
        <v>19346.57</v>
      </c>
      <c r="E6784" s="10" t="str">
        <f t="array" ref="E6784">IFS(D6784&lt;=$G$3,'calculated data '!$A$3,D6784&lt;=$G$4,'calculated data '!$A$4,D6784&lt;=$G$6,'calculated data '!$A$5,D6784&gt;=$G$6,'calculated data '!$A$6)</f>
        <v>Target Market (Core IQR)</v>
      </c>
      <c r="F6784" s="10">
        <f t="shared" si="1"/>
        <v>-0.1510725855</v>
      </c>
    </row>
    <row r="6785" ht="14.25" customHeight="1">
      <c r="A6785" s="2" t="s">
        <v>365</v>
      </c>
      <c r="B6785" s="2" t="s">
        <v>366</v>
      </c>
      <c r="C6785" s="2">
        <v>2006.0</v>
      </c>
      <c r="D6785" s="9">
        <v>19364.283</v>
      </c>
      <c r="E6785" s="10" t="str">
        <f t="array" ref="E6785">IFS(D6785&lt;=$G$3,'calculated data '!$A$3,D6785&lt;=$G$4,'calculated data '!$A$4,D6785&lt;=$G$6,'calculated data '!$A$5,D6785&gt;=$G$6,'calculated data '!$A$6)</f>
        <v>Target Market (Core IQR)</v>
      </c>
      <c r="F6785" s="10">
        <f t="shared" si="1"/>
        <v>-0.1506037268</v>
      </c>
    </row>
    <row r="6786" ht="14.25" customHeight="1">
      <c r="A6786" s="2" t="s">
        <v>355</v>
      </c>
      <c r="B6786" s="2" t="s">
        <v>356</v>
      </c>
      <c r="C6786" s="2">
        <v>1967.0</v>
      </c>
      <c r="D6786" s="9">
        <v>19367.084</v>
      </c>
      <c r="E6786" s="10" t="str">
        <f t="array" ref="E6786">IFS(D6786&lt;=$G$3,'calculated data '!$A$3,D6786&lt;=$G$4,'calculated data '!$A$4,D6786&lt;=$G$6,'calculated data '!$A$5,D6786&gt;=$G$6,'calculated data '!$A$6)</f>
        <v>Target Market (Core IQR)</v>
      </c>
      <c r="F6786" s="10">
        <f t="shared" si="1"/>
        <v>-0.150529585</v>
      </c>
    </row>
    <row r="6787" ht="14.25" customHeight="1">
      <c r="A6787" s="2" t="s">
        <v>309</v>
      </c>
      <c r="B6787" s="2" t="s">
        <v>310</v>
      </c>
      <c r="C6787" s="2">
        <v>1986.0</v>
      </c>
      <c r="D6787" s="9">
        <v>19369.373</v>
      </c>
      <c r="E6787" s="10" t="str">
        <f t="array" ref="E6787">IFS(D6787&lt;=$G$3,'calculated data '!$A$3,D6787&lt;=$G$4,'calculated data '!$A$4,D6787&lt;=$G$6,'calculated data '!$A$5,D6787&gt;=$G$6,'calculated data '!$A$6)</f>
        <v>Target Market (Core IQR)</v>
      </c>
      <c r="F6787" s="10">
        <f t="shared" si="1"/>
        <v>-0.1504689958</v>
      </c>
    </row>
    <row r="6788" ht="14.25" customHeight="1">
      <c r="A6788" s="2" t="s">
        <v>57</v>
      </c>
      <c r="B6788" s="2" t="s">
        <v>58</v>
      </c>
      <c r="C6788" s="2">
        <v>2007.0</v>
      </c>
      <c r="D6788" s="9">
        <v>19378.86</v>
      </c>
      <c r="E6788" s="10" t="str">
        <f t="array" ref="E6788">IFS(D6788&lt;=$G$3,'calculated data '!$A$3,D6788&lt;=$G$4,'calculated data '!$A$4,D6788&lt;=$G$6,'calculated data '!$A$5,D6788&gt;=$G$6,'calculated data '!$A$6)</f>
        <v>Target Market (Core IQR)</v>
      </c>
      <c r="F6788" s="10">
        <f t="shared" si="1"/>
        <v>-0.1502178773</v>
      </c>
    </row>
    <row r="6789" ht="14.25" customHeight="1">
      <c r="A6789" s="2" t="s">
        <v>357</v>
      </c>
      <c r="B6789" s="2" t="s">
        <v>358</v>
      </c>
      <c r="C6789" s="2">
        <v>2006.0</v>
      </c>
      <c r="D6789" s="9">
        <v>19381.166</v>
      </c>
      <c r="E6789" s="10" t="str">
        <f t="array" ref="E6789">IFS(D6789&lt;=$G$3,'calculated data '!$A$3,D6789&lt;=$G$4,'calculated data '!$A$4,D6789&lt;=$G$6,'calculated data '!$A$5,D6789&gt;=$G$6,'calculated data '!$A$6)</f>
        <v>Target Market (Core IQR)</v>
      </c>
      <c r="F6789" s="10">
        <f t="shared" si="1"/>
        <v>-0.150156838</v>
      </c>
    </row>
    <row r="6790" ht="14.25" customHeight="1">
      <c r="A6790" s="2" t="s">
        <v>197</v>
      </c>
      <c r="B6790" s="2" t="s">
        <v>198</v>
      </c>
      <c r="C6790" s="2">
        <v>2009.0</v>
      </c>
      <c r="D6790" s="9">
        <v>19387.033</v>
      </c>
      <c r="E6790" s="10" t="str">
        <f t="array" ref="E6790">IFS(D6790&lt;=$G$3,'calculated data '!$A$3,D6790&lt;=$G$4,'calculated data '!$A$4,D6790&lt;=$G$6,'calculated data '!$A$5,D6790&gt;=$G$6,'calculated data '!$A$6)</f>
        <v>Target Market (Core IQR)</v>
      </c>
      <c r="F6790" s="10">
        <f t="shared" si="1"/>
        <v>-0.15000154</v>
      </c>
    </row>
    <row r="6791" ht="14.25" customHeight="1">
      <c r="A6791" s="2" t="s">
        <v>361</v>
      </c>
      <c r="B6791" s="2" t="s">
        <v>362</v>
      </c>
      <c r="C6791" s="2">
        <v>2000.0</v>
      </c>
      <c r="D6791" s="9">
        <v>19398.836</v>
      </c>
      <c r="E6791" s="10" t="str">
        <f t="array" ref="E6791">IFS(D6791&lt;=$G$3,'calculated data '!$A$3,D6791&lt;=$G$4,'calculated data '!$A$4,D6791&lt;=$G$6,'calculated data '!$A$5,D6791&gt;=$G$6,'calculated data '!$A$6)</f>
        <v>Target Market (Core IQR)</v>
      </c>
      <c r="F6791" s="10">
        <f t="shared" si="1"/>
        <v>-0.1496891175</v>
      </c>
    </row>
    <row r="6792" ht="14.25" customHeight="1">
      <c r="A6792" s="2" t="s">
        <v>341</v>
      </c>
      <c r="B6792" s="2" t="s">
        <v>342</v>
      </c>
      <c r="C6792" s="2">
        <v>2002.0</v>
      </c>
      <c r="D6792" s="9">
        <v>19399.074</v>
      </c>
      <c r="E6792" s="10" t="str">
        <f t="array" ref="E6792">IFS(D6792&lt;=$G$3,'calculated data '!$A$3,D6792&lt;=$G$4,'calculated data '!$A$4,D6792&lt;=$G$6,'calculated data '!$A$5,D6792&gt;=$G$6,'calculated data '!$A$6)</f>
        <v>Target Market (Core IQR)</v>
      </c>
      <c r="F6792" s="10">
        <f t="shared" si="1"/>
        <v>-0.1496828177</v>
      </c>
    </row>
    <row r="6793" ht="14.25" customHeight="1">
      <c r="A6793" s="2" t="s">
        <v>357</v>
      </c>
      <c r="B6793" s="2" t="s">
        <v>358</v>
      </c>
      <c r="C6793" s="2">
        <v>2009.0</v>
      </c>
      <c r="D6793" s="9">
        <v>19402.906</v>
      </c>
      <c r="E6793" s="10" t="str">
        <f t="array" ref="E6793">IFS(D6793&lt;=$G$3,'calculated data '!$A$3,D6793&lt;=$G$4,'calculated data '!$A$4,D6793&lt;=$G$6,'calculated data '!$A$5,D6793&gt;=$G$6,'calculated data '!$A$6)</f>
        <v>Target Market (Core IQR)</v>
      </c>
      <c r="F6793" s="10">
        <f t="shared" si="1"/>
        <v>-0.1495813856</v>
      </c>
    </row>
    <row r="6794" ht="14.25" customHeight="1">
      <c r="A6794" s="2" t="s">
        <v>57</v>
      </c>
      <c r="B6794" s="2" t="s">
        <v>58</v>
      </c>
      <c r="C6794" s="2">
        <v>2010.0</v>
      </c>
      <c r="D6794" s="9">
        <v>19403.36</v>
      </c>
      <c r="E6794" s="10" t="str">
        <f t="array" ref="E6794">IFS(D6794&lt;=$G$3,'calculated data '!$A$3,D6794&lt;=$G$4,'calculated data '!$A$4,D6794&lt;=$G$6,'calculated data '!$A$5,D6794&gt;=$G$6,'calculated data '!$A$6)</f>
        <v>Target Market (Core IQR)</v>
      </c>
      <c r="F6794" s="10">
        <f t="shared" si="1"/>
        <v>-0.1495693684</v>
      </c>
    </row>
    <row r="6795" ht="14.25" customHeight="1">
      <c r="A6795" s="2" t="s">
        <v>357</v>
      </c>
      <c r="B6795" s="2" t="s">
        <v>358</v>
      </c>
      <c r="C6795" s="2">
        <v>2024.0</v>
      </c>
      <c r="D6795" s="9">
        <v>19403.85</v>
      </c>
      <c r="E6795" s="10" t="str">
        <f t="array" ref="E6795">IFS(D6795&lt;=$G$3,'calculated data '!$A$3,D6795&lt;=$G$4,'calculated data '!$A$4,D6795&lt;=$G$6,'calculated data '!$A$5,D6795&gt;=$G$6,'calculated data '!$A$6)</f>
        <v>Target Market (Core IQR)</v>
      </c>
      <c r="F6795" s="10">
        <f t="shared" si="1"/>
        <v>-0.1495563982</v>
      </c>
    </row>
    <row r="6796" ht="14.25" customHeight="1">
      <c r="A6796" s="2" t="s">
        <v>323</v>
      </c>
      <c r="B6796" s="2" t="s">
        <v>324</v>
      </c>
      <c r="C6796" s="2">
        <v>2024.0</v>
      </c>
      <c r="D6796" s="9">
        <v>19406.736</v>
      </c>
      <c r="E6796" s="10" t="str">
        <f t="array" ref="E6796">IFS(D6796&lt;=$G$3,'calculated data '!$A$3,D6796&lt;=$G$4,'calculated data '!$A$4,D6796&lt;=$G$6,'calculated data '!$A$5,D6796&gt;=$G$6,'calculated data '!$A$6)</f>
        <v>Target Market (Core IQR)</v>
      </c>
      <c r="F6796" s="10">
        <f t="shared" si="1"/>
        <v>-0.1494800065</v>
      </c>
    </row>
    <row r="6797" ht="14.25" customHeight="1">
      <c r="A6797" s="2" t="s">
        <v>141</v>
      </c>
      <c r="B6797" s="2" t="s">
        <v>142</v>
      </c>
      <c r="C6797" s="2">
        <v>2025.0</v>
      </c>
      <c r="D6797" s="9">
        <v>19424.594</v>
      </c>
      <c r="E6797" s="10" t="str">
        <f t="array" ref="E6797">IFS(D6797&lt;=$G$3,'calculated data '!$A$3,D6797&lt;=$G$4,'calculated data '!$A$4,D6797&lt;=$G$6,'calculated data '!$A$5,D6797&gt;=$G$6,'calculated data '!$A$6)</f>
        <v>Target Market (Core IQR)</v>
      </c>
      <c r="F6797" s="10">
        <f t="shared" si="1"/>
        <v>-0.1490073097</v>
      </c>
    </row>
    <row r="6798" ht="14.25" customHeight="1">
      <c r="A6798" s="2" t="s">
        <v>351</v>
      </c>
      <c r="B6798" s="2" t="s">
        <v>352</v>
      </c>
      <c r="C6798" s="2">
        <v>2008.0</v>
      </c>
      <c r="D6798" s="9">
        <v>19432.994</v>
      </c>
      <c r="E6798" s="10" t="str">
        <f t="array" ref="E6798">IFS(D6798&lt;=$G$3,'calculated data '!$A$3,D6798&lt;=$G$4,'calculated data '!$A$4,D6798&lt;=$G$6,'calculated data '!$A$5,D6798&gt;=$G$6,'calculated data '!$A$6)</f>
        <v>Target Market (Core IQR)</v>
      </c>
      <c r="F6798" s="10">
        <f t="shared" si="1"/>
        <v>-0.1487849638</v>
      </c>
    </row>
    <row r="6799" ht="14.25" customHeight="1">
      <c r="A6799" s="2" t="s">
        <v>57</v>
      </c>
      <c r="B6799" s="2" t="s">
        <v>58</v>
      </c>
      <c r="C6799" s="2">
        <v>2016.0</v>
      </c>
      <c r="D6799" s="9">
        <v>19434.057</v>
      </c>
      <c r="E6799" s="10" t="str">
        <f t="array" ref="E6799">IFS(D6799&lt;=$G$3,'calculated data '!$A$3,D6799&lt;=$G$4,'calculated data '!$A$4,D6799&lt;=$G$6,'calculated data '!$A$5,D6799&gt;=$G$6,'calculated data '!$A$6)</f>
        <v>Target Market (Core IQR)</v>
      </c>
      <c r="F6799" s="10">
        <f t="shared" si="1"/>
        <v>-0.1487568264</v>
      </c>
    </row>
    <row r="6800" ht="14.25" customHeight="1">
      <c r="A6800" s="2" t="s">
        <v>373</v>
      </c>
      <c r="B6800" s="2" t="s">
        <v>374</v>
      </c>
      <c r="C6800" s="2">
        <v>2021.0</v>
      </c>
      <c r="D6800" s="9">
        <v>19455.912</v>
      </c>
      <c r="E6800" s="10" t="str">
        <f t="array" ref="E6800">IFS(D6800&lt;=$G$3,'calculated data '!$A$3,D6800&lt;=$G$4,'calculated data '!$A$4,D6800&lt;=$G$6,'calculated data '!$A$5,D6800&gt;=$G$6,'calculated data '!$A$6)</f>
        <v>Target Market (Core IQR)</v>
      </c>
      <c r="F6800" s="10">
        <f t="shared" si="1"/>
        <v>-0.14817833</v>
      </c>
    </row>
    <row r="6801" ht="14.25" customHeight="1">
      <c r="A6801" s="2" t="s">
        <v>377</v>
      </c>
      <c r="B6801" s="2" t="s">
        <v>378</v>
      </c>
      <c r="C6801" s="2">
        <v>1988.0</v>
      </c>
      <c r="D6801" s="9">
        <v>19459.082</v>
      </c>
      <c r="E6801" s="10" t="str">
        <f t="array" ref="E6801">IFS(D6801&lt;=$G$3,'calculated data '!$A$3,D6801&lt;=$G$4,'calculated data '!$A$4,D6801&lt;=$G$6,'calculated data '!$A$5,D6801&gt;=$G$6,'calculated data '!$A$6)</f>
        <v>Target Market (Core IQR)</v>
      </c>
      <c r="F6801" s="10">
        <f t="shared" si="1"/>
        <v>-0.1480944209</v>
      </c>
    </row>
    <row r="6802" ht="14.25" customHeight="1">
      <c r="A6802" s="2" t="s">
        <v>331</v>
      </c>
      <c r="B6802" s="2" t="s">
        <v>332</v>
      </c>
      <c r="C6802" s="2">
        <v>1981.0</v>
      </c>
      <c r="D6802" s="9">
        <v>19463.037</v>
      </c>
      <c r="E6802" s="10" t="str">
        <f t="array" ref="E6802">IFS(D6802&lt;=$G$3,'calculated data '!$A$3,D6802&lt;=$G$4,'calculated data '!$A$4,D6802&lt;=$G$6,'calculated data '!$A$5,D6802&gt;=$G$6,'calculated data '!$A$6)</f>
        <v>Target Market (Core IQR)</v>
      </c>
      <c r="F6802" s="10">
        <f t="shared" si="1"/>
        <v>-0.147989733</v>
      </c>
    </row>
    <row r="6803" ht="14.25" customHeight="1">
      <c r="A6803" s="2" t="s">
        <v>351</v>
      </c>
      <c r="B6803" s="2" t="s">
        <v>352</v>
      </c>
      <c r="C6803" s="2">
        <v>2012.0</v>
      </c>
      <c r="D6803" s="9">
        <v>19465.988</v>
      </c>
      <c r="E6803" s="10" t="str">
        <f t="array" ref="E6803">IFS(D6803&lt;=$G$3,'calculated data '!$A$3,D6803&lt;=$G$4,'calculated data '!$A$4,D6803&lt;=$G$6,'calculated data '!$A$5,D6803&gt;=$G$6,'calculated data '!$A$6)</f>
        <v>Target Market (Core IQR)</v>
      </c>
      <c r="F6803" s="10">
        <f t="shared" si="1"/>
        <v>-0.1479116208</v>
      </c>
    </row>
    <row r="6804" ht="14.25" customHeight="1">
      <c r="A6804" s="2" t="s">
        <v>279</v>
      </c>
      <c r="B6804" s="2" t="s">
        <v>280</v>
      </c>
      <c r="C6804" s="2">
        <v>1984.0</v>
      </c>
      <c r="D6804" s="9">
        <v>19466.447</v>
      </c>
      <c r="E6804" s="10" t="str">
        <f t="array" ref="E6804">IFS(D6804&lt;=$G$3,'calculated data '!$A$3,D6804&lt;=$G$4,'calculated data '!$A$4,D6804&lt;=$G$6,'calculated data '!$A$5,D6804&gt;=$G$6,'calculated data '!$A$6)</f>
        <v>Target Market (Core IQR)</v>
      </c>
      <c r="F6804" s="10">
        <f t="shared" si="1"/>
        <v>-0.1478994712</v>
      </c>
    </row>
    <row r="6805" ht="14.25" customHeight="1">
      <c r="A6805" s="2" t="s">
        <v>355</v>
      </c>
      <c r="B6805" s="2" t="s">
        <v>356</v>
      </c>
      <c r="C6805" s="2">
        <v>1965.0</v>
      </c>
      <c r="D6805" s="9">
        <v>19468.932</v>
      </c>
      <c r="E6805" s="10" t="str">
        <f t="array" ref="E6805">IFS(D6805&lt;=$G$3,'calculated data '!$A$3,D6805&lt;=$G$4,'calculated data '!$A$4,D6805&lt;=$G$6,'calculated data '!$A$5,D6805&gt;=$G$6,'calculated data '!$A$6)</f>
        <v>Target Market (Core IQR)</v>
      </c>
      <c r="F6805" s="10">
        <f t="shared" si="1"/>
        <v>-0.1478336939</v>
      </c>
    </row>
    <row r="6806" ht="14.25" customHeight="1">
      <c r="A6806" s="2" t="s">
        <v>235</v>
      </c>
      <c r="B6806" s="2" t="s">
        <v>236</v>
      </c>
      <c r="C6806" s="2">
        <v>1980.0</v>
      </c>
      <c r="D6806" s="9">
        <v>19474.848</v>
      </c>
      <c r="E6806" s="10" t="str">
        <f t="array" ref="E6806">IFS(D6806&lt;=$G$3,'calculated data '!$A$3,D6806&lt;=$G$4,'calculated data '!$A$4,D6806&lt;=$G$6,'calculated data '!$A$5,D6806&gt;=$G$6,'calculated data '!$A$6)</f>
        <v>Target Market (Core IQR)</v>
      </c>
      <c r="F6806" s="10">
        <f t="shared" si="1"/>
        <v>-0.1476770988</v>
      </c>
    </row>
    <row r="6807" ht="14.25" customHeight="1">
      <c r="A6807" s="2" t="s">
        <v>57</v>
      </c>
      <c r="B6807" s="2" t="s">
        <v>58</v>
      </c>
      <c r="C6807" s="2">
        <v>2015.0</v>
      </c>
      <c r="D6807" s="9">
        <v>19476.578</v>
      </c>
      <c r="E6807" s="10" t="str">
        <f t="array" ref="E6807">IFS(D6807&lt;=$G$3,'calculated data '!$A$3,D6807&lt;=$G$4,'calculated data '!$A$4,D6807&lt;=$G$6,'calculated data '!$A$5,D6807&gt;=$G$6,'calculated data '!$A$6)</f>
        <v>Target Market (Core IQR)</v>
      </c>
      <c r="F6807" s="10">
        <f t="shared" si="1"/>
        <v>-0.1476313061</v>
      </c>
    </row>
    <row r="6808" ht="14.25" customHeight="1">
      <c r="A6808" s="2" t="s">
        <v>241</v>
      </c>
      <c r="B6808" s="2" t="s">
        <v>242</v>
      </c>
      <c r="C6808" s="2">
        <v>2018.0</v>
      </c>
      <c r="D6808" s="9">
        <v>19499.125</v>
      </c>
      <c r="E6808" s="10" t="str">
        <f t="array" ref="E6808">IFS(D6808&lt;=$G$3,'calculated data '!$A$3,D6808&lt;=$G$4,'calculated data '!$A$4,D6808&lt;=$G$6,'calculated data '!$A$5,D6808&gt;=$G$6,'calculated data '!$A$6)</f>
        <v>Target Market (Core IQR)</v>
      </c>
      <c r="F6808" s="10">
        <f t="shared" si="1"/>
        <v>-0.1470344927</v>
      </c>
    </row>
    <row r="6809" ht="14.25" customHeight="1">
      <c r="A6809" s="2" t="s">
        <v>351</v>
      </c>
      <c r="B6809" s="2" t="s">
        <v>352</v>
      </c>
      <c r="C6809" s="2">
        <v>2015.0</v>
      </c>
      <c r="D6809" s="9">
        <v>19504.727</v>
      </c>
      <c r="E6809" s="10" t="str">
        <f t="array" ref="E6809">IFS(D6809&lt;=$G$3,'calculated data '!$A$3,D6809&lt;=$G$4,'calculated data '!$A$4,D6809&lt;=$G$6,'calculated data '!$A$5,D6809&gt;=$G$6,'calculated data '!$A$6)</f>
        <v>Target Market (Core IQR)</v>
      </c>
      <c r="F6809" s="10">
        <f t="shared" si="1"/>
        <v>-0.1468862091</v>
      </c>
    </row>
    <row r="6810" ht="14.25" customHeight="1">
      <c r="A6810" s="2" t="s">
        <v>351</v>
      </c>
      <c r="B6810" s="2" t="s">
        <v>352</v>
      </c>
      <c r="C6810" s="2">
        <v>2013.0</v>
      </c>
      <c r="D6810" s="9">
        <v>19508.863</v>
      </c>
      <c r="E6810" s="10" t="str">
        <f t="array" ref="E6810">IFS(D6810&lt;=$G$3,'calculated data '!$A$3,D6810&lt;=$G$4,'calculated data '!$A$4,D6810&lt;=$G$6,'calculated data '!$A$5,D6810&gt;=$G$6,'calculated data '!$A$6)</f>
        <v>Target Market (Core IQR)</v>
      </c>
      <c r="F6810" s="10">
        <f t="shared" si="1"/>
        <v>-0.1467767302</v>
      </c>
    </row>
    <row r="6811" ht="14.25" customHeight="1">
      <c r="A6811" s="2" t="s">
        <v>127</v>
      </c>
      <c r="B6811" s="2" t="s">
        <v>128</v>
      </c>
      <c r="C6811" s="2">
        <v>2023.0</v>
      </c>
      <c r="D6811" s="9">
        <v>19511.662</v>
      </c>
      <c r="E6811" s="10" t="str">
        <f t="array" ref="E6811">IFS(D6811&lt;=$G$3,'calculated data '!$A$3,D6811&lt;=$G$4,'calculated data '!$A$4,D6811&lt;=$G$6,'calculated data '!$A$5,D6811&gt;=$G$6,'calculated data '!$A$6)</f>
        <v>Target Market (Core IQR)</v>
      </c>
      <c r="F6811" s="10">
        <f t="shared" si="1"/>
        <v>-0.1467026414</v>
      </c>
    </row>
    <row r="6812" ht="14.25" customHeight="1">
      <c r="A6812" s="2" t="s">
        <v>331</v>
      </c>
      <c r="B6812" s="2" t="s">
        <v>332</v>
      </c>
      <c r="C6812" s="2">
        <v>1982.0</v>
      </c>
      <c r="D6812" s="9">
        <v>19539.002</v>
      </c>
      <c r="E6812" s="10" t="str">
        <f t="array" ref="E6812">IFS(D6812&lt;=$G$3,'calculated data '!$A$3,D6812&lt;=$G$4,'calculated data '!$A$4,D6812&lt;=$G$6,'calculated data '!$A$5,D6812&gt;=$G$6,'calculated data '!$A$6)</f>
        <v>Target Market (Core IQR)</v>
      </c>
      <c r="F6812" s="10">
        <f t="shared" si="1"/>
        <v>-0.1459789584</v>
      </c>
    </row>
    <row r="6813" ht="14.25" customHeight="1">
      <c r="A6813" s="2" t="s">
        <v>377</v>
      </c>
      <c r="B6813" s="2" t="s">
        <v>378</v>
      </c>
      <c r="C6813" s="2">
        <v>1985.0</v>
      </c>
      <c r="D6813" s="9">
        <v>19546.562</v>
      </c>
      <c r="E6813" s="10" t="str">
        <f t="array" ref="E6813">IFS(D6813&lt;=$G$3,'calculated data '!$A$3,D6813&lt;=$G$4,'calculated data '!$A$4,D6813&lt;=$G$6,'calculated data '!$A$5,D6813&gt;=$G$6,'calculated data '!$A$6)</f>
        <v>Target Market (Core IQR)</v>
      </c>
      <c r="F6813" s="10">
        <f t="shared" si="1"/>
        <v>-0.1457788471</v>
      </c>
    </row>
    <row r="6814" ht="14.25" customHeight="1">
      <c r="A6814" s="2" t="s">
        <v>377</v>
      </c>
      <c r="B6814" s="2" t="s">
        <v>378</v>
      </c>
      <c r="C6814" s="2">
        <v>1987.0</v>
      </c>
      <c r="D6814" s="9">
        <v>19555.006</v>
      </c>
      <c r="E6814" s="10" t="str">
        <f t="array" ref="E6814">IFS(D6814&lt;=$G$3,'calculated data '!$A$3,D6814&lt;=$G$4,'calculated data '!$A$4,D6814&lt;=$G$6,'calculated data '!$A$5,D6814&gt;=$G$6,'calculated data '!$A$6)</f>
        <v>Target Market (Core IQR)</v>
      </c>
      <c r="F6814" s="10">
        <f t="shared" si="1"/>
        <v>-0.1455553365</v>
      </c>
    </row>
    <row r="6815" ht="14.25" customHeight="1">
      <c r="A6815" s="2" t="s">
        <v>57</v>
      </c>
      <c r="B6815" s="2" t="s">
        <v>58</v>
      </c>
      <c r="C6815" s="2">
        <v>2021.0</v>
      </c>
      <c r="D6815" s="9">
        <v>19556.156</v>
      </c>
      <c r="E6815" s="10" t="str">
        <f t="array" ref="E6815">IFS(D6815&lt;=$G$3,'calculated data '!$A$3,D6815&lt;=$G$4,'calculated data '!$A$4,D6815&lt;=$G$6,'calculated data '!$A$5,D6815&gt;=$G$6,'calculated data '!$A$6)</f>
        <v>Target Market (Core IQR)</v>
      </c>
      <c r="F6815" s="10">
        <f t="shared" si="1"/>
        <v>-0.1455248963</v>
      </c>
    </row>
    <row r="6816" ht="14.25" customHeight="1">
      <c r="A6816" s="2" t="s">
        <v>361</v>
      </c>
      <c r="B6816" s="2" t="s">
        <v>362</v>
      </c>
      <c r="C6816" s="2">
        <v>1998.0</v>
      </c>
      <c r="D6816" s="9">
        <v>19557.477</v>
      </c>
      <c r="E6816" s="10" t="str">
        <f t="array" ref="E6816">IFS(D6816&lt;=$G$3,'calculated data '!$A$3,D6816&lt;=$G$4,'calculated data '!$A$4,D6816&lt;=$G$6,'calculated data '!$A$5,D6816&gt;=$G$6,'calculated data '!$A$6)</f>
        <v>Target Market (Core IQR)</v>
      </c>
      <c r="F6816" s="10">
        <f t="shared" si="1"/>
        <v>-0.1454899298</v>
      </c>
    </row>
    <row r="6817" ht="14.25" customHeight="1">
      <c r="A6817" s="2" t="s">
        <v>57</v>
      </c>
      <c r="B6817" s="2" t="s">
        <v>58</v>
      </c>
      <c r="C6817" s="2">
        <v>2014.0</v>
      </c>
      <c r="D6817" s="9">
        <v>19563.242</v>
      </c>
      <c r="E6817" s="10" t="str">
        <f t="array" ref="E6817">IFS(D6817&lt;=$G$3,'calculated data '!$A$3,D6817&lt;=$G$4,'calculated data '!$A$4,D6817&lt;=$G$6,'calculated data '!$A$5,D6817&gt;=$G$6,'calculated data '!$A$6)</f>
        <v>Target Market (Core IQR)</v>
      </c>
      <c r="F6817" s="10">
        <f t="shared" si="1"/>
        <v>-0.1453373316</v>
      </c>
    </row>
    <row r="6818" ht="14.25" customHeight="1">
      <c r="A6818" s="2" t="s">
        <v>351</v>
      </c>
      <c r="B6818" s="2" t="s">
        <v>352</v>
      </c>
      <c r="C6818" s="2">
        <v>2007.0</v>
      </c>
      <c r="D6818" s="9">
        <v>19573.543</v>
      </c>
      <c r="E6818" s="10" t="str">
        <f t="array" ref="E6818">IFS(D6818&lt;=$G$3,'calculated data '!$A$3,D6818&lt;=$G$4,'calculated data '!$A$4,D6818&lt;=$G$6,'calculated data '!$A$5,D6818&gt;=$G$6,'calculated data '!$A$6)</f>
        <v>Target Market (Core IQR)</v>
      </c>
      <c r="F6818" s="10">
        <f t="shared" si="1"/>
        <v>-0.1450646667</v>
      </c>
    </row>
    <row r="6819" ht="14.25" customHeight="1">
      <c r="A6819" s="2" t="s">
        <v>341</v>
      </c>
      <c r="B6819" s="2" t="s">
        <v>342</v>
      </c>
      <c r="C6819" s="2">
        <v>2003.0</v>
      </c>
      <c r="D6819" s="9">
        <v>19575.773</v>
      </c>
      <c r="E6819" s="10" t="str">
        <f t="array" ref="E6819">IFS(D6819&lt;=$G$3,'calculated data '!$A$3,D6819&lt;=$G$4,'calculated data '!$A$4,D6819&lt;=$G$6,'calculated data '!$A$5,D6819&gt;=$G$6,'calculated data '!$A$6)</f>
        <v>Target Market (Core IQR)</v>
      </c>
      <c r="F6819" s="10">
        <f t="shared" si="1"/>
        <v>-0.1450056392</v>
      </c>
    </row>
    <row r="6820" ht="14.25" customHeight="1">
      <c r="A6820" s="2" t="s">
        <v>355</v>
      </c>
      <c r="B6820" s="2" t="s">
        <v>356</v>
      </c>
      <c r="C6820" s="2">
        <v>1969.0</v>
      </c>
      <c r="D6820" s="9">
        <v>19576.537</v>
      </c>
      <c r="E6820" s="10" t="str">
        <f t="array" ref="E6820">IFS(D6820&lt;=$G$3,'calculated data '!$A$3,D6820&lt;=$G$4,'calculated data '!$A$4,D6820&lt;=$G$6,'calculated data '!$A$5,D6820&gt;=$G$6,'calculated data '!$A$6)</f>
        <v>Target Market (Core IQR)</v>
      </c>
      <c r="F6820" s="10">
        <f t="shared" si="1"/>
        <v>-0.1449854163</v>
      </c>
    </row>
    <row r="6821" ht="14.25" customHeight="1">
      <c r="A6821" s="2" t="s">
        <v>349</v>
      </c>
      <c r="B6821" s="2" t="s">
        <v>350</v>
      </c>
      <c r="C6821" s="2">
        <v>2024.0</v>
      </c>
      <c r="D6821" s="9">
        <v>19576.99</v>
      </c>
      <c r="E6821" s="10" t="str">
        <f t="array" ref="E6821">IFS(D6821&lt;=$G$3,'calculated data '!$A$3,D6821&lt;=$G$4,'calculated data '!$A$4,D6821&lt;=$G$6,'calculated data '!$A$5,D6821&gt;=$G$6,'calculated data '!$A$6)</f>
        <v>Target Market (Core IQR)</v>
      </c>
      <c r="F6821" s="10">
        <f t="shared" si="1"/>
        <v>-0.1449734255</v>
      </c>
    </row>
    <row r="6822" ht="14.25" customHeight="1">
      <c r="A6822" s="2" t="s">
        <v>277</v>
      </c>
      <c r="B6822" s="2" t="s">
        <v>278</v>
      </c>
      <c r="C6822" s="2">
        <v>2006.0</v>
      </c>
      <c r="D6822" s="9">
        <v>19577.293</v>
      </c>
      <c r="E6822" s="10" t="str">
        <f t="array" ref="E6822">IFS(D6822&lt;=$G$3,'calculated data '!$A$3,D6822&lt;=$G$4,'calculated data '!$A$4,D6822&lt;=$G$6,'calculated data '!$A$5,D6822&gt;=$G$6,'calculated data '!$A$6)</f>
        <v>Target Market (Core IQR)</v>
      </c>
      <c r="F6822" s="10">
        <f t="shared" si="1"/>
        <v>-0.1449654052</v>
      </c>
    </row>
    <row r="6823" ht="14.25" customHeight="1">
      <c r="A6823" s="2" t="s">
        <v>57</v>
      </c>
      <c r="B6823" s="2" t="s">
        <v>58</v>
      </c>
      <c r="C6823" s="2">
        <v>2012.0</v>
      </c>
      <c r="D6823" s="9">
        <v>19578.074</v>
      </c>
      <c r="E6823" s="10" t="str">
        <f t="array" ref="E6823">IFS(D6823&lt;=$G$3,'calculated data '!$A$3,D6823&lt;=$G$4,'calculated data '!$A$4,D6823&lt;=$G$6,'calculated data '!$A$5,D6823&gt;=$G$6,'calculated data '!$A$6)</f>
        <v>Target Market (Core IQR)</v>
      </c>
      <c r="F6823" s="10">
        <f t="shared" si="1"/>
        <v>-0.1449447323</v>
      </c>
    </row>
    <row r="6824" ht="14.25" customHeight="1">
      <c r="A6824" s="2" t="s">
        <v>327</v>
      </c>
      <c r="B6824" s="2" t="s">
        <v>328</v>
      </c>
      <c r="C6824" s="2">
        <v>2007.0</v>
      </c>
      <c r="D6824" s="9">
        <v>19579.225</v>
      </c>
      <c r="E6824" s="10" t="str">
        <f t="array" ref="E6824">IFS(D6824&lt;=$G$3,'calculated data '!$A$3,D6824&lt;=$G$4,'calculated data '!$A$4,D6824&lt;=$G$6,'calculated data '!$A$5,D6824&gt;=$G$6,'calculated data '!$A$6)</f>
        <v>Target Market (Core IQR)</v>
      </c>
      <c r="F6824" s="10">
        <f t="shared" si="1"/>
        <v>-0.1449142656</v>
      </c>
    </row>
    <row r="6825" ht="14.25" customHeight="1">
      <c r="A6825" s="2" t="s">
        <v>57</v>
      </c>
      <c r="B6825" s="2" t="s">
        <v>58</v>
      </c>
      <c r="C6825" s="2">
        <v>2017.0</v>
      </c>
      <c r="D6825" s="9">
        <v>19583.408</v>
      </c>
      <c r="E6825" s="10" t="str">
        <f t="array" ref="E6825">IFS(D6825&lt;=$G$3,'calculated data '!$A$3,D6825&lt;=$G$4,'calculated data '!$A$4,D6825&lt;=$G$6,'calculated data '!$A$5,D6825&gt;=$G$6,'calculated data '!$A$6)</f>
        <v>Target Market (Core IQR)</v>
      </c>
      <c r="F6825" s="10">
        <f t="shared" si="1"/>
        <v>-0.1448035426</v>
      </c>
    </row>
    <row r="6826" ht="14.25" customHeight="1">
      <c r="A6826" s="2" t="s">
        <v>39</v>
      </c>
      <c r="B6826" s="2" t="s">
        <v>40</v>
      </c>
      <c r="C6826" s="2">
        <v>1997.0</v>
      </c>
      <c r="D6826" s="9">
        <v>19587.996</v>
      </c>
      <c r="E6826" s="10" t="str">
        <f t="array" ref="E6826">IFS(D6826&lt;=$G$3,'calculated data '!$A$3,D6826&lt;=$G$4,'calculated data '!$A$4,D6826&lt;=$G$6,'calculated data '!$A$5,D6826&gt;=$G$6,'calculated data '!$A$6)</f>
        <v>Target Market (Core IQR)</v>
      </c>
      <c r="F6826" s="10">
        <f t="shared" si="1"/>
        <v>-0.1446820994</v>
      </c>
    </row>
    <row r="6827" ht="14.25" customHeight="1">
      <c r="A6827" s="2" t="s">
        <v>57</v>
      </c>
      <c r="B6827" s="2" t="s">
        <v>58</v>
      </c>
      <c r="C6827" s="2">
        <v>2011.0</v>
      </c>
      <c r="D6827" s="9">
        <v>19590.123</v>
      </c>
      <c r="E6827" s="10" t="str">
        <f t="array" ref="E6827">IFS(D6827&lt;=$G$3,'calculated data '!$A$3,D6827&lt;=$G$4,'calculated data '!$A$4,D6827&lt;=$G$6,'calculated data '!$A$5,D6827&gt;=$G$6,'calculated data '!$A$6)</f>
        <v>Target Market (Core IQR)</v>
      </c>
      <c r="F6827" s="10">
        <f t="shared" si="1"/>
        <v>-0.1446257983</v>
      </c>
    </row>
    <row r="6828" ht="14.25" customHeight="1">
      <c r="A6828" s="2" t="s">
        <v>291</v>
      </c>
      <c r="B6828" s="2" t="s">
        <v>292</v>
      </c>
      <c r="C6828" s="2">
        <v>2023.0</v>
      </c>
      <c r="D6828" s="9">
        <v>19590.139</v>
      </c>
      <c r="E6828" s="10" t="str">
        <f t="array" ref="E6828">IFS(D6828&lt;=$G$3,'calculated data '!$A$3,D6828&lt;=$G$4,'calculated data '!$A$4,D6828&lt;=$G$6,'calculated data '!$A$5,D6828&gt;=$G$6,'calculated data '!$A$6)</f>
        <v>Target Market (Core IQR)</v>
      </c>
      <c r="F6828" s="10">
        <f t="shared" si="1"/>
        <v>-0.1446253748</v>
      </c>
    </row>
    <row r="6829" ht="14.25" customHeight="1">
      <c r="A6829" s="2" t="s">
        <v>341</v>
      </c>
      <c r="B6829" s="2" t="s">
        <v>342</v>
      </c>
      <c r="C6829" s="2">
        <v>1998.0</v>
      </c>
      <c r="D6829" s="9">
        <v>19597.389</v>
      </c>
      <c r="E6829" s="10" t="str">
        <f t="array" ref="E6829">IFS(D6829&lt;=$G$3,'calculated data '!$A$3,D6829&lt;=$G$4,'calculated data '!$A$4,D6829&lt;=$G$6,'calculated data '!$A$5,D6829&gt;=$G$6,'calculated data '!$A$6)</f>
        <v>Target Market (Core IQR)</v>
      </c>
      <c r="F6829" s="10">
        <f t="shared" si="1"/>
        <v>-0.1444334691</v>
      </c>
    </row>
    <row r="6830" ht="14.25" customHeight="1">
      <c r="A6830" s="2" t="s">
        <v>317</v>
      </c>
      <c r="B6830" s="2" t="s">
        <v>318</v>
      </c>
      <c r="C6830" s="2">
        <v>2018.0</v>
      </c>
      <c r="D6830" s="9">
        <v>19611.186</v>
      </c>
      <c r="E6830" s="10" t="str">
        <f t="array" ref="E6830">IFS(D6830&lt;=$G$3,'calculated data '!$A$3,D6830&lt;=$G$4,'calculated data '!$A$4,D6830&lt;=$G$6,'calculated data '!$A$5,D6830&gt;=$G$6,'calculated data '!$A$6)</f>
        <v>Target Market (Core IQR)</v>
      </c>
      <c r="F6830" s="10">
        <f t="shared" si="1"/>
        <v>-0.1440682659</v>
      </c>
    </row>
    <row r="6831" ht="14.25" customHeight="1">
      <c r="A6831" s="2" t="s">
        <v>57</v>
      </c>
      <c r="B6831" s="2" t="s">
        <v>58</v>
      </c>
      <c r="C6831" s="2">
        <v>2013.0</v>
      </c>
      <c r="D6831" s="9">
        <v>19627.053</v>
      </c>
      <c r="E6831" s="10" t="str">
        <f t="array" ref="E6831">IFS(D6831&lt;=$G$3,'calculated data '!$A$3,D6831&lt;=$G$4,'calculated data '!$A$4,D6831&lt;=$G$6,'calculated data '!$A$5,D6831&gt;=$G$6,'calculated data '!$A$6)</f>
        <v>Target Market (Core IQR)</v>
      </c>
      <c r="F6831" s="10">
        <f t="shared" si="1"/>
        <v>-0.1436482704</v>
      </c>
    </row>
    <row r="6832" ht="14.25" customHeight="1">
      <c r="A6832" s="2" t="s">
        <v>331</v>
      </c>
      <c r="B6832" s="2" t="s">
        <v>332</v>
      </c>
      <c r="C6832" s="2">
        <v>1973.0</v>
      </c>
      <c r="D6832" s="9">
        <v>19630.645</v>
      </c>
      <c r="E6832" s="10" t="str">
        <f t="array" ref="E6832">IFS(D6832&lt;=$G$3,'calculated data '!$A$3,D6832&lt;=$G$4,'calculated data '!$A$4,D6832&lt;=$G$6,'calculated data '!$A$5,D6832&gt;=$G$6,'calculated data '!$A$6)</f>
        <v>Target Market (Core IQR)</v>
      </c>
      <c r="F6832" s="10">
        <f t="shared" si="1"/>
        <v>-0.143553191</v>
      </c>
    </row>
    <row r="6833" ht="14.25" customHeight="1">
      <c r="A6833" s="2" t="s">
        <v>141</v>
      </c>
      <c r="B6833" s="2" t="s">
        <v>142</v>
      </c>
      <c r="C6833" s="2">
        <v>2015.0</v>
      </c>
      <c r="D6833" s="9">
        <v>19631.684</v>
      </c>
      <c r="E6833" s="10" t="str">
        <f t="array" ref="E6833">IFS(D6833&lt;=$G$3,'calculated data '!$A$3,D6833&lt;=$G$4,'calculated data '!$A$4,D6833&lt;=$G$6,'calculated data '!$A$5,D6833&gt;=$G$6,'calculated data '!$A$6)</f>
        <v>Target Market (Core IQR)</v>
      </c>
      <c r="F6833" s="10">
        <f t="shared" si="1"/>
        <v>-0.143525689</v>
      </c>
    </row>
    <row r="6834" ht="14.25" customHeight="1">
      <c r="A6834" s="2" t="s">
        <v>39</v>
      </c>
      <c r="B6834" s="2" t="s">
        <v>40</v>
      </c>
      <c r="C6834" s="2">
        <v>1996.0</v>
      </c>
      <c r="D6834" s="9">
        <v>19637.47</v>
      </c>
      <c r="E6834" s="10" t="str">
        <f t="array" ref="E6834">IFS(D6834&lt;=$G$3,'calculated data '!$A$3,D6834&lt;=$G$4,'calculated data '!$A$4,D6834&lt;=$G$6,'calculated data '!$A$5,D6834&gt;=$G$6,'calculated data '!$A$6)</f>
        <v>Target Market (Core IQR)</v>
      </c>
      <c r="F6834" s="10">
        <f t="shared" si="1"/>
        <v>-0.143372535</v>
      </c>
    </row>
    <row r="6835" ht="14.25" customHeight="1">
      <c r="A6835" s="2" t="s">
        <v>353</v>
      </c>
      <c r="B6835" s="2" t="s">
        <v>354</v>
      </c>
      <c r="C6835" s="2">
        <v>1968.0</v>
      </c>
      <c r="D6835" s="9">
        <v>19638.12</v>
      </c>
      <c r="E6835" s="10" t="str">
        <f t="array" ref="E6835">IFS(D6835&lt;=$G$3,'calculated data '!$A$3,D6835&lt;=$G$4,'calculated data '!$A$4,D6835&lt;=$G$6,'calculated data '!$A$5,D6835&gt;=$G$6,'calculated data '!$A$6)</f>
        <v>Target Market (Core IQR)</v>
      </c>
      <c r="F6835" s="10">
        <f t="shared" si="1"/>
        <v>-0.1433553296</v>
      </c>
    </row>
    <row r="6836" ht="14.25" customHeight="1">
      <c r="A6836" s="2" t="s">
        <v>371</v>
      </c>
      <c r="B6836" s="2" t="s">
        <v>372</v>
      </c>
      <c r="C6836" s="2">
        <v>1967.0</v>
      </c>
      <c r="D6836" s="9">
        <v>19646.727</v>
      </c>
      <c r="E6836" s="10" t="str">
        <f t="array" ref="E6836">IFS(D6836&lt;=$G$3,'calculated data '!$A$3,D6836&lt;=$G$4,'calculated data '!$A$4,D6836&lt;=$G$6,'calculated data '!$A$5,D6836&gt;=$G$6,'calculated data '!$A$6)</f>
        <v>Target Market (Core IQR)</v>
      </c>
      <c r="F6836" s="10">
        <f t="shared" si="1"/>
        <v>-0.1431275045</v>
      </c>
    </row>
    <row r="6837" ht="14.25" customHeight="1">
      <c r="A6837" s="2" t="s">
        <v>341</v>
      </c>
      <c r="B6837" s="2" t="s">
        <v>342</v>
      </c>
      <c r="C6837" s="2">
        <v>1990.0</v>
      </c>
      <c r="D6837" s="9">
        <v>19662.305</v>
      </c>
      <c r="E6837" s="10" t="str">
        <f t="array" ref="E6837">IFS(D6837&lt;=$G$3,'calculated data '!$A$3,D6837&lt;=$G$4,'calculated data '!$A$4,D6837&lt;=$G$6,'calculated data '!$A$5,D6837&gt;=$G$6,'calculated data '!$A$6)</f>
        <v>Target Market (Core IQR)</v>
      </c>
      <c r="F6837" s="10">
        <f t="shared" si="1"/>
        <v>-0.1427151587</v>
      </c>
    </row>
    <row r="6838" ht="14.25" customHeight="1">
      <c r="A6838" s="2" t="s">
        <v>361</v>
      </c>
      <c r="B6838" s="2" t="s">
        <v>362</v>
      </c>
      <c r="C6838" s="2">
        <v>2016.0</v>
      </c>
      <c r="D6838" s="9">
        <v>19668.77</v>
      </c>
      <c r="E6838" s="10" t="str">
        <f t="array" ref="E6838">IFS(D6838&lt;=$G$3,'calculated data '!$A$3,D6838&lt;=$G$4,'calculated data '!$A$4,D6838&lt;=$G$6,'calculated data '!$A$5,D6838&gt;=$G$6,'calculated data '!$A$6)</f>
        <v>Target Market (Core IQR)</v>
      </c>
      <c r="F6838" s="10">
        <f t="shared" si="1"/>
        <v>-0.1425440318</v>
      </c>
    </row>
    <row r="6839" ht="14.25" customHeight="1">
      <c r="A6839" s="2" t="s">
        <v>389</v>
      </c>
      <c r="B6839" s="2" t="s">
        <v>390</v>
      </c>
      <c r="C6839" s="2">
        <v>1966.0</v>
      </c>
      <c r="D6839" s="9">
        <v>19675.348</v>
      </c>
      <c r="E6839" s="10" t="str">
        <f t="array" ref="E6839">IFS(D6839&lt;=$G$3,'calculated data '!$A$3,D6839&lt;=$G$4,'calculated data '!$A$4,D6839&lt;=$G$6,'calculated data '!$A$5,D6839&gt;=$G$6,'calculated data '!$A$6)</f>
        <v>Target Market (Core IQR)</v>
      </c>
      <c r="F6839" s="10">
        <f t="shared" si="1"/>
        <v>-0.1423699137</v>
      </c>
    </row>
    <row r="6840" ht="14.25" customHeight="1">
      <c r="A6840" s="2" t="s">
        <v>313</v>
      </c>
      <c r="B6840" s="2" t="s">
        <v>314</v>
      </c>
      <c r="C6840" s="2">
        <v>2007.0</v>
      </c>
      <c r="D6840" s="9">
        <v>19675.53</v>
      </c>
      <c r="E6840" s="10" t="str">
        <f t="array" ref="E6840">IFS(D6840&lt;=$G$3,'calculated data '!$A$3,D6840&lt;=$G$4,'calculated data '!$A$4,D6840&lt;=$G$6,'calculated data '!$A$5,D6840&gt;=$G$6,'calculated data '!$A$6)</f>
        <v>Target Market (Core IQR)</v>
      </c>
      <c r="F6840" s="10">
        <f t="shared" si="1"/>
        <v>-0.1423650963</v>
      </c>
    </row>
    <row r="6841" ht="14.25" customHeight="1">
      <c r="A6841" s="2" t="s">
        <v>377</v>
      </c>
      <c r="B6841" s="2" t="s">
        <v>378</v>
      </c>
      <c r="C6841" s="2">
        <v>1986.0</v>
      </c>
      <c r="D6841" s="9">
        <v>19680.7</v>
      </c>
      <c r="E6841" s="10" t="str">
        <f t="array" ref="E6841">IFS(D6841&lt;=$G$3,'calculated data '!$A$3,D6841&lt;=$G$4,'calculated data '!$A$4,D6841&lt;=$G$6,'calculated data '!$A$5,D6841&gt;=$G$6,'calculated data '!$A$6)</f>
        <v>Target Market (Core IQR)</v>
      </c>
      <c r="F6841" s="10">
        <f t="shared" si="1"/>
        <v>-0.1422282476</v>
      </c>
    </row>
    <row r="6842" ht="14.25" customHeight="1">
      <c r="A6842" s="2" t="s">
        <v>57</v>
      </c>
      <c r="B6842" s="2" t="s">
        <v>58</v>
      </c>
      <c r="C6842" s="2">
        <v>2022.0</v>
      </c>
      <c r="D6842" s="9">
        <v>19689.658</v>
      </c>
      <c r="E6842" s="10" t="str">
        <f t="array" ref="E6842">IFS(D6842&lt;=$G$3,'calculated data '!$A$3,D6842&lt;=$G$4,'calculated data '!$A$4,D6842&lt;=$G$6,'calculated data '!$A$5,D6842&gt;=$G$6,'calculated data '!$A$6)</f>
        <v>Target Market (Core IQR)</v>
      </c>
      <c r="F6842" s="10">
        <f t="shared" si="1"/>
        <v>-0.1419911316</v>
      </c>
    </row>
    <row r="6843" ht="14.25" customHeight="1">
      <c r="A6843" s="2" t="s">
        <v>373</v>
      </c>
      <c r="B6843" s="2" t="s">
        <v>374</v>
      </c>
      <c r="C6843" s="2">
        <v>1987.0</v>
      </c>
      <c r="D6843" s="9">
        <v>19694.516</v>
      </c>
      <c r="E6843" s="10" t="str">
        <f t="array" ref="E6843">IFS(D6843&lt;=$G$3,'calculated data '!$A$3,D6843&lt;=$G$4,'calculated data '!$A$4,D6843&lt;=$G$6,'calculated data '!$A$5,D6843&gt;=$G$6,'calculated data '!$A$6)</f>
        <v>Target Market (Core IQR)</v>
      </c>
      <c r="F6843" s="10">
        <f t="shared" si="1"/>
        <v>-0.1418625416</v>
      </c>
    </row>
    <row r="6844" ht="14.25" customHeight="1">
      <c r="A6844" s="2" t="s">
        <v>357</v>
      </c>
      <c r="B6844" s="2" t="s">
        <v>358</v>
      </c>
      <c r="C6844" s="2">
        <v>2021.0</v>
      </c>
      <c r="D6844" s="9">
        <v>19718.64</v>
      </c>
      <c r="E6844" s="10" t="str">
        <f t="array" ref="E6844">IFS(D6844&lt;=$G$3,'calculated data '!$A$3,D6844&lt;=$G$4,'calculated data '!$A$4,D6844&lt;=$G$6,'calculated data '!$A$5,D6844&gt;=$G$6,'calculated data '!$A$6)</f>
        <v>Target Market (Core IQR)</v>
      </c>
      <c r="F6844" s="10">
        <f t="shared" si="1"/>
        <v>-0.1412239853</v>
      </c>
    </row>
    <row r="6845" ht="14.25" customHeight="1">
      <c r="A6845" s="2" t="s">
        <v>355</v>
      </c>
      <c r="B6845" s="2" t="s">
        <v>356</v>
      </c>
      <c r="C6845" s="2">
        <v>2025.0</v>
      </c>
      <c r="D6845" s="9">
        <v>19737.18</v>
      </c>
      <c r="E6845" s="10" t="str">
        <f t="array" ref="E6845">IFS(D6845&lt;=$G$3,'calculated data '!$A$3,D6845&lt;=$G$4,'calculated data '!$A$4,D6845&lt;=$G$6,'calculated data '!$A$5,D6845&gt;=$G$6,'calculated data '!$A$6)</f>
        <v>Target Market (Core IQR)</v>
      </c>
      <c r="F6845" s="10">
        <f t="shared" si="1"/>
        <v>-0.1407332361</v>
      </c>
    </row>
    <row r="6846" ht="14.25" customHeight="1">
      <c r="A6846" s="2" t="s">
        <v>331</v>
      </c>
      <c r="B6846" s="2" t="s">
        <v>332</v>
      </c>
      <c r="C6846" s="2">
        <v>1983.0</v>
      </c>
      <c r="D6846" s="9">
        <v>19746.717</v>
      </c>
      <c r="E6846" s="10" t="str">
        <f t="array" ref="E6846">IFS(D6846&lt;=$G$3,'calculated data '!$A$3,D6846&lt;=$G$4,'calculated data '!$A$4,D6846&lt;=$G$6,'calculated data '!$A$5,D6846&gt;=$G$6,'calculated data '!$A$6)</f>
        <v>Target Market (Core IQR)</v>
      </c>
      <c r="F6846" s="10">
        <f t="shared" si="1"/>
        <v>-0.1404807941</v>
      </c>
    </row>
    <row r="6847" ht="14.25" customHeight="1">
      <c r="A6847" s="2" t="s">
        <v>377</v>
      </c>
      <c r="B6847" s="2" t="s">
        <v>378</v>
      </c>
      <c r="C6847" s="2">
        <v>1984.0</v>
      </c>
      <c r="D6847" s="9">
        <v>19772.031</v>
      </c>
      <c r="E6847" s="10" t="str">
        <f t="array" ref="E6847">IFS(D6847&lt;=$G$3,'calculated data '!$A$3,D6847&lt;=$G$4,'calculated data '!$A$4,D6847&lt;=$G$6,'calculated data '!$A$5,D6847&gt;=$G$6,'calculated data '!$A$6)</f>
        <v>Target Market (Core IQR)</v>
      </c>
      <c r="F6847" s="10">
        <f t="shared" si="1"/>
        <v>-0.1398107388</v>
      </c>
    </row>
    <row r="6848" ht="14.25" customHeight="1">
      <c r="A6848" s="2" t="s">
        <v>385</v>
      </c>
      <c r="B6848" s="2" t="s">
        <v>386</v>
      </c>
      <c r="C6848" s="2">
        <v>1971.0</v>
      </c>
      <c r="D6848" s="9">
        <v>19780.506</v>
      </c>
      <c r="E6848" s="10" t="str">
        <f t="array" ref="E6848">IFS(D6848&lt;=$G$3,'calculated data '!$A$3,D6848&lt;=$G$4,'calculated data '!$A$4,D6848&lt;=$G$6,'calculated data '!$A$5,D6848&gt;=$G$6,'calculated data '!$A$6)</f>
        <v>Target Market (Core IQR)</v>
      </c>
      <c r="F6848" s="10">
        <f t="shared" si="1"/>
        <v>-0.1395864077</v>
      </c>
    </row>
    <row r="6849" ht="14.25" customHeight="1">
      <c r="A6849" s="2" t="s">
        <v>251</v>
      </c>
      <c r="B6849" s="2" t="s">
        <v>252</v>
      </c>
      <c r="C6849" s="2">
        <v>2024.0</v>
      </c>
      <c r="D6849" s="9">
        <v>19789.193</v>
      </c>
      <c r="E6849" s="10" t="str">
        <f t="array" ref="E6849">IFS(D6849&lt;=$G$3,'calculated data '!$A$3,D6849&lt;=$G$4,'calculated data '!$A$4,D6849&lt;=$G$6,'calculated data '!$A$5,D6849&gt;=$G$6,'calculated data '!$A$6)</f>
        <v>Target Market (Core IQR)</v>
      </c>
      <c r="F6849" s="10">
        <f t="shared" si="1"/>
        <v>-0.139356465</v>
      </c>
    </row>
    <row r="6850" ht="14.25" customHeight="1">
      <c r="A6850" s="2" t="s">
        <v>57</v>
      </c>
      <c r="B6850" s="2" t="s">
        <v>58</v>
      </c>
      <c r="C6850" s="2">
        <v>2019.0</v>
      </c>
      <c r="D6850" s="9">
        <v>19794.506</v>
      </c>
      <c r="E6850" s="10" t="str">
        <f t="array" ref="E6850">IFS(D6850&lt;=$G$3,'calculated data '!$A$3,D6850&lt;=$G$4,'calculated data '!$A$4,D6850&lt;=$G$6,'calculated data '!$A$5,D6850&gt;=$G$6,'calculated data '!$A$6)</f>
        <v>Target Market (Core IQR)</v>
      </c>
      <c r="F6850" s="10">
        <f t="shared" si="1"/>
        <v>-0.1392158312</v>
      </c>
    </row>
    <row r="6851" ht="14.25" customHeight="1">
      <c r="A6851" s="2" t="s">
        <v>363</v>
      </c>
      <c r="B6851" s="2" t="s">
        <v>364</v>
      </c>
      <c r="C6851" s="2">
        <v>2007.0</v>
      </c>
      <c r="D6851" s="9">
        <v>19796.848</v>
      </c>
      <c r="E6851" s="10" t="str">
        <f t="array" ref="E6851">IFS(D6851&lt;=$G$3,'calculated data '!$A$3,D6851&lt;=$G$4,'calculated data '!$A$4,D6851&lt;=$G$6,'calculated data '!$A$5,D6851&gt;=$G$6,'calculated data '!$A$6)</f>
        <v>Target Market (Core IQR)</v>
      </c>
      <c r="F6851" s="10">
        <f t="shared" si="1"/>
        <v>-0.139153839</v>
      </c>
    </row>
    <row r="6852" ht="14.25" customHeight="1">
      <c r="A6852" s="2" t="s">
        <v>385</v>
      </c>
      <c r="B6852" s="2" t="s">
        <v>386</v>
      </c>
      <c r="C6852" s="2">
        <v>1972.0</v>
      </c>
      <c r="D6852" s="9">
        <v>19797.033</v>
      </c>
      <c r="E6852" s="10" t="str">
        <f t="array" ref="E6852">IFS(D6852&lt;=$G$3,'calculated data '!$A$3,D6852&lt;=$G$4,'calculated data '!$A$4,D6852&lt;=$G$6,'calculated data '!$A$5,D6852&gt;=$G$6,'calculated data '!$A$6)</f>
        <v>Target Market (Core IQR)</v>
      </c>
      <c r="F6852" s="10">
        <f t="shared" si="1"/>
        <v>-0.1391489421</v>
      </c>
    </row>
    <row r="6853" ht="14.25" customHeight="1">
      <c r="A6853" s="2" t="s">
        <v>47</v>
      </c>
      <c r="B6853" s="2" t="s">
        <v>48</v>
      </c>
      <c r="C6853" s="2">
        <v>2002.0</v>
      </c>
      <c r="D6853" s="9">
        <v>19821.516</v>
      </c>
      <c r="E6853" s="10" t="str">
        <f t="array" ref="E6853">IFS(D6853&lt;=$G$3,'calculated data '!$A$3,D6853&lt;=$G$4,'calculated data '!$A$4,D6853&lt;=$G$6,'calculated data '!$A$5,D6853&gt;=$G$6,'calculated data '!$A$6)</f>
        <v>Target Market (Core IQR)</v>
      </c>
      <c r="F6853" s="10">
        <f t="shared" si="1"/>
        <v>-0.1385008832</v>
      </c>
    </row>
    <row r="6854" ht="14.25" customHeight="1">
      <c r="A6854" s="2" t="s">
        <v>341</v>
      </c>
      <c r="B6854" s="2" t="s">
        <v>342</v>
      </c>
      <c r="C6854" s="2">
        <v>2020.0</v>
      </c>
      <c r="D6854" s="9">
        <v>19829.697</v>
      </c>
      <c r="E6854" s="10" t="str">
        <f t="array" ref="E6854">IFS(D6854&lt;=$G$3,'calculated data '!$A$3,D6854&lt;=$G$4,'calculated data '!$A$4,D6854&lt;=$G$6,'calculated data '!$A$5,D6854&gt;=$G$6,'calculated data '!$A$6)</f>
        <v>Target Market (Core IQR)</v>
      </c>
      <c r="F6854" s="10">
        <f t="shared" si="1"/>
        <v>-0.1382843342</v>
      </c>
    </row>
    <row r="6855" ht="14.25" customHeight="1">
      <c r="A6855" s="2" t="s">
        <v>373</v>
      </c>
      <c r="B6855" s="2" t="s">
        <v>374</v>
      </c>
      <c r="C6855" s="2">
        <v>1985.0</v>
      </c>
      <c r="D6855" s="9">
        <v>19834.463</v>
      </c>
      <c r="E6855" s="10" t="str">
        <f t="array" ref="E6855">IFS(D6855&lt;=$G$3,'calculated data '!$A$3,D6855&lt;=$G$4,'calculated data '!$A$4,D6855&lt;=$G$6,'calculated data '!$A$5,D6855&gt;=$G$6,'calculated data '!$A$6)</f>
        <v>Target Market (Core IQR)</v>
      </c>
      <c r="F6855" s="10">
        <f t="shared" si="1"/>
        <v>-0.1381581793</v>
      </c>
    </row>
    <row r="6856" ht="14.25" customHeight="1">
      <c r="A6856" s="2" t="s">
        <v>323</v>
      </c>
      <c r="B6856" s="2" t="s">
        <v>324</v>
      </c>
      <c r="C6856" s="2">
        <v>2014.0</v>
      </c>
      <c r="D6856" s="9">
        <v>19851.902</v>
      </c>
      <c r="E6856" s="10" t="str">
        <f t="array" ref="E6856">IFS(D6856&lt;=$G$3,'calculated data '!$A$3,D6856&lt;=$G$4,'calculated data '!$A$4,D6856&lt;=$G$6,'calculated data '!$A$5,D6856&gt;=$G$6,'calculated data '!$A$6)</f>
        <v>Target Market (Core IQR)</v>
      </c>
      <c r="F6856" s="10">
        <f t="shared" si="1"/>
        <v>-0.1376965733</v>
      </c>
    </row>
    <row r="6857" ht="14.25" customHeight="1">
      <c r="A6857" s="2" t="s">
        <v>317</v>
      </c>
      <c r="B6857" s="2" t="s">
        <v>318</v>
      </c>
      <c r="C6857" s="2">
        <v>2020.0</v>
      </c>
      <c r="D6857" s="9">
        <v>19857.035</v>
      </c>
      <c r="E6857" s="10" t="str">
        <f t="array" ref="E6857">IFS(D6857&lt;=$G$3,'calculated data '!$A$3,D6857&lt;=$G$4,'calculated data '!$A$4,D6857&lt;=$G$6,'calculated data '!$A$5,D6857&gt;=$G$6,'calculated data '!$A$6)</f>
        <v>Target Market (Core IQR)</v>
      </c>
      <c r="F6857" s="10">
        <f t="shared" si="1"/>
        <v>-0.1375607041</v>
      </c>
    </row>
    <row r="6858" ht="14.25" customHeight="1">
      <c r="A6858" s="2" t="s">
        <v>57</v>
      </c>
      <c r="B6858" s="2" t="s">
        <v>58</v>
      </c>
      <c r="C6858" s="2">
        <v>2018.0</v>
      </c>
      <c r="D6858" s="9">
        <v>19873.229</v>
      </c>
      <c r="E6858" s="10" t="str">
        <f t="array" ref="E6858">IFS(D6858&lt;=$G$3,'calculated data '!$A$3,D6858&lt;=$G$4,'calculated data '!$A$4,D6858&lt;=$G$6,'calculated data '!$A$5,D6858&gt;=$G$6,'calculated data '!$A$6)</f>
        <v>Target Market (Core IQR)</v>
      </c>
      <c r="F6858" s="10">
        <f t="shared" si="1"/>
        <v>-0.137132053</v>
      </c>
    </row>
    <row r="6859" ht="14.25" customHeight="1">
      <c r="A6859" s="2" t="s">
        <v>231</v>
      </c>
      <c r="B6859" s="2" t="s">
        <v>232</v>
      </c>
      <c r="C6859" s="2">
        <v>2020.0</v>
      </c>
      <c r="D6859" s="9">
        <v>19873.26</v>
      </c>
      <c r="E6859" s="10" t="str">
        <f t="array" ref="E6859">IFS(D6859&lt;=$G$3,'calculated data '!$A$3,D6859&lt;=$G$4,'calculated data '!$A$4,D6859&lt;=$G$6,'calculated data '!$A$5,D6859&gt;=$G$6,'calculated data '!$A$6)</f>
        <v>Target Market (Core IQR)</v>
      </c>
      <c r="F6859" s="10">
        <f t="shared" si="1"/>
        <v>-0.1371312324</v>
      </c>
    </row>
    <row r="6860" ht="14.25" customHeight="1">
      <c r="A6860" s="2" t="s">
        <v>57</v>
      </c>
      <c r="B6860" s="2" t="s">
        <v>58</v>
      </c>
      <c r="C6860" s="2">
        <v>2023.0</v>
      </c>
      <c r="D6860" s="9">
        <v>19881.635</v>
      </c>
      <c r="E6860" s="10" t="str">
        <f t="array" ref="E6860">IFS(D6860&lt;=$G$3,'calculated data '!$A$3,D6860&lt;=$G$4,'calculated data '!$A$4,D6860&lt;=$G$6,'calculated data '!$A$5,D6860&gt;=$G$6,'calculated data '!$A$6)</f>
        <v>Target Market (Core IQR)</v>
      </c>
      <c r="F6860" s="10">
        <f t="shared" si="1"/>
        <v>-0.1369095482</v>
      </c>
    </row>
    <row r="6861" ht="14.25" customHeight="1">
      <c r="A6861" s="2" t="s">
        <v>39</v>
      </c>
      <c r="B6861" s="2" t="s">
        <v>40</v>
      </c>
      <c r="C6861" s="2">
        <v>1995.0</v>
      </c>
      <c r="D6861" s="9">
        <v>19890.94</v>
      </c>
      <c r="E6861" s="10" t="str">
        <f t="array" ref="E6861">IFS(D6861&lt;=$G$3,'calculated data '!$A$3,D6861&lt;=$G$4,'calculated data '!$A$4,D6861&lt;=$G$6,'calculated data '!$A$5,D6861&gt;=$G$6,'calculated data '!$A$6)</f>
        <v>Target Market (Core IQR)</v>
      </c>
      <c r="F6861" s="10">
        <f t="shared" si="1"/>
        <v>-0.1366632472</v>
      </c>
    </row>
    <row r="6862" ht="14.25" customHeight="1">
      <c r="A6862" s="2" t="s">
        <v>251</v>
      </c>
      <c r="B6862" s="2" t="s">
        <v>252</v>
      </c>
      <c r="C6862" s="2">
        <v>2023.0</v>
      </c>
      <c r="D6862" s="9">
        <v>19893.844</v>
      </c>
      <c r="E6862" s="10" t="str">
        <f t="array" ref="E6862">IFS(D6862&lt;=$G$3,'calculated data '!$A$3,D6862&lt;=$G$4,'calculated data '!$A$4,D6862&lt;=$G$6,'calculated data '!$A$5,D6862&gt;=$G$6,'calculated data '!$A$6)</f>
        <v>Target Market (Core IQR)</v>
      </c>
      <c r="F6862" s="10">
        <f t="shared" si="1"/>
        <v>-0.136586379</v>
      </c>
    </row>
    <row r="6863" ht="14.25" customHeight="1">
      <c r="A6863" s="2" t="s">
        <v>127</v>
      </c>
      <c r="B6863" s="2" t="s">
        <v>128</v>
      </c>
      <c r="C6863" s="2">
        <v>2021.0</v>
      </c>
      <c r="D6863" s="9">
        <v>19906.076</v>
      </c>
      <c r="E6863" s="10" t="str">
        <f t="array" ref="E6863">IFS(D6863&lt;=$G$3,'calculated data '!$A$3,D6863&lt;=$G$4,'calculated data '!$A$4,D6863&lt;=$G$6,'calculated data '!$A$5,D6863&gt;=$G$6,'calculated data '!$A$6)</f>
        <v>Target Market (Core IQR)</v>
      </c>
      <c r="F6863" s="10">
        <f t="shared" si="1"/>
        <v>-0.1362626011</v>
      </c>
    </row>
    <row r="6864" ht="14.25" customHeight="1">
      <c r="A6864" s="2" t="s">
        <v>379</v>
      </c>
      <c r="B6864" s="2" t="s">
        <v>380</v>
      </c>
      <c r="C6864" s="2">
        <v>1968.0</v>
      </c>
      <c r="D6864" s="9">
        <v>19906.22</v>
      </c>
      <c r="E6864" s="10" t="str">
        <f t="array" ref="E6864">IFS(D6864&lt;=$G$3,'calculated data '!$A$3,D6864&lt;=$G$4,'calculated data '!$A$4,D6864&lt;=$G$6,'calculated data '!$A$5,D6864&gt;=$G$6,'calculated data '!$A$6)</f>
        <v>Target Market (Core IQR)</v>
      </c>
      <c r="F6864" s="10">
        <f t="shared" si="1"/>
        <v>-0.1362587894</v>
      </c>
    </row>
    <row r="6865" ht="14.25" customHeight="1">
      <c r="A6865" s="2" t="s">
        <v>377</v>
      </c>
      <c r="B6865" s="2" t="s">
        <v>378</v>
      </c>
      <c r="C6865" s="2">
        <v>1982.0</v>
      </c>
      <c r="D6865" s="9">
        <v>19906.834</v>
      </c>
      <c r="E6865" s="10" t="str">
        <f t="array" ref="E6865">IFS(D6865&lt;=$G$3,'calculated data '!$A$3,D6865&lt;=$G$4,'calculated data '!$A$4,D6865&lt;=$G$6,'calculated data '!$A$5,D6865&gt;=$G$6,'calculated data '!$A$6)</f>
        <v>Target Market (Core IQR)</v>
      </c>
      <c r="F6865" s="10">
        <f t="shared" si="1"/>
        <v>-0.136242537</v>
      </c>
    </row>
    <row r="6866" ht="14.25" customHeight="1">
      <c r="A6866" s="2" t="s">
        <v>361</v>
      </c>
      <c r="B6866" s="2" t="s">
        <v>362</v>
      </c>
      <c r="C6866" s="2">
        <v>2011.0</v>
      </c>
      <c r="D6866" s="9">
        <v>19911.203</v>
      </c>
      <c r="E6866" s="10" t="str">
        <f t="array" ref="E6866">IFS(D6866&lt;=$G$3,'calculated data '!$A$3,D6866&lt;=$G$4,'calculated data '!$A$4,D6866&lt;=$G$6,'calculated data '!$A$5,D6866&gt;=$G$6,'calculated data '!$A$6)</f>
        <v>Target Market (Core IQR)</v>
      </c>
      <c r="F6866" s="10">
        <f t="shared" si="1"/>
        <v>-0.1361268906</v>
      </c>
    </row>
    <row r="6867" ht="14.25" customHeight="1">
      <c r="A6867" s="2" t="s">
        <v>341</v>
      </c>
      <c r="B6867" s="2" t="s">
        <v>342</v>
      </c>
      <c r="C6867" s="2">
        <v>1988.0</v>
      </c>
      <c r="D6867" s="9">
        <v>19915.06</v>
      </c>
      <c r="E6867" s="10" t="str">
        <f t="array" ref="E6867">IFS(D6867&lt;=$G$3,'calculated data '!$A$3,D6867&lt;=$G$4,'calculated data '!$A$4,D6867&lt;=$G$6,'calculated data '!$A$5,D6867&gt;=$G$6,'calculated data '!$A$6)</f>
        <v>Target Market (Core IQR)</v>
      </c>
      <c r="F6867" s="10">
        <f t="shared" si="1"/>
        <v>-0.1360247968</v>
      </c>
    </row>
    <row r="6868" ht="14.25" customHeight="1">
      <c r="A6868" s="2" t="s">
        <v>39</v>
      </c>
      <c r="B6868" s="2" t="s">
        <v>40</v>
      </c>
      <c r="C6868" s="2">
        <v>1994.0</v>
      </c>
      <c r="D6868" s="9">
        <v>19930.115</v>
      </c>
      <c r="E6868" s="10" t="str">
        <f t="array" ref="E6868">IFS(D6868&lt;=$G$3,'calculated data '!$A$3,D6868&lt;=$G$4,'calculated data '!$A$4,D6868&lt;=$G$6,'calculated data '!$A$5,D6868&gt;=$G$6,'calculated data '!$A$6)</f>
        <v>Target Market (Core IQR)</v>
      </c>
      <c r="F6868" s="10">
        <f t="shared" si="1"/>
        <v>-0.1356262947</v>
      </c>
    </row>
    <row r="6869" ht="14.25" customHeight="1">
      <c r="A6869" s="2" t="s">
        <v>383</v>
      </c>
      <c r="B6869" s="2" t="s">
        <v>384</v>
      </c>
      <c r="C6869" s="2">
        <v>1995.0</v>
      </c>
      <c r="D6869" s="9">
        <v>19938.254</v>
      </c>
      <c r="E6869" s="10" t="str">
        <f t="array" ref="E6869">IFS(D6869&lt;=$G$3,'calculated data '!$A$3,D6869&lt;=$G$4,'calculated data '!$A$4,D6869&lt;=$G$6,'calculated data '!$A$5,D6869&gt;=$G$6,'calculated data '!$A$6)</f>
        <v>Target Market (Core IQR)</v>
      </c>
      <c r="F6869" s="10">
        <f t="shared" si="1"/>
        <v>-0.1354108574</v>
      </c>
    </row>
    <row r="6870" ht="14.25" customHeight="1">
      <c r="A6870" s="2" t="s">
        <v>313</v>
      </c>
      <c r="B6870" s="2" t="s">
        <v>314</v>
      </c>
      <c r="C6870" s="2">
        <v>2020.0</v>
      </c>
      <c r="D6870" s="9">
        <v>19947.059</v>
      </c>
      <c r="E6870" s="10" t="str">
        <f t="array" ref="E6870">IFS(D6870&lt;=$G$3,'calculated data '!$A$3,D6870&lt;=$G$4,'calculated data '!$A$4,D6870&lt;=$G$6,'calculated data '!$A$5,D6870&gt;=$G$6,'calculated data '!$A$6)</f>
        <v>Target Market (Core IQR)</v>
      </c>
      <c r="F6870" s="10">
        <f t="shared" si="1"/>
        <v>-0.1351777912</v>
      </c>
    </row>
    <row r="6871" ht="14.25" customHeight="1">
      <c r="A6871" s="2" t="s">
        <v>285</v>
      </c>
      <c r="B6871" s="2" t="s">
        <v>286</v>
      </c>
      <c r="C6871" s="2">
        <v>2024.0</v>
      </c>
      <c r="D6871" s="9">
        <v>19954.762</v>
      </c>
      <c r="E6871" s="10" t="str">
        <f t="array" ref="E6871">IFS(D6871&lt;=$G$3,'calculated data '!$A$3,D6871&lt;=$G$4,'calculated data '!$A$4,D6871&lt;=$G$6,'calculated data '!$A$5,D6871&gt;=$G$6,'calculated data '!$A$6)</f>
        <v>Target Market (Core IQR)</v>
      </c>
      <c r="F6871" s="10">
        <f t="shared" si="1"/>
        <v>-0.1349738948</v>
      </c>
    </row>
    <row r="6872" ht="14.25" customHeight="1">
      <c r="A6872" s="2" t="s">
        <v>141</v>
      </c>
      <c r="B6872" s="2" t="s">
        <v>142</v>
      </c>
      <c r="C6872" s="2">
        <v>2016.0</v>
      </c>
      <c r="D6872" s="9">
        <v>19970.396</v>
      </c>
      <c r="E6872" s="10" t="str">
        <f t="array" ref="E6872">IFS(D6872&lt;=$G$3,'calculated data '!$A$3,D6872&lt;=$G$4,'calculated data '!$A$4,D6872&lt;=$G$6,'calculated data '!$A$5,D6872&gt;=$G$6,'calculated data '!$A$6)</f>
        <v>Target Market (Core IQR)</v>
      </c>
      <c r="F6872" s="10">
        <f t="shared" si="1"/>
        <v>-0.1345600667</v>
      </c>
    </row>
    <row r="6873" ht="14.25" customHeight="1">
      <c r="A6873" s="2" t="s">
        <v>279</v>
      </c>
      <c r="B6873" s="2" t="s">
        <v>280</v>
      </c>
      <c r="C6873" s="2">
        <v>1985.0</v>
      </c>
      <c r="D6873" s="9">
        <v>19985.904</v>
      </c>
      <c r="E6873" s="10" t="str">
        <f t="array" ref="E6873">IFS(D6873&lt;=$G$3,'calculated data '!$A$3,D6873&lt;=$G$4,'calculated data '!$A$4,D6873&lt;=$G$6,'calculated data '!$A$5,D6873&gt;=$G$6,'calculated data '!$A$6)</f>
        <v>Target Market (Core IQR)</v>
      </c>
      <c r="F6873" s="10">
        <f t="shared" si="1"/>
        <v>-0.1341495738</v>
      </c>
    </row>
    <row r="6874" ht="14.25" customHeight="1">
      <c r="A6874" s="2" t="s">
        <v>359</v>
      </c>
      <c r="B6874" s="2" t="s">
        <v>360</v>
      </c>
      <c r="C6874" s="2">
        <v>2003.0</v>
      </c>
      <c r="D6874" s="9">
        <v>19988.17</v>
      </c>
      <c r="E6874" s="10" t="str">
        <f t="array" ref="E6874">IFS(D6874&lt;=$G$3,'calculated data '!$A$3,D6874&lt;=$G$4,'calculated data '!$A$4,D6874&lt;=$G$6,'calculated data '!$A$5,D6874&gt;=$G$6,'calculated data '!$A$6)</f>
        <v>Target Market (Core IQR)</v>
      </c>
      <c r="F6874" s="10">
        <f t="shared" si="1"/>
        <v>-0.1340895933</v>
      </c>
    </row>
    <row r="6875" ht="14.25" customHeight="1">
      <c r="A6875" s="2" t="s">
        <v>357</v>
      </c>
      <c r="B6875" s="2" t="s">
        <v>358</v>
      </c>
      <c r="C6875" s="2">
        <v>2010.0</v>
      </c>
      <c r="D6875" s="9">
        <v>19991.225</v>
      </c>
      <c r="E6875" s="10" t="str">
        <f t="array" ref="E6875">IFS(D6875&lt;=$G$3,'calculated data '!$A$3,D6875&lt;=$G$4,'calculated data '!$A$4,D6875&lt;=$G$6,'calculated data '!$A$5,D6875&gt;=$G$6,'calculated data '!$A$6)</f>
        <v>Target Market (Core IQR)</v>
      </c>
      <c r="F6875" s="10">
        <f t="shared" si="1"/>
        <v>-0.1340087282</v>
      </c>
    </row>
    <row r="6876" ht="14.25" customHeight="1">
      <c r="A6876" s="2" t="s">
        <v>343</v>
      </c>
      <c r="B6876" s="2" t="s">
        <v>344</v>
      </c>
      <c r="C6876" s="2">
        <v>1988.0</v>
      </c>
      <c r="D6876" s="9">
        <v>20004.762</v>
      </c>
      <c r="E6876" s="10" t="str">
        <f t="array" ref="E6876">IFS(D6876&lt;=$G$3,'calculated data '!$A$3,D6876&lt;=$G$4,'calculated data '!$A$4,D6876&lt;=$G$6,'calculated data '!$A$5,D6876&gt;=$G$6,'calculated data '!$A$6)</f>
        <v>Target Market (Core IQR)</v>
      </c>
      <c r="F6876" s="10">
        <f t="shared" si="1"/>
        <v>-0.1336504072</v>
      </c>
    </row>
    <row r="6877" ht="14.25" customHeight="1">
      <c r="A6877" s="2" t="s">
        <v>359</v>
      </c>
      <c r="B6877" s="2" t="s">
        <v>360</v>
      </c>
      <c r="C6877" s="2">
        <v>1998.0</v>
      </c>
      <c r="D6877" s="9">
        <v>20005.416</v>
      </c>
      <c r="E6877" s="10" t="str">
        <f t="array" ref="E6877">IFS(D6877&lt;=$G$3,'calculated data '!$A$3,D6877&lt;=$G$4,'calculated data '!$A$4,D6877&lt;=$G$6,'calculated data '!$A$5,D6877&gt;=$G$6,'calculated data '!$A$6)</f>
        <v>Target Market (Core IQR)</v>
      </c>
      <c r="F6877" s="10">
        <f t="shared" si="1"/>
        <v>-0.133633096</v>
      </c>
    </row>
    <row r="6878" ht="14.25" customHeight="1">
      <c r="A6878" s="2" t="s">
        <v>359</v>
      </c>
      <c r="B6878" s="2" t="s">
        <v>360</v>
      </c>
      <c r="C6878" s="2">
        <v>2005.0</v>
      </c>
      <c r="D6878" s="9">
        <v>20008.088</v>
      </c>
      <c r="E6878" s="10" t="str">
        <f t="array" ref="E6878">IFS(D6878&lt;=$G$3,'calculated data '!$A$3,D6878&lt;=$G$4,'calculated data '!$A$4,D6878&lt;=$G$6,'calculated data '!$A$5,D6878&gt;=$G$6,'calculated data '!$A$6)</f>
        <v>Target Market (Core IQR)</v>
      </c>
      <c r="F6878" s="10">
        <f t="shared" si="1"/>
        <v>-0.1335623688</v>
      </c>
    </row>
    <row r="6879" ht="14.25" customHeight="1">
      <c r="A6879" s="2" t="s">
        <v>361</v>
      </c>
      <c r="B6879" s="2" t="s">
        <v>362</v>
      </c>
      <c r="C6879" s="2">
        <v>1999.0</v>
      </c>
      <c r="D6879" s="9">
        <v>20013.062</v>
      </c>
      <c r="E6879" s="10" t="str">
        <f t="array" ref="E6879">IFS(D6879&lt;=$G$3,'calculated data '!$A$3,D6879&lt;=$G$4,'calculated data '!$A$4,D6879&lt;=$G$6,'calculated data '!$A$5,D6879&gt;=$G$6,'calculated data '!$A$6)</f>
        <v>Target Market (Core IQR)</v>
      </c>
      <c r="F6879" s="10">
        <f t="shared" si="1"/>
        <v>-0.1334307083</v>
      </c>
    </row>
    <row r="6880" ht="14.25" customHeight="1">
      <c r="A6880" s="2" t="s">
        <v>317</v>
      </c>
      <c r="B6880" s="2" t="s">
        <v>318</v>
      </c>
      <c r="C6880" s="2">
        <v>2019.0</v>
      </c>
      <c r="D6880" s="9">
        <v>20019.14</v>
      </c>
      <c r="E6880" s="10" t="str">
        <f t="array" ref="E6880">IFS(D6880&lt;=$G$3,'calculated data '!$A$3,D6880&lt;=$G$4,'calculated data '!$A$4,D6880&lt;=$G$6,'calculated data '!$A$5,D6880&gt;=$G$6,'calculated data '!$A$6)</f>
        <v>Target Market (Core IQR)</v>
      </c>
      <c r="F6880" s="10">
        <f t="shared" si="1"/>
        <v>-0.1332698251</v>
      </c>
    </row>
    <row r="6881" ht="14.25" customHeight="1">
      <c r="A6881" s="2" t="s">
        <v>51</v>
      </c>
      <c r="B6881" s="2" t="s">
        <v>52</v>
      </c>
      <c r="C6881" s="2">
        <v>2023.0</v>
      </c>
      <c r="D6881" s="9">
        <v>20020.596</v>
      </c>
      <c r="E6881" s="10" t="str">
        <f t="array" ref="E6881">IFS(D6881&lt;=$G$3,'calculated data '!$A$3,D6881&lt;=$G$4,'calculated data '!$A$4,D6881&lt;=$G$6,'calculated data '!$A$5,D6881&gt;=$G$6,'calculated data '!$A$6)</f>
        <v>Target Market (Core IQR)</v>
      </c>
      <c r="F6881" s="10">
        <f t="shared" si="1"/>
        <v>-0.1332312852</v>
      </c>
    </row>
    <row r="6882" ht="14.25" customHeight="1">
      <c r="A6882" s="2" t="s">
        <v>341</v>
      </c>
      <c r="B6882" s="2" t="s">
        <v>342</v>
      </c>
      <c r="C6882" s="2">
        <v>2000.0</v>
      </c>
      <c r="D6882" s="9">
        <v>20032.027</v>
      </c>
      <c r="E6882" s="10" t="str">
        <f t="array" ref="E6882">IFS(D6882&lt;=$G$3,'calculated data '!$A$3,D6882&lt;=$G$4,'calculated data '!$A$4,D6882&lt;=$G$6,'calculated data '!$A$5,D6882&gt;=$G$6,'calculated data '!$A$6)</f>
        <v>Target Market (Core IQR)</v>
      </c>
      <c r="F6882" s="10">
        <f t="shared" si="1"/>
        <v>-0.1329287095</v>
      </c>
    </row>
    <row r="6883" ht="14.25" customHeight="1">
      <c r="A6883" s="2" t="s">
        <v>391</v>
      </c>
      <c r="B6883" s="2" t="s">
        <v>392</v>
      </c>
      <c r="C6883" s="2">
        <v>1986.0</v>
      </c>
      <c r="D6883" s="9">
        <v>20040.771</v>
      </c>
      <c r="E6883" s="10" t="str">
        <f t="array" ref="E6883">IFS(D6883&lt;=$G$3,'calculated data '!$A$3,D6883&lt;=$G$4,'calculated data '!$A$4,D6883&lt;=$G$6,'calculated data '!$A$5,D6883&gt;=$G$6,'calculated data '!$A$6)</f>
        <v>Target Market (Core IQR)</v>
      </c>
      <c r="F6883" s="10">
        <f t="shared" si="1"/>
        <v>-0.1326972579</v>
      </c>
    </row>
    <row r="6884" ht="14.25" customHeight="1">
      <c r="A6884" s="2" t="s">
        <v>141</v>
      </c>
      <c r="B6884" s="2" t="s">
        <v>142</v>
      </c>
      <c r="C6884" s="2">
        <v>2024.0</v>
      </c>
      <c r="D6884" s="9">
        <v>20050.084</v>
      </c>
      <c r="E6884" s="10" t="str">
        <f t="array" ref="E6884">IFS(D6884&lt;=$G$3,'calculated data '!$A$3,D6884&lt;=$G$4,'calculated data '!$A$4,D6884&lt;=$G$6,'calculated data '!$A$5,D6884&gt;=$G$6,'calculated data '!$A$6)</f>
        <v>Target Market (Core IQR)</v>
      </c>
      <c r="F6884" s="10">
        <f t="shared" si="1"/>
        <v>-0.1324507452</v>
      </c>
    </row>
    <row r="6885" ht="14.25" customHeight="1">
      <c r="A6885" s="2" t="s">
        <v>355</v>
      </c>
      <c r="B6885" s="2" t="s">
        <v>356</v>
      </c>
      <c r="C6885" s="2">
        <v>1968.0</v>
      </c>
      <c r="D6885" s="9">
        <v>20056.494</v>
      </c>
      <c r="E6885" s="10" t="str">
        <f t="array" ref="E6885">IFS(D6885&lt;=$G$3,'calculated data '!$A$3,D6885&lt;=$G$4,'calculated data '!$A$4,D6885&lt;=$G$6,'calculated data '!$A$5,D6885&gt;=$G$6,'calculated data '!$A$6)</f>
        <v>Target Market (Core IQR)</v>
      </c>
      <c r="F6885" s="10">
        <f t="shared" si="1"/>
        <v>-0.1322810741</v>
      </c>
    </row>
    <row r="6886" ht="14.25" customHeight="1">
      <c r="A6886" s="2" t="s">
        <v>28</v>
      </c>
      <c r="B6886" s="2" t="s">
        <v>29</v>
      </c>
      <c r="C6886" s="2">
        <v>1988.0</v>
      </c>
      <c r="D6886" s="9">
        <v>20069.123</v>
      </c>
      <c r="E6886" s="10" t="str">
        <f t="array" ref="E6886">IFS(D6886&lt;=$G$3,'calculated data '!$A$3,D6886&lt;=$G$4,'calculated data '!$A$4,D6886&lt;=$G$6,'calculated data '!$A$5,D6886&gt;=$G$6,'calculated data '!$A$6)</f>
        <v>Target Market (Core IQR)</v>
      </c>
      <c r="F6886" s="10">
        <f t="shared" si="1"/>
        <v>-0.1319467876</v>
      </c>
    </row>
    <row r="6887" ht="14.25" customHeight="1">
      <c r="A6887" s="2" t="s">
        <v>313</v>
      </c>
      <c r="B6887" s="2" t="s">
        <v>314</v>
      </c>
      <c r="C6887" s="2">
        <v>2011.0</v>
      </c>
      <c r="D6887" s="9">
        <v>20075.691</v>
      </c>
      <c r="E6887" s="10" t="str">
        <f t="array" ref="E6887">IFS(D6887&lt;=$G$3,'calculated data '!$A$3,D6887&lt;=$G$4,'calculated data '!$A$4,D6887&lt;=$G$6,'calculated data '!$A$5,D6887&gt;=$G$6,'calculated data '!$A$6)</f>
        <v>Target Market (Core IQR)</v>
      </c>
      <c r="F6887" s="10">
        <f t="shared" si="1"/>
        <v>-0.1317729342</v>
      </c>
    </row>
    <row r="6888" ht="14.25" customHeight="1">
      <c r="A6888" s="2" t="s">
        <v>377</v>
      </c>
      <c r="B6888" s="2" t="s">
        <v>378</v>
      </c>
      <c r="C6888" s="2">
        <v>1983.0</v>
      </c>
      <c r="D6888" s="9">
        <v>20076.346</v>
      </c>
      <c r="E6888" s="10" t="str">
        <f t="array" ref="E6888">IFS(D6888&lt;=$G$3,'calculated data '!$A$3,D6888&lt;=$G$4,'calculated data '!$A$4,D6888&lt;=$G$6,'calculated data '!$A$5,D6888&gt;=$G$6,'calculated data '!$A$6)</f>
        <v>Target Market (Core IQR)</v>
      </c>
      <c r="F6888" s="10">
        <f t="shared" si="1"/>
        <v>-0.1317555966</v>
      </c>
    </row>
    <row r="6889" ht="14.25" customHeight="1">
      <c r="A6889" s="2" t="s">
        <v>359</v>
      </c>
      <c r="B6889" s="2" t="s">
        <v>360</v>
      </c>
      <c r="C6889" s="2">
        <v>2004.0</v>
      </c>
      <c r="D6889" s="9">
        <v>20085.041</v>
      </c>
      <c r="E6889" s="10" t="str">
        <f t="array" ref="E6889">IFS(D6889&lt;=$G$3,'calculated data '!$A$3,D6889&lt;=$G$4,'calculated data '!$A$4,D6889&lt;=$G$6,'calculated data '!$A$5,D6889&gt;=$G$6,'calculated data '!$A$6)</f>
        <v>Target Market (Core IQR)</v>
      </c>
      <c r="F6889" s="10">
        <f t="shared" si="1"/>
        <v>-0.1315254421</v>
      </c>
    </row>
    <row r="6890" ht="14.25" customHeight="1">
      <c r="A6890" s="2" t="s">
        <v>355</v>
      </c>
      <c r="B6890" s="2" t="s">
        <v>356</v>
      </c>
      <c r="C6890" s="2">
        <v>2024.0</v>
      </c>
      <c r="D6890" s="9">
        <v>20112.16</v>
      </c>
      <c r="E6890" s="10" t="str">
        <f t="array" ref="E6890">IFS(D6890&lt;=$G$3,'calculated data '!$A$3,D6890&lt;=$G$4,'calculated data '!$A$4,D6890&lt;=$G$6,'calculated data '!$A$5,D6890&gt;=$G$6,'calculated data '!$A$6)</f>
        <v>Target Market (Core IQR)</v>
      </c>
      <c r="F6890" s="10">
        <f t="shared" si="1"/>
        <v>-0.1308076089</v>
      </c>
    </row>
    <row r="6891" ht="14.25" customHeight="1">
      <c r="A6891" s="2" t="s">
        <v>335</v>
      </c>
      <c r="B6891" s="2" t="s">
        <v>336</v>
      </c>
      <c r="C6891" s="2">
        <v>1978.0</v>
      </c>
      <c r="D6891" s="9">
        <v>20113.332</v>
      </c>
      <c r="E6891" s="10" t="str">
        <f t="array" ref="E6891">IFS(D6891&lt;=$G$3,'calculated data '!$A$3,D6891&lt;=$G$4,'calculated data '!$A$4,D6891&lt;=$G$6,'calculated data '!$A$5,D6891&gt;=$G$6,'calculated data '!$A$6)</f>
        <v>Target Market (Core IQR)</v>
      </c>
      <c r="F6891" s="10">
        <f t="shared" si="1"/>
        <v>-0.1307765864</v>
      </c>
    </row>
    <row r="6892" ht="14.25" customHeight="1">
      <c r="A6892" s="2" t="s">
        <v>373</v>
      </c>
      <c r="B6892" s="2" t="s">
        <v>374</v>
      </c>
      <c r="C6892" s="2">
        <v>1989.0</v>
      </c>
      <c r="D6892" s="9">
        <v>20119.715</v>
      </c>
      <c r="E6892" s="10" t="str">
        <f t="array" ref="E6892">IFS(D6892&lt;=$G$3,'calculated data '!$A$3,D6892&lt;=$G$4,'calculated data '!$A$4,D6892&lt;=$G$6,'calculated data '!$A$5,D6892&gt;=$G$6,'calculated data '!$A$6)</f>
        <v>Target Market (Core IQR)</v>
      </c>
      <c r="F6892" s="10">
        <f t="shared" si="1"/>
        <v>-0.1306076299</v>
      </c>
    </row>
    <row r="6893" ht="14.25" customHeight="1">
      <c r="A6893" s="2" t="s">
        <v>231</v>
      </c>
      <c r="B6893" s="2" t="s">
        <v>232</v>
      </c>
      <c r="C6893" s="2">
        <v>2018.0</v>
      </c>
      <c r="D6893" s="9">
        <v>20121.527</v>
      </c>
      <c r="E6893" s="10" t="str">
        <f t="array" ref="E6893">IFS(D6893&lt;=$G$3,'calculated data '!$A$3,D6893&lt;=$G$4,'calculated data '!$A$4,D6893&lt;=$G$6,'calculated data '!$A$5,D6893&gt;=$G$6,'calculated data '!$A$6)</f>
        <v>Target Market (Core IQR)</v>
      </c>
      <c r="F6893" s="10">
        <f t="shared" si="1"/>
        <v>-0.1305596667</v>
      </c>
    </row>
    <row r="6894" ht="14.25" customHeight="1">
      <c r="A6894" s="2" t="s">
        <v>295</v>
      </c>
      <c r="B6894" s="2" t="s">
        <v>296</v>
      </c>
      <c r="C6894" s="2">
        <v>2021.0</v>
      </c>
      <c r="D6894" s="9">
        <v>20123.344</v>
      </c>
      <c r="E6894" s="10" t="str">
        <f t="array" ref="E6894">IFS(D6894&lt;=$G$3,'calculated data '!$A$3,D6894&lt;=$G$4,'calculated data '!$A$4,D6894&lt;=$G$6,'calculated data '!$A$5,D6894&gt;=$G$6,'calculated data '!$A$6)</f>
        <v>Target Market (Core IQR)</v>
      </c>
      <c r="F6894" s="10">
        <f t="shared" si="1"/>
        <v>-0.1305115712</v>
      </c>
    </row>
    <row r="6895" ht="14.25" customHeight="1">
      <c r="A6895" s="2" t="s">
        <v>331</v>
      </c>
      <c r="B6895" s="2" t="s">
        <v>332</v>
      </c>
      <c r="C6895" s="2">
        <v>1980.0</v>
      </c>
      <c r="D6895" s="9">
        <v>20142.525</v>
      </c>
      <c r="E6895" s="10" t="str">
        <f t="array" ref="E6895">IFS(D6895&lt;=$G$3,'calculated data '!$A$3,D6895&lt;=$G$4,'calculated data '!$A$4,D6895&lt;=$G$6,'calculated data '!$A$5,D6895&gt;=$G$6,'calculated data '!$A$6)</f>
        <v>Target Market (Core IQR)</v>
      </c>
      <c r="F6895" s="10">
        <f t="shared" si="1"/>
        <v>-0.1300038549</v>
      </c>
    </row>
    <row r="6896" ht="14.25" customHeight="1">
      <c r="A6896" s="2" t="s">
        <v>231</v>
      </c>
      <c r="B6896" s="2" t="s">
        <v>232</v>
      </c>
      <c r="C6896" s="2">
        <v>2019.0</v>
      </c>
      <c r="D6896" s="9">
        <v>20143.916</v>
      </c>
      <c r="E6896" s="10" t="str">
        <f t="array" ref="E6896">IFS(D6896&lt;=$G$3,'calculated data '!$A$3,D6896&lt;=$G$4,'calculated data '!$A$4,D6896&lt;=$G$6,'calculated data '!$A$5,D6896&gt;=$G$6,'calculated data '!$A$6)</f>
        <v>Target Market (Core IQR)</v>
      </c>
      <c r="F6896" s="10">
        <f t="shared" si="1"/>
        <v>-0.1299670355</v>
      </c>
    </row>
    <row r="6897" ht="14.25" customHeight="1">
      <c r="A6897" s="2" t="s">
        <v>349</v>
      </c>
      <c r="B6897" s="2" t="s">
        <v>350</v>
      </c>
      <c r="C6897" s="2">
        <v>2022.0</v>
      </c>
      <c r="D6897" s="9">
        <v>20152.23</v>
      </c>
      <c r="E6897" s="10" t="str">
        <f t="array" ref="E6897">IFS(D6897&lt;=$G$3,'calculated data '!$A$3,D6897&lt;=$G$4,'calculated data '!$A$4,D6897&lt;=$G$6,'calculated data '!$A$5,D6897&gt;=$G$6,'calculated data '!$A$6)</f>
        <v>Target Market (Core IQR)</v>
      </c>
      <c r="F6897" s="10">
        <f t="shared" si="1"/>
        <v>-0.129746966</v>
      </c>
    </row>
    <row r="6898" ht="14.25" customHeight="1">
      <c r="A6898" s="2" t="s">
        <v>241</v>
      </c>
      <c r="B6898" s="2" t="s">
        <v>242</v>
      </c>
      <c r="C6898" s="2">
        <v>2019.0</v>
      </c>
      <c r="D6898" s="9">
        <v>20152.344</v>
      </c>
      <c r="E6898" s="10" t="str">
        <f t="array" ref="E6898">IFS(D6898&lt;=$G$3,'calculated data '!$A$3,D6898&lt;=$G$4,'calculated data '!$A$4,D6898&lt;=$G$6,'calculated data '!$A$5,D6898&gt;=$G$6,'calculated data '!$A$6)</f>
        <v>Target Market (Core IQR)</v>
      </c>
      <c r="F6898" s="10">
        <f t="shared" si="1"/>
        <v>-0.1297439484</v>
      </c>
    </row>
    <row r="6899" ht="14.25" customHeight="1">
      <c r="A6899" s="2" t="s">
        <v>377</v>
      </c>
      <c r="B6899" s="2" t="s">
        <v>378</v>
      </c>
      <c r="C6899" s="2">
        <v>1981.0</v>
      </c>
      <c r="D6899" s="9">
        <v>20153.562</v>
      </c>
      <c r="E6899" s="10" t="str">
        <f t="array" ref="E6899">IFS(D6899&lt;=$G$3,'calculated data '!$A$3,D6899&lt;=$G$4,'calculated data '!$A$4,D6899&lt;=$G$6,'calculated data '!$A$5,D6899&gt;=$G$6,'calculated data '!$A$6)</f>
        <v>Target Market (Core IQR)</v>
      </c>
      <c r="F6899" s="10">
        <f t="shared" si="1"/>
        <v>-0.1297117083</v>
      </c>
    </row>
    <row r="6900" ht="14.25" customHeight="1">
      <c r="A6900" s="2" t="s">
        <v>57</v>
      </c>
      <c r="B6900" s="2" t="s">
        <v>58</v>
      </c>
      <c r="C6900" s="2">
        <v>2024.0</v>
      </c>
      <c r="D6900" s="9">
        <v>20153.719</v>
      </c>
      <c r="E6900" s="10" t="str">
        <f t="array" ref="E6900">IFS(D6900&lt;=$G$3,'calculated data '!$A$3,D6900&lt;=$G$4,'calculated data '!$A$4,D6900&lt;=$G$6,'calculated data '!$A$5,D6900&gt;=$G$6,'calculated data '!$A$6)</f>
        <v>Target Market (Core IQR)</v>
      </c>
      <c r="F6900" s="10">
        <f t="shared" si="1"/>
        <v>-0.1297075525</v>
      </c>
    </row>
    <row r="6901" ht="14.25" customHeight="1">
      <c r="A6901" s="2" t="s">
        <v>357</v>
      </c>
      <c r="B6901" s="2" t="s">
        <v>358</v>
      </c>
      <c r="C6901" s="2">
        <v>2023.0</v>
      </c>
      <c r="D6901" s="9">
        <v>20156.32</v>
      </c>
      <c r="E6901" s="10" t="str">
        <f t="array" ref="E6901">IFS(D6901&lt;=$G$3,'calculated data '!$A$3,D6901&lt;=$G$4,'calculated data '!$A$4,D6901&lt;=$G$6,'calculated data '!$A$5,D6901&gt;=$G$6,'calculated data '!$A$6)</f>
        <v>Target Market (Core IQR)</v>
      </c>
      <c r="F6901" s="10">
        <f t="shared" si="1"/>
        <v>-0.1296387047</v>
      </c>
    </row>
    <row r="6902" ht="14.25" customHeight="1">
      <c r="A6902" s="2" t="s">
        <v>51</v>
      </c>
      <c r="B6902" s="2" t="s">
        <v>52</v>
      </c>
      <c r="C6902" s="2">
        <v>2022.0</v>
      </c>
      <c r="D6902" s="9">
        <v>20160.8</v>
      </c>
      <c r="E6902" s="10" t="str">
        <f t="array" ref="E6902">IFS(D6902&lt;=$G$3,'calculated data '!$A$3,D6902&lt;=$G$4,'calculated data '!$A$4,D6902&lt;=$G$6,'calculated data '!$A$5,D6902&gt;=$G$6,'calculated data '!$A$6)</f>
        <v>Target Market (Core IQR)</v>
      </c>
      <c r="F6902" s="10">
        <f t="shared" si="1"/>
        <v>-0.1295201202</v>
      </c>
    </row>
    <row r="6903" ht="14.25" customHeight="1">
      <c r="A6903" s="2" t="s">
        <v>361</v>
      </c>
      <c r="B6903" s="2" t="s">
        <v>362</v>
      </c>
      <c r="C6903" s="2">
        <v>2020.0</v>
      </c>
      <c r="D6903" s="9">
        <v>20171.842</v>
      </c>
      <c r="E6903" s="10" t="str">
        <f t="array" ref="E6903">IFS(D6903&lt;=$G$3,'calculated data '!$A$3,D6903&lt;=$G$4,'calculated data '!$A$4,D6903&lt;=$G$6,'calculated data '!$A$5,D6903&gt;=$G$6,'calculated data '!$A$6)</f>
        <v>Target Market (Core IQR)</v>
      </c>
      <c r="F6903" s="10">
        <f t="shared" si="1"/>
        <v>-0.1292278412</v>
      </c>
    </row>
    <row r="6904" ht="14.25" customHeight="1">
      <c r="A6904" s="2" t="s">
        <v>285</v>
      </c>
      <c r="B6904" s="2" t="s">
        <v>286</v>
      </c>
      <c r="C6904" s="2">
        <v>2020.0</v>
      </c>
      <c r="D6904" s="9">
        <v>20171.9</v>
      </c>
      <c r="E6904" s="10" t="str">
        <f t="array" ref="E6904">IFS(D6904&lt;=$G$3,'calculated data '!$A$3,D6904&lt;=$G$4,'calculated data '!$A$4,D6904&lt;=$G$6,'calculated data '!$A$5,D6904&gt;=$G$6,'calculated data '!$A$6)</f>
        <v>Target Market (Core IQR)</v>
      </c>
      <c r="F6904" s="10">
        <f t="shared" si="1"/>
        <v>-0.129226306</v>
      </c>
    </row>
    <row r="6905" ht="14.25" customHeight="1">
      <c r="A6905" s="2" t="s">
        <v>257</v>
      </c>
      <c r="B6905" s="2" t="s">
        <v>258</v>
      </c>
      <c r="C6905" s="2">
        <v>1999.0</v>
      </c>
      <c r="D6905" s="9">
        <v>20191.414</v>
      </c>
      <c r="E6905" s="10" t="str">
        <f t="array" ref="E6905">IFS(D6905&lt;=$G$3,'calculated data '!$A$3,D6905&lt;=$G$4,'calculated data '!$A$4,D6905&lt;=$G$6,'calculated data '!$A$5,D6905&gt;=$G$6,'calculated data '!$A$6)</f>
        <v>Target Market (Core IQR)</v>
      </c>
      <c r="F6905" s="10">
        <f t="shared" si="1"/>
        <v>-0.1287097753</v>
      </c>
    </row>
    <row r="6906" ht="14.25" customHeight="1">
      <c r="A6906" s="2" t="s">
        <v>393</v>
      </c>
      <c r="B6906" s="2" t="s">
        <v>394</v>
      </c>
      <c r="C6906" s="2">
        <v>2014.0</v>
      </c>
      <c r="D6906" s="9">
        <v>20197.334</v>
      </c>
      <c r="E6906" s="10" t="str">
        <f t="array" ref="E6906">IFS(D6906&lt;=$G$3,'calculated data '!$A$3,D6906&lt;=$G$4,'calculated data '!$A$4,D6906&lt;=$G$6,'calculated data '!$A$5,D6906&gt;=$G$6,'calculated data '!$A$6)</f>
        <v>Target Market (Core IQR)</v>
      </c>
      <c r="F6906" s="10">
        <f t="shared" si="1"/>
        <v>-0.1285530743</v>
      </c>
    </row>
    <row r="6907" ht="14.25" customHeight="1">
      <c r="A6907" s="2" t="s">
        <v>71</v>
      </c>
      <c r="B6907" s="2" t="s">
        <v>72</v>
      </c>
      <c r="C6907" s="2">
        <v>1979.0</v>
      </c>
      <c r="D6907" s="9">
        <v>20201.014</v>
      </c>
      <c r="E6907" s="10" t="str">
        <f t="array" ref="E6907">IFS(D6907&lt;=$G$3,'calculated data '!$A$3,D6907&lt;=$G$4,'calculated data '!$A$4,D6907&lt;=$G$6,'calculated data '!$A$5,D6907&gt;=$G$6,'calculated data '!$A$6)</f>
        <v>Target Market (Core IQR)</v>
      </c>
      <c r="F6907" s="10">
        <f t="shared" si="1"/>
        <v>-0.1284556657</v>
      </c>
    </row>
    <row r="6908" ht="14.25" customHeight="1">
      <c r="A6908" s="2" t="s">
        <v>285</v>
      </c>
      <c r="B6908" s="2" t="s">
        <v>286</v>
      </c>
      <c r="C6908" s="2">
        <v>2023.0</v>
      </c>
      <c r="D6908" s="9">
        <v>20204.906</v>
      </c>
      <c r="E6908" s="10" t="str">
        <f t="array" ref="E6908">IFS(D6908&lt;=$G$3,'calculated data '!$A$3,D6908&lt;=$G$4,'calculated data '!$A$4,D6908&lt;=$G$6,'calculated data '!$A$5,D6908&gt;=$G$6,'calculated data '!$A$6)</f>
        <v>Target Market (Core IQR)</v>
      </c>
      <c r="F6908" s="10">
        <f t="shared" si="1"/>
        <v>-0.1283526454</v>
      </c>
    </row>
    <row r="6909" ht="14.25" customHeight="1">
      <c r="A6909" s="2" t="s">
        <v>341</v>
      </c>
      <c r="B6909" s="2" t="s">
        <v>342</v>
      </c>
      <c r="C6909" s="2">
        <v>1985.0</v>
      </c>
      <c r="D6909" s="9">
        <v>20213.115</v>
      </c>
      <c r="E6909" s="10" t="str">
        <f t="array" ref="E6909">IFS(D6909&lt;=$G$3,'calculated data '!$A$3,D6909&lt;=$G$4,'calculated data '!$A$4,D6909&lt;=$G$6,'calculated data '!$A$5,D6909&gt;=$G$6,'calculated data '!$A$6)</f>
        <v>Target Market (Core IQR)</v>
      </c>
      <c r="F6909" s="10">
        <f t="shared" si="1"/>
        <v>-0.1281353552</v>
      </c>
    </row>
    <row r="6910" ht="14.25" customHeight="1">
      <c r="A6910" s="2" t="s">
        <v>341</v>
      </c>
      <c r="B6910" s="2" t="s">
        <v>342</v>
      </c>
      <c r="C6910" s="2">
        <v>2006.0</v>
      </c>
      <c r="D6910" s="9">
        <v>20216.604</v>
      </c>
      <c r="E6910" s="10" t="str">
        <f t="array" ref="E6910">IFS(D6910&lt;=$G$3,'calculated data '!$A$3,D6910&lt;=$G$4,'calculated data '!$A$4,D6910&lt;=$G$6,'calculated data '!$A$5,D6910&gt;=$G$6,'calculated data '!$A$6)</f>
        <v>Target Market (Core IQR)</v>
      </c>
      <c r="F6910" s="10">
        <f t="shared" si="1"/>
        <v>-0.1280430022</v>
      </c>
    </row>
    <row r="6911" ht="14.25" customHeight="1">
      <c r="A6911" s="2" t="s">
        <v>285</v>
      </c>
      <c r="B6911" s="2" t="s">
        <v>286</v>
      </c>
      <c r="C6911" s="2">
        <v>2021.0</v>
      </c>
      <c r="D6911" s="9">
        <v>20222.768</v>
      </c>
      <c r="E6911" s="10" t="str">
        <f t="array" ref="E6911">IFS(D6911&lt;=$G$3,'calculated data '!$A$3,D6911&lt;=$G$4,'calculated data '!$A$4,D6911&lt;=$G$6,'calculated data '!$A$5,D6911&gt;=$G$6,'calculated data '!$A$6)</f>
        <v>Target Market (Core IQR)</v>
      </c>
      <c r="F6911" s="10">
        <f t="shared" si="1"/>
        <v>-0.1278798427</v>
      </c>
    </row>
    <row r="6912" ht="14.25" customHeight="1">
      <c r="A6912" s="2" t="s">
        <v>141</v>
      </c>
      <c r="B6912" s="2" t="s">
        <v>142</v>
      </c>
      <c r="C6912" s="2">
        <v>2017.0</v>
      </c>
      <c r="D6912" s="9">
        <v>20240.24</v>
      </c>
      <c r="E6912" s="10" t="str">
        <f t="array" ref="E6912">IFS(D6912&lt;=$G$3,'calculated data '!$A$3,D6912&lt;=$G$4,'calculated data '!$A$4,D6912&lt;=$G$6,'calculated data '!$A$5,D6912&gt;=$G$6,'calculated data '!$A$6)</f>
        <v>Target Market (Core IQR)</v>
      </c>
      <c r="F6912" s="10">
        <f t="shared" si="1"/>
        <v>-0.1274173632</v>
      </c>
    </row>
    <row r="6913" ht="14.25" customHeight="1">
      <c r="A6913" s="2" t="s">
        <v>335</v>
      </c>
      <c r="B6913" s="2" t="s">
        <v>336</v>
      </c>
      <c r="C6913" s="2">
        <v>1977.0</v>
      </c>
      <c r="D6913" s="9">
        <v>20243.238</v>
      </c>
      <c r="E6913" s="10" t="str">
        <f t="array" ref="E6913">IFS(D6913&lt;=$G$3,'calculated data '!$A$3,D6913&lt;=$G$4,'calculated data '!$A$4,D6913&lt;=$G$6,'calculated data '!$A$5,D6913&gt;=$G$6,'calculated data '!$A$6)</f>
        <v>Target Market (Core IQR)</v>
      </c>
      <c r="F6913" s="10">
        <f t="shared" si="1"/>
        <v>-0.1273380069</v>
      </c>
    </row>
    <row r="6914" ht="14.25" customHeight="1">
      <c r="A6914" s="2" t="s">
        <v>285</v>
      </c>
      <c r="B6914" s="2" t="s">
        <v>286</v>
      </c>
      <c r="C6914" s="2">
        <v>2022.0</v>
      </c>
      <c r="D6914" s="9">
        <v>20253.197</v>
      </c>
      <c r="E6914" s="10" t="str">
        <f t="array" ref="E6914">IFS(D6914&lt;=$G$3,'calculated data '!$A$3,D6914&lt;=$G$4,'calculated data '!$A$4,D6914&lt;=$G$6,'calculated data '!$A$5,D6914&gt;=$G$6,'calculated data '!$A$6)</f>
        <v>Target Market (Core IQR)</v>
      </c>
      <c r="F6914" s="10">
        <f t="shared" si="1"/>
        <v>-0.1270743946</v>
      </c>
    </row>
    <row r="6915" ht="14.25" customHeight="1">
      <c r="A6915" s="2" t="s">
        <v>57</v>
      </c>
      <c r="B6915" s="2" t="s">
        <v>58</v>
      </c>
      <c r="C6915" s="2">
        <v>2025.0</v>
      </c>
      <c r="D6915" s="9">
        <v>20257.705</v>
      </c>
      <c r="E6915" s="10" t="str">
        <f t="array" ref="E6915">IFS(D6915&lt;=$G$3,'calculated data '!$A$3,D6915&lt;=$G$4,'calculated data '!$A$4,D6915&lt;=$G$6,'calculated data '!$A$5,D6915&gt;=$G$6,'calculated data '!$A$6)</f>
        <v>Target Market (Core IQR)</v>
      </c>
      <c r="F6915" s="10">
        <f t="shared" si="1"/>
        <v>-0.126955069</v>
      </c>
    </row>
    <row r="6916" ht="14.25" customHeight="1">
      <c r="A6916" s="2" t="s">
        <v>341</v>
      </c>
      <c r="B6916" s="2" t="s">
        <v>342</v>
      </c>
      <c r="C6916" s="2">
        <v>1986.0</v>
      </c>
      <c r="D6916" s="9">
        <v>20278.295</v>
      </c>
      <c r="E6916" s="10" t="str">
        <f t="array" ref="E6916">IFS(D6916&lt;=$G$3,'calculated data '!$A$3,D6916&lt;=$G$4,'calculated data '!$A$4,D6916&lt;=$G$6,'calculated data '!$A$5,D6916&gt;=$G$6,'calculated data '!$A$6)</f>
        <v>Target Market (Core IQR)</v>
      </c>
      <c r="F6916" s="10">
        <f t="shared" si="1"/>
        <v>-0.1264100568</v>
      </c>
    </row>
    <row r="6917" ht="14.25" customHeight="1">
      <c r="A6917" s="2" t="s">
        <v>221</v>
      </c>
      <c r="B6917" s="2" t="s">
        <v>222</v>
      </c>
      <c r="C6917" s="2">
        <v>1988.0</v>
      </c>
      <c r="D6917" s="9">
        <v>20281.568</v>
      </c>
      <c r="E6917" s="10" t="str">
        <f t="array" ref="E6917">IFS(D6917&lt;=$G$3,'calculated data '!$A$3,D6917&lt;=$G$4,'calculated data '!$A$4,D6917&lt;=$G$6,'calculated data '!$A$5,D6917&gt;=$G$6,'calculated data '!$A$6)</f>
        <v>Target Market (Core IQR)</v>
      </c>
      <c r="F6917" s="10">
        <f t="shared" si="1"/>
        <v>-0.1263234213</v>
      </c>
    </row>
    <row r="6918" ht="14.25" customHeight="1">
      <c r="A6918" s="2" t="s">
        <v>323</v>
      </c>
      <c r="B6918" s="2" t="s">
        <v>324</v>
      </c>
      <c r="C6918" s="2">
        <v>2004.0</v>
      </c>
      <c r="D6918" s="9">
        <v>20296.918</v>
      </c>
      <c r="E6918" s="10" t="str">
        <f t="array" ref="E6918">IFS(D6918&lt;=$G$3,'calculated data '!$A$3,D6918&lt;=$G$4,'calculated data '!$A$4,D6918&lt;=$G$6,'calculated data '!$A$5,D6918&gt;=$G$6,'calculated data '!$A$6)</f>
        <v>Target Market (Core IQR)</v>
      </c>
      <c r="F6918" s="10">
        <f t="shared" si="1"/>
        <v>-0.1259171107</v>
      </c>
    </row>
    <row r="6919" ht="14.25" customHeight="1">
      <c r="A6919" s="2" t="s">
        <v>323</v>
      </c>
      <c r="B6919" s="2" t="s">
        <v>324</v>
      </c>
      <c r="C6919" s="2">
        <v>2005.0</v>
      </c>
      <c r="D6919" s="9">
        <v>20307.605</v>
      </c>
      <c r="E6919" s="10" t="str">
        <f t="array" ref="E6919">IFS(D6919&lt;=$G$3,'calculated data '!$A$3,D6919&lt;=$G$4,'calculated data '!$A$4,D6919&lt;=$G$6,'calculated data '!$A$5,D6919&gt;=$G$6,'calculated data '!$A$6)</f>
        <v>Target Market (Core IQR)</v>
      </c>
      <c r="F6919" s="10">
        <f t="shared" si="1"/>
        <v>-0.1256342284</v>
      </c>
    </row>
    <row r="6920" ht="14.25" customHeight="1">
      <c r="A6920" s="2" t="s">
        <v>291</v>
      </c>
      <c r="B6920" s="2" t="s">
        <v>292</v>
      </c>
      <c r="C6920" s="2">
        <v>2024.0</v>
      </c>
      <c r="D6920" s="9">
        <v>20313.357</v>
      </c>
      <c r="E6920" s="10" t="str">
        <f t="array" ref="E6920">IFS(D6920&lt;=$G$3,'calculated data '!$A$3,D6920&lt;=$G$4,'calculated data '!$A$4,D6920&lt;=$G$6,'calculated data '!$A$5,D6920&gt;=$G$6,'calculated data '!$A$6)</f>
        <v>Target Market (Core IQR)</v>
      </c>
      <c r="F6920" s="10">
        <f t="shared" si="1"/>
        <v>-0.1254819744</v>
      </c>
    </row>
    <row r="6921" ht="14.25" customHeight="1">
      <c r="A6921" s="2" t="s">
        <v>351</v>
      </c>
      <c r="B6921" s="2" t="s">
        <v>352</v>
      </c>
      <c r="C6921" s="2">
        <v>2021.0</v>
      </c>
      <c r="D6921" s="9">
        <v>20324.766</v>
      </c>
      <c r="E6921" s="10" t="str">
        <f t="array" ref="E6921">IFS(D6921&lt;=$G$3,'calculated data '!$A$3,D6921&lt;=$G$4,'calculated data '!$A$4,D6921&lt;=$G$6,'calculated data '!$A$5,D6921&gt;=$G$6,'calculated data '!$A$6)</f>
        <v>Target Market (Core IQR)</v>
      </c>
      <c r="F6921" s="10">
        <f t="shared" si="1"/>
        <v>-0.125179981</v>
      </c>
    </row>
    <row r="6922" ht="14.25" customHeight="1">
      <c r="A6922" s="2" t="s">
        <v>357</v>
      </c>
      <c r="B6922" s="2" t="s">
        <v>358</v>
      </c>
      <c r="C6922" s="2">
        <v>2007.0</v>
      </c>
      <c r="D6922" s="9">
        <v>20342.23</v>
      </c>
      <c r="E6922" s="10" t="str">
        <f t="array" ref="E6922">IFS(D6922&lt;=$G$3,'calculated data '!$A$3,D6922&lt;=$G$4,'calculated data '!$A$4,D6922&lt;=$G$6,'calculated data '!$A$5,D6922&gt;=$G$6,'calculated data '!$A$6)</f>
        <v>Target Market (Core IQR)</v>
      </c>
      <c r="F6922" s="10">
        <f t="shared" si="1"/>
        <v>-0.1247177133</v>
      </c>
    </row>
    <row r="6923" ht="14.25" customHeight="1">
      <c r="A6923" s="2" t="s">
        <v>359</v>
      </c>
      <c r="B6923" s="2" t="s">
        <v>360</v>
      </c>
      <c r="C6923" s="2">
        <v>2007.0</v>
      </c>
      <c r="D6923" s="9">
        <v>20351.963</v>
      </c>
      <c r="E6923" s="10" t="str">
        <f t="array" ref="E6923">IFS(D6923&lt;=$G$3,'calculated data '!$A$3,D6923&lt;=$G$4,'calculated data '!$A$4,D6923&lt;=$G$6,'calculated data '!$A$5,D6923&gt;=$G$6,'calculated data '!$A$6)</f>
        <v>Target Market (Core IQR)</v>
      </c>
      <c r="F6923" s="10">
        <f t="shared" si="1"/>
        <v>-0.1244600832</v>
      </c>
    </row>
    <row r="6924" ht="14.25" customHeight="1">
      <c r="A6924" s="2" t="s">
        <v>313</v>
      </c>
      <c r="B6924" s="2" t="s">
        <v>314</v>
      </c>
      <c r="C6924" s="2">
        <v>2015.0</v>
      </c>
      <c r="D6924" s="9">
        <v>20360.316</v>
      </c>
      <c r="E6924" s="10" t="str">
        <f t="array" ref="E6924">IFS(D6924&lt;=$G$3,'calculated data '!$A$3,D6924&lt;=$G$4,'calculated data '!$A$4,D6924&lt;=$G$6,'calculated data '!$A$5,D6924&gt;=$G$6,'calculated data '!$A$6)</f>
        <v>Target Market (Core IQR)</v>
      </c>
      <c r="F6924" s="10">
        <f t="shared" si="1"/>
        <v>-0.1242389814</v>
      </c>
    </row>
    <row r="6925" ht="14.25" customHeight="1">
      <c r="A6925" s="2" t="s">
        <v>391</v>
      </c>
      <c r="B6925" s="2" t="s">
        <v>392</v>
      </c>
      <c r="C6925" s="2">
        <v>1987.0</v>
      </c>
      <c r="D6925" s="9">
        <v>20365.4</v>
      </c>
      <c r="E6925" s="10" t="str">
        <f t="array" ref="E6925">IFS(D6925&lt;=$G$3,'calculated data '!$A$3,D6925&lt;=$G$4,'calculated data '!$A$4,D6925&lt;=$G$6,'calculated data '!$A$5,D6925&gt;=$G$6,'calculated data '!$A$6)</f>
        <v>Target Market (Core IQR)</v>
      </c>
      <c r="F6925" s="10">
        <f t="shared" si="1"/>
        <v>-0.1241044092</v>
      </c>
    </row>
    <row r="6926" ht="14.25" customHeight="1">
      <c r="A6926" s="2" t="s">
        <v>361</v>
      </c>
      <c r="B6926" s="2" t="s">
        <v>362</v>
      </c>
      <c r="C6926" s="2">
        <v>2001.0</v>
      </c>
      <c r="D6926" s="9">
        <v>20367.414</v>
      </c>
      <c r="E6926" s="10" t="str">
        <f t="array" ref="E6926">IFS(D6926&lt;=$G$3,'calculated data '!$A$3,D6926&lt;=$G$4,'calculated data '!$A$4,D6926&lt;=$G$6,'calculated data '!$A$5,D6926&gt;=$G$6,'calculated data '!$A$6)</f>
        <v>Target Market (Core IQR)</v>
      </c>
      <c r="F6926" s="10">
        <f t="shared" si="1"/>
        <v>-0.1240510991</v>
      </c>
    </row>
    <row r="6927" ht="14.25" customHeight="1">
      <c r="A6927" s="2" t="s">
        <v>355</v>
      </c>
      <c r="B6927" s="2" t="s">
        <v>356</v>
      </c>
      <c r="C6927" s="2">
        <v>2023.0</v>
      </c>
      <c r="D6927" s="9">
        <v>20375.049</v>
      </c>
      <c r="E6927" s="10" t="str">
        <f t="array" ref="E6927">IFS(D6927&lt;=$G$3,'calculated data '!$A$3,D6927&lt;=$G$4,'calculated data '!$A$4,D6927&lt;=$G$6,'calculated data '!$A$5,D6927&gt;=$G$6,'calculated data '!$A$6)</f>
        <v>Target Market (Core IQR)</v>
      </c>
      <c r="F6927" s="10">
        <f t="shared" si="1"/>
        <v>-0.1238490025</v>
      </c>
    </row>
    <row r="6928" ht="14.25" customHeight="1">
      <c r="A6928" s="2" t="s">
        <v>359</v>
      </c>
      <c r="B6928" s="2" t="s">
        <v>360</v>
      </c>
      <c r="C6928" s="2">
        <v>1969.0</v>
      </c>
      <c r="D6928" s="9">
        <v>20377.479</v>
      </c>
      <c r="E6928" s="10" t="str">
        <f t="array" ref="E6928">IFS(D6928&lt;=$G$3,'calculated data '!$A$3,D6928&lt;=$G$4,'calculated data '!$A$4,D6928&lt;=$G$6,'calculated data '!$A$5,D6928&gt;=$G$6,'calculated data '!$A$6)</f>
        <v>Target Market (Core IQR)</v>
      </c>
      <c r="F6928" s="10">
        <f t="shared" si="1"/>
        <v>-0.1237846811</v>
      </c>
    </row>
    <row r="6929" ht="14.25" customHeight="1">
      <c r="A6929" s="2" t="s">
        <v>379</v>
      </c>
      <c r="B6929" s="2" t="s">
        <v>380</v>
      </c>
      <c r="C6929" s="2">
        <v>1967.0</v>
      </c>
      <c r="D6929" s="9">
        <v>20378.408</v>
      </c>
      <c r="E6929" s="10" t="str">
        <f t="array" ref="E6929">IFS(D6929&lt;=$G$3,'calculated data '!$A$3,D6929&lt;=$G$4,'calculated data '!$A$4,D6929&lt;=$G$6,'calculated data '!$A$5,D6929&gt;=$G$6,'calculated data '!$A$6)</f>
        <v>Target Market (Core IQR)</v>
      </c>
      <c r="F6929" s="10">
        <f t="shared" si="1"/>
        <v>-0.1237600907</v>
      </c>
    </row>
    <row r="6930" ht="14.25" customHeight="1">
      <c r="A6930" s="2" t="s">
        <v>373</v>
      </c>
      <c r="B6930" s="2" t="s">
        <v>374</v>
      </c>
      <c r="C6930" s="2">
        <v>2020.0</v>
      </c>
      <c r="D6930" s="9">
        <v>20380.818</v>
      </c>
      <c r="E6930" s="10" t="str">
        <f t="array" ref="E6930">IFS(D6930&lt;=$G$3,'calculated data '!$A$3,D6930&lt;=$G$4,'calculated data '!$A$4,D6930&lt;=$G$6,'calculated data '!$A$5,D6930&gt;=$G$6,'calculated data '!$A$6)</f>
        <v>Target Market (Core IQR)</v>
      </c>
      <c r="F6930" s="10">
        <f t="shared" si="1"/>
        <v>-0.1236962986</v>
      </c>
    </row>
    <row r="6931" ht="14.25" customHeight="1">
      <c r="A6931" s="2" t="s">
        <v>271</v>
      </c>
      <c r="B6931" s="2" t="s">
        <v>272</v>
      </c>
      <c r="C6931" s="2">
        <v>1993.0</v>
      </c>
      <c r="D6931" s="9">
        <v>20383.412</v>
      </c>
      <c r="E6931" s="10" t="str">
        <f t="array" ref="E6931">IFS(D6931&lt;=$G$3,'calculated data '!$A$3,D6931&lt;=$G$4,'calculated data '!$A$4,D6931&lt;=$G$6,'calculated data '!$A$5,D6931&gt;=$G$6,'calculated data '!$A$6)</f>
        <v>Target Market (Core IQR)</v>
      </c>
      <c r="F6931" s="10">
        <f t="shared" si="1"/>
        <v>-0.123627636</v>
      </c>
    </row>
    <row r="6932" ht="14.25" customHeight="1">
      <c r="A6932" s="2" t="s">
        <v>277</v>
      </c>
      <c r="B6932" s="2" t="s">
        <v>278</v>
      </c>
      <c r="C6932" s="2">
        <v>2004.0</v>
      </c>
      <c r="D6932" s="9">
        <v>20389.607</v>
      </c>
      <c r="E6932" s="10" t="str">
        <f t="array" ref="E6932">IFS(D6932&lt;=$G$3,'calculated data '!$A$3,D6932&lt;=$G$4,'calculated data '!$A$4,D6932&lt;=$G$6,'calculated data '!$A$5,D6932&gt;=$G$6,'calculated data '!$A$6)</f>
        <v>Target Market (Core IQR)</v>
      </c>
      <c r="F6932" s="10">
        <f t="shared" si="1"/>
        <v>-0.1234636559</v>
      </c>
    </row>
    <row r="6933" ht="14.25" customHeight="1">
      <c r="A6933" s="2" t="s">
        <v>359</v>
      </c>
      <c r="B6933" s="2" t="s">
        <v>360</v>
      </c>
      <c r="C6933" s="2">
        <v>2008.0</v>
      </c>
      <c r="D6933" s="9">
        <v>20394.992</v>
      </c>
      <c r="E6933" s="10" t="str">
        <f t="array" ref="E6933">IFS(D6933&lt;=$G$3,'calculated data '!$A$3,D6933&lt;=$G$4,'calculated data '!$A$4,D6933&lt;=$G$6,'calculated data '!$A$5,D6933&gt;=$G$6,'calculated data '!$A$6)</f>
        <v>Target Market (Core IQR)</v>
      </c>
      <c r="F6933" s="10">
        <f t="shared" si="1"/>
        <v>-0.1233211163</v>
      </c>
    </row>
    <row r="6934" ht="14.25" customHeight="1">
      <c r="A6934" s="2" t="s">
        <v>357</v>
      </c>
      <c r="B6934" s="2" t="s">
        <v>358</v>
      </c>
      <c r="C6934" s="2">
        <v>2018.0</v>
      </c>
      <c r="D6934" s="9">
        <v>20395.242</v>
      </c>
      <c r="E6934" s="10" t="str">
        <f t="array" ref="E6934">IFS(D6934&lt;=$G$3,'calculated data '!$A$3,D6934&lt;=$G$4,'calculated data '!$A$4,D6934&lt;=$G$6,'calculated data '!$A$5,D6934&gt;=$G$6,'calculated data '!$A$6)</f>
        <v>Target Market (Core IQR)</v>
      </c>
      <c r="F6934" s="10">
        <f t="shared" si="1"/>
        <v>-0.1233144989</v>
      </c>
    </row>
    <row r="6935" ht="14.25" customHeight="1">
      <c r="A6935" s="2" t="s">
        <v>331</v>
      </c>
      <c r="B6935" s="2" t="s">
        <v>332</v>
      </c>
      <c r="C6935" s="2">
        <v>1984.0</v>
      </c>
      <c r="D6935" s="9">
        <v>20396.957</v>
      </c>
      <c r="E6935" s="10" t="str">
        <f t="array" ref="E6935">IFS(D6935&lt;=$G$3,'calculated data '!$A$3,D6935&lt;=$G$4,'calculated data '!$A$4,D6935&lt;=$G$6,'calculated data '!$A$5,D6935&gt;=$G$6,'calculated data '!$A$6)</f>
        <v>Target Market (Core IQR)</v>
      </c>
      <c r="F6935" s="10">
        <f t="shared" si="1"/>
        <v>-0.1232691032</v>
      </c>
    </row>
    <row r="6936" ht="14.25" customHeight="1">
      <c r="A6936" s="2" t="s">
        <v>357</v>
      </c>
      <c r="B6936" s="2" t="s">
        <v>358</v>
      </c>
      <c r="C6936" s="2">
        <v>2008.0</v>
      </c>
      <c r="D6936" s="9">
        <v>20403.521</v>
      </c>
      <c r="E6936" s="10" t="str">
        <f t="array" ref="E6936">IFS(D6936&lt;=$G$3,'calculated data '!$A$3,D6936&lt;=$G$4,'calculated data '!$A$4,D6936&lt;=$G$6,'calculated data '!$A$5,D6936&gt;=$G$6,'calculated data '!$A$6)</f>
        <v>Target Market (Core IQR)</v>
      </c>
      <c r="F6936" s="10">
        <f t="shared" si="1"/>
        <v>-0.1230953558</v>
      </c>
    </row>
    <row r="6937" ht="14.25" customHeight="1">
      <c r="A6937" s="2" t="s">
        <v>349</v>
      </c>
      <c r="B6937" s="2" t="s">
        <v>350</v>
      </c>
      <c r="C6937" s="2">
        <v>1995.0</v>
      </c>
      <c r="D6937" s="9">
        <v>20416.783</v>
      </c>
      <c r="E6937" s="10" t="str">
        <f t="array" ref="E6937">IFS(D6937&lt;=$G$3,'calculated data '!$A$3,D6937&lt;=$G$4,'calculated data '!$A$4,D6937&lt;=$G$6,'calculated data '!$A$5,D6937&gt;=$G$6,'calculated data '!$A$6)</f>
        <v>Target Market (Core IQR)</v>
      </c>
      <c r="F6937" s="10">
        <f t="shared" si="1"/>
        <v>-0.122744314</v>
      </c>
    </row>
    <row r="6938" ht="14.25" customHeight="1">
      <c r="A6938" s="2" t="s">
        <v>343</v>
      </c>
      <c r="B6938" s="2" t="s">
        <v>344</v>
      </c>
      <c r="C6938" s="2">
        <v>1989.0</v>
      </c>
      <c r="D6938" s="9">
        <v>20421.025</v>
      </c>
      <c r="E6938" s="10" t="str">
        <f t="array" ref="E6938">IFS(D6938&lt;=$G$3,'calculated data '!$A$3,D6938&lt;=$G$4,'calculated data '!$A$4,D6938&lt;=$G$6,'calculated data '!$A$5,D6938&gt;=$G$6,'calculated data '!$A$6)</f>
        <v>Target Market (Core IQR)</v>
      </c>
      <c r="F6938" s="10">
        <f t="shared" si="1"/>
        <v>-0.1226320293</v>
      </c>
    </row>
    <row r="6939" ht="14.25" customHeight="1">
      <c r="A6939" s="2" t="s">
        <v>31</v>
      </c>
      <c r="B6939" s="2" t="s">
        <v>32</v>
      </c>
      <c r="C6939" s="2">
        <v>2000.0</v>
      </c>
      <c r="D6939" s="9">
        <v>20436.33</v>
      </c>
      <c r="E6939" s="10" t="str">
        <f t="array" ref="E6939">IFS(D6939&lt;=$G$3,'calculated data '!$A$3,D6939&lt;=$G$4,'calculated data '!$A$4,D6939&lt;=$G$6,'calculated data '!$A$5,D6939&gt;=$G$6,'calculated data '!$A$6)</f>
        <v>Target Market (Core IQR)</v>
      </c>
      <c r="F6939" s="10">
        <f t="shared" si="1"/>
        <v>-0.1222269097</v>
      </c>
    </row>
    <row r="6940" ht="14.25" customHeight="1">
      <c r="A6940" s="2" t="s">
        <v>311</v>
      </c>
      <c r="B6940" s="2" t="s">
        <v>312</v>
      </c>
      <c r="C6940" s="2">
        <v>2008.0</v>
      </c>
      <c r="D6940" s="9">
        <v>20446.494</v>
      </c>
      <c r="E6940" s="10" t="str">
        <f t="array" ref="E6940">IFS(D6940&lt;=$G$3,'calculated data '!$A$3,D6940&lt;=$G$4,'calculated data '!$A$4,D6940&lt;=$G$6,'calculated data '!$A$5,D6940&gt;=$G$6,'calculated data '!$A$6)</f>
        <v>Target Market (Core IQR)</v>
      </c>
      <c r="F6940" s="10">
        <f t="shared" si="1"/>
        <v>-0.1219578712</v>
      </c>
    </row>
    <row r="6941" ht="14.25" customHeight="1">
      <c r="A6941" s="2" t="s">
        <v>341</v>
      </c>
      <c r="B6941" s="2" t="s">
        <v>342</v>
      </c>
      <c r="C6941" s="2">
        <v>1994.0</v>
      </c>
      <c r="D6941" s="9">
        <v>20449.39</v>
      </c>
      <c r="E6941" s="10" t="str">
        <f t="array" ref="E6941">IFS(D6941&lt;=$G$3,'calculated data '!$A$3,D6941&lt;=$G$4,'calculated data '!$A$4,D6941&lt;=$G$6,'calculated data '!$A$5,D6941&gt;=$G$6,'calculated data '!$A$6)</f>
        <v>Target Market (Core IQR)</v>
      </c>
      <c r="F6941" s="10">
        <f t="shared" si="1"/>
        <v>-0.1218812148</v>
      </c>
    </row>
    <row r="6942" ht="14.25" customHeight="1">
      <c r="A6942" s="2" t="s">
        <v>127</v>
      </c>
      <c r="B6942" s="2" t="s">
        <v>128</v>
      </c>
      <c r="C6942" s="2">
        <v>2022.0</v>
      </c>
      <c r="D6942" s="9">
        <v>20471.13</v>
      </c>
      <c r="E6942" s="10" t="str">
        <f t="array" ref="E6942">IFS(D6942&lt;=$G$3,'calculated data '!$A$3,D6942&lt;=$G$4,'calculated data '!$A$4,D6942&lt;=$G$6,'calculated data '!$A$5,D6942&gt;=$G$6,'calculated data '!$A$6)</f>
        <v>Target Market (Core IQR)</v>
      </c>
      <c r="F6942" s="10">
        <f t="shared" si="1"/>
        <v>-0.1213057624</v>
      </c>
    </row>
    <row r="6943" ht="14.25" customHeight="1">
      <c r="A6943" s="2" t="s">
        <v>291</v>
      </c>
      <c r="B6943" s="2" t="s">
        <v>292</v>
      </c>
      <c r="C6943" s="2">
        <v>1989.0</v>
      </c>
      <c r="D6943" s="9">
        <v>20471.988</v>
      </c>
      <c r="E6943" s="10" t="str">
        <f t="array" ref="E6943">IFS(D6943&lt;=$G$3,'calculated data '!$A$3,D6943&lt;=$G$4,'calculated data '!$A$4,D6943&lt;=$G$6,'calculated data '!$A$5,D6943&gt;=$G$6,'calculated data '!$A$6)</f>
        <v>Target Market (Core IQR)</v>
      </c>
      <c r="F6943" s="10">
        <f t="shared" si="1"/>
        <v>-0.1212830514</v>
      </c>
    </row>
    <row r="6944" ht="14.25" customHeight="1">
      <c r="A6944" s="2" t="s">
        <v>231</v>
      </c>
      <c r="B6944" s="2" t="s">
        <v>232</v>
      </c>
      <c r="C6944" s="2">
        <v>2017.0</v>
      </c>
      <c r="D6944" s="9">
        <v>20477.71</v>
      </c>
      <c r="E6944" s="10" t="str">
        <f t="array" ref="E6944">IFS(D6944&lt;=$G$3,'calculated data '!$A$3,D6944&lt;=$G$4,'calculated data '!$A$4,D6944&lt;=$G$6,'calculated data '!$A$5,D6944&gt;=$G$6,'calculated data '!$A$6)</f>
        <v>Target Market (Core IQR)</v>
      </c>
      <c r="F6944" s="10">
        <f t="shared" si="1"/>
        <v>-0.1211315914</v>
      </c>
    </row>
    <row r="6945" ht="14.25" customHeight="1">
      <c r="A6945" s="2" t="s">
        <v>357</v>
      </c>
      <c r="B6945" s="2" t="s">
        <v>358</v>
      </c>
      <c r="C6945" s="2">
        <v>2011.0</v>
      </c>
      <c r="D6945" s="9">
        <v>20481.492</v>
      </c>
      <c r="E6945" s="10" t="str">
        <f t="array" ref="E6945">IFS(D6945&lt;=$G$3,'calculated data '!$A$3,D6945&lt;=$G$4,'calculated data '!$A$4,D6945&lt;=$G$6,'calculated data '!$A$5,D6945&gt;=$G$6,'calculated data '!$A$6)</f>
        <v>Target Market (Core IQR)</v>
      </c>
      <c r="F6945" s="10">
        <f t="shared" si="1"/>
        <v>-0.1210314828</v>
      </c>
    </row>
    <row r="6946" ht="14.25" customHeight="1">
      <c r="A6946" s="2" t="s">
        <v>313</v>
      </c>
      <c r="B6946" s="2" t="s">
        <v>314</v>
      </c>
      <c r="C6946" s="2">
        <v>2014.0</v>
      </c>
      <c r="D6946" s="9">
        <v>20492.916</v>
      </c>
      <c r="E6946" s="10" t="str">
        <f t="array" ref="E6946">IFS(D6946&lt;=$G$3,'calculated data '!$A$3,D6946&lt;=$G$4,'calculated data '!$A$4,D6946&lt;=$G$6,'calculated data '!$A$5,D6946&gt;=$G$6,'calculated data '!$A$6)</f>
        <v>Target Market (Core IQR)</v>
      </c>
      <c r="F6946" s="10">
        <f t="shared" si="1"/>
        <v>-0.1207290924</v>
      </c>
    </row>
    <row r="6947" ht="14.25" customHeight="1">
      <c r="A6947" s="2" t="s">
        <v>357</v>
      </c>
      <c r="B6947" s="2" t="s">
        <v>358</v>
      </c>
      <c r="C6947" s="2">
        <v>2022.0</v>
      </c>
      <c r="D6947" s="9">
        <v>20499.234</v>
      </c>
      <c r="E6947" s="10" t="str">
        <f t="array" ref="E6947">IFS(D6947&lt;=$G$3,'calculated data '!$A$3,D6947&lt;=$G$4,'calculated data '!$A$4,D6947&lt;=$G$6,'calculated data '!$A$5,D6947&gt;=$G$6,'calculated data '!$A$6)</f>
        <v>Target Market (Core IQR)</v>
      </c>
      <c r="F6947" s="10">
        <f t="shared" si="1"/>
        <v>-0.1205618565</v>
      </c>
    </row>
    <row r="6948" ht="14.25" customHeight="1">
      <c r="A6948" s="2" t="s">
        <v>197</v>
      </c>
      <c r="B6948" s="2" t="s">
        <v>198</v>
      </c>
      <c r="C6948" s="2">
        <v>2010.0</v>
      </c>
      <c r="D6948" s="9">
        <v>20499.754</v>
      </c>
      <c r="E6948" s="10" t="str">
        <f t="array" ref="E6948">IFS(D6948&lt;=$G$3,'calculated data '!$A$3,D6948&lt;=$G$4,'calculated data '!$A$4,D6948&lt;=$G$6,'calculated data '!$A$5,D6948&gt;=$G$6,'calculated data '!$A$6)</f>
        <v>Target Market (Core IQR)</v>
      </c>
      <c r="F6948" s="10">
        <f t="shared" si="1"/>
        <v>-0.1205480923</v>
      </c>
    </row>
    <row r="6949" ht="14.25" customHeight="1">
      <c r="A6949" s="2" t="s">
        <v>377</v>
      </c>
      <c r="B6949" s="2" t="s">
        <v>378</v>
      </c>
      <c r="C6949" s="2">
        <v>1980.0</v>
      </c>
      <c r="D6949" s="9">
        <v>20503.268</v>
      </c>
      <c r="E6949" s="10" t="str">
        <f t="array" ref="E6949">IFS(D6949&lt;=$G$3,'calculated data '!$A$3,D6949&lt;=$G$4,'calculated data '!$A$4,D6949&lt;=$G$6,'calculated data '!$A$5,D6949&gt;=$G$6,'calculated data '!$A$6)</f>
        <v>Target Market (Core IQR)</v>
      </c>
      <c r="F6949" s="10">
        <f t="shared" si="1"/>
        <v>-0.1204550776</v>
      </c>
    </row>
    <row r="6950" ht="14.25" customHeight="1">
      <c r="A6950" s="2" t="s">
        <v>39</v>
      </c>
      <c r="B6950" s="2" t="s">
        <v>40</v>
      </c>
      <c r="C6950" s="2">
        <v>1993.0</v>
      </c>
      <c r="D6950" s="9">
        <v>20513.594</v>
      </c>
      <c r="E6950" s="10" t="str">
        <f t="array" ref="E6950">IFS(D6950&lt;=$G$3,'calculated data '!$A$3,D6950&lt;=$G$4,'calculated data '!$A$4,D6950&lt;=$G$6,'calculated data '!$A$5,D6950&gt;=$G$6,'calculated data '!$A$6)</f>
        <v>Target Market (Core IQR)</v>
      </c>
      <c r="F6950" s="10">
        <f t="shared" si="1"/>
        <v>-0.1201817509</v>
      </c>
    </row>
    <row r="6951" ht="14.25" customHeight="1">
      <c r="A6951" s="2" t="s">
        <v>311</v>
      </c>
      <c r="B6951" s="2" t="s">
        <v>312</v>
      </c>
      <c r="C6951" s="2">
        <v>2007.0</v>
      </c>
      <c r="D6951" s="9">
        <v>20521.45</v>
      </c>
      <c r="E6951" s="10" t="str">
        <f t="array" ref="E6951">IFS(D6951&lt;=$G$3,'calculated data '!$A$3,D6951&lt;=$G$4,'calculated data '!$A$4,D6951&lt;=$G$6,'calculated data '!$A$5,D6951&gt;=$G$6,'calculated data '!$A$6)</f>
        <v>Target Market (Core IQR)</v>
      </c>
      <c r="F6951" s="10">
        <f t="shared" si="1"/>
        <v>-0.1199738045</v>
      </c>
    </row>
    <row r="6952" ht="14.25" customHeight="1">
      <c r="A6952" s="2" t="s">
        <v>361</v>
      </c>
      <c r="B6952" s="2" t="s">
        <v>362</v>
      </c>
      <c r="C6952" s="2">
        <v>2017.0</v>
      </c>
      <c r="D6952" s="9">
        <v>20531.055</v>
      </c>
      <c r="E6952" s="10" t="str">
        <f t="array" ref="E6952">IFS(D6952&lt;=$G$3,'calculated data '!$A$3,D6952&lt;=$G$4,'calculated data '!$A$4,D6952&lt;=$G$6,'calculated data '!$A$5,D6952&gt;=$G$6,'calculated data '!$A$6)</f>
        <v>Target Market (Core IQR)</v>
      </c>
      <c r="F6952" s="10">
        <f t="shared" si="1"/>
        <v>-0.1197195626</v>
      </c>
    </row>
    <row r="6953" ht="14.25" customHeight="1">
      <c r="A6953" s="2" t="s">
        <v>249</v>
      </c>
      <c r="B6953" s="2" t="s">
        <v>250</v>
      </c>
      <c r="C6953" s="2">
        <v>1996.0</v>
      </c>
      <c r="D6953" s="9">
        <v>20540.467</v>
      </c>
      <c r="E6953" s="10" t="str">
        <f t="array" ref="E6953">IFS(D6953&lt;=$G$3,'calculated data '!$A$3,D6953&lt;=$G$4,'calculated data '!$A$4,D6953&lt;=$G$6,'calculated data '!$A$5,D6953&gt;=$G$6,'calculated data '!$A$6)</f>
        <v>Target Market (Core IQR)</v>
      </c>
      <c r="F6953" s="10">
        <f t="shared" si="1"/>
        <v>-0.1194704293</v>
      </c>
    </row>
    <row r="6954" ht="14.25" customHeight="1">
      <c r="A6954" s="2" t="s">
        <v>277</v>
      </c>
      <c r="B6954" s="2" t="s">
        <v>278</v>
      </c>
      <c r="C6954" s="2">
        <v>2008.0</v>
      </c>
      <c r="D6954" s="9">
        <v>20558.516</v>
      </c>
      <c r="E6954" s="10" t="str">
        <f t="array" ref="E6954">IFS(D6954&lt;=$G$3,'calculated data '!$A$3,D6954&lt;=$G$4,'calculated data '!$A$4,D6954&lt;=$G$6,'calculated data '!$A$5,D6954&gt;=$G$6,'calculated data '!$A$6)</f>
        <v>Target Market (Core IQR)</v>
      </c>
      <c r="F6954" s="10">
        <f t="shared" si="1"/>
        <v>-0.1189926768</v>
      </c>
    </row>
    <row r="6955" ht="14.25" customHeight="1">
      <c r="A6955" s="2" t="s">
        <v>351</v>
      </c>
      <c r="B6955" s="2" t="s">
        <v>352</v>
      </c>
      <c r="C6955" s="2">
        <v>2018.0</v>
      </c>
      <c r="D6955" s="9">
        <v>20567.398</v>
      </c>
      <c r="E6955" s="10" t="str">
        <f t="array" ref="E6955">IFS(D6955&lt;=$G$3,'calculated data '!$A$3,D6955&lt;=$G$4,'calculated data '!$A$4,D6955&lt;=$G$6,'calculated data '!$A$5,D6955&gt;=$G$6,'calculated data '!$A$6)</f>
        <v>Target Market (Core IQR)</v>
      </c>
      <c r="F6955" s="10">
        <f t="shared" si="1"/>
        <v>-0.1187575724</v>
      </c>
    </row>
    <row r="6956" ht="14.25" customHeight="1">
      <c r="A6956" s="2" t="s">
        <v>341</v>
      </c>
      <c r="B6956" s="2" t="s">
        <v>342</v>
      </c>
      <c r="C6956" s="2">
        <v>2009.0</v>
      </c>
      <c r="D6956" s="9">
        <v>20571.918</v>
      </c>
      <c r="E6956" s="10" t="str">
        <f t="array" ref="E6956">IFS(D6956&lt;=$G$3,'calculated data '!$A$3,D6956&lt;=$G$4,'calculated data '!$A$4,D6956&lt;=$G$6,'calculated data '!$A$5,D6956&gt;=$G$6,'calculated data '!$A$6)</f>
        <v>Target Market (Core IQR)</v>
      </c>
      <c r="F6956" s="10">
        <f t="shared" si="1"/>
        <v>-0.1186379291</v>
      </c>
    </row>
    <row r="6957" ht="14.25" customHeight="1">
      <c r="A6957" s="2" t="s">
        <v>271</v>
      </c>
      <c r="B6957" s="2" t="s">
        <v>272</v>
      </c>
      <c r="C6957" s="2">
        <v>2024.0</v>
      </c>
      <c r="D6957" s="9">
        <v>20572.338</v>
      </c>
      <c r="E6957" s="10" t="str">
        <f t="array" ref="E6957">IFS(D6957&lt;=$G$3,'calculated data '!$A$3,D6957&lt;=$G$4,'calculated data '!$A$4,D6957&lt;=$G$6,'calculated data '!$A$5,D6957&gt;=$G$6,'calculated data '!$A$6)</f>
        <v>Target Market (Core IQR)</v>
      </c>
      <c r="F6957" s="10">
        <f t="shared" si="1"/>
        <v>-0.1186268119</v>
      </c>
    </row>
    <row r="6958" ht="14.25" customHeight="1">
      <c r="A6958" s="2" t="s">
        <v>341</v>
      </c>
      <c r="B6958" s="2" t="s">
        <v>342</v>
      </c>
      <c r="C6958" s="2">
        <v>2001.0</v>
      </c>
      <c r="D6958" s="9">
        <v>20579.553</v>
      </c>
      <c r="E6958" s="10" t="str">
        <f t="array" ref="E6958">IFS(D6958&lt;=$G$3,'calculated data '!$A$3,D6958&lt;=$G$4,'calculated data '!$A$4,D6958&lt;=$G$6,'calculated data '!$A$5,D6958&gt;=$G$6,'calculated data '!$A$6)</f>
        <v>Target Market (Core IQR)</v>
      </c>
      <c r="F6958" s="10">
        <f t="shared" si="1"/>
        <v>-0.1184358326</v>
      </c>
    </row>
    <row r="6959" ht="14.25" customHeight="1">
      <c r="A6959" s="2" t="s">
        <v>331</v>
      </c>
      <c r="B6959" s="2" t="s">
        <v>332</v>
      </c>
      <c r="C6959" s="2">
        <v>1979.0</v>
      </c>
      <c r="D6959" s="9">
        <v>20581.328</v>
      </c>
      <c r="E6959" s="10" t="str">
        <f t="array" ref="E6959">IFS(D6959&lt;=$G$3,'calculated data '!$A$3,D6959&lt;=$G$4,'calculated data '!$A$4,D6959&lt;=$G$6,'calculated data '!$A$5,D6959&gt;=$G$6,'calculated data '!$A$6)</f>
        <v>Target Market (Core IQR)</v>
      </c>
      <c r="F6959" s="10">
        <f t="shared" si="1"/>
        <v>-0.1183888488</v>
      </c>
    </row>
    <row r="6960" ht="14.25" customHeight="1">
      <c r="A6960" s="2" t="s">
        <v>387</v>
      </c>
      <c r="B6960" s="2" t="s">
        <v>388</v>
      </c>
      <c r="C6960" s="2">
        <v>1984.0</v>
      </c>
      <c r="D6960" s="9">
        <v>20596.385</v>
      </c>
      <c r="E6960" s="10" t="str">
        <f t="array" ref="E6960">IFS(D6960&lt;=$G$3,'calculated data '!$A$3,D6960&lt;=$G$4,'calculated data '!$A$4,D6960&lt;=$G$6,'calculated data '!$A$5,D6960&gt;=$G$6,'calculated data '!$A$6)</f>
        <v>Target Market (Core IQR)</v>
      </c>
      <c r="F6960" s="10">
        <f t="shared" si="1"/>
        <v>-0.1179902938</v>
      </c>
    </row>
    <row r="6961" ht="14.25" customHeight="1">
      <c r="A6961" s="2" t="s">
        <v>363</v>
      </c>
      <c r="B6961" s="2" t="s">
        <v>364</v>
      </c>
      <c r="C6961" s="2">
        <v>2005.0</v>
      </c>
      <c r="D6961" s="9">
        <v>20610.271</v>
      </c>
      <c r="E6961" s="10" t="str">
        <f t="array" ref="E6961">IFS(D6961&lt;=$G$3,'calculated data '!$A$3,D6961&lt;=$G$4,'calculated data '!$A$4,D6961&lt;=$G$6,'calculated data '!$A$5,D6961&gt;=$G$6,'calculated data '!$A$6)</f>
        <v>Target Market (Core IQR)</v>
      </c>
      <c r="F6961" s="10">
        <f t="shared" si="1"/>
        <v>-0.1176227348</v>
      </c>
    </row>
    <row r="6962" ht="14.25" customHeight="1">
      <c r="A6962" s="2" t="s">
        <v>351</v>
      </c>
      <c r="B6962" s="2" t="s">
        <v>352</v>
      </c>
      <c r="C6962" s="2">
        <v>2016.0</v>
      </c>
      <c r="D6962" s="9">
        <v>20624.166</v>
      </c>
      <c r="E6962" s="10" t="str">
        <f t="array" ref="E6962">IFS(D6962&lt;=$G$3,'calculated data '!$A$3,D6962&lt;=$G$4,'calculated data '!$A$4,D6962&lt;=$G$6,'calculated data '!$A$5,D6962&gt;=$G$6,'calculated data '!$A$6)</f>
        <v>Target Market (Core IQR)</v>
      </c>
      <c r="F6962" s="10">
        <f t="shared" si="1"/>
        <v>-0.1172549376</v>
      </c>
    </row>
    <row r="6963" ht="14.25" customHeight="1">
      <c r="A6963" s="2" t="s">
        <v>271</v>
      </c>
      <c r="B6963" s="2" t="s">
        <v>272</v>
      </c>
      <c r="C6963" s="2">
        <v>1992.0</v>
      </c>
      <c r="D6963" s="9">
        <v>20626.111</v>
      </c>
      <c r="E6963" s="10" t="str">
        <f t="array" ref="E6963">IFS(D6963&lt;=$G$3,'calculated data '!$A$3,D6963&lt;=$G$4,'calculated data '!$A$4,D6963&lt;=$G$6,'calculated data '!$A$5,D6963&gt;=$G$6,'calculated data '!$A$6)</f>
        <v>Target Market (Core IQR)</v>
      </c>
      <c r="F6963" s="10">
        <f t="shared" si="1"/>
        <v>-0.1172034539</v>
      </c>
    </row>
    <row r="6964" ht="14.25" customHeight="1">
      <c r="A6964" s="2" t="s">
        <v>365</v>
      </c>
      <c r="B6964" s="2" t="s">
        <v>366</v>
      </c>
      <c r="C6964" s="2">
        <v>2008.0</v>
      </c>
      <c r="D6964" s="9">
        <v>20630.123</v>
      </c>
      <c r="E6964" s="10" t="str">
        <f t="array" ref="E6964">IFS(D6964&lt;=$G$3,'calculated data '!$A$3,D6964&lt;=$G$4,'calculated data '!$A$4,D6964&lt;=$G$6,'calculated data '!$A$5,D6964&gt;=$G$6,'calculated data '!$A$6)</f>
        <v>Target Market (Core IQR)</v>
      </c>
      <c r="F6964" s="10">
        <f t="shared" si="1"/>
        <v>-0.1170972573</v>
      </c>
    </row>
    <row r="6965" ht="14.25" customHeight="1">
      <c r="A6965" s="2" t="s">
        <v>387</v>
      </c>
      <c r="B6965" s="2" t="s">
        <v>388</v>
      </c>
      <c r="C6965" s="2">
        <v>1985.0</v>
      </c>
      <c r="D6965" s="9">
        <v>20633.264</v>
      </c>
      <c r="E6965" s="10" t="str">
        <f t="array" ref="E6965">IFS(D6965&lt;=$G$3,'calculated data '!$A$3,D6965&lt;=$G$4,'calculated data '!$A$4,D6965&lt;=$G$6,'calculated data '!$A$5,D6965&gt;=$G$6,'calculated data '!$A$6)</f>
        <v>Target Market (Core IQR)</v>
      </c>
      <c r="F6965" s="10">
        <f t="shared" si="1"/>
        <v>-0.1170141158</v>
      </c>
    </row>
    <row r="6966" ht="14.25" customHeight="1">
      <c r="A6966" s="2" t="s">
        <v>277</v>
      </c>
      <c r="B6966" s="2" t="s">
        <v>278</v>
      </c>
      <c r="C6966" s="2">
        <v>2007.0</v>
      </c>
      <c r="D6966" s="9">
        <v>20636.025</v>
      </c>
      <c r="E6966" s="10" t="str">
        <f t="array" ref="E6966">IFS(D6966&lt;=$G$3,'calculated data '!$A$3,D6966&lt;=$G$4,'calculated data '!$A$4,D6966&lt;=$G$6,'calculated data '!$A$5,D6966&gt;=$G$6,'calculated data '!$A$6)</f>
        <v>Target Market (Core IQR)</v>
      </c>
      <c r="F6966" s="10">
        <f t="shared" si="1"/>
        <v>-0.1169410328</v>
      </c>
    </row>
    <row r="6967" ht="14.25" customHeight="1">
      <c r="A6967" s="2" t="s">
        <v>361</v>
      </c>
      <c r="B6967" s="2" t="s">
        <v>362</v>
      </c>
      <c r="C6967" s="2">
        <v>2018.0</v>
      </c>
      <c r="D6967" s="9">
        <v>20639.842</v>
      </c>
      <c r="E6967" s="10" t="str">
        <f t="array" ref="E6967">IFS(D6967&lt;=$G$3,'calculated data '!$A$3,D6967&lt;=$G$4,'calculated data '!$A$4,D6967&lt;=$G$6,'calculated data '!$A$5,D6967&gt;=$G$6,'calculated data '!$A$6)</f>
        <v>Target Market (Core IQR)</v>
      </c>
      <c r="F6967" s="10">
        <f t="shared" si="1"/>
        <v>-0.1168399978</v>
      </c>
    </row>
    <row r="6968" ht="14.25" customHeight="1">
      <c r="A6968" s="2" t="s">
        <v>383</v>
      </c>
      <c r="B6968" s="2" t="s">
        <v>384</v>
      </c>
      <c r="C6968" s="2">
        <v>1999.0</v>
      </c>
      <c r="D6968" s="9">
        <v>20640.633</v>
      </c>
      <c r="E6968" s="10" t="str">
        <f t="array" ref="E6968">IFS(D6968&lt;=$G$3,'calculated data '!$A$3,D6968&lt;=$G$4,'calculated data '!$A$4,D6968&lt;=$G$6,'calculated data '!$A$5,D6968&gt;=$G$6,'calculated data '!$A$6)</f>
        <v>Target Market (Core IQR)</v>
      </c>
      <c r="F6968" s="10">
        <f t="shared" si="1"/>
        <v>-0.1168190602</v>
      </c>
    </row>
    <row r="6969" ht="14.25" customHeight="1">
      <c r="A6969" s="2" t="s">
        <v>241</v>
      </c>
      <c r="B6969" s="2" t="s">
        <v>242</v>
      </c>
      <c r="C6969" s="2">
        <v>2017.0</v>
      </c>
      <c r="D6969" s="9">
        <v>20664.514</v>
      </c>
      <c r="E6969" s="10" t="str">
        <f t="array" ref="E6969">IFS(D6969&lt;=$G$3,'calculated data '!$A$3,D6969&lt;=$G$4,'calculated data '!$A$4,D6969&lt;=$G$6,'calculated data '!$A$5,D6969&gt;=$G$6,'calculated data '!$A$6)</f>
        <v>Target Market (Core IQR)</v>
      </c>
      <c r="F6969" s="10">
        <f t="shared" si="1"/>
        <v>-0.1161869361</v>
      </c>
    </row>
    <row r="6970" ht="14.25" customHeight="1">
      <c r="A6970" s="2" t="s">
        <v>335</v>
      </c>
      <c r="B6970" s="2" t="s">
        <v>336</v>
      </c>
      <c r="C6970" s="2">
        <v>1976.0</v>
      </c>
      <c r="D6970" s="9">
        <v>20670.486</v>
      </c>
      <c r="E6970" s="10" t="str">
        <f t="array" ref="E6970">IFS(D6970&lt;=$G$3,'calculated data '!$A$3,D6970&lt;=$G$4,'calculated data '!$A$4,D6970&lt;=$G$6,'calculated data '!$A$5,D6970&gt;=$G$6,'calculated data '!$A$6)</f>
        <v>Target Market (Core IQR)</v>
      </c>
      <c r="F6970" s="10">
        <f t="shared" si="1"/>
        <v>-0.1160288587</v>
      </c>
    </row>
    <row r="6971" ht="14.25" customHeight="1">
      <c r="A6971" s="2" t="s">
        <v>385</v>
      </c>
      <c r="B6971" s="2" t="s">
        <v>386</v>
      </c>
      <c r="C6971" s="2">
        <v>1974.0</v>
      </c>
      <c r="D6971" s="9">
        <v>20684.182</v>
      </c>
      <c r="E6971" s="10" t="str">
        <f t="array" ref="E6971">IFS(D6971&lt;=$G$3,'calculated data '!$A$3,D6971&lt;=$G$4,'calculated data '!$A$4,D6971&lt;=$G$6,'calculated data '!$A$5,D6971&gt;=$G$6,'calculated data '!$A$6)</f>
        <v>Target Market (Core IQR)</v>
      </c>
      <c r="F6971" s="10">
        <f t="shared" si="1"/>
        <v>-0.115666329</v>
      </c>
    </row>
    <row r="6972" ht="14.25" customHeight="1">
      <c r="A6972" s="2" t="s">
        <v>385</v>
      </c>
      <c r="B6972" s="2" t="s">
        <v>386</v>
      </c>
      <c r="C6972" s="2">
        <v>1973.0</v>
      </c>
      <c r="D6972" s="9">
        <v>20691.188</v>
      </c>
      <c r="E6972" s="10" t="str">
        <f t="array" ref="E6972">IFS(D6972&lt;=$G$3,'calculated data '!$A$3,D6972&lt;=$G$4,'calculated data '!$A$4,D6972&lt;=$G$6,'calculated data '!$A$5,D6972&gt;=$G$6,'calculated data '!$A$6)</f>
        <v>Target Market (Core IQR)</v>
      </c>
      <c r="F6972" s="10">
        <f t="shared" si="1"/>
        <v>-0.115480882</v>
      </c>
    </row>
    <row r="6973" ht="14.25" customHeight="1">
      <c r="A6973" s="2" t="s">
        <v>141</v>
      </c>
      <c r="B6973" s="2" t="s">
        <v>142</v>
      </c>
      <c r="C6973" s="2">
        <v>2019.0</v>
      </c>
      <c r="D6973" s="9">
        <v>20691.436</v>
      </c>
      <c r="E6973" s="10" t="str">
        <f t="array" ref="E6973">IFS(D6973&lt;=$G$3,'calculated data '!$A$3,D6973&lt;=$G$4,'calculated data '!$A$4,D6973&lt;=$G$6,'calculated data '!$A$5,D6973&gt;=$G$6,'calculated data '!$A$6)</f>
        <v>Target Market (Core IQR)</v>
      </c>
      <c r="F6973" s="10">
        <f t="shared" si="1"/>
        <v>-0.1154743175</v>
      </c>
    </row>
    <row r="6974" ht="14.25" customHeight="1">
      <c r="A6974" s="2" t="s">
        <v>323</v>
      </c>
      <c r="B6974" s="2" t="s">
        <v>324</v>
      </c>
      <c r="C6974" s="2">
        <v>2018.0</v>
      </c>
      <c r="D6974" s="9">
        <v>20693.555</v>
      </c>
      <c r="E6974" s="10" t="str">
        <f t="array" ref="E6974">IFS(D6974&lt;=$G$3,'calculated data '!$A$3,D6974&lt;=$G$4,'calculated data '!$A$4,D6974&lt;=$G$6,'calculated data '!$A$5,D6974&gt;=$G$6,'calculated data '!$A$6)</f>
        <v>Target Market (Core IQR)</v>
      </c>
      <c r="F6974" s="10">
        <f t="shared" si="1"/>
        <v>-0.1154182281</v>
      </c>
    </row>
    <row r="6975" ht="14.25" customHeight="1">
      <c r="A6975" s="2" t="s">
        <v>359</v>
      </c>
      <c r="B6975" s="2" t="s">
        <v>360</v>
      </c>
      <c r="C6975" s="2">
        <v>2006.0</v>
      </c>
      <c r="D6975" s="9">
        <v>20702.152</v>
      </c>
      <c r="E6975" s="10" t="str">
        <f t="array" ref="E6975">IFS(D6975&lt;=$G$3,'calculated data '!$A$3,D6975&lt;=$G$4,'calculated data '!$A$4,D6975&lt;=$G$6,'calculated data '!$A$5,D6975&gt;=$G$6,'calculated data '!$A$6)</f>
        <v>Target Market (Core IQR)</v>
      </c>
      <c r="F6975" s="10">
        <f t="shared" si="1"/>
        <v>-0.1151906676</v>
      </c>
    </row>
    <row r="6976" ht="14.25" customHeight="1">
      <c r="A6976" s="2" t="s">
        <v>357</v>
      </c>
      <c r="B6976" s="2" t="s">
        <v>358</v>
      </c>
      <c r="C6976" s="2">
        <v>2017.0</v>
      </c>
      <c r="D6976" s="9">
        <v>20703.469</v>
      </c>
      <c r="E6976" s="10" t="str">
        <f t="array" ref="E6976">IFS(D6976&lt;=$G$3,'calculated data '!$A$3,D6976&lt;=$G$4,'calculated data '!$A$4,D6976&lt;=$G$6,'calculated data '!$A$5,D6976&gt;=$G$6,'calculated data '!$A$6)</f>
        <v>Target Market (Core IQR)</v>
      </c>
      <c r="F6976" s="10">
        <f t="shared" si="1"/>
        <v>-0.1151558069</v>
      </c>
    </row>
    <row r="6977" ht="14.25" customHeight="1">
      <c r="A6977" s="2" t="s">
        <v>341</v>
      </c>
      <c r="B6977" s="2" t="s">
        <v>342</v>
      </c>
      <c r="C6977" s="2">
        <v>1987.0</v>
      </c>
      <c r="D6977" s="9">
        <v>20708.396</v>
      </c>
      <c r="E6977" s="10" t="str">
        <f t="array" ref="E6977">IFS(D6977&lt;=$G$3,'calculated data '!$A$3,D6977&lt;=$G$4,'calculated data '!$A$4,D6977&lt;=$G$6,'calculated data '!$A$5,D6977&gt;=$G$6,'calculated data '!$A$6)</f>
        <v>Target Market (Core IQR)</v>
      </c>
      <c r="F6977" s="10">
        <f t="shared" si="1"/>
        <v>-0.1150253905</v>
      </c>
    </row>
    <row r="6978" ht="14.25" customHeight="1">
      <c r="A6978" s="2" t="s">
        <v>385</v>
      </c>
      <c r="B6978" s="2" t="s">
        <v>386</v>
      </c>
      <c r="C6978" s="2">
        <v>2022.0</v>
      </c>
      <c r="D6978" s="9">
        <v>20717.15</v>
      </c>
      <c r="E6978" s="10" t="str">
        <f t="array" ref="E6978">IFS(D6978&lt;=$G$3,'calculated data '!$A$3,D6978&lt;=$G$4,'calculated data '!$A$4,D6978&lt;=$G$6,'calculated data '!$A$5,D6978&gt;=$G$6,'calculated data '!$A$6)</f>
        <v>Target Market (Core IQR)</v>
      </c>
      <c r="F6978" s="10">
        <f t="shared" si="1"/>
        <v>-0.1147936743</v>
      </c>
    </row>
    <row r="6979" ht="14.25" customHeight="1">
      <c r="A6979" s="2" t="s">
        <v>291</v>
      </c>
      <c r="B6979" s="2" t="s">
        <v>292</v>
      </c>
      <c r="C6979" s="2">
        <v>1988.0</v>
      </c>
      <c r="D6979" s="9">
        <v>20731.762</v>
      </c>
      <c r="E6979" s="10" t="str">
        <f t="array" ref="E6979">IFS(D6979&lt;=$G$3,'calculated data '!$A$3,D6979&lt;=$G$4,'calculated data '!$A$4,D6979&lt;=$G$6,'calculated data '!$A$5,D6979&gt;=$G$6,'calculated data '!$A$6)</f>
        <v>Target Market (Core IQR)</v>
      </c>
      <c r="F6979" s="10">
        <f t="shared" si="1"/>
        <v>-0.1144068983</v>
      </c>
    </row>
    <row r="6980" ht="14.25" customHeight="1">
      <c r="A6980" s="2" t="s">
        <v>393</v>
      </c>
      <c r="B6980" s="2" t="s">
        <v>394</v>
      </c>
      <c r="C6980" s="2">
        <v>2013.0</v>
      </c>
      <c r="D6980" s="9">
        <v>20734.879</v>
      </c>
      <c r="E6980" s="10" t="str">
        <f t="array" ref="E6980">IFS(D6980&lt;=$G$3,'calculated data '!$A$3,D6980&lt;=$G$4,'calculated data '!$A$4,D6980&lt;=$G$6,'calculated data '!$A$5,D6980&gt;=$G$6,'calculated data '!$A$6)</f>
        <v>Target Market (Core IQR)</v>
      </c>
      <c r="F6980" s="10">
        <f t="shared" si="1"/>
        <v>-0.1143243921</v>
      </c>
    </row>
    <row r="6981" ht="14.25" customHeight="1">
      <c r="A6981" s="2" t="s">
        <v>291</v>
      </c>
      <c r="B6981" s="2" t="s">
        <v>292</v>
      </c>
      <c r="C6981" s="2">
        <v>1984.0</v>
      </c>
      <c r="D6981" s="9">
        <v>20737.244</v>
      </c>
      <c r="E6981" s="10" t="str">
        <f t="array" ref="E6981">IFS(D6981&lt;=$G$3,'calculated data '!$A$3,D6981&lt;=$G$4,'calculated data '!$A$4,D6981&lt;=$G$6,'calculated data '!$A$5,D6981&gt;=$G$6,'calculated data '!$A$6)</f>
        <v>Target Market (Core IQR)</v>
      </c>
      <c r="F6981" s="10">
        <f t="shared" si="1"/>
        <v>-0.1142617911</v>
      </c>
    </row>
    <row r="6982" ht="14.25" customHeight="1">
      <c r="A6982" s="2" t="s">
        <v>373</v>
      </c>
      <c r="B6982" s="2" t="s">
        <v>374</v>
      </c>
      <c r="C6982" s="2">
        <v>1986.0</v>
      </c>
      <c r="D6982" s="9">
        <v>20737.594</v>
      </c>
      <c r="E6982" s="10" t="str">
        <f t="array" ref="E6982">IFS(D6982&lt;=$G$3,'calculated data '!$A$3,D6982&lt;=$G$4,'calculated data '!$A$4,D6982&lt;=$G$6,'calculated data '!$A$5,D6982&gt;=$G$6,'calculated data '!$A$6)</f>
        <v>Target Market (Core IQR)</v>
      </c>
      <c r="F6982" s="10">
        <f t="shared" si="1"/>
        <v>-0.1142525267</v>
      </c>
    </row>
    <row r="6983" ht="14.25" customHeight="1">
      <c r="A6983" s="2" t="s">
        <v>375</v>
      </c>
      <c r="B6983" s="2" t="s">
        <v>376</v>
      </c>
      <c r="C6983" s="2">
        <v>1970.0</v>
      </c>
      <c r="D6983" s="9">
        <v>20743.047</v>
      </c>
      <c r="E6983" s="10" t="str">
        <f t="array" ref="E6983">IFS(D6983&lt;=$G$3,'calculated data '!$A$3,D6983&lt;=$G$4,'calculated data '!$A$4,D6983&lt;=$G$6,'calculated data '!$A$5,D6983&gt;=$G$6,'calculated data '!$A$6)</f>
        <v>Target Market (Core IQR)</v>
      </c>
      <c r="F6983" s="10">
        <f t="shared" si="1"/>
        <v>-0.1141081871</v>
      </c>
    </row>
    <row r="6984" ht="14.25" customHeight="1">
      <c r="A6984" s="2" t="s">
        <v>361</v>
      </c>
      <c r="B6984" s="2" t="s">
        <v>362</v>
      </c>
      <c r="C6984" s="2">
        <v>2022.0</v>
      </c>
      <c r="D6984" s="9">
        <v>20751.143</v>
      </c>
      <c r="E6984" s="10" t="str">
        <f t="array" ref="E6984">IFS(D6984&lt;=$G$3,'calculated data '!$A$3,D6984&lt;=$G$4,'calculated data '!$A$4,D6984&lt;=$G$6,'calculated data '!$A$5,D6984&gt;=$G$6,'calculated data '!$A$6)</f>
        <v>Target Market (Core IQR)</v>
      </c>
      <c r="F6984" s="10">
        <f t="shared" si="1"/>
        <v>-0.113893888</v>
      </c>
    </row>
    <row r="6985" ht="14.25" customHeight="1">
      <c r="A6985" s="2" t="s">
        <v>317</v>
      </c>
      <c r="B6985" s="2" t="s">
        <v>318</v>
      </c>
      <c r="C6985" s="2">
        <v>2021.0</v>
      </c>
      <c r="D6985" s="9">
        <v>20756.943</v>
      </c>
      <c r="E6985" s="10" t="str">
        <f t="array" ref="E6985">IFS(D6985&lt;=$G$3,'calculated data '!$A$3,D6985&lt;=$G$4,'calculated data '!$A$4,D6985&lt;=$G$6,'calculated data '!$A$5,D6985&gt;=$G$6,'calculated data '!$A$6)</f>
        <v>Target Market (Core IQR)</v>
      </c>
      <c r="F6985" s="10">
        <f t="shared" si="1"/>
        <v>-0.1137403635</v>
      </c>
    </row>
    <row r="6986" ht="14.25" customHeight="1">
      <c r="A6986" s="2" t="s">
        <v>323</v>
      </c>
      <c r="B6986" s="2" t="s">
        <v>324</v>
      </c>
      <c r="C6986" s="2">
        <v>2016.0</v>
      </c>
      <c r="D6986" s="9">
        <v>20759.72</v>
      </c>
      <c r="E6986" s="10" t="str">
        <f t="array" ref="E6986">IFS(D6986&lt;=$G$3,'calculated data '!$A$3,D6986&lt;=$G$4,'calculated data '!$A$4,D6986&lt;=$G$6,'calculated data '!$A$5,D6986&gt;=$G$6,'calculated data '!$A$6)</f>
        <v>Target Market (Core IQR)</v>
      </c>
      <c r="F6986" s="10">
        <f t="shared" si="1"/>
        <v>-0.113666857</v>
      </c>
    </row>
    <row r="6987" ht="14.25" customHeight="1">
      <c r="A6987" s="2" t="s">
        <v>373</v>
      </c>
      <c r="B6987" s="2" t="s">
        <v>374</v>
      </c>
      <c r="C6987" s="2">
        <v>1994.0</v>
      </c>
      <c r="D6987" s="9">
        <v>20759.8</v>
      </c>
      <c r="E6987" s="10" t="str">
        <f t="array" ref="E6987">IFS(D6987&lt;=$G$3,'calculated data '!$A$3,D6987&lt;=$G$4,'calculated data '!$A$4,D6987&lt;=$G$6,'calculated data '!$A$5,D6987&gt;=$G$6,'calculated data '!$A$6)</f>
        <v>Target Market (Core IQR)</v>
      </c>
      <c r="F6987" s="10">
        <f t="shared" si="1"/>
        <v>-0.1136647394</v>
      </c>
    </row>
    <row r="6988" ht="14.25" customHeight="1">
      <c r="A6988" s="2" t="s">
        <v>349</v>
      </c>
      <c r="B6988" s="2" t="s">
        <v>350</v>
      </c>
      <c r="C6988" s="2">
        <v>2023.0</v>
      </c>
      <c r="D6988" s="9">
        <v>20776.89</v>
      </c>
      <c r="E6988" s="10" t="str">
        <f t="array" ref="E6988">IFS(D6988&lt;=$G$3,'calculated data '!$A$3,D6988&lt;=$G$4,'calculated data '!$A$4,D6988&lt;=$G$6,'calculated data '!$A$5,D6988&gt;=$G$6,'calculated data '!$A$6)</f>
        <v>Target Market (Core IQR)</v>
      </c>
      <c r="F6988" s="10">
        <f t="shared" si="1"/>
        <v>-0.1132123714</v>
      </c>
    </row>
    <row r="6989" ht="14.25" customHeight="1">
      <c r="A6989" s="2" t="s">
        <v>395</v>
      </c>
      <c r="B6989" s="2" t="s">
        <v>396</v>
      </c>
      <c r="C6989" s="2">
        <v>2014.0</v>
      </c>
      <c r="D6989" s="9">
        <v>20779.764</v>
      </c>
      <c r="E6989" s="10" t="str">
        <f t="array" ref="E6989">IFS(D6989&lt;=$G$3,'calculated data '!$A$3,D6989&lt;=$G$4,'calculated data '!$A$4,D6989&lt;=$G$6,'calculated data '!$A$5,D6989&gt;=$G$6,'calculated data '!$A$6)</f>
        <v>Target Market (Core IQR)</v>
      </c>
      <c r="F6989" s="10">
        <f t="shared" si="1"/>
        <v>-0.1131362973</v>
      </c>
    </row>
    <row r="6990" ht="14.25" customHeight="1">
      <c r="A6990" s="2" t="s">
        <v>141</v>
      </c>
      <c r="B6990" s="2" t="s">
        <v>142</v>
      </c>
      <c r="C6990" s="2">
        <v>2018.0</v>
      </c>
      <c r="D6990" s="9">
        <v>20811.98</v>
      </c>
      <c r="E6990" s="10" t="str">
        <f t="array" ref="E6990">IFS(D6990&lt;=$G$3,'calculated data '!$A$3,D6990&lt;=$G$4,'calculated data '!$A$4,D6990&lt;=$G$6,'calculated data '!$A$5,D6990&gt;=$G$6,'calculated data '!$A$6)</f>
        <v>Target Market (Core IQR)</v>
      </c>
      <c r="F6990" s="10">
        <f t="shared" si="1"/>
        <v>-0.1122835478</v>
      </c>
    </row>
    <row r="6991" ht="14.25" customHeight="1">
      <c r="A6991" s="2" t="s">
        <v>323</v>
      </c>
      <c r="B6991" s="2" t="s">
        <v>324</v>
      </c>
      <c r="C6991" s="2">
        <v>2015.0</v>
      </c>
      <c r="D6991" s="9">
        <v>20828.768</v>
      </c>
      <c r="E6991" s="10" t="str">
        <f t="array" ref="E6991">IFS(D6991&lt;=$G$3,'calculated data '!$A$3,D6991&lt;=$G$4,'calculated data '!$A$4,D6991&lt;=$G$6,'calculated data '!$A$5,D6991&gt;=$G$6,'calculated data '!$A$6)</f>
        <v>Target Market (Core IQR)</v>
      </c>
      <c r="F6991" s="10">
        <f t="shared" si="1"/>
        <v>-0.1118391736</v>
      </c>
    </row>
    <row r="6992" ht="14.25" customHeight="1">
      <c r="A6992" s="2" t="s">
        <v>351</v>
      </c>
      <c r="B6992" s="2" t="s">
        <v>352</v>
      </c>
      <c r="C6992" s="2">
        <v>2010.0</v>
      </c>
      <c r="D6992" s="9">
        <v>20867.256</v>
      </c>
      <c r="E6992" s="10" t="str">
        <f t="array" ref="E6992">IFS(D6992&lt;=$G$3,'calculated data '!$A$3,D6992&lt;=$G$4,'calculated data '!$A$4,D6992&lt;=$G$6,'calculated data '!$A$5,D6992&gt;=$G$6,'calculated data '!$A$6)</f>
        <v>Target Market (Core IQR)</v>
      </c>
      <c r="F6992" s="10">
        <f t="shared" si="1"/>
        <v>-0.1108204058</v>
      </c>
    </row>
    <row r="6993" ht="14.25" customHeight="1">
      <c r="A6993" s="2" t="s">
        <v>313</v>
      </c>
      <c r="B6993" s="2" t="s">
        <v>314</v>
      </c>
      <c r="C6993" s="2">
        <v>2012.0</v>
      </c>
      <c r="D6993" s="9">
        <v>20888.324</v>
      </c>
      <c r="E6993" s="10" t="str">
        <f t="array" ref="E6993">IFS(D6993&lt;=$G$3,'calculated data '!$A$3,D6993&lt;=$G$4,'calculated data '!$A$4,D6993&lt;=$G$6,'calculated data '!$A$5,D6993&gt;=$G$6,'calculated data '!$A$6)</f>
        <v>Target Market (Core IQR)</v>
      </c>
      <c r="F6993" s="10">
        <f t="shared" si="1"/>
        <v>-0.1102627411</v>
      </c>
    </row>
    <row r="6994" ht="14.25" customHeight="1">
      <c r="A6994" s="2" t="s">
        <v>355</v>
      </c>
      <c r="B6994" s="2" t="s">
        <v>356</v>
      </c>
      <c r="C6994" s="2">
        <v>2018.0</v>
      </c>
      <c r="D6994" s="9">
        <v>20889.986</v>
      </c>
      <c r="E6994" s="10" t="str">
        <f t="array" ref="E6994">IFS(D6994&lt;=$G$3,'calculated data '!$A$3,D6994&lt;=$G$4,'calculated data '!$A$4,D6994&lt;=$G$6,'calculated data '!$A$5,D6994&gt;=$G$6,'calculated data '!$A$6)</f>
        <v>Target Market (Core IQR)</v>
      </c>
      <c r="F6994" s="10">
        <f t="shared" si="1"/>
        <v>-0.1102187484</v>
      </c>
    </row>
    <row r="6995" ht="14.25" customHeight="1">
      <c r="A6995" s="2" t="s">
        <v>385</v>
      </c>
      <c r="B6995" s="2" t="s">
        <v>386</v>
      </c>
      <c r="C6995" s="2">
        <v>1978.0</v>
      </c>
      <c r="D6995" s="9">
        <v>20892.91</v>
      </c>
      <c r="E6995" s="10" t="str">
        <f t="array" ref="E6995">IFS(D6995&lt;=$G$3,'calculated data '!$A$3,D6995&lt;=$G$4,'calculated data '!$A$4,D6995&lt;=$G$6,'calculated data '!$A$5,D6995&gt;=$G$6,'calculated data '!$A$6)</f>
        <v>Target Market (Core IQR)</v>
      </c>
      <c r="F6995" s="10">
        <f t="shared" si="1"/>
        <v>-0.1101413509</v>
      </c>
    </row>
    <row r="6996" ht="14.25" customHeight="1">
      <c r="A6996" s="2" t="s">
        <v>257</v>
      </c>
      <c r="B6996" s="2" t="s">
        <v>258</v>
      </c>
      <c r="C6996" s="2">
        <v>2000.0</v>
      </c>
      <c r="D6996" s="9">
        <v>20914.26</v>
      </c>
      <c r="E6996" s="10" t="str">
        <f t="array" ref="E6996">IFS(D6996&lt;=$G$3,'calculated data '!$A$3,D6996&lt;=$G$4,'calculated data '!$A$4,D6996&lt;=$G$6,'calculated data '!$A$5,D6996&gt;=$G$6,'calculated data '!$A$6)</f>
        <v>Target Market (Core IQR)</v>
      </c>
      <c r="F6996" s="10">
        <f t="shared" si="1"/>
        <v>-0.1095762217</v>
      </c>
    </row>
    <row r="6997" ht="14.25" customHeight="1">
      <c r="A6997" s="2" t="s">
        <v>271</v>
      </c>
      <c r="B6997" s="2" t="s">
        <v>272</v>
      </c>
      <c r="C6997" s="2">
        <v>1994.0</v>
      </c>
      <c r="D6997" s="9">
        <v>20915.02</v>
      </c>
      <c r="E6997" s="10" t="str">
        <f t="array" ref="E6997">IFS(D6997&lt;=$G$3,'calculated data '!$A$3,D6997&lt;=$G$4,'calculated data '!$A$4,D6997&lt;=$G$6,'calculated data '!$A$5,D6997&gt;=$G$6,'calculated data '!$A$6)</f>
        <v>Target Market (Core IQR)</v>
      </c>
      <c r="F6997" s="10">
        <f t="shared" si="1"/>
        <v>-0.1095561047</v>
      </c>
    </row>
    <row r="6998" ht="14.25" customHeight="1">
      <c r="A6998" s="2" t="s">
        <v>393</v>
      </c>
      <c r="B6998" s="2" t="s">
        <v>394</v>
      </c>
      <c r="C6998" s="2">
        <v>2010.0</v>
      </c>
      <c r="D6998" s="9">
        <v>20924.342</v>
      </c>
      <c r="E6998" s="10" t="str">
        <f t="array" ref="E6998">IFS(D6998&lt;=$G$3,'calculated data '!$A$3,D6998&lt;=$G$4,'calculated data '!$A$4,D6998&lt;=$G$6,'calculated data '!$A$5,D6998&gt;=$G$6,'calculated data '!$A$6)</f>
        <v>Target Market (Core IQR)</v>
      </c>
      <c r="F6998" s="10">
        <f t="shared" si="1"/>
        <v>-0.1093093536</v>
      </c>
    </row>
    <row r="6999" ht="14.25" customHeight="1">
      <c r="A6999" s="2" t="s">
        <v>271</v>
      </c>
      <c r="B6999" s="2" t="s">
        <v>272</v>
      </c>
      <c r="C6999" s="2">
        <v>2023.0</v>
      </c>
      <c r="D6999" s="9">
        <v>20941.672</v>
      </c>
      <c r="E6999" s="10" t="str">
        <f t="array" ref="E6999">IFS(D6999&lt;=$G$3,'calculated data '!$A$3,D6999&lt;=$G$4,'calculated data '!$A$4,D6999&lt;=$G$6,'calculated data '!$A$5,D6999&gt;=$G$6,'calculated data '!$A$6)</f>
        <v>Target Market (Core IQR)</v>
      </c>
      <c r="F6999" s="10">
        <f t="shared" si="1"/>
        <v>-0.1088506329</v>
      </c>
    </row>
    <row r="7000" ht="14.25" customHeight="1">
      <c r="A7000" s="2" t="s">
        <v>271</v>
      </c>
      <c r="B7000" s="2" t="s">
        <v>272</v>
      </c>
      <c r="C7000" s="2">
        <v>2025.0</v>
      </c>
      <c r="D7000" s="9">
        <v>20942.393</v>
      </c>
      <c r="E7000" s="10" t="str">
        <f t="array" ref="E7000">IFS(D7000&lt;=$G$3,'calculated data '!$A$3,D7000&lt;=$G$4,'calculated data '!$A$4,D7000&lt;=$G$6,'calculated data '!$A$5,D7000&gt;=$G$6,'calculated data '!$A$6)</f>
        <v>Target Market (Core IQR)</v>
      </c>
      <c r="F7000" s="10">
        <f t="shared" si="1"/>
        <v>-0.1088315482</v>
      </c>
    </row>
    <row r="7001" ht="14.25" customHeight="1">
      <c r="A7001" s="2" t="s">
        <v>285</v>
      </c>
      <c r="B7001" s="2" t="s">
        <v>286</v>
      </c>
      <c r="C7001" s="2">
        <v>2019.0</v>
      </c>
      <c r="D7001" s="9">
        <v>20971.912</v>
      </c>
      <c r="E7001" s="10" t="str">
        <f t="array" ref="E7001">IFS(D7001&lt;=$G$3,'calculated data '!$A$3,D7001&lt;=$G$4,'calculated data '!$A$4,D7001&lt;=$G$6,'calculated data '!$A$5,D7001&gt;=$G$6,'calculated data '!$A$6)</f>
        <v>Target Market (Core IQR)</v>
      </c>
      <c r="F7001" s="10">
        <f t="shared" si="1"/>
        <v>-0.1080501876</v>
      </c>
    </row>
    <row r="7002" ht="14.25" customHeight="1">
      <c r="A7002" s="2" t="s">
        <v>323</v>
      </c>
      <c r="B7002" s="2" t="s">
        <v>324</v>
      </c>
      <c r="C7002" s="2">
        <v>2007.0</v>
      </c>
      <c r="D7002" s="9">
        <v>20978.555</v>
      </c>
      <c r="E7002" s="10" t="str">
        <f t="array" ref="E7002">IFS(D7002&lt;=$G$3,'calculated data '!$A$3,D7002&lt;=$G$4,'calculated data '!$A$4,D7002&lt;=$G$6,'calculated data '!$A$5,D7002&gt;=$G$6,'calculated data '!$A$6)</f>
        <v>Target Market (Core IQR)</v>
      </c>
      <c r="F7002" s="10">
        <f t="shared" si="1"/>
        <v>-0.107874349</v>
      </c>
    </row>
    <row r="7003" ht="14.25" customHeight="1">
      <c r="A7003" s="2" t="s">
        <v>28</v>
      </c>
      <c r="B7003" s="2" t="s">
        <v>29</v>
      </c>
      <c r="C7003" s="2">
        <v>1992.0</v>
      </c>
      <c r="D7003" s="9">
        <v>20984.914</v>
      </c>
      <c r="E7003" s="10" t="str">
        <f t="array" ref="E7003">IFS(D7003&lt;=$G$3,'calculated data '!$A$3,D7003&lt;=$G$4,'calculated data '!$A$4,D7003&lt;=$G$6,'calculated data '!$A$5,D7003&gt;=$G$6,'calculated data '!$A$6)</f>
        <v>Target Market (Core IQR)</v>
      </c>
      <c r="F7003" s="10">
        <f t="shared" si="1"/>
        <v>-0.1077060279</v>
      </c>
    </row>
    <row r="7004" ht="14.25" customHeight="1">
      <c r="A7004" s="2" t="s">
        <v>339</v>
      </c>
      <c r="B7004" s="2" t="s">
        <v>340</v>
      </c>
      <c r="C7004" s="2">
        <v>1982.0</v>
      </c>
      <c r="D7004" s="9">
        <v>20992.98</v>
      </c>
      <c r="E7004" s="10" t="str">
        <f t="array" ref="E7004">IFS(D7004&lt;=$G$3,'calculated data '!$A$3,D7004&lt;=$G$4,'calculated data '!$A$4,D7004&lt;=$G$6,'calculated data '!$A$5,D7004&gt;=$G$6,'calculated data '!$A$6)</f>
        <v>Target Market (Core IQR)</v>
      </c>
      <c r="F7004" s="10">
        <f t="shared" si="1"/>
        <v>-0.1074925229</v>
      </c>
    </row>
    <row r="7005" ht="14.25" customHeight="1">
      <c r="A7005" s="2" t="s">
        <v>361</v>
      </c>
      <c r="B7005" s="2" t="s">
        <v>362</v>
      </c>
      <c r="C7005" s="2">
        <v>2002.0</v>
      </c>
      <c r="D7005" s="9">
        <v>20993.682</v>
      </c>
      <c r="E7005" s="10" t="str">
        <f t="array" ref="E7005">IFS(D7005&lt;=$G$3,'calculated data '!$A$3,D7005&lt;=$G$4,'calculated data '!$A$4,D7005&lt;=$G$6,'calculated data '!$A$5,D7005&gt;=$G$6,'calculated data '!$A$6)</f>
        <v>Target Market (Core IQR)</v>
      </c>
      <c r="F7005" s="10">
        <f t="shared" si="1"/>
        <v>-0.1074739411</v>
      </c>
    </row>
    <row r="7006" ht="14.25" customHeight="1">
      <c r="A7006" s="2" t="s">
        <v>277</v>
      </c>
      <c r="B7006" s="2" t="s">
        <v>278</v>
      </c>
      <c r="C7006" s="2">
        <v>2009.0</v>
      </c>
      <c r="D7006" s="9">
        <v>20999.95</v>
      </c>
      <c r="E7006" s="10" t="str">
        <f t="array" ref="E7006">IFS(D7006&lt;=$G$3,'calculated data '!$A$3,D7006&lt;=$G$4,'calculated data '!$A$4,D7006&lt;=$G$6,'calculated data '!$A$5,D7006&gt;=$G$6,'calculated data '!$A$6)</f>
        <v>Target Market (Core IQR)</v>
      </c>
      <c r="F7006" s="10">
        <f t="shared" si="1"/>
        <v>-0.1073080287</v>
      </c>
    </row>
    <row r="7007" ht="14.25" customHeight="1">
      <c r="A7007" s="2" t="s">
        <v>339</v>
      </c>
      <c r="B7007" s="2" t="s">
        <v>340</v>
      </c>
      <c r="C7007" s="2">
        <v>2010.0</v>
      </c>
      <c r="D7007" s="9">
        <v>21007.29</v>
      </c>
      <c r="E7007" s="10" t="str">
        <f t="array" ref="E7007">IFS(D7007&lt;=$G$3,'calculated data '!$A$3,D7007&lt;=$G$4,'calculated data '!$A$4,D7007&lt;=$G$6,'calculated data '!$A$5,D7007&gt;=$G$6,'calculated data '!$A$6)</f>
        <v>Target Market (Core IQR)</v>
      </c>
      <c r="F7007" s="10">
        <f t="shared" si="1"/>
        <v>-0.1071137407</v>
      </c>
    </row>
    <row r="7008" ht="14.25" customHeight="1">
      <c r="A7008" s="2" t="s">
        <v>391</v>
      </c>
      <c r="B7008" s="2" t="s">
        <v>392</v>
      </c>
      <c r="C7008" s="2">
        <v>1983.0</v>
      </c>
      <c r="D7008" s="9">
        <v>21011.805</v>
      </c>
      <c r="E7008" s="10" t="str">
        <f t="array" ref="E7008">IFS(D7008&lt;=$G$3,'calculated data '!$A$3,D7008&lt;=$G$4,'calculated data '!$A$4,D7008&lt;=$G$6,'calculated data '!$A$5,D7008&gt;=$G$6,'calculated data '!$A$6)</f>
        <v>Target Market (Core IQR)</v>
      </c>
      <c r="F7008" s="10">
        <f t="shared" si="1"/>
        <v>-0.1069942298</v>
      </c>
    </row>
    <row r="7009" ht="14.25" customHeight="1">
      <c r="A7009" s="2" t="s">
        <v>373</v>
      </c>
      <c r="B7009" s="2" t="s">
        <v>374</v>
      </c>
      <c r="C7009" s="2">
        <v>2022.0</v>
      </c>
      <c r="D7009" s="9">
        <v>21012.291</v>
      </c>
      <c r="E7009" s="10" t="str">
        <f t="array" ref="E7009">IFS(D7009&lt;=$G$3,'calculated data '!$A$3,D7009&lt;=$G$4,'calculated data '!$A$4,D7009&lt;=$G$6,'calculated data '!$A$5,D7009&gt;=$G$6,'calculated data '!$A$6)</f>
        <v>Target Market (Core IQR)</v>
      </c>
      <c r="F7009" s="10">
        <f t="shared" si="1"/>
        <v>-0.1069813655</v>
      </c>
    </row>
    <row r="7010" ht="14.25" customHeight="1">
      <c r="A7010" s="2" t="s">
        <v>311</v>
      </c>
      <c r="B7010" s="2" t="s">
        <v>312</v>
      </c>
      <c r="C7010" s="2">
        <v>2020.0</v>
      </c>
      <c r="D7010" s="9">
        <v>21013.738</v>
      </c>
      <c r="E7010" s="10" t="str">
        <f t="array" ref="E7010">IFS(D7010&lt;=$G$3,'calculated data '!$A$3,D7010&lt;=$G$4,'calculated data '!$A$4,D7010&lt;=$G$6,'calculated data '!$A$5,D7010&gt;=$G$6,'calculated data '!$A$6)</f>
        <v>Target Market (Core IQR)</v>
      </c>
      <c r="F7010" s="10">
        <f t="shared" si="1"/>
        <v>-0.1069430638</v>
      </c>
    </row>
    <row r="7011" ht="14.25" customHeight="1">
      <c r="A7011" s="2" t="s">
        <v>323</v>
      </c>
      <c r="B7011" s="2" t="s">
        <v>324</v>
      </c>
      <c r="C7011" s="2">
        <v>2006.0</v>
      </c>
      <c r="D7011" s="9">
        <v>21026.564</v>
      </c>
      <c r="E7011" s="10" t="str">
        <f t="array" ref="E7011">IFS(D7011&lt;=$G$3,'calculated data '!$A$3,D7011&lt;=$G$4,'calculated data '!$A$4,D7011&lt;=$G$6,'calculated data '!$A$5,D7011&gt;=$G$6,'calculated data '!$A$6)</f>
        <v>Target Market (Core IQR)</v>
      </c>
      <c r="F7011" s="10">
        <f t="shared" si="1"/>
        <v>-0.1066035628</v>
      </c>
    </row>
    <row r="7012" ht="14.25" customHeight="1">
      <c r="A7012" s="2" t="s">
        <v>363</v>
      </c>
      <c r="B7012" s="2" t="s">
        <v>364</v>
      </c>
      <c r="C7012" s="2">
        <v>1998.0</v>
      </c>
      <c r="D7012" s="9">
        <v>21033.324</v>
      </c>
      <c r="E7012" s="10" t="str">
        <f t="array" ref="E7012">IFS(D7012&lt;=$G$3,'calculated data '!$A$3,D7012&lt;=$G$4,'calculated data '!$A$4,D7012&lt;=$G$6,'calculated data '!$A$5,D7012&gt;=$G$6,'calculated data '!$A$6)</f>
        <v>Target Market (Core IQR)</v>
      </c>
      <c r="F7012" s="10">
        <f t="shared" si="1"/>
        <v>-0.1064246272</v>
      </c>
    </row>
    <row r="7013" ht="14.25" customHeight="1">
      <c r="A7013" s="2" t="s">
        <v>363</v>
      </c>
      <c r="B7013" s="2" t="s">
        <v>364</v>
      </c>
      <c r="C7013" s="2">
        <v>2004.0</v>
      </c>
      <c r="D7013" s="9">
        <v>21034.354</v>
      </c>
      <c r="E7013" s="10" t="str">
        <f t="array" ref="E7013">IFS(D7013&lt;=$G$3,'calculated data '!$A$3,D7013&lt;=$G$4,'calculated data '!$A$4,D7013&lt;=$G$6,'calculated data '!$A$5,D7013&gt;=$G$6,'calculated data '!$A$6)</f>
        <v>Target Market (Core IQR)</v>
      </c>
      <c r="F7013" s="10">
        <f t="shared" si="1"/>
        <v>-0.1063973634</v>
      </c>
    </row>
    <row r="7014" ht="14.25" customHeight="1">
      <c r="A7014" s="2" t="s">
        <v>319</v>
      </c>
      <c r="B7014" s="2" t="s">
        <v>320</v>
      </c>
      <c r="C7014" s="2">
        <v>2020.0</v>
      </c>
      <c r="D7014" s="9">
        <v>21037.97</v>
      </c>
      <c r="E7014" s="10" t="str">
        <f t="array" ref="E7014">IFS(D7014&lt;=$G$3,'calculated data '!$A$3,D7014&lt;=$G$4,'calculated data '!$A$4,D7014&lt;=$G$6,'calculated data '!$A$5,D7014&gt;=$G$6,'calculated data '!$A$6)</f>
        <v>Target Market (Core IQR)</v>
      </c>
      <c r="F7014" s="10">
        <f t="shared" si="1"/>
        <v>-0.1063016488</v>
      </c>
    </row>
    <row r="7015" ht="14.25" customHeight="1">
      <c r="A7015" s="2" t="s">
        <v>385</v>
      </c>
      <c r="B7015" s="2" t="s">
        <v>386</v>
      </c>
      <c r="C7015" s="2">
        <v>1979.0</v>
      </c>
      <c r="D7015" s="9">
        <v>21053.846</v>
      </c>
      <c r="E7015" s="10" t="str">
        <f t="array" ref="E7015">IFS(D7015&lt;=$G$3,'calculated data '!$A$3,D7015&lt;=$G$4,'calculated data '!$A$4,D7015&lt;=$G$6,'calculated data '!$A$5,D7015&gt;=$G$6,'calculated data '!$A$6)</f>
        <v>Target Market (Core IQR)</v>
      </c>
      <c r="F7015" s="10">
        <f t="shared" si="1"/>
        <v>-0.105881415</v>
      </c>
    </row>
    <row r="7016" ht="14.25" customHeight="1">
      <c r="A7016" s="2" t="s">
        <v>311</v>
      </c>
      <c r="B7016" s="2" t="s">
        <v>312</v>
      </c>
      <c r="C7016" s="2">
        <v>2010.0</v>
      </c>
      <c r="D7016" s="9">
        <v>21064.637</v>
      </c>
      <c r="E7016" s="10" t="str">
        <f t="array" ref="E7016">IFS(D7016&lt;=$G$3,'calculated data '!$A$3,D7016&lt;=$G$4,'calculated data '!$A$4,D7016&lt;=$G$6,'calculated data '!$A$5,D7016&gt;=$G$6,'calculated data '!$A$6)</f>
        <v>Target Market (Core IQR)</v>
      </c>
      <c r="F7016" s="10">
        <f t="shared" si="1"/>
        <v>-0.1055957799</v>
      </c>
    </row>
    <row r="7017" ht="14.25" customHeight="1">
      <c r="A7017" s="2" t="s">
        <v>355</v>
      </c>
      <c r="B7017" s="2" t="s">
        <v>356</v>
      </c>
      <c r="C7017" s="2">
        <v>1974.0</v>
      </c>
      <c r="D7017" s="9">
        <v>21070.025</v>
      </c>
      <c r="E7017" s="10" t="str">
        <f t="array" ref="E7017">IFS(D7017&lt;=$G$3,'calculated data '!$A$3,D7017&lt;=$G$4,'calculated data '!$A$4,D7017&lt;=$G$6,'calculated data '!$A$5,D7017&gt;=$G$6,'calculated data '!$A$6)</f>
        <v>Target Market (Core IQR)</v>
      </c>
      <c r="F7017" s="10">
        <f t="shared" si="1"/>
        <v>-0.1054531609</v>
      </c>
    </row>
    <row r="7018" ht="14.25" customHeight="1">
      <c r="A7018" s="2" t="s">
        <v>387</v>
      </c>
      <c r="B7018" s="2" t="s">
        <v>388</v>
      </c>
      <c r="C7018" s="2">
        <v>1986.0</v>
      </c>
      <c r="D7018" s="9">
        <v>21080.012</v>
      </c>
      <c r="E7018" s="10" t="str">
        <f t="array" ref="E7018">IFS(D7018&lt;=$G$3,'calculated data '!$A$3,D7018&lt;=$G$4,'calculated data '!$A$4,D7018&lt;=$G$6,'calculated data '!$A$5,D7018&gt;=$G$6,'calculated data '!$A$6)</f>
        <v>Target Market (Core IQR)</v>
      </c>
      <c r="F7018" s="10">
        <f t="shared" si="1"/>
        <v>-0.1051888075</v>
      </c>
    </row>
    <row r="7019" ht="14.25" customHeight="1">
      <c r="A7019" s="2" t="s">
        <v>351</v>
      </c>
      <c r="B7019" s="2" t="s">
        <v>352</v>
      </c>
      <c r="C7019" s="2">
        <v>1992.0</v>
      </c>
      <c r="D7019" s="9">
        <v>21121.738</v>
      </c>
      <c r="E7019" s="10" t="str">
        <f t="array" ref="E7019">IFS(D7019&lt;=$G$3,'calculated data '!$A$3,D7019&lt;=$G$4,'calculated data '!$A$4,D7019&lt;=$G$6,'calculated data '!$A$5,D7019&gt;=$G$6,'calculated data '!$A$6)</f>
        <v>Target Market (Core IQR)</v>
      </c>
      <c r="F7019" s="10">
        <f t="shared" si="1"/>
        <v>-0.1040843307</v>
      </c>
    </row>
    <row r="7020" ht="14.25" customHeight="1">
      <c r="A7020" s="2" t="s">
        <v>357</v>
      </c>
      <c r="B7020" s="2" t="s">
        <v>358</v>
      </c>
      <c r="C7020" s="2">
        <v>2014.0</v>
      </c>
      <c r="D7020" s="9">
        <v>21127.55</v>
      </c>
      <c r="E7020" s="10" t="str">
        <f t="array" ref="E7020">IFS(D7020&lt;=$G$3,'calculated data '!$A$3,D7020&lt;=$G$4,'calculated data '!$A$4,D7020&lt;=$G$6,'calculated data '!$A$5,D7020&gt;=$G$6,'calculated data '!$A$6)</f>
        <v>Target Market (Core IQR)</v>
      </c>
      <c r="F7020" s="10">
        <f t="shared" si="1"/>
        <v>-0.1039304885</v>
      </c>
    </row>
    <row r="7021" ht="14.25" customHeight="1">
      <c r="A7021" s="2" t="s">
        <v>313</v>
      </c>
      <c r="B7021" s="2" t="s">
        <v>314</v>
      </c>
      <c r="C7021" s="2">
        <v>2024.0</v>
      </c>
      <c r="D7021" s="9">
        <v>21133.951</v>
      </c>
      <c r="E7021" s="10" t="str">
        <f t="array" ref="E7021">IFS(D7021&lt;=$G$3,'calculated data '!$A$3,D7021&lt;=$G$4,'calculated data '!$A$4,D7021&lt;=$G$6,'calculated data '!$A$5,D7021&gt;=$G$6,'calculated data '!$A$6)</f>
        <v>Target Market (Core IQR)</v>
      </c>
      <c r="F7021" s="10">
        <f t="shared" si="1"/>
        <v>-0.1037610556</v>
      </c>
    </row>
    <row r="7022" ht="14.25" customHeight="1">
      <c r="A7022" s="2" t="s">
        <v>357</v>
      </c>
      <c r="B7022" s="2" t="s">
        <v>358</v>
      </c>
      <c r="C7022" s="2">
        <v>2012.0</v>
      </c>
      <c r="D7022" s="9">
        <v>21135.992</v>
      </c>
      <c r="E7022" s="10" t="str">
        <f t="array" ref="E7022">IFS(D7022&lt;=$G$3,'calculated data '!$A$3,D7022&lt;=$G$4,'calculated data '!$A$4,D7022&lt;=$G$6,'calculated data '!$A$5,D7022&gt;=$G$6,'calculated data '!$A$6)</f>
        <v>Target Market (Core IQR)</v>
      </c>
      <c r="F7022" s="10">
        <f t="shared" si="1"/>
        <v>-0.1037070309</v>
      </c>
    </row>
    <row r="7023" ht="14.25" customHeight="1">
      <c r="A7023" s="2" t="s">
        <v>361</v>
      </c>
      <c r="B7023" s="2" t="s">
        <v>362</v>
      </c>
      <c r="C7023" s="2">
        <v>2019.0</v>
      </c>
      <c r="D7023" s="9">
        <v>21144.66</v>
      </c>
      <c r="E7023" s="10" t="str">
        <f t="array" ref="E7023">IFS(D7023&lt;=$G$3,'calculated data '!$A$3,D7023&lt;=$G$4,'calculated data '!$A$4,D7023&lt;=$G$6,'calculated data '!$A$5,D7023&gt;=$G$6,'calculated data '!$A$6)</f>
        <v>Target Market (Core IQR)</v>
      </c>
      <c r="F7023" s="10">
        <f t="shared" si="1"/>
        <v>-0.1034775911</v>
      </c>
    </row>
    <row r="7024" ht="14.25" customHeight="1">
      <c r="A7024" s="2" t="s">
        <v>355</v>
      </c>
      <c r="B7024" s="2" t="s">
        <v>356</v>
      </c>
      <c r="C7024" s="2">
        <v>1975.0</v>
      </c>
      <c r="D7024" s="9">
        <v>21146.594</v>
      </c>
      <c r="E7024" s="10" t="str">
        <f t="array" ref="E7024">IFS(D7024&lt;=$G$3,'calculated data '!$A$3,D7024&lt;=$G$4,'calculated data '!$A$4,D7024&lt;=$G$6,'calculated data '!$A$5,D7024&gt;=$G$6,'calculated data '!$A$6)</f>
        <v>Target Market (Core IQR)</v>
      </c>
      <c r="F7024" s="10">
        <f t="shared" si="1"/>
        <v>-0.1034263986</v>
      </c>
    </row>
    <row r="7025" ht="14.25" customHeight="1">
      <c r="A7025" s="2" t="s">
        <v>309</v>
      </c>
      <c r="B7025" s="2" t="s">
        <v>310</v>
      </c>
      <c r="C7025" s="2">
        <v>1987.0</v>
      </c>
      <c r="D7025" s="9">
        <v>21146.838</v>
      </c>
      <c r="E7025" s="10" t="str">
        <f t="array" ref="E7025">IFS(D7025&lt;=$G$3,'calculated data '!$A$3,D7025&lt;=$G$4,'calculated data '!$A$4,D7025&lt;=$G$6,'calculated data '!$A$5,D7025&gt;=$G$6,'calculated data '!$A$6)</f>
        <v>Target Market (Core IQR)</v>
      </c>
      <c r="F7025" s="10">
        <f t="shared" si="1"/>
        <v>-0.1034199399</v>
      </c>
    </row>
    <row r="7026" ht="14.25" customHeight="1">
      <c r="A7026" s="2" t="s">
        <v>355</v>
      </c>
      <c r="B7026" s="2" t="s">
        <v>356</v>
      </c>
      <c r="C7026" s="2">
        <v>1973.0</v>
      </c>
      <c r="D7026" s="9">
        <v>21168.535</v>
      </c>
      <c r="E7026" s="10" t="str">
        <f t="array" ref="E7026">IFS(D7026&lt;=$G$3,'calculated data '!$A$3,D7026&lt;=$G$4,'calculated data '!$A$4,D7026&lt;=$G$6,'calculated data '!$A$5,D7026&gt;=$G$6,'calculated data '!$A$6)</f>
        <v>Target Market (Core IQR)</v>
      </c>
      <c r="F7026" s="10">
        <f t="shared" si="1"/>
        <v>-0.1028456258</v>
      </c>
    </row>
    <row r="7027" ht="14.25" customHeight="1">
      <c r="A7027" s="2" t="s">
        <v>341</v>
      </c>
      <c r="B7027" s="2" t="s">
        <v>342</v>
      </c>
      <c r="C7027" s="2">
        <v>1995.0</v>
      </c>
      <c r="D7027" s="9">
        <v>21170.059</v>
      </c>
      <c r="E7027" s="10" t="str">
        <f t="array" ref="E7027">IFS(D7027&lt;=$G$3,'calculated data '!$A$3,D7027&lt;=$G$4,'calculated data '!$A$4,D7027&lt;=$G$6,'calculated data '!$A$5,D7027&gt;=$G$6,'calculated data '!$A$6)</f>
        <v>Target Market (Core IQR)</v>
      </c>
      <c r="F7027" s="10">
        <f t="shared" si="1"/>
        <v>-0.1028052859</v>
      </c>
    </row>
    <row r="7028" ht="14.25" customHeight="1">
      <c r="A7028" s="2" t="s">
        <v>317</v>
      </c>
      <c r="B7028" s="2" t="s">
        <v>318</v>
      </c>
      <c r="C7028" s="2">
        <v>2022.0</v>
      </c>
      <c r="D7028" s="9">
        <v>21173.305</v>
      </c>
      <c r="E7028" s="10" t="str">
        <f t="array" ref="E7028">IFS(D7028&lt;=$G$3,'calculated data '!$A$3,D7028&lt;=$G$4,'calculated data '!$A$4,D7028&lt;=$G$6,'calculated data '!$A$5,D7028&gt;=$G$6,'calculated data '!$A$6)</f>
        <v>Target Market (Core IQR)</v>
      </c>
      <c r="F7028" s="10">
        <f t="shared" si="1"/>
        <v>-0.102719365</v>
      </c>
    </row>
    <row r="7029" ht="14.25" customHeight="1">
      <c r="A7029" s="2" t="s">
        <v>371</v>
      </c>
      <c r="B7029" s="2" t="s">
        <v>372</v>
      </c>
      <c r="C7029" s="2">
        <v>1968.0</v>
      </c>
      <c r="D7029" s="9">
        <v>21173.65</v>
      </c>
      <c r="E7029" s="10" t="str">
        <f t="array" ref="E7029">IFS(D7029&lt;=$G$3,'calculated data '!$A$3,D7029&lt;=$G$4,'calculated data '!$A$4,D7029&lt;=$G$6,'calculated data '!$A$5,D7029&gt;=$G$6,'calculated data '!$A$6)</f>
        <v>Target Market (Core IQR)</v>
      </c>
      <c r="F7029" s="10">
        <f t="shared" si="1"/>
        <v>-0.102710233</v>
      </c>
    </row>
    <row r="7030" ht="14.25" customHeight="1">
      <c r="A7030" s="2" t="s">
        <v>303</v>
      </c>
      <c r="B7030" s="2" t="s">
        <v>304</v>
      </c>
      <c r="C7030" s="2">
        <v>2023.0</v>
      </c>
      <c r="D7030" s="9">
        <v>21177.12</v>
      </c>
      <c r="E7030" s="10" t="str">
        <f t="array" ref="E7030">IFS(D7030&lt;=$G$3,'calculated data '!$A$3,D7030&lt;=$G$4,'calculated data '!$A$4,D7030&lt;=$G$6,'calculated data '!$A$5,D7030&gt;=$G$6,'calculated data '!$A$6)</f>
        <v>Target Market (Core IQR)</v>
      </c>
      <c r="F7030" s="10">
        <f t="shared" si="1"/>
        <v>-0.1026183829</v>
      </c>
    </row>
    <row r="7031" ht="14.25" customHeight="1">
      <c r="A7031" s="2" t="s">
        <v>277</v>
      </c>
      <c r="B7031" s="2" t="s">
        <v>278</v>
      </c>
      <c r="C7031" s="2">
        <v>2010.0</v>
      </c>
      <c r="D7031" s="9">
        <v>21180.273</v>
      </c>
      <c r="E7031" s="10" t="str">
        <f t="array" ref="E7031">IFS(D7031&lt;=$G$3,'calculated data '!$A$3,D7031&lt;=$G$4,'calculated data '!$A$4,D7031&lt;=$G$6,'calculated data '!$A$5,D7031&gt;=$G$6,'calculated data '!$A$6)</f>
        <v>Target Market (Core IQR)</v>
      </c>
      <c r="F7031" s="10">
        <f t="shared" si="1"/>
        <v>-0.1025349238</v>
      </c>
    </row>
    <row r="7032" ht="14.25" customHeight="1">
      <c r="A7032" s="2" t="s">
        <v>323</v>
      </c>
      <c r="B7032" s="2" t="s">
        <v>324</v>
      </c>
      <c r="C7032" s="2">
        <v>2019.0</v>
      </c>
      <c r="D7032" s="9">
        <v>21195.812</v>
      </c>
      <c r="E7032" s="10" t="str">
        <f t="array" ref="E7032">IFS(D7032&lt;=$G$3,'calculated data '!$A$3,D7032&lt;=$G$4,'calculated data '!$A$4,D7032&lt;=$G$6,'calculated data '!$A$5,D7032&gt;=$G$6,'calculated data '!$A$6)</f>
        <v>Target Market (Core IQR)</v>
      </c>
      <c r="F7032" s="10">
        <f t="shared" si="1"/>
        <v>-0.1021236104</v>
      </c>
    </row>
    <row r="7033" ht="14.25" customHeight="1">
      <c r="A7033" s="2" t="s">
        <v>357</v>
      </c>
      <c r="B7033" s="2" t="s">
        <v>358</v>
      </c>
      <c r="C7033" s="2">
        <v>2015.0</v>
      </c>
      <c r="D7033" s="9">
        <v>21200.432</v>
      </c>
      <c r="E7033" s="10" t="str">
        <f t="array" ref="E7033">IFS(D7033&lt;=$G$3,'calculated data '!$A$3,D7033&lt;=$G$4,'calculated data '!$A$4,D7033&lt;=$G$6,'calculated data '!$A$5,D7033&gt;=$G$6,'calculated data '!$A$6)</f>
        <v>Target Market (Core IQR)</v>
      </c>
      <c r="F7033" s="10">
        <f t="shared" si="1"/>
        <v>-0.1020013201</v>
      </c>
    </row>
    <row r="7034" ht="14.25" customHeight="1">
      <c r="A7034" s="2" t="s">
        <v>231</v>
      </c>
      <c r="B7034" s="2" t="s">
        <v>232</v>
      </c>
      <c r="C7034" s="2">
        <v>2023.0</v>
      </c>
      <c r="D7034" s="9">
        <v>21214.111</v>
      </c>
      <c r="E7034" s="10" t="str">
        <f t="array" ref="E7034">IFS(D7034&lt;=$G$3,'calculated data '!$A$3,D7034&lt;=$G$4,'calculated data '!$A$4,D7034&lt;=$G$6,'calculated data '!$A$5,D7034&gt;=$G$6,'calculated data '!$A$6)</f>
        <v>Target Market (Core IQR)</v>
      </c>
      <c r="F7034" s="10">
        <f t="shared" si="1"/>
        <v>-0.1016392404</v>
      </c>
    </row>
    <row r="7035" ht="14.25" customHeight="1">
      <c r="A7035" s="2" t="s">
        <v>47</v>
      </c>
      <c r="B7035" s="2" t="s">
        <v>48</v>
      </c>
      <c r="C7035" s="2">
        <v>2005.0</v>
      </c>
      <c r="D7035" s="9">
        <v>21215.703</v>
      </c>
      <c r="E7035" s="10" t="str">
        <f t="array" ref="E7035">IFS(D7035&lt;=$G$3,'calculated data '!$A$3,D7035&lt;=$G$4,'calculated data '!$A$4,D7035&lt;=$G$6,'calculated data '!$A$5,D7035&gt;=$G$6,'calculated data '!$A$6)</f>
        <v>Target Market (Core IQR)</v>
      </c>
      <c r="F7035" s="10">
        <f t="shared" si="1"/>
        <v>-0.1015971005</v>
      </c>
    </row>
    <row r="7036" ht="14.25" customHeight="1">
      <c r="A7036" s="2" t="s">
        <v>367</v>
      </c>
      <c r="B7036" s="2" t="s">
        <v>368</v>
      </c>
      <c r="C7036" s="2">
        <v>2020.0</v>
      </c>
      <c r="D7036" s="9">
        <v>21232.518</v>
      </c>
      <c r="E7036" s="10" t="str">
        <f t="array" ref="E7036">IFS(D7036&lt;=$G$3,'calculated data '!$A$3,D7036&lt;=$G$4,'calculated data '!$A$4,D7036&lt;=$G$6,'calculated data '!$A$5,D7036&gt;=$G$6,'calculated data '!$A$6)</f>
        <v>Target Market (Core IQR)</v>
      </c>
      <c r="F7036" s="10">
        <f t="shared" si="1"/>
        <v>-0.1011520117</v>
      </c>
    </row>
    <row r="7037" ht="14.25" customHeight="1">
      <c r="A7037" s="2" t="s">
        <v>357</v>
      </c>
      <c r="B7037" s="2" t="s">
        <v>358</v>
      </c>
      <c r="C7037" s="2">
        <v>2016.0</v>
      </c>
      <c r="D7037" s="9">
        <v>21236.55</v>
      </c>
      <c r="E7037" s="10" t="str">
        <f t="array" ref="E7037">IFS(D7037&lt;=$G$3,'calculated data '!$A$3,D7037&lt;=$G$4,'calculated data '!$A$4,D7037&lt;=$G$6,'calculated data '!$A$5,D7037&gt;=$G$6,'calculated data '!$A$6)</f>
        <v>Target Market (Core IQR)</v>
      </c>
      <c r="F7037" s="10">
        <f t="shared" si="1"/>
        <v>-0.1010452856</v>
      </c>
    </row>
    <row r="7038" ht="14.25" customHeight="1">
      <c r="A7038" s="2" t="s">
        <v>313</v>
      </c>
      <c r="B7038" s="2" t="s">
        <v>314</v>
      </c>
      <c r="C7038" s="2">
        <v>2025.0</v>
      </c>
      <c r="D7038" s="9">
        <v>21237.123</v>
      </c>
      <c r="E7038" s="10" t="str">
        <f t="array" ref="E7038">IFS(D7038&lt;=$G$3,'calculated data '!$A$3,D7038&lt;=$G$4,'calculated data '!$A$4,D7038&lt;=$G$6,'calculated data '!$A$5,D7038&gt;=$G$6,'calculated data '!$A$6)</f>
        <v>Target Market (Core IQR)</v>
      </c>
      <c r="F7038" s="10">
        <f t="shared" si="1"/>
        <v>-0.1010301185</v>
      </c>
    </row>
    <row r="7039" ht="14.25" customHeight="1">
      <c r="A7039" s="2" t="s">
        <v>313</v>
      </c>
      <c r="B7039" s="2" t="s">
        <v>314</v>
      </c>
      <c r="C7039" s="2">
        <v>2023.0</v>
      </c>
      <c r="D7039" s="9">
        <v>21252.889</v>
      </c>
      <c r="E7039" s="10" t="str">
        <f t="array" ref="E7039">IFS(D7039&lt;=$G$3,'calculated data '!$A$3,D7039&lt;=$G$4,'calculated data '!$A$4,D7039&lt;=$G$6,'calculated data '!$A$5,D7039&gt;=$G$6,'calculated data '!$A$6)</f>
        <v>Target Market (Core IQR)</v>
      </c>
      <c r="F7039" s="10">
        <f t="shared" si="1"/>
        <v>-0.1006127964</v>
      </c>
    </row>
    <row r="7040" ht="14.25" customHeight="1">
      <c r="A7040" s="2" t="s">
        <v>359</v>
      </c>
      <c r="B7040" s="2" t="s">
        <v>360</v>
      </c>
      <c r="C7040" s="2">
        <v>1994.0</v>
      </c>
      <c r="D7040" s="9">
        <v>21266.982</v>
      </c>
      <c r="E7040" s="10" t="str">
        <f t="array" ref="E7040">IFS(D7040&lt;=$G$3,'calculated data '!$A$3,D7040&lt;=$G$4,'calculated data '!$A$4,D7040&lt;=$G$6,'calculated data '!$A$5,D7040&gt;=$G$6,'calculated data '!$A$6)</f>
        <v>Target Market (Core IQR)</v>
      </c>
      <c r="F7040" s="10">
        <f t="shared" si="1"/>
        <v>-0.1002397582</v>
      </c>
    </row>
    <row r="7041" ht="14.25" customHeight="1">
      <c r="A7041" s="2" t="s">
        <v>397</v>
      </c>
      <c r="B7041" s="2" t="s">
        <v>398</v>
      </c>
      <c r="C7041" s="2">
        <v>1965.0</v>
      </c>
      <c r="D7041" s="9">
        <v>21274.244</v>
      </c>
      <c r="E7041" s="10" t="str">
        <f t="array" ref="E7041">IFS(D7041&lt;=$G$3,'calculated data '!$A$3,D7041&lt;=$G$4,'calculated data '!$A$4,D7041&lt;=$G$6,'calculated data '!$A$5,D7041&gt;=$G$6,'calculated data '!$A$6)</f>
        <v>Target Market (Core IQR)</v>
      </c>
      <c r="F7041" s="10">
        <f t="shared" si="1"/>
        <v>-0.1000475349</v>
      </c>
    </row>
    <row r="7042" ht="14.25" customHeight="1">
      <c r="A7042" s="2" t="s">
        <v>373</v>
      </c>
      <c r="B7042" s="2" t="s">
        <v>374</v>
      </c>
      <c r="C7042" s="2">
        <v>1990.0</v>
      </c>
      <c r="D7042" s="9">
        <v>21275.953</v>
      </c>
      <c r="E7042" s="10" t="str">
        <f t="array" ref="E7042">IFS(D7042&lt;=$G$3,'calculated data '!$A$3,D7042&lt;=$G$4,'calculated data '!$A$4,D7042&lt;=$G$6,'calculated data '!$A$5,D7042&gt;=$G$6,'calculated data '!$A$6)</f>
        <v>Target Market (Core IQR)</v>
      </c>
      <c r="F7042" s="10">
        <f t="shared" si="1"/>
        <v>-0.100002298</v>
      </c>
    </row>
    <row r="7043" ht="14.25" customHeight="1">
      <c r="A7043" s="2" t="s">
        <v>99</v>
      </c>
      <c r="B7043" s="2" t="s">
        <v>100</v>
      </c>
      <c r="C7043" s="2">
        <v>2014.0</v>
      </c>
      <c r="D7043" s="9">
        <v>21282.586</v>
      </c>
      <c r="E7043" s="10" t="str">
        <f t="array" ref="E7043">IFS(D7043&lt;=$G$3,'calculated data '!$A$3,D7043&lt;=$G$4,'calculated data '!$A$4,D7043&lt;=$G$6,'calculated data '!$A$5,D7043&gt;=$G$6,'calculated data '!$A$6)</f>
        <v>Target Market (Core IQR)</v>
      </c>
      <c r="F7043" s="10">
        <f t="shared" si="1"/>
        <v>-0.09982672419</v>
      </c>
    </row>
    <row r="7044" ht="14.25" customHeight="1">
      <c r="A7044" s="2" t="s">
        <v>363</v>
      </c>
      <c r="B7044" s="2" t="s">
        <v>364</v>
      </c>
      <c r="C7044" s="2">
        <v>1997.0</v>
      </c>
      <c r="D7044" s="9">
        <v>21292.63</v>
      </c>
      <c r="E7044" s="10" t="str">
        <f t="array" ref="E7044">IFS(D7044&lt;=$G$3,'calculated data '!$A$3,D7044&lt;=$G$4,'calculated data '!$A$4,D7044&lt;=$G$6,'calculated data '!$A$5,D7044&gt;=$G$6,'calculated data '!$A$6)</f>
        <v>Target Market (Core IQR)</v>
      </c>
      <c r="F7044" s="10">
        <f t="shared" si="1"/>
        <v>-0.09956086201</v>
      </c>
    </row>
    <row r="7045" ht="14.25" customHeight="1">
      <c r="A7045" s="2" t="s">
        <v>335</v>
      </c>
      <c r="B7045" s="2" t="s">
        <v>336</v>
      </c>
      <c r="C7045" s="2">
        <v>1979.0</v>
      </c>
      <c r="D7045" s="9">
        <v>21305.307</v>
      </c>
      <c r="E7045" s="10" t="str">
        <f t="array" ref="E7045">IFS(D7045&lt;=$G$3,'calculated data '!$A$3,D7045&lt;=$G$4,'calculated data '!$A$4,D7045&lt;=$G$6,'calculated data '!$A$5,D7045&gt;=$G$6,'calculated data '!$A$6)</f>
        <v>Target Market (Core IQR)</v>
      </c>
      <c r="F7045" s="10">
        <f t="shared" si="1"/>
        <v>-0.09922530498</v>
      </c>
    </row>
    <row r="7046" ht="14.25" customHeight="1">
      <c r="A7046" s="2" t="s">
        <v>377</v>
      </c>
      <c r="B7046" s="2" t="s">
        <v>378</v>
      </c>
      <c r="C7046" s="2">
        <v>2020.0</v>
      </c>
      <c r="D7046" s="9">
        <v>21306.602</v>
      </c>
      <c r="E7046" s="10" t="str">
        <f t="array" ref="E7046">IFS(D7046&lt;=$G$3,'calculated data '!$A$3,D7046&lt;=$G$4,'calculated data '!$A$4,D7046&lt;=$G$6,'calculated data '!$A$5,D7046&gt;=$G$6,'calculated data '!$A$6)</f>
        <v>Target Market (Core IQR)</v>
      </c>
      <c r="F7046" s="10">
        <f t="shared" si="1"/>
        <v>-0.09919102665</v>
      </c>
    </row>
    <row r="7047" ht="14.25" customHeight="1">
      <c r="A7047" s="2" t="s">
        <v>357</v>
      </c>
      <c r="B7047" s="2" t="s">
        <v>358</v>
      </c>
      <c r="C7047" s="2">
        <v>2013.0</v>
      </c>
      <c r="D7047" s="9">
        <v>21309.096</v>
      </c>
      <c r="E7047" s="10" t="str">
        <f t="array" ref="E7047">IFS(D7047&lt;=$G$3,'calculated data '!$A$3,D7047&lt;=$G$4,'calculated data '!$A$4,D7047&lt;=$G$6,'calculated data '!$A$5,D7047&gt;=$G$6,'calculated data '!$A$6)</f>
        <v>Target Market (Core IQR)</v>
      </c>
      <c r="F7047" s="10">
        <f t="shared" si="1"/>
        <v>-0.09912501109</v>
      </c>
    </row>
    <row r="7048" ht="14.25" customHeight="1">
      <c r="A7048" s="2" t="s">
        <v>331</v>
      </c>
      <c r="B7048" s="2" t="s">
        <v>332</v>
      </c>
      <c r="C7048" s="2">
        <v>1986.0</v>
      </c>
      <c r="D7048" s="9">
        <v>21315.715</v>
      </c>
      <c r="E7048" s="10" t="str">
        <f t="array" ref="E7048">IFS(D7048&lt;=$G$3,'calculated data '!$A$3,D7048&lt;=$G$4,'calculated data '!$A$4,D7048&lt;=$G$6,'calculated data '!$A$5,D7048&gt;=$G$6,'calculated data '!$A$6)</f>
        <v>Target Market (Core IQR)</v>
      </c>
      <c r="F7048" s="10">
        <f t="shared" si="1"/>
        <v>-0.09894980781</v>
      </c>
    </row>
    <row r="7049" ht="14.25" customHeight="1">
      <c r="A7049" s="2" t="s">
        <v>359</v>
      </c>
      <c r="B7049" s="2" t="s">
        <v>360</v>
      </c>
      <c r="C7049" s="2">
        <v>1970.0</v>
      </c>
      <c r="D7049" s="9">
        <v>21316.812</v>
      </c>
      <c r="E7049" s="10" t="str">
        <f t="array" ref="E7049">IFS(D7049&lt;=$G$3,'calculated data '!$A$3,D7049&lt;=$G$4,'calculated data '!$A$4,D7049&lt;=$G$6,'calculated data '!$A$5,D7049&gt;=$G$6,'calculated data '!$A$6)</f>
        <v>Target Market (Core IQR)</v>
      </c>
      <c r="F7049" s="10">
        <f t="shared" si="1"/>
        <v>-0.0989207705</v>
      </c>
    </row>
    <row r="7050" ht="14.25" customHeight="1">
      <c r="A7050" s="2" t="s">
        <v>385</v>
      </c>
      <c r="B7050" s="2" t="s">
        <v>386</v>
      </c>
      <c r="C7050" s="2">
        <v>2023.0</v>
      </c>
      <c r="D7050" s="9">
        <v>21318.16</v>
      </c>
      <c r="E7050" s="10" t="str">
        <f t="array" ref="E7050">IFS(D7050&lt;=$G$3,'calculated data '!$A$3,D7050&lt;=$G$4,'calculated data '!$A$4,D7050&lt;=$G$6,'calculated data '!$A$5,D7050&gt;=$G$6,'calculated data '!$A$6)</f>
        <v>Target Market (Core IQR)</v>
      </c>
      <c r="F7050" s="10">
        <f t="shared" si="1"/>
        <v>-0.09888508927</v>
      </c>
    </row>
    <row r="7051" ht="14.25" customHeight="1">
      <c r="A7051" s="2" t="s">
        <v>393</v>
      </c>
      <c r="B7051" s="2" t="s">
        <v>394</v>
      </c>
      <c r="C7051" s="2">
        <v>2015.0</v>
      </c>
      <c r="D7051" s="9">
        <v>21320.408</v>
      </c>
      <c r="E7051" s="10" t="str">
        <f t="array" ref="E7051">IFS(D7051&lt;=$G$3,'calculated data '!$A$3,D7051&lt;=$G$4,'calculated data '!$A$4,D7051&lt;=$G$6,'calculated data '!$A$5,D7051&gt;=$G$6,'calculated data '!$A$6)</f>
        <v>Target Market (Core IQR)</v>
      </c>
      <c r="F7051" s="10">
        <f t="shared" si="1"/>
        <v>-0.09882558527</v>
      </c>
    </row>
    <row r="7052" ht="14.25" customHeight="1">
      <c r="A7052" s="2" t="s">
        <v>71</v>
      </c>
      <c r="B7052" s="2" t="s">
        <v>72</v>
      </c>
      <c r="C7052" s="2">
        <v>1973.0</v>
      </c>
      <c r="D7052" s="9">
        <v>21320.436</v>
      </c>
      <c r="E7052" s="10" t="str">
        <f t="array" ref="E7052">IFS(D7052&lt;=$G$3,'calculated data '!$A$3,D7052&lt;=$G$4,'calculated data '!$A$4,D7052&lt;=$G$6,'calculated data '!$A$5,D7052&gt;=$G$6,'calculated data '!$A$6)</f>
        <v>Target Market (Core IQR)</v>
      </c>
      <c r="F7052" s="10">
        <f t="shared" si="1"/>
        <v>-0.09882484412</v>
      </c>
    </row>
    <row r="7053" ht="14.25" customHeight="1">
      <c r="A7053" s="2" t="s">
        <v>361</v>
      </c>
      <c r="B7053" s="2" t="s">
        <v>362</v>
      </c>
      <c r="C7053" s="2">
        <v>2021.0</v>
      </c>
      <c r="D7053" s="9">
        <v>21329.17</v>
      </c>
      <c r="E7053" s="10" t="str">
        <f t="array" ref="E7053">IFS(D7053&lt;=$G$3,'calculated data '!$A$3,D7053&lt;=$G$4,'calculated data '!$A$4,D7053&lt;=$G$6,'calculated data '!$A$5,D7053&gt;=$G$6,'calculated data '!$A$6)</f>
        <v>Target Market (Core IQR)</v>
      </c>
      <c r="F7053" s="10">
        <f t="shared" si="1"/>
        <v>-0.09859365731</v>
      </c>
    </row>
    <row r="7054" ht="14.25" customHeight="1">
      <c r="A7054" s="2" t="s">
        <v>313</v>
      </c>
      <c r="B7054" s="2" t="s">
        <v>314</v>
      </c>
      <c r="C7054" s="2">
        <v>2013.0</v>
      </c>
      <c r="D7054" s="9">
        <v>21334.443</v>
      </c>
      <c r="E7054" s="10" t="str">
        <f t="array" ref="E7054">IFS(D7054&lt;=$G$3,'calculated data '!$A$3,D7054&lt;=$G$4,'calculated data '!$A$4,D7054&lt;=$G$6,'calculated data '!$A$5,D7054&gt;=$G$6,'calculated data '!$A$6)</f>
        <v>Target Market (Core IQR)</v>
      </c>
      <c r="F7054" s="10">
        <f t="shared" si="1"/>
        <v>-0.09845408232</v>
      </c>
    </row>
    <row r="7055" ht="14.25" customHeight="1">
      <c r="A7055" s="2" t="s">
        <v>383</v>
      </c>
      <c r="B7055" s="2" t="s">
        <v>384</v>
      </c>
      <c r="C7055" s="2">
        <v>2000.0</v>
      </c>
      <c r="D7055" s="9">
        <v>21336.246</v>
      </c>
      <c r="E7055" s="10" t="str">
        <f t="array" ref="E7055">IFS(D7055&lt;=$G$3,'calculated data '!$A$3,D7055&lt;=$G$4,'calculated data '!$A$4,D7055&lt;=$G$6,'calculated data '!$A$5,D7055&gt;=$G$6,'calculated data '!$A$6)</f>
        <v>Target Market (Core IQR)</v>
      </c>
      <c r="F7055" s="10">
        <f t="shared" si="1"/>
        <v>-0.09840635736</v>
      </c>
    </row>
    <row r="7056" ht="14.25" customHeight="1">
      <c r="A7056" s="2" t="s">
        <v>341</v>
      </c>
      <c r="B7056" s="2" t="s">
        <v>342</v>
      </c>
      <c r="C7056" s="2">
        <v>2021.0</v>
      </c>
      <c r="D7056" s="9">
        <v>21343.16</v>
      </c>
      <c r="E7056" s="10" t="str">
        <f t="array" ref="E7056">IFS(D7056&lt;=$G$3,'calculated data '!$A$3,D7056&lt;=$G$4,'calculated data '!$A$4,D7056&lt;=$G$6,'calculated data '!$A$5,D7056&gt;=$G$6,'calculated data '!$A$6)</f>
        <v>Target Market (Core IQR)</v>
      </c>
      <c r="F7056" s="10">
        <f t="shared" si="1"/>
        <v>-0.0982233455</v>
      </c>
    </row>
    <row r="7057" ht="14.25" customHeight="1">
      <c r="A7057" s="2" t="s">
        <v>361</v>
      </c>
      <c r="B7057" s="2" t="s">
        <v>362</v>
      </c>
      <c r="C7057" s="2">
        <v>2010.0</v>
      </c>
      <c r="D7057" s="9">
        <v>21344.85</v>
      </c>
      <c r="E7057" s="10" t="str">
        <f t="array" ref="E7057">IFS(D7057&lt;=$G$3,'calculated data '!$A$3,D7057&lt;=$G$4,'calculated data '!$A$4,D7057&lt;=$G$6,'calculated data '!$A$5,D7057&gt;=$G$6,'calculated data '!$A$6)</f>
        <v>Target Market (Core IQR)</v>
      </c>
      <c r="F7057" s="10">
        <f t="shared" si="1"/>
        <v>-0.09817861162</v>
      </c>
    </row>
    <row r="7058" ht="14.25" customHeight="1">
      <c r="A7058" s="2" t="s">
        <v>369</v>
      </c>
      <c r="B7058" s="2" t="s">
        <v>370</v>
      </c>
      <c r="C7058" s="2">
        <v>1967.0</v>
      </c>
      <c r="D7058" s="9">
        <v>21347.691</v>
      </c>
      <c r="E7058" s="10" t="str">
        <f t="array" ref="E7058">IFS(D7058&lt;=$G$3,'calculated data '!$A$3,D7058&lt;=$G$4,'calculated data '!$A$4,D7058&lt;=$G$6,'calculated data '!$A$5,D7058&gt;=$G$6,'calculated data '!$A$6)</f>
        <v>Target Market (Core IQR)</v>
      </c>
      <c r="F7058" s="10">
        <f t="shared" si="1"/>
        <v>-0.09810341106</v>
      </c>
    </row>
    <row r="7059" ht="14.25" customHeight="1">
      <c r="A7059" s="2" t="s">
        <v>375</v>
      </c>
      <c r="B7059" s="2" t="s">
        <v>376</v>
      </c>
      <c r="C7059" s="2">
        <v>1971.0</v>
      </c>
      <c r="D7059" s="9">
        <v>21356.316</v>
      </c>
      <c r="E7059" s="10" t="str">
        <f t="array" ref="E7059">IFS(D7059&lt;=$G$3,'calculated data '!$A$3,D7059&lt;=$G$4,'calculated data '!$A$4,D7059&lt;=$G$6,'calculated data '!$A$5,D7059&gt;=$G$6,'calculated data '!$A$6)</f>
        <v>Target Market (Core IQR)</v>
      </c>
      <c r="F7059" s="10">
        <f t="shared" si="1"/>
        <v>-0.09787510945</v>
      </c>
    </row>
    <row r="7060" ht="14.25" customHeight="1">
      <c r="A7060" s="2" t="s">
        <v>231</v>
      </c>
      <c r="B7060" s="2" t="s">
        <v>232</v>
      </c>
      <c r="C7060" s="2">
        <v>2022.0</v>
      </c>
      <c r="D7060" s="9">
        <v>21370.1</v>
      </c>
      <c r="E7060" s="10" t="str">
        <f t="array" ref="E7060">IFS(D7060&lt;=$G$3,'calculated data '!$A$3,D7060&lt;=$G$4,'calculated data '!$A$4,D7060&lt;=$G$6,'calculated data '!$A$5,D7060&gt;=$G$6,'calculated data '!$A$6)</f>
        <v>Target Market (Core IQR)</v>
      </c>
      <c r="F7060" s="10">
        <f t="shared" si="1"/>
        <v>-0.09751025041</v>
      </c>
    </row>
    <row r="7061" ht="14.25" customHeight="1">
      <c r="A7061" s="2" t="s">
        <v>291</v>
      </c>
      <c r="B7061" s="2" t="s">
        <v>292</v>
      </c>
      <c r="C7061" s="2">
        <v>1987.0</v>
      </c>
      <c r="D7061" s="9">
        <v>21417.863</v>
      </c>
      <c r="E7061" s="10" t="str">
        <f t="array" ref="E7061">IFS(D7061&lt;=$G$3,'calculated data '!$A$3,D7061&lt;=$G$4,'calculated data '!$A$4,D7061&lt;=$G$6,'calculated data '!$A$5,D7061&gt;=$G$6,'calculated data '!$A$6)</f>
        <v>Target Market (Core IQR)</v>
      </c>
      <c r="F7061" s="10">
        <f t="shared" si="1"/>
        <v>-0.09624597569</v>
      </c>
    </row>
    <row r="7062" ht="14.25" customHeight="1">
      <c r="A7062" s="2" t="s">
        <v>313</v>
      </c>
      <c r="B7062" s="2" t="s">
        <v>314</v>
      </c>
      <c r="C7062" s="2">
        <v>2016.0</v>
      </c>
      <c r="D7062" s="9">
        <v>21426.584</v>
      </c>
      <c r="E7062" s="10" t="str">
        <f t="array" ref="E7062">IFS(D7062&lt;=$G$3,'calculated data '!$A$3,D7062&lt;=$G$4,'calculated data '!$A$4,D7062&lt;=$G$6,'calculated data '!$A$5,D7062&gt;=$G$6,'calculated data '!$A$6)</f>
        <v>Target Market (Core IQR)</v>
      </c>
      <c r="F7062" s="10">
        <f t="shared" si="1"/>
        <v>-0.096015133</v>
      </c>
    </row>
    <row r="7063" ht="14.25" customHeight="1">
      <c r="A7063" s="2" t="s">
        <v>351</v>
      </c>
      <c r="B7063" s="2" t="s">
        <v>352</v>
      </c>
      <c r="C7063" s="2">
        <v>2017.0</v>
      </c>
      <c r="D7063" s="9">
        <v>21433.805</v>
      </c>
      <c r="E7063" s="10" t="str">
        <f t="array" ref="E7063">IFS(D7063&lt;=$G$3,'calculated data '!$A$3,D7063&lt;=$G$4,'calculated data '!$A$4,D7063&lt;=$G$6,'calculated data '!$A$5,D7063&gt;=$G$6,'calculated data '!$A$6)</f>
        <v>Target Market (Core IQR)</v>
      </c>
      <c r="F7063" s="10">
        <f t="shared" si="1"/>
        <v>-0.09582399492</v>
      </c>
    </row>
    <row r="7064" ht="14.25" customHeight="1">
      <c r="A7064" s="2" t="s">
        <v>373</v>
      </c>
      <c r="B7064" s="2" t="s">
        <v>374</v>
      </c>
      <c r="C7064" s="2">
        <v>1991.0</v>
      </c>
      <c r="D7064" s="9">
        <v>21446.906</v>
      </c>
      <c r="E7064" s="10" t="str">
        <f t="array" ref="E7064">IFS(D7064&lt;=$G$3,'calculated data '!$A$3,D7064&lt;=$G$4,'calculated data '!$A$4,D7064&lt;=$G$6,'calculated data '!$A$5,D7064&gt;=$G$6,'calculated data '!$A$6)</f>
        <v>Target Market (Core IQR)</v>
      </c>
      <c r="F7064" s="10">
        <f t="shared" si="1"/>
        <v>-0.09547721472</v>
      </c>
    </row>
    <row r="7065" ht="14.25" customHeight="1">
      <c r="A7065" s="2" t="s">
        <v>385</v>
      </c>
      <c r="B7065" s="2" t="s">
        <v>386</v>
      </c>
      <c r="C7065" s="2">
        <v>1975.0</v>
      </c>
      <c r="D7065" s="9">
        <v>21455.648</v>
      </c>
      <c r="E7065" s="10" t="str">
        <f t="array" ref="E7065">IFS(D7065&lt;=$G$3,'calculated data '!$A$3,D7065&lt;=$G$4,'calculated data '!$A$4,D7065&lt;=$G$6,'calculated data '!$A$5,D7065&gt;=$G$6,'calculated data '!$A$6)</f>
        <v>Target Market (Core IQR)</v>
      </c>
      <c r="F7065" s="10">
        <f t="shared" si="1"/>
        <v>-0.09524581615</v>
      </c>
    </row>
    <row r="7066" ht="14.25" customHeight="1">
      <c r="A7066" s="2" t="s">
        <v>271</v>
      </c>
      <c r="B7066" s="2" t="s">
        <v>272</v>
      </c>
      <c r="C7066" s="2">
        <v>2021.0</v>
      </c>
      <c r="D7066" s="9">
        <v>21455.732</v>
      </c>
      <c r="E7066" s="10" t="str">
        <f t="array" ref="E7066">IFS(D7066&lt;=$G$3,'calculated data '!$A$3,D7066&lt;=$G$4,'calculated data '!$A$4,D7066&lt;=$G$6,'calculated data '!$A$5,D7066&gt;=$G$6,'calculated data '!$A$6)</f>
        <v>Target Market (Core IQR)</v>
      </c>
      <c r="F7066" s="10">
        <f t="shared" si="1"/>
        <v>-0.0952435927</v>
      </c>
    </row>
    <row r="7067" ht="14.25" customHeight="1">
      <c r="A7067" s="2" t="s">
        <v>331</v>
      </c>
      <c r="B7067" s="2" t="s">
        <v>332</v>
      </c>
      <c r="C7067" s="2">
        <v>1985.0</v>
      </c>
      <c r="D7067" s="9">
        <v>21462.625</v>
      </c>
      <c r="E7067" s="10" t="str">
        <f t="array" ref="E7067">IFS(D7067&lt;=$G$3,'calculated data '!$A$3,D7067&lt;=$G$4,'calculated data '!$A$4,D7067&lt;=$G$6,'calculated data '!$A$5,D7067&gt;=$G$6,'calculated data '!$A$6)</f>
        <v>Target Market (Core IQR)</v>
      </c>
      <c r="F7067" s="10">
        <f t="shared" si="1"/>
        <v>-0.0950611367</v>
      </c>
    </row>
    <row r="7068" ht="14.25" customHeight="1">
      <c r="A7068" s="2" t="s">
        <v>279</v>
      </c>
      <c r="B7068" s="2" t="s">
        <v>280</v>
      </c>
      <c r="C7068" s="2">
        <v>1986.0</v>
      </c>
      <c r="D7068" s="9">
        <v>21491.252</v>
      </c>
      <c r="E7068" s="10" t="str">
        <f t="array" ref="E7068">IFS(D7068&lt;=$G$3,'calculated data '!$A$3,D7068&lt;=$G$4,'calculated data '!$A$4,D7068&lt;=$G$6,'calculated data '!$A$5,D7068&gt;=$G$6,'calculated data '!$A$6)</f>
        <v>Target Market (Core IQR)</v>
      </c>
      <c r="F7068" s="10">
        <f t="shared" si="1"/>
        <v>-0.09430338714</v>
      </c>
    </row>
    <row r="7069" ht="14.25" customHeight="1">
      <c r="A7069" s="2" t="s">
        <v>285</v>
      </c>
      <c r="B7069" s="2" t="s">
        <v>286</v>
      </c>
      <c r="C7069" s="2">
        <v>2001.0</v>
      </c>
      <c r="D7069" s="9">
        <v>21500.305</v>
      </c>
      <c r="E7069" s="10" t="str">
        <f t="array" ref="E7069">IFS(D7069&lt;=$G$3,'calculated data '!$A$3,D7069&lt;=$G$4,'calculated data '!$A$4,D7069&lt;=$G$6,'calculated data '!$A$5,D7069&gt;=$G$6,'calculated data '!$A$6)</f>
        <v>Target Market (Core IQR)</v>
      </c>
      <c r="F7069" s="10">
        <f t="shared" si="1"/>
        <v>-0.09406375649</v>
      </c>
    </row>
    <row r="7070" ht="14.25" customHeight="1">
      <c r="A7070" s="2" t="s">
        <v>373</v>
      </c>
      <c r="B7070" s="2" t="s">
        <v>374</v>
      </c>
      <c r="C7070" s="2">
        <v>1995.0</v>
      </c>
      <c r="D7070" s="9">
        <v>21510.744</v>
      </c>
      <c r="E7070" s="10" t="str">
        <f t="array" ref="E7070">IFS(D7070&lt;=$G$3,'calculated data '!$A$3,D7070&lt;=$G$4,'calculated data '!$A$4,D7070&lt;=$G$6,'calculated data '!$A$5,D7070&gt;=$G$6,'calculated data '!$A$6)</f>
        <v>Target Market (Core IQR)</v>
      </c>
      <c r="F7070" s="10">
        <f t="shared" si="1"/>
        <v>-0.09378743876</v>
      </c>
    </row>
    <row r="7071" ht="14.25" customHeight="1">
      <c r="A7071" s="2" t="s">
        <v>363</v>
      </c>
      <c r="B7071" s="2" t="s">
        <v>364</v>
      </c>
      <c r="C7071" s="2">
        <v>2003.0</v>
      </c>
      <c r="D7071" s="9">
        <v>21522.656</v>
      </c>
      <c r="E7071" s="10" t="str">
        <f t="array" ref="E7071">IFS(D7071&lt;=$G$3,'calculated data '!$A$3,D7071&lt;=$G$4,'calculated data '!$A$4,D7071&lt;=$G$6,'calculated data '!$A$5,D7071&gt;=$G$6,'calculated data '!$A$6)</f>
        <v>Target Market (Core IQR)</v>
      </c>
      <c r="F7071" s="10">
        <f t="shared" si="1"/>
        <v>-0.09347213108</v>
      </c>
    </row>
    <row r="7072" ht="14.25" customHeight="1">
      <c r="A7072" s="2" t="s">
        <v>31</v>
      </c>
      <c r="B7072" s="2" t="s">
        <v>32</v>
      </c>
      <c r="C7072" s="2">
        <v>2001.0</v>
      </c>
      <c r="D7072" s="9">
        <v>21533.875</v>
      </c>
      <c r="E7072" s="10" t="str">
        <f t="array" ref="E7072">IFS(D7072&lt;=$G$3,'calculated data '!$A$3,D7072&lt;=$G$4,'calculated data '!$A$4,D7072&lt;=$G$6,'calculated data '!$A$5,D7072&gt;=$G$6,'calculated data '!$A$6)</f>
        <v>Target Market (Core IQR)</v>
      </c>
      <c r="F7072" s="10">
        <f t="shared" si="1"/>
        <v>-0.09317516695</v>
      </c>
    </row>
    <row r="7073" ht="14.25" customHeight="1">
      <c r="A7073" s="2" t="s">
        <v>231</v>
      </c>
      <c r="B7073" s="2" t="s">
        <v>232</v>
      </c>
      <c r="C7073" s="2">
        <v>2021.0</v>
      </c>
      <c r="D7073" s="9">
        <v>21536.602</v>
      </c>
      <c r="E7073" s="10" t="str">
        <f t="array" ref="E7073">IFS(D7073&lt;=$G$3,'calculated data '!$A$3,D7073&lt;=$G$4,'calculated data '!$A$4,D7073&lt;=$G$6,'calculated data '!$A$5,D7073&gt;=$G$6,'calculated data '!$A$6)</f>
        <v>Target Market (Core IQR)</v>
      </c>
      <c r="F7073" s="10">
        <f t="shared" si="1"/>
        <v>-0.09310298394</v>
      </c>
    </row>
    <row r="7074" ht="14.25" customHeight="1">
      <c r="A7074" s="2" t="s">
        <v>285</v>
      </c>
      <c r="B7074" s="2" t="s">
        <v>286</v>
      </c>
      <c r="C7074" s="2">
        <v>2015.0</v>
      </c>
      <c r="D7074" s="9">
        <v>21548.275</v>
      </c>
      <c r="E7074" s="10" t="str">
        <f t="array" ref="E7074">IFS(D7074&lt;=$G$3,'calculated data '!$A$3,D7074&lt;=$G$4,'calculated data '!$A$4,D7074&lt;=$G$6,'calculated data '!$A$5,D7074&gt;=$G$6,'calculated data '!$A$6)</f>
        <v>Target Market (Core IQR)</v>
      </c>
      <c r="F7074" s="10">
        <f t="shared" si="1"/>
        <v>-0.09279400253</v>
      </c>
    </row>
    <row r="7075" ht="14.25" customHeight="1">
      <c r="A7075" s="2" t="s">
        <v>331</v>
      </c>
      <c r="B7075" s="2" t="s">
        <v>332</v>
      </c>
      <c r="C7075" s="2">
        <v>1975.0</v>
      </c>
      <c r="D7075" s="9">
        <v>21553.4</v>
      </c>
      <c r="E7075" s="10" t="str">
        <f t="array" ref="E7075">IFS(D7075&lt;=$G$3,'calculated data '!$A$3,D7075&lt;=$G$4,'calculated data '!$A$4,D7075&lt;=$G$6,'calculated data '!$A$5,D7075&gt;=$G$6,'calculated data '!$A$6)</f>
        <v>Target Market (Core IQR)</v>
      </c>
      <c r="F7075" s="10">
        <f t="shared" si="1"/>
        <v>-0.09265834506</v>
      </c>
    </row>
    <row r="7076" ht="14.25" customHeight="1">
      <c r="A7076" s="2" t="s">
        <v>313</v>
      </c>
      <c r="B7076" s="2" t="s">
        <v>314</v>
      </c>
      <c r="C7076" s="2">
        <v>2021.0</v>
      </c>
      <c r="D7076" s="9">
        <v>21553.635</v>
      </c>
      <c r="E7076" s="10" t="str">
        <f t="array" ref="E7076">IFS(D7076&lt;=$G$3,'calculated data '!$A$3,D7076&lt;=$G$4,'calculated data '!$A$4,D7076&lt;=$G$6,'calculated data '!$A$5,D7076&gt;=$G$6,'calculated data '!$A$6)</f>
        <v>Target Market (Core IQR)</v>
      </c>
      <c r="F7076" s="10">
        <f t="shared" si="1"/>
        <v>-0.09265212467</v>
      </c>
    </row>
    <row r="7077" ht="14.25" customHeight="1">
      <c r="A7077" s="2" t="s">
        <v>271</v>
      </c>
      <c r="B7077" s="2" t="s">
        <v>272</v>
      </c>
      <c r="C7077" s="2">
        <v>2020.0</v>
      </c>
      <c r="D7077" s="9">
        <v>21582.066</v>
      </c>
      <c r="E7077" s="10" t="str">
        <f t="array" ref="E7077">IFS(D7077&lt;=$G$3,'calculated data '!$A$3,D7077&lt;=$G$4,'calculated data '!$A$4,D7077&lt;=$G$6,'calculated data '!$A$5,D7077&gt;=$G$6,'calculated data '!$A$6)</f>
        <v>Target Market (Core IQR)</v>
      </c>
      <c r="F7077" s="10">
        <f t="shared" si="1"/>
        <v>-0.09189956318</v>
      </c>
    </row>
    <row r="7078" ht="14.25" customHeight="1">
      <c r="A7078" s="2" t="s">
        <v>285</v>
      </c>
      <c r="B7078" s="2" t="s">
        <v>286</v>
      </c>
      <c r="C7078" s="2">
        <v>2000.0</v>
      </c>
      <c r="D7078" s="9">
        <v>21586.766</v>
      </c>
      <c r="E7078" s="10" t="str">
        <f t="array" ref="E7078">IFS(D7078&lt;=$G$3,'calculated data '!$A$3,D7078&lt;=$G$4,'calculated data '!$A$4,D7078&lt;=$G$6,'calculated data '!$A$5,D7078&gt;=$G$6,'calculated data '!$A$6)</f>
        <v>Target Market (Core IQR)</v>
      </c>
      <c r="F7078" s="10">
        <f t="shared" si="1"/>
        <v>-0.09177515535</v>
      </c>
    </row>
    <row r="7079" ht="14.25" customHeight="1">
      <c r="A7079" s="2" t="s">
        <v>363</v>
      </c>
      <c r="B7079" s="2" t="s">
        <v>364</v>
      </c>
      <c r="C7079" s="2">
        <v>1995.0</v>
      </c>
      <c r="D7079" s="9">
        <v>21590.0</v>
      </c>
      <c r="E7079" s="10" t="str">
        <f t="array" ref="E7079">IFS(D7079&lt;=$G$3,'calculated data '!$A$3,D7079&lt;=$G$4,'calculated data '!$A$4,D7079&lt;=$G$6,'calculated data '!$A$5,D7079&gt;=$G$6,'calculated data '!$A$6)</f>
        <v>Target Market (Core IQR)</v>
      </c>
      <c r="F7079" s="10">
        <f t="shared" si="1"/>
        <v>-0.09168955218</v>
      </c>
    </row>
    <row r="7080" ht="14.25" customHeight="1">
      <c r="A7080" s="2" t="s">
        <v>385</v>
      </c>
      <c r="B7080" s="2" t="s">
        <v>386</v>
      </c>
      <c r="C7080" s="2">
        <v>2025.0</v>
      </c>
      <c r="D7080" s="9">
        <v>21592.053</v>
      </c>
      <c r="E7080" s="10" t="str">
        <f t="array" ref="E7080">IFS(D7080&lt;=$G$3,'calculated data '!$A$3,D7080&lt;=$G$4,'calculated data '!$A$4,D7080&lt;=$G$6,'calculated data '!$A$5,D7080&gt;=$G$6,'calculated data '!$A$6)</f>
        <v>Target Market (Core IQR)</v>
      </c>
      <c r="F7080" s="10">
        <f t="shared" si="1"/>
        <v>-0.09163520978</v>
      </c>
    </row>
    <row r="7081" ht="14.25" customHeight="1">
      <c r="A7081" s="2" t="s">
        <v>277</v>
      </c>
      <c r="B7081" s="2" t="s">
        <v>278</v>
      </c>
      <c r="C7081" s="2">
        <v>2013.0</v>
      </c>
      <c r="D7081" s="9">
        <v>21595.963</v>
      </c>
      <c r="E7081" s="10" t="str">
        <f t="array" ref="E7081">IFS(D7081&lt;=$G$3,'calculated data '!$A$3,D7081&lt;=$G$4,'calculated data '!$A$4,D7081&lt;=$G$6,'calculated data '!$A$5,D7081&gt;=$G$6,'calculated data '!$A$6)</f>
        <v>Target Market (Core IQR)</v>
      </c>
      <c r="F7081" s="10">
        <f t="shared" si="1"/>
        <v>-0.09153171305</v>
      </c>
    </row>
    <row r="7082" ht="14.25" customHeight="1">
      <c r="A7082" s="2" t="s">
        <v>361</v>
      </c>
      <c r="B7082" s="2" t="s">
        <v>362</v>
      </c>
      <c r="C7082" s="2">
        <v>2009.0</v>
      </c>
      <c r="D7082" s="9">
        <v>21599.883</v>
      </c>
      <c r="E7082" s="10" t="str">
        <f t="array" ref="E7082">IFS(D7082&lt;=$G$3,'calculated data '!$A$3,D7082&lt;=$G$4,'calculated data '!$A$4,D7082&lt;=$G$6,'calculated data '!$A$5,D7082&gt;=$G$6,'calculated data '!$A$6)</f>
        <v>Target Market (Core IQR)</v>
      </c>
      <c r="F7082" s="10">
        <f t="shared" si="1"/>
        <v>-0.09142795163</v>
      </c>
    </row>
    <row r="7083" ht="14.25" customHeight="1">
      <c r="A7083" s="2" t="s">
        <v>379</v>
      </c>
      <c r="B7083" s="2" t="s">
        <v>380</v>
      </c>
      <c r="C7083" s="2">
        <v>1969.0</v>
      </c>
      <c r="D7083" s="9">
        <v>21610.744</v>
      </c>
      <c r="E7083" s="10" t="str">
        <f t="array" ref="E7083">IFS(D7083&lt;=$G$3,'calculated data '!$A$3,D7083&lt;=$G$4,'calculated data '!$A$4,D7083&lt;=$G$6,'calculated data '!$A$5,D7083&gt;=$G$6,'calculated data '!$A$6)</f>
        <v>Target Market (Core IQR)</v>
      </c>
      <c r="F7083" s="10">
        <f t="shared" si="1"/>
        <v>-0.09114046366</v>
      </c>
    </row>
    <row r="7084" ht="14.25" customHeight="1">
      <c r="A7084" s="2" t="s">
        <v>341</v>
      </c>
      <c r="B7084" s="2" t="s">
        <v>342</v>
      </c>
      <c r="C7084" s="2">
        <v>2008.0</v>
      </c>
      <c r="D7084" s="9">
        <v>21616.078</v>
      </c>
      <c r="E7084" s="10" t="str">
        <f t="array" ref="E7084">IFS(D7084&lt;=$G$3,'calculated data '!$A$3,D7084&lt;=$G$4,'calculated data '!$A$4,D7084&lt;=$G$6,'calculated data '!$A$5,D7084&gt;=$G$6,'calculated data '!$A$6)</f>
        <v>Target Market (Core IQR)</v>
      </c>
      <c r="F7084" s="10">
        <f t="shared" si="1"/>
        <v>-0.09099927401</v>
      </c>
    </row>
    <row r="7085" ht="14.25" customHeight="1">
      <c r="A7085" s="2" t="s">
        <v>353</v>
      </c>
      <c r="B7085" s="2" t="s">
        <v>354</v>
      </c>
      <c r="C7085" s="2">
        <v>1969.0</v>
      </c>
      <c r="D7085" s="9">
        <v>21631.643</v>
      </c>
      <c r="E7085" s="10" t="str">
        <f t="array" ref="E7085">IFS(D7085&lt;=$G$3,'calculated data '!$A$3,D7085&lt;=$G$4,'calculated data '!$A$4,D7085&lt;=$G$6,'calculated data '!$A$5,D7085&gt;=$G$6,'calculated data '!$A$6)</f>
        <v>Target Market (Core IQR)</v>
      </c>
      <c r="F7085" s="10">
        <f t="shared" si="1"/>
        <v>-0.09058727234</v>
      </c>
    </row>
    <row r="7086" ht="14.25" customHeight="1">
      <c r="A7086" s="2" t="s">
        <v>351</v>
      </c>
      <c r="B7086" s="2" t="s">
        <v>352</v>
      </c>
      <c r="C7086" s="2">
        <v>2019.0</v>
      </c>
      <c r="D7086" s="9">
        <v>21631.914</v>
      </c>
      <c r="E7086" s="10" t="str">
        <f t="array" ref="E7086">IFS(D7086&lt;=$G$3,'calculated data '!$A$3,D7086&lt;=$G$4,'calculated data '!$A$4,D7086&lt;=$G$6,'calculated data '!$A$5,D7086&gt;=$G$6,'calculated data '!$A$6)</f>
        <v>Target Market (Core IQR)</v>
      </c>
      <c r="F7086" s="10">
        <f t="shared" si="1"/>
        <v>-0.09058009904</v>
      </c>
    </row>
    <row r="7087" ht="14.25" customHeight="1">
      <c r="A7087" s="2" t="s">
        <v>399</v>
      </c>
      <c r="B7087" s="2" t="s">
        <v>400</v>
      </c>
      <c r="C7087" s="2">
        <v>1985.0</v>
      </c>
      <c r="D7087" s="9">
        <v>21643.418</v>
      </c>
      <c r="E7087" s="10" t="str">
        <f t="array" ref="E7087">IFS(D7087&lt;=$G$3,'calculated data '!$A$3,D7087&lt;=$G$4,'calculated data '!$A$4,D7087&lt;=$G$6,'calculated data '!$A$5,D7087&gt;=$G$6,'calculated data '!$A$6)</f>
        <v>Target Market (Core IQR)</v>
      </c>
      <c r="F7087" s="10">
        <f t="shared" si="1"/>
        <v>-0.09027559102</v>
      </c>
    </row>
    <row r="7088" ht="14.25" customHeight="1">
      <c r="A7088" s="2" t="s">
        <v>313</v>
      </c>
      <c r="B7088" s="2" t="s">
        <v>314</v>
      </c>
      <c r="C7088" s="2">
        <v>2017.0</v>
      </c>
      <c r="D7088" s="9">
        <v>21644.775</v>
      </c>
      <c r="E7088" s="10" t="str">
        <f t="array" ref="E7088">IFS(D7088&lt;=$G$3,'calculated data '!$A$3,D7088&lt;=$G$4,'calculated data '!$A$4,D7088&lt;=$G$6,'calculated data '!$A$5,D7088&gt;=$G$6,'calculated data '!$A$6)</f>
        <v>Target Market (Core IQR)</v>
      </c>
      <c r="F7088" s="10">
        <f t="shared" si="1"/>
        <v>-0.09023967157</v>
      </c>
    </row>
    <row r="7089" ht="14.25" customHeight="1">
      <c r="A7089" s="2" t="s">
        <v>285</v>
      </c>
      <c r="B7089" s="2" t="s">
        <v>286</v>
      </c>
      <c r="C7089" s="2">
        <v>2017.0</v>
      </c>
      <c r="D7089" s="9">
        <v>21665.006</v>
      </c>
      <c r="E7089" s="10" t="str">
        <f t="array" ref="E7089">IFS(D7089&lt;=$G$3,'calculated data '!$A$3,D7089&lt;=$G$4,'calculated data '!$A$4,D7089&lt;=$G$6,'calculated data '!$A$5,D7089&gt;=$G$6,'calculated data '!$A$6)</f>
        <v>Target Market (Core IQR)</v>
      </c>
      <c r="F7089" s="10">
        <f t="shared" si="1"/>
        <v>-0.08970416204</v>
      </c>
    </row>
    <row r="7090" ht="14.25" customHeight="1">
      <c r="A7090" s="2" t="s">
        <v>385</v>
      </c>
      <c r="B7090" s="2" t="s">
        <v>386</v>
      </c>
      <c r="C7090" s="2">
        <v>1977.0</v>
      </c>
      <c r="D7090" s="9">
        <v>21680.621</v>
      </c>
      <c r="E7090" s="10" t="str">
        <f t="array" ref="E7090">IFS(D7090&lt;=$G$3,'calculated data '!$A$3,D7090&lt;=$G$4,'calculated data '!$A$4,D7090&lt;=$G$6,'calculated data '!$A$5,D7090&gt;=$G$6,'calculated data '!$A$6)</f>
        <v>Target Market (Core IQR)</v>
      </c>
      <c r="F7090" s="10">
        <f t="shared" si="1"/>
        <v>-0.08929083688</v>
      </c>
    </row>
    <row r="7091" ht="14.25" customHeight="1">
      <c r="A7091" s="2" t="s">
        <v>271</v>
      </c>
      <c r="B7091" s="2" t="s">
        <v>272</v>
      </c>
      <c r="C7091" s="2">
        <v>2022.0</v>
      </c>
      <c r="D7091" s="9">
        <v>21686.705</v>
      </c>
      <c r="E7091" s="10" t="str">
        <f t="array" ref="E7091">IFS(D7091&lt;=$G$3,'calculated data '!$A$3,D7091&lt;=$G$4,'calculated data '!$A$4,D7091&lt;=$G$6,'calculated data '!$A$5,D7091&gt;=$G$6,'calculated data '!$A$6)</f>
        <v>Target Market (Core IQR)</v>
      </c>
      <c r="F7091" s="10">
        <f t="shared" si="1"/>
        <v>-0.08912979491</v>
      </c>
    </row>
    <row r="7092" ht="14.25" customHeight="1">
      <c r="A7092" s="2" t="s">
        <v>277</v>
      </c>
      <c r="B7092" s="2" t="s">
        <v>278</v>
      </c>
      <c r="C7092" s="2">
        <v>2012.0</v>
      </c>
      <c r="D7092" s="9">
        <v>21692.805</v>
      </c>
      <c r="E7092" s="10" t="str">
        <f t="array" ref="E7092">IFS(D7092&lt;=$G$3,'calculated data '!$A$3,D7092&lt;=$G$4,'calculated data '!$A$4,D7092&lt;=$G$6,'calculated data '!$A$5,D7092&gt;=$G$6,'calculated data '!$A$6)</f>
        <v>Target Market (Core IQR)</v>
      </c>
      <c r="F7092" s="10">
        <f t="shared" si="1"/>
        <v>-0.08896832943</v>
      </c>
    </row>
    <row r="7093" ht="14.25" customHeight="1">
      <c r="A7093" s="2" t="s">
        <v>221</v>
      </c>
      <c r="B7093" s="2" t="s">
        <v>222</v>
      </c>
      <c r="C7093" s="2">
        <v>1989.0</v>
      </c>
      <c r="D7093" s="9">
        <v>21724.477</v>
      </c>
      <c r="E7093" s="10" t="str">
        <f t="array" ref="E7093">IFS(D7093&lt;=$G$3,'calculated data '!$A$3,D7093&lt;=$G$4,'calculated data '!$A$4,D7093&lt;=$G$6,'calculated data '!$A$5,D7093&gt;=$G$6,'calculated data '!$A$6)</f>
        <v>Target Market (Core IQR)</v>
      </c>
      <c r="F7093" s="10">
        <f t="shared" si="1"/>
        <v>-0.08812997948</v>
      </c>
    </row>
    <row r="7094" ht="14.25" customHeight="1">
      <c r="A7094" s="2" t="s">
        <v>393</v>
      </c>
      <c r="B7094" s="2" t="s">
        <v>394</v>
      </c>
      <c r="C7094" s="2">
        <v>2022.0</v>
      </c>
      <c r="D7094" s="9">
        <v>21734.512</v>
      </c>
      <c r="E7094" s="10" t="str">
        <f t="array" ref="E7094">IFS(D7094&lt;=$G$3,'calculated data '!$A$3,D7094&lt;=$G$4,'calculated data '!$A$4,D7094&lt;=$G$6,'calculated data '!$A$5,D7094&gt;=$G$6,'calculated data '!$A$6)</f>
        <v>Target Market (Core IQR)</v>
      </c>
      <c r="F7094" s="10">
        <f t="shared" si="1"/>
        <v>-0.08786435553</v>
      </c>
    </row>
    <row r="7095" ht="14.25" customHeight="1">
      <c r="A7095" s="2" t="s">
        <v>401</v>
      </c>
      <c r="B7095" s="2" t="s">
        <v>402</v>
      </c>
      <c r="C7095" s="2">
        <v>1965.0</v>
      </c>
      <c r="D7095" s="9">
        <v>21735.219</v>
      </c>
      <c r="E7095" s="10" t="str">
        <f t="array" ref="E7095">IFS(D7095&lt;=$G$3,'calculated data '!$A$3,D7095&lt;=$G$4,'calculated data '!$A$4,D7095&lt;=$G$6,'calculated data '!$A$5,D7095&gt;=$G$6,'calculated data '!$A$6)</f>
        <v>Target Market (Core IQR)</v>
      </c>
      <c r="F7095" s="10">
        <f t="shared" si="1"/>
        <v>-0.08784564142</v>
      </c>
    </row>
    <row r="7096" ht="14.25" customHeight="1">
      <c r="A7096" s="2" t="s">
        <v>291</v>
      </c>
      <c r="B7096" s="2" t="s">
        <v>292</v>
      </c>
      <c r="C7096" s="2">
        <v>1986.0</v>
      </c>
      <c r="D7096" s="9">
        <v>21737.688</v>
      </c>
      <c r="E7096" s="10" t="str">
        <f t="array" ref="E7096">IFS(D7096&lt;=$G$3,'calculated data '!$A$3,D7096&lt;=$G$4,'calculated data '!$A$4,D7096&lt;=$G$6,'calculated data '!$A$5,D7096&gt;=$G$6,'calculated data '!$A$6)</f>
        <v>Target Market (Core IQR)</v>
      </c>
      <c r="F7096" s="10">
        <f t="shared" si="1"/>
        <v>-0.0877802876</v>
      </c>
    </row>
    <row r="7097" ht="14.25" customHeight="1">
      <c r="A7097" s="2" t="s">
        <v>385</v>
      </c>
      <c r="B7097" s="2" t="s">
        <v>386</v>
      </c>
      <c r="C7097" s="2">
        <v>1976.0</v>
      </c>
      <c r="D7097" s="9">
        <v>21743.54</v>
      </c>
      <c r="E7097" s="10" t="str">
        <f t="array" ref="E7097">IFS(D7097&lt;=$G$3,'calculated data '!$A$3,D7097&lt;=$G$4,'calculated data '!$A$4,D7097&lt;=$G$6,'calculated data '!$A$5,D7097&gt;=$G$6,'calculated data '!$A$6)</f>
        <v>Target Market (Core IQR)</v>
      </c>
      <c r="F7097" s="10">
        <f t="shared" si="1"/>
        <v>-0.08762538662</v>
      </c>
    </row>
    <row r="7098" ht="14.25" customHeight="1">
      <c r="A7098" s="2" t="s">
        <v>247</v>
      </c>
      <c r="B7098" s="2" t="s">
        <v>248</v>
      </c>
      <c r="C7098" s="2">
        <v>2008.0</v>
      </c>
      <c r="D7098" s="9">
        <v>21767.549</v>
      </c>
      <c r="E7098" s="10" t="str">
        <f t="array" ref="E7098">IFS(D7098&lt;=$G$3,'calculated data '!$A$3,D7098&lt;=$G$4,'calculated data '!$A$4,D7098&lt;=$G$6,'calculated data '!$A$5,D7098&gt;=$G$6,'calculated data '!$A$6)</f>
        <v>Target Market (Core IQR)</v>
      </c>
      <c r="F7098" s="10">
        <f t="shared" si="1"/>
        <v>-0.08698987437</v>
      </c>
    </row>
    <row r="7099" ht="14.25" customHeight="1">
      <c r="A7099" s="2" t="s">
        <v>367</v>
      </c>
      <c r="B7099" s="2" t="s">
        <v>368</v>
      </c>
      <c r="C7099" s="2">
        <v>2019.0</v>
      </c>
      <c r="D7099" s="9">
        <v>21769.682</v>
      </c>
      <c r="E7099" s="10" t="str">
        <f t="array" ref="E7099">IFS(D7099&lt;=$G$3,'calculated data '!$A$3,D7099&lt;=$G$4,'calculated data '!$A$4,D7099&lt;=$G$6,'calculated data '!$A$5,D7099&gt;=$G$6,'calculated data '!$A$6)</f>
        <v>Target Market (Core IQR)</v>
      </c>
      <c r="F7099" s="10">
        <f t="shared" si="1"/>
        <v>-0.08693341439</v>
      </c>
    </row>
    <row r="7100" ht="14.25" customHeight="1">
      <c r="A7100" s="2" t="s">
        <v>319</v>
      </c>
      <c r="B7100" s="2" t="s">
        <v>320</v>
      </c>
      <c r="C7100" s="2">
        <v>2021.0</v>
      </c>
      <c r="D7100" s="9">
        <v>21772.018</v>
      </c>
      <c r="E7100" s="10" t="str">
        <f t="array" ref="E7100">IFS(D7100&lt;=$G$3,'calculated data '!$A$3,D7100&lt;=$G$4,'calculated data '!$A$4,D7100&lt;=$G$6,'calculated data '!$A$5,D7100&gt;=$G$6,'calculated data '!$A$6)</f>
        <v>Target Market (Core IQR)</v>
      </c>
      <c r="F7100" s="10">
        <f t="shared" si="1"/>
        <v>-0.08687158105</v>
      </c>
    </row>
    <row r="7101" ht="14.25" customHeight="1">
      <c r="A7101" s="2" t="s">
        <v>363</v>
      </c>
      <c r="B7101" s="2" t="s">
        <v>364</v>
      </c>
      <c r="C7101" s="2">
        <v>1996.0</v>
      </c>
      <c r="D7101" s="9">
        <v>21812.564</v>
      </c>
      <c r="E7101" s="10" t="str">
        <f t="array" ref="E7101">IFS(D7101&lt;=$G$3,'calculated data '!$A$3,D7101&lt;=$G$4,'calculated data '!$A$4,D7101&lt;=$G$6,'calculated data '!$A$5,D7101&gt;=$G$6,'calculated data '!$A$6)</f>
        <v>Target Market (Core IQR)</v>
      </c>
      <c r="F7101" s="10">
        <f t="shared" si="1"/>
        <v>-0.08579833853</v>
      </c>
    </row>
    <row r="7102" ht="14.25" customHeight="1">
      <c r="A7102" s="2" t="s">
        <v>385</v>
      </c>
      <c r="B7102" s="2" t="s">
        <v>386</v>
      </c>
      <c r="C7102" s="2">
        <v>1980.0</v>
      </c>
      <c r="D7102" s="9">
        <v>21813.951</v>
      </c>
      <c r="E7102" s="10" t="str">
        <f t="array" ref="E7102">IFS(D7102&lt;=$G$3,'calculated data '!$A$3,D7102&lt;=$G$4,'calculated data '!$A$4,D7102&lt;=$G$6,'calculated data '!$A$5,D7102&gt;=$G$6,'calculated data '!$A$6)</f>
        <v>Target Market (Core IQR)</v>
      </c>
      <c r="F7102" s="10">
        <f t="shared" si="1"/>
        <v>-0.08576162498</v>
      </c>
    </row>
    <row r="7103" ht="14.25" customHeight="1">
      <c r="A7103" s="2" t="s">
        <v>385</v>
      </c>
      <c r="B7103" s="2" t="s">
        <v>386</v>
      </c>
      <c r="C7103" s="2">
        <v>2021.0</v>
      </c>
      <c r="D7103" s="9">
        <v>21842.574</v>
      </c>
      <c r="E7103" s="10" t="str">
        <f t="array" ref="E7103">IFS(D7103&lt;=$G$3,'calculated data '!$A$3,D7103&lt;=$G$4,'calculated data '!$A$4,D7103&lt;=$G$6,'calculated data '!$A$5,D7103&gt;=$G$6,'calculated data '!$A$6)</f>
        <v>Target Market (Core IQR)</v>
      </c>
      <c r="F7103" s="10">
        <f t="shared" si="1"/>
        <v>-0.0850039813</v>
      </c>
    </row>
    <row r="7104" ht="14.25" customHeight="1">
      <c r="A7104" s="2" t="s">
        <v>28</v>
      </c>
      <c r="B7104" s="2" t="s">
        <v>29</v>
      </c>
      <c r="C7104" s="2">
        <v>1989.0</v>
      </c>
      <c r="D7104" s="9">
        <v>21857.72</v>
      </c>
      <c r="E7104" s="10" t="str">
        <f t="array" ref="E7104">IFS(D7104&lt;=$G$3,'calculated data '!$A$3,D7104&lt;=$G$4,'calculated data '!$A$4,D7104&lt;=$G$6,'calculated data '!$A$5,D7104&gt;=$G$6,'calculated data '!$A$6)</f>
        <v>Target Market (Core IQR)</v>
      </c>
      <c r="F7104" s="10">
        <f t="shared" si="1"/>
        <v>-0.08460307046</v>
      </c>
    </row>
    <row r="7105" ht="14.25" customHeight="1">
      <c r="A7105" s="2" t="s">
        <v>277</v>
      </c>
      <c r="B7105" s="2" t="s">
        <v>278</v>
      </c>
      <c r="C7105" s="2">
        <v>2014.0</v>
      </c>
      <c r="D7105" s="9">
        <v>21861.322</v>
      </c>
      <c r="E7105" s="10" t="str">
        <f t="array" ref="E7105">IFS(D7105&lt;=$G$3,'calculated data '!$A$3,D7105&lt;=$G$4,'calculated data '!$A$4,D7105&lt;=$G$6,'calculated data '!$A$5,D7105&gt;=$G$6,'calculated data '!$A$6)</f>
        <v>Target Market (Core IQR)</v>
      </c>
      <c r="F7105" s="10">
        <f t="shared" si="1"/>
        <v>-0.08450772641</v>
      </c>
    </row>
    <row r="7106" ht="14.25" customHeight="1">
      <c r="A7106" s="2" t="s">
        <v>127</v>
      </c>
      <c r="B7106" s="2" t="s">
        <v>128</v>
      </c>
      <c r="C7106" s="2">
        <v>2014.0</v>
      </c>
      <c r="D7106" s="9">
        <v>21868.37</v>
      </c>
      <c r="E7106" s="10" t="str">
        <f t="array" ref="E7106">IFS(D7106&lt;=$G$3,'calculated data '!$A$3,D7106&lt;=$G$4,'calculated data '!$A$4,D7106&lt;=$G$6,'calculated data '!$A$5,D7106&gt;=$G$6,'calculated data '!$A$6)</f>
        <v>Target Market (Core IQR)</v>
      </c>
      <c r="F7106" s="10">
        <f t="shared" si="1"/>
        <v>-0.08432116761</v>
      </c>
    </row>
    <row r="7107" ht="14.25" customHeight="1">
      <c r="A7107" s="2" t="s">
        <v>367</v>
      </c>
      <c r="B7107" s="2" t="s">
        <v>368</v>
      </c>
      <c r="C7107" s="2">
        <v>2017.0</v>
      </c>
      <c r="D7107" s="9">
        <v>21897.066</v>
      </c>
      <c r="E7107" s="10" t="str">
        <f t="array" ref="E7107">IFS(D7107&lt;=$G$3,'calculated data '!$A$3,D7107&lt;=$G$4,'calculated data '!$A$4,D7107&lt;=$G$6,'calculated data '!$A$5,D7107&gt;=$G$6,'calculated data '!$A$6)</f>
        <v>Target Market (Core IQR)</v>
      </c>
      <c r="F7107" s="10">
        <f t="shared" si="1"/>
        <v>-0.08356159164</v>
      </c>
    </row>
    <row r="7108" ht="14.25" customHeight="1">
      <c r="A7108" s="2" t="s">
        <v>363</v>
      </c>
      <c r="B7108" s="2" t="s">
        <v>364</v>
      </c>
      <c r="C7108" s="2">
        <v>1994.0</v>
      </c>
      <c r="D7108" s="9">
        <v>21903.979</v>
      </c>
      <c r="E7108" s="10" t="str">
        <f t="array" ref="E7108">IFS(D7108&lt;=$G$3,'calculated data '!$A$3,D7108&lt;=$G$4,'calculated data '!$A$4,D7108&lt;=$G$6,'calculated data '!$A$5,D7108&gt;=$G$6,'calculated data '!$A$6)</f>
        <v>Target Market (Core IQR)</v>
      </c>
      <c r="F7108" s="10">
        <f t="shared" si="1"/>
        <v>-0.08337860625</v>
      </c>
    </row>
    <row r="7109" ht="14.25" customHeight="1">
      <c r="A7109" s="2" t="s">
        <v>385</v>
      </c>
      <c r="B7109" s="2" t="s">
        <v>386</v>
      </c>
      <c r="C7109" s="2">
        <v>2024.0</v>
      </c>
      <c r="D7109" s="9">
        <v>21909.525</v>
      </c>
      <c r="E7109" s="10" t="str">
        <f t="array" ref="E7109">IFS(D7109&lt;=$G$3,'calculated data '!$A$3,D7109&lt;=$G$4,'calculated data '!$A$4,D7109&lt;=$G$6,'calculated data '!$A$5,D7109&gt;=$G$6,'calculated data '!$A$6)</f>
        <v>Target Market (Core IQR)</v>
      </c>
      <c r="F7109" s="10">
        <f t="shared" si="1"/>
        <v>-0.08323180501</v>
      </c>
    </row>
    <row r="7110" ht="14.25" customHeight="1">
      <c r="A7110" s="2" t="s">
        <v>393</v>
      </c>
      <c r="B7110" s="2" t="s">
        <v>394</v>
      </c>
      <c r="C7110" s="2">
        <v>2016.0</v>
      </c>
      <c r="D7110" s="9">
        <v>21915.375</v>
      </c>
      <c r="E7110" s="10" t="str">
        <f t="array" ref="E7110">IFS(D7110&lt;=$G$3,'calculated data '!$A$3,D7110&lt;=$G$4,'calculated data '!$A$4,D7110&lt;=$G$6,'calculated data '!$A$5,D7110&gt;=$G$6,'calculated data '!$A$6)</f>
        <v>Target Market (Core IQR)</v>
      </c>
      <c r="F7110" s="10">
        <f t="shared" si="1"/>
        <v>-0.08307695697</v>
      </c>
    </row>
    <row r="7111" ht="14.25" customHeight="1">
      <c r="A7111" s="2" t="s">
        <v>313</v>
      </c>
      <c r="B7111" s="2" t="s">
        <v>314</v>
      </c>
      <c r="C7111" s="2">
        <v>2019.0</v>
      </c>
      <c r="D7111" s="9">
        <v>21921.447</v>
      </c>
      <c r="E7111" s="10" t="str">
        <f t="array" ref="E7111">IFS(D7111&lt;=$G$3,'calculated data '!$A$3,D7111&lt;=$G$4,'calculated data '!$A$4,D7111&lt;=$G$6,'calculated data '!$A$5,D7111&gt;=$G$6,'calculated data '!$A$6)</f>
        <v>Target Market (Core IQR)</v>
      </c>
      <c r="F7111" s="10">
        <f t="shared" si="1"/>
        <v>-0.08291623264</v>
      </c>
    </row>
    <row r="7112" ht="14.25" customHeight="1">
      <c r="A7112" s="2" t="s">
        <v>393</v>
      </c>
      <c r="B7112" s="2" t="s">
        <v>394</v>
      </c>
      <c r="C7112" s="2">
        <v>2023.0</v>
      </c>
      <c r="D7112" s="9">
        <v>21925.158</v>
      </c>
      <c r="E7112" s="10" t="str">
        <f t="array" ref="E7112">IFS(D7112&lt;=$G$3,'calculated data '!$A$3,D7112&lt;=$G$4,'calculated data '!$A$4,D7112&lt;=$G$6,'calculated data '!$A$5,D7112&gt;=$G$6,'calculated data '!$A$6)</f>
        <v>Target Market (Core IQR)</v>
      </c>
      <c r="F7112" s="10">
        <f t="shared" si="1"/>
        <v>-0.08281800339</v>
      </c>
    </row>
    <row r="7113" ht="14.25" customHeight="1">
      <c r="A7113" s="2" t="s">
        <v>403</v>
      </c>
      <c r="B7113" s="2" t="s">
        <v>404</v>
      </c>
      <c r="C7113" s="2">
        <v>1987.0</v>
      </c>
      <c r="D7113" s="9">
        <v>21932.812</v>
      </c>
      <c r="E7113" s="10" t="str">
        <f t="array" ref="E7113">IFS(D7113&lt;=$G$3,'calculated data '!$A$3,D7113&lt;=$G$4,'calculated data '!$A$4,D7113&lt;=$G$6,'calculated data '!$A$5,D7113&gt;=$G$6,'calculated data '!$A$6)</f>
        <v>Target Market (Core IQR)</v>
      </c>
      <c r="F7113" s="10">
        <f t="shared" si="1"/>
        <v>-0.08261540392</v>
      </c>
    </row>
    <row r="7114" ht="14.25" customHeight="1">
      <c r="A7114" s="2" t="s">
        <v>373</v>
      </c>
      <c r="B7114" s="2" t="s">
        <v>374</v>
      </c>
      <c r="C7114" s="2">
        <v>1993.0</v>
      </c>
      <c r="D7114" s="9">
        <v>21938.947</v>
      </c>
      <c r="E7114" s="10" t="str">
        <f t="array" ref="E7114">IFS(D7114&lt;=$G$3,'calculated data '!$A$3,D7114&lt;=$G$4,'calculated data '!$A$4,D7114&lt;=$G$6,'calculated data '!$A$5,D7114&gt;=$G$6,'calculated data '!$A$6)</f>
        <v>Target Market (Core IQR)</v>
      </c>
      <c r="F7114" s="10">
        <f t="shared" si="1"/>
        <v>-0.082453012</v>
      </c>
    </row>
    <row r="7115" ht="14.25" customHeight="1">
      <c r="A7115" s="2" t="s">
        <v>277</v>
      </c>
      <c r="B7115" s="2" t="s">
        <v>278</v>
      </c>
      <c r="C7115" s="2">
        <v>2011.0</v>
      </c>
      <c r="D7115" s="9">
        <v>21975.393</v>
      </c>
      <c r="E7115" s="10" t="str">
        <f t="array" ref="E7115">IFS(D7115&lt;=$G$3,'calculated data '!$A$3,D7115&lt;=$G$4,'calculated data '!$A$4,D7115&lt;=$G$6,'calculated data '!$A$5,D7115&gt;=$G$6,'calculated data '!$A$6)</f>
        <v>Target Market (Core IQR)</v>
      </c>
      <c r="F7115" s="10">
        <f t="shared" si="1"/>
        <v>-0.08148829545</v>
      </c>
    </row>
    <row r="7116" ht="14.25" customHeight="1">
      <c r="A7116" s="2" t="s">
        <v>375</v>
      </c>
      <c r="B7116" s="2" t="s">
        <v>376</v>
      </c>
      <c r="C7116" s="2">
        <v>1972.0</v>
      </c>
      <c r="D7116" s="9">
        <v>21983.426</v>
      </c>
      <c r="E7116" s="10" t="str">
        <f t="array" ref="E7116">IFS(D7116&lt;=$G$3,'calculated data '!$A$3,D7116&lt;=$G$4,'calculated data '!$A$4,D7116&lt;=$G$6,'calculated data '!$A$5,D7116&gt;=$G$6,'calculated data '!$A$6)</f>
        <v>Target Market (Core IQR)</v>
      </c>
      <c r="F7116" s="10">
        <f t="shared" si="1"/>
        <v>-0.08127566394</v>
      </c>
    </row>
    <row r="7117" ht="14.25" customHeight="1">
      <c r="A7117" s="2" t="s">
        <v>349</v>
      </c>
      <c r="B7117" s="2" t="s">
        <v>350</v>
      </c>
      <c r="C7117" s="2">
        <v>1994.0</v>
      </c>
      <c r="D7117" s="9">
        <v>21985.246</v>
      </c>
      <c r="E7117" s="10" t="str">
        <f t="array" ref="E7117">IFS(D7117&lt;=$G$3,'calculated data '!$A$3,D7117&lt;=$G$4,'calculated data '!$A$4,D7117&lt;=$G$6,'calculated data '!$A$5,D7117&gt;=$G$6,'calculated data '!$A$6)</f>
        <v>Target Market (Core IQR)</v>
      </c>
      <c r="F7117" s="10">
        <f t="shared" si="1"/>
        <v>-0.081227489</v>
      </c>
    </row>
    <row r="7118" ht="14.25" customHeight="1">
      <c r="A7118" s="2" t="s">
        <v>385</v>
      </c>
      <c r="B7118" s="2" t="s">
        <v>386</v>
      </c>
      <c r="C7118" s="2">
        <v>2020.0</v>
      </c>
      <c r="D7118" s="9">
        <v>21991.455</v>
      </c>
      <c r="E7118" s="10" t="str">
        <f t="array" ref="E7118">IFS(D7118&lt;=$G$3,'calculated data '!$A$3,D7118&lt;=$G$4,'calculated data '!$A$4,D7118&lt;=$G$6,'calculated data '!$A$5,D7118&gt;=$G$6,'calculated data '!$A$6)</f>
        <v>Target Market (Core IQR)</v>
      </c>
      <c r="F7118" s="10">
        <f t="shared" si="1"/>
        <v>-0.08106313831</v>
      </c>
    </row>
    <row r="7119" ht="14.25" customHeight="1">
      <c r="A7119" s="2" t="s">
        <v>313</v>
      </c>
      <c r="B7119" s="2" t="s">
        <v>314</v>
      </c>
      <c r="C7119" s="2">
        <v>2018.0</v>
      </c>
      <c r="D7119" s="9">
        <v>21999.488</v>
      </c>
      <c r="E7119" s="10" t="str">
        <f t="array" ref="E7119">IFS(D7119&lt;=$G$3,'calculated data '!$A$3,D7119&lt;=$G$4,'calculated data '!$A$4,D7119&lt;=$G$6,'calculated data '!$A$5,D7119&gt;=$G$6,'calculated data '!$A$6)</f>
        <v>Target Market (Core IQR)</v>
      </c>
      <c r="F7119" s="10">
        <f t="shared" si="1"/>
        <v>-0.08085050681</v>
      </c>
    </row>
    <row r="7120" ht="14.25" customHeight="1">
      <c r="A7120" s="2" t="s">
        <v>257</v>
      </c>
      <c r="B7120" s="2" t="s">
        <v>258</v>
      </c>
      <c r="C7120" s="2">
        <v>2001.0</v>
      </c>
      <c r="D7120" s="9">
        <v>22002.145</v>
      </c>
      <c r="E7120" s="10" t="str">
        <f t="array" ref="E7120">IFS(D7120&lt;=$G$3,'calculated data '!$A$3,D7120&lt;=$G$4,'calculated data '!$A$4,D7120&lt;=$G$6,'calculated data '!$A$5,D7120&gt;=$G$6,'calculated data '!$A$6)</f>
        <v>Target Market (Core IQR)</v>
      </c>
      <c r="F7120" s="10">
        <f t="shared" si="1"/>
        <v>-0.08078017668</v>
      </c>
    </row>
    <row r="7121" ht="14.25" customHeight="1">
      <c r="A7121" s="2" t="s">
        <v>389</v>
      </c>
      <c r="B7121" s="2" t="s">
        <v>390</v>
      </c>
      <c r="C7121" s="2">
        <v>1965.0</v>
      </c>
      <c r="D7121" s="9">
        <v>22019.96</v>
      </c>
      <c r="E7121" s="10" t="str">
        <f t="array" ref="E7121">IFS(D7121&lt;=$G$3,'calculated data '!$A$3,D7121&lt;=$G$4,'calculated data '!$A$4,D7121&lt;=$G$6,'calculated data '!$A$5,D7121&gt;=$G$6,'calculated data '!$A$6)</f>
        <v>Target Market (Core IQR)</v>
      </c>
      <c r="F7121" s="10">
        <f t="shared" si="1"/>
        <v>-0.08030861806</v>
      </c>
    </row>
    <row r="7122" ht="14.25" customHeight="1">
      <c r="A7122" s="2" t="s">
        <v>343</v>
      </c>
      <c r="B7122" s="2" t="s">
        <v>344</v>
      </c>
      <c r="C7122" s="2">
        <v>1990.0</v>
      </c>
      <c r="D7122" s="9">
        <v>22033.674</v>
      </c>
      <c r="E7122" s="10" t="str">
        <f t="array" ref="E7122">IFS(D7122&lt;=$G$3,'calculated data '!$A$3,D7122&lt;=$G$4,'calculated data '!$A$4,D7122&lt;=$G$6,'calculated data '!$A$5,D7122&gt;=$G$6,'calculated data '!$A$6)</f>
        <v>Target Market (Core IQR)</v>
      </c>
      <c r="F7122" s="10">
        <f t="shared" si="1"/>
        <v>-0.0799456119</v>
      </c>
    </row>
    <row r="7123" ht="14.25" customHeight="1">
      <c r="A7123" s="2" t="s">
        <v>367</v>
      </c>
      <c r="B7123" s="2" t="s">
        <v>368</v>
      </c>
      <c r="C7123" s="2">
        <v>2021.0</v>
      </c>
      <c r="D7123" s="9">
        <v>22036.459</v>
      </c>
      <c r="E7123" s="10" t="str">
        <f t="array" ref="E7123">IFS(D7123&lt;=$G$3,'calculated data '!$A$3,D7123&lt;=$G$4,'calculated data '!$A$4,D7123&lt;=$G$6,'calculated data '!$A$5,D7123&gt;=$G$6,'calculated data '!$A$6)</f>
        <v>Target Market (Core IQR)</v>
      </c>
      <c r="F7123" s="10">
        <f t="shared" si="1"/>
        <v>-0.07987189364</v>
      </c>
    </row>
    <row r="7124" ht="14.25" customHeight="1">
      <c r="A7124" s="2" t="s">
        <v>359</v>
      </c>
      <c r="B7124" s="2" t="s">
        <v>360</v>
      </c>
      <c r="C7124" s="2">
        <v>1997.0</v>
      </c>
      <c r="D7124" s="9">
        <v>22047.7</v>
      </c>
      <c r="E7124" s="10" t="str">
        <f t="array" ref="E7124">IFS(D7124&lt;=$G$3,'calculated data '!$A$3,D7124&lt;=$G$4,'calculated data '!$A$4,D7124&lt;=$G$6,'calculated data '!$A$5,D7124&gt;=$G$6,'calculated data '!$A$6)</f>
        <v>Target Market (Core IQR)</v>
      </c>
      <c r="F7124" s="10">
        <f t="shared" si="1"/>
        <v>-0.07957434717</v>
      </c>
    </row>
    <row r="7125" ht="14.25" customHeight="1">
      <c r="A7125" s="2" t="s">
        <v>197</v>
      </c>
      <c r="B7125" s="2" t="s">
        <v>198</v>
      </c>
      <c r="C7125" s="2">
        <v>2011.0</v>
      </c>
      <c r="D7125" s="9">
        <v>22054.248</v>
      </c>
      <c r="E7125" s="10" t="str">
        <f t="array" ref="E7125">IFS(D7125&lt;=$G$3,'calculated data '!$A$3,D7125&lt;=$G$4,'calculated data '!$A$4,D7125&lt;=$G$6,'calculated data '!$A$5,D7125&gt;=$G$6,'calculated data '!$A$6)</f>
        <v>Target Market (Core IQR)</v>
      </c>
      <c r="F7125" s="10">
        <f t="shared" si="1"/>
        <v>-0.07940102324</v>
      </c>
    </row>
    <row r="7126" ht="14.25" customHeight="1">
      <c r="A7126" s="2" t="s">
        <v>391</v>
      </c>
      <c r="B7126" s="2" t="s">
        <v>392</v>
      </c>
      <c r="C7126" s="2">
        <v>1985.0</v>
      </c>
      <c r="D7126" s="9">
        <v>22068.7</v>
      </c>
      <c r="E7126" s="10" t="str">
        <f t="array" ref="E7126">IFS(D7126&lt;=$G$3,'calculated data '!$A$3,D7126&lt;=$G$4,'calculated data '!$A$4,D7126&lt;=$G$6,'calculated data '!$A$5,D7126&gt;=$G$6,'calculated data '!$A$6)</f>
        <v>Target Market (Core IQR)</v>
      </c>
      <c r="F7126" s="10">
        <f t="shared" si="1"/>
        <v>-0.0790184824</v>
      </c>
    </row>
    <row r="7127" ht="14.25" customHeight="1">
      <c r="A7127" s="2" t="s">
        <v>285</v>
      </c>
      <c r="B7127" s="2" t="s">
        <v>286</v>
      </c>
      <c r="C7127" s="2">
        <v>2002.0</v>
      </c>
      <c r="D7127" s="9">
        <v>22075.652</v>
      </c>
      <c r="E7127" s="10" t="str">
        <f t="array" ref="E7127">IFS(D7127&lt;=$G$3,'calculated data '!$A$3,D7127&lt;=$G$4,'calculated data '!$A$4,D7127&lt;=$G$6,'calculated data '!$A$5,D7127&gt;=$G$6,'calculated data '!$A$6)</f>
        <v>Target Market (Core IQR)</v>
      </c>
      <c r="F7127" s="10">
        <f t="shared" si="1"/>
        <v>-0.0788344647</v>
      </c>
    </row>
    <row r="7128" ht="14.25" customHeight="1">
      <c r="A7128" s="2" t="s">
        <v>28</v>
      </c>
      <c r="B7128" s="2" t="s">
        <v>29</v>
      </c>
      <c r="C7128" s="2">
        <v>1983.0</v>
      </c>
      <c r="D7128" s="9">
        <v>22095.38</v>
      </c>
      <c r="E7128" s="10" t="str">
        <f t="array" ref="E7128">IFS(D7128&lt;=$G$3,'calculated data '!$A$3,D7128&lt;=$G$4,'calculated data '!$A$4,D7128&lt;=$G$6,'calculated data '!$A$5,D7128&gt;=$G$6,'calculated data '!$A$6)</f>
        <v>Target Market (Core IQR)</v>
      </c>
      <c r="F7128" s="10">
        <f t="shared" si="1"/>
        <v>-0.07831226945</v>
      </c>
    </row>
    <row r="7129" ht="14.25" customHeight="1">
      <c r="A7129" s="2" t="s">
        <v>303</v>
      </c>
      <c r="B7129" s="2" t="s">
        <v>304</v>
      </c>
      <c r="C7129" s="2">
        <v>2024.0</v>
      </c>
      <c r="D7129" s="9">
        <v>22107.053</v>
      </c>
      <c r="E7129" s="10" t="str">
        <f t="array" ref="E7129">IFS(D7129&lt;=$G$3,'calculated data '!$A$3,D7129&lt;=$G$4,'calculated data '!$A$4,D7129&lt;=$G$6,'calculated data '!$A$5,D7129&gt;=$G$6,'calculated data '!$A$6)</f>
        <v>Target Market (Core IQR)</v>
      </c>
      <c r="F7129" s="10">
        <f t="shared" si="1"/>
        <v>-0.07800328805</v>
      </c>
    </row>
    <row r="7130" ht="14.25" customHeight="1">
      <c r="A7130" s="2" t="s">
        <v>31</v>
      </c>
      <c r="B7130" s="2" t="s">
        <v>32</v>
      </c>
      <c r="C7130" s="2">
        <v>2009.0</v>
      </c>
      <c r="D7130" s="9">
        <v>22107.637</v>
      </c>
      <c r="E7130" s="10" t="str">
        <f t="array" ref="E7130">IFS(D7130&lt;=$G$3,'calculated data '!$A$3,D7130&lt;=$G$4,'calculated data '!$A$4,D7130&lt;=$G$6,'calculated data '!$A$5,D7130&gt;=$G$6,'calculated data '!$A$6)</f>
        <v>Target Market (Core IQR)</v>
      </c>
      <c r="F7130" s="10">
        <f t="shared" si="1"/>
        <v>-0.07798782971</v>
      </c>
    </row>
    <row r="7131" ht="14.25" customHeight="1">
      <c r="A7131" s="2" t="s">
        <v>317</v>
      </c>
      <c r="B7131" s="2" t="s">
        <v>318</v>
      </c>
      <c r="C7131" s="2">
        <v>2023.0</v>
      </c>
      <c r="D7131" s="9">
        <v>22109.979</v>
      </c>
      <c r="E7131" s="10" t="str">
        <f t="array" ref="E7131">IFS(D7131&lt;=$G$3,'calculated data '!$A$3,D7131&lt;=$G$4,'calculated data '!$A$4,D7131&lt;=$G$6,'calculated data '!$A$5,D7131&gt;=$G$6,'calculated data '!$A$6)</f>
        <v>Target Market (Core IQR)</v>
      </c>
      <c r="F7131" s="10">
        <f t="shared" si="1"/>
        <v>-0.07792583755</v>
      </c>
    </row>
    <row r="7132" ht="14.25" customHeight="1">
      <c r="A7132" s="2" t="s">
        <v>339</v>
      </c>
      <c r="B7132" s="2" t="s">
        <v>340</v>
      </c>
      <c r="C7132" s="2">
        <v>1981.0</v>
      </c>
      <c r="D7132" s="9">
        <v>22111.783</v>
      </c>
      <c r="E7132" s="10" t="str">
        <f t="array" ref="E7132">IFS(D7132&lt;=$G$3,'calculated data '!$A$3,D7132&lt;=$G$4,'calculated data '!$A$4,D7132&lt;=$G$6,'calculated data '!$A$5,D7132&gt;=$G$6,'calculated data '!$A$6)</f>
        <v>Target Market (Core IQR)</v>
      </c>
      <c r="F7132" s="10">
        <f t="shared" si="1"/>
        <v>-0.07787808612</v>
      </c>
    </row>
    <row r="7133" ht="14.25" customHeight="1">
      <c r="A7133" s="2" t="s">
        <v>335</v>
      </c>
      <c r="B7133" s="2" t="s">
        <v>336</v>
      </c>
      <c r="C7133" s="2">
        <v>1980.0</v>
      </c>
      <c r="D7133" s="9">
        <v>22114.605</v>
      </c>
      <c r="E7133" s="10" t="str">
        <f t="array" ref="E7133">IFS(D7133&lt;=$G$3,'calculated data '!$A$3,D7133&lt;=$G$4,'calculated data '!$A$4,D7133&lt;=$G$6,'calculated data '!$A$5,D7133&gt;=$G$6,'calculated data '!$A$6)</f>
        <v>Target Market (Core IQR)</v>
      </c>
      <c r="F7133" s="10">
        <f t="shared" si="1"/>
        <v>-0.07780338849</v>
      </c>
    </row>
    <row r="7134" ht="14.25" customHeight="1">
      <c r="A7134" s="2" t="s">
        <v>403</v>
      </c>
      <c r="B7134" s="2" t="s">
        <v>404</v>
      </c>
      <c r="C7134" s="2">
        <v>1986.0</v>
      </c>
      <c r="D7134" s="9">
        <v>22117.123</v>
      </c>
      <c r="E7134" s="10" t="str">
        <f t="array" ref="E7134">IFS(D7134&lt;=$G$3,'calculated data '!$A$3,D7134&lt;=$G$4,'calculated data '!$A$4,D7134&lt;=$G$6,'calculated data '!$A$5,D7134&gt;=$G$6,'calculated data '!$A$6)</f>
        <v>Target Market (Core IQR)</v>
      </c>
      <c r="F7134" s="10">
        <f t="shared" si="1"/>
        <v>-0.07773673765</v>
      </c>
    </row>
    <row r="7135" ht="14.25" customHeight="1">
      <c r="A7135" s="2" t="s">
        <v>393</v>
      </c>
      <c r="B7135" s="2" t="s">
        <v>394</v>
      </c>
      <c r="C7135" s="2">
        <v>2011.0</v>
      </c>
      <c r="D7135" s="9">
        <v>22119.473</v>
      </c>
      <c r="E7135" s="10" t="str">
        <f t="array" ref="E7135">IFS(D7135&lt;=$G$3,'calculated data '!$A$3,D7135&lt;=$G$4,'calculated data '!$A$4,D7135&lt;=$G$6,'calculated data '!$A$5,D7135&gt;=$G$6,'calculated data '!$A$6)</f>
        <v>Target Market (Core IQR)</v>
      </c>
      <c r="F7135" s="10">
        <f t="shared" si="1"/>
        <v>-0.07767453374</v>
      </c>
    </row>
    <row r="7136" ht="14.25" customHeight="1">
      <c r="A7136" s="2" t="s">
        <v>31</v>
      </c>
      <c r="B7136" s="2" t="s">
        <v>32</v>
      </c>
      <c r="C7136" s="2">
        <v>2002.0</v>
      </c>
      <c r="D7136" s="9">
        <v>22122.64</v>
      </c>
      <c r="E7136" s="10" t="str">
        <f t="array" ref="E7136">IFS(D7136&lt;=$G$3,'calculated data '!$A$3,D7136&lt;=$G$4,'calculated data '!$A$4,D7136&lt;=$G$6,'calculated data '!$A$5,D7136&gt;=$G$6,'calculated data '!$A$6)</f>
        <v>Target Market (Core IQR)</v>
      </c>
      <c r="F7136" s="10">
        <f t="shared" si="1"/>
        <v>-0.07759070404</v>
      </c>
    </row>
    <row r="7137" ht="14.25" customHeight="1">
      <c r="A7137" s="2" t="s">
        <v>359</v>
      </c>
      <c r="B7137" s="2" t="s">
        <v>360</v>
      </c>
      <c r="C7137" s="2">
        <v>1971.0</v>
      </c>
      <c r="D7137" s="9">
        <v>22163.21</v>
      </c>
      <c r="E7137" s="10" t="str">
        <f t="array" ref="E7137">IFS(D7137&lt;=$G$3,'calculated data '!$A$3,D7137&lt;=$G$4,'calculated data '!$A$4,D7137&lt;=$G$6,'calculated data '!$A$5,D7137&gt;=$G$6,'calculated data '!$A$6)</f>
        <v>Target Market (Core IQR)</v>
      </c>
      <c r="F7137" s="10">
        <f t="shared" si="1"/>
        <v>-0.07651682624</v>
      </c>
    </row>
    <row r="7138" ht="14.25" customHeight="1">
      <c r="A7138" s="2" t="s">
        <v>361</v>
      </c>
      <c r="B7138" s="2" t="s">
        <v>362</v>
      </c>
      <c r="C7138" s="2">
        <v>2006.0</v>
      </c>
      <c r="D7138" s="9">
        <v>22174.771</v>
      </c>
      <c r="E7138" s="10" t="str">
        <f t="array" ref="E7138">IFS(D7138&lt;=$G$3,'calculated data '!$A$3,D7138&lt;=$G$4,'calculated data '!$A$4,D7138&lt;=$G$6,'calculated data '!$A$5,D7138&gt;=$G$6,'calculated data '!$A$6)</f>
        <v>Target Market (Core IQR)</v>
      </c>
      <c r="F7138" s="10">
        <f t="shared" si="1"/>
        <v>-0.07621080945</v>
      </c>
    </row>
    <row r="7139" ht="14.25" customHeight="1">
      <c r="A7139" s="2" t="s">
        <v>379</v>
      </c>
      <c r="B7139" s="2" t="s">
        <v>380</v>
      </c>
      <c r="C7139" s="2">
        <v>1970.0</v>
      </c>
      <c r="D7139" s="9">
        <v>22179.049</v>
      </c>
      <c r="E7139" s="10" t="str">
        <f t="array" ref="E7139">IFS(D7139&lt;=$G$3,'calculated data '!$A$3,D7139&lt;=$G$4,'calculated data '!$A$4,D7139&lt;=$G$6,'calculated data '!$A$5,D7139&gt;=$G$6,'calculated data '!$A$6)</f>
        <v>Target Market (Core IQR)</v>
      </c>
      <c r="F7139" s="10">
        <f t="shared" si="1"/>
        <v>-0.07609757186</v>
      </c>
    </row>
    <row r="7140" ht="14.25" customHeight="1">
      <c r="A7140" s="2" t="s">
        <v>335</v>
      </c>
      <c r="B7140" s="2" t="s">
        <v>336</v>
      </c>
      <c r="C7140" s="2">
        <v>1982.0</v>
      </c>
      <c r="D7140" s="9">
        <v>22179.947</v>
      </c>
      <c r="E7140" s="10" t="str">
        <f t="array" ref="E7140">IFS(D7140&lt;=$G$3,'calculated data '!$A$3,D7140&lt;=$G$4,'calculated data '!$A$4,D7140&lt;=$G$6,'calculated data '!$A$5,D7140&gt;=$G$6,'calculated data '!$A$6)</f>
        <v>Target Market (Core IQR)</v>
      </c>
      <c r="F7140" s="10">
        <f t="shared" si="1"/>
        <v>-0.07607380202</v>
      </c>
    </row>
    <row r="7141" ht="14.25" customHeight="1">
      <c r="A7141" s="2" t="s">
        <v>379</v>
      </c>
      <c r="B7141" s="2" t="s">
        <v>380</v>
      </c>
      <c r="C7141" s="2">
        <v>1972.0</v>
      </c>
      <c r="D7141" s="9">
        <v>22180.969</v>
      </c>
      <c r="E7141" s="10" t="str">
        <f t="array" ref="E7141">IFS(D7141&lt;=$G$3,'calculated data '!$A$3,D7141&lt;=$G$4,'calculated data '!$A$4,D7141&lt;=$G$6,'calculated data '!$A$5,D7141&gt;=$G$6,'calculated data '!$A$6)</f>
        <v>Target Market (Core IQR)</v>
      </c>
      <c r="F7141" s="10">
        <f t="shared" si="1"/>
        <v>-0.07604674994</v>
      </c>
    </row>
    <row r="7142" ht="14.25" customHeight="1">
      <c r="A7142" s="2" t="s">
        <v>313</v>
      </c>
      <c r="B7142" s="2" t="s">
        <v>314</v>
      </c>
      <c r="C7142" s="2">
        <v>2022.0</v>
      </c>
      <c r="D7142" s="9">
        <v>22184.96</v>
      </c>
      <c r="E7142" s="10" t="str">
        <f t="array" ref="E7142">IFS(D7142&lt;=$G$3,'calculated data '!$A$3,D7142&lt;=$G$4,'calculated data '!$A$4,D7142&lt;=$G$6,'calculated data '!$A$5,D7142&gt;=$G$6,'calculated data '!$A$6)</f>
        <v>Target Market (Core IQR)</v>
      </c>
      <c r="F7142" s="10">
        <f t="shared" si="1"/>
        <v>-0.07594110916</v>
      </c>
    </row>
    <row r="7143" ht="14.25" customHeight="1">
      <c r="A7143" s="2" t="s">
        <v>393</v>
      </c>
      <c r="B7143" s="2" t="s">
        <v>394</v>
      </c>
      <c r="C7143" s="2">
        <v>2025.0</v>
      </c>
      <c r="D7143" s="9">
        <v>22196.45</v>
      </c>
      <c r="E7143" s="10" t="str">
        <f t="array" ref="E7143">IFS(D7143&lt;=$G$3,'calculated data '!$A$3,D7143&lt;=$G$4,'calculated data '!$A$4,D7143&lt;=$G$6,'calculated data '!$A$5,D7143&gt;=$G$6,'calculated data '!$A$6)</f>
        <v>Target Market (Core IQR)</v>
      </c>
      <c r="F7143" s="10">
        <f t="shared" si="1"/>
        <v>-0.07563697172</v>
      </c>
    </row>
    <row r="7144" ht="14.25" customHeight="1">
      <c r="A7144" s="2" t="s">
        <v>271</v>
      </c>
      <c r="B7144" s="2" t="s">
        <v>272</v>
      </c>
      <c r="C7144" s="2">
        <v>1996.0</v>
      </c>
      <c r="D7144" s="9">
        <v>22212.355</v>
      </c>
      <c r="E7144" s="10" t="str">
        <f t="array" ref="E7144">IFS(D7144&lt;=$G$3,'calculated data '!$A$3,D7144&lt;=$G$4,'calculated data '!$A$4,D7144&lt;=$G$6,'calculated data '!$A$5,D7144&gt;=$G$6,'calculated data '!$A$6)</f>
        <v>Target Market (Core IQR)</v>
      </c>
      <c r="F7144" s="10">
        <f t="shared" si="1"/>
        <v>-0.07521597033</v>
      </c>
    </row>
    <row r="7145" ht="14.25" customHeight="1">
      <c r="A7145" s="2" t="s">
        <v>249</v>
      </c>
      <c r="B7145" s="2" t="s">
        <v>250</v>
      </c>
      <c r="C7145" s="2">
        <v>1998.0</v>
      </c>
      <c r="D7145" s="9">
        <v>22217.795</v>
      </c>
      <c r="E7145" s="10" t="str">
        <f t="array" ref="E7145">IFS(D7145&lt;=$G$3,'calculated data '!$A$3,D7145&lt;=$G$4,'calculated data '!$A$4,D7145&lt;=$G$6,'calculated data '!$A$5,D7145&gt;=$G$6,'calculated data '!$A$6)</f>
        <v>Target Market (Core IQR)</v>
      </c>
      <c r="F7145" s="10">
        <f t="shared" si="1"/>
        <v>-0.07507197489</v>
      </c>
    </row>
    <row r="7146" ht="14.25" customHeight="1">
      <c r="A7146" s="2" t="s">
        <v>359</v>
      </c>
      <c r="B7146" s="2" t="s">
        <v>360</v>
      </c>
      <c r="C7146" s="2">
        <v>1993.0</v>
      </c>
      <c r="D7146" s="9">
        <v>22230.65</v>
      </c>
      <c r="E7146" s="10" t="str">
        <f t="array" ref="E7146">IFS(D7146&lt;=$G$3,'calculated data '!$A$3,D7146&lt;=$G$4,'calculated data '!$A$4,D7146&lt;=$G$6,'calculated data '!$A$5,D7146&gt;=$G$6,'calculated data '!$A$6)</f>
        <v>Target Market (Core IQR)</v>
      </c>
      <c r="F7146" s="10">
        <f t="shared" si="1"/>
        <v>-0.07473170624</v>
      </c>
    </row>
    <row r="7147" ht="14.25" customHeight="1">
      <c r="A7147" s="2" t="s">
        <v>285</v>
      </c>
      <c r="B7147" s="2" t="s">
        <v>286</v>
      </c>
      <c r="C7147" s="2">
        <v>2016.0</v>
      </c>
      <c r="D7147" s="9">
        <v>22235.967</v>
      </c>
      <c r="E7147" s="10" t="str">
        <f t="array" ref="E7147">IFS(D7147&lt;=$G$3,'calculated data '!$A$3,D7147&lt;=$G$4,'calculated data '!$A$4,D7147&lt;=$G$6,'calculated data '!$A$5,D7147&gt;=$G$6,'calculated data '!$A$6)</f>
        <v>Target Market (Core IQR)</v>
      </c>
      <c r="F7147" s="10">
        <f t="shared" si="1"/>
        <v>-0.07459096657</v>
      </c>
    </row>
    <row r="7148" ht="14.25" customHeight="1">
      <c r="A7148" s="2" t="s">
        <v>231</v>
      </c>
      <c r="B7148" s="2" t="s">
        <v>232</v>
      </c>
      <c r="C7148" s="2">
        <v>2024.0</v>
      </c>
      <c r="D7148" s="9">
        <v>22246.383</v>
      </c>
      <c r="E7148" s="10" t="str">
        <f t="array" ref="E7148">IFS(D7148&lt;=$G$3,'calculated data '!$A$3,D7148&lt;=$G$4,'calculated data '!$A$4,D7148&lt;=$G$6,'calculated data '!$A$5,D7148&gt;=$G$6,'calculated data '!$A$6)</f>
        <v>Target Market (Core IQR)</v>
      </c>
      <c r="F7148" s="10">
        <f t="shared" si="1"/>
        <v>-0.07431525765</v>
      </c>
    </row>
    <row r="7149" ht="14.25" customHeight="1">
      <c r="A7149" s="2" t="s">
        <v>361</v>
      </c>
      <c r="B7149" s="2" t="s">
        <v>362</v>
      </c>
      <c r="C7149" s="2">
        <v>2024.0</v>
      </c>
      <c r="D7149" s="9">
        <v>22246.64</v>
      </c>
      <c r="E7149" s="10" t="str">
        <f t="array" ref="E7149">IFS(D7149&lt;=$G$3,'calculated data '!$A$3,D7149&lt;=$G$4,'calculated data '!$A$4,D7149&lt;=$G$6,'calculated data '!$A$5,D7149&gt;=$G$6,'calculated data '!$A$6)</f>
        <v>Target Market (Core IQR)</v>
      </c>
      <c r="F7149" s="10">
        <f t="shared" si="1"/>
        <v>-0.07430845492</v>
      </c>
    </row>
    <row r="7150" ht="14.25" customHeight="1">
      <c r="A7150" s="2" t="s">
        <v>363</v>
      </c>
      <c r="B7150" s="2" t="s">
        <v>364</v>
      </c>
      <c r="C7150" s="2">
        <v>1992.0</v>
      </c>
      <c r="D7150" s="9">
        <v>22247.639</v>
      </c>
      <c r="E7150" s="10" t="str">
        <f t="array" ref="E7150">IFS(D7150&lt;=$G$3,'calculated data '!$A$3,D7150&lt;=$G$4,'calculated data '!$A$4,D7150&lt;=$G$6,'calculated data '!$A$5,D7150&gt;=$G$6,'calculated data '!$A$6)</f>
        <v>Target Market (Core IQR)</v>
      </c>
      <c r="F7150" s="10">
        <f t="shared" si="1"/>
        <v>-0.07428201164</v>
      </c>
    </row>
    <row r="7151" ht="14.25" customHeight="1">
      <c r="A7151" s="2" t="s">
        <v>361</v>
      </c>
      <c r="B7151" s="2" t="s">
        <v>362</v>
      </c>
      <c r="C7151" s="2">
        <v>2003.0</v>
      </c>
      <c r="D7151" s="9">
        <v>22279.12</v>
      </c>
      <c r="E7151" s="10" t="str">
        <f t="array" ref="E7151">IFS(D7151&lt;=$G$3,'calculated data '!$A$3,D7151&lt;=$G$4,'calculated data '!$A$4,D7151&lt;=$G$6,'calculated data '!$A$5,D7151&gt;=$G$6,'calculated data '!$A$6)</f>
        <v>Target Market (Core IQR)</v>
      </c>
      <c r="F7151" s="10">
        <f t="shared" si="1"/>
        <v>-0.07344871741</v>
      </c>
    </row>
    <row r="7152" ht="14.25" customHeight="1">
      <c r="A7152" s="2" t="s">
        <v>383</v>
      </c>
      <c r="B7152" s="2" t="s">
        <v>384</v>
      </c>
      <c r="C7152" s="2">
        <v>2001.0</v>
      </c>
      <c r="D7152" s="9">
        <v>22286.547</v>
      </c>
      <c r="E7152" s="10" t="str">
        <f t="array" ref="E7152">IFS(D7152&lt;=$G$3,'calculated data '!$A$3,D7152&lt;=$G$4,'calculated data '!$A$4,D7152&lt;=$G$6,'calculated data '!$A$5,D7152&gt;=$G$6,'calculated data '!$A$6)</f>
        <v>Target Market (Core IQR)</v>
      </c>
      <c r="F7152" s="10">
        <f t="shared" si="1"/>
        <v>-0.07325212657</v>
      </c>
    </row>
    <row r="7153" ht="14.25" customHeight="1">
      <c r="A7153" s="2" t="s">
        <v>361</v>
      </c>
      <c r="B7153" s="2" t="s">
        <v>362</v>
      </c>
      <c r="C7153" s="2">
        <v>2005.0</v>
      </c>
      <c r="D7153" s="9">
        <v>22289.098</v>
      </c>
      <c r="E7153" s="10" t="str">
        <f t="array" ref="E7153">IFS(D7153&lt;=$G$3,'calculated data '!$A$3,D7153&lt;=$G$4,'calculated data '!$A$4,D7153&lt;=$G$6,'calculated data '!$A$5,D7153&gt;=$G$6,'calculated data '!$A$6)</f>
        <v>Target Market (Core IQR)</v>
      </c>
      <c r="F7153" s="10">
        <f t="shared" si="1"/>
        <v>-0.07318460224</v>
      </c>
    </row>
    <row r="7154" ht="14.25" customHeight="1">
      <c r="A7154" s="2" t="s">
        <v>277</v>
      </c>
      <c r="B7154" s="2" t="s">
        <v>278</v>
      </c>
      <c r="C7154" s="2">
        <v>2021.0</v>
      </c>
      <c r="D7154" s="9">
        <v>22304.87</v>
      </c>
      <c r="E7154" s="10" t="str">
        <f t="array" ref="E7154">IFS(D7154&lt;=$G$3,'calculated data '!$A$3,D7154&lt;=$G$4,'calculated data '!$A$4,D7154&lt;=$G$6,'calculated data '!$A$5,D7154&gt;=$G$6,'calculated data '!$A$6)</f>
        <v>Target Market (Core IQR)</v>
      </c>
      <c r="F7154" s="10">
        <f t="shared" si="1"/>
        <v>-0.07276712133</v>
      </c>
    </row>
    <row r="7155" ht="14.25" customHeight="1">
      <c r="A7155" s="2" t="s">
        <v>383</v>
      </c>
      <c r="B7155" s="2" t="s">
        <v>384</v>
      </c>
      <c r="C7155" s="2">
        <v>1992.0</v>
      </c>
      <c r="D7155" s="9">
        <v>22305.47</v>
      </c>
      <c r="E7155" s="10" t="str">
        <f t="array" ref="E7155">IFS(D7155&lt;=$G$3,'calculated data '!$A$3,D7155&lt;=$G$4,'calculated data '!$A$4,D7155&lt;=$G$6,'calculated data '!$A$5,D7155&gt;=$G$6,'calculated data '!$A$6)</f>
        <v>Target Market (Core IQR)</v>
      </c>
      <c r="F7155" s="10">
        <f t="shared" si="1"/>
        <v>-0.07275123947</v>
      </c>
    </row>
    <row r="7156" ht="14.25" customHeight="1">
      <c r="A7156" s="2" t="s">
        <v>71</v>
      </c>
      <c r="B7156" s="2" t="s">
        <v>72</v>
      </c>
      <c r="C7156" s="2">
        <v>1984.0</v>
      </c>
      <c r="D7156" s="9">
        <v>22310.967</v>
      </c>
      <c r="E7156" s="10" t="str">
        <f t="array" ref="E7156">IFS(D7156&lt;=$G$3,'calculated data '!$A$3,D7156&lt;=$G$4,'calculated data '!$A$4,D7156&lt;=$G$6,'calculated data '!$A$5,D7156&gt;=$G$6,'calculated data '!$A$6)</f>
        <v>Target Market (Core IQR)</v>
      </c>
      <c r="F7156" s="10">
        <f t="shared" si="1"/>
        <v>-0.07260573525</v>
      </c>
    </row>
    <row r="7157" ht="14.25" customHeight="1">
      <c r="A7157" s="2" t="s">
        <v>361</v>
      </c>
      <c r="B7157" s="2" t="s">
        <v>362</v>
      </c>
      <c r="C7157" s="2">
        <v>2004.0</v>
      </c>
      <c r="D7157" s="9">
        <v>22316.69</v>
      </c>
      <c r="E7157" s="10" t="str">
        <f t="array" ref="E7157">IFS(D7157&lt;=$G$3,'calculated data '!$A$3,D7157&lt;=$G$4,'calculated data '!$A$4,D7157&lt;=$G$6,'calculated data '!$A$5,D7157&gt;=$G$6,'calculated data '!$A$6)</f>
        <v>Target Market (Core IQR)</v>
      </c>
      <c r="F7157" s="10">
        <f t="shared" si="1"/>
        <v>-0.07245424887</v>
      </c>
    </row>
    <row r="7158" ht="14.25" customHeight="1">
      <c r="A7158" s="2" t="s">
        <v>39</v>
      </c>
      <c r="B7158" s="2" t="s">
        <v>40</v>
      </c>
      <c r="C7158" s="2">
        <v>2000.0</v>
      </c>
      <c r="D7158" s="9">
        <v>22328.326</v>
      </c>
      <c r="E7158" s="10" t="str">
        <f t="array" ref="E7158">IFS(D7158&lt;=$G$3,'calculated data '!$A$3,D7158&lt;=$G$4,'calculated data '!$A$4,D7158&lt;=$G$6,'calculated data '!$A$5,D7158&gt;=$G$6,'calculated data '!$A$6)</f>
        <v>Target Market (Core IQR)</v>
      </c>
      <c r="F7158" s="10">
        <f t="shared" si="1"/>
        <v>-0.07214624685</v>
      </c>
    </row>
    <row r="7159" ht="14.25" customHeight="1">
      <c r="A7159" s="2" t="s">
        <v>355</v>
      </c>
      <c r="B7159" s="2" t="s">
        <v>356</v>
      </c>
      <c r="C7159" s="2">
        <v>1976.0</v>
      </c>
      <c r="D7159" s="9">
        <v>22341.865</v>
      </c>
      <c r="E7159" s="10" t="str">
        <f t="array" ref="E7159">IFS(D7159&lt;=$G$3,'calculated data '!$A$3,D7159&lt;=$G$4,'calculated data '!$A$4,D7159&lt;=$G$6,'calculated data '!$A$5,D7159&gt;=$G$6,'calculated data '!$A$6)</f>
        <v>Target Market (Core IQR)</v>
      </c>
      <c r="F7159" s="10">
        <f t="shared" si="1"/>
        <v>-0.07178787289</v>
      </c>
    </row>
    <row r="7160" ht="14.25" customHeight="1">
      <c r="A7160" s="2" t="s">
        <v>31</v>
      </c>
      <c r="B7160" s="2" t="s">
        <v>32</v>
      </c>
      <c r="C7160" s="2">
        <v>2004.0</v>
      </c>
      <c r="D7160" s="9">
        <v>22342.174</v>
      </c>
      <c r="E7160" s="10" t="str">
        <f t="array" ref="E7160">IFS(D7160&lt;=$G$3,'calculated data '!$A$3,D7160&lt;=$G$4,'calculated data '!$A$4,D7160&lt;=$G$6,'calculated data '!$A$5,D7160&gt;=$G$6,'calculated data '!$A$6)</f>
        <v>Target Market (Core IQR)</v>
      </c>
      <c r="F7160" s="10">
        <f t="shared" si="1"/>
        <v>-0.07177969374</v>
      </c>
    </row>
    <row r="7161" ht="14.25" customHeight="1">
      <c r="A7161" s="2" t="s">
        <v>31</v>
      </c>
      <c r="B7161" s="2" t="s">
        <v>32</v>
      </c>
      <c r="C7161" s="2">
        <v>2005.0</v>
      </c>
      <c r="D7161" s="9">
        <v>22354.648</v>
      </c>
      <c r="E7161" s="10" t="str">
        <f t="array" ref="E7161">IFS(D7161&lt;=$G$3,'calculated data '!$A$3,D7161&lt;=$G$4,'calculated data '!$A$4,D7161&lt;=$G$6,'calculated data '!$A$5,D7161&gt;=$G$6,'calculated data '!$A$6)</f>
        <v>Target Market (Core IQR)</v>
      </c>
      <c r="F7161" s="10">
        <f t="shared" si="1"/>
        <v>-0.07144951006</v>
      </c>
    </row>
    <row r="7162" ht="14.25" customHeight="1">
      <c r="A7162" s="2" t="s">
        <v>31</v>
      </c>
      <c r="B7162" s="2" t="s">
        <v>32</v>
      </c>
      <c r="C7162" s="2">
        <v>2008.0</v>
      </c>
      <c r="D7162" s="9">
        <v>22371.133</v>
      </c>
      <c r="E7162" s="10" t="str">
        <f t="array" ref="E7162">IFS(D7162&lt;=$G$3,'calculated data '!$A$3,D7162&lt;=$G$4,'calculated data '!$A$4,D7162&lt;=$G$6,'calculated data '!$A$5,D7162&gt;=$G$6,'calculated data '!$A$6)</f>
        <v>Target Market (Core IQR)</v>
      </c>
      <c r="F7162" s="10">
        <f t="shared" si="1"/>
        <v>-0.07101315622</v>
      </c>
    </row>
    <row r="7163" ht="14.25" customHeight="1">
      <c r="A7163" s="2" t="s">
        <v>393</v>
      </c>
      <c r="B7163" s="2" t="s">
        <v>394</v>
      </c>
      <c r="C7163" s="2">
        <v>2012.0</v>
      </c>
      <c r="D7163" s="9">
        <v>22392.352</v>
      </c>
      <c r="E7163" s="10" t="str">
        <f t="array" ref="E7163">IFS(D7163&lt;=$G$3,'calculated data '!$A$3,D7163&lt;=$G$4,'calculated data '!$A$4,D7163&lt;=$G$6,'calculated data '!$A$5,D7163&gt;=$G$6,'calculated data '!$A$6)</f>
        <v>Target Market (Core IQR)</v>
      </c>
      <c r="F7163" s="10">
        <f t="shared" si="1"/>
        <v>-0.07045149457</v>
      </c>
    </row>
    <row r="7164" ht="14.25" customHeight="1">
      <c r="A7164" s="2" t="s">
        <v>277</v>
      </c>
      <c r="B7164" s="2" t="s">
        <v>278</v>
      </c>
      <c r="C7164" s="2">
        <v>2020.0</v>
      </c>
      <c r="D7164" s="9">
        <v>22395.14</v>
      </c>
      <c r="E7164" s="10" t="str">
        <f t="array" ref="E7164">IFS(D7164&lt;=$G$3,'calculated data '!$A$3,D7164&lt;=$G$4,'calculated data '!$A$4,D7164&lt;=$G$6,'calculated data '!$A$5,D7164&gt;=$G$6,'calculated data '!$A$6)</f>
        <v>Target Market (Core IQR)</v>
      </c>
      <c r="F7164" s="10">
        <f t="shared" si="1"/>
        <v>-0.07037769691</v>
      </c>
    </row>
    <row r="7165" ht="14.25" customHeight="1">
      <c r="A7165" s="2" t="s">
        <v>277</v>
      </c>
      <c r="B7165" s="2" t="s">
        <v>278</v>
      </c>
      <c r="C7165" s="2">
        <v>2015.0</v>
      </c>
      <c r="D7165" s="9">
        <v>22399.078</v>
      </c>
      <c r="E7165" s="10" t="str">
        <f t="array" ref="E7165">IFS(D7165&lt;=$G$3,'calculated data '!$A$3,D7165&lt;=$G$4,'calculated data '!$A$4,D7165&lt;=$G$6,'calculated data '!$A$5,D7165&gt;=$G$6,'calculated data '!$A$6)</f>
        <v>Target Market (Core IQR)</v>
      </c>
      <c r="F7165" s="10">
        <f t="shared" si="1"/>
        <v>-0.07027345903</v>
      </c>
    </row>
    <row r="7166" ht="14.25" customHeight="1">
      <c r="A7166" s="2" t="s">
        <v>361</v>
      </c>
      <c r="B7166" s="2" t="s">
        <v>362</v>
      </c>
      <c r="C7166" s="2">
        <v>2023.0</v>
      </c>
      <c r="D7166" s="9">
        <v>22409.102</v>
      </c>
      <c r="E7166" s="10" t="str">
        <f t="array" ref="E7166">IFS(D7166&lt;=$G$3,'calculated data '!$A$3,D7166&lt;=$G$4,'calculated data '!$A$4,D7166&lt;=$G$6,'calculated data '!$A$5,D7166&gt;=$G$6,'calculated data '!$A$6)</f>
        <v>Target Market (Core IQR)</v>
      </c>
      <c r="F7166" s="10">
        <f t="shared" si="1"/>
        <v>-0.07000812625</v>
      </c>
    </row>
    <row r="7167" ht="14.25" customHeight="1">
      <c r="A7167" s="2" t="s">
        <v>405</v>
      </c>
      <c r="B7167" s="2" t="s">
        <v>406</v>
      </c>
      <c r="C7167" s="2">
        <v>2009.0</v>
      </c>
      <c r="D7167" s="9">
        <v>22420.668</v>
      </c>
      <c r="E7167" s="10" t="str">
        <f t="array" ref="E7167">IFS(D7167&lt;=$G$3,'calculated data '!$A$3,D7167&lt;=$G$4,'calculated data '!$A$4,D7167&lt;=$G$6,'calculated data '!$A$5,D7167&gt;=$G$6,'calculated data '!$A$6)</f>
        <v>Target Market (Core IQR)</v>
      </c>
      <c r="F7167" s="10">
        <f t="shared" si="1"/>
        <v>-0.06970197711</v>
      </c>
    </row>
    <row r="7168" ht="14.25" customHeight="1">
      <c r="A7168" s="2" t="s">
        <v>399</v>
      </c>
      <c r="B7168" s="2" t="s">
        <v>400</v>
      </c>
      <c r="C7168" s="2">
        <v>1989.0</v>
      </c>
      <c r="D7168" s="9">
        <v>22422.766</v>
      </c>
      <c r="E7168" s="10" t="str">
        <f t="array" ref="E7168">IFS(D7168&lt;=$G$3,'calculated data '!$A$3,D7168&lt;=$G$4,'calculated data '!$A$4,D7168&lt;=$G$6,'calculated data '!$A$5,D7168&gt;=$G$6,'calculated data '!$A$6)</f>
        <v>Target Market (Core IQR)</v>
      </c>
      <c r="F7168" s="10">
        <f t="shared" si="1"/>
        <v>-0.06964644357</v>
      </c>
    </row>
    <row r="7169" ht="14.25" customHeight="1">
      <c r="A7169" s="2" t="s">
        <v>335</v>
      </c>
      <c r="B7169" s="2" t="s">
        <v>336</v>
      </c>
      <c r="C7169" s="2">
        <v>1985.0</v>
      </c>
      <c r="D7169" s="9">
        <v>22443.852</v>
      </c>
      <c r="E7169" s="10" t="str">
        <f t="array" ref="E7169">IFS(D7169&lt;=$G$3,'calculated data '!$A$3,D7169&lt;=$G$4,'calculated data '!$A$4,D7169&lt;=$G$6,'calculated data '!$A$5,D7169&gt;=$G$6,'calculated data '!$A$6)</f>
        <v>Target Market (Core IQR)</v>
      </c>
      <c r="F7169" s="10">
        <f t="shared" si="1"/>
        <v>-0.0690883024</v>
      </c>
    </row>
    <row r="7170" ht="14.25" customHeight="1">
      <c r="A7170" s="2" t="s">
        <v>401</v>
      </c>
      <c r="B7170" s="2" t="s">
        <v>402</v>
      </c>
      <c r="C7170" s="2">
        <v>1966.0</v>
      </c>
      <c r="D7170" s="9">
        <v>22455.5</v>
      </c>
      <c r="E7170" s="10" t="str">
        <f t="array" ref="E7170">IFS(D7170&lt;=$G$3,'calculated data '!$A$3,D7170&lt;=$G$4,'calculated data '!$A$4,D7170&lt;=$G$6,'calculated data '!$A$5,D7170&gt;=$G$6,'calculated data '!$A$6)</f>
        <v>Target Market (Core IQR)</v>
      </c>
      <c r="F7170" s="10">
        <f t="shared" si="1"/>
        <v>-0.06877998274</v>
      </c>
    </row>
    <row r="7171" ht="14.25" customHeight="1">
      <c r="A7171" s="2" t="s">
        <v>285</v>
      </c>
      <c r="B7171" s="2" t="s">
        <v>286</v>
      </c>
      <c r="C7171" s="2">
        <v>2014.0</v>
      </c>
      <c r="D7171" s="9">
        <v>22467.686</v>
      </c>
      <c r="E7171" s="10" t="str">
        <f t="array" ref="E7171">IFS(D7171&lt;=$G$3,'calculated data '!$A$3,D7171&lt;=$G$4,'calculated data '!$A$4,D7171&lt;=$G$6,'calculated data '!$A$5,D7171&gt;=$G$6,'calculated data '!$A$6)</f>
        <v>Target Market (Core IQR)</v>
      </c>
      <c r="F7171" s="10">
        <f t="shared" si="1"/>
        <v>-0.06845742236</v>
      </c>
    </row>
    <row r="7172" ht="14.25" customHeight="1">
      <c r="A7172" s="2" t="s">
        <v>401</v>
      </c>
      <c r="B7172" s="2" t="s">
        <v>402</v>
      </c>
      <c r="C7172" s="2">
        <v>1967.0</v>
      </c>
      <c r="D7172" s="9">
        <v>22467.748</v>
      </c>
      <c r="E7172" s="10" t="str">
        <f t="array" ref="E7172">IFS(D7172&lt;=$G$3,'calculated data '!$A$3,D7172&lt;=$G$4,'calculated data '!$A$4,D7172&lt;=$G$6,'calculated data '!$A$5,D7172&gt;=$G$6,'calculated data '!$A$6)</f>
        <v>Target Market (Core IQR)</v>
      </c>
      <c r="F7172" s="10">
        <f t="shared" si="1"/>
        <v>-0.06845578123</v>
      </c>
    </row>
    <row r="7173" ht="14.25" customHeight="1">
      <c r="A7173" s="2" t="s">
        <v>51</v>
      </c>
      <c r="B7173" s="2" t="s">
        <v>52</v>
      </c>
      <c r="C7173" s="2">
        <v>2024.0</v>
      </c>
      <c r="D7173" s="9">
        <v>22482.574</v>
      </c>
      <c r="E7173" s="10" t="str">
        <f t="array" ref="E7173">IFS(D7173&lt;=$G$3,'calculated data '!$A$3,D7173&lt;=$G$4,'calculated data '!$A$4,D7173&lt;=$G$6,'calculated data '!$A$5,D7173&gt;=$G$6,'calculated data '!$A$6)</f>
        <v>Target Market (Core IQR)</v>
      </c>
      <c r="F7173" s="10">
        <f t="shared" si="1"/>
        <v>-0.0680633407</v>
      </c>
    </row>
    <row r="7174" ht="14.25" customHeight="1">
      <c r="A7174" s="2" t="s">
        <v>367</v>
      </c>
      <c r="B7174" s="2" t="s">
        <v>368</v>
      </c>
      <c r="C7174" s="2">
        <v>2015.0</v>
      </c>
      <c r="D7174" s="9">
        <v>22511.785</v>
      </c>
      <c r="E7174" s="10" t="str">
        <f t="array" ref="E7174">IFS(D7174&lt;=$G$3,'calculated data '!$A$3,D7174&lt;=$G$4,'calculated data '!$A$4,D7174&lt;=$G$6,'calculated data '!$A$5,D7174&gt;=$G$6,'calculated data '!$A$6)</f>
        <v>Target Market (Core IQR)</v>
      </c>
      <c r="F7174" s="10">
        <f t="shared" si="1"/>
        <v>-0.06729013281</v>
      </c>
    </row>
    <row r="7175" ht="14.25" customHeight="1">
      <c r="A7175" s="2" t="s">
        <v>271</v>
      </c>
      <c r="B7175" s="2" t="s">
        <v>272</v>
      </c>
      <c r="C7175" s="2">
        <v>2012.0</v>
      </c>
      <c r="D7175" s="9">
        <v>22516.06</v>
      </c>
      <c r="E7175" s="10" t="str">
        <f t="array" ref="E7175">IFS(D7175&lt;=$G$3,'calculated data '!$A$3,D7175&lt;=$G$4,'calculated data '!$A$4,D7175&lt;=$G$6,'calculated data '!$A$5,D7175&gt;=$G$6,'calculated data '!$A$6)</f>
        <v>Target Market (Core IQR)</v>
      </c>
      <c r="F7175" s="10">
        <f t="shared" si="1"/>
        <v>-0.06717697462</v>
      </c>
    </row>
    <row r="7176" ht="14.25" customHeight="1">
      <c r="A7176" s="2" t="s">
        <v>359</v>
      </c>
      <c r="B7176" s="2" t="s">
        <v>360</v>
      </c>
      <c r="C7176" s="2">
        <v>1995.0</v>
      </c>
      <c r="D7176" s="9">
        <v>22517.328</v>
      </c>
      <c r="E7176" s="10" t="str">
        <f t="array" ref="E7176">IFS(D7176&lt;=$G$3,'calculated data '!$A$3,D7176&lt;=$G$4,'calculated data '!$A$4,D7176&lt;=$G$6,'calculated data '!$A$5,D7176&gt;=$G$6,'calculated data '!$A$6)</f>
        <v>Target Market (Core IQR)</v>
      </c>
      <c r="F7176" s="10">
        <f t="shared" si="1"/>
        <v>-0.06714341098</v>
      </c>
    </row>
    <row r="7177" ht="14.25" customHeight="1">
      <c r="A7177" s="2" t="s">
        <v>363</v>
      </c>
      <c r="B7177" s="2" t="s">
        <v>364</v>
      </c>
      <c r="C7177" s="2">
        <v>1993.0</v>
      </c>
      <c r="D7177" s="9">
        <v>22517.51</v>
      </c>
      <c r="E7177" s="10" t="str">
        <f t="array" ref="E7177">IFS(D7177&lt;=$G$3,'calculated data '!$A$3,D7177&lt;=$G$4,'calculated data '!$A$4,D7177&lt;=$G$6,'calculated data '!$A$5,D7177&gt;=$G$6,'calculated data '!$A$6)</f>
        <v>Target Market (Core IQR)</v>
      </c>
      <c r="F7177" s="10">
        <f t="shared" si="1"/>
        <v>-0.06713859349</v>
      </c>
    </row>
    <row r="7178" ht="14.25" customHeight="1">
      <c r="A7178" s="2" t="s">
        <v>377</v>
      </c>
      <c r="B7178" s="2" t="s">
        <v>378</v>
      </c>
      <c r="C7178" s="2">
        <v>2022.0</v>
      </c>
      <c r="D7178" s="9">
        <v>22552.434</v>
      </c>
      <c r="E7178" s="10" t="str">
        <f t="array" ref="E7178">IFS(D7178&lt;=$G$3,'calculated data '!$A$3,D7178&lt;=$G$4,'calculated data '!$A$4,D7178&lt;=$G$6,'calculated data '!$A$5,D7178&gt;=$G$6,'calculated data '!$A$6)</f>
        <v>Target Market (Core IQR)</v>
      </c>
      <c r="F7178" s="10">
        <f t="shared" si="1"/>
        <v>-0.0662141639</v>
      </c>
    </row>
    <row r="7179" ht="14.25" customHeight="1">
      <c r="A7179" s="2" t="s">
        <v>361</v>
      </c>
      <c r="B7179" s="2" t="s">
        <v>362</v>
      </c>
      <c r="C7179" s="2">
        <v>2008.0</v>
      </c>
      <c r="D7179" s="9">
        <v>22557.344</v>
      </c>
      <c r="E7179" s="10" t="str">
        <f t="array" ref="E7179">IFS(D7179&lt;=$G$3,'calculated data '!$A$3,D7179&lt;=$G$4,'calculated data '!$A$4,D7179&lt;=$G$6,'calculated data '!$A$5,D7179&gt;=$G$6,'calculated data '!$A$6)</f>
        <v>Target Market (Core IQR)</v>
      </c>
      <c r="F7179" s="10">
        <f t="shared" si="1"/>
        <v>-0.06608419743</v>
      </c>
    </row>
    <row r="7180" ht="14.25" customHeight="1">
      <c r="A7180" s="2" t="s">
        <v>335</v>
      </c>
      <c r="B7180" s="2" t="s">
        <v>336</v>
      </c>
      <c r="C7180" s="2">
        <v>1981.0</v>
      </c>
      <c r="D7180" s="9">
        <v>22559.957</v>
      </c>
      <c r="E7180" s="10" t="str">
        <f t="array" ref="E7180">IFS(D7180&lt;=$G$3,'calculated data '!$A$3,D7180&lt;=$G$4,'calculated data '!$A$4,D7180&lt;=$G$6,'calculated data '!$A$5,D7180&gt;=$G$6,'calculated data '!$A$6)</f>
        <v>Target Market (Core IQR)</v>
      </c>
      <c r="F7180" s="10">
        <f t="shared" si="1"/>
        <v>-0.06601503197</v>
      </c>
    </row>
    <row r="7181" ht="14.25" customHeight="1">
      <c r="A7181" s="2" t="s">
        <v>379</v>
      </c>
      <c r="B7181" s="2" t="s">
        <v>380</v>
      </c>
      <c r="C7181" s="2">
        <v>1974.0</v>
      </c>
      <c r="D7181" s="9">
        <v>22569.314</v>
      </c>
      <c r="E7181" s="10" t="str">
        <f t="array" ref="E7181">IFS(D7181&lt;=$G$3,'calculated data '!$A$3,D7181&lt;=$G$4,'calculated data '!$A$4,D7181&lt;=$G$6,'calculated data '!$A$5,D7181&gt;=$G$6,'calculated data '!$A$6)</f>
        <v>Target Market (Core IQR)</v>
      </c>
      <c r="F7181" s="10">
        <f t="shared" si="1"/>
        <v>-0.06576735451</v>
      </c>
    </row>
    <row r="7182" ht="14.25" customHeight="1">
      <c r="A7182" s="2" t="s">
        <v>28</v>
      </c>
      <c r="B7182" s="2" t="s">
        <v>29</v>
      </c>
      <c r="C7182" s="2">
        <v>1982.0</v>
      </c>
      <c r="D7182" s="9">
        <v>22572.486</v>
      </c>
      <c r="E7182" s="10" t="str">
        <f t="array" ref="E7182">IFS(D7182&lt;=$G$3,'calculated data '!$A$3,D7182&lt;=$G$4,'calculated data '!$A$4,D7182&lt;=$G$6,'calculated data '!$A$5,D7182&gt;=$G$6,'calculated data '!$A$6)</f>
        <v>Target Market (Core IQR)</v>
      </c>
      <c r="F7182" s="10">
        <f t="shared" si="1"/>
        <v>-0.06568339246</v>
      </c>
    </row>
    <row r="7183" ht="14.25" customHeight="1">
      <c r="A7183" s="2" t="s">
        <v>373</v>
      </c>
      <c r="B7183" s="2" t="s">
        <v>374</v>
      </c>
      <c r="C7183" s="2">
        <v>1992.0</v>
      </c>
      <c r="D7183" s="9">
        <v>22578.002</v>
      </c>
      <c r="E7183" s="10" t="str">
        <f t="array" ref="E7183">IFS(D7183&lt;=$G$3,'calculated data '!$A$3,D7183&lt;=$G$4,'calculated data '!$A$4,D7183&lt;=$G$6,'calculated data '!$A$5,D7183&gt;=$G$6,'calculated data '!$A$6)</f>
        <v>Target Market (Core IQR)</v>
      </c>
      <c r="F7183" s="10">
        <f t="shared" si="1"/>
        <v>-0.06553738531</v>
      </c>
    </row>
    <row r="7184" ht="14.25" customHeight="1">
      <c r="A7184" s="2" t="s">
        <v>335</v>
      </c>
      <c r="B7184" s="2" t="s">
        <v>336</v>
      </c>
      <c r="C7184" s="2">
        <v>1983.0</v>
      </c>
      <c r="D7184" s="9">
        <v>22586.516</v>
      </c>
      <c r="E7184" s="10" t="str">
        <f t="array" ref="E7184">IFS(D7184&lt;=$G$3,'calculated data '!$A$3,D7184&lt;=$G$4,'calculated data '!$A$4,D7184&lt;=$G$6,'calculated data '!$A$5,D7184&gt;=$G$6,'calculated data '!$A$6)</f>
        <v>Target Market (Core IQR)</v>
      </c>
      <c r="F7184" s="10">
        <f t="shared" si="1"/>
        <v>-0.06531202185</v>
      </c>
    </row>
    <row r="7185" ht="14.25" customHeight="1">
      <c r="A7185" s="2" t="s">
        <v>197</v>
      </c>
      <c r="B7185" s="2" t="s">
        <v>198</v>
      </c>
      <c r="C7185" s="2">
        <v>2012.0</v>
      </c>
      <c r="D7185" s="9">
        <v>22599.025</v>
      </c>
      <c r="E7185" s="10" t="str">
        <f t="array" ref="E7185">IFS(D7185&lt;=$G$3,'calculated data '!$A$3,D7185&lt;=$G$4,'calculated data '!$A$4,D7185&lt;=$G$6,'calculated data '!$A$5,D7185&gt;=$G$6,'calculated data '!$A$6)</f>
        <v>Target Market (Core IQR)</v>
      </c>
      <c r="F7185" s="10">
        <f t="shared" si="1"/>
        <v>-0.06498091174</v>
      </c>
    </row>
    <row r="7186" ht="14.25" customHeight="1">
      <c r="A7186" s="2" t="s">
        <v>39</v>
      </c>
      <c r="B7186" s="2" t="s">
        <v>40</v>
      </c>
      <c r="C7186" s="2">
        <v>2001.0</v>
      </c>
      <c r="D7186" s="9">
        <v>22636.342</v>
      </c>
      <c r="E7186" s="10" t="str">
        <f t="array" ref="E7186">IFS(D7186&lt;=$G$3,'calculated data '!$A$3,D7186&lt;=$G$4,'calculated data '!$A$4,D7186&lt;=$G$6,'calculated data '!$A$5,D7186&gt;=$G$6,'calculated data '!$A$6)</f>
        <v>Target Market (Core IQR)</v>
      </c>
      <c r="F7186" s="10">
        <f t="shared" si="1"/>
        <v>-0.06399314004</v>
      </c>
    </row>
    <row r="7187" ht="14.25" customHeight="1">
      <c r="A7187" s="2" t="s">
        <v>379</v>
      </c>
      <c r="B7187" s="2" t="s">
        <v>380</v>
      </c>
      <c r="C7187" s="2">
        <v>1975.0</v>
      </c>
      <c r="D7187" s="9">
        <v>22645.977</v>
      </c>
      <c r="E7187" s="10" t="str">
        <f t="array" ref="E7187">IFS(D7187&lt;=$G$3,'calculated data '!$A$3,D7187&lt;=$G$4,'calculated data '!$A$4,D7187&lt;=$G$6,'calculated data '!$A$5,D7187&gt;=$G$6,'calculated data '!$A$6)</f>
        <v>Target Market (Core IQR)</v>
      </c>
      <c r="F7187" s="10">
        <f t="shared" si="1"/>
        <v>-0.06373810399</v>
      </c>
    </row>
    <row r="7188" ht="14.25" customHeight="1">
      <c r="A7188" s="2" t="s">
        <v>379</v>
      </c>
      <c r="B7188" s="2" t="s">
        <v>380</v>
      </c>
      <c r="C7188" s="2">
        <v>1976.0</v>
      </c>
      <c r="D7188" s="9">
        <v>22669.367</v>
      </c>
      <c r="E7188" s="10" t="str">
        <f t="array" ref="E7188">IFS(D7188&lt;=$G$3,'calculated data '!$A$3,D7188&lt;=$G$4,'calculated data '!$A$4,D7188&lt;=$G$6,'calculated data '!$A$5,D7188&gt;=$G$6,'calculated data '!$A$6)</f>
        <v>Target Market (Core IQR)</v>
      </c>
      <c r="F7188" s="10">
        <f t="shared" si="1"/>
        <v>-0.06311897652</v>
      </c>
    </row>
    <row r="7189" ht="14.25" customHeight="1">
      <c r="A7189" s="2" t="s">
        <v>367</v>
      </c>
      <c r="B7189" s="2" t="s">
        <v>368</v>
      </c>
      <c r="C7189" s="2">
        <v>2018.0</v>
      </c>
      <c r="D7189" s="9">
        <v>22671.338</v>
      </c>
      <c r="E7189" s="10" t="str">
        <f t="array" ref="E7189">IFS(D7189&lt;=$G$3,'calculated data '!$A$3,D7189&lt;=$G$4,'calculated data '!$A$4,D7189&lt;=$G$6,'calculated data '!$A$5,D7189&gt;=$G$6,'calculated data '!$A$6)</f>
        <v>Target Market (Core IQR)</v>
      </c>
      <c r="F7189" s="10">
        <f t="shared" si="1"/>
        <v>-0.06306680464</v>
      </c>
    </row>
    <row r="7190" ht="14.25" customHeight="1">
      <c r="A7190" s="2" t="s">
        <v>319</v>
      </c>
      <c r="B7190" s="2" t="s">
        <v>320</v>
      </c>
      <c r="C7190" s="2">
        <v>2023.0</v>
      </c>
      <c r="D7190" s="9">
        <v>22673.855</v>
      </c>
      <c r="E7190" s="10" t="str">
        <f t="array" ref="E7190">IFS(D7190&lt;=$G$3,'calculated data '!$A$3,D7190&lt;=$G$4,'calculated data '!$A$4,D7190&lt;=$G$6,'calculated data '!$A$5,D7190&gt;=$G$6,'calculated data '!$A$6)</f>
        <v>Target Market (Core IQR)</v>
      </c>
      <c r="F7190" s="10">
        <f t="shared" si="1"/>
        <v>-0.06300018028</v>
      </c>
    </row>
    <row r="7191" ht="14.25" customHeight="1">
      <c r="A7191" s="2" t="s">
        <v>405</v>
      </c>
      <c r="B7191" s="2" t="s">
        <v>406</v>
      </c>
      <c r="C7191" s="2">
        <v>2007.0</v>
      </c>
      <c r="D7191" s="9">
        <v>22675.703</v>
      </c>
      <c r="E7191" s="10" t="str">
        <f t="array" ref="E7191">IFS(D7191&lt;=$G$3,'calculated data '!$A$3,D7191&lt;=$G$4,'calculated data '!$A$4,D7191&lt;=$G$6,'calculated data '!$A$5,D7191&gt;=$G$6,'calculated data '!$A$6)</f>
        <v>Target Market (Core IQR)</v>
      </c>
      <c r="F7191" s="10">
        <f t="shared" si="1"/>
        <v>-0.06295126418</v>
      </c>
    </row>
    <row r="7192" ht="14.25" customHeight="1">
      <c r="A7192" s="2" t="s">
        <v>335</v>
      </c>
      <c r="B7192" s="2" t="s">
        <v>336</v>
      </c>
      <c r="C7192" s="2">
        <v>1984.0</v>
      </c>
      <c r="D7192" s="9">
        <v>22694.84</v>
      </c>
      <c r="E7192" s="10" t="str">
        <f t="array" ref="E7192">IFS(D7192&lt;=$G$3,'calculated data '!$A$3,D7192&lt;=$G$4,'calculated data '!$A$4,D7192&lt;=$G$6,'calculated data '!$A$5,D7192&gt;=$G$6,'calculated data '!$A$6)</f>
        <v>Target Market (Core IQR)</v>
      </c>
      <c r="F7192" s="10">
        <f t="shared" si="1"/>
        <v>-0.06244471255</v>
      </c>
    </row>
    <row r="7193" ht="14.25" customHeight="1">
      <c r="A7193" s="2" t="s">
        <v>393</v>
      </c>
      <c r="B7193" s="2" t="s">
        <v>394</v>
      </c>
      <c r="C7193" s="2">
        <v>2000.0</v>
      </c>
      <c r="D7193" s="9">
        <v>22699.54</v>
      </c>
      <c r="E7193" s="10" t="str">
        <f t="array" ref="E7193">IFS(D7193&lt;=$G$3,'calculated data '!$A$3,D7193&lt;=$G$4,'calculated data '!$A$4,D7193&lt;=$G$6,'calculated data '!$A$5,D7193&gt;=$G$6,'calculated data '!$A$6)</f>
        <v>Target Market (Core IQR)</v>
      </c>
      <c r="F7193" s="10">
        <f t="shared" si="1"/>
        <v>-0.06232030472</v>
      </c>
    </row>
    <row r="7194" ht="14.25" customHeight="1">
      <c r="A7194" s="2" t="s">
        <v>317</v>
      </c>
      <c r="B7194" s="2" t="s">
        <v>318</v>
      </c>
      <c r="C7194" s="2">
        <v>2024.0</v>
      </c>
      <c r="D7194" s="9">
        <v>22711.756</v>
      </c>
      <c r="E7194" s="10" t="str">
        <f t="array" ref="E7194">IFS(D7194&lt;=$G$3,'calculated data '!$A$3,D7194&lt;=$G$4,'calculated data '!$A$4,D7194&lt;=$G$6,'calculated data '!$A$5,D7194&gt;=$G$6,'calculated data '!$A$6)</f>
        <v>Target Market (Core IQR)</v>
      </c>
      <c r="F7194" s="10">
        <f t="shared" si="1"/>
        <v>-0.06199695025</v>
      </c>
    </row>
    <row r="7195" ht="14.25" customHeight="1">
      <c r="A7195" s="2" t="s">
        <v>71</v>
      </c>
      <c r="B7195" s="2" t="s">
        <v>72</v>
      </c>
      <c r="C7195" s="2">
        <v>1971.0</v>
      </c>
      <c r="D7195" s="9">
        <v>22714.63</v>
      </c>
      <c r="E7195" s="10" t="str">
        <f t="array" ref="E7195">IFS(D7195&lt;=$G$3,'calculated data '!$A$3,D7195&lt;=$G$4,'calculated data '!$A$4,D7195&lt;=$G$6,'calculated data '!$A$5,D7195&gt;=$G$6,'calculated data '!$A$6)</f>
        <v>Target Market (Core IQR)</v>
      </c>
      <c r="F7195" s="10">
        <f t="shared" si="1"/>
        <v>-0.06192087618</v>
      </c>
    </row>
    <row r="7196" ht="14.25" customHeight="1">
      <c r="A7196" s="2" t="s">
        <v>31</v>
      </c>
      <c r="B7196" s="2" t="s">
        <v>32</v>
      </c>
      <c r="C7196" s="2">
        <v>2003.0</v>
      </c>
      <c r="D7196" s="9">
        <v>22729.848</v>
      </c>
      <c r="E7196" s="10" t="str">
        <f t="array" ref="E7196">IFS(D7196&lt;=$G$3,'calculated data '!$A$3,D7196&lt;=$G$4,'calculated data '!$A$4,D7196&lt;=$G$6,'calculated data '!$A$5,D7196&gt;=$G$6,'calculated data '!$A$6)</f>
        <v>Target Market (Core IQR)</v>
      </c>
      <c r="F7196" s="10">
        <f t="shared" si="1"/>
        <v>-0.06151805951</v>
      </c>
    </row>
    <row r="7197" ht="14.25" customHeight="1">
      <c r="A7197" s="2" t="s">
        <v>267</v>
      </c>
      <c r="B7197" s="2" t="s">
        <v>268</v>
      </c>
      <c r="C7197" s="2">
        <v>2020.0</v>
      </c>
      <c r="D7197" s="9">
        <v>22780.908</v>
      </c>
      <c r="E7197" s="10" t="str">
        <f t="array" ref="E7197">IFS(D7197&lt;=$G$3,'calculated data '!$A$3,D7197&lt;=$G$4,'calculated data '!$A$4,D7197&lt;=$G$6,'calculated data '!$A$5,D7197&gt;=$G$6,'calculated data '!$A$6)</f>
        <v>Target Market (Core IQR)</v>
      </c>
      <c r="F7197" s="10">
        <f t="shared" si="1"/>
        <v>-0.06016651403</v>
      </c>
    </row>
    <row r="7198" ht="14.25" customHeight="1">
      <c r="A7198" s="2" t="s">
        <v>403</v>
      </c>
      <c r="B7198" s="2" t="s">
        <v>404</v>
      </c>
      <c r="C7198" s="2">
        <v>1982.0</v>
      </c>
      <c r="D7198" s="9">
        <v>22781.215</v>
      </c>
      <c r="E7198" s="10" t="str">
        <f t="array" ref="E7198">IFS(D7198&lt;=$G$3,'calculated data '!$A$3,D7198&lt;=$G$4,'calculated data '!$A$4,D7198&lt;=$G$6,'calculated data '!$A$5,D7198&gt;=$G$6,'calculated data '!$A$6)</f>
        <v>Target Market (Core IQR)</v>
      </c>
      <c r="F7198" s="10">
        <f t="shared" si="1"/>
        <v>-0.06015838782</v>
      </c>
    </row>
    <row r="7199" ht="14.25" customHeight="1">
      <c r="A7199" s="2" t="s">
        <v>271</v>
      </c>
      <c r="B7199" s="2" t="s">
        <v>272</v>
      </c>
      <c r="C7199" s="2">
        <v>1995.0</v>
      </c>
      <c r="D7199" s="9">
        <v>22787.021</v>
      </c>
      <c r="E7199" s="10" t="str">
        <f t="array" ref="E7199">IFS(D7199&lt;=$G$3,'calculated data '!$A$3,D7199&lt;=$G$4,'calculated data '!$A$4,D7199&lt;=$G$6,'calculated data '!$A$5,D7199&gt;=$G$6,'calculated data '!$A$6)</f>
        <v>Target Market (Core IQR)</v>
      </c>
      <c r="F7199" s="10">
        <f t="shared" si="1"/>
        <v>-0.06000470444</v>
      </c>
    </row>
    <row r="7200" ht="14.25" customHeight="1">
      <c r="A7200" s="2" t="s">
        <v>371</v>
      </c>
      <c r="B7200" s="2" t="s">
        <v>372</v>
      </c>
      <c r="C7200" s="2">
        <v>1969.0</v>
      </c>
      <c r="D7200" s="9">
        <v>22793.574</v>
      </c>
      <c r="E7200" s="10" t="str">
        <f t="array" ref="E7200">IFS(D7200&lt;=$G$3,'calculated data '!$A$3,D7200&lt;=$G$4,'calculated data '!$A$4,D7200&lt;=$G$6,'calculated data '!$A$5,D7200&gt;=$G$6,'calculated data '!$A$6)</f>
        <v>Target Market (Core IQR)</v>
      </c>
      <c r="F7200" s="10">
        <f t="shared" si="1"/>
        <v>-0.05983124816</v>
      </c>
    </row>
    <row r="7201" ht="14.25" customHeight="1">
      <c r="A7201" s="2" t="s">
        <v>403</v>
      </c>
      <c r="B7201" s="2" t="s">
        <v>404</v>
      </c>
      <c r="C7201" s="2">
        <v>1981.0</v>
      </c>
      <c r="D7201" s="9">
        <v>22801.305</v>
      </c>
      <c r="E7201" s="10" t="str">
        <f t="array" ref="E7201">IFS(D7201&lt;=$G$3,'calculated data '!$A$3,D7201&lt;=$G$4,'calculated data '!$A$4,D7201&lt;=$G$6,'calculated data '!$A$5,D7201&gt;=$G$6,'calculated data '!$A$6)</f>
        <v>Target Market (Core IQR)</v>
      </c>
      <c r="F7201" s="10">
        <f t="shared" si="1"/>
        <v>-0.05962661052</v>
      </c>
    </row>
    <row r="7202" ht="14.25" customHeight="1">
      <c r="A7202" s="2" t="s">
        <v>403</v>
      </c>
      <c r="B7202" s="2" t="s">
        <v>404</v>
      </c>
      <c r="C7202" s="2">
        <v>1983.0</v>
      </c>
      <c r="D7202" s="9">
        <v>22801.305</v>
      </c>
      <c r="E7202" s="10" t="str">
        <f t="array" ref="E7202">IFS(D7202&lt;=$G$3,'calculated data '!$A$3,D7202&lt;=$G$4,'calculated data '!$A$4,D7202&lt;=$G$6,'calculated data '!$A$5,D7202&gt;=$G$6,'calculated data '!$A$6)</f>
        <v>Target Market (Core IQR)</v>
      </c>
      <c r="F7202" s="10">
        <f t="shared" si="1"/>
        <v>-0.05962661052</v>
      </c>
    </row>
    <row r="7203" ht="14.25" customHeight="1">
      <c r="A7203" s="2" t="s">
        <v>359</v>
      </c>
      <c r="B7203" s="2" t="s">
        <v>360</v>
      </c>
      <c r="C7203" s="2">
        <v>1972.0</v>
      </c>
      <c r="D7203" s="9">
        <v>22811.604</v>
      </c>
      <c r="E7203" s="10" t="str">
        <f t="array" ref="E7203">IFS(D7203&lt;=$G$3,'calculated data '!$A$3,D7203&lt;=$G$4,'calculated data '!$A$4,D7203&lt;=$G$6,'calculated data '!$A$5,D7203&gt;=$G$6,'calculated data '!$A$6)</f>
        <v>Target Market (Core IQR)</v>
      </c>
      <c r="F7203" s="10">
        <f t="shared" si="1"/>
        <v>-0.05935399855</v>
      </c>
    </row>
    <row r="7204" ht="14.25" customHeight="1">
      <c r="A7204" s="2" t="s">
        <v>311</v>
      </c>
      <c r="B7204" s="2" t="s">
        <v>312</v>
      </c>
      <c r="C7204" s="2">
        <v>2021.0</v>
      </c>
      <c r="D7204" s="9">
        <v>22827.03</v>
      </c>
      <c r="E7204" s="10" t="str">
        <f t="array" ref="E7204">IFS(D7204&lt;=$G$3,'calculated data '!$A$3,D7204&lt;=$G$4,'calculated data '!$A$4,D7204&lt;=$G$6,'calculated data '!$A$5,D7204&gt;=$G$6,'calculated data '!$A$6)</f>
        <v>Target Market (Core IQR)</v>
      </c>
      <c r="F7204" s="10">
        <f t="shared" si="1"/>
        <v>-0.05894567618</v>
      </c>
    </row>
    <row r="7205" ht="14.25" customHeight="1">
      <c r="A7205" s="2" t="s">
        <v>28</v>
      </c>
      <c r="B7205" s="2" t="s">
        <v>29</v>
      </c>
      <c r="C7205" s="2">
        <v>1980.0</v>
      </c>
      <c r="D7205" s="9">
        <v>22827.504</v>
      </c>
      <c r="E7205" s="10" t="str">
        <f t="array" ref="E7205">IFS(D7205&lt;=$G$3,'calculated data '!$A$3,D7205&lt;=$G$4,'calculated data '!$A$4,D7205&lt;=$G$6,'calculated data '!$A$5,D7205&gt;=$G$6,'calculated data '!$A$6)</f>
        <v>Target Market (Core IQR)</v>
      </c>
      <c r="F7205" s="10">
        <f t="shared" si="1"/>
        <v>-0.05893312951</v>
      </c>
    </row>
    <row r="7206" ht="14.25" customHeight="1">
      <c r="A7206" s="2" t="s">
        <v>271</v>
      </c>
      <c r="B7206" s="2" t="s">
        <v>272</v>
      </c>
      <c r="C7206" s="2">
        <v>1997.0</v>
      </c>
      <c r="D7206" s="9">
        <v>22832.615</v>
      </c>
      <c r="E7206" s="10" t="str">
        <f t="array" ref="E7206">IFS(D7206&lt;=$G$3,'calculated data '!$A$3,D7206&lt;=$G$4,'calculated data '!$A$4,D7206&lt;=$G$6,'calculated data '!$A$5,D7206&gt;=$G$6,'calculated data '!$A$6)</f>
        <v>Target Market (Core IQR)</v>
      </c>
      <c r="F7206" s="10">
        <f t="shared" si="1"/>
        <v>-0.05879784262</v>
      </c>
    </row>
    <row r="7207" ht="14.25" customHeight="1">
      <c r="A7207" s="2" t="s">
        <v>403</v>
      </c>
      <c r="B7207" s="2" t="s">
        <v>404</v>
      </c>
      <c r="C7207" s="2">
        <v>1980.0</v>
      </c>
      <c r="D7207" s="9">
        <v>22833.568</v>
      </c>
      <c r="E7207" s="10" t="str">
        <f t="array" ref="E7207">IFS(D7207&lt;=$G$3,'calculated data '!$A$3,D7207&lt;=$G$4,'calculated data '!$A$4,D7207&lt;=$G$6,'calculated data '!$A$5,D7207&gt;=$G$6,'calculated data '!$A$6)</f>
        <v>Target Market (Core IQR)</v>
      </c>
      <c r="F7207" s="10">
        <f t="shared" si="1"/>
        <v>-0.05877261694</v>
      </c>
    </row>
    <row r="7208" ht="14.25" customHeight="1">
      <c r="A7208" s="2" t="s">
        <v>285</v>
      </c>
      <c r="B7208" s="2" t="s">
        <v>286</v>
      </c>
      <c r="C7208" s="2">
        <v>2003.0</v>
      </c>
      <c r="D7208" s="9">
        <v>22837.088</v>
      </c>
      <c r="E7208" s="10" t="str">
        <f t="array" ref="E7208">IFS(D7208&lt;=$G$3,'calculated data '!$A$3,D7208&lt;=$G$4,'calculated data '!$A$4,D7208&lt;=$G$6,'calculated data '!$A$5,D7208&gt;=$G$6,'calculated data '!$A$6)</f>
        <v>Target Market (Core IQR)</v>
      </c>
      <c r="F7208" s="10">
        <f t="shared" si="1"/>
        <v>-0.05867944342</v>
      </c>
    </row>
    <row r="7209" ht="14.25" customHeight="1">
      <c r="A7209" s="2" t="s">
        <v>319</v>
      </c>
      <c r="B7209" s="2" t="s">
        <v>320</v>
      </c>
      <c r="C7209" s="2">
        <v>2022.0</v>
      </c>
      <c r="D7209" s="9">
        <v>22877.81</v>
      </c>
      <c r="E7209" s="10" t="str">
        <f t="array" ref="E7209">IFS(D7209&lt;=$G$3,'calculated data '!$A$3,D7209&lt;=$G$4,'calculated data '!$A$4,D7209&lt;=$G$6,'calculated data '!$A$5,D7209&gt;=$G$6,'calculated data '!$A$6)</f>
        <v>Target Market (Core IQR)</v>
      </c>
      <c r="F7209" s="10">
        <f t="shared" si="1"/>
        <v>-0.05760154222</v>
      </c>
    </row>
    <row r="7210" ht="14.25" customHeight="1">
      <c r="A7210" s="2" t="s">
        <v>47</v>
      </c>
      <c r="B7210" s="2" t="s">
        <v>48</v>
      </c>
      <c r="C7210" s="2">
        <v>2013.0</v>
      </c>
      <c r="D7210" s="9">
        <v>22879.973</v>
      </c>
      <c r="E7210" s="10" t="str">
        <f t="array" ref="E7210">IFS(D7210&lt;=$G$3,'calculated data '!$A$3,D7210&lt;=$G$4,'calculated data '!$A$4,D7210&lt;=$G$6,'calculated data '!$A$5,D7210&gt;=$G$6,'calculated data '!$A$6)</f>
        <v>Target Market (Core IQR)</v>
      </c>
      <c r="F7210" s="10">
        <f t="shared" si="1"/>
        <v>-0.05754428815</v>
      </c>
    </row>
    <row r="7211" ht="14.25" customHeight="1">
      <c r="A7211" s="2" t="s">
        <v>403</v>
      </c>
      <c r="B7211" s="2" t="s">
        <v>404</v>
      </c>
      <c r="C7211" s="2">
        <v>1984.0</v>
      </c>
      <c r="D7211" s="9">
        <v>22894.055</v>
      </c>
      <c r="E7211" s="10" t="str">
        <f t="array" ref="E7211">IFS(D7211&lt;=$G$3,'calculated data '!$A$3,D7211&lt;=$G$4,'calculated data '!$A$4,D7211&lt;=$G$6,'calculated data '!$A$5,D7211&gt;=$G$6,'calculated data '!$A$6)</f>
        <v>Target Market (Core IQR)</v>
      </c>
      <c r="F7211" s="10">
        <f t="shared" si="1"/>
        <v>-0.05717154112</v>
      </c>
    </row>
    <row r="7212" ht="14.25" customHeight="1">
      <c r="A7212" s="2" t="s">
        <v>319</v>
      </c>
      <c r="B7212" s="2" t="s">
        <v>320</v>
      </c>
      <c r="C7212" s="2">
        <v>1987.0</v>
      </c>
      <c r="D7212" s="9">
        <v>22894.695</v>
      </c>
      <c r="E7212" s="10" t="str">
        <f t="array" ref="E7212">IFS(D7212&lt;=$G$3,'calculated data '!$A$3,D7212&lt;=$G$4,'calculated data '!$A$4,D7212&lt;=$G$6,'calculated data '!$A$5,D7212&gt;=$G$6,'calculated data '!$A$6)</f>
        <v>Target Market (Core IQR)</v>
      </c>
      <c r="F7212" s="10">
        <f t="shared" si="1"/>
        <v>-0.05715460048</v>
      </c>
    </row>
    <row r="7213" ht="14.25" customHeight="1">
      <c r="A7213" s="2" t="s">
        <v>407</v>
      </c>
      <c r="B7213" s="2" t="s">
        <v>408</v>
      </c>
      <c r="C7213" s="2">
        <v>2000.0</v>
      </c>
      <c r="D7213" s="9">
        <v>22902.184</v>
      </c>
      <c r="E7213" s="10" t="str">
        <f t="array" ref="E7213">IFS(D7213&lt;=$G$3,'calculated data '!$A$3,D7213&lt;=$G$4,'calculated data '!$A$4,D7213&lt;=$G$6,'calculated data '!$A$5,D7213&gt;=$G$6,'calculated data '!$A$6)</f>
        <v>Target Market (Core IQR)</v>
      </c>
      <c r="F7213" s="10">
        <f t="shared" si="1"/>
        <v>-0.05695636851</v>
      </c>
    </row>
    <row r="7214" ht="14.25" customHeight="1">
      <c r="A7214" s="2" t="s">
        <v>409</v>
      </c>
      <c r="B7214" s="2" t="s">
        <v>410</v>
      </c>
      <c r="C7214" s="2">
        <v>1965.0</v>
      </c>
      <c r="D7214" s="9">
        <v>22908.45</v>
      </c>
      <c r="E7214" s="10" t="str">
        <f t="array" ref="E7214">IFS(D7214&lt;=$G$3,'calculated data '!$A$3,D7214&lt;=$G$4,'calculated data '!$A$4,D7214&lt;=$G$6,'calculated data '!$A$5,D7214&gt;=$G$6,'calculated data '!$A$6)</f>
        <v>Target Market (Core IQR)</v>
      </c>
      <c r="F7214" s="10">
        <f t="shared" si="1"/>
        <v>-0.05679050905</v>
      </c>
    </row>
    <row r="7215" ht="14.25" customHeight="1">
      <c r="A7215" s="2" t="s">
        <v>341</v>
      </c>
      <c r="B7215" s="2" t="s">
        <v>342</v>
      </c>
      <c r="C7215" s="2">
        <v>2011.0</v>
      </c>
      <c r="D7215" s="9">
        <v>22911.555</v>
      </c>
      <c r="E7215" s="10" t="str">
        <f t="array" ref="E7215">IFS(D7215&lt;=$G$3,'calculated data '!$A$3,D7215&lt;=$G$4,'calculated data '!$A$4,D7215&lt;=$G$6,'calculated data '!$A$5,D7215&gt;=$G$6,'calculated data '!$A$6)</f>
        <v>Target Market (Core IQR)</v>
      </c>
      <c r="F7215" s="10">
        <f t="shared" si="1"/>
        <v>-0.05670832048</v>
      </c>
    </row>
    <row r="7216" ht="14.25" customHeight="1">
      <c r="A7216" s="2" t="s">
        <v>359</v>
      </c>
      <c r="B7216" s="2" t="s">
        <v>360</v>
      </c>
      <c r="C7216" s="2">
        <v>1992.0</v>
      </c>
      <c r="D7216" s="9">
        <v>22917.986</v>
      </c>
      <c r="E7216" s="10" t="str">
        <f t="array" ref="E7216">IFS(D7216&lt;=$G$3,'calculated data '!$A$3,D7216&lt;=$G$4,'calculated data '!$A$4,D7216&lt;=$G$6,'calculated data '!$A$5,D7216&gt;=$G$6,'calculated data '!$A$6)</f>
        <v>Target Market (Core IQR)</v>
      </c>
      <c r="F7216" s="10">
        <f t="shared" si="1"/>
        <v>-0.05653809351</v>
      </c>
    </row>
    <row r="7217" ht="14.25" customHeight="1">
      <c r="A7217" s="2" t="s">
        <v>249</v>
      </c>
      <c r="B7217" s="2" t="s">
        <v>250</v>
      </c>
      <c r="C7217" s="2">
        <v>1999.0</v>
      </c>
      <c r="D7217" s="9">
        <v>22939.031</v>
      </c>
      <c r="E7217" s="10" t="str">
        <f t="array" ref="E7217">IFS(D7217&lt;=$G$3,'calculated data '!$A$3,D7217&lt;=$G$4,'calculated data '!$A$4,D7217&lt;=$G$6,'calculated data '!$A$5,D7217&gt;=$G$6,'calculated data '!$A$6)</f>
        <v>Target Market (Core IQR)</v>
      </c>
      <c r="F7217" s="10">
        <f t="shared" si="1"/>
        <v>-0.0559810376</v>
      </c>
    </row>
    <row r="7218" ht="14.25" customHeight="1">
      <c r="A7218" s="2" t="s">
        <v>393</v>
      </c>
      <c r="B7218" s="2" t="s">
        <v>394</v>
      </c>
      <c r="C7218" s="2">
        <v>2024.0</v>
      </c>
      <c r="D7218" s="9">
        <v>22972.746</v>
      </c>
      <c r="E7218" s="10" t="str">
        <f t="array" ref="E7218">IFS(D7218&lt;=$G$3,'calculated data '!$A$3,D7218&lt;=$G$4,'calculated data '!$A$4,D7218&lt;=$G$6,'calculated data '!$A$5,D7218&gt;=$G$6,'calculated data '!$A$6)</f>
        <v>Target Market (Core IQR)</v>
      </c>
      <c r="F7218" s="10">
        <f t="shared" si="1"/>
        <v>-0.05508860995</v>
      </c>
    </row>
    <row r="7219" ht="14.25" customHeight="1">
      <c r="A7219" s="2" t="s">
        <v>311</v>
      </c>
      <c r="B7219" s="2" t="s">
        <v>312</v>
      </c>
      <c r="C7219" s="2">
        <v>2011.0</v>
      </c>
      <c r="D7219" s="9">
        <v>22989.076</v>
      </c>
      <c r="E7219" s="10" t="str">
        <f t="array" ref="E7219">IFS(D7219&lt;=$G$3,'calculated data '!$A$3,D7219&lt;=$G$4,'calculated data '!$A$4,D7219&lt;=$G$6,'calculated data '!$A$5,D7219&gt;=$G$6,'calculated data '!$A$6)</f>
        <v>Target Market (Core IQR)</v>
      </c>
      <c r="F7219" s="10">
        <f t="shared" si="1"/>
        <v>-0.05465635892</v>
      </c>
    </row>
    <row r="7220" ht="14.25" customHeight="1">
      <c r="A7220" s="2" t="s">
        <v>285</v>
      </c>
      <c r="B7220" s="2" t="s">
        <v>286</v>
      </c>
      <c r="C7220" s="2">
        <v>2013.0</v>
      </c>
      <c r="D7220" s="9">
        <v>22992.465</v>
      </c>
      <c r="E7220" s="10" t="str">
        <f t="array" ref="E7220">IFS(D7220&lt;=$G$3,'calculated data '!$A$3,D7220&lt;=$G$4,'calculated data '!$A$4,D7220&lt;=$G$6,'calculated data '!$A$5,D7220&gt;=$G$6,'calculated data '!$A$6)</f>
        <v>Target Market (Core IQR)</v>
      </c>
      <c r="F7220" s="10">
        <f t="shared" si="1"/>
        <v>-0.05456665293</v>
      </c>
    </row>
    <row r="7221" ht="14.25" customHeight="1">
      <c r="A7221" s="2" t="s">
        <v>343</v>
      </c>
      <c r="B7221" s="2" t="s">
        <v>344</v>
      </c>
      <c r="C7221" s="2">
        <v>1991.0</v>
      </c>
      <c r="D7221" s="9">
        <v>22997.986</v>
      </c>
      <c r="E7221" s="10" t="str">
        <f t="array" ref="E7221">IFS(D7221&lt;=$G$3,'calculated data '!$A$3,D7221&lt;=$G$4,'calculated data '!$A$4,D7221&lt;=$G$6,'calculated data '!$A$5,D7221&gt;=$G$6,'calculated data '!$A$6)</f>
        <v>Target Market (Core IQR)</v>
      </c>
      <c r="F7221" s="10">
        <f t="shared" si="1"/>
        <v>-0.05442051344</v>
      </c>
    </row>
    <row r="7222" ht="14.25" customHeight="1">
      <c r="A7222" s="2" t="s">
        <v>277</v>
      </c>
      <c r="B7222" s="2" t="s">
        <v>278</v>
      </c>
      <c r="C7222" s="2">
        <v>2016.0</v>
      </c>
      <c r="D7222" s="9">
        <v>23007.656</v>
      </c>
      <c r="E7222" s="10" t="str">
        <f t="array" ref="E7222">IFS(D7222&lt;=$G$3,'calculated data '!$A$3,D7222&lt;=$G$4,'calculated data '!$A$4,D7222&lt;=$G$6,'calculated data '!$A$5,D7222&gt;=$G$6,'calculated data '!$A$6)</f>
        <v>Target Market (Core IQR)</v>
      </c>
      <c r="F7222" s="10">
        <f t="shared" si="1"/>
        <v>-0.05416455094</v>
      </c>
    </row>
    <row r="7223" ht="14.25" customHeight="1">
      <c r="A7223" s="2" t="s">
        <v>47</v>
      </c>
      <c r="B7223" s="2" t="s">
        <v>48</v>
      </c>
      <c r="C7223" s="2">
        <v>2016.0</v>
      </c>
      <c r="D7223" s="9">
        <v>23014.893</v>
      </c>
      <c r="E7223" s="10" t="str">
        <f t="array" ref="E7223">IFS(D7223&lt;=$G$3,'calculated data '!$A$3,D7223&lt;=$G$4,'calculated data '!$A$4,D7223&lt;=$G$6,'calculated data '!$A$5,D7223&gt;=$G$6,'calculated data '!$A$6)</f>
        <v>Target Market (Core IQR)</v>
      </c>
      <c r="F7223" s="10">
        <f t="shared" si="1"/>
        <v>-0.05397298936</v>
      </c>
    </row>
    <row r="7224" ht="14.25" customHeight="1">
      <c r="A7224" s="2" t="s">
        <v>267</v>
      </c>
      <c r="B7224" s="2" t="s">
        <v>268</v>
      </c>
      <c r="C7224" s="2">
        <v>2000.0</v>
      </c>
      <c r="D7224" s="9">
        <v>23018.78</v>
      </c>
      <c r="E7224" s="10" t="str">
        <f t="array" ref="E7224">IFS(D7224&lt;=$G$3,'calculated data '!$A$3,D7224&lt;=$G$4,'calculated data '!$A$4,D7224&lt;=$G$6,'calculated data '!$A$5,D7224&gt;=$G$6,'calculated data '!$A$6)</f>
        <v>Target Market (Core IQR)</v>
      </c>
      <c r="F7224" s="10">
        <f t="shared" si="1"/>
        <v>-0.05387010143</v>
      </c>
    </row>
    <row r="7225" ht="14.25" customHeight="1">
      <c r="A7225" s="2" t="s">
        <v>379</v>
      </c>
      <c r="B7225" s="2" t="s">
        <v>380</v>
      </c>
      <c r="C7225" s="2">
        <v>1973.0</v>
      </c>
      <c r="D7225" s="9">
        <v>23021.082</v>
      </c>
      <c r="E7225" s="10" t="str">
        <f t="array" ref="E7225">IFS(D7225&lt;=$G$3,'calculated data '!$A$3,D7225&lt;=$G$4,'calculated data '!$A$4,D7225&lt;=$G$6,'calculated data '!$A$5,D7225&gt;=$G$6,'calculated data '!$A$6)</f>
        <v>Target Market (Core IQR)</v>
      </c>
      <c r="F7225" s="10">
        <f t="shared" si="1"/>
        <v>-0.05380916807</v>
      </c>
    </row>
    <row r="7226" ht="14.25" customHeight="1">
      <c r="A7226" s="2" t="s">
        <v>373</v>
      </c>
      <c r="B7226" s="2" t="s">
        <v>374</v>
      </c>
      <c r="C7226" s="2">
        <v>2014.0</v>
      </c>
      <c r="D7226" s="9">
        <v>23038.89</v>
      </c>
      <c r="E7226" s="10" t="str">
        <f t="array" ref="E7226">IFS(D7226&lt;=$G$3,'calculated data '!$A$3,D7226&lt;=$G$4,'calculated data '!$A$4,D7226&lt;=$G$6,'calculated data '!$A$5,D7226&gt;=$G$6,'calculated data '!$A$6)</f>
        <v>Target Market (Core IQR)</v>
      </c>
      <c r="F7226" s="10">
        <f t="shared" si="1"/>
        <v>-0.05333779474</v>
      </c>
    </row>
    <row r="7227" ht="14.25" customHeight="1">
      <c r="A7227" s="2" t="s">
        <v>341</v>
      </c>
      <c r="B7227" s="2" t="s">
        <v>342</v>
      </c>
      <c r="C7227" s="2">
        <v>2010.0</v>
      </c>
      <c r="D7227" s="9">
        <v>23041.707</v>
      </c>
      <c r="E7227" s="10" t="str">
        <f t="array" ref="E7227">IFS(D7227&lt;=$G$3,'calculated data '!$A$3,D7227&lt;=$G$4,'calculated data '!$A$4,D7227&lt;=$G$6,'calculated data '!$A$5,D7227&gt;=$G$6,'calculated data '!$A$6)</f>
        <v>Target Market (Core IQR)</v>
      </c>
      <c r="F7227" s="10">
        <f t="shared" si="1"/>
        <v>-0.05326322945</v>
      </c>
    </row>
    <row r="7228" ht="14.25" customHeight="1">
      <c r="A7228" s="2" t="s">
        <v>405</v>
      </c>
      <c r="B7228" s="2" t="s">
        <v>406</v>
      </c>
      <c r="C7228" s="2">
        <v>2011.0</v>
      </c>
      <c r="D7228" s="9">
        <v>23058.318</v>
      </c>
      <c r="E7228" s="10" t="str">
        <f t="array" ref="E7228">IFS(D7228&lt;=$G$3,'calculated data '!$A$3,D7228&lt;=$G$4,'calculated data '!$A$4,D7228&lt;=$G$6,'calculated data '!$A$5,D7228&gt;=$G$6,'calculated data '!$A$6)</f>
        <v>Target Market (Core IQR)</v>
      </c>
      <c r="F7228" s="10">
        <f t="shared" si="1"/>
        <v>-0.05282354042</v>
      </c>
    </row>
    <row r="7229" ht="14.25" customHeight="1">
      <c r="A7229" s="2" t="s">
        <v>267</v>
      </c>
      <c r="B7229" s="2" t="s">
        <v>268</v>
      </c>
      <c r="C7229" s="2">
        <v>2019.0</v>
      </c>
      <c r="D7229" s="9">
        <v>23059.762</v>
      </c>
      <c r="E7229" s="10" t="str">
        <f t="array" ref="E7229">IFS(D7229&lt;=$G$3,'calculated data '!$A$3,D7229&lt;=$G$4,'calculated data '!$A$4,D7229&lt;=$G$6,'calculated data '!$A$5,D7229&gt;=$G$6,'calculated data '!$A$6)</f>
        <v>Target Market (Core IQR)</v>
      </c>
      <c r="F7229" s="10">
        <f t="shared" si="1"/>
        <v>-0.0527853181</v>
      </c>
    </row>
    <row r="7230" ht="14.25" customHeight="1">
      <c r="A7230" s="2" t="s">
        <v>391</v>
      </c>
      <c r="B7230" s="2" t="s">
        <v>392</v>
      </c>
      <c r="C7230" s="2">
        <v>1984.0</v>
      </c>
      <c r="D7230" s="9">
        <v>23068.139</v>
      </c>
      <c r="E7230" s="10" t="str">
        <f t="array" ref="E7230">IFS(D7230&lt;=$G$3,'calculated data '!$A$3,D7230&lt;=$G$4,'calculated data '!$A$4,D7230&lt;=$G$6,'calculated data '!$A$5,D7230&gt;=$G$6,'calculated data '!$A$6)</f>
        <v>Target Market (Core IQR)</v>
      </c>
      <c r="F7230" s="10">
        <f t="shared" si="1"/>
        <v>-0.052563581</v>
      </c>
    </row>
    <row r="7231" ht="14.25" customHeight="1">
      <c r="A7231" s="2" t="s">
        <v>405</v>
      </c>
      <c r="B7231" s="2" t="s">
        <v>406</v>
      </c>
      <c r="C7231" s="2">
        <v>2008.0</v>
      </c>
      <c r="D7231" s="9">
        <v>23086.703</v>
      </c>
      <c r="E7231" s="10" t="str">
        <f t="array" ref="E7231">IFS(D7231&lt;=$G$3,'calculated data '!$A$3,D7231&lt;=$G$4,'calculated data '!$A$4,D7231&lt;=$G$6,'calculated data '!$A$5,D7231&gt;=$G$6,'calculated data '!$A$6)</f>
        <v>Target Market (Core IQR)</v>
      </c>
      <c r="F7231" s="10">
        <f t="shared" si="1"/>
        <v>-0.05207219654</v>
      </c>
    </row>
    <row r="7232" ht="14.25" customHeight="1">
      <c r="A7232" s="2" t="s">
        <v>285</v>
      </c>
      <c r="B7232" s="2" t="s">
        <v>286</v>
      </c>
      <c r="C7232" s="2">
        <v>2005.0</v>
      </c>
      <c r="D7232" s="9">
        <v>23091.428</v>
      </c>
      <c r="E7232" s="10" t="str">
        <f t="array" ref="E7232">IFS(D7232&lt;=$G$3,'calculated data '!$A$3,D7232&lt;=$G$4,'calculated data '!$A$4,D7232&lt;=$G$6,'calculated data '!$A$5,D7232&gt;=$G$6,'calculated data '!$A$6)</f>
        <v>Target Market (Core IQR)</v>
      </c>
      <c r="F7232" s="10">
        <f t="shared" si="1"/>
        <v>-0.05194712697</v>
      </c>
    </row>
    <row r="7233" ht="14.25" customHeight="1">
      <c r="A7233" s="2" t="s">
        <v>317</v>
      </c>
      <c r="B7233" s="2" t="s">
        <v>318</v>
      </c>
      <c r="C7233" s="2">
        <v>2025.0</v>
      </c>
      <c r="D7233" s="9">
        <v>23095.023</v>
      </c>
      <c r="E7233" s="10" t="str">
        <f t="array" ref="E7233">IFS(D7233&lt;=$G$3,'calculated data '!$A$3,D7233&lt;=$G$4,'calculated data '!$A$4,D7233&lt;=$G$6,'calculated data '!$A$5,D7233&gt;=$G$6,'calculated data '!$A$6)</f>
        <v>Target Market (Core IQR)</v>
      </c>
      <c r="F7233" s="10">
        <f t="shared" si="1"/>
        <v>-0.05185196821</v>
      </c>
    </row>
    <row r="7234" ht="14.25" customHeight="1">
      <c r="A7234" s="2" t="s">
        <v>411</v>
      </c>
      <c r="B7234" s="2" t="s">
        <v>412</v>
      </c>
      <c r="C7234" s="2">
        <v>1965.0</v>
      </c>
      <c r="D7234" s="9">
        <v>23104.613</v>
      </c>
      <c r="E7234" s="10" t="str">
        <f t="array" ref="E7234">IFS(D7234&lt;=$G$3,'calculated data '!$A$3,D7234&lt;=$G$4,'calculated data '!$A$4,D7234&lt;=$G$6,'calculated data '!$A$5,D7234&gt;=$G$6,'calculated data '!$A$6)</f>
        <v>Target Market (Core IQR)</v>
      </c>
      <c r="F7234" s="10">
        <f t="shared" si="1"/>
        <v>-0.0515981233</v>
      </c>
    </row>
    <row r="7235" ht="14.25" customHeight="1">
      <c r="A7235" s="2" t="s">
        <v>341</v>
      </c>
      <c r="B7235" s="2" t="s">
        <v>342</v>
      </c>
      <c r="C7235" s="2">
        <v>2024.0</v>
      </c>
      <c r="D7235" s="9">
        <v>23110.113</v>
      </c>
      <c r="E7235" s="10" t="str">
        <f t="array" ref="E7235">IFS(D7235&lt;=$G$3,'calculated data '!$A$3,D7235&lt;=$G$4,'calculated data '!$A$4,D7235&lt;=$G$6,'calculated data '!$A$5,D7235&gt;=$G$6,'calculated data '!$A$6)</f>
        <v>Target Market (Core IQR)</v>
      </c>
      <c r="F7235" s="10">
        <f t="shared" si="1"/>
        <v>-0.05145253967</v>
      </c>
    </row>
    <row r="7236" ht="14.25" customHeight="1">
      <c r="A7236" s="2" t="s">
        <v>277</v>
      </c>
      <c r="B7236" s="2" t="s">
        <v>278</v>
      </c>
      <c r="C7236" s="2">
        <v>2017.0</v>
      </c>
      <c r="D7236" s="9">
        <v>23117.53</v>
      </c>
      <c r="E7236" s="10" t="str">
        <f t="array" ref="E7236">IFS(D7236&lt;=$G$3,'calculated data '!$A$3,D7236&lt;=$G$4,'calculated data '!$A$4,D7236&lt;=$G$6,'calculated data '!$A$5,D7236&gt;=$G$6,'calculated data '!$A$6)</f>
        <v>Target Market (Core IQR)</v>
      </c>
      <c r="F7236" s="10">
        <f t="shared" si="1"/>
        <v>-0.05125621353</v>
      </c>
    </row>
    <row r="7237" ht="14.25" customHeight="1">
      <c r="A7237" s="2" t="s">
        <v>361</v>
      </c>
      <c r="B7237" s="2" t="s">
        <v>362</v>
      </c>
      <c r="C7237" s="2">
        <v>2007.0</v>
      </c>
      <c r="D7237" s="9">
        <v>23123.592</v>
      </c>
      <c r="E7237" s="10" t="str">
        <f t="array" ref="E7237">IFS(D7237&lt;=$G$3,'calculated data '!$A$3,D7237&lt;=$G$4,'calculated data '!$A$4,D7237&lt;=$G$6,'calculated data '!$A$5,D7237&gt;=$G$6,'calculated data '!$A$6)</f>
        <v>Target Market (Core IQR)</v>
      </c>
      <c r="F7237" s="10">
        <f t="shared" si="1"/>
        <v>-0.0510957539</v>
      </c>
    </row>
    <row r="7238" ht="14.25" customHeight="1">
      <c r="A7238" s="2" t="s">
        <v>31</v>
      </c>
      <c r="B7238" s="2" t="s">
        <v>32</v>
      </c>
      <c r="C7238" s="2">
        <v>2006.0</v>
      </c>
      <c r="D7238" s="9">
        <v>23134.691</v>
      </c>
      <c r="E7238" s="10" t="str">
        <f t="array" ref="E7238">IFS(D7238&lt;=$G$3,'calculated data '!$A$3,D7238&lt;=$G$4,'calculated data '!$A$4,D7238&lt;=$G$6,'calculated data '!$A$5,D7238&gt;=$G$6,'calculated data '!$A$6)</f>
        <v>Target Market (Core IQR)</v>
      </c>
      <c r="F7238" s="10">
        <f t="shared" si="1"/>
        <v>-0.05080196613</v>
      </c>
    </row>
    <row r="7239" ht="14.25" customHeight="1">
      <c r="A7239" s="2" t="s">
        <v>363</v>
      </c>
      <c r="B7239" s="2" t="s">
        <v>364</v>
      </c>
      <c r="C7239" s="2">
        <v>2001.0</v>
      </c>
      <c r="D7239" s="9">
        <v>23152.8</v>
      </c>
      <c r="E7239" s="10" t="str">
        <f t="array" ref="E7239">IFS(D7239&lt;=$G$3,'calculated data '!$A$3,D7239&lt;=$G$4,'calculated data '!$A$4,D7239&lt;=$G$6,'calculated data '!$A$5,D7239&gt;=$G$6,'calculated data '!$A$6)</f>
        <v>Target Market (Core IQR)</v>
      </c>
      <c r="F7239" s="10">
        <f t="shared" si="1"/>
        <v>-0.05032262541</v>
      </c>
    </row>
    <row r="7240" ht="14.25" customHeight="1">
      <c r="A7240" s="2" t="s">
        <v>335</v>
      </c>
      <c r="B7240" s="2" t="s">
        <v>336</v>
      </c>
      <c r="C7240" s="2">
        <v>1986.0</v>
      </c>
      <c r="D7240" s="9">
        <v>23156.361</v>
      </c>
      <c r="E7240" s="10" t="str">
        <f t="array" ref="E7240">IFS(D7240&lt;=$G$3,'calculated data '!$A$3,D7240&lt;=$G$4,'calculated data '!$A$4,D7240&lt;=$G$6,'calculated data '!$A$5,D7240&gt;=$G$6,'calculated data '!$A$6)</f>
        <v>Target Market (Core IQR)</v>
      </c>
      <c r="F7240" s="10">
        <f t="shared" si="1"/>
        <v>-0.05022836663</v>
      </c>
    </row>
    <row r="7241" ht="14.25" customHeight="1">
      <c r="A7241" s="2" t="s">
        <v>319</v>
      </c>
      <c r="B7241" s="2" t="s">
        <v>320</v>
      </c>
      <c r="C7241" s="2">
        <v>2014.0</v>
      </c>
      <c r="D7241" s="9">
        <v>23166.158</v>
      </c>
      <c r="E7241" s="10" t="str">
        <f t="array" ref="E7241">IFS(D7241&lt;=$G$3,'calculated data '!$A$3,D7241&lt;=$G$4,'calculated data '!$A$4,D7241&lt;=$G$6,'calculated data '!$A$5,D7241&gt;=$G$6,'calculated data '!$A$6)</f>
        <v>Target Market (Core IQR)</v>
      </c>
      <c r="F7241" s="10">
        <f t="shared" si="1"/>
        <v>-0.04996904248</v>
      </c>
    </row>
    <row r="7242" ht="14.25" customHeight="1">
      <c r="A7242" s="2" t="s">
        <v>279</v>
      </c>
      <c r="B7242" s="2" t="s">
        <v>280</v>
      </c>
      <c r="C7242" s="2">
        <v>1987.0</v>
      </c>
      <c r="D7242" s="9">
        <v>23167.643</v>
      </c>
      <c r="E7242" s="10" t="str">
        <f t="array" ref="E7242">IFS(D7242&lt;=$G$3,'calculated data '!$A$3,D7242&lt;=$G$4,'calculated data '!$A$4,D7242&lt;=$G$6,'calculated data '!$A$5,D7242&gt;=$G$6,'calculated data '!$A$6)</f>
        <v>Target Market (Core IQR)</v>
      </c>
      <c r="F7242" s="10">
        <f t="shared" si="1"/>
        <v>-0.0499297349</v>
      </c>
    </row>
    <row r="7243" ht="14.25" customHeight="1">
      <c r="A7243" s="2" t="s">
        <v>231</v>
      </c>
      <c r="B7243" s="2" t="s">
        <v>232</v>
      </c>
      <c r="C7243" s="2">
        <v>2025.0</v>
      </c>
      <c r="D7243" s="9">
        <v>23189.562</v>
      </c>
      <c r="E7243" s="10" t="str">
        <f t="array" ref="E7243">IFS(D7243&lt;=$G$3,'calculated data '!$A$3,D7243&lt;=$G$4,'calculated data '!$A$4,D7243&lt;=$G$6,'calculated data '!$A$5,D7243&gt;=$G$6,'calculated data '!$A$6)</f>
        <v>Target Market (Core IQR)</v>
      </c>
      <c r="F7243" s="10">
        <f t="shared" si="1"/>
        <v>-0.04934954443</v>
      </c>
    </row>
    <row r="7244" ht="14.25" customHeight="1">
      <c r="A7244" s="2" t="s">
        <v>403</v>
      </c>
      <c r="B7244" s="2" t="s">
        <v>404</v>
      </c>
      <c r="C7244" s="2">
        <v>1994.0</v>
      </c>
      <c r="D7244" s="9">
        <v>23189.645</v>
      </c>
      <c r="E7244" s="10" t="str">
        <f t="array" ref="E7244">IFS(D7244&lt;=$G$3,'calculated data '!$A$3,D7244&lt;=$G$4,'calculated data '!$A$4,D7244&lt;=$G$6,'calculated data '!$A$5,D7244&gt;=$G$6,'calculated data '!$A$6)</f>
        <v>Target Market (Core IQR)</v>
      </c>
      <c r="F7244" s="10">
        <f t="shared" si="1"/>
        <v>-0.04934734744</v>
      </c>
    </row>
    <row r="7245" ht="14.25" customHeight="1">
      <c r="A7245" s="2" t="s">
        <v>319</v>
      </c>
      <c r="B7245" s="2" t="s">
        <v>320</v>
      </c>
      <c r="C7245" s="2">
        <v>2024.0</v>
      </c>
      <c r="D7245" s="9">
        <v>23211.096</v>
      </c>
      <c r="E7245" s="10" t="str">
        <f t="array" ref="E7245">IFS(D7245&lt;=$G$3,'calculated data '!$A$3,D7245&lt;=$G$4,'calculated data '!$A$4,D7245&lt;=$G$6,'calculated data '!$A$5,D7245&gt;=$G$6,'calculated data '!$A$6)</f>
        <v>Target Market (Core IQR)</v>
      </c>
      <c r="F7245" s="10">
        <f t="shared" si="1"/>
        <v>-0.04877954481</v>
      </c>
    </row>
    <row r="7246" ht="14.25" customHeight="1">
      <c r="A7246" s="2" t="s">
        <v>393</v>
      </c>
      <c r="B7246" s="2" t="s">
        <v>394</v>
      </c>
      <c r="C7246" s="2">
        <v>2017.0</v>
      </c>
      <c r="D7246" s="9">
        <v>23217.373</v>
      </c>
      <c r="E7246" s="10" t="str">
        <f t="array" ref="E7246">IFS(D7246&lt;=$G$3,'calculated data '!$A$3,D7246&lt;=$G$4,'calculated data '!$A$4,D7246&lt;=$G$6,'calculated data '!$A$5,D7246&gt;=$G$6,'calculated data '!$A$6)</f>
        <v>Target Market (Core IQR)</v>
      </c>
      <c r="F7246" s="10">
        <f t="shared" si="1"/>
        <v>-0.04861339419</v>
      </c>
    </row>
    <row r="7247" ht="14.25" customHeight="1">
      <c r="A7247" s="2" t="s">
        <v>285</v>
      </c>
      <c r="B7247" s="2" t="s">
        <v>286</v>
      </c>
      <c r="C7247" s="2">
        <v>2004.0</v>
      </c>
      <c r="D7247" s="9">
        <v>23218.637</v>
      </c>
      <c r="E7247" s="10" t="str">
        <f t="array" ref="E7247">IFS(D7247&lt;=$G$3,'calculated data '!$A$3,D7247&lt;=$G$4,'calculated data '!$A$4,D7247&lt;=$G$6,'calculated data '!$A$5,D7247&gt;=$G$6,'calculated data '!$A$6)</f>
        <v>Target Market (Core IQR)</v>
      </c>
      <c r="F7247" s="10">
        <f t="shared" si="1"/>
        <v>-0.04857993642</v>
      </c>
    </row>
    <row r="7248" ht="14.25" customHeight="1">
      <c r="A7248" s="2" t="s">
        <v>373</v>
      </c>
      <c r="B7248" s="2" t="s">
        <v>374</v>
      </c>
      <c r="C7248" s="2">
        <v>1997.0</v>
      </c>
      <c r="D7248" s="9">
        <v>23220.135</v>
      </c>
      <c r="E7248" s="10" t="str">
        <f t="array" ref="E7248">IFS(D7248&lt;=$G$3,'calculated data '!$A$3,D7248&lt;=$G$4,'calculated data '!$A$4,D7248&lt;=$G$6,'calculated data '!$A$5,D7248&gt;=$G$6,'calculated data '!$A$6)</f>
        <v>Target Market (Core IQR)</v>
      </c>
      <c r="F7248" s="10">
        <f t="shared" si="1"/>
        <v>-0.04854028473</v>
      </c>
    </row>
    <row r="7249" ht="14.25" customHeight="1">
      <c r="A7249" s="2" t="s">
        <v>267</v>
      </c>
      <c r="B7249" s="2" t="s">
        <v>268</v>
      </c>
      <c r="C7249" s="2">
        <v>2021.0</v>
      </c>
      <c r="D7249" s="9">
        <v>23226.729</v>
      </c>
      <c r="E7249" s="10" t="str">
        <f t="array" ref="E7249">IFS(D7249&lt;=$G$3,'calculated data '!$A$3,D7249&lt;=$G$4,'calculated data '!$A$4,D7249&lt;=$G$6,'calculated data '!$A$5,D7249&gt;=$G$6,'calculated data '!$A$6)</f>
        <v>Target Market (Core IQR)</v>
      </c>
      <c r="F7249" s="10">
        <f t="shared" si="1"/>
        <v>-0.0483657432</v>
      </c>
    </row>
    <row r="7250" ht="14.25" customHeight="1">
      <c r="A7250" s="2" t="s">
        <v>197</v>
      </c>
      <c r="B7250" s="2" t="s">
        <v>198</v>
      </c>
      <c r="C7250" s="2">
        <v>2013.0</v>
      </c>
      <c r="D7250" s="9">
        <v>23236.184</v>
      </c>
      <c r="E7250" s="10" t="str">
        <f t="array" ref="E7250">IFS(D7250&lt;=$G$3,'calculated data '!$A$3,D7250&lt;=$G$4,'calculated data '!$A$4,D7250&lt;=$G$6,'calculated data '!$A$5,D7250&gt;=$G$6,'calculated data '!$A$6)</f>
        <v>Target Market (Core IQR)</v>
      </c>
      <c r="F7250" s="10">
        <f t="shared" si="1"/>
        <v>-0.0481154717</v>
      </c>
    </row>
    <row r="7251" ht="14.25" customHeight="1">
      <c r="A7251" s="2" t="s">
        <v>405</v>
      </c>
      <c r="B7251" s="2" t="s">
        <v>406</v>
      </c>
      <c r="C7251" s="2">
        <v>2006.0</v>
      </c>
      <c r="D7251" s="9">
        <v>23238.6</v>
      </c>
      <c r="E7251" s="10" t="str">
        <f t="array" ref="E7251">IFS(D7251&lt;=$G$3,'calculated data '!$A$3,D7251&lt;=$G$4,'calculated data '!$A$4,D7251&lt;=$G$6,'calculated data '!$A$5,D7251&gt;=$G$6,'calculated data '!$A$6)</f>
        <v>Target Market (Core IQR)</v>
      </c>
      <c r="F7251" s="10">
        <f t="shared" si="1"/>
        <v>-0.04805152078</v>
      </c>
    </row>
    <row r="7252" ht="14.25" customHeight="1">
      <c r="A7252" s="2" t="s">
        <v>379</v>
      </c>
      <c r="B7252" s="2" t="s">
        <v>380</v>
      </c>
      <c r="C7252" s="2">
        <v>1977.0</v>
      </c>
      <c r="D7252" s="9">
        <v>23247.662</v>
      </c>
      <c r="E7252" s="10" t="str">
        <f t="array" ref="E7252">IFS(D7252&lt;=$G$3,'calculated data '!$A$3,D7252&lt;=$G$4,'calculated data '!$A$4,D7252&lt;=$G$6,'calculated data '!$A$5,D7252&gt;=$G$6,'calculated data '!$A$6)</f>
        <v>Target Market (Core IQR)</v>
      </c>
      <c r="F7252" s="10">
        <f t="shared" si="1"/>
        <v>-0.0478116519</v>
      </c>
    </row>
    <row r="7253" ht="14.25" customHeight="1">
      <c r="A7253" s="2" t="s">
        <v>369</v>
      </c>
      <c r="B7253" s="2" t="s">
        <v>370</v>
      </c>
      <c r="C7253" s="2">
        <v>1968.0</v>
      </c>
      <c r="D7253" s="9">
        <v>23271.361</v>
      </c>
      <c r="E7253" s="10" t="str">
        <f t="array" ref="E7253">IFS(D7253&lt;=$G$3,'calculated data '!$A$3,D7253&lt;=$G$4,'calculated data '!$A$4,D7253&lt;=$G$6,'calculated data '!$A$5,D7253&gt;=$G$6,'calculated data '!$A$6)</f>
        <v>Target Market (Core IQR)</v>
      </c>
      <c r="F7253" s="10">
        <f t="shared" si="1"/>
        <v>-0.04718434527</v>
      </c>
    </row>
    <row r="7254" ht="14.25" customHeight="1">
      <c r="A7254" s="2" t="s">
        <v>341</v>
      </c>
      <c r="B7254" s="2" t="s">
        <v>342</v>
      </c>
      <c r="C7254" s="2">
        <v>2022.0</v>
      </c>
      <c r="D7254" s="9">
        <v>23285.066</v>
      </c>
      <c r="E7254" s="10" t="str">
        <f t="array" ref="E7254">IFS(D7254&lt;=$G$3,'calculated data '!$A$3,D7254&lt;=$G$4,'calculated data '!$A$4,D7254&lt;=$G$6,'calculated data '!$A$5,D7254&gt;=$G$6,'calculated data '!$A$6)</f>
        <v>Target Market (Core IQR)</v>
      </c>
      <c r="F7254" s="10">
        <f t="shared" si="1"/>
        <v>-0.04682157734</v>
      </c>
    </row>
    <row r="7255" ht="14.25" customHeight="1">
      <c r="A7255" s="2" t="s">
        <v>319</v>
      </c>
      <c r="B7255" s="2" t="s">
        <v>320</v>
      </c>
      <c r="C7255" s="2">
        <v>1988.0</v>
      </c>
      <c r="D7255" s="9">
        <v>23289.115</v>
      </c>
      <c r="E7255" s="10" t="str">
        <f t="array" ref="E7255">IFS(D7255&lt;=$G$3,'calculated data '!$A$3,D7255&lt;=$G$4,'calculated data '!$A$4,D7255&lt;=$G$6,'calculated data '!$A$5,D7255&gt;=$G$6,'calculated data '!$A$6)</f>
        <v>Target Market (Core IQR)</v>
      </c>
      <c r="F7255" s="10">
        <f t="shared" si="1"/>
        <v>-0.04671440131</v>
      </c>
    </row>
    <row r="7256" ht="14.25" customHeight="1">
      <c r="A7256" s="2" t="s">
        <v>47</v>
      </c>
      <c r="B7256" s="2" t="s">
        <v>48</v>
      </c>
      <c r="C7256" s="2">
        <v>2015.0</v>
      </c>
      <c r="D7256" s="9">
        <v>23289.197</v>
      </c>
      <c r="E7256" s="10" t="str">
        <f t="array" ref="E7256">IFS(D7256&lt;=$G$3,'calculated data '!$A$3,D7256&lt;=$G$4,'calculated data '!$A$4,D7256&lt;=$G$6,'calculated data '!$A$5,D7256&gt;=$G$6,'calculated data '!$A$6)</f>
        <v>Target Market (Core IQR)</v>
      </c>
      <c r="F7256" s="10">
        <f t="shared" si="1"/>
        <v>-0.0467122308</v>
      </c>
    </row>
    <row r="7257" ht="14.25" customHeight="1">
      <c r="A7257" s="2" t="s">
        <v>331</v>
      </c>
      <c r="B7257" s="2" t="s">
        <v>332</v>
      </c>
      <c r="C7257" s="2">
        <v>2020.0</v>
      </c>
      <c r="D7257" s="9">
        <v>23293.893</v>
      </c>
      <c r="E7257" s="10" t="str">
        <f t="array" ref="E7257">IFS(D7257&lt;=$G$3,'calculated data '!$A$3,D7257&lt;=$G$4,'calculated data '!$A$4,D7257&lt;=$G$6,'calculated data '!$A$5,D7257&gt;=$G$6,'calculated data '!$A$6)</f>
        <v>Target Market (Core IQR)</v>
      </c>
      <c r="F7257" s="10">
        <f t="shared" si="1"/>
        <v>-0.04658792884</v>
      </c>
    </row>
    <row r="7258" ht="14.25" customHeight="1">
      <c r="A7258" s="2" t="s">
        <v>47</v>
      </c>
      <c r="B7258" s="2" t="s">
        <v>48</v>
      </c>
      <c r="C7258" s="2">
        <v>2006.0</v>
      </c>
      <c r="D7258" s="9">
        <v>23296.818</v>
      </c>
      <c r="E7258" s="10" t="str">
        <f t="array" ref="E7258">IFS(D7258&lt;=$G$3,'calculated data '!$A$3,D7258&lt;=$G$4,'calculated data '!$A$4,D7258&lt;=$G$6,'calculated data '!$A$5,D7258&gt;=$G$6,'calculated data '!$A$6)</f>
        <v>Target Market (Core IQR)</v>
      </c>
      <c r="F7258" s="10">
        <f t="shared" si="1"/>
        <v>-0.04651050482</v>
      </c>
    </row>
    <row r="7259" ht="14.25" customHeight="1">
      <c r="A7259" s="2" t="s">
        <v>363</v>
      </c>
      <c r="B7259" s="2" t="s">
        <v>364</v>
      </c>
      <c r="C7259" s="2">
        <v>1999.0</v>
      </c>
      <c r="D7259" s="9">
        <v>23338.223</v>
      </c>
      <c r="E7259" s="10" t="str">
        <f t="array" ref="E7259">IFS(D7259&lt;=$G$3,'calculated data '!$A$3,D7259&lt;=$G$4,'calculated data '!$A$4,D7259&lt;=$G$6,'calculated data '!$A$5,D7259&gt;=$G$6,'calculated data '!$A$6)</f>
        <v>Target Market (Core IQR)</v>
      </c>
      <c r="F7259" s="10">
        <f t="shared" si="1"/>
        <v>-0.04541452479</v>
      </c>
    </row>
    <row r="7260" ht="14.25" customHeight="1">
      <c r="A7260" s="2" t="s">
        <v>331</v>
      </c>
      <c r="B7260" s="2" t="s">
        <v>332</v>
      </c>
      <c r="C7260" s="2">
        <v>1987.0</v>
      </c>
      <c r="D7260" s="9">
        <v>23349.66</v>
      </c>
      <c r="E7260" s="10" t="str">
        <f t="array" ref="E7260">IFS(D7260&lt;=$G$3,'calculated data '!$A$3,D7260&lt;=$G$4,'calculated data '!$A$4,D7260&lt;=$G$6,'calculated data '!$A$5,D7260&gt;=$G$6,'calculated data '!$A$6)</f>
        <v>Target Market (Core IQR)</v>
      </c>
      <c r="F7260" s="10">
        <f t="shared" si="1"/>
        <v>-0.04511179024</v>
      </c>
    </row>
    <row r="7261" ht="14.25" customHeight="1">
      <c r="A7261" s="2" t="s">
        <v>383</v>
      </c>
      <c r="B7261" s="2" t="s">
        <v>384</v>
      </c>
      <c r="C7261" s="2">
        <v>1996.0</v>
      </c>
      <c r="D7261" s="9">
        <v>23357.953</v>
      </c>
      <c r="E7261" s="10" t="str">
        <f t="array" ref="E7261">IFS(D7261&lt;=$G$3,'calculated data '!$A$3,D7261&lt;=$G$4,'calculated data '!$A$4,D7261&lt;=$G$6,'calculated data '!$A$5,D7261&gt;=$G$6,'calculated data '!$A$6)</f>
        <v>Target Market (Core IQR)</v>
      </c>
      <c r="F7261" s="10">
        <f t="shared" si="1"/>
        <v>-0.0448922766</v>
      </c>
    </row>
    <row r="7262" ht="14.25" customHeight="1">
      <c r="A7262" s="2" t="s">
        <v>341</v>
      </c>
      <c r="B7262" s="2" t="s">
        <v>342</v>
      </c>
      <c r="C7262" s="2">
        <v>2023.0</v>
      </c>
      <c r="D7262" s="9">
        <v>23370.957</v>
      </c>
      <c r="E7262" s="10" t="str">
        <f t="array" ref="E7262">IFS(D7262&lt;=$G$3,'calculated data '!$A$3,D7262&lt;=$G$4,'calculated data '!$A$4,D7262&lt;=$G$6,'calculated data '!$A$5,D7262&gt;=$G$6,'calculated data '!$A$6)</f>
        <v>Target Market (Core IQR)</v>
      </c>
      <c r="F7262" s="10">
        <f t="shared" si="1"/>
        <v>-0.04454806396</v>
      </c>
    </row>
    <row r="7263" ht="14.25" customHeight="1">
      <c r="A7263" s="2" t="s">
        <v>363</v>
      </c>
      <c r="B7263" s="2" t="s">
        <v>364</v>
      </c>
      <c r="C7263" s="2">
        <v>2002.0</v>
      </c>
      <c r="D7263" s="9">
        <v>23375.727</v>
      </c>
      <c r="E7263" s="10" t="str">
        <f t="array" ref="E7263">IFS(D7263&lt;=$G$3,'calculated data '!$A$3,D7263&lt;=$G$4,'calculated data '!$A$4,D7263&lt;=$G$6,'calculated data '!$A$5,D7263&gt;=$G$6,'calculated data '!$A$6)</f>
        <v>Target Market (Core IQR)</v>
      </c>
      <c r="F7263" s="10">
        <f t="shared" si="1"/>
        <v>-0.04442180325</v>
      </c>
    </row>
    <row r="7264" ht="14.25" customHeight="1">
      <c r="A7264" s="2" t="s">
        <v>311</v>
      </c>
      <c r="B7264" s="2" t="s">
        <v>312</v>
      </c>
      <c r="C7264" s="2">
        <v>2005.0</v>
      </c>
      <c r="D7264" s="9">
        <v>23379.414</v>
      </c>
      <c r="E7264" s="10" t="str">
        <f t="array" ref="E7264">IFS(D7264&lt;=$G$3,'calculated data '!$A$3,D7264&lt;=$G$4,'calculated data '!$A$4,D7264&lt;=$G$6,'calculated data '!$A$5,D7264&gt;=$G$6,'calculated data '!$A$6)</f>
        <v>Target Market (Core IQR)</v>
      </c>
      <c r="F7264" s="10">
        <f t="shared" si="1"/>
        <v>-0.04432420928</v>
      </c>
    </row>
    <row r="7265" ht="14.25" customHeight="1">
      <c r="A7265" s="2" t="s">
        <v>363</v>
      </c>
      <c r="B7265" s="2" t="s">
        <v>364</v>
      </c>
      <c r="C7265" s="2">
        <v>2000.0</v>
      </c>
      <c r="D7265" s="9">
        <v>23411.2</v>
      </c>
      <c r="E7265" s="10" t="str">
        <f t="array" ref="E7265">IFS(D7265&lt;=$G$3,'calculated data '!$A$3,D7265&lt;=$G$4,'calculated data '!$A$4,D7265&lt;=$G$6,'calculated data '!$A$5,D7265&gt;=$G$6,'calculated data '!$A$6)</f>
        <v>Target Market (Core IQR)</v>
      </c>
      <c r="F7265" s="10">
        <f t="shared" si="1"/>
        <v>-0.04348284177</v>
      </c>
    </row>
    <row r="7266" ht="14.25" customHeight="1">
      <c r="A7266" s="2" t="s">
        <v>197</v>
      </c>
      <c r="B7266" s="2" t="s">
        <v>198</v>
      </c>
      <c r="C7266" s="2">
        <v>2016.0</v>
      </c>
      <c r="D7266" s="9">
        <v>23412.06</v>
      </c>
      <c r="E7266" s="10" t="str">
        <f t="array" ref="E7266">IFS(D7266&lt;=$G$3,'calculated data '!$A$3,D7266&lt;=$G$4,'calculated data '!$A$4,D7266&lt;=$G$6,'calculated data '!$A$5,D7266&gt;=$G$6,'calculated data '!$A$6)</f>
        <v>Target Market (Core IQR)</v>
      </c>
      <c r="F7266" s="10">
        <f t="shared" si="1"/>
        <v>-0.04346007779</v>
      </c>
    </row>
    <row r="7267" ht="14.25" customHeight="1">
      <c r="A7267" s="2" t="s">
        <v>387</v>
      </c>
      <c r="B7267" s="2" t="s">
        <v>388</v>
      </c>
      <c r="C7267" s="2">
        <v>1981.0</v>
      </c>
      <c r="D7267" s="9">
        <v>23417.893</v>
      </c>
      <c r="E7267" s="10" t="str">
        <f t="array" ref="E7267">IFS(D7267&lt;=$G$3,'calculated data '!$A$3,D7267&lt;=$G$4,'calculated data '!$A$4,D7267&lt;=$G$6,'calculated data '!$A$5,D7267&gt;=$G$6,'calculated data '!$A$6)</f>
        <v>Target Market (Core IQR)</v>
      </c>
      <c r="F7267" s="10">
        <f t="shared" si="1"/>
        <v>-0.04330567973</v>
      </c>
    </row>
    <row r="7268" ht="14.25" customHeight="1">
      <c r="A7268" s="2" t="s">
        <v>373</v>
      </c>
      <c r="B7268" s="2" t="s">
        <v>374</v>
      </c>
      <c r="C7268" s="2">
        <v>2017.0</v>
      </c>
      <c r="D7268" s="9">
        <v>23423.18</v>
      </c>
      <c r="E7268" s="10" t="str">
        <f t="array" ref="E7268">IFS(D7268&lt;=$G$3,'calculated data '!$A$3,D7268&lt;=$G$4,'calculated data '!$A$4,D7268&lt;=$G$6,'calculated data '!$A$5,D7268&gt;=$G$6,'calculated data '!$A$6)</f>
        <v>Target Market (Core IQR)</v>
      </c>
      <c r="F7268" s="10">
        <f t="shared" si="1"/>
        <v>-0.04316573416</v>
      </c>
    </row>
    <row r="7269" ht="14.25" customHeight="1">
      <c r="A7269" s="2" t="s">
        <v>359</v>
      </c>
      <c r="B7269" s="2" t="s">
        <v>360</v>
      </c>
      <c r="C7269" s="2">
        <v>1996.0</v>
      </c>
      <c r="D7269" s="9">
        <v>23426.877</v>
      </c>
      <c r="E7269" s="10" t="str">
        <f t="array" ref="E7269">IFS(D7269&lt;=$G$3,'calculated data '!$A$3,D7269&lt;=$G$4,'calculated data '!$A$4,D7269&lt;=$G$6,'calculated data '!$A$5,D7269&gt;=$G$6,'calculated data '!$A$6)</f>
        <v>Target Market (Core IQR)</v>
      </c>
      <c r="F7269" s="10">
        <f t="shared" si="1"/>
        <v>-0.04306787549</v>
      </c>
    </row>
    <row r="7270" ht="14.25" customHeight="1">
      <c r="A7270" s="2" t="s">
        <v>319</v>
      </c>
      <c r="B7270" s="2" t="s">
        <v>320</v>
      </c>
      <c r="C7270" s="2">
        <v>2015.0</v>
      </c>
      <c r="D7270" s="9">
        <v>23443.004</v>
      </c>
      <c r="E7270" s="10" t="str">
        <f t="array" ref="E7270">IFS(D7270&lt;=$G$3,'calculated data '!$A$3,D7270&lt;=$G$4,'calculated data '!$A$4,D7270&lt;=$G$6,'calculated data '!$A$5,D7270&gt;=$G$6,'calculated data '!$A$6)</f>
        <v>Target Market (Core IQR)</v>
      </c>
      <c r="F7270" s="10">
        <f t="shared" si="1"/>
        <v>-0.04264099781</v>
      </c>
    </row>
    <row r="7271" ht="14.25" customHeight="1">
      <c r="A7271" s="2" t="s">
        <v>267</v>
      </c>
      <c r="B7271" s="2" t="s">
        <v>268</v>
      </c>
      <c r="C7271" s="2">
        <v>1995.0</v>
      </c>
      <c r="D7271" s="9">
        <v>23453.205</v>
      </c>
      <c r="E7271" s="10" t="str">
        <f t="array" ref="E7271">IFS(D7271&lt;=$G$3,'calculated data '!$A$3,D7271&lt;=$G$4,'calculated data '!$A$4,D7271&lt;=$G$6,'calculated data '!$A$5,D7271&gt;=$G$6,'calculated data '!$A$6)</f>
        <v>Target Market (Core IQR)</v>
      </c>
      <c r="F7271" s="10">
        <f t="shared" si="1"/>
        <v>-0.04237097988</v>
      </c>
    </row>
    <row r="7272" ht="14.25" customHeight="1">
      <c r="A7272" s="2" t="s">
        <v>367</v>
      </c>
      <c r="B7272" s="2" t="s">
        <v>368</v>
      </c>
      <c r="C7272" s="2">
        <v>2016.0</v>
      </c>
      <c r="D7272" s="9">
        <v>23455.365</v>
      </c>
      <c r="E7272" s="10" t="str">
        <f t="array" ref="E7272">IFS(D7272&lt;=$G$3,'calculated data '!$A$3,D7272&lt;=$G$4,'calculated data '!$A$4,D7272&lt;=$G$6,'calculated data '!$A$5,D7272&gt;=$G$6,'calculated data '!$A$6)</f>
        <v>Target Market (Core IQR)</v>
      </c>
      <c r="F7272" s="10">
        <f t="shared" si="1"/>
        <v>-0.04231380522</v>
      </c>
    </row>
    <row r="7273" ht="14.25" customHeight="1">
      <c r="A7273" s="2" t="s">
        <v>271</v>
      </c>
      <c r="B7273" s="2" t="s">
        <v>272</v>
      </c>
      <c r="C7273" s="2">
        <v>2013.0</v>
      </c>
      <c r="D7273" s="9">
        <v>23461.992</v>
      </c>
      <c r="E7273" s="10" t="str">
        <f t="array" ref="E7273">IFS(D7273&lt;=$G$3,'calculated data '!$A$3,D7273&lt;=$G$4,'calculated data '!$A$4,D7273&lt;=$G$6,'calculated data '!$A$5,D7273&gt;=$G$6,'calculated data '!$A$6)</f>
        <v>Target Market (Core IQR)</v>
      </c>
      <c r="F7273" s="10">
        <f t="shared" si="1"/>
        <v>-0.04213839018</v>
      </c>
    </row>
    <row r="7274" ht="14.25" customHeight="1">
      <c r="A7274" s="2" t="s">
        <v>413</v>
      </c>
      <c r="B7274" s="2" t="s">
        <v>414</v>
      </c>
      <c r="C7274" s="2">
        <v>1965.0</v>
      </c>
      <c r="D7274" s="9">
        <v>23478.723</v>
      </c>
      <c r="E7274" s="10" t="str">
        <f t="array" ref="E7274">IFS(D7274&lt;=$G$3,'calculated data '!$A$3,D7274&lt;=$G$4,'calculated data '!$A$4,D7274&lt;=$G$6,'calculated data '!$A$5,D7274&gt;=$G$6,'calculated data '!$A$6)</f>
        <v>Target Market (Core IQR)</v>
      </c>
      <c r="F7274" s="10">
        <f t="shared" si="1"/>
        <v>-0.04169552478</v>
      </c>
    </row>
    <row r="7275" ht="14.25" customHeight="1">
      <c r="A7275" s="2" t="s">
        <v>271</v>
      </c>
      <c r="B7275" s="2" t="s">
        <v>272</v>
      </c>
      <c r="C7275" s="2">
        <v>2014.0</v>
      </c>
      <c r="D7275" s="9">
        <v>23487.838</v>
      </c>
      <c r="E7275" s="10" t="str">
        <f t="array" ref="E7275">IFS(D7275&lt;=$G$3,'calculated data '!$A$3,D7275&lt;=$G$4,'calculated data '!$A$4,D7275&lt;=$G$6,'calculated data '!$A$5,D7275&gt;=$G$6,'calculated data '!$A$6)</f>
        <v>Target Market (Core IQR)</v>
      </c>
      <c r="F7275" s="10">
        <f t="shared" si="1"/>
        <v>-0.041454253</v>
      </c>
    </row>
    <row r="7276" ht="14.25" customHeight="1">
      <c r="A7276" s="2" t="s">
        <v>319</v>
      </c>
      <c r="B7276" s="2" t="s">
        <v>320</v>
      </c>
      <c r="C7276" s="2">
        <v>2013.0</v>
      </c>
      <c r="D7276" s="9">
        <v>23493.09</v>
      </c>
      <c r="E7276" s="10" t="str">
        <f t="array" ref="E7276">IFS(D7276&lt;=$G$3,'calculated data '!$A$3,D7276&lt;=$G$4,'calculated data '!$A$4,D7276&lt;=$G$6,'calculated data '!$A$5,D7276&gt;=$G$6,'calculated data '!$A$6)</f>
        <v>Target Market (Core IQR)</v>
      </c>
      <c r="F7276" s="10">
        <f t="shared" si="1"/>
        <v>-0.04131523387</v>
      </c>
    </row>
    <row r="7277" ht="14.25" customHeight="1">
      <c r="A7277" s="2" t="s">
        <v>197</v>
      </c>
      <c r="B7277" s="2" t="s">
        <v>198</v>
      </c>
      <c r="C7277" s="2">
        <v>2014.0</v>
      </c>
      <c r="D7277" s="9">
        <v>23499.201</v>
      </c>
      <c r="E7277" s="10" t="str">
        <f t="array" ref="E7277">IFS(D7277&lt;=$G$3,'calculated data '!$A$3,D7277&lt;=$G$4,'calculated data '!$A$4,D7277&lt;=$G$6,'calculated data '!$A$5,D7277&gt;=$G$6,'calculated data '!$A$6)</f>
        <v>Target Market (Core IQR)</v>
      </c>
      <c r="F7277" s="10">
        <f t="shared" si="1"/>
        <v>-0.04115347722</v>
      </c>
    </row>
    <row r="7278" ht="14.25" customHeight="1">
      <c r="A7278" s="2" t="s">
        <v>331</v>
      </c>
      <c r="B7278" s="2" t="s">
        <v>332</v>
      </c>
      <c r="C7278" s="2">
        <v>1976.0</v>
      </c>
      <c r="D7278" s="9">
        <v>23514.379</v>
      </c>
      <c r="E7278" s="10" t="str">
        <f t="array" ref="E7278">IFS(D7278&lt;=$G$3,'calculated data '!$A$3,D7278&lt;=$G$4,'calculated data '!$A$4,D7278&lt;=$G$6,'calculated data '!$A$5,D7278&gt;=$G$6,'calculated data '!$A$6)</f>
        <v>Target Market (Core IQR)</v>
      </c>
      <c r="F7278" s="10">
        <f t="shared" si="1"/>
        <v>-0.04075171934</v>
      </c>
    </row>
    <row r="7279" ht="14.25" customHeight="1">
      <c r="A7279" s="2" t="s">
        <v>361</v>
      </c>
      <c r="B7279" s="2" t="s">
        <v>362</v>
      </c>
      <c r="C7279" s="2">
        <v>2025.0</v>
      </c>
      <c r="D7279" s="9">
        <v>23532.104</v>
      </c>
      <c r="E7279" s="10" t="str">
        <f t="array" ref="E7279">IFS(D7279&lt;=$G$3,'calculated data '!$A$3,D7279&lt;=$G$4,'calculated data '!$A$4,D7279&lt;=$G$6,'calculated data '!$A$5,D7279&gt;=$G$6,'calculated data '!$A$6)</f>
        <v>Target Market (Core IQR)</v>
      </c>
      <c r="F7279" s="10">
        <f t="shared" si="1"/>
        <v>-0.040282543</v>
      </c>
    </row>
    <row r="7280" ht="14.25" customHeight="1">
      <c r="A7280" s="2" t="s">
        <v>319</v>
      </c>
      <c r="B7280" s="2" t="s">
        <v>320</v>
      </c>
      <c r="C7280" s="2">
        <v>1989.0</v>
      </c>
      <c r="D7280" s="9">
        <v>23554.605</v>
      </c>
      <c r="E7280" s="10" t="str">
        <f t="array" ref="E7280">IFS(D7280&lt;=$G$3,'calculated data '!$A$3,D7280&lt;=$G$4,'calculated data '!$A$4,D7280&lt;=$G$6,'calculated data '!$A$5,D7280&gt;=$G$6,'calculated data '!$A$6)</f>
        <v>Target Market (Core IQR)</v>
      </c>
      <c r="F7280" s="10">
        <f t="shared" si="1"/>
        <v>-0.03968694714</v>
      </c>
    </row>
    <row r="7281" ht="14.25" customHeight="1">
      <c r="A7281" s="2" t="s">
        <v>197</v>
      </c>
      <c r="B7281" s="2" t="s">
        <v>198</v>
      </c>
      <c r="C7281" s="2">
        <v>2015.0</v>
      </c>
      <c r="D7281" s="9">
        <v>23558.75</v>
      </c>
      <c r="E7281" s="10" t="str">
        <f t="array" ref="E7281">IFS(D7281&lt;=$G$3,'calculated data '!$A$3,D7281&lt;=$G$4,'calculated data '!$A$4,D7281&lt;=$G$6,'calculated data '!$A$5,D7281&gt;=$G$6,'calculated data '!$A$6)</f>
        <v>Target Market (Core IQR)</v>
      </c>
      <c r="F7281" s="10">
        <f t="shared" si="1"/>
        <v>-0.03957723002</v>
      </c>
    </row>
    <row r="7282" ht="14.25" customHeight="1">
      <c r="A7282" s="2" t="s">
        <v>405</v>
      </c>
      <c r="B7282" s="2" t="s">
        <v>406</v>
      </c>
      <c r="C7282" s="2">
        <v>2010.0</v>
      </c>
      <c r="D7282" s="9">
        <v>23571.98</v>
      </c>
      <c r="E7282" s="10" t="str">
        <f t="array" ref="E7282">IFS(D7282&lt;=$G$3,'calculated data '!$A$3,D7282&lt;=$G$4,'calculated data '!$A$4,D7282&lt;=$G$6,'calculated data '!$A$5,D7282&gt;=$G$6,'calculated data '!$A$6)</f>
        <v>Target Market (Core IQR)</v>
      </c>
      <c r="F7282" s="10">
        <f t="shared" si="1"/>
        <v>-0.03922703522</v>
      </c>
    </row>
    <row r="7283" ht="14.25" customHeight="1">
      <c r="A7283" s="2" t="s">
        <v>373</v>
      </c>
      <c r="B7283" s="2" t="s">
        <v>374</v>
      </c>
      <c r="C7283" s="2">
        <v>1998.0</v>
      </c>
      <c r="D7283" s="9">
        <v>23582.225</v>
      </c>
      <c r="E7283" s="10" t="str">
        <f t="array" ref="E7283">IFS(D7283&lt;=$G$3,'calculated data '!$A$3,D7283&lt;=$G$4,'calculated data '!$A$4,D7283&lt;=$G$6,'calculated data '!$A$5,D7283&gt;=$G$6,'calculated data '!$A$6)</f>
        <v>Target Market (Core IQR)</v>
      </c>
      <c r="F7283" s="10">
        <f t="shared" si="1"/>
        <v>-0.03895585262</v>
      </c>
    </row>
    <row r="7284" ht="14.25" customHeight="1">
      <c r="A7284" s="2" t="s">
        <v>395</v>
      </c>
      <c r="B7284" s="2" t="s">
        <v>396</v>
      </c>
      <c r="C7284" s="2">
        <v>2009.0</v>
      </c>
      <c r="D7284" s="9">
        <v>23584.72</v>
      </c>
      <c r="E7284" s="10" t="str">
        <f t="array" ref="E7284">IFS(D7284&lt;=$G$3,'calculated data '!$A$3,D7284&lt;=$G$4,'calculated data '!$A$4,D7284&lt;=$G$6,'calculated data '!$A$5,D7284&gt;=$G$6,'calculated data '!$A$6)</f>
        <v>Target Market (Core IQR)</v>
      </c>
      <c r="F7284" s="10">
        <f t="shared" si="1"/>
        <v>-0.03888981059</v>
      </c>
    </row>
    <row r="7285" ht="14.25" customHeight="1">
      <c r="A7285" s="2" t="s">
        <v>277</v>
      </c>
      <c r="B7285" s="2" t="s">
        <v>278</v>
      </c>
      <c r="C7285" s="2">
        <v>2018.0</v>
      </c>
      <c r="D7285" s="9">
        <v>23590.61</v>
      </c>
      <c r="E7285" s="10" t="str">
        <f t="array" ref="E7285">IFS(D7285&lt;=$G$3,'calculated data '!$A$3,D7285&lt;=$G$4,'calculated data '!$A$4,D7285&lt;=$G$6,'calculated data '!$A$5,D7285&gt;=$G$6,'calculated data '!$A$6)</f>
        <v>Target Market (Core IQR)</v>
      </c>
      <c r="F7285" s="10">
        <f t="shared" si="1"/>
        <v>-0.03873390376</v>
      </c>
    </row>
    <row r="7286" ht="14.25" customHeight="1">
      <c r="A7286" s="2" t="s">
        <v>47</v>
      </c>
      <c r="B7286" s="2" t="s">
        <v>48</v>
      </c>
      <c r="C7286" s="2">
        <v>2014.0</v>
      </c>
      <c r="D7286" s="9">
        <v>23599.273</v>
      </c>
      <c r="E7286" s="10" t="str">
        <f t="array" ref="E7286">IFS(D7286&lt;=$G$3,'calculated data '!$A$3,D7286&lt;=$G$4,'calculated data '!$A$4,D7286&lt;=$G$6,'calculated data '!$A$5,D7286&gt;=$G$6,'calculated data '!$A$6)</f>
        <v>Target Market (Core IQR)</v>
      </c>
      <c r="F7286" s="10">
        <f t="shared" si="1"/>
        <v>-0.0385045963</v>
      </c>
    </row>
    <row r="7287" ht="14.25" customHeight="1">
      <c r="A7287" s="2" t="s">
        <v>31</v>
      </c>
      <c r="B7287" s="2" t="s">
        <v>32</v>
      </c>
      <c r="C7287" s="2">
        <v>2010.0</v>
      </c>
      <c r="D7287" s="9">
        <v>23608.896</v>
      </c>
      <c r="E7287" s="10" t="str">
        <f t="array" ref="E7287">IFS(D7287&lt;=$G$3,'calculated data '!$A$3,D7287&lt;=$G$4,'calculated data '!$A$4,D7287&lt;=$G$6,'calculated data '!$A$5,D7287&gt;=$G$6,'calculated data '!$A$6)</f>
        <v>Target Market (Core IQR)</v>
      </c>
      <c r="F7287" s="10">
        <f t="shared" si="1"/>
        <v>-0.03824987789</v>
      </c>
    </row>
    <row r="7288" ht="14.25" customHeight="1">
      <c r="A7288" s="2" t="s">
        <v>341</v>
      </c>
      <c r="B7288" s="2" t="s">
        <v>342</v>
      </c>
      <c r="C7288" s="2">
        <v>1984.0</v>
      </c>
      <c r="D7288" s="9">
        <v>23624.504</v>
      </c>
      <c r="E7288" s="10" t="str">
        <f t="array" ref="E7288">IFS(D7288&lt;=$G$3,'calculated data '!$A$3,D7288&lt;=$G$4,'calculated data '!$A$4,D7288&lt;=$G$6,'calculated data '!$A$5,D7288&gt;=$G$6,'calculated data '!$A$6)</f>
        <v>Target Market (Core IQR)</v>
      </c>
      <c r="F7288" s="10">
        <f t="shared" si="1"/>
        <v>-0.03783673802</v>
      </c>
    </row>
    <row r="7289" ht="14.25" customHeight="1">
      <c r="A7289" s="2" t="s">
        <v>399</v>
      </c>
      <c r="B7289" s="2" t="s">
        <v>400</v>
      </c>
      <c r="C7289" s="2">
        <v>2020.0</v>
      </c>
      <c r="D7289" s="9">
        <v>23638.766</v>
      </c>
      <c r="E7289" s="10" t="str">
        <f t="array" ref="E7289">IFS(D7289&lt;=$G$3,'calculated data '!$A$3,D7289&lt;=$G$4,'calculated data '!$A$4,D7289&lt;=$G$6,'calculated data '!$A$5,D7289&gt;=$G$6,'calculated data '!$A$6)</f>
        <v>Target Market (Core IQR)</v>
      </c>
      <c r="F7289" s="10">
        <f t="shared" si="1"/>
        <v>-0.03745922643</v>
      </c>
    </row>
    <row r="7290" ht="14.25" customHeight="1">
      <c r="A7290" s="2" t="s">
        <v>267</v>
      </c>
      <c r="B7290" s="2" t="s">
        <v>268</v>
      </c>
      <c r="C7290" s="2">
        <v>2023.0</v>
      </c>
      <c r="D7290" s="9">
        <v>23651.912</v>
      </c>
      <c r="E7290" s="10" t="str">
        <f t="array" ref="E7290">IFS(D7290&lt;=$G$3,'calculated data '!$A$3,D7290&lt;=$G$4,'calculated data '!$A$4,D7290&lt;=$G$6,'calculated data '!$A$5,D7290&gt;=$G$6,'calculated data '!$A$6)</f>
        <v>Target Market (Core IQR)</v>
      </c>
      <c r="F7290" s="10">
        <f t="shared" si="1"/>
        <v>-0.03711125508</v>
      </c>
    </row>
    <row r="7291" ht="14.25" customHeight="1">
      <c r="A7291" s="2" t="s">
        <v>395</v>
      </c>
      <c r="B7291" s="2" t="s">
        <v>396</v>
      </c>
      <c r="C7291" s="2">
        <v>2013.0</v>
      </c>
      <c r="D7291" s="9">
        <v>23679.709</v>
      </c>
      <c r="E7291" s="10" t="str">
        <f t="array" ref="E7291">IFS(D7291&lt;=$G$3,'calculated data '!$A$3,D7291&lt;=$G$4,'calculated data '!$A$4,D7291&lt;=$G$6,'calculated data '!$A$5,D7291&gt;=$G$6,'calculated data '!$A$6)</f>
        <v>Target Market (Core IQR)</v>
      </c>
      <c r="F7291" s="10">
        <f t="shared" si="1"/>
        <v>-0.03637547542</v>
      </c>
    </row>
    <row r="7292" ht="14.25" customHeight="1">
      <c r="A7292" s="2" t="s">
        <v>257</v>
      </c>
      <c r="B7292" s="2" t="s">
        <v>258</v>
      </c>
      <c r="C7292" s="2">
        <v>2002.0</v>
      </c>
      <c r="D7292" s="9">
        <v>23686.29</v>
      </c>
      <c r="E7292" s="10" t="str">
        <f t="array" ref="E7292">IFS(D7292&lt;=$G$3,'calculated data '!$A$3,D7292&lt;=$G$4,'calculated data '!$A$4,D7292&lt;=$G$6,'calculated data '!$A$5,D7292&gt;=$G$6,'calculated data '!$A$6)</f>
        <v>Target Market (Core IQR)</v>
      </c>
      <c r="F7292" s="10">
        <f t="shared" si="1"/>
        <v>-0.03620127799</v>
      </c>
    </row>
    <row r="7293" ht="14.25" customHeight="1">
      <c r="A7293" s="2" t="s">
        <v>373</v>
      </c>
      <c r="B7293" s="2" t="s">
        <v>374</v>
      </c>
      <c r="C7293" s="2">
        <v>2023.0</v>
      </c>
      <c r="D7293" s="9">
        <v>23688.12</v>
      </c>
      <c r="E7293" s="10" t="str">
        <f t="array" ref="E7293">IFS(D7293&lt;=$G$3,'calculated data '!$A$3,D7293&lt;=$G$4,'calculated data '!$A$4,D7293&lt;=$G$6,'calculated data '!$A$5,D7293&gt;=$G$6,'calculated data '!$A$6)</f>
        <v>Target Market (Core IQR)</v>
      </c>
      <c r="F7293" s="10">
        <f t="shared" si="1"/>
        <v>-0.03615283834</v>
      </c>
    </row>
    <row r="7294" ht="14.25" customHeight="1">
      <c r="A7294" s="2" t="s">
        <v>385</v>
      </c>
      <c r="B7294" s="2" t="s">
        <v>386</v>
      </c>
      <c r="C7294" s="2">
        <v>1993.0</v>
      </c>
      <c r="D7294" s="9">
        <v>23705.275</v>
      </c>
      <c r="E7294" s="10" t="str">
        <f t="array" ref="E7294">IFS(D7294&lt;=$G$3,'calculated data '!$A$3,D7294&lt;=$G$4,'calculated data '!$A$4,D7294&lt;=$G$6,'calculated data '!$A$5,D7294&gt;=$G$6,'calculated data '!$A$6)</f>
        <v>Target Market (Core IQR)</v>
      </c>
      <c r="F7294" s="10">
        <f t="shared" si="1"/>
        <v>-0.03569874977</v>
      </c>
    </row>
    <row r="7295" ht="14.25" customHeight="1">
      <c r="A7295" s="2" t="s">
        <v>385</v>
      </c>
      <c r="B7295" s="2" t="s">
        <v>386</v>
      </c>
      <c r="C7295" s="2">
        <v>2017.0</v>
      </c>
      <c r="D7295" s="9">
        <v>23707.145</v>
      </c>
      <c r="E7295" s="10" t="str">
        <f t="array" ref="E7295">IFS(D7295&lt;=$G$3,'calculated data '!$A$3,D7295&lt;=$G$4,'calculated data '!$A$4,D7295&lt;=$G$6,'calculated data '!$A$5,D7295&gt;=$G$6,'calculated data '!$A$6)</f>
        <v>Target Market (Core IQR)</v>
      </c>
      <c r="F7295" s="10">
        <f t="shared" si="1"/>
        <v>-0.03564925133</v>
      </c>
    </row>
    <row r="7296" ht="14.25" customHeight="1">
      <c r="A7296" s="2" t="s">
        <v>319</v>
      </c>
      <c r="B7296" s="2" t="s">
        <v>320</v>
      </c>
      <c r="C7296" s="2">
        <v>2025.0</v>
      </c>
      <c r="D7296" s="9">
        <v>23713.729</v>
      </c>
      <c r="E7296" s="10" t="str">
        <f t="array" ref="E7296">IFS(D7296&lt;=$G$3,'calculated data '!$A$3,D7296&lt;=$G$4,'calculated data '!$A$4,D7296&lt;=$G$6,'calculated data '!$A$5,D7296&gt;=$G$6,'calculated data '!$A$6)</f>
        <v>Target Market (Core IQR)</v>
      </c>
      <c r="F7296" s="10">
        <f t="shared" si="1"/>
        <v>-0.03547497449</v>
      </c>
    </row>
    <row r="7297" ht="14.25" customHeight="1">
      <c r="A7297" s="2" t="s">
        <v>319</v>
      </c>
      <c r="B7297" s="2" t="s">
        <v>320</v>
      </c>
      <c r="C7297" s="2">
        <v>1990.0</v>
      </c>
      <c r="D7297" s="9">
        <v>23714.906</v>
      </c>
      <c r="E7297" s="10" t="str">
        <f t="array" ref="E7297">IFS(D7297&lt;=$G$3,'calculated data '!$A$3,D7297&lt;=$G$4,'calculated data '!$A$4,D7297&lt;=$G$6,'calculated data '!$A$5,D7297&gt;=$G$6,'calculated data '!$A$6)</f>
        <v>Target Market (Core IQR)</v>
      </c>
      <c r="F7297" s="10">
        <f t="shared" si="1"/>
        <v>-0.03544381959</v>
      </c>
    </row>
    <row r="7298" ht="14.25" customHeight="1">
      <c r="A7298" s="2" t="s">
        <v>71</v>
      </c>
      <c r="B7298" s="2" t="s">
        <v>72</v>
      </c>
      <c r="C7298" s="2">
        <v>1989.0</v>
      </c>
      <c r="D7298" s="9">
        <v>23724.55</v>
      </c>
      <c r="E7298" s="10" t="str">
        <f t="array" ref="E7298">IFS(D7298&lt;=$G$3,'calculated data '!$A$3,D7298&lt;=$G$4,'calculated data '!$A$4,D7298&lt;=$G$6,'calculated data '!$A$5,D7298&gt;=$G$6,'calculated data '!$A$6)</f>
        <v>Target Market (Core IQR)</v>
      </c>
      <c r="F7298" s="10">
        <f t="shared" si="1"/>
        <v>-0.03518854532</v>
      </c>
    </row>
    <row r="7299" ht="14.25" customHeight="1">
      <c r="A7299" s="2" t="s">
        <v>249</v>
      </c>
      <c r="B7299" s="2" t="s">
        <v>250</v>
      </c>
      <c r="C7299" s="2">
        <v>1997.0</v>
      </c>
      <c r="D7299" s="9">
        <v>23732.377</v>
      </c>
      <c r="E7299" s="10" t="str">
        <f t="array" ref="E7299">IFS(D7299&lt;=$G$3,'calculated data '!$A$3,D7299&lt;=$G$4,'calculated data '!$A$4,D7299&lt;=$G$6,'calculated data '!$A$5,D7299&gt;=$G$6,'calculated data '!$A$6)</f>
        <v>Target Market (Core IQR)</v>
      </c>
      <c r="F7299" s="10">
        <f t="shared" si="1"/>
        <v>-0.03498136658</v>
      </c>
    </row>
    <row r="7300" ht="14.25" customHeight="1">
      <c r="A7300" s="2" t="s">
        <v>375</v>
      </c>
      <c r="B7300" s="2" t="s">
        <v>376</v>
      </c>
      <c r="C7300" s="2">
        <v>1973.0</v>
      </c>
      <c r="D7300" s="9">
        <v>23732.674</v>
      </c>
      <c r="E7300" s="10" t="str">
        <f t="array" ref="E7300">IFS(D7300&lt;=$G$3,'calculated data '!$A$3,D7300&lt;=$G$4,'calculated data '!$A$4,D7300&lt;=$G$6,'calculated data '!$A$5,D7300&gt;=$G$6,'calculated data '!$A$6)</f>
        <v>Target Market (Core IQR)</v>
      </c>
      <c r="F7300" s="10">
        <f t="shared" si="1"/>
        <v>-0.03497350506</v>
      </c>
    </row>
    <row r="7301" ht="14.25" customHeight="1">
      <c r="A7301" s="2" t="s">
        <v>395</v>
      </c>
      <c r="B7301" s="2" t="s">
        <v>396</v>
      </c>
      <c r="C7301" s="2">
        <v>2015.0</v>
      </c>
      <c r="D7301" s="9">
        <v>23759.521</v>
      </c>
      <c r="E7301" s="10" t="str">
        <f t="array" ref="E7301">IFS(D7301&lt;=$G$3,'calculated data '!$A$3,D7301&lt;=$G$4,'calculated data '!$A$4,D7301&lt;=$G$6,'calculated data '!$A$5,D7301&gt;=$G$6,'calculated data '!$A$6)</f>
        <v>Target Market (Core IQR)</v>
      </c>
      <c r="F7301" s="10">
        <f t="shared" si="1"/>
        <v>-0.03426287166</v>
      </c>
    </row>
    <row r="7302" ht="14.25" customHeight="1">
      <c r="A7302" s="2" t="s">
        <v>47</v>
      </c>
      <c r="B7302" s="2" t="s">
        <v>48</v>
      </c>
      <c r="C7302" s="2">
        <v>2012.0</v>
      </c>
      <c r="D7302" s="9">
        <v>23765.719</v>
      </c>
      <c r="E7302" s="10" t="str">
        <f t="array" ref="E7302">IFS(D7302&lt;=$G$3,'calculated data '!$A$3,D7302&lt;=$G$4,'calculated data '!$A$4,D7302&lt;=$G$6,'calculated data '!$A$5,D7302&gt;=$G$6,'calculated data '!$A$6)</f>
        <v>Target Market (Core IQR)</v>
      </c>
      <c r="F7302" s="10">
        <f t="shared" si="1"/>
        <v>-0.03409881214</v>
      </c>
    </row>
    <row r="7303" ht="14.25" customHeight="1">
      <c r="A7303" s="2" t="s">
        <v>39</v>
      </c>
      <c r="B7303" s="2" t="s">
        <v>40</v>
      </c>
      <c r="C7303" s="2">
        <v>2003.0</v>
      </c>
      <c r="D7303" s="9">
        <v>23768.201</v>
      </c>
      <c r="E7303" s="10" t="str">
        <f t="array" ref="E7303">IFS(D7303&lt;=$G$3,'calculated data '!$A$3,D7303&lt;=$G$4,'calculated data '!$A$4,D7303&lt;=$G$6,'calculated data '!$A$5,D7303&gt;=$G$6,'calculated data '!$A$6)</f>
        <v>Target Market (Core IQR)</v>
      </c>
      <c r="F7303" s="10">
        <f t="shared" si="1"/>
        <v>-0.03403311422</v>
      </c>
    </row>
    <row r="7304" ht="14.25" customHeight="1">
      <c r="A7304" s="2" t="s">
        <v>39</v>
      </c>
      <c r="B7304" s="2" t="s">
        <v>40</v>
      </c>
      <c r="C7304" s="2">
        <v>2005.0</v>
      </c>
      <c r="D7304" s="9">
        <v>23775.148</v>
      </c>
      <c r="E7304" s="10" t="str">
        <f t="array" ref="E7304">IFS(D7304&lt;=$G$3,'calculated data '!$A$3,D7304&lt;=$G$4,'calculated data '!$A$4,D7304&lt;=$G$6,'calculated data '!$A$5,D7304&gt;=$G$6,'calculated data '!$A$6)</f>
        <v>Target Market (Core IQR)</v>
      </c>
      <c r="F7304" s="10">
        <f t="shared" si="1"/>
        <v>-0.03384922886</v>
      </c>
    </row>
    <row r="7305" ht="14.25" customHeight="1">
      <c r="A7305" s="2" t="s">
        <v>127</v>
      </c>
      <c r="B7305" s="2" t="s">
        <v>128</v>
      </c>
      <c r="C7305" s="2">
        <v>2017.0</v>
      </c>
      <c r="D7305" s="9">
        <v>23779.68</v>
      </c>
      <c r="E7305" s="10" t="str">
        <f t="array" ref="E7305">IFS(D7305&lt;=$G$3,'calculated data '!$A$3,D7305&lt;=$G$4,'calculated data '!$A$4,D7305&lt;=$G$6,'calculated data '!$A$5,D7305&gt;=$G$6,'calculated data '!$A$6)</f>
        <v>Target Market (Core IQR)</v>
      </c>
      <c r="F7305" s="10">
        <f t="shared" si="1"/>
        <v>-0.03372926795</v>
      </c>
    </row>
    <row r="7306" ht="14.25" customHeight="1">
      <c r="A7306" s="2" t="s">
        <v>257</v>
      </c>
      <c r="B7306" s="2" t="s">
        <v>258</v>
      </c>
      <c r="C7306" s="2">
        <v>2003.0</v>
      </c>
      <c r="D7306" s="9">
        <v>23817.643</v>
      </c>
      <c r="E7306" s="10" t="str">
        <f t="array" ref="E7306">IFS(D7306&lt;=$G$3,'calculated data '!$A$3,D7306&lt;=$G$4,'calculated data '!$A$4,D7306&lt;=$G$6,'calculated data '!$A$5,D7306&gt;=$G$6,'calculated data '!$A$6)</f>
        <v>Target Market (Core IQR)</v>
      </c>
      <c r="F7306" s="10">
        <f t="shared" si="1"/>
        <v>-0.03272439679</v>
      </c>
    </row>
    <row r="7307" ht="14.25" customHeight="1">
      <c r="A7307" s="2" t="s">
        <v>311</v>
      </c>
      <c r="B7307" s="2" t="s">
        <v>312</v>
      </c>
      <c r="C7307" s="2">
        <v>2015.0</v>
      </c>
      <c r="D7307" s="9">
        <v>23831.498</v>
      </c>
      <c r="E7307" s="10" t="str">
        <f t="array" ref="E7307">IFS(D7307&lt;=$G$3,'calculated data '!$A$3,D7307&lt;=$G$4,'calculated data '!$A$4,D7307&lt;=$G$6,'calculated data '!$A$5,D7307&gt;=$G$6,'calculated data '!$A$6)</f>
        <v>Target Market (Core IQR)</v>
      </c>
      <c r="F7307" s="10">
        <f t="shared" si="1"/>
        <v>-0.03235765839</v>
      </c>
    </row>
    <row r="7308" ht="14.25" customHeight="1">
      <c r="A7308" s="2" t="s">
        <v>395</v>
      </c>
      <c r="B7308" s="2" t="s">
        <v>396</v>
      </c>
      <c r="C7308" s="2">
        <v>2012.0</v>
      </c>
      <c r="D7308" s="9">
        <v>23840.121</v>
      </c>
      <c r="E7308" s="10" t="str">
        <f t="array" ref="E7308">IFS(D7308&lt;=$G$3,'calculated data '!$A$3,D7308&lt;=$G$4,'calculated data '!$A$4,D7308&lt;=$G$6,'calculated data '!$A$5,D7308&gt;=$G$6,'calculated data '!$A$6)</f>
        <v>Target Market (Core IQR)</v>
      </c>
      <c r="F7308" s="10">
        <f t="shared" si="1"/>
        <v>-0.03212940973</v>
      </c>
    </row>
    <row r="7309" ht="14.25" customHeight="1">
      <c r="A7309" s="2" t="s">
        <v>127</v>
      </c>
      <c r="B7309" s="2" t="s">
        <v>128</v>
      </c>
      <c r="C7309" s="2">
        <v>2005.0</v>
      </c>
      <c r="D7309" s="9">
        <v>23845.182</v>
      </c>
      <c r="E7309" s="10" t="str">
        <f t="array" ref="E7309">IFS(D7309&lt;=$G$3,'calculated data '!$A$3,D7309&lt;=$G$4,'calculated data '!$A$4,D7309&lt;=$G$6,'calculated data '!$A$5,D7309&gt;=$G$6,'calculated data '!$A$6)</f>
        <v>Target Market (Core IQR)</v>
      </c>
      <c r="F7309" s="10">
        <f t="shared" si="1"/>
        <v>-0.03199544632</v>
      </c>
    </row>
    <row r="7310" ht="14.25" customHeight="1">
      <c r="A7310" s="2" t="s">
        <v>39</v>
      </c>
      <c r="B7310" s="2" t="s">
        <v>40</v>
      </c>
      <c r="C7310" s="2">
        <v>2006.0</v>
      </c>
      <c r="D7310" s="9">
        <v>23861.902</v>
      </c>
      <c r="E7310" s="10" t="str">
        <f t="array" ref="E7310">IFS(D7310&lt;=$G$3,'calculated data '!$A$3,D7310&lt;=$G$4,'calculated data '!$A$4,D7310&lt;=$G$6,'calculated data '!$A$5,D7310&gt;=$G$6,'calculated data '!$A$6)</f>
        <v>Target Market (Core IQR)</v>
      </c>
      <c r="F7310" s="10">
        <f t="shared" si="1"/>
        <v>-0.03155287209</v>
      </c>
    </row>
    <row r="7311" ht="14.25" customHeight="1">
      <c r="A7311" s="2" t="s">
        <v>363</v>
      </c>
      <c r="B7311" s="2" t="s">
        <v>364</v>
      </c>
      <c r="C7311" s="2">
        <v>1991.0</v>
      </c>
      <c r="D7311" s="9">
        <v>23869.402</v>
      </c>
      <c r="E7311" s="10" t="str">
        <f t="array" ref="E7311">IFS(D7311&lt;=$G$3,'calculated data '!$A$3,D7311&lt;=$G$4,'calculated data '!$A$4,D7311&lt;=$G$6,'calculated data '!$A$5,D7311&gt;=$G$6,'calculated data '!$A$6)</f>
        <v>Target Market (Core IQR)</v>
      </c>
      <c r="F7311" s="10">
        <f t="shared" si="1"/>
        <v>-0.03135434895</v>
      </c>
    </row>
    <row r="7312" ht="14.25" customHeight="1">
      <c r="A7312" s="2" t="s">
        <v>39</v>
      </c>
      <c r="B7312" s="2" t="s">
        <v>40</v>
      </c>
      <c r="C7312" s="2">
        <v>2002.0</v>
      </c>
      <c r="D7312" s="9">
        <v>23874.428</v>
      </c>
      <c r="E7312" s="10" t="str">
        <f t="array" ref="E7312">IFS(D7312&lt;=$G$3,'calculated data '!$A$3,D7312&lt;=$G$4,'calculated data '!$A$4,D7312&lt;=$G$6,'calculated data '!$A$5,D7312&gt;=$G$6,'calculated data '!$A$6)</f>
        <v>Target Market (Core IQR)</v>
      </c>
      <c r="F7312" s="10">
        <f t="shared" si="1"/>
        <v>-0.03122131199</v>
      </c>
    </row>
    <row r="7313" ht="14.25" customHeight="1">
      <c r="A7313" s="2" t="s">
        <v>415</v>
      </c>
      <c r="B7313" s="2" t="s">
        <v>416</v>
      </c>
      <c r="C7313" s="2">
        <v>2025.0</v>
      </c>
      <c r="D7313" s="9">
        <v>23887.748</v>
      </c>
      <c r="E7313" s="10" t="str">
        <f t="array" ref="E7313">IFS(D7313&lt;=$G$3,'calculated data '!$A$3,D7313&lt;=$G$4,'calculated data '!$A$4,D7313&lt;=$G$6,'calculated data '!$A$5,D7313&gt;=$G$6,'calculated data '!$A$6)</f>
        <v>Target Market (Core IQR)</v>
      </c>
      <c r="F7313" s="10">
        <f t="shared" si="1"/>
        <v>-0.0308687349</v>
      </c>
    </row>
    <row r="7314" ht="14.25" customHeight="1">
      <c r="A7314" s="2" t="s">
        <v>355</v>
      </c>
      <c r="B7314" s="2" t="s">
        <v>356</v>
      </c>
      <c r="C7314" s="2">
        <v>2003.0</v>
      </c>
      <c r="D7314" s="9">
        <v>23906.21</v>
      </c>
      <c r="E7314" s="10" t="str">
        <f t="array" ref="E7314">IFS(D7314&lt;=$G$3,'calculated data '!$A$3,D7314&lt;=$G$4,'calculated data '!$A$4,D7314&lt;=$G$6,'calculated data '!$A$5,D7314&gt;=$G$6,'calculated data '!$A$6)</f>
        <v>Target Market (Core IQR)</v>
      </c>
      <c r="F7314" s="10">
        <f t="shared" si="1"/>
        <v>-0.03038005036</v>
      </c>
    </row>
    <row r="7315" ht="14.25" customHeight="1">
      <c r="A7315" s="2" t="s">
        <v>341</v>
      </c>
      <c r="B7315" s="2" t="s">
        <v>342</v>
      </c>
      <c r="C7315" s="2">
        <v>2013.0</v>
      </c>
      <c r="D7315" s="9">
        <v>23914.467</v>
      </c>
      <c r="E7315" s="10" t="str">
        <f t="array" ref="E7315">IFS(D7315&lt;=$G$3,'calculated data '!$A$3,D7315&lt;=$G$4,'calculated data '!$A$4,D7315&lt;=$G$6,'calculated data '!$A$5,D7315&gt;=$G$6,'calculated data '!$A$6)</f>
        <v>Target Market (Core IQR)</v>
      </c>
      <c r="F7315" s="10">
        <f t="shared" si="1"/>
        <v>-0.03016148963</v>
      </c>
    </row>
    <row r="7316" ht="14.25" customHeight="1">
      <c r="A7316" s="2" t="s">
        <v>71</v>
      </c>
      <c r="B7316" s="2" t="s">
        <v>72</v>
      </c>
      <c r="C7316" s="2">
        <v>1988.0</v>
      </c>
      <c r="D7316" s="9">
        <v>23917.87</v>
      </c>
      <c r="E7316" s="10" t="str">
        <f t="array" ref="E7316">IFS(D7316&lt;=$G$3,'calculated data '!$A$3,D7316&lt;=$G$4,'calculated data '!$A$4,D7316&lt;=$G$6,'calculated data '!$A$5,D7316&gt;=$G$6,'calculated data '!$A$6)</f>
        <v>Target Market (Core IQR)</v>
      </c>
      <c r="F7316" s="10">
        <f t="shared" si="1"/>
        <v>-0.03007141306</v>
      </c>
    </row>
    <row r="7317" ht="14.25" customHeight="1">
      <c r="A7317" s="2" t="s">
        <v>47</v>
      </c>
      <c r="B7317" s="2" t="s">
        <v>48</v>
      </c>
      <c r="C7317" s="2">
        <v>2017.0</v>
      </c>
      <c r="D7317" s="9">
        <v>23919.867</v>
      </c>
      <c r="E7317" s="10" t="str">
        <f t="array" ref="E7317">IFS(D7317&lt;=$G$3,'calculated data '!$A$3,D7317&lt;=$G$4,'calculated data '!$A$4,D7317&lt;=$G$6,'calculated data '!$A$5,D7317&gt;=$G$6,'calculated data '!$A$6)</f>
        <v>Target Market (Core IQR)</v>
      </c>
      <c r="F7317" s="10">
        <f t="shared" si="1"/>
        <v>-0.03001855297</v>
      </c>
    </row>
    <row r="7318" ht="14.25" customHeight="1">
      <c r="A7318" s="2" t="s">
        <v>379</v>
      </c>
      <c r="B7318" s="2" t="s">
        <v>380</v>
      </c>
      <c r="C7318" s="2">
        <v>1985.0</v>
      </c>
      <c r="D7318" s="9">
        <v>23931.87</v>
      </c>
      <c r="E7318" s="10" t="str">
        <f t="array" ref="E7318">IFS(D7318&lt;=$G$3,'calculated data '!$A$3,D7318&lt;=$G$4,'calculated data '!$A$4,D7318&lt;=$G$6,'calculated data '!$A$5,D7318&gt;=$G$6,'calculated data '!$A$6)</f>
        <v>Target Market (Core IQR)</v>
      </c>
      <c r="F7318" s="10">
        <f t="shared" si="1"/>
        <v>-0.02970083655</v>
      </c>
    </row>
    <row r="7319" ht="14.25" customHeight="1">
      <c r="A7319" s="2" t="s">
        <v>363</v>
      </c>
      <c r="B7319" s="2" t="s">
        <v>364</v>
      </c>
      <c r="C7319" s="2">
        <v>1988.0</v>
      </c>
      <c r="D7319" s="9">
        <v>23934.223</v>
      </c>
      <c r="E7319" s="10" t="str">
        <f t="array" ref="E7319">IFS(D7319&lt;=$G$3,'calculated data '!$A$3,D7319&lt;=$G$4,'calculated data '!$A$4,D7319&lt;=$G$6,'calculated data '!$A$5,D7319&gt;=$G$6,'calculated data '!$A$6)</f>
        <v>Target Market (Core IQR)</v>
      </c>
      <c r="F7319" s="10">
        <f t="shared" si="1"/>
        <v>-0.02963855323</v>
      </c>
    </row>
    <row r="7320" ht="14.25" customHeight="1">
      <c r="A7320" s="2" t="s">
        <v>393</v>
      </c>
      <c r="B7320" s="2" t="s">
        <v>394</v>
      </c>
      <c r="C7320" s="2">
        <v>2021.0</v>
      </c>
      <c r="D7320" s="9">
        <v>23942.94</v>
      </c>
      <c r="E7320" s="10" t="str">
        <f t="array" ref="E7320">IFS(D7320&lt;=$G$3,'calculated data '!$A$3,D7320&lt;=$G$4,'calculated data '!$A$4,D7320&lt;=$G$6,'calculated data '!$A$5,D7320&gt;=$G$6,'calculated data '!$A$6)</f>
        <v>Target Market (Core IQR)</v>
      </c>
      <c r="F7320" s="10">
        <f t="shared" si="1"/>
        <v>-0.02940781641</v>
      </c>
    </row>
    <row r="7321" ht="14.25" customHeight="1">
      <c r="A7321" s="2" t="s">
        <v>343</v>
      </c>
      <c r="B7321" s="2" t="s">
        <v>344</v>
      </c>
      <c r="C7321" s="2">
        <v>1992.0</v>
      </c>
      <c r="D7321" s="9">
        <v>23947.59</v>
      </c>
      <c r="E7321" s="10" t="str">
        <f t="array" ref="E7321">IFS(D7321&lt;=$G$3,'calculated data '!$A$3,D7321&lt;=$G$4,'calculated data '!$A$4,D7321&lt;=$G$6,'calculated data '!$A$5,D7321&gt;=$G$6,'calculated data '!$A$6)</f>
        <v>Target Market (Core IQR)</v>
      </c>
      <c r="F7321" s="10">
        <f t="shared" si="1"/>
        <v>-0.02928473207</v>
      </c>
    </row>
    <row r="7322" ht="14.25" customHeight="1">
      <c r="A7322" s="2" t="s">
        <v>335</v>
      </c>
      <c r="B7322" s="2" t="s">
        <v>336</v>
      </c>
      <c r="C7322" s="2">
        <v>1987.0</v>
      </c>
      <c r="D7322" s="9">
        <v>23953.432</v>
      </c>
      <c r="E7322" s="10" t="str">
        <f t="array" ref="E7322">IFS(D7322&lt;=$G$3,'calculated data '!$A$3,D7322&lt;=$G$4,'calculated data '!$A$4,D7322&lt;=$G$6,'calculated data '!$A$5,D7322&gt;=$G$6,'calculated data '!$A$6)</f>
        <v>Target Market (Core IQR)</v>
      </c>
      <c r="F7322" s="10">
        <f t="shared" si="1"/>
        <v>-0.02913009578</v>
      </c>
    </row>
    <row r="7323" ht="14.25" customHeight="1">
      <c r="A7323" s="2" t="s">
        <v>393</v>
      </c>
      <c r="B7323" s="2" t="s">
        <v>394</v>
      </c>
      <c r="C7323" s="2">
        <v>2020.0</v>
      </c>
      <c r="D7323" s="9">
        <v>23956.45</v>
      </c>
      <c r="E7323" s="10" t="str">
        <f t="array" ref="E7323">IFS(D7323&lt;=$G$3,'calculated data '!$A$3,D7323&lt;=$G$4,'calculated data '!$A$4,D7323&lt;=$G$6,'calculated data '!$A$5,D7323&gt;=$G$6,'calculated data '!$A$6)</f>
        <v>Target Market (Core IQR)</v>
      </c>
      <c r="F7323" s="10">
        <f t="shared" si="1"/>
        <v>-0.02905021007</v>
      </c>
    </row>
    <row r="7324" ht="14.25" customHeight="1">
      <c r="A7324" s="2" t="s">
        <v>373</v>
      </c>
      <c r="B7324" s="2" t="s">
        <v>374</v>
      </c>
      <c r="C7324" s="2">
        <v>2024.0</v>
      </c>
      <c r="D7324" s="9">
        <v>23965.328</v>
      </c>
      <c r="E7324" s="10" t="str">
        <f t="array" ref="E7324">IFS(D7324&lt;=$G$3,'calculated data '!$A$3,D7324&lt;=$G$4,'calculated data '!$A$4,D7324&lt;=$G$6,'calculated data '!$A$5,D7324&gt;=$G$6,'calculated data '!$A$6)</f>
        <v>Target Market (Core IQR)</v>
      </c>
      <c r="F7324" s="10">
        <f t="shared" si="1"/>
        <v>-0.02881521162</v>
      </c>
    </row>
    <row r="7325" ht="14.25" customHeight="1">
      <c r="A7325" s="2" t="s">
        <v>277</v>
      </c>
      <c r="B7325" s="2" t="s">
        <v>278</v>
      </c>
      <c r="C7325" s="2">
        <v>2019.0</v>
      </c>
      <c r="D7325" s="9">
        <v>23980.764</v>
      </c>
      <c r="E7325" s="10" t="str">
        <f t="array" ref="E7325">IFS(D7325&lt;=$G$3,'calculated data '!$A$3,D7325&lt;=$G$4,'calculated data '!$A$4,D7325&lt;=$G$6,'calculated data '!$A$5,D7325&gt;=$G$6,'calculated data '!$A$6)</f>
        <v>Target Market (Core IQR)</v>
      </c>
      <c r="F7325" s="10">
        <f t="shared" si="1"/>
        <v>-0.02840662455</v>
      </c>
    </row>
    <row r="7326" ht="14.25" customHeight="1">
      <c r="A7326" s="2" t="s">
        <v>31</v>
      </c>
      <c r="B7326" s="2" t="s">
        <v>32</v>
      </c>
      <c r="C7326" s="2">
        <v>2007.0</v>
      </c>
      <c r="D7326" s="9">
        <v>23986.113</v>
      </c>
      <c r="E7326" s="10" t="str">
        <f t="array" ref="E7326">IFS(D7326&lt;=$G$3,'calculated data '!$A$3,D7326&lt;=$G$4,'calculated data '!$A$4,D7326&lt;=$G$6,'calculated data '!$A$5,D7326&gt;=$G$6,'calculated data '!$A$6)</f>
        <v>Target Market (Core IQR)</v>
      </c>
      <c r="F7326" s="10">
        <f t="shared" si="1"/>
        <v>-0.02826503785</v>
      </c>
    </row>
    <row r="7327" ht="14.25" customHeight="1">
      <c r="A7327" s="2" t="s">
        <v>355</v>
      </c>
      <c r="B7327" s="2" t="s">
        <v>356</v>
      </c>
      <c r="C7327" s="2">
        <v>1978.0</v>
      </c>
      <c r="D7327" s="9">
        <v>23986.836</v>
      </c>
      <c r="E7327" s="10" t="str">
        <f t="array" ref="E7327">IFS(D7327&lt;=$G$3,'calculated data '!$A$3,D7327&lt;=$G$4,'calculated data '!$A$4,D7327&lt;=$G$6,'calculated data '!$A$5,D7327&gt;=$G$6,'calculated data '!$A$6)</f>
        <v>Target Market (Core IQR)</v>
      </c>
      <c r="F7327" s="10">
        <f t="shared" si="1"/>
        <v>-0.02824590022</v>
      </c>
    </row>
    <row r="7328" ht="14.25" customHeight="1">
      <c r="A7328" s="2" t="s">
        <v>331</v>
      </c>
      <c r="B7328" s="2" t="s">
        <v>332</v>
      </c>
      <c r="C7328" s="2">
        <v>1978.0</v>
      </c>
      <c r="D7328" s="9">
        <v>23997.438</v>
      </c>
      <c r="E7328" s="10" t="str">
        <f t="array" ref="E7328">IFS(D7328&lt;=$G$3,'calculated data '!$A$3,D7328&lt;=$G$4,'calculated data '!$A$4,D7328&lt;=$G$6,'calculated data '!$A$5,D7328&gt;=$G$6,'calculated data '!$A$6)</f>
        <v>Target Market (Core IQR)</v>
      </c>
      <c r="F7328" s="10">
        <f t="shared" si="1"/>
        <v>-0.02796526792</v>
      </c>
    </row>
    <row r="7329" ht="14.25" customHeight="1">
      <c r="A7329" s="2" t="s">
        <v>403</v>
      </c>
      <c r="B7329" s="2" t="s">
        <v>404</v>
      </c>
      <c r="C7329" s="2">
        <v>1993.0</v>
      </c>
      <c r="D7329" s="9">
        <v>24002.533</v>
      </c>
      <c r="E7329" s="10" t="str">
        <f t="array" ref="E7329">IFS(D7329&lt;=$G$3,'calculated data '!$A$3,D7329&lt;=$G$4,'calculated data '!$A$4,D7329&lt;=$G$6,'calculated data '!$A$5,D7329&gt;=$G$6,'calculated data '!$A$6)</f>
        <v>Target Market (Core IQR)</v>
      </c>
      <c r="F7329" s="10">
        <f t="shared" si="1"/>
        <v>-0.02783040454</v>
      </c>
    </row>
    <row r="7330" ht="14.25" customHeight="1">
      <c r="A7330" s="2" t="s">
        <v>285</v>
      </c>
      <c r="B7330" s="2" t="s">
        <v>286</v>
      </c>
      <c r="C7330" s="2">
        <v>2012.0</v>
      </c>
      <c r="D7330" s="9">
        <v>24020.611</v>
      </c>
      <c r="E7330" s="10" t="str">
        <f t="array" ref="E7330">IFS(D7330&lt;=$G$3,'calculated data '!$A$3,D7330&lt;=$G$4,'calculated data '!$A$4,D7330&lt;=$G$6,'calculated data '!$A$5,D7330&gt;=$G$6,'calculated data '!$A$6)</f>
        <v>Target Market (Core IQR)</v>
      </c>
      <c r="F7330" s="10">
        <f t="shared" si="1"/>
        <v>-0.02735188438</v>
      </c>
    </row>
    <row r="7331" ht="14.25" customHeight="1">
      <c r="A7331" s="2" t="s">
        <v>411</v>
      </c>
      <c r="B7331" s="2" t="s">
        <v>412</v>
      </c>
      <c r="C7331" s="2">
        <v>1966.0</v>
      </c>
      <c r="D7331" s="9">
        <v>24037.059</v>
      </c>
      <c r="E7331" s="10" t="str">
        <f t="array" ref="E7331">IFS(D7331&lt;=$G$3,'calculated data '!$A$3,D7331&lt;=$G$4,'calculated data '!$A$4,D7331&lt;=$G$6,'calculated data '!$A$5,D7331&gt;=$G$6,'calculated data '!$A$6)</f>
        <v>Target Market (Core IQR)</v>
      </c>
      <c r="F7331" s="10">
        <f t="shared" si="1"/>
        <v>-0.02691650992</v>
      </c>
    </row>
    <row r="7332" ht="14.25" customHeight="1">
      <c r="A7332" s="2" t="s">
        <v>39</v>
      </c>
      <c r="B7332" s="2" t="s">
        <v>40</v>
      </c>
      <c r="C7332" s="2">
        <v>2004.0</v>
      </c>
      <c r="D7332" s="9">
        <v>24042.64</v>
      </c>
      <c r="E7332" s="10" t="str">
        <f t="array" ref="E7332">IFS(D7332&lt;=$G$3,'calculated data '!$A$3,D7332&lt;=$G$4,'calculated data '!$A$4,D7332&lt;=$G$6,'calculated data '!$A$5,D7332&gt;=$G$6,'calculated data '!$A$6)</f>
        <v>Target Market (Core IQR)</v>
      </c>
      <c r="F7332" s="10">
        <f t="shared" si="1"/>
        <v>-0.02676878224</v>
      </c>
    </row>
    <row r="7333" ht="14.25" customHeight="1">
      <c r="A7333" s="2" t="s">
        <v>405</v>
      </c>
      <c r="B7333" s="2" t="s">
        <v>406</v>
      </c>
      <c r="C7333" s="2">
        <v>2012.0</v>
      </c>
      <c r="D7333" s="9">
        <v>24056.672</v>
      </c>
      <c r="E7333" s="10" t="str">
        <f t="array" ref="E7333">IFS(D7333&lt;=$G$3,'calculated data '!$A$3,D7333&lt;=$G$4,'calculated data '!$A$4,D7333&lt;=$G$6,'calculated data '!$A$5,D7333&gt;=$G$6,'calculated data '!$A$6)</f>
        <v>Target Market (Core IQR)</v>
      </c>
      <c r="F7333" s="10">
        <f t="shared" si="1"/>
        <v>-0.0263973587</v>
      </c>
    </row>
    <row r="7334" ht="14.25" customHeight="1">
      <c r="A7334" s="2" t="s">
        <v>271</v>
      </c>
      <c r="B7334" s="2" t="s">
        <v>272</v>
      </c>
      <c r="C7334" s="2">
        <v>2011.0</v>
      </c>
      <c r="D7334" s="9">
        <v>24060.223</v>
      </c>
      <c r="E7334" s="10" t="str">
        <f t="array" ref="E7334">IFS(D7334&lt;=$G$3,'calculated data '!$A$3,D7334&lt;=$G$4,'calculated data '!$A$4,D7334&lt;=$G$6,'calculated data '!$A$5,D7334&gt;=$G$6,'calculated data '!$A$6)</f>
        <v>Target Market (Core IQR)</v>
      </c>
      <c r="F7334" s="10">
        <f t="shared" si="1"/>
        <v>-0.02630336461</v>
      </c>
    </row>
    <row r="7335" ht="14.25" customHeight="1">
      <c r="A7335" s="2" t="s">
        <v>331</v>
      </c>
      <c r="B7335" s="2" t="s">
        <v>332</v>
      </c>
      <c r="C7335" s="2">
        <v>1977.0</v>
      </c>
      <c r="D7335" s="9">
        <v>24071.125</v>
      </c>
      <c r="E7335" s="10" t="str">
        <f t="array" ref="E7335">IFS(D7335&lt;=$G$3,'calculated data '!$A$3,D7335&lt;=$G$4,'calculated data '!$A$4,D7335&lt;=$G$6,'calculated data '!$A$5,D7335&gt;=$G$6,'calculated data '!$A$6)</f>
        <v>Target Market (Core IQR)</v>
      </c>
      <c r="F7335" s="10">
        <f t="shared" si="1"/>
        <v>-0.02601479139</v>
      </c>
    </row>
    <row r="7336" ht="14.25" customHeight="1">
      <c r="A7336" s="2" t="s">
        <v>311</v>
      </c>
      <c r="B7336" s="2" t="s">
        <v>312</v>
      </c>
      <c r="C7336" s="2">
        <v>2013.0</v>
      </c>
      <c r="D7336" s="9">
        <v>24076.594</v>
      </c>
      <c r="E7336" s="10" t="str">
        <f t="array" ref="E7336">IFS(D7336&lt;=$G$3,'calculated data '!$A$3,D7336&lt;=$G$4,'calculated data '!$A$4,D7336&lt;=$G$6,'calculated data '!$A$5,D7336&gt;=$G$6,'calculated data '!$A$6)</f>
        <v>Target Market (Core IQR)</v>
      </c>
      <c r="F7336" s="10">
        <f t="shared" si="1"/>
        <v>-0.02587002832</v>
      </c>
    </row>
    <row r="7337" ht="14.25" customHeight="1">
      <c r="A7337" s="2" t="s">
        <v>385</v>
      </c>
      <c r="B7337" s="2" t="s">
        <v>386</v>
      </c>
      <c r="C7337" s="2">
        <v>2018.0</v>
      </c>
      <c r="D7337" s="9">
        <v>24080.229</v>
      </c>
      <c r="E7337" s="10" t="str">
        <f t="array" ref="E7337">IFS(D7337&lt;=$G$3,'calculated data '!$A$3,D7337&lt;=$G$4,'calculated data '!$A$4,D7337&lt;=$G$6,'calculated data '!$A$5,D7337&gt;=$G$6,'calculated data '!$A$6)</f>
        <v>Target Market (Core IQR)</v>
      </c>
      <c r="F7337" s="10">
        <f t="shared" si="1"/>
        <v>-0.02577381077</v>
      </c>
    </row>
    <row r="7338" ht="14.25" customHeight="1">
      <c r="A7338" s="2" t="s">
        <v>311</v>
      </c>
      <c r="B7338" s="2" t="s">
        <v>312</v>
      </c>
      <c r="C7338" s="2">
        <v>2012.0</v>
      </c>
      <c r="D7338" s="9">
        <v>24084.77</v>
      </c>
      <c r="E7338" s="10" t="str">
        <f t="array" ref="E7338">IFS(D7338&lt;=$G$3,'calculated data '!$A$3,D7338&lt;=$G$4,'calculated data '!$A$4,D7338&lt;=$G$6,'calculated data '!$A$5,D7338&gt;=$G$6,'calculated data '!$A$6)</f>
        <v>Target Market (Core IQR)</v>
      </c>
      <c r="F7338" s="10">
        <f t="shared" si="1"/>
        <v>-0.02565361163</v>
      </c>
    </row>
    <row r="7339" ht="14.25" customHeight="1">
      <c r="A7339" s="2" t="s">
        <v>377</v>
      </c>
      <c r="B7339" s="2" t="s">
        <v>378</v>
      </c>
      <c r="C7339" s="2">
        <v>2021.0</v>
      </c>
      <c r="D7339" s="9">
        <v>24091.275</v>
      </c>
      <c r="E7339" s="10" t="str">
        <f t="array" ref="E7339">IFS(D7339&lt;=$G$3,'calculated data '!$A$3,D7339&lt;=$G$4,'calculated data '!$A$4,D7339&lt;=$G$6,'calculated data '!$A$5,D7339&gt;=$G$6,'calculated data '!$A$6)</f>
        <v>Target Market (Core IQR)</v>
      </c>
      <c r="F7339" s="10">
        <f t="shared" si="1"/>
        <v>-0.0254814259</v>
      </c>
    </row>
    <row r="7340" ht="14.25" customHeight="1">
      <c r="A7340" s="2" t="s">
        <v>393</v>
      </c>
      <c r="B7340" s="2" t="s">
        <v>394</v>
      </c>
      <c r="C7340" s="2">
        <v>2019.0</v>
      </c>
      <c r="D7340" s="9">
        <v>24093.863</v>
      </c>
      <c r="E7340" s="10" t="str">
        <f t="array" ref="E7340">IFS(D7340&lt;=$G$3,'calculated data '!$A$3,D7340&lt;=$G$4,'calculated data '!$A$4,D7340&lt;=$G$6,'calculated data '!$A$5,D7340&gt;=$G$6,'calculated data '!$A$6)</f>
        <v>Target Market (Core IQR)</v>
      </c>
      <c r="F7340" s="10">
        <f t="shared" si="1"/>
        <v>-0.02541292219</v>
      </c>
    </row>
    <row r="7341" ht="14.25" customHeight="1">
      <c r="A7341" s="2" t="s">
        <v>401</v>
      </c>
      <c r="B7341" s="2" t="s">
        <v>402</v>
      </c>
      <c r="C7341" s="2">
        <v>1968.0</v>
      </c>
      <c r="D7341" s="9">
        <v>24094.768</v>
      </c>
      <c r="E7341" s="10" t="str">
        <f t="array" ref="E7341">IFS(D7341&lt;=$G$3,'calculated data '!$A$3,D7341&lt;=$G$4,'calculated data '!$A$4,D7341&lt;=$G$6,'calculated data '!$A$5,D7341&gt;=$G$6,'calculated data '!$A$6)</f>
        <v>Target Market (Core IQR)</v>
      </c>
      <c r="F7341" s="10">
        <f t="shared" si="1"/>
        <v>-0.02538896706</v>
      </c>
    </row>
    <row r="7342" ht="14.25" customHeight="1">
      <c r="A7342" s="2" t="s">
        <v>341</v>
      </c>
      <c r="B7342" s="2" t="s">
        <v>342</v>
      </c>
      <c r="C7342" s="2">
        <v>2014.0</v>
      </c>
      <c r="D7342" s="9">
        <v>24101.709</v>
      </c>
      <c r="E7342" s="10" t="str">
        <f t="array" ref="E7342">IFS(D7342&lt;=$G$3,'calculated data '!$A$3,D7342&lt;=$G$4,'calculated data '!$A$4,D7342&lt;=$G$6,'calculated data '!$A$5,D7342&gt;=$G$6,'calculated data '!$A$6)</f>
        <v>Target Market (Core IQR)</v>
      </c>
      <c r="F7342" s="10">
        <f t="shared" si="1"/>
        <v>-0.02520524052</v>
      </c>
    </row>
    <row r="7343" ht="14.25" customHeight="1">
      <c r="A7343" s="2" t="s">
        <v>197</v>
      </c>
      <c r="B7343" s="2" t="s">
        <v>198</v>
      </c>
      <c r="C7343" s="2">
        <v>2017.0</v>
      </c>
      <c r="D7343" s="9">
        <v>24108.787</v>
      </c>
      <c r="E7343" s="10" t="str">
        <f t="array" ref="E7343">IFS(D7343&lt;=$G$3,'calculated data '!$A$3,D7343&lt;=$G$4,'calculated data '!$A$4,D7343&lt;=$G$6,'calculated data '!$A$5,D7343&gt;=$G$6,'calculated data '!$A$6)</f>
        <v>Target Market (Core IQR)</v>
      </c>
      <c r="F7343" s="10">
        <f t="shared" si="1"/>
        <v>-0.02501788763</v>
      </c>
    </row>
    <row r="7344" ht="14.25" customHeight="1">
      <c r="A7344" s="2" t="s">
        <v>341</v>
      </c>
      <c r="B7344" s="2" t="s">
        <v>342</v>
      </c>
      <c r="C7344" s="2">
        <v>1983.0</v>
      </c>
      <c r="D7344" s="9">
        <v>24131.475</v>
      </c>
      <c r="E7344" s="10" t="str">
        <f t="array" ref="E7344">IFS(D7344&lt;=$G$3,'calculated data '!$A$3,D7344&lt;=$G$4,'calculated data '!$A$4,D7344&lt;=$G$6,'calculated data '!$A$5,D7344&gt;=$G$6,'calculated data '!$A$6)</f>
        <v>Target Market (Core IQR)</v>
      </c>
      <c r="F7344" s="10">
        <f t="shared" si="1"/>
        <v>-0.02441734192</v>
      </c>
    </row>
    <row r="7345" ht="14.25" customHeight="1">
      <c r="A7345" s="2" t="s">
        <v>355</v>
      </c>
      <c r="B7345" s="2" t="s">
        <v>356</v>
      </c>
      <c r="C7345" s="2">
        <v>1977.0</v>
      </c>
      <c r="D7345" s="9">
        <v>24135.232</v>
      </c>
      <c r="E7345" s="10" t="str">
        <f t="array" ref="E7345">IFS(D7345&lt;=$G$3,'calculated data '!$A$3,D7345&lt;=$G$4,'calculated data '!$A$4,D7345&lt;=$G$6,'calculated data '!$A$5,D7345&gt;=$G$6,'calculated data '!$A$6)</f>
        <v>Target Market (Core IQR)</v>
      </c>
      <c r="F7345" s="10">
        <f t="shared" si="1"/>
        <v>-0.02431789506</v>
      </c>
    </row>
    <row r="7346" ht="14.25" customHeight="1">
      <c r="A7346" s="2" t="s">
        <v>349</v>
      </c>
      <c r="B7346" s="2" t="s">
        <v>350</v>
      </c>
      <c r="C7346" s="2">
        <v>1993.0</v>
      </c>
      <c r="D7346" s="9">
        <v>24151.078</v>
      </c>
      <c r="E7346" s="10" t="str">
        <f t="array" ref="E7346">IFS(D7346&lt;=$G$3,'calculated data '!$A$3,D7346&lt;=$G$4,'calculated data '!$A$4,D7346&lt;=$G$6,'calculated data '!$A$5,D7346&gt;=$G$6,'calculated data '!$A$6)</f>
        <v>Target Market (Core IQR)</v>
      </c>
      <c r="F7346" s="10">
        <f t="shared" si="1"/>
        <v>-0.02389845539</v>
      </c>
    </row>
    <row r="7347" ht="14.25" customHeight="1">
      <c r="A7347" s="2" t="s">
        <v>385</v>
      </c>
      <c r="B7347" s="2" t="s">
        <v>386</v>
      </c>
      <c r="C7347" s="2">
        <v>2002.0</v>
      </c>
      <c r="D7347" s="9">
        <v>24152.277</v>
      </c>
      <c r="E7347" s="10" t="str">
        <f t="array" ref="E7347">IFS(D7347&lt;=$G$3,'calculated data '!$A$3,D7347&lt;=$G$4,'calculated data '!$A$4,D7347&lt;=$G$6,'calculated data '!$A$5,D7347&gt;=$G$6,'calculated data '!$A$6)</f>
        <v>Target Market (Core IQR)</v>
      </c>
      <c r="F7347" s="10">
        <f t="shared" si="1"/>
        <v>-0.02386671816</v>
      </c>
    </row>
    <row r="7348" ht="14.25" customHeight="1">
      <c r="A7348" s="2" t="s">
        <v>353</v>
      </c>
      <c r="B7348" s="2" t="s">
        <v>354</v>
      </c>
      <c r="C7348" s="2">
        <v>1970.0</v>
      </c>
      <c r="D7348" s="9">
        <v>24161.031</v>
      </c>
      <c r="E7348" s="10" t="str">
        <f t="array" ref="E7348">IFS(D7348&lt;=$G$3,'calculated data '!$A$3,D7348&lt;=$G$4,'calculated data '!$A$4,D7348&lt;=$G$6,'calculated data '!$A$5,D7348&gt;=$G$6,'calculated data '!$A$6)</f>
        <v>Target Market (Core IQR)</v>
      </c>
      <c r="F7348" s="10">
        <f t="shared" si="1"/>
        <v>-0.02363500196</v>
      </c>
    </row>
    <row r="7349" ht="14.25" customHeight="1">
      <c r="A7349" s="2" t="s">
        <v>391</v>
      </c>
      <c r="B7349" s="2" t="s">
        <v>392</v>
      </c>
      <c r="C7349" s="2">
        <v>1980.0</v>
      </c>
      <c r="D7349" s="9">
        <v>24171.502</v>
      </c>
      <c r="E7349" s="10" t="str">
        <f t="array" ref="E7349">IFS(D7349&lt;=$G$3,'calculated data '!$A$3,D7349&lt;=$G$4,'calculated data '!$A$4,D7349&lt;=$G$6,'calculated data '!$A$5,D7349&gt;=$G$6,'calculated data '!$A$6)</f>
        <v>Target Market (Core IQR)</v>
      </c>
      <c r="F7349" s="10">
        <f t="shared" si="1"/>
        <v>-0.0233578372</v>
      </c>
    </row>
    <row r="7350" ht="14.25" customHeight="1">
      <c r="A7350" s="2" t="s">
        <v>413</v>
      </c>
      <c r="B7350" s="2" t="s">
        <v>414</v>
      </c>
      <c r="C7350" s="2">
        <v>1966.0</v>
      </c>
      <c r="D7350" s="9">
        <v>24173.088</v>
      </c>
      <c r="E7350" s="10" t="str">
        <f t="array" ref="E7350">IFS(D7350&lt;=$G$3,'calculated data '!$A$3,D7350&lt;=$G$4,'calculated data '!$A$4,D7350&lt;=$G$6,'calculated data '!$A$5,D7350&gt;=$G$6,'calculated data '!$A$6)</f>
        <v>Target Market (Core IQR)</v>
      </c>
      <c r="F7350" s="10">
        <f t="shared" si="1"/>
        <v>-0.02331585617</v>
      </c>
    </row>
    <row r="7351" ht="14.25" customHeight="1">
      <c r="A7351" s="2" t="s">
        <v>395</v>
      </c>
      <c r="B7351" s="2" t="s">
        <v>396</v>
      </c>
      <c r="C7351" s="2">
        <v>2010.0</v>
      </c>
      <c r="D7351" s="9">
        <v>24182.895</v>
      </c>
      <c r="E7351" s="10" t="str">
        <f t="array" ref="E7351">IFS(D7351&lt;=$G$3,'calculated data '!$A$3,D7351&lt;=$G$4,'calculated data '!$A$4,D7351&lt;=$G$6,'calculated data '!$A$5,D7351&gt;=$G$6,'calculated data '!$A$6)</f>
        <v>Target Market (Core IQR)</v>
      </c>
      <c r="F7351" s="10">
        <f t="shared" si="1"/>
        <v>-0.02305626732</v>
      </c>
    </row>
    <row r="7352" ht="14.25" customHeight="1">
      <c r="A7352" s="2" t="s">
        <v>341</v>
      </c>
      <c r="B7352" s="2" t="s">
        <v>342</v>
      </c>
      <c r="C7352" s="2">
        <v>1982.0</v>
      </c>
      <c r="D7352" s="9">
        <v>24200.945</v>
      </c>
      <c r="E7352" s="10" t="str">
        <f t="array" ref="E7352">IFS(D7352&lt;=$G$3,'calculated data '!$A$3,D7352&lt;=$G$4,'calculated data '!$A$4,D7352&lt;=$G$6,'calculated data '!$A$5,D7352&gt;=$G$6,'calculated data '!$A$6)</f>
        <v>Target Market (Core IQR)</v>
      </c>
      <c r="F7352" s="10">
        <f t="shared" si="1"/>
        <v>-0.02257848832</v>
      </c>
    </row>
    <row r="7353" ht="14.25" customHeight="1">
      <c r="A7353" s="2" t="s">
        <v>385</v>
      </c>
      <c r="B7353" s="2" t="s">
        <v>386</v>
      </c>
      <c r="C7353" s="2">
        <v>1992.0</v>
      </c>
      <c r="D7353" s="9">
        <v>24205.283</v>
      </c>
      <c r="E7353" s="10" t="str">
        <f t="array" ref="E7353">IFS(D7353&lt;=$G$3,'calculated data '!$A$3,D7353&lt;=$G$4,'calculated data '!$A$4,D7353&lt;=$G$6,'calculated data '!$A$5,D7353&gt;=$G$6,'calculated data '!$A$6)</f>
        <v>Target Market (Core IQR)</v>
      </c>
      <c r="F7353" s="10">
        <f t="shared" si="1"/>
        <v>-0.02246366254</v>
      </c>
    </row>
    <row r="7354" ht="14.25" customHeight="1">
      <c r="A7354" s="2" t="s">
        <v>379</v>
      </c>
      <c r="B7354" s="2" t="s">
        <v>380</v>
      </c>
      <c r="C7354" s="2">
        <v>1971.0</v>
      </c>
      <c r="D7354" s="9">
        <v>24217.994</v>
      </c>
      <c r="E7354" s="10" t="str">
        <f t="array" ref="E7354">IFS(D7354&lt;=$G$3,'calculated data '!$A$3,D7354&lt;=$G$4,'calculated data '!$A$4,D7354&lt;=$G$6,'calculated data '!$A$5,D7354&gt;=$G$6,'calculated data '!$A$6)</f>
        <v>Target Market (Core IQR)</v>
      </c>
      <c r="F7354" s="10">
        <f t="shared" si="1"/>
        <v>-0.02212720553</v>
      </c>
    </row>
    <row r="7355" ht="14.25" customHeight="1">
      <c r="A7355" s="2" t="s">
        <v>309</v>
      </c>
      <c r="B7355" s="2" t="s">
        <v>310</v>
      </c>
      <c r="C7355" s="2">
        <v>1988.0</v>
      </c>
      <c r="D7355" s="9">
        <v>24234.162</v>
      </c>
      <c r="E7355" s="10" t="str">
        <f t="array" ref="E7355">IFS(D7355&lt;=$G$3,'calculated data '!$A$3,D7355&lt;=$G$4,'calculated data '!$A$4,D7355&lt;=$G$6,'calculated data '!$A$5,D7355&gt;=$G$6,'calculated data '!$A$6)</f>
        <v>Target Market (Core IQR)</v>
      </c>
      <c r="F7355" s="10">
        <f t="shared" si="1"/>
        <v>-0.0216992426</v>
      </c>
    </row>
    <row r="7356" ht="14.25" customHeight="1">
      <c r="A7356" s="2" t="s">
        <v>277</v>
      </c>
      <c r="B7356" s="2" t="s">
        <v>278</v>
      </c>
      <c r="C7356" s="2">
        <v>2022.0</v>
      </c>
      <c r="D7356" s="9">
        <v>24238.496</v>
      </c>
      <c r="E7356" s="10" t="str">
        <f t="array" ref="E7356">IFS(D7356&lt;=$G$3,'calculated data '!$A$3,D7356&lt;=$G$4,'calculated data '!$A$4,D7356&lt;=$G$6,'calculated data '!$A$5,D7356&gt;=$G$6,'calculated data '!$A$6)</f>
        <v>Target Market (Core IQR)</v>
      </c>
      <c r="F7356" s="10">
        <f t="shared" si="1"/>
        <v>-0.0215845227</v>
      </c>
    </row>
    <row r="7357" ht="14.25" customHeight="1">
      <c r="A7357" s="2" t="s">
        <v>397</v>
      </c>
      <c r="B7357" s="2" t="s">
        <v>398</v>
      </c>
      <c r="C7357" s="2">
        <v>1966.0</v>
      </c>
      <c r="D7357" s="9">
        <v>24239.074</v>
      </c>
      <c r="E7357" s="10" t="str">
        <f t="array" ref="E7357">IFS(D7357&lt;=$G$3,'calculated data '!$A$3,D7357&lt;=$G$4,'calculated data '!$A$4,D7357&lt;=$G$6,'calculated data '!$A$5,D7357&gt;=$G$6,'calculated data '!$A$6)</f>
        <v>Target Market (Core IQR)</v>
      </c>
      <c r="F7357" s="10">
        <f t="shared" si="1"/>
        <v>-0.02156922319</v>
      </c>
    </row>
    <row r="7358" ht="14.25" customHeight="1">
      <c r="A7358" s="2" t="s">
        <v>413</v>
      </c>
      <c r="B7358" s="2" t="s">
        <v>414</v>
      </c>
      <c r="C7358" s="2">
        <v>1967.0</v>
      </c>
      <c r="D7358" s="9">
        <v>24253.664</v>
      </c>
      <c r="E7358" s="10" t="str">
        <f t="array" ref="E7358">IFS(D7358&lt;=$G$3,'calculated data '!$A$3,D7358&lt;=$G$4,'calculated data '!$A$4,D7358&lt;=$G$6,'calculated data '!$A$5,D7358&gt;=$G$6,'calculated data '!$A$6)</f>
        <v>Target Market (Core IQR)</v>
      </c>
      <c r="F7358" s="10">
        <f t="shared" si="1"/>
        <v>-0.02118302952</v>
      </c>
    </row>
    <row r="7359" ht="14.25" customHeight="1">
      <c r="A7359" s="2" t="s">
        <v>385</v>
      </c>
      <c r="B7359" s="2" t="s">
        <v>386</v>
      </c>
      <c r="C7359" s="2">
        <v>1994.0</v>
      </c>
      <c r="D7359" s="9">
        <v>24294.91</v>
      </c>
      <c r="E7359" s="10" t="str">
        <f t="array" ref="E7359">IFS(D7359&lt;=$G$3,'calculated data '!$A$3,D7359&lt;=$G$4,'calculated data '!$A$4,D7359&lt;=$G$6,'calculated data '!$A$5,D7359&gt;=$G$6,'calculated data '!$A$6)</f>
        <v>Target Market (Core IQR)</v>
      </c>
      <c r="F7359" s="10">
        <f t="shared" si="1"/>
        <v>-0.02009125817</v>
      </c>
    </row>
    <row r="7360" ht="14.25" customHeight="1">
      <c r="A7360" s="2" t="s">
        <v>285</v>
      </c>
      <c r="B7360" s="2" t="s">
        <v>286</v>
      </c>
      <c r="C7360" s="2">
        <v>2006.0</v>
      </c>
      <c r="D7360" s="9">
        <v>24307.912</v>
      </c>
      <c r="E7360" s="10" t="str">
        <f t="array" ref="E7360">IFS(D7360&lt;=$G$3,'calculated data '!$A$3,D7360&lt;=$G$4,'calculated data '!$A$4,D7360&lt;=$G$6,'calculated data '!$A$5,D7360&gt;=$G$6,'calculated data '!$A$6)</f>
        <v>Target Market (Core IQR)</v>
      </c>
      <c r="F7360" s="10">
        <f t="shared" si="1"/>
        <v>-0.01974709847</v>
      </c>
    </row>
    <row r="7361" ht="14.25" customHeight="1">
      <c r="A7361" s="2" t="s">
        <v>363</v>
      </c>
      <c r="B7361" s="2" t="s">
        <v>364</v>
      </c>
      <c r="C7361" s="2">
        <v>1989.0</v>
      </c>
      <c r="D7361" s="9">
        <v>24314.582</v>
      </c>
      <c r="E7361" s="10" t="str">
        <f t="array" ref="E7361">IFS(D7361&lt;=$G$3,'calculated data '!$A$3,D7361&lt;=$G$4,'calculated data '!$A$4,D7361&lt;=$G$6,'calculated data '!$A$5,D7361&gt;=$G$6,'calculated data '!$A$6)</f>
        <v>Target Market (Core IQR)</v>
      </c>
      <c r="F7361" s="10">
        <f t="shared" si="1"/>
        <v>-0.01957054523</v>
      </c>
    </row>
    <row r="7362" ht="14.25" customHeight="1">
      <c r="A7362" s="2" t="s">
        <v>393</v>
      </c>
      <c r="B7362" s="2" t="s">
        <v>394</v>
      </c>
      <c r="C7362" s="2">
        <v>2018.0</v>
      </c>
      <c r="D7362" s="9">
        <v>24316.043</v>
      </c>
      <c r="E7362" s="10" t="str">
        <f t="array" ref="E7362">IFS(D7362&lt;=$G$3,'calculated data '!$A$3,D7362&lt;=$G$4,'calculated data '!$A$4,D7362&lt;=$G$6,'calculated data '!$A$5,D7362&gt;=$G$6,'calculated data '!$A$6)</f>
        <v>Target Market (Core IQR)</v>
      </c>
      <c r="F7362" s="10">
        <f t="shared" si="1"/>
        <v>-0.01953187293</v>
      </c>
    </row>
    <row r="7363" ht="14.25" customHeight="1">
      <c r="A7363" s="2" t="s">
        <v>285</v>
      </c>
      <c r="B7363" s="2" t="s">
        <v>286</v>
      </c>
      <c r="C7363" s="2">
        <v>2007.0</v>
      </c>
      <c r="D7363" s="9">
        <v>24333.58</v>
      </c>
      <c r="E7363" s="10" t="str">
        <f t="array" ref="E7363">IFS(D7363&lt;=$G$3,'calculated data '!$A$3,D7363&lt;=$G$4,'calculated data '!$A$4,D7363&lt;=$G$6,'calculated data '!$A$5,D7363&gt;=$G$6,'calculated data '!$A$6)</f>
        <v>Target Market (Core IQR)</v>
      </c>
      <c r="F7363" s="10">
        <f t="shared" si="1"/>
        <v>-0.0190676729</v>
      </c>
    </row>
    <row r="7364" ht="14.25" customHeight="1">
      <c r="A7364" s="2" t="s">
        <v>375</v>
      </c>
      <c r="B7364" s="2" t="s">
        <v>376</v>
      </c>
      <c r="C7364" s="2">
        <v>1974.0</v>
      </c>
      <c r="D7364" s="9">
        <v>24354.783</v>
      </c>
      <c r="E7364" s="10" t="str">
        <f t="array" ref="E7364">IFS(D7364&lt;=$G$3,'calculated data '!$A$3,D7364&lt;=$G$4,'calculated data '!$A$4,D7364&lt;=$G$6,'calculated data '!$A$5,D7364&gt;=$G$6,'calculated data '!$A$6)</f>
        <v>Target Market (Core IQR)</v>
      </c>
      <c r="F7364" s="10">
        <f t="shared" si="1"/>
        <v>-0.01850643477</v>
      </c>
    </row>
    <row r="7365" ht="14.25" customHeight="1">
      <c r="A7365" s="2" t="s">
        <v>127</v>
      </c>
      <c r="B7365" s="2" t="s">
        <v>128</v>
      </c>
      <c r="C7365" s="2">
        <v>2013.0</v>
      </c>
      <c r="D7365" s="9">
        <v>24355.91</v>
      </c>
      <c r="E7365" s="10" t="str">
        <f t="array" ref="E7365">IFS(D7365&lt;=$G$3,'calculated data '!$A$3,D7365&lt;=$G$4,'calculated data '!$A$4,D7365&lt;=$G$6,'calculated data '!$A$5,D7365&gt;=$G$6,'calculated data '!$A$6)</f>
        <v>Target Market (Core IQR)</v>
      </c>
      <c r="F7365" s="10">
        <f t="shared" si="1"/>
        <v>-0.01847660336</v>
      </c>
    </row>
    <row r="7366" ht="14.25" customHeight="1">
      <c r="A7366" s="2" t="s">
        <v>363</v>
      </c>
      <c r="B7366" s="2" t="s">
        <v>364</v>
      </c>
      <c r="C7366" s="2">
        <v>1986.0</v>
      </c>
      <c r="D7366" s="9">
        <v>24369.682</v>
      </c>
      <c r="E7366" s="10" t="str">
        <f t="array" ref="E7366">IFS(D7366&lt;=$G$3,'calculated data '!$A$3,D7366&lt;=$G$4,'calculated data '!$A$4,D7366&lt;=$G$6,'calculated data '!$A$5,D7366&gt;=$G$6,'calculated data '!$A$6)</f>
        <v>Target Market (Core IQR)</v>
      </c>
      <c r="F7366" s="10">
        <f t="shared" si="1"/>
        <v>-0.01811206195</v>
      </c>
    </row>
    <row r="7367" ht="14.25" customHeight="1">
      <c r="A7367" s="2" t="s">
        <v>359</v>
      </c>
      <c r="B7367" s="2" t="s">
        <v>360</v>
      </c>
      <c r="C7367" s="2">
        <v>1974.0</v>
      </c>
      <c r="D7367" s="9">
        <v>24385.21</v>
      </c>
      <c r="E7367" s="10" t="str">
        <f t="array" ref="E7367">IFS(D7367&lt;=$G$3,'calculated data '!$A$3,D7367&lt;=$G$4,'calculated data '!$A$4,D7367&lt;=$G$6,'calculated data '!$A$5,D7367&gt;=$G$6,'calculated data '!$A$6)</f>
        <v>Target Market (Core IQR)</v>
      </c>
      <c r="F7367" s="10">
        <f t="shared" si="1"/>
        <v>-0.01770103966</v>
      </c>
    </row>
    <row r="7368" ht="14.25" customHeight="1">
      <c r="A7368" s="2" t="s">
        <v>337</v>
      </c>
      <c r="B7368" s="2" t="s">
        <v>338</v>
      </c>
      <c r="C7368" s="2">
        <v>1990.0</v>
      </c>
      <c r="D7368" s="9">
        <v>24391.521</v>
      </c>
      <c r="E7368" s="10" t="str">
        <f t="array" ref="E7368">IFS(D7368&lt;=$G$3,'calculated data '!$A$3,D7368&lt;=$G$4,'calculated data '!$A$4,D7368&lt;=$G$6,'calculated data '!$A$5,D7368&gt;=$G$6,'calculated data '!$A$6)</f>
        <v>Target Market (Core IQR)</v>
      </c>
      <c r="F7368" s="10">
        <f t="shared" si="1"/>
        <v>-0.01753398906</v>
      </c>
    </row>
    <row r="7369" ht="14.25" customHeight="1">
      <c r="A7369" s="2" t="s">
        <v>399</v>
      </c>
      <c r="B7369" s="2" t="s">
        <v>400</v>
      </c>
      <c r="C7369" s="2">
        <v>1987.0</v>
      </c>
      <c r="D7369" s="9">
        <v>24396.898</v>
      </c>
      <c r="E7369" s="10" t="str">
        <f t="array" ref="E7369">IFS(D7369&lt;=$G$3,'calculated data '!$A$3,D7369&lt;=$G$4,'calculated data '!$A$4,D7369&lt;=$G$6,'calculated data '!$A$5,D7369&gt;=$G$6,'calculated data '!$A$6)</f>
        <v>Target Market (Core IQR)</v>
      </c>
      <c r="F7369" s="10">
        <f t="shared" si="1"/>
        <v>-0.01739166121</v>
      </c>
    </row>
    <row r="7370" ht="14.25" customHeight="1">
      <c r="A7370" s="2" t="s">
        <v>377</v>
      </c>
      <c r="B7370" s="2" t="s">
        <v>378</v>
      </c>
      <c r="C7370" s="2">
        <v>2019.0</v>
      </c>
      <c r="D7370" s="9">
        <v>24425.918</v>
      </c>
      <c r="E7370" s="10" t="str">
        <f t="array" ref="E7370">IFS(D7370&lt;=$G$3,'calculated data '!$A$3,D7370&lt;=$G$4,'calculated data '!$A$4,D7370&lt;=$G$6,'calculated data '!$A$5,D7370&gt;=$G$6,'calculated data '!$A$6)</f>
        <v>Target Market (Core IQR)</v>
      </c>
      <c r="F7370" s="10">
        <f t="shared" si="1"/>
        <v>-0.01662350904</v>
      </c>
    </row>
    <row r="7371" ht="14.25" customHeight="1">
      <c r="A7371" s="2" t="s">
        <v>417</v>
      </c>
      <c r="B7371" s="2" t="s">
        <v>418</v>
      </c>
      <c r="C7371" s="2">
        <v>1965.0</v>
      </c>
      <c r="D7371" s="9">
        <v>24426.164</v>
      </c>
      <c r="E7371" s="10" t="str">
        <f t="array" ref="E7371">IFS(D7371&lt;=$G$3,'calculated data '!$A$3,D7371&lt;=$G$4,'calculated data '!$A$4,D7371&lt;=$G$6,'calculated data '!$A$5,D7371&gt;=$G$6,'calculated data '!$A$6)</f>
        <v>Target Market (Core IQR)</v>
      </c>
      <c r="F7371" s="10">
        <f t="shared" si="1"/>
        <v>-0.01661699748</v>
      </c>
    </row>
    <row r="7372" ht="14.25" customHeight="1">
      <c r="A7372" s="2" t="s">
        <v>373</v>
      </c>
      <c r="B7372" s="2" t="s">
        <v>374</v>
      </c>
      <c r="C7372" s="2">
        <v>2015.0</v>
      </c>
      <c r="D7372" s="9">
        <v>24428.852</v>
      </c>
      <c r="E7372" s="10" t="str">
        <f t="array" ref="E7372">IFS(D7372&lt;=$G$3,'calculated data '!$A$3,D7372&lt;=$G$4,'calculated data '!$A$4,D7372&lt;=$G$6,'calculated data '!$A$5,D7372&gt;=$G$6,'calculated data '!$A$6)</f>
        <v>Target Market (Core IQR)</v>
      </c>
      <c r="F7372" s="10">
        <f t="shared" si="1"/>
        <v>-0.01654584679</v>
      </c>
    </row>
    <row r="7373" ht="14.25" customHeight="1">
      <c r="A7373" s="2" t="s">
        <v>395</v>
      </c>
      <c r="B7373" s="2" t="s">
        <v>396</v>
      </c>
      <c r="C7373" s="2">
        <v>2016.0</v>
      </c>
      <c r="D7373" s="9">
        <v>24436.857</v>
      </c>
      <c r="E7373" s="10" t="str">
        <f t="array" ref="E7373">IFS(D7373&lt;=$G$3,'calculated data '!$A$3,D7373&lt;=$G$4,'calculated data '!$A$4,D7373&lt;=$G$6,'calculated data '!$A$5,D7373&gt;=$G$6,'calculated data '!$A$6)</f>
        <v>Target Market (Core IQR)</v>
      </c>
      <c r="F7373" s="10">
        <f t="shared" si="1"/>
        <v>-0.01633395644</v>
      </c>
    </row>
    <row r="7374" ht="14.25" customHeight="1">
      <c r="A7374" s="2" t="s">
        <v>385</v>
      </c>
      <c r="B7374" s="2" t="s">
        <v>386</v>
      </c>
      <c r="C7374" s="2">
        <v>1991.0</v>
      </c>
      <c r="D7374" s="9">
        <v>24470.797</v>
      </c>
      <c r="E7374" s="10" t="str">
        <f t="array" ref="E7374">IFS(D7374&lt;=$G$3,'calculated data '!$A$3,D7374&lt;=$G$4,'calculated data '!$A$4,D7374&lt;=$G$6,'calculated data '!$A$5,D7374&gt;=$G$6,'calculated data '!$A$6)</f>
        <v>Target Market (Core IQR)</v>
      </c>
      <c r="F7374" s="10">
        <f t="shared" si="1"/>
        <v>-0.01543557309</v>
      </c>
    </row>
    <row r="7375" ht="14.25" customHeight="1">
      <c r="A7375" s="2" t="s">
        <v>363</v>
      </c>
      <c r="B7375" s="2" t="s">
        <v>364</v>
      </c>
      <c r="C7375" s="2">
        <v>1987.0</v>
      </c>
      <c r="D7375" s="9">
        <v>24476.871</v>
      </c>
      <c r="E7375" s="10" t="str">
        <f t="array" ref="E7375">IFS(D7375&lt;=$G$3,'calculated data '!$A$3,D7375&lt;=$G$4,'calculated data '!$A$4,D7375&lt;=$G$6,'calculated data '!$A$5,D7375&gt;=$G$6,'calculated data '!$A$6)</f>
        <v>Target Market (Core IQR)</v>
      </c>
      <c r="F7375" s="10">
        <f t="shared" si="1"/>
        <v>-0.01527479582</v>
      </c>
    </row>
    <row r="7376" ht="14.25" customHeight="1">
      <c r="A7376" s="2" t="s">
        <v>221</v>
      </c>
      <c r="B7376" s="2" t="s">
        <v>222</v>
      </c>
      <c r="C7376" s="2">
        <v>1990.0</v>
      </c>
      <c r="D7376" s="9">
        <v>24494.887</v>
      </c>
      <c r="E7376" s="10" t="str">
        <f t="array" ref="E7376">IFS(D7376&lt;=$G$3,'calculated data '!$A$3,D7376&lt;=$G$4,'calculated data '!$A$4,D7376&lt;=$G$6,'calculated data '!$A$5,D7376&gt;=$G$6,'calculated data '!$A$6)</f>
        <v>Target Market (Core IQR)</v>
      </c>
      <c r="F7376" s="10">
        <f t="shared" si="1"/>
        <v>-0.01479791679</v>
      </c>
    </row>
    <row r="7377" ht="14.25" customHeight="1">
      <c r="A7377" s="2" t="s">
        <v>395</v>
      </c>
      <c r="B7377" s="2" t="s">
        <v>396</v>
      </c>
      <c r="C7377" s="2">
        <v>2006.0</v>
      </c>
      <c r="D7377" s="9">
        <v>24499.482</v>
      </c>
      <c r="E7377" s="10" t="str">
        <f t="array" ref="E7377">IFS(D7377&lt;=$G$3,'calculated data '!$A$3,D7377&lt;=$G$4,'calculated data '!$A$4,D7377&lt;=$G$6,'calculated data '!$A$5,D7377&gt;=$G$6,'calculated data '!$A$6)</f>
        <v>Target Market (Core IQR)</v>
      </c>
      <c r="F7377" s="10">
        <f t="shared" si="1"/>
        <v>-0.01467628828</v>
      </c>
    </row>
    <row r="7378" ht="14.25" customHeight="1">
      <c r="A7378" s="2" t="s">
        <v>385</v>
      </c>
      <c r="B7378" s="2" t="s">
        <v>386</v>
      </c>
      <c r="C7378" s="2">
        <v>1981.0</v>
      </c>
      <c r="D7378" s="9">
        <v>24514.264</v>
      </c>
      <c r="E7378" s="10" t="str">
        <f t="array" ref="E7378">IFS(D7378&lt;=$G$3,'calculated data '!$A$3,D7378&lt;=$G$4,'calculated data '!$A$4,D7378&lt;=$G$6,'calculated data '!$A$5,D7378&gt;=$G$6,'calculated data '!$A$6)</f>
        <v>Target Market (Core IQR)</v>
      </c>
      <c r="F7378" s="10">
        <f t="shared" si="1"/>
        <v>-0.01428501243</v>
      </c>
    </row>
    <row r="7379" ht="14.25" customHeight="1">
      <c r="A7379" s="2" t="s">
        <v>277</v>
      </c>
      <c r="B7379" s="2" t="s">
        <v>278</v>
      </c>
      <c r="C7379" s="2">
        <v>2023.0</v>
      </c>
      <c r="D7379" s="9">
        <v>24521.63</v>
      </c>
      <c r="E7379" s="10" t="str">
        <f t="array" ref="E7379">IFS(D7379&lt;=$G$3,'calculated data '!$A$3,D7379&lt;=$G$4,'calculated data '!$A$4,D7379&lt;=$G$6,'calculated data '!$A$5,D7379&gt;=$G$6,'calculated data '!$A$6)</f>
        <v>Target Market (Core IQR)</v>
      </c>
      <c r="F7379" s="10">
        <f t="shared" si="1"/>
        <v>-0.01409003624</v>
      </c>
    </row>
    <row r="7380" ht="14.25" customHeight="1">
      <c r="A7380" s="2" t="s">
        <v>375</v>
      </c>
      <c r="B7380" s="2" t="s">
        <v>376</v>
      </c>
      <c r="C7380" s="2">
        <v>2013.0</v>
      </c>
      <c r="D7380" s="9">
        <v>24522.523</v>
      </c>
      <c r="E7380" s="10" t="str">
        <f t="array" ref="E7380">IFS(D7380&lt;=$G$3,'calculated data '!$A$3,D7380&lt;=$G$4,'calculated data '!$A$4,D7380&lt;=$G$6,'calculated data '!$A$5,D7380&gt;=$G$6,'calculated data '!$A$6)</f>
        <v>Target Market (Core IQR)</v>
      </c>
      <c r="F7380" s="10">
        <f t="shared" si="1"/>
        <v>-0.01406639875</v>
      </c>
    </row>
    <row r="7381" ht="14.25" customHeight="1">
      <c r="A7381" s="2" t="s">
        <v>399</v>
      </c>
      <c r="B7381" s="2" t="s">
        <v>400</v>
      </c>
      <c r="C7381" s="2">
        <v>2017.0</v>
      </c>
      <c r="D7381" s="9">
        <v>24529.121</v>
      </c>
      <c r="E7381" s="10" t="str">
        <f t="array" ref="E7381">IFS(D7381&lt;=$G$3,'calculated data '!$A$3,D7381&lt;=$G$4,'calculated data '!$A$4,D7381&lt;=$G$6,'calculated data '!$A$5,D7381&gt;=$G$6,'calculated data '!$A$6)</f>
        <v>Target Market (Core IQR)</v>
      </c>
      <c r="F7381" s="10">
        <f t="shared" si="1"/>
        <v>-0.01389175134</v>
      </c>
    </row>
    <row r="7382" ht="14.25" customHeight="1">
      <c r="A7382" s="2" t="s">
        <v>393</v>
      </c>
      <c r="B7382" s="2" t="s">
        <v>394</v>
      </c>
      <c r="C7382" s="2">
        <v>1994.0</v>
      </c>
      <c r="D7382" s="9">
        <v>24543.025</v>
      </c>
      <c r="E7382" s="10" t="str">
        <f t="array" ref="E7382">IFS(D7382&lt;=$G$3,'calculated data '!$A$3,D7382&lt;=$G$4,'calculated data '!$A$4,D7382&lt;=$G$6,'calculated data '!$A$5,D7382&gt;=$G$6,'calculated data '!$A$6)</f>
        <v>Target Market (Core IQR)</v>
      </c>
      <c r="F7382" s="10">
        <f t="shared" si="1"/>
        <v>-0.01352371592</v>
      </c>
    </row>
    <row r="7383" ht="14.25" customHeight="1">
      <c r="A7383" s="2" t="s">
        <v>271</v>
      </c>
      <c r="B7383" s="2" t="s">
        <v>272</v>
      </c>
      <c r="C7383" s="2">
        <v>2010.0</v>
      </c>
      <c r="D7383" s="9">
        <v>24555.998</v>
      </c>
      <c r="E7383" s="10" t="str">
        <f t="array" ref="E7383">IFS(D7383&lt;=$G$3,'calculated data '!$A$3,D7383&lt;=$G$4,'calculated data '!$A$4,D7383&lt;=$G$6,'calculated data '!$A$5,D7383&gt;=$G$6,'calculated data '!$A$6)</f>
        <v>Target Market (Core IQR)</v>
      </c>
      <c r="F7383" s="10">
        <f t="shared" si="1"/>
        <v>-0.01318032384</v>
      </c>
    </row>
    <row r="7384" ht="14.25" customHeight="1">
      <c r="A7384" s="2" t="s">
        <v>359</v>
      </c>
      <c r="B7384" s="2" t="s">
        <v>360</v>
      </c>
      <c r="C7384" s="2">
        <v>1973.0</v>
      </c>
      <c r="D7384" s="9">
        <v>24571.902</v>
      </c>
      <c r="E7384" s="10" t="str">
        <f t="array" ref="E7384">IFS(D7384&lt;=$G$3,'calculated data '!$A$3,D7384&lt;=$G$4,'calculated data '!$A$4,D7384&lt;=$G$6,'calculated data '!$A$5,D7384&gt;=$G$6,'calculated data '!$A$6)</f>
        <v>Target Market (Core IQR)</v>
      </c>
      <c r="F7384" s="10">
        <f t="shared" si="1"/>
        <v>-0.01275934892</v>
      </c>
    </row>
    <row r="7385" ht="14.25" customHeight="1">
      <c r="A7385" s="2" t="s">
        <v>271</v>
      </c>
      <c r="B7385" s="2" t="s">
        <v>272</v>
      </c>
      <c r="C7385" s="2">
        <v>2015.0</v>
      </c>
      <c r="D7385" s="9">
        <v>24576.812</v>
      </c>
      <c r="E7385" s="10" t="str">
        <f t="array" ref="E7385">IFS(D7385&lt;=$G$3,'calculated data '!$A$3,D7385&lt;=$G$4,'calculated data '!$A$4,D7385&lt;=$G$6,'calculated data '!$A$5,D7385&gt;=$G$6,'calculated data '!$A$6)</f>
        <v>Target Market (Core IQR)</v>
      </c>
      <c r="F7385" s="10">
        <f t="shared" si="1"/>
        <v>-0.01262938244</v>
      </c>
    </row>
    <row r="7386" ht="14.25" customHeight="1">
      <c r="A7386" s="2" t="s">
        <v>419</v>
      </c>
      <c r="B7386" s="2" t="s">
        <v>420</v>
      </c>
      <c r="C7386" s="2">
        <v>1995.0</v>
      </c>
      <c r="D7386" s="9">
        <v>24581.297</v>
      </c>
      <c r="E7386" s="10" t="str">
        <f t="array" ref="E7386">IFS(D7386&lt;=$G$3,'calculated data '!$A$3,D7386&lt;=$G$4,'calculated data '!$A$4,D7386&lt;=$G$6,'calculated data '!$A$5,D7386&gt;=$G$6,'calculated data '!$A$6)</f>
        <v>Target Market (Core IQR)</v>
      </c>
      <c r="F7386" s="10">
        <f t="shared" si="1"/>
        <v>-0.01251066561</v>
      </c>
    </row>
    <row r="7387" ht="14.25" customHeight="1">
      <c r="A7387" s="2" t="s">
        <v>403</v>
      </c>
      <c r="B7387" s="2" t="s">
        <v>404</v>
      </c>
      <c r="C7387" s="2">
        <v>1999.0</v>
      </c>
      <c r="D7387" s="9">
        <v>24600.855</v>
      </c>
      <c r="E7387" s="10" t="str">
        <f t="array" ref="E7387">IFS(D7387&lt;=$G$3,'calculated data '!$A$3,D7387&lt;=$G$4,'calculated data '!$A$4,D7387&lt;=$G$6,'calculated data '!$A$5,D7387&gt;=$G$6,'calculated data '!$A$6)</f>
        <v>Target Market (Core IQR)</v>
      </c>
      <c r="F7387" s="10">
        <f t="shared" si="1"/>
        <v>-0.01199297022</v>
      </c>
    </row>
    <row r="7388" ht="14.25" customHeight="1">
      <c r="A7388" s="2" t="s">
        <v>271</v>
      </c>
      <c r="B7388" s="2" t="s">
        <v>272</v>
      </c>
      <c r="C7388" s="2">
        <v>2009.0</v>
      </c>
      <c r="D7388" s="9">
        <v>24632.508</v>
      </c>
      <c r="E7388" s="10" t="str">
        <f t="array" ref="E7388">IFS(D7388&lt;=$G$3,'calculated data '!$A$3,D7388&lt;=$G$4,'calculated data '!$A$4,D7388&lt;=$G$6,'calculated data '!$A$5,D7388&gt;=$G$6,'calculated data '!$A$6)</f>
        <v>Target Market (Core IQR)</v>
      </c>
      <c r="F7388" s="10">
        <f t="shared" si="1"/>
        <v>-0.0111551232</v>
      </c>
    </row>
    <row r="7389" ht="14.25" customHeight="1">
      <c r="A7389" s="2" t="s">
        <v>375</v>
      </c>
      <c r="B7389" s="2" t="s">
        <v>376</v>
      </c>
      <c r="C7389" s="2">
        <v>2014.0</v>
      </c>
      <c r="D7389" s="9">
        <v>24632.92</v>
      </c>
      <c r="E7389" s="10" t="str">
        <f t="array" ref="E7389">IFS(D7389&lt;=$G$3,'calculated data '!$A$3,D7389&lt;=$G$4,'calculated data '!$A$4,D7389&lt;=$G$6,'calculated data '!$A$5,D7389&gt;=$G$6,'calculated data '!$A$6)</f>
        <v>Target Market (Core IQR)</v>
      </c>
      <c r="F7389" s="10">
        <f t="shared" si="1"/>
        <v>-0.01114421766</v>
      </c>
    </row>
    <row r="7390" ht="14.25" customHeight="1">
      <c r="A7390" s="2" t="s">
        <v>419</v>
      </c>
      <c r="B7390" s="2" t="s">
        <v>420</v>
      </c>
      <c r="C7390" s="2">
        <v>1999.0</v>
      </c>
      <c r="D7390" s="9">
        <v>24641.3</v>
      </c>
      <c r="E7390" s="10" t="str">
        <f t="array" ref="E7390">IFS(D7390&lt;=$G$3,'calculated data '!$A$3,D7390&lt;=$G$4,'calculated data '!$A$4,D7390&lt;=$G$6,'calculated data '!$A$5,D7390&gt;=$G$6,'calculated data '!$A$6)</f>
        <v>Target Market (Core IQR)</v>
      </c>
      <c r="F7390" s="10">
        <f t="shared" si="1"/>
        <v>-0.01092240115</v>
      </c>
    </row>
    <row r="7391" ht="14.25" customHeight="1">
      <c r="A7391" s="2" t="s">
        <v>71</v>
      </c>
      <c r="B7391" s="2" t="s">
        <v>72</v>
      </c>
      <c r="C7391" s="2">
        <v>1987.0</v>
      </c>
      <c r="D7391" s="9">
        <v>24641.562</v>
      </c>
      <c r="E7391" s="10" t="str">
        <f t="array" ref="E7391">IFS(D7391&lt;=$G$3,'calculated data '!$A$3,D7391&lt;=$G$4,'calculated data '!$A$4,D7391&lt;=$G$6,'calculated data '!$A$5,D7391&gt;=$G$6,'calculated data '!$A$6)</f>
        <v>Target Market (Core IQR)</v>
      </c>
      <c r="F7391" s="10">
        <f t="shared" si="1"/>
        <v>-0.01091546607</v>
      </c>
    </row>
    <row r="7392" ht="14.25" customHeight="1">
      <c r="A7392" s="2" t="s">
        <v>355</v>
      </c>
      <c r="B7392" s="2" t="s">
        <v>356</v>
      </c>
      <c r="C7392" s="2">
        <v>2017.0</v>
      </c>
      <c r="D7392" s="9">
        <v>24643.828</v>
      </c>
      <c r="E7392" s="10" t="str">
        <f t="array" ref="E7392">IFS(D7392&lt;=$G$3,'calculated data '!$A$3,D7392&lt;=$G$4,'calculated data '!$A$4,D7392&lt;=$G$6,'calculated data '!$A$5,D7392&gt;=$G$6,'calculated data '!$A$6)</f>
        <v>Target Market (Core IQR)</v>
      </c>
      <c r="F7392" s="10">
        <f t="shared" si="1"/>
        <v>-0.01085548561</v>
      </c>
    </row>
    <row r="7393" ht="14.25" customHeight="1">
      <c r="A7393" s="2" t="s">
        <v>335</v>
      </c>
      <c r="B7393" s="2" t="s">
        <v>336</v>
      </c>
      <c r="C7393" s="2">
        <v>1988.0</v>
      </c>
      <c r="D7393" s="9">
        <v>24656.582</v>
      </c>
      <c r="E7393" s="10" t="str">
        <f t="array" ref="E7393">IFS(D7393&lt;=$G$3,'calculated data '!$A$3,D7393&lt;=$G$4,'calculated data '!$A$4,D7393&lt;=$G$6,'calculated data '!$A$5,D7393&gt;=$G$6,'calculated data '!$A$6)</f>
        <v>Target Market (Core IQR)</v>
      </c>
      <c r="F7393" s="10">
        <f t="shared" si="1"/>
        <v>-0.01051789041</v>
      </c>
    </row>
    <row r="7394" ht="14.25" customHeight="1">
      <c r="A7394" s="2" t="s">
        <v>399</v>
      </c>
      <c r="B7394" s="2" t="s">
        <v>400</v>
      </c>
      <c r="C7394" s="2">
        <v>2021.0</v>
      </c>
      <c r="D7394" s="9">
        <v>24659.6</v>
      </c>
      <c r="E7394" s="10" t="str">
        <f t="array" ref="E7394">IFS(D7394&lt;=$G$3,'calculated data '!$A$3,D7394&lt;=$G$4,'calculated data '!$A$4,D7394&lt;=$G$6,'calculated data '!$A$5,D7394&gt;=$G$6,'calculated data '!$A$6)</f>
        <v>Target Market (Core IQR)</v>
      </c>
      <c r="F7394" s="10">
        <f t="shared" si="1"/>
        <v>-0.0104380047</v>
      </c>
    </row>
    <row r="7395" ht="14.25" customHeight="1">
      <c r="A7395" s="2" t="s">
        <v>331</v>
      </c>
      <c r="B7395" s="2" t="s">
        <v>332</v>
      </c>
      <c r="C7395" s="2">
        <v>1988.0</v>
      </c>
      <c r="D7395" s="9">
        <v>24660.332</v>
      </c>
      <c r="E7395" s="10" t="str">
        <f t="array" ref="E7395">IFS(D7395&lt;=$G$3,'calculated data '!$A$3,D7395&lt;=$G$4,'calculated data '!$A$4,D7395&lt;=$G$6,'calculated data '!$A$5,D7395&gt;=$G$6,'calculated data '!$A$6)</f>
        <v>Target Market (Core IQR)</v>
      </c>
      <c r="F7395" s="10">
        <f t="shared" si="1"/>
        <v>-0.01041862885</v>
      </c>
    </row>
    <row r="7396" ht="14.25" customHeight="1">
      <c r="A7396" s="2" t="s">
        <v>271</v>
      </c>
      <c r="B7396" s="2" t="s">
        <v>272</v>
      </c>
      <c r="C7396" s="2">
        <v>2019.0</v>
      </c>
      <c r="D7396" s="9">
        <v>24667.18</v>
      </c>
      <c r="E7396" s="10" t="str">
        <f t="array" ref="E7396">IFS(D7396&lt;=$G$3,'calculated data '!$A$3,D7396&lt;=$G$4,'calculated data '!$A$4,D7396&lt;=$G$6,'calculated data '!$A$5,D7396&gt;=$G$6,'calculated data '!$A$6)</f>
        <v>Target Market (Core IQR)</v>
      </c>
      <c r="F7396" s="10">
        <f t="shared" si="1"/>
        <v>-0.01023736399</v>
      </c>
    </row>
    <row r="7397" ht="14.25" customHeight="1">
      <c r="A7397" s="2" t="s">
        <v>341</v>
      </c>
      <c r="B7397" s="2" t="s">
        <v>342</v>
      </c>
      <c r="C7397" s="2">
        <v>2012.0</v>
      </c>
      <c r="D7397" s="9">
        <v>24667.205</v>
      </c>
      <c r="E7397" s="10" t="str">
        <f t="array" ref="E7397">IFS(D7397&lt;=$G$3,'calculated data '!$A$3,D7397&lt;=$G$4,'calculated data '!$A$4,D7397&lt;=$G$6,'calculated data '!$A$5,D7397&gt;=$G$6,'calculated data '!$A$6)</f>
        <v>Target Market (Core IQR)</v>
      </c>
      <c r="F7397" s="10">
        <f t="shared" si="1"/>
        <v>-0.01023670225</v>
      </c>
    </row>
    <row r="7398" ht="14.25" customHeight="1">
      <c r="A7398" s="2" t="s">
        <v>373</v>
      </c>
      <c r="B7398" s="2" t="s">
        <v>374</v>
      </c>
      <c r="C7398" s="2">
        <v>1999.0</v>
      </c>
      <c r="D7398" s="9">
        <v>24680.318</v>
      </c>
      <c r="E7398" s="10" t="str">
        <f t="array" ref="E7398">IFS(D7398&lt;=$G$3,'calculated data '!$A$3,D7398&lt;=$G$4,'calculated data '!$A$4,D7398&lt;=$G$6,'calculated data '!$A$5,D7398&gt;=$G$6,'calculated data '!$A$6)</f>
        <v>Target Market (Core IQR)</v>
      </c>
      <c r="F7398" s="10">
        <f t="shared" si="1"/>
        <v>-0.009889604403</v>
      </c>
    </row>
    <row r="7399" ht="14.25" customHeight="1">
      <c r="A7399" s="2" t="s">
        <v>399</v>
      </c>
      <c r="B7399" s="2" t="s">
        <v>400</v>
      </c>
      <c r="C7399" s="2">
        <v>1988.0</v>
      </c>
      <c r="D7399" s="9">
        <v>24684.045</v>
      </c>
      <c r="E7399" s="10" t="str">
        <f t="array" ref="E7399">IFS(D7399&lt;=$G$3,'calculated data '!$A$3,D7399&lt;=$G$4,'calculated data '!$A$4,D7399&lt;=$G$6,'calculated data '!$A$5,D7399&gt;=$G$6,'calculated data '!$A$6)</f>
        <v>Target Market (Core IQR)</v>
      </c>
      <c r="F7399" s="10">
        <f t="shared" si="1"/>
        <v>-0.009790951641</v>
      </c>
    </row>
    <row r="7400" ht="14.25" customHeight="1">
      <c r="A7400" s="2" t="s">
        <v>319</v>
      </c>
      <c r="B7400" s="2" t="s">
        <v>320</v>
      </c>
      <c r="C7400" s="2">
        <v>2019.0</v>
      </c>
      <c r="D7400" s="9">
        <v>24694.812</v>
      </c>
      <c r="E7400" s="10" t="str">
        <f t="array" ref="E7400">IFS(D7400&lt;=$G$3,'calculated data '!$A$3,D7400&lt;=$G$4,'calculated data '!$A$4,D7400&lt;=$G$6,'calculated data '!$A$5,D7400&gt;=$G$6,'calculated data '!$A$6)</f>
        <v>Target Market (Core IQR)</v>
      </c>
      <c r="F7400" s="10">
        <f t="shared" si="1"/>
        <v>-0.009505951833</v>
      </c>
    </row>
    <row r="7401" ht="14.25" customHeight="1">
      <c r="A7401" s="2" t="s">
        <v>399</v>
      </c>
      <c r="B7401" s="2" t="s">
        <v>400</v>
      </c>
      <c r="C7401" s="2">
        <v>2018.0</v>
      </c>
      <c r="D7401" s="9">
        <v>24740.06</v>
      </c>
      <c r="E7401" s="10" t="str">
        <f t="array" ref="E7401">IFS(D7401&lt;=$G$3,'calculated data '!$A$3,D7401&lt;=$G$4,'calculated data '!$A$4,D7401&lt;=$G$6,'calculated data '!$A$5,D7401&gt;=$G$6,'calculated data '!$A$6)</f>
        <v>Target Market (Core IQR)</v>
      </c>
      <c r="F7401" s="10">
        <f t="shared" si="1"/>
        <v>-0.008308248543</v>
      </c>
    </row>
    <row r="7402" ht="14.25" customHeight="1">
      <c r="A7402" s="2" t="s">
        <v>395</v>
      </c>
      <c r="B7402" s="2" t="s">
        <v>396</v>
      </c>
      <c r="C7402" s="2">
        <v>2007.0</v>
      </c>
      <c r="D7402" s="9">
        <v>24744.312</v>
      </c>
      <c r="E7402" s="10" t="str">
        <f t="array" ref="E7402">IFS(D7402&lt;=$G$3,'calculated data '!$A$3,D7402&lt;=$G$4,'calculated data '!$A$4,D7402&lt;=$G$6,'calculated data '!$A$5,D7402&gt;=$G$6,'calculated data '!$A$6)</f>
        <v>Target Market (Core IQR)</v>
      </c>
      <c r="F7402" s="10">
        <f t="shared" si="1"/>
        <v>-0.008195699162</v>
      </c>
    </row>
    <row r="7403" ht="14.25" customHeight="1">
      <c r="A7403" s="2" t="s">
        <v>421</v>
      </c>
      <c r="B7403" s="2" t="s">
        <v>422</v>
      </c>
      <c r="C7403" s="2">
        <v>1965.0</v>
      </c>
      <c r="D7403" s="9">
        <v>24747.1</v>
      </c>
      <c r="E7403" s="10" t="str">
        <f t="array" ref="E7403">IFS(D7403&lt;=$G$3,'calculated data '!$A$3,D7403&lt;=$G$4,'calculated data '!$A$4,D7403&lt;=$G$6,'calculated data '!$A$5,D7403&gt;=$G$6,'calculated data '!$A$6)</f>
        <v>Target Market (Core IQR)</v>
      </c>
      <c r="F7403" s="10">
        <f t="shared" si="1"/>
        <v>-0.008121901496</v>
      </c>
    </row>
    <row r="7404" ht="14.25" customHeight="1">
      <c r="A7404" s="2" t="s">
        <v>47</v>
      </c>
      <c r="B7404" s="2" t="s">
        <v>48</v>
      </c>
      <c r="C7404" s="2">
        <v>2011.0</v>
      </c>
      <c r="D7404" s="9">
        <v>24752.686</v>
      </c>
      <c r="E7404" s="10" t="str">
        <f t="array" ref="E7404">IFS(D7404&lt;=$G$3,'calculated data '!$A$3,D7404&lt;=$G$4,'calculated data '!$A$4,D7404&lt;=$G$6,'calculated data '!$A$5,D7404&gt;=$G$6,'calculated data '!$A$6)</f>
        <v>Target Market (Core IQR)</v>
      </c>
      <c r="F7404" s="10">
        <f t="shared" si="1"/>
        <v>-0.007974041467</v>
      </c>
    </row>
    <row r="7405" ht="14.25" customHeight="1">
      <c r="A7405" s="2" t="s">
        <v>39</v>
      </c>
      <c r="B7405" s="2" t="s">
        <v>40</v>
      </c>
      <c r="C7405" s="2">
        <v>2007.0</v>
      </c>
      <c r="D7405" s="9">
        <v>24755.674</v>
      </c>
      <c r="E7405" s="10" t="str">
        <f t="array" ref="E7405">IFS(D7405&lt;=$G$3,'calculated data '!$A$3,D7405&lt;=$G$4,'calculated data '!$A$4,D7405&lt;=$G$6,'calculated data '!$A$5,D7405&gt;=$G$6,'calculated data '!$A$6)</f>
        <v>Target Market (Core IQR)</v>
      </c>
      <c r="F7405" s="10">
        <f t="shared" si="1"/>
        <v>-0.007894949852</v>
      </c>
    </row>
    <row r="7406" ht="14.25" customHeight="1">
      <c r="A7406" s="2" t="s">
        <v>363</v>
      </c>
      <c r="B7406" s="2" t="s">
        <v>364</v>
      </c>
      <c r="C7406" s="2">
        <v>1990.0</v>
      </c>
      <c r="D7406" s="9">
        <v>24757.941</v>
      </c>
      <c r="E7406" s="10" t="str">
        <f t="array" ref="E7406">IFS(D7406&lt;=$G$3,'calculated data '!$A$3,D7406&lt;=$G$4,'calculated data '!$A$4,D7406&lt;=$G$6,'calculated data '!$A$5,D7406&gt;=$G$6,'calculated data '!$A$6)</f>
        <v>Target Market (Core IQR)</v>
      </c>
      <c r="F7406" s="10">
        <f t="shared" si="1"/>
        <v>-0.007834942926</v>
      </c>
    </row>
    <row r="7407" ht="14.25" customHeight="1">
      <c r="A7407" s="2" t="s">
        <v>385</v>
      </c>
      <c r="B7407" s="2" t="s">
        <v>386</v>
      </c>
      <c r="C7407" s="2">
        <v>1998.0</v>
      </c>
      <c r="D7407" s="9">
        <v>24759.682</v>
      </c>
      <c r="E7407" s="10" t="str">
        <f t="array" ref="E7407">IFS(D7407&lt;=$G$3,'calculated data '!$A$3,D7407&lt;=$G$4,'calculated data '!$A$4,D7407&lt;=$G$6,'calculated data '!$A$5,D7407&gt;=$G$6,'calculated data '!$A$6)</f>
        <v>Target Market (Core IQR)</v>
      </c>
      <c r="F7407" s="10">
        <f t="shared" si="1"/>
        <v>-0.00778885909</v>
      </c>
    </row>
    <row r="7408" ht="14.25" customHeight="1">
      <c r="A7408" s="2" t="s">
        <v>379</v>
      </c>
      <c r="B7408" s="2" t="s">
        <v>380</v>
      </c>
      <c r="C7408" s="2">
        <v>1981.0</v>
      </c>
      <c r="D7408" s="9">
        <v>24762.367</v>
      </c>
      <c r="E7408" s="10" t="str">
        <f t="array" ref="E7408">IFS(D7408&lt;=$G$3,'calculated data '!$A$3,D7408&lt;=$G$4,'calculated data '!$A$4,D7408&lt;=$G$6,'calculated data '!$A$5,D7408&gt;=$G$6,'calculated data '!$A$6)</f>
        <v>Target Market (Core IQR)</v>
      </c>
      <c r="F7408" s="10">
        <f t="shared" si="1"/>
        <v>-0.007717787809</v>
      </c>
    </row>
    <row r="7409" ht="14.25" customHeight="1">
      <c r="A7409" s="2" t="s">
        <v>311</v>
      </c>
      <c r="B7409" s="2" t="s">
        <v>312</v>
      </c>
      <c r="C7409" s="2">
        <v>2006.0</v>
      </c>
      <c r="D7409" s="9">
        <v>24780.537</v>
      </c>
      <c r="E7409" s="10" t="str">
        <f t="array" ref="E7409">IFS(D7409&lt;=$G$3,'calculated data '!$A$3,D7409&lt;=$G$4,'calculated data '!$A$4,D7409&lt;=$G$6,'calculated data '!$A$5,D7409&gt;=$G$6,'calculated data '!$A$6)</f>
        <v>Target Market (Core IQR)</v>
      </c>
      <c r="F7409" s="10">
        <f t="shared" si="1"/>
        <v>-0.007236832434</v>
      </c>
    </row>
    <row r="7410" ht="14.25" customHeight="1">
      <c r="A7410" s="2" t="s">
        <v>379</v>
      </c>
      <c r="B7410" s="2" t="s">
        <v>380</v>
      </c>
      <c r="C7410" s="2">
        <v>1986.0</v>
      </c>
      <c r="D7410" s="9">
        <v>24788.24</v>
      </c>
      <c r="E7410" s="10" t="str">
        <f t="array" ref="E7410">IFS(D7410&lt;=$G$3,'calculated data '!$A$3,D7410&lt;=$G$4,'calculated data '!$A$4,D7410&lt;=$G$6,'calculated data '!$A$5,D7410&gt;=$G$6,'calculated data '!$A$6)</f>
        <v>Target Market (Core IQR)</v>
      </c>
      <c r="F7410" s="10">
        <f t="shared" si="1"/>
        <v>-0.007032935943</v>
      </c>
    </row>
    <row r="7411" ht="14.25" customHeight="1">
      <c r="A7411" s="2" t="s">
        <v>127</v>
      </c>
      <c r="B7411" s="2" t="s">
        <v>128</v>
      </c>
      <c r="C7411" s="2">
        <v>2012.0</v>
      </c>
      <c r="D7411" s="9">
        <v>24796.076</v>
      </c>
      <c r="E7411" s="10" t="str">
        <f t="array" ref="E7411">IFS(D7411&lt;=$G$3,'calculated data '!$A$3,D7411&lt;=$G$4,'calculated data '!$A$4,D7411&lt;=$G$6,'calculated data '!$A$5,D7411&gt;=$G$6,'calculated data '!$A$6)</f>
        <v>Target Market (Core IQR)</v>
      </c>
      <c r="F7411" s="10">
        <f t="shared" si="1"/>
        <v>-0.006825518974</v>
      </c>
    </row>
    <row r="7412" ht="14.25" customHeight="1">
      <c r="A7412" s="2" t="s">
        <v>385</v>
      </c>
      <c r="B7412" s="2" t="s">
        <v>386</v>
      </c>
      <c r="C7412" s="2">
        <v>2003.0</v>
      </c>
      <c r="D7412" s="9">
        <v>24806.967</v>
      </c>
      <c r="E7412" s="10" t="str">
        <f t="array" ref="E7412">IFS(D7412&lt;=$G$3,'calculated data '!$A$3,D7412&lt;=$G$4,'calculated data '!$A$4,D7412&lt;=$G$6,'calculated data '!$A$5,D7412&gt;=$G$6,'calculated data '!$A$6)</f>
        <v>Target Market (Core IQR)</v>
      </c>
      <c r="F7412" s="10">
        <f t="shared" si="1"/>
        <v>-0.006537236917</v>
      </c>
    </row>
    <row r="7413" ht="14.25" customHeight="1">
      <c r="A7413" s="2" t="s">
        <v>379</v>
      </c>
      <c r="B7413" s="2" t="s">
        <v>380</v>
      </c>
      <c r="C7413" s="2">
        <v>1978.0</v>
      </c>
      <c r="D7413" s="9">
        <v>24807.955</v>
      </c>
      <c r="E7413" s="10" t="str">
        <f t="array" ref="E7413">IFS(D7413&lt;=$G$3,'calculated data '!$A$3,D7413&lt;=$G$4,'calculated data '!$A$4,D7413&lt;=$G$6,'calculated data '!$A$5,D7413&gt;=$G$6,'calculated data '!$A$6)</f>
        <v>Target Market (Core IQR)</v>
      </c>
      <c r="F7413" s="10">
        <f t="shared" si="1"/>
        <v>-0.006511084803</v>
      </c>
    </row>
    <row r="7414" ht="14.25" customHeight="1">
      <c r="A7414" s="2" t="s">
        <v>373</v>
      </c>
      <c r="B7414" s="2" t="s">
        <v>374</v>
      </c>
      <c r="C7414" s="2">
        <v>2016.0</v>
      </c>
      <c r="D7414" s="9">
        <v>24818.07</v>
      </c>
      <c r="E7414" s="10" t="str">
        <f t="array" ref="E7414">IFS(D7414&lt;=$G$3,'calculated data '!$A$3,D7414&lt;=$G$4,'calculated data '!$A$4,D7414&lt;=$G$6,'calculated data '!$A$5,D7414&gt;=$G$6,'calculated data '!$A$6)</f>
        <v>Target Market (Core IQR)</v>
      </c>
      <c r="F7414" s="10">
        <f t="shared" si="1"/>
        <v>-0.006243343272</v>
      </c>
    </row>
    <row r="7415" ht="14.25" customHeight="1">
      <c r="A7415" s="2" t="s">
        <v>71</v>
      </c>
      <c r="B7415" s="2" t="s">
        <v>72</v>
      </c>
      <c r="C7415" s="2">
        <v>1985.0</v>
      </c>
      <c r="D7415" s="9">
        <v>24838.734</v>
      </c>
      <c r="E7415" s="10" t="str">
        <f t="array" ref="E7415">IFS(D7415&lt;=$G$3,'calculated data '!$A$3,D7415&lt;=$G$4,'calculated data '!$A$4,D7415&lt;=$G$6,'calculated data '!$A$5,D7415&gt;=$G$6,'calculated data '!$A$6)</f>
        <v>Target Market (Core IQR)</v>
      </c>
      <c r="F7415" s="10">
        <f t="shared" si="1"/>
        <v>-0.005696372339</v>
      </c>
    </row>
    <row r="7416" ht="14.25" customHeight="1">
      <c r="A7416" s="2" t="s">
        <v>323</v>
      </c>
      <c r="B7416" s="2" t="s">
        <v>324</v>
      </c>
      <c r="C7416" s="2">
        <v>2017.0</v>
      </c>
      <c r="D7416" s="9">
        <v>24844.086</v>
      </c>
      <c r="E7416" s="10" t="str">
        <f t="array" ref="E7416">IFS(D7416&lt;=$G$3,'calculated data '!$A$3,D7416&lt;=$G$4,'calculated data '!$A$4,D7416&lt;=$G$6,'calculated data '!$A$5,D7416&gt;=$G$6,'calculated data '!$A$6)</f>
        <v>Target Market (Core IQR)</v>
      </c>
      <c r="F7416" s="10">
        <f t="shared" si="1"/>
        <v>-0.005554706232</v>
      </c>
    </row>
    <row r="7417" ht="14.25" customHeight="1">
      <c r="A7417" s="2" t="s">
        <v>385</v>
      </c>
      <c r="B7417" s="2" t="s">
        <v>386</v>
      </c>
      <c r="C7417" s="2">
        <v>2015.0</v>
      </c>
      <c r="D7417" s="9">
        <v>24872.076</v>
      </c>
      <c r="E7417" s="10" t="str">
        <f t="array" ref="E7417">IFS(D7417&lt;=$G$3,'calculated data '!$A$3,D7417&lt;=$G$4,'calculated data '!$A$4,D7417&lt;=$G$6,'calculated data '!$A$5,D7417&gt;=$G$6,'calculated data '!$A$6)</f>
        <v>Target Market (Core IQR)</v>
      </c>
      <c r="F7417" s="10">
        <f t="shared" si="1"/>
        <v>-0.004813817903</v>
      </c>
    </row>
    <row r="7418" ht="14.25" customHeight="1">
      <c r="A7418" s="2" t="s">
        <v>379</v>
      </c>
      <c r="B7418" s="2" t="s">
        <v>380</v>
      </c>
      <c r="C7418" s="2">
        <v>1980.0</v>
      </c>
      <c r="D7418" s="9">
        <v>24875.014</v>
      </c>
      <c r="E7418" s="10" t="str">
        <f t="array" ref="E7418">IFS(D7418&lt;=$G$3,'calculated data '!$A$3,D7418&lt;=$G$4,'calculated data '!$A$4,D7418&lt;=$G$6,'calculated data '!$A$5,D7418&gt;=$G$6,'calculated data '!$A$6)</f>
        <v>Target Market (Core IQR)</v>
      </c>
      <c r="F7418" s="10">
        <f t="shared" si="1"/>
        <v>-0.004736049775</v>
      </c>
    </row>
    <row r="7419" ht="14.25" customHeight="1">
      <c r="A7419" s="2" t="s">
        <v>39</v>
      </c>
      <c r="B7419" s="2" t="s">
        <v>40</v>
      </c>
      <c r="C7419" s="2">
        <v>2008.0</v>
      </c>
      <c r="D7419" s="9">
        <v>24881.477</v>
      </c>
      <c r="E7419" s="10" t="str">
        <f t="array" ref="E7419">IFS(D7419&lt;=$G$3,'calculated data '!$A$3,D7419&lt;=$G$4,'calculated data '!$A$4,D7419&lt;=$G$6,'calculated data '!$A$5,D7419&gt;=$G$6,'calculated data '!$A$6)</f>
        <v>Target Market (Core IQR)</v>
      </c>
      <c r="F7419" s="10">
        <f t="shared" si="1"/>
        <v>-0.004564975775</v>
      </c>
    </row>
    <row r="7420" ht="14.25" customHeight="1">
      <c r="A7420" s="2" t="s">
        <v>399</v>
      </c>
      <c r="B7420" s="2" t="s">
        <v>400</v>
      </c>
      <c r="C7420" s="2">
        <v>2019.0</v>
      </c>
      <c r="D7420" s="9">
        <v>24891.611</v>
      </c>
      <c r="E7420" s="10" t="str">
        <f t="array" ref="E7420">IFS(D7420&lt;=$G$3,'calculated data '!$A$3,D7420&lt;=$G$4,'calculated data '!$A$4,D7420&lt;=$G$6,'calculated data '!$A$5,D7420&gt;=$G$6,'calculated data '!$A$6)</f>
        <v>Target Market (Core IQR)</v>
      </c>
      <c r="F7420" s="10">
        <f t="shared" si="1"/>
        <v>-0.004296731319</v>
      </c>
    </row>
    <row r="7421" ht="14.25" customHeight="1">
      <c r="A7421" s="2" t="s">
        <v>385</v>
      </c>
      <c r="B7421" s="2" t="s">
        <v>386</v>
      </c>
      <c r="C7421" s="2">
        <v>2019.0</v>
      </c>
      <c r="D7421" s="9">
        <v>24898.31</v>
      </c>
      <c r="E7421" s="10" t="str">
        <f t="array" ref="E7421">IFS(D7421&lt;=$G$3,'calculated data '!$A$3,D7421&lt;=$G$4,'calculated data '!$A$4,D7421&lt;=$G$6,'calculated data '!$A$5,D7421&gt;=$G$6,'calculated data '!$A$6)</f>
        <v>Target Market (Core IQR)</v>
      </c>
      <c r="F7421" s="10">
        <f t="shared" si="1"/>
        <v>-0.004119410457</v>
      </c>
    </row>
    <row r="7422" ht="14.25" customHeight="1">
      <c r="A7422" s="2" t="s">
        <v>311</v>
      </c>
      <c r="B7422" s="2" t="s">
        <v>312</v>
      </c>
      <c r="C7422" s="2">
        <v>2016.0</v>
      </c>
      <c r="D7422" s="9">
        <v>24900.26</v>
      </c>
      <c r="E7422" s="10" t="str">
        <f t="array" ref="E7422">IFS(D7422&lt;=$G$3,'calculated data '!$A$3,D7422&lt;=$G$4,'calculated data '!$A$4,D7422&lt;=$G$6,'calculated data '!$A$5,D7422&gt;=$G$6,'calculated data '!$A$6)</f>
        <v>Target Market (Core IQR)</v>
      </c>
      <c r="F7422" s="10">
        <f t="shared" si="1"/>
        <v>-0.004067794443</v>
      </c>
    </row>
    <row r="7423" ht="14.25" customHeight="1">
      <c r="A7423" s="2" t="s">
        <v>319</v>
      </c>
      <c r="B7423" s="2" t="s">
        <v>320</v>
      </c>
      <c r="C7423" s="2">
        <v>2018.0</v>
      </c>
      <c r="D7423" s="9">
        <v>24905.793</v>
      </c>
      <c r="E7423" s="10" t="str">
        <f t="array" ref="E7423">IFS(D7423&lt;=$G$3,'calculated data '!$A$3,D7423&lt;=$G$4,'calculated data '!$A$4,D7423&lt;=$G$6,'calculated data '!$A$5,D7423&gt;=$G$6,'calculated data '!$A$6)</f>
        <v>Target Market (Core IQR)</v>
      </c>
      <c r="F7423" s="10">
        <f t="shared" si="1"/>
        <v>-0.003921337311</v>
      </c>
    </row>
    <row r="7424" ht="14.25" customHeight="1">
      <c r="A7424" s="2" t="s">
        <v>39</v>
      </c>
      <c r="B7424" s="2" t="s">
        <v>40</v>
      </c>
      <c r="C7424" s="2">
        <v>2009.0</v>
      </c>
      <c r="D7424" s="9">
        <v>24915.0</v>
      </c>
      <c r="E7424" s="10" t="str">
        <f t="array" ref="E7424">IFS(D7424&lt;=$G$3,'calculated data '!$A$3,D7424&lt;=$G$4,'calculated data '!$A$4,D7424&lt;=$G$6,'calculated data '!$A$5,D7424&gt;=$G$6,'calculated data '!$A$6)</f>
        <v>Target Market (Core IQR)</v>
      </c>
      <c r="F7424" s="10">
        <f t="shared" si="1"/>
        <v>-0.003677630314</v>
      </c>
    </row>
    <row r="7425" ht="14.25" customHeight="1">
      <c r="A7425" s="2" t="s">
        <v>28</v>
      </c>
      <c r="B7425" s="2" t="s">
        <v>29</v>
      </c>
      <c r="C7425" s="2">
        <v>1990.0</v>
      </c>
      <c r="D7425" s="9">
        <v>24918.684</v>
      </c>
      <c r="E7425" s="10" t="str">
        <f t="array" ref="E7425">IFS(D7425&lt;=$G$3,'calculated data '!$A$3,D7425&lt;=$G$4,'calculated data '!$A$4,D7425&lt;=$G$6,'calculated data '!$A$5,D7425&gt;=$G$6,'calculated data '!$A$6)</f>
        <v>Target Market (Core IQR)</v>
      </c>
      <c r="F7425" s="10">
        <f t="shared" si="1"/>
        <v>-0.003580115751</v>
      </c>
    </row>
    <row r="7426" ht="14.25" customHeight="1">
      <c r="A7426" s="2" t="s">
        <v>395</v>
      </c>
      <c r="B7426" s="2" t="s">
        <v>396</v>
      </c>
      <c r="C7426" s="2">
        <v>2008.0</v>
      </c>
      <c r="D7426" s="9">
        <v>24936.412</v>
      </c>
      <c r="E7426" s="10" t="str">
        <f t="array" ref="E7426">IFS(D7426&lt;=$G$3,'calculated data '!$A$3,D7426&lt;=$G$4,'calculated data '!$A$4,D7426&lt;=$G$6,'calculated data '!$A$5,D7426&gt;=$G$6,'calculated data '!$A$6)</f>
        <v>Target Market (Core IQR)</v>
      </c>
      <c r="F7426" s="10">
        <f t="shared" si="1"/>
        <v>-0.003110860007</v>
      </c>
    </row>
    <row r="7427" ht="14.25" customHeight="1">
      <c r="A7427" s="2" t="s">
        <v>419</v>
      </c>
      <c r="B7427" s="2" t="s">
        <v>420</v>
      </c>
      <c r="C7427" s="2">
        <v>2001.0</v>
      </c>
      <c r="D7427" s="9">
        <v>24939.793</v>
      </c>
      <c r="E7427" s="10" t="str">
        <f t="array" ref="E7427">IFS(D7427&lt;=$G$3,'calculated data '!$A$3,D7427&lt;=$G$4,'calculated data '!$A$4,D7427&lt;=$G$6,'calculated data '!$A$5,D7427&gt;=$G$6,'calculated data '!$A$6)</f>
        <v>Target Market (Core IQR)</v>
      </c>
      <c r="F7427" s="10">
        <f t="shared" si="1"/>
        <v>-0.003021365779</v>
      </c>
    </row>
    <row r="7428" ht="14.25" customHeight="1">
      <c r="A7428" s="2" t="s">
        <v>383</v>
      </c>
      <c r="B7428" s="2" t="s">
        <v>384</v>
      </c>
      <c r="C7428" s="2">
        <v>2005.0</v>
      </c>
      <c r="D7428" s="9">
        <v>24940.557</v>
      </c>
      <c r="E7428" s="10" t="str">
        <f t="array" ref="E7428">IFS(D7428&lt;=$G$3,'calculated data '!$A$3,D7428&lt;=$G$4,'calculated data '!$A$4,D7428&lt;=$G$6,'calculated data '!$A$5,D7428&gt;=$G$6,'calculated data '!$A$6)</f>
        <v>Target Market (Core IQR)</v>
      </c>
      <c r="F7428" s="10">
        <f t="shared" si="1"/>
        <v>-0.003001142889</v>
      </c>
    </row>
    <row r="7429" ht="14.25" customHeight="1">
      <c r="A7429" s="2" t="s">
        <v>385</v>
      </c>
      <c r="B7429" s="2" t="s">
        <v>386</v>
      </c>
      <c r="C7429" s="2">
        <v>2016.0</v>
      </c>
      <c r="D7429" s="9">
        <v>24942.203</v>
      </c>
      <c r="E7429" s="10" t="str">
        <f t="array" ref="E7429">IFS(D7429&lt;=$G$3,'calculated data '!$A$3,D7429&lt;=$G$4,'calculated data '!$A$4,D7429&lt;=$G$6,'calculated data '!$A$5,D7429&gt;=$G$6,'calculated data '!$A$6)</f>
        <v>Target Market (Core IQR)</v>
      </c>
      <c r="F7429" s="10">
        <f t="shared" si="1"/>
        <v>-0.002957573679</v>
      </c>
    </row>
    <row r="7430" ht="14.25" customHeight="1">
      <c r="A7430" s="2" t="s">
        <v>31</v>
      </c>
      <c r="B7430" s="2" t="s">
        <v>32</v>
      </c>
      <c r="C7430" s="2">
        <v>2011.0</v>
      </c>
      <c r="D7430" s="9">
        <v>24955.484</v>
      </c>
      <c r="E7430" s="10" t="str">
        <f t="array" ref="E7430">IFS(D7430&lt;=$G$3,'calculated data '!$A$3,D7430&lt;=$G$4,'calculated data '!$A$4,D7430&lt;=$G$6,'calculated data '!$A$5,D7430&gt;=$G$6,'calculated data '!$A$6)</f>
        <v>Target Market (Core IQR)</v>
      </c>
      <c r="F7430" s="10">
        <f t="shared" si="1"/>
        <v>-0.002606028917</v>
      </c>
    </row>
    <row r="7431" ht="14.25" customHeight="1">
      <c r="A7431" s="2" t="s">
        <v>403</v>
      </c>
      <c r="B7431" s="2" t="s">
        <v>404</v>
      </c>
      <c r="C7431" s="2">
        <v>1992.0</v>
      </c>
      <c r="D7431" s="9">
        <v>24962.56</v>
      </c>
      <c r="E7431" s="10" t="str">
        <f t="array" ref="E7431">IFS(D7431&lt;=$G$3,'calculated data '!$A$3,D7431&lt;=$G$4,'calculated data '!$A$4,D7431&lt;=$G$6,'calculated data '!$A$5,D7431&gt;=$G$6,'calculated data '!$A$6)</f>
        <v>Target Market (Core IQR)</v>
      </c>
      <c r="F7431" s="10">
        <f t="shared" si="1"/>
        <v>-0.002418728959</v>
      </c>
    </row>
    <row r="7432" ht="14.25" customHeight="1">
      <c r="A7432" s="2" t="s">
        <v>271</v>
      </c>
      <c r="B7432" s="2" t="s">
        <v>272</v>
      </c>
      <c r="C7432" s="2">
        <v>2008.0</v>
      </c>
      <c r="D7432" s="9">
        <v>24971.963</v>
      </c>
      <c r="E7432" s="10" t="str">
        <f t="array" ref="E7432">IFS(D7432&lt;=$G$3,'calculated data '!$A$3,D7432&lt;=$G$4,'calculated data '!$A$4,D7432&lt;=$G$6,'calculated data '!$A$5,D7432&gt;=$G$6,'calculated data '!$A$6)</f>
        <v>Target Market (Core IQR)</v>
      </c>
      <c r="F7432" s="10">
        <f t="shared" si="1"/>
        <v>-0.002169833891</v>
      </c>
    </row>
    <row r="7433" ht="14.25" customHeight="1">
      <c r="A7433" s="2" t="s">
        <v>415</v>
      </c>
      <c r="B7433" s="2" t="s">
        <v>416</v>
      </c>
      <c r="C7433" s="2">
        <v>2023.0</v>
      </c>
      <c r="D7433" s="9">
        <v>24977.033</v>
      </c>
      <c r="E7433" s="10" t="str">
        <f t="array" ref="E7433">IFS(D7433&lt;=$G$3,'calculated data '!$A$3,D7433&lt;=$G$4,'calculated data '!$A$4,D7433&lt;=$G$6,'calculated data '!$A$5,D7433&gt;=$G$6,'calculated data '!$A$6)</f>
        <v>Target Market (Core IQR)</v>
      </c>
      <c r="F7433" s="10">
        <f t="shared" si="1"/>
        <v>-0.002035632254</v>
      </c>
    </row>
    <row r="7434" ht="14.25" customHeight="1">
      <c r="A7434" s="2" t="s">
        <v>389</v>
      </c>
      <c r="B7434" s="2" t="s">
        <v>390</v>
      </c>
      <c r="C7434" s="2">
        <v>1967.0</v>
      </c>
      <c r="D7434" s="9">
        <v>24987.752</v>
      </c>
      <c r="E7434" s="10" t="str">
        <f t="array" ref="E7434">IFS(D7434&lt;=$G$3,'calculated data '!$A$3,D7434&lt;=$G$4,'calculated data '!$A$4,D7434&lt;=$G$6,'calculated data '!$A$5,D7434&gt;=$G$6,'calculated data '!$A$6)</f>
        <v>Target Market (Core IQR)</v>
      </c>
      <c r="F7434" s="10">
        <f t="shared" si="1"/>
        <v>-0.001751902994</v>
      </c>
    </row>
    <row r="7435" ht="14.25" customHeight="1">
      <c r="A7435" s="2" t="s">
        <v>385</v>
      </c>
      <c r="B7435" s="2" t="s">
        <v>386</v>
      </c>
      <c r="C7435" s="2">
        <v>1983.0</v>
      </c>
      <c r="D7435" s="9">
        <v>24994.074</v>
      </c>
      <c r="E7435" s="10" t="str">
        <f t="array" ref="E7435">IFS(D7435&lt;=$G$3,'calculated data '!$A$3,D7435&lt;=$G$4,'calculated data '!$A$4,D7435&lt;=$G$6,'calculated data '!$A$5,D7435&gt;=$G$6,'calculated data '!$A$6)</f>
        <v>Target Market (Core IQR)</v>
      </c>
      <c r="F7435" s="10">
        <f t="shared" si="1"/>
        <v>-0.001584561228</v>
      </c>
    </row>
    <row r="7436" ht="14.25" customHeight="1">
      <c r="A7436" s="2" t="s">
        <v>277</v>
      </c>
      <c r="B7436" s="2" t="s">
        <v>278</v>
      </c>
      <c r="C7436" s="2">
        <v>2024.0</v>
      </c>
      <c r="D7436" s="9">
        <v>24994.332</v>
      </c>
      <c r="E7436" s="10" t="str">
        <f t="array" ref="E7436">IFS(D7436&lt;=$G$3,'calculated data '!$A$3,D7436&lt;=$G$4,'calculated data '!$A$4,D7436&lt;=$G$6,'calculated data '!$A$5,D7436&gt;=$G$6,'calculated data '!$A$6)</f>
        <v>Target Market (Core IQR)</v>
      </c>
      <c r="F7436" s="10">
        <f t="shared" si="1"/>
        <v>-0.001577732033</v>
      </c>
    </row>
    <row r="7437" ht="14.25" customHeight="1">
      <c r="A7437" s="2" t="s">
        <v>39</v>
      </c>
      <c r="B7437" s="2" t="s">
        <v>40</v>
      </c>
      <c r="C7437" s="2">
        <v>2010.0</v>
      </c>
      <c r="D7437" s="9">
        <v>24994.576</v>
      </c>
      <c r="E7437" s="10" t="str">
        <f t="array" ref="E7437">IFS(D7437&lt;=$G$3,'calculated data '!$A$3,D7437&lt;=$G$4,'calculated data '!$A$4,D7437&lt;=$G$6,'calculated data '!$A$5,D7437&gt;=$G$6,'calculated data '!$A$6)</f>
        <v>Target Market (Core IQR)</v>
      </c>
      <c r="F7437" s="10">
        <f t="shared" si="1"/>
        <v>-0.001571273413</v>
      </c>
    </row>
    <row r="7438" ht="14.25" customHeight="1">
      <c r="A7438" s="2" t="s">
        <v>417</v>
      </c>
      <c r="B7438" s="2" t="s">
        <v>418</v>
      </c>
      <c r="C7438" s="2">
        <v>1966.0</v>
      </c>
      <c r="D7438" s="9">
        <v>24997.895</v>
      </c>
      <c r="E7438" s="10" t="str">
        <f t="array" ref="E7438">IFS(D7438&lt;=$G$3,'calculated data '!$A$3,D7438&lt;=$G$4,'calculated data '!$A$4,D7438&lt;=$G$6,'calculated data '!$A$5,D7438&gt;=$G$6,'calculated data '!$A$6)</f>
        <v>Target Market (Core IQR)</v>
      </c>
      <c r="F7438" s="10">
        <f t="shared" si="1"/>
        <v>-0.00148342031</v>
      </c>
    </row>
    <row r="7439" ht="14.25" customHeight="1">
      <c r="A7439" s="2" t="s">
        <v>421</v>
      </c>
      <c r="B7439" s="2" t="s">
        <v>422</v>
      </c>
      <c r="C7439" s="2">
        <v>1966.0</v>
      </c>
      <c r="D7439" s="9">
        <v>25006.701</v>
      </c>
      <c r="E7439" s="10" t="str">
        <f t="array" ref="E7439">IFS(D7439&lt;=$G$3,'calculated data '!$A$3,D7439&lt;=$G$4,'calculated data '!$A$4,D7439&lt;=$G$6,'calculated data '!$A$5,D7439&gt;=$G$6,'calculated data '!$A$6)</f>
        <v>Target Market (Core IQR)</v>
      </c>
      <c r="F7439" s="10">
        <f t="shared" si="1"/>
        <v>-0.001250327683</v>
      </c>
    </row>
    <row r="7440" ht="14.25" customHeight="1">
      <c r="A7440" s="2" t="s">
        <v>271</v>
      </c>
      <c r="B7440" s="2" t="s">
        <v>272</v>
      </c>
      <c r="C7440" s="2">
        <v>1998.0</v>
      </c>
      <c r="D7440" s="9">
        <v>25016.83</v>
      </c>
      <c r="E7440" s="10" t="str">
        <f t="array" ref="E7440">IFS(D7440&lt;=$G$3,'calculated data '!$A$3,D7440&lt;=$G$4,'calculated data '!$A$4,D7440&lt;=$G$6,'calculated data '!$A$5,D7440&gt;=$G$6,'calculated data '!$A$6)</f>
        <v>Target Market (Core IQR)</v>
      </c>
      <c r="F7440" s="10">
        <f t="shared" si="1"/>
        <v>-0.0009822155761</v>
      </c>
    </row>
    <row r="7441" ht="14.25" customHeight="1">
      <c r="A7441" s="2" t="s">
        <v>385</v>
      </c>
      <c r="B7441" s="2" t="s">
        <v>386</v>
      </c>
      <c r="C7441" s="2">
        <v>2001.0</v>
      </c>
      <c r="D7441" s="9">
        <v>25025.352</v>
      </c>
      <c r="E7441" s="10" t="str">
        <f t="array" ref="E7441">IFS(D7441&lt;=$G$3,'calculated data '!$A$3,D7441&lt;=$G$4,'calculated data '!$A$4,D7441&lt;=$G$6,'calculated data '!$A$5,D7441&gt;=$G$6,'calculated data '!$A$6)</f>
        <v>Target Market (Core IQR)</v>
      </c>
      <c r="F7441" s="10">
        <f t="shared" si="1"/>
        <v>-0.0007566403586</v>
      </c>
    </row>
    <row r="7442" ht="14.25" customHeight="1">
      <c r="A7442" s="2" t="s">
        <v>353</v>
      </c>
      <c r="B7442" s="2" t="s">
        <v>354</v>
      </c>
      <c r="C7442" s="2">
        <v>1971.0</v>
      </c>
      <c r="D7442" s="9">
        <v>25032.537</v>
      </c>
      <c r="E7442" s="10" t="str">
        <f t="array" ref="E7442">IFS(D7442&lt;=$G$3,'calculated data '!$A$3,D7442&lt;=$G$4,'calculated data '!$A$4,D7442&lt;=$G$6,'calculated data '!$A$5,D7442&gt;=$G$6,'calculated data '!$A$6)</f>
        <v>Target Market (Core IQR)</v>
      </c>
      <c r="F7442" s="10">
        <f t="shared" si="1"/>
        <v>-0.0005664551981</v>
      </c>
    </row>
    <row r="7443" ht="14.25" customHeight="1">
      <c r="A7443" s="2" t="s">
        <v>385</v>
      </c>
      <c r="B7443" s="2" t="s">
        <v>386</v>
      </c>
      <c r="C7443" s="2">
        <v>1989.0</v>
      </c>
      <c r="D7443" s="9">
        <v>25044.104</v>
      </c>
      <c r="E7443" s="10" t="str">
        <f t="array" ref="E7443">IFS(D7443&lt;=$G$3,'calculated data '!$A$3,D7443&lt;=$G$4,'calculated data '!$A$4,D7443&lt;=$G$6,'calculated data '!$A$5,D7443&gt;=$G$6,'calculated data '!$A$6)</f>
        <v>Target Market (Core IQR)</v>
      </c>
      <c r="F7443" s="10">
        <f t="shared" si="1"/>
        <v>-0.000260279589</v>
      </c>
    </row>
    <row r="7444" ht="14.25" customHeight="1">
      <c r="A7444" s="2" t="s">
        <v>343</v>
      </c>
      <c r="B7444" s="2" t="s">
        <v>344</v>
      </c>
      <c r="C7444" s="2">
        <v>1993.0</v>
      </c>
      <c r="D7444" s="9">
        <v>25050.432</v>
      </c>
      <c r="E7444" s="10" t="str">
        <f t="array" ref="E7444">IFS(D7444&lt;=$G$3,'calculated data '!$A$3,D7444&lt;=$G$4,'calculated data '!$A$4,D7444&lt;=$G$6,'calculated data '!$A$5,D7444&gt;=$G$6,'calculated data '!$A$6)</f>
        <v>Target Market (Core IQR)</v>
      </c>
      <c r="F7444" s="10">
        <f t="shared" si="1"/>
        <v>-0.0000927790051</v>
      </c>
    </row>
    <row r="7445" ht="14.25" customHeight="1">
      <c r="A7445" s="2" t="s">
        <v>309</v>
      </c>
      <c r="B7445" s="2" t="s">
        <v>310</v>
      </c>
      <c r="C7445" s="2">
        <v>1990.0</v>
      </c>
      <c r="D7445" s="9">
        <v>25061.643</v>
      </c>
      <c r="E7445" s="10" t="str">
        <f t="array" ref="E7445">IFS(D7445&lt;=$G$3,'calculated data '!$A$3,D7445&lt;=$G$4,'calculated data '!$A$4,D7445&lt;=$G$6,'calculated data '!$A$5,D7445&gt;=$G$6,'calculated data '!$A$6)</f>
        <v>Target Market (Core IQR)</v>
      </c>
      <c r="F7445" s="10">
        <f t="shared" si="1"/>
        <v>0.0002039733726</v>
      </c>
    </row>
    <row r="7446" ht="14.25" customHeight="1">
      <c r="A7446" s="2" t="s">
        <v>379</v>
      </c>
      <c r="B7446" s="2" t="s">
        <v>380</v>
      </c>
      <c r="C7446" s="2">
        <v>1979.0</v>
      </c>
      <c r="D7446" s="9">
        <v>25062.9</v>
      </c>
      <c r="E7446" s="10" t="str">
        <f t="array" ref="E7446">IFS(D7446&lt;=$G$3,'calculated data '!$A$3,D7446&lt;=$G$4,'calculated data '!$A$4,D7446&lt;=$G$6,'calculated data '!$A$5,D7446&gt;=$G$6,'calculated data '!$A$6)</f>
        <v>Target Market (Core IQR)</v>
      </c>
      <c r="F7446" s="10">
        <f t="shared" si="1"/>
        <v>0.0002372458496</v>
      </c>
    </row>
    <row r="7447" ht="14.25" customHeight="1">
      <c r="A7447" s="2" t="s">
        <v>409</v>
      </c>
      <c r="B7447" s="2" t="s">
        <v>410</v>
      </c>
      <c r="C7447" s="2">
        <v>1970.0</v>
      </c>
      <c r="D7447" s="9">
        <v>25066.959</v>
      </c>
      <c r="E7447" s="10" t="str">
        <f t="array" ref="E7447">IFS(D7447&lt;=$G$3,'calculated data '!$A$3,D7447&lt;=$G$4,'calculated data '!$A$4,D7447&lt;=$G$6,'calculated data '!$A$5,D7447&gt;=$G$6,'calculated data '!$A$6)</f>
        <v>Target Market (Core IQR)</v>
      </c>
      <c r="F7447" s="10">
        <f t="shared" si="1"/>
        <v>0.0003446865686</v>
      </c>
    </row>
    <row r="7448" ht="14.25" customHeight="1">
      <c r="A7448" s="2" t="s">
        <v>397</v>
      </c>
      <c r="B7448" s="2" t="s">
        <v>398</v>
      </c>
      <c r="C7448" s="2">
        <v>1967.0</v>
      </c>
      <c r="D7448" s="9">
        <v>25071.143</v>
      </c>
      <c r="E7448" s="10" t="str">
        <f t="array" ref="E7448">IFS(D7448&lt;=$G$3,'calculated data '!$A$3,D7448&lt;=$G$4,'calculated data '!$A$4,D7448&lt;=$G$6,'calculated data '!$A$5,D7448&gt;=$G$6,'calculated data '!$A$6)</f>
        <v>Target Market (Core IQR)</v>
      </c>
      <c r="F7448" s="10">
        <f t="shared" si="1"/>
        <v>0.0004554360065</v>
      </c>
    </row>
    <row r="7449" ht="14.25" customHeight="1">
      <c r="A7449" s="2" t="s">
        <v>377</v>
      </c>
      <c r="B7449" s="2" t="s">
        <v>378</v>
      </c>
      <c r="C7449" s="2">
        <v>2016.0</v>
      </c>
      <c r="D7449" s="9">
        <v>25075.623</v>
      </c>
      <c r="E7449" s="10" t="str">
        <f t="array" ref="E7449">IFS(D7449&lt;=$G$3,'calculated data '!$A$3,D7449&lt;=$G$4,'calculated data '!$A$4,D7449&lt;=$G$6,'calculated data '!$A$5,D7449&gt;=$G$6,'calculated data '!$A$6)</f>
        <v>Target Market (Core IQR)</v>
      </c>
      <c r="F7449" s="10">
        <f t="shared" si="1"/>
        <v>0.0005740204907</v>
      </c>
    </row>
    <row r="7450" ht="14.25" customHeight="1">
      <c r="A7450" s="2" t="s">
        <v>415</v>
      </c>
      <c r="B7450" s="2" t="s">
        <v>416</v>
      </c>
      <c r="C7450" s="2">
        <v>2020.0</v>
      </c>
      <c r="D7450" s="9">
        <v>25078.506</v>
      </c>
      <c r="E7450" s="10" t="str">
        <f t="array" ref="E7450">IFS(D7450&lt;=$G$3,'calculated data '!$A$3,D7450&lt;=$G$4,'calculated data '!$A$4,D7450&lt;=$G$6,'calculated data '!$A$5,D7450&gt;=$G$6,'calculated data '!$A$6)</f>
        <v>Target Market (Core IQR)</v>
      </c>
      <c r="F7450" s="10">
        <f t="shared" si="1"/>
        <v>0.0006503327827</v>
      </c>
    </row>
    <row r="7451" ht="14.25" customHeight="1">
      <c r="A7451" s="2" t="s">
        <v>197</v>
      </c>
      <c r="B7451" s="2" t="s">
        <v>198</v>
      </c>
      <c r="C7451" s="2">
        <v>2018.0</v>
      </c>
      <c r="D7451" s="9">
        <v>25079.918</v>
      </c>
      <c r="E7451" s="10" t="str">
        <f t="array" ref="E7451">IFS(D7451&lt;=$G$3,'calculated data '!$A$3,D7451&lt;=$G$4,'calculated data '!$A$4,D7451&lt;=$G$6,'calculated data '!$A$5,D7451&gt;=$G$6,'calculated data '!$A$6)</f>
        <v>Target Market (Core IQR)</v>
      </c>
      <c r="F7451" s="10">
        <f t="shared" si="1"/>
        <v>0.000687708071</v>
      </c>
    </row>
    <row r="7452" ht="14.25" customHeight="1">
      <c r="A7452" s="2" t="s">
        <v>403</v>
      </c>
      <c r="B7452" s="2" t="s">
        <v>404</v>
      </c>
      <c r="C7452" s="2">
        <v>1998.0</v>
      </c>
      <c r="D7452" s="9">
        <v>25092.059</v>
      </c>
      <c r="E7452" s="10" t="str">
        <f t="array" ref="E7452">IFS(D7452&lt;=$G$3,'calculated data '!$A$3,D7452&lt;=$G$4,'calculated data '!$A$4,D7452&lt;=$G$6,'calculated data '!$A$5,D7452&gt;=$G$6,'calculated data '!$A$6)</f>
        <v>Target Market (Core IQR)</v>
      </c>
      <c r="F7452" s="10">
        <f t="shared" si="1"/>
        <v>0.001009077317</v>
      </c>
    </row>
    <row r="7453" ht="14.25" customHeight="1">
      <c r="A7453" s="2" t="s">
        <v>391</v>
      </c>
      <c r="B7453" s="2" t="s">
        <v>392</v>
      </c>
      <c r="C7453" s="2">
        <v>1982.0</v>
      </c>
      <c r="D7453" s="9">
        <v>25092.92</v>
      </c>
      <c r="E7453" s="10" t="str">
        <f t="array" ref="E7453">IFS(D7453&lt;=$G$3,'calculated data '!$A$3,D7453&lt;=$G$4,'calculated data '!$A$4,D7453&lt;=$G$6,'calculated data '!$A$5,D7453&gt;=$G$6,'calculated data '!$A$6)</f>
        <v>Target Market (Core IQR)</v>
      </c>
      <c r="F7453" s="10">
        <f t="shared" si="1"/>
        <v>0.001031867773</v>
      </c>
    </row>
    <row r="7454" ht="14.25" customHeight="1">
      <c r="A7454" s="2" t="s">
        <v>377</v>
      </c>
      <c r="B7454" s="2" t="s">
        <v>378</v>
      </c>
      <c r="C7454" s="2">
        <v>2017.0</v>
      </c>
      <c r="D7454" s="9">
        <v>25098.611</v>
      </c>
      <c r="E7454" s="10" t="str">
        <f t="array" ref="E7454">IFS(D7454&lt;=$G$3,'calculated data '!$A$3,D7454&lt;=$G$4,'calculated data '!$A$4,D7454&lt;=$G$6,'calculated data '!$A$5,D7454&gt;=$G$6,'calculated data '!$A$6)</f>
        <v>Target Market (Core IQR)</v>
      </c>
      <c r="F7454" s="10">
        <f t="shared" si="1"/>
        <v>0.001182507125</v>
      </c>
    </row>
    <row r="7455" ht="14.25" customHeight="1">
      <c r="A7455" s="2" t="s">
        <v>423</v>
      </c>
      <c r="B7455" s="2" t="s">
        <v>424</v>
      </c>
      <c r="C7455" s="2">
        <v>1980.0</v>
      </c>
      <c r="D7455" s="9">
        <v>25099.291</v>
      </c>
      <c r="E7455" s="10" t="str">
        <f t="array" ref="E7455">IFS(D7455&lt;=$G$3,'calculated data '!$A$3,D7455&lt;=$G$4,'calculated data '!$A$4,D7455&lt;=$G$6,'calculated data '!$A$5,D7455&gt;=$G$6,'calculated data '!$A$6)</f>
        <v>Target Market (Core IQR)</v>
      </c>
      <c r="F7455" s="10">
        <f t="shared" si="1"/>
        <v>0.001200506556</v>
      </c>
    </row>
    <row r="7456" ht="14.25" customHeight="1">
      <c r="A7456" s="2" t="s">
        <v>71</v>
      </c>
      <c r="B7456" s="2" t="s">
        <v>72</v>
      </c>
      <c r="C7456" s="2">
        <v>1986.0</v>
      </c>
      <c r="D7456" s="9">
        <v>25109.262</v>
      </c>
      <c r="E7456" s="10" t="str">
        <f t="array" ref="E7456">IFS(D7456&lt;=$G$3,'calculated data '!$A$3,D7456&lt;=$G$4,'calculated data '!$A$4,D7456&lt;=$G$6,'calculated data '!$A$5,D7456&gt;=$G$6,'calculated data '!$A$6)</f>
        <v>Target Market (Core IQR)</v>
      </c>
      <c r="F7456" s="10">
        <f t="shared" si="1"/>
        <v>0.001464436442</v>
      </c>
    </row>
    <row r="7457" ht="14.25" customHeight="1">
      <c r="A7457" s="2" t="s">
        <v>385</v>
      </c>
      <c r="B7457" s="2" t="s">
        <v>386</v>
      </c>
      <c r="C7457" s="2">
        <v>1995.0</v>
      </c>
      <c r="D7457" s="9">
        <v>25114.969</v>
      </c>
      <c r="E7457" s="10" t="str">
        <f t="array" ref="E7457">IFS(D7457&lt;=$G$3,'calculated data '!$A$3,D7457&lt;=$G$4,'calculated data '!$A$4,D7457&lt;=$G$6,'calculated data '!$A$5,D7457&gt;=$G$6,'calculated data '!$A$6)</f>
        <v>Target Market (Core IQR)</v>
      </c>
      <c r="F7457" s="10">
        <f t="shared" si="1"/>
        <v>0.001615499311</v>
      </c>
    </row>
    <row r="7458" ht="14.25" customHeight="1">
      <c r="A7458" s="2" t="s">
        <v>405</v>
      </c>
      <c r="B7458" s="2" t="s">
        <v>406</v>
      </c>
      <c r="C7458" s="2">
        <v>2017.0</v>
      </c>
      <c r="D7458" s="9">
        <v>25127.229</v>
      </c>
      <c r="E7458" s="10" t="str">
        <f t="array" ref="E7458">IFS(D7458&lt;=$G$3,'calculated data '!$A$3,D7458&lt;=$G$4,'calculated data '!$A$4,D7458&lt;=$G$6,'calculated data '!$A$5,D7458&gt;=$G$6,'calculated data '!$A$6)</f>
        <v>Target Market (Core IQR)</v>
      </c>
      <c r="F7458" s="10">
        <f t="shared" si="1"/>
        <v>0.001940018458</v>
      </c>
    </row>
    <row r="7459" ht="14.25" customHeight="1">
      <c r="A7459" s="2" t="s">
        <v>319</v>
      </c>
      <c r="B7459" s="2" t="s">
        <v>320</v>
      </c>
      <c r="C7459" s="2">
        <v>2016.0</v>
      </c>
      <c r="D7459" s="9">
        <v>25128.355</v>
      </c>
      <c r="E7459" s="10" t="str">
        <f t="array" ref="E7459">IFS(D7459&lt;=$G$3,'calculated data '!$A$3,D7459&lt;=$G$4,'calculated data '!$A$4,D7459&lt;=$G$6,'calculated data '!$A$5,D7459&gt;=$G$6,'calculated data '!$A$6)</f>
        <v>Target Market (Core IQR)</v>
      </c>
      <c r="F7459" s="10">
        <f t="shared" si="1"/>
        <v>0.001969823397</v>
      </c>
    </row>
    <row r="7460" ht="14.25" customHeight="1">
      <c r="A7460" s="2" t="s">
        <v>425</v>
      </c>
      <c r="B7460" s="2" t="s">
        <v>426</v>
      </c>
      <c r="C7460" s="2">
        <v>2025.0</v>
      </c>
      <c r="D7460" s="9">
        <v>25128.771</v>
      </c>
      <c r="E7460" s="10" t="str">
        <f t="array" ref="E7460">IFS(D7460&lt;=$G$3,'calculated data '!$A$3,D7460&lt;=$G$4,'calculated data '!$A$4,D7460&lt;=$G$6,'calculated data '!$A$5,D7460&gt;=$G$6,'calculated data '!$A$6)</f>
        <v>Target Market (Core IQR)</v>
      </c>
      <c r="F7460" s="10">
        <f t="shared" si="1"/>
        <v>0.001980834813</v>
      </c>
    </row>
    <row r="7461" ht="14.25" customHeight="1">
      <c r="A7461" s="2" t="s">
        <v>319</v>
      </c>
      <c r="B7461" s="2" t="s">
        <v>320</v>
      </c>
      <c r="C7461" s="2">
        <v>2017.0</v>
      </c>
      <c r="D7461" s="9">
        <v>25134.613</v>
      </c>
      <c r="E7461" s="10" t="str">
        <f t="array" ref="E7461">IFS(D7461&lt;=$G$3,'calculated data '!$A$3,D7461&lt;=$G$4,'calculated data '!$A$4,D7461&lt;=$G$6,'calculated data '!$A$5,D7461&gt;=$G$6,'calculated data '!$A$6)</f>
        <v>Target Market (Core IQR)</v>
      </c>
      <c r="F7461" s="10">
        <f t="shared" si="1"/>
        <v>0.002135471098</v>
      </c>
    </row>
    <row r="7462" ht="14.25" customHeight="1">
      <c r="A7462" s="2" t="s">
        <v>385</v>
      </c>
      <c r="B7462" s="2" t="s">
        <v>386</v>
      </c>
      <c r="C7462" s="2">
        <v>2000.0</v>
      </c>
      <c r="D7462" s="9">
        <v>25140.973</v>
      </c>
      <c r="E7462" s="10" t="str">
        <f t="array" ref="E7462">IFS(D7462&lt;=$G$3,'calculated data '!$A$3,D7462&lt;=$G$4,'calculated data '!$A$4,D7462&lt;=$G$6,'calculated data '!$A$5,D7462&gt;=$G$6,'calculated data '!$A$6)</f>
        <v>Target Market (Core IQR)</v>
      </c>
      <c r="F7462" s="10">
        <f t="shared" si="1"/>
        <v>0.002303818714</v>
      </c>
    </row>
    <row r="7463" ht="14.25" customHeight="1">
      <c r="A7463" s="2" t="s">
        <v>371</v>
      </c>
      <c r="B7463" s="2" t="s">
        <v>372</v>
      </c>
      <c r="C7463" s="2">
        <v>1970.0</v>
      </c>
      <c r="D7463" s="9">
        <v>25154.436</v>
      </c>
      <c r="E7463" s="10" t="str">
        <f t="array" ref="E7463">IFS(D7463&lt;=$G$3,'calculated data '!$A$3,D7463&lt;=$G$4,'calculated data '!$A$4,D7463&lt;=$G$6,'calculated data '!$A$5,D7463&gt;=$G$6,'calculated data '!$A$6)</f>
        <v>Target Market (Core IQR)</v>
      </c>
      <c r="F7463" s="10">
        <f t="shared" si="1"/>
        <v>0.002660180971</v>
      </c>
    </row>
    <row r="7464" ht="14.25" customHeight="1">
      <c r="A7464" s="2" t="s">
        <v>383</v>
      </c>
      <c r="B7464" s="2" t="s">
        <v>384</v>
      </c>
      <c r="C7464" s="2">
        <v>2002.0</v>
      </c>
      <c r="D7464" s="9">
        <v>25165.766</v>
      </c>
      <c r="E7464" s="10" t="str">
        <f t="array" ref="E7464">IFS(D7464&lt;=$G$3,'calculated data '!$A$3,D7464&lt;=$G$4,'calculated data '!$A$4,D7464&lt;=$G$6,'calculated data '!$A$5,D7464&gt;=$G$6,'calculated data '!$A$6)</f>
        <v>Target Market (Core IQR)</v>
      </c>
      <c r="F7464" s="10">
        <f t="shared" si="1"/>
        <v>0.002960083249</v>
      </c>
    </row>
    <row r="7465" ht="14.25" customHeight="1">
      <c r="A7465" s="2" t="s">
        <v>427</v>
      </c>
      <c r="B7465" s="2" t="s">
        <v>428</v>
      </c>
      <c r="C7465" s="2">
        <v>1995.0</v>
      </c>
      <c r="D7465" s="9">
        <v>25184.242</v>
      </c>
      <c r="E7465" s="10" t="str">
        <f t="array" ref="E7465">IFS(D7465&lt;=$G$3,'calculated data '!$A$3,D7465&lt;=$G$4,'calculated data '!$A$4,D7465&lt;=$G$6,'calculated data '!$A$5,D7465&gt;=$G$6,'calculated data '!$A$6)</f>
        <v>Target Market (Core IQR)</v>
      </c>
      <c r="F7465" s="10">
        <f t="shared" si="1"/>
        <v>0.003449138368</v>
      </c>
    </row>
    <row r="7466" ht="14.25" customHeight="1">
      <c r="A7466" s="2" t="s">
        <v>267</v>
      </c>
      <c r="B7466" s="2" t="s">
        <v>268</v>
      </c>
      <c r="C7466" s="2">
        <v>2001.0</v>
      </c>
      <c r="D7466" s="9">
        <v>25197.982</v>
      </c>
      <c r="E7466" s="10" t="str">
        <f t="array" ref="E7466">IFS(D7466&lt;=$G$3,'calculated data '!$A$3,D7466&lt;=$G$4,'calculated data '!$A$4,D7466&lt;=$G$6,'calculated data '!$A$5,D7466&gt;=$G$6,'calculated data '!$A$6)</f>
        <v>Target Market (Core IQR)</v>
      </c>
      <c r="F7466" s="10">
        <f t="shared" si="1"/>
        <v>0.003812832746</v>
      </c>
    </row>
    <row r="7467" ht="14.25" customHeight="1">
      <c r="A7467" s="2" t="s">
        <v>411</v>
      </c>
      <c r="B7467" s="2" t="s">
        <v>412</v>
      </c>
      <c r="C7467" s="2">
        <v>1967.0</v>
      </c>
      <c r="D7467" s="9">
        <v>25205.918</v>
      </c>
      <c r="E7467" s="10" t="str">
        <f t="array" ref="E7467">IFS(D7467&lt;=$G$3,'calculated data '!$A$3,D7467&lt;=$G$4,'calculated data '!$A$4,D7467&lt;=$G$6,'calculated data '!$A$5,D7467&gt;=$G$6,'calculated data '!$A$6)</f>
        <v>Target Market (Core IQR)</v>
      </c>
      <c r="F7467" s="10">
        <f t="shared" si="1"/>
        <v>0.004022896689</v>
      </c>
    </row>
    <row r="7468" ht="14.25" customHeight="1">
      <c r="A7468" s="2" t="s">
        <v>395</v>
      </c>
      <c r="B7468" s="2" t="s">
        <v>396</v>
      </c>
      <c r="C7468" s="2">
        <v>2024.0</v>
      </c>
      <c r="D7468" s="9">
        <v>25219.01</v>
      </c>
      <c r="E7468" s="10" t="str">
        <f t="array" ref="E7468">IFS(D7468&lt;=$G$3,'calculated data '!$A$3,D7468&lt;=$G$4,'calculated data '!$A$4,D7468&lt;=$G$6,'calculated data '!$A$5,D7468&gt;=$G$6,'calculated data '!$A$6)</f>
        <v>Target Market (Core IQR)</v>
      </c>
      <c r="F7468" s="10">
        <f t="shared" si="1"/>
        <v>0.004369438668</v>
      </c>
    </row>
    <row r="7469" ht="14.25" customHeight="1">
      <c r="A7469" s="2" t="s">
        <v>419</v>
      </c>
      <c r="B7469" s="2" t="s">
        <v>420</v>
      </c>
      <c r="C7469" s="2">
        <v>1998.0</v>
      </c>
      <c r="D7469" s="9">
        <v>25226.322</v>
      </c>
      <c r="E7469" s="10" t="str">
        <f t="array" ref="E7469">IFS(D7469&lt;=$G$3,'calculated data '!$A$3,D7469&lt;=$G$4,'calculated data '!$A$4,D7469&lt;=$G$6,'calculated data '!$A$5,D7469&gt;=$G$6,'calculated data '!$A$6)</f>
        <v>Target Market (Core IQR)</v>
      </c>
      <c r="F7469" s="10">
        <f t="shared" si="1"/>
        <v>0.004562985487</v>
      </c>
    </row>
    <row r="7470" ht="14.25" customHeight="1">
      <c r="A7470" s="2" t="s">
        <v>373</v>
      </c>
      <c r="B7470" s="2" t="s">
        <v>374</v>
      </c>
      <c r="C7470" s="2">
        <v>2019.0</v>
      </c>
      <c r="D7470" s="9">
        <v>25226.578</v>
      </c>
      <c r="E7470" s="10" t="str">
        <f t="array" ref="E7470">IFS(D7470&lt;=$G$3,'calculated data '!$A$3,D7470&lt;=$G$4,'calculated data '!$A$4,D7470&lt;=$G$6,'calculated data '!$A$5,D7470&gt;=$G$6,'calculated data '!$A$6)</f>
        <v>Target Market (Core IQR)</v>
      </c>
      <c r="F7470" s="10">
        <f t="shared" si="1"/>
        <v>0.004569761743</v>
      </c>
    </row>
    <row r="7471" ht="14.25" customHeight="1">
      <c r="A7471" s="2" t="s">
        <v>71</v>
      </c>
      <c r="B7471" s="2" t="s">
        <v>72</v>
      </c>
      <c r="C7471" s="2">
        <v>1972.0</v>
      </c>
      <c r="D7471" s="9">
        <v>25231.861</v>
      </c>
      <c r="E7471" s="10" t="str">
        <f t="array" ref="E7471">IFS(D7471&lt;=$G$3,'calculated data '!$A$3,D7471&lt;=$G$4,'calculated data '!$A$4,D7471&lt;=$G$6,'calculated data '!$A$5,D7471&gt;=$G$6,'calculated data '!$A$6)</f>
        <v>Target Market (Core IQR)</v>
      </c>
      <c r="F7471" s="10">
        <f t="shared" si="1"/>
        <v>0.004709601438</v>
      </c>
    </row>
    <row r="7472" ht="14.25" customHeight="1">
      <c r="A7472" s="2" t="s">
        <v>285</v>
      </c>
      <c r="B7472" s="2" t="s">
        <v>286</v>
      </c>
      <c r="C7472" s="2">
        <v>2008.0</v>
      </c>
      <c r="D7472" s="9">
        <v>25234.713</v>
      </c>
      <c r="E7472" s="10" t="str">
        <f t="array" ref="E7472">IFS(D7472&lt;=$G$3,'calculated data '!$A$3,D7472&lt;=$G$4,'calculated data '!$A$4,D7472&lt;=$G$6,'calculated data '!$A$5,D7472&gt;=$G$6,'calculated data '!$A$6)</f>
        <v>Target Market (Core IQR)</v>
      </c>
      <c r="F7472" s="10">
        <f t="shared" si="1"/>
        <v>0.004785093167</v>
      </c>
    </row>
    <row r="7473" ht="14.25" customHeight="1">
      <c r="A7473" s="2" t="s">
        <v>385</v>
      </c>
      <c r="B7473" s="2" t="s">
        <v>386</v>
      </c>
      <c r="C7473" s="2">
        <v>1996.0</v>
      </c>
      <c r="D7473" s="9">
        <v>25251.893</v>
      </c>
      <c r="E7473" s="10" t="str">
        <f t="array" ref="E7473">IFS(D7473&lt;=$G$3,'calculated data '!$A$3,D7473&lt;=$G$4,'calculated data '!$A$4,D7473&lt;=$G$6,'calculated data '!$A$5,D7473&gt;=$G$6,'calculated data '!$A$6)</f>
        <v>Target Market (Core IQR)</v>
      </c>
      <c r="F7473" s="10">
        <f t="shared" si="1"/>
        <v>0.005239843488</v>
      </c>
    </row>
    <row r="7474" ht="14.25" customHeight="1">
      <c r="A7474" s="2" t="s">
        <v>385</v>
      </c>
      <c r="B7474" s="2" t="s">
        <v>386</v>
      </c>
      <c r="C7474" s="2">
        <v>1990.0</v>
      </c>
      <c r="D7474" s="9">
        <v>25261.725</v>
      </c>
      <c r="E7474" s="10" t="str">
        <f t="array" ref="E7474">IFS(D7474&lt;=$G$3,'calculated data '!$A$3,D7474&lt;=$G$4,'calculated data '!$A$4,D7474&lt;=$G$6,'calculated data '!$A$5,D7474&gt;=$G$6,'calculated data '!$A$6)</f>
        <v>Target Market (Core IQR)</v>
      </c>
      <c r="F7474" s="10">
        <f t="shared" si="1"/>
        <v>0.005500094079</v>
      </c>
    </row>
    <row r="7475" ht="14.25" customHeight="1">
      <c r="A7475" s="2" t="s">
        <v>331</v>
      </c>
      <c r="B7475" s="2" t="s">
        <v>332</v>
      </c>
      <c r="C7475" s="2">
        <v>2021.0</v>
      </c>
      <c r="D7475" s="9">
        <v>25281.47</v>
      </c>
      <c r="E7475" s="10" t="str">
        <f t="array" ref="E7475">IFS(D7475&lt;=$G$3,'calculated data '!$A$3,D7475&lt;=$G$4,'calculated data '!$A$4,D7475&lt;=$G$6,'calculated data '!$A$5,D7475&gt;=$G$6,'calculated data '!$A$6)</f>
        <v>Target Market (Core IQR)</v>
      </c>
      <c r="F7475" s="10">
        <f t="shared" si="1"/>
        <v>0.006022739312</v>
      </c>
    </row>
    <row r="7476" ht="14.25" customHeight="1">
      <c r="A7476" s="2" t="s">
        <v>419</v>
      </c>
      <c r="B7476" s="2" t="s">
        <v>420</v>
      </c>
      <c r="C7476" s="2">
        <v>1996.0</v>
      </c>
      <c r="D7476" s="9">
        <v>25295.773</v>
      </c>
      <c r="E7476" s="10" t="str">
        <f t="array" ref="E7476">IFS(D7476&lt;=$G$3,'calculated data '!$A$3,D7476&lt;=$G$4,'calculated data '!$A$4,D7476&lt;=$G$6,'calculated data '!$A$5,D7476&gt;=$G$6,'calculated data '!$A$6)</f>
        <v>Target Market (Core IQR)</v>
      </c>
      <c r="F7476" s="10">
        <f t="shared" si="1"/>
        <v>0.006401336159</v>
      </c>
    </row>
    <row r="7477" ht="14.25" customHeight="1">
      <c r="A7477" s="2" t="s">
        <v>385</v>
      </c>
      <c r="B7477" s="2" t="s">
        <v>386</v>
      </c>
      <c r="C7477" s="2">
        <v>1987.0</v>
      </c>
      <c r="D7477" s="9">
        <v>25303.29</v>
      </c>
      <c r="E7477" s="10" t="str">
        <f t="array" ref="E7477">IFS(D7477&lt;=$G$3,'calculated data '!$A$3,D7477&lt;=$G$4,'calculated data '!$A$4,D7477&lt;=$G$6,'calculated data '!$A$5,D7477&gt;=$G$6,'calculated data '!$A$6)</f>
        <v>Target Market (Core IQR)</v>
      </c>
      <c r="F7477" s="10">
        <f t="shared" si="1"/>
        <v>0.006600309277</v>
      </c>
    </row>
    <row r="7478" ht="14.25" customHeight="1">
      <c r="A7478" s="2" t="s">
        <v>271</v>
      </c>
      <c r="B7478" s="2" t="s">
        <v>272</v>
      </c>
      <c r="C7478" s="2">
        <v>2016.0</v>
      </c>
      <c r="D7478" s="9">
        <v>25321.121</v>
      </c>
      <c r="E7478" s="10" t="str">
        <f t="array" ref="E7478">IFS(D7478&lt;=$G$3,'calculated data '!$A$3,D7478&lt;=$G$4,'calculated data '!$A$4,D7478&lt;=$G$6,'calculated data '!$A$5,D7478&gt;=$G$6,'calculated data '!$A$6)</f>
        <v>Target Market (Core IQR)</v>
      </c>
      <c r="F7478" s="10">
        <f t="shared" si="1"/>
        <v>0.007072291406</v>
      </c>
    </row>
    <row r="7479" ht="14.25" customHeight="1">
      <c r="A7479" s="2" t="s">
        <v>385</v>
      </c>
      <c r="B7479" s="2" t="s">
        <v>386</v>
      </c>
      <c r="C7479" s="2">
        <v>2014.0</v>
      </c>
      <c r="D7479" s="9">
        <v>25336.709</v>
      </c>
      <c r="E7479" s="10" t="str">
        <f t="array" ref="E7479">IFS(D7479&lt;=$G$3,'calculated data '!$A$3,D7479&lt;=$G$4,'calculated data '!$A$4,D7479&lt;=$G$6,'calculated data '!$A$5,D7479&gt;=$G$6,'calculated data '!$A$6)</f>
        <v>Target Market (Core IQR)</v>
      </c>
      <c r="F7479" s="10">
        <f t="shared" si="1"/>
        <v>0.007484901884</v>
      </c>
    </row>
    <row r="7480" ht="14.25" customHeight="1">
      <c r="A7480" s="2" t="s">
        <v>393</v>
      </c>
      <c r="B7480" s="2" t="s">
        <v>394</v>
      </c>
      <c r="C7480" s="2">
        <v>1999.0</v>
      </c>
      <c r="D7480" s="9">
        <v>25338.648</v>
      </c>
      <c r="E7480" s="10" t="str">
        <f t="array" ref="E7480">IFS(D7480&lt;=$G$3,'calculated data '!$A$3,D7480&lt;=$G$4,'calculated data '!$A$4,D7480&lt;=$G$6,'calculated data '!$A$5,D7480&gt;=$G$6,'calculated data '!$A$6)</f>
        <v>Target Market (Core IQR)</v>
      </c>
      <c r="F7480" s="10">
        <f t="shared" si="1"/>
        <v>0.007536226731</v>
      </c>
    </row>
    <row r="7481" ht="14.25" customHeight="1">
      <c r="A7481" s="2" t="s">
        <v>385</v>
      </c>
      <c r="B7481" s="2" t="s">
        <v>386</v>
      </c>
      <c r="C7481" s="2">
        <v>1999.0</v>
      </c>
      <c r="D7481" s="9">
        <v>25353.273</v>
      </c>
      <c r="E7481" s="10" t="str">
        <f t="array" ref="E7481">IFS(D7481&lt;=$G$3,'calculated data '!$A$3,D7481&lt;=$G$4,'calculated data '!$A$4,D7481&lt;=$G$6,'calculated data '!$A$5,D7481&gt;=$G$6,'calculated data '!$A$6)</f>
        <v>Target Market (Core IQR)</v>
      </c>
      <c r="F7481" s="10">
        <f t="shared" si="1"/>
        <v>0.007923346838</v>
      </c>
    </row>
    <row r="7482" ht="14.25" customHeight="1">
      <c r="A7482" s="2" t="s">
        <v>355</v>
      </c>
      <c r="B7482" s="2" t="s">
        <v>356</v>
      </c>
      <c r="C7482" s="2">
        <v>2016.0</v>
      </c>
      <c r="D7482" s="9">
        <v>25360.771</v>
      </c>
      <c r="E7482" s="10" t="str">
        <f t="array" ref="E7482">IFS(D7482&lt;=$G$3,'calculated data '!$A$3,D7482&lt;=$G$4,'calculated data '!$A$4,D7482&lt;=$G$6,'calculated data '!$A$5,D7482&gt;=$G$6,'calculated data '!$A$6)</f>
        <v>Target Market (Core IQR)</v>
      </c>
      <c r="F7482" s="10">
        <f t="shared" si="1"/>
        <v>0.008121817031</v>
      </c>
    </row>
    <row r="7483" ht="14.25" customHeight="1">
      <c r="A7483" s="2" t="s">
        <v>373</v>
      </c>
      <c r="B7483" s="2" t="s">
        <v>374</v>
      </c>
      <c r="C7483" s="2">
        <v>2007.0</v>
      </c>
      <c r="D7483" s="9">
        <v>25376.07</v>
      </c>
      <c r="E7483" s="10" t="str">
        <f t="array" ref="E7483">IFS(D7483&lt;=$G$3,'calculated data '!$A$3,D7483&lt;=$G$4,'calculated data '!$A$4,D7483&lt;=$G$6,'calculated data '!$A$5,D7483&gt;=$G$6,'calculated data '!$A$6)</f>
        <v>Target Market (Core IQR)</v>
      </c>
      <c r="F7483" s="10">
        <f t="shared" si="1"/>
        <v>0.00852677775</v>
      </c>
    </row>
    <row r="7484" ht="14.25" customHeight="1">
      <c r="A7484" s="2" t="s">
        <v>395</v>
      </c>
      <c r="B7484" s="2" t="s">
        <v>396</v>
      </c>
      <c r="C7484" s="2">
        <v>2011.0</v>
      </c>
      <c r="D7484" s="9">
        <v>25392.164</v>
      </c>
      <c r="E7484" s="10" t="str">
        <f t="array" ref="E7484">IFS(D7484&lt;=$G$3,'calculated data '!$A$3,D7484&lt;=$G$4,'calculated data '!$A$4,D7484&lt;=$G$6,'calculated data '!$A$5,D7484&gt;=$G$6,'calculated data '!$A$6)</f>
        <v>Target Market (Core IQR)</v>
      </c>
      <c r="F7484" s="10">
        <f t="shared" si="1"/>
        <v>0.008952781922</v>
      </c>
    </row>
    <row r="7485" ht="14.25" customHeight="1">
      <c r="A7485" s="2" t="s">
        <v>279</v>
      </c>
      <c r="B7485" s="2" t="s">
        <v>280</v>
      </c>
      <c r="C7485" s="2">
        <v>1988.0</v>
      </c>
      <c r="D7485" s="9">
        <v>25406.154</v>
      </c>
      <c r="E7485" s="10" t="str">
        <f t="array" ref="E7485">IFS(D7485&lt;=$G$3,'calculated data '!$A$3,D7485&lt;=$G$4,'calculated data '!$A$4,D7485&lt;=$G$6,'calculated data '!$A$5,D7485&gt;=$G$6,'calculated data '!$A$6)</f>
        <v>Target Market (Core IQR)</v>
      </c>
      <c r="F7485" s="10">
        <f t="shared" si="1"/>
        <v>0.009323093737</v>
      </c>
    </row>
    <row r="7486" ht="14.25" customHeight="1">
      <c r="A7486" s="2" t="s">
        <v>271</v>
      </c>
      <c r="B7486" s="2" t="s">
        <v>272</v>
      </c>
      <c r="C7486" s="2">
        <v>2018.0</v>
      </c>
      <c r="D7486" s="9">
        <v>25421.045</v>
      </c>
      <c r="E7486" s="10" t="str">
        <f t="array" ref="E7486">IFS(D7486&lt;=$G$3,'calculated data '!$A$3,D7486&lt;=$G$4,'calculated data '!$A$4,D7486&lt;=$G$6,'calculated data '!$A$5,D7486&gt;=$G$6,'calculated data '!$A$6)</f>
        <v>Target Market (Core IQR)</v>
      </c>
      <c r="F7486" s="10">
        <f t="shared" si="1"/>
        <v>0.009717254799</v>
      </c>
    </row>
    <row r="7487" ht="14.25" customHeight="1">
      <c r="A7487" s="2" t="s">
        <v>401</v>
      </c>
      <c r="B7487" s="2" t="s">
        <v>402</v>
      </c>
      <c r="C7487" s="2">
        <v>1969.0</v>
      </c>
      <c r="D7487" s="9">
        <v>25430.346</v>
      </c>
      <c r="E7487" s="10" t="str">
        <f t="array" ref="E7487">IFS(D7487&lt;=$G$3,'calculated data '!$A$3,D7487&lt;=$G$4,'calculated data '!$A$4,D7487&lt;=$G$6,'calculated data '!$A$5,D7487&gt;=$G$6,'calculated data '!$A$6)</f>
        <v>Target Market (Core IQR)</v>
      </c>
      <c r="F7487" s="10">
        <f t="shared" si="1"/>
        <v>0.009963449952</v>
      </c>
    </row>
    <row r="7488" ht="14.25" customHeight="1">
      <c r="A7488" s="2" t="s">
        <v>267</v>
      </c>
      <c r="B7488" s="2" t="s">
        <v>268</v>
      </c>
      <c r="C7488" s="2">
        <v>1996.0</v>
      </c>
      <c r="D7488" s="9">
        <v>25459.387</v>
      </c>
      <c r="E7488" s="10" t="str">
        <f t="array" ref="E7488">IFS(D7488&lt;=$G$3,'calculated data '!$A$3,D7488&lt;=$G$4,'calculated data '!$A$4,D7488&lt;=$G$6,'calculated data '!$A$5,D7488&gt;=$G$6,'calculated data '!$A$6)</f>
        <v>Target Market (Core IQR)</v>
      </c>
      <c r="F7488" s="10">
        <f t="shared" si="1"/>
        <v>0.01073215799</v>
      </c>
    </row>
    <row r="7489" ht="14.25" customHeight="1">
      <c r="A7489" s="2" t="s">
        <v>383</v>
      </c>
      <c r="B7489" s="2" t="s">
        <v>384</v>
      </c>
      <c r="C7489" s="2">
        <v>1997.0</v>
      </c>
      <c r="D7489" s="9">
        <v>25471.582</v>
      </c>
      <c r="E7489" s="10" t="str">
        <f t="array" ref="E7489">IFS(D7489&lt;=$G$3,'calculated data '!$A$3,D7489&lt;=$G$4,'calculated data '!$A$4,D7489&lt;=$G$6,'calculated data '!$A$5,D7489&gt;=$G$6,'calculated data '!$A$6)</f>
        <v>Target Market (Core IQR)</v>
      </c>
      <c r="F7489" s="10">
        <f t="shared" si="1"/>
        <v>0.0110549566</v>
      </c>
    </row>
    <row r="7490" ht="14.25" customHeight="1">
      <c r="A7490" s="2" t="s">
        <v>285</v>
      </c>
      <c r="B7490" s="2" t="s">
        <v>286</v>
      </c>
      <c r="C7490" s="2">
        <v>2011.0</v>
      </c>
      <c r="D7490" s="9">
        <v>25476.943</v>
      </c>
      <c r="E7490" s="10" t="str">
        <f t="array" ref="E7490">IFS(D7490&lt;=$G$3,'calculated data '!$A$3,D7490&lt;=$G$4,'calculated data '!$A$4,D7490&lt;=$G$6,'calculated data '!$A$5,D7490&gt;=$G$6,'calculated data '!$A$6)</f>
        <v>Target Market (Core IQR)</v>
      </c>
      <c r="F7490" s="10">
        <f t="shared" si="1"/>
        <v>0.01119686094</v>
      </c>
    </row>
    <row r="7491" ht="14.25" customHeight="1">
      <c r="A7491" s="2" t="s">
        <v>363</v>
      </c>
      <c r="B7491" s="2" t="s">
        <v>364</v>
      </c>
      <c r="C7491" s="2">
        <v>1985.0</v>
      </c>
      <c r="D7491" s="9">
        <v>25478.207</v>
      </c>
      <c r="E7491" s="10" t="str">
        <f t="array" ref="E7491">IFS(D7491&lt;=$G$3,'calculated data '!$A$3,D7491&lt;=$G$4,'calculated data '!$A$4,D7491&lt;=$G$6,'calculated data '!$A$5,D7491&gt;=$G$6,'calculated data '!$A$6)</f>
        <v>Target Market (Core IQR)</v>
      </c>
      <c r="F7491" s="10">
        <f t="shared" si="1"/>
        <v>0.0112303187</v>
      </c>
    </row>
    <row r="7492" ht="14.25" customHeight="1">
      <c r="A7492" s="2" t="s">
        <v>355</v>
      </c>
      <c r="B7492" s="2" t="s">
        <v>356</v>
      </c>
      <c r="C7492" s="2">
        <v>1999.0</v>
      </c>
      <c r="D7492" s="9">
        <v>25481.814</v>
      </c>
      <c r="E7492" s="10" t="str">
        <f t="array" ref="E7492">IFS(D7492&lt;=$G$3,'calculated data '!$A$3,D7492&lt;=$G$4,'calculated data '!$A$4,D7492&lt;=$G$6,'calculated data '!$A$5,D7492&gt;=$G$6,'calculated data '!$A$6)</f>
        <v>Target Market (Core IQR)</v>
      </c>
      <c r="F7492" s="10">
        <f t="shared" si="1"/>
        <v>0.01132579509</v>
      </c>
    </row>
    <row r="7493" ht="14.25" customHeight="1">
      <c r="A7493" s="2" t="s">
        <v>385</v>
      </c>
      <c r="B7493" s="2" t="s">
        <v>386</v>
      </c>
      <c r="C7493" s="2">
        <v>1997.0</v>
      </c>
      <c r="D7493" s="9">
        <v>25485.96</v>
      </c>
      <c r="E7493" s="10" t="str">
        <f t="array" ref="E7493">IFS(D7493&lt;=$G$3,'calculated data '!$A$3,D7493&lt;=$G$4,'calculated data '!$A$4,D7493&lt;=$G$6,'calculated data '!$A$5,D7493&gt;=$G$6,'calculated data '!$A$6)</f>
        <v>Target Market (Core IQR)</v>
      </c>
      <c r="F7493" s="10">
        <f t="shared" si="1"/>
        <v>0.01143553868</v>
      </c>
    </row>
    <row r="7494" ht="14.25" customHeight="1">
      <c r="A7494" s="2" t="s">
        <v>341</v>
      </c>
      <c r="B7494" s="2" t="s">
        <v>342</v>
      </c>
      <c r="C7494" s="2">
        <v>2015.0</v>
      </c>
      <c r="D7494" s="9">
        <v>25493.6</v>
      </c>
      <c r="E7494" s="10" t="str">
        <f t="array" ref="E7494">IFS(D7494&lt;=$G$3,'calculated data '!$A$3,D7494&lt;=$G$4,'calculated data '!$A$4,D7494&lt;=$G$6,'calculated data '!$A$5,D7494&gt;=$G$6,'calculated data '!$A$6)</f>
        <v>Target Market (Core IQR)</v>
      </c>
      <c r="F7494" s="10">
        <f t="shared" si="1"/>
        <v>0.01163776758</v>
      </c>
    </row>
    <row r="7495" ht="14.25" customHeight="1">
      <c r="A7495" s="2" t="s">
        <v>419</v>
      </c>
      <c r="B7495" s="2" t="s">
        <v>420</v>
      </c>
      <c r="C7495" s="2">
        <v>2000.0</v>
      </c>
      <c r="D7495" s="9">
        <v>25516.797</v>
      </c>
      <c r="E7495" s="10" t="str">
        <f t="array" ref="E7495">IFS(D7495&lt;=$G$3,'calculated data '!$A$3,D7495&lt;=$G$4,'calculated data '!$A$4,D7495&lt;=$G$6,'calculated data '!$A$5,D7495&gt;=$G$6,'calculated data '!$A$6)</f>
        <v>Target Market (Core IQR)</v>
      </c>
      <c r="F7495" s="10">
        <f t="shared" si="1"/>
        <v>0.01225178639</v>
      </c>
    </row>
    <row r="7496" ht="14.25" customHeight="1">
      <c r="A7496" s="2" t="s">
        <v>385</v>
      </c>
      <c r="B7496" s="2" t="s">
        <v>386</v>
      </c>
      <c r="C7496" s="2">
        <v>1982.0</v>
      </c>
      <c r="D7496" s="9">
        <v>25516.957</v>
      </c>
      <c r="E7496" s="10" t="str">
        <f t="array" ref="E7496">IFS(D7496&lt;=$G$3,'calculated data '!$A$3,D7496&lt;=$G$4,'calculated data '!$A$4,D7496&lt;=$G$6,'calculated data '!$A$5,D7496&gt;=$G$6,'calculated data '!$A$6)</f>
        <v>Target Market (Core IQR)</v>
      </c>
      <c r="F7496" s="10">
        <f t="shared" si="1"/>
        <v>0.01225602155</v>
      </c>
    </row>
    <row r="7497" ht="14.25" customHeight="1">
      <c r="A7497" s="2" t="s">
        <v>421</v>
      </c>
      <c r="B7497" s="2" t="s">
        <v>422</v>
      </c>
      <c r="C7497" s="2">
        <v>1967.0</v>
      </c>
      <c r="D7497" s="9">
        <v>25524.818</v>
      </c>
      <c r="E7497" s="10" t="str">
        <f t="array" ref="E7497">IFS(D7497&lt;=$G$3,'calculated data '!$A$3,D7497&lt;=$G$4,'calculated data '!$A$4,D7497&lt;=$G$6,'calculated data '!$A$5,D7497&gt;=$G$6,'calculated data '!$A$6)</f>
        <v>Target Market (Core IQR)</v>
      </c>
      <c r="F7497" s="10">
        <f t="shared" si="1"/>
        <v>0.01246410026</v>
      </c>
    </row>
    <row r="7498" ht="14.25" customHeight="1">
      <c r="A7498" s="2" t="s">
        <v>311</v>
      </c>
      <c r="B7498" s="2" t="s">
        <v>312</v>
      </c>
      <c r="C7498" s="2">
        <v>2014.0</v>
      </c>
      <c r="D7498" s="9">
        <v>25530.701</v>
      </c>
      <c r="E7498" s="10" t="str">
        <f t="array" ref="E7498">IFS(D7498&lt;=$G$3,'calculated data '!$A$3,D7498&lt;=$G$4,'calculated data '!$A$4,D7498&lt;=$G$6,'calculated data '!$A$5,D7498&gt;=$G$6,'calculated data '!$A$6)</f>
        <v>Target Market (Core IQR)</v>
      </c>
      <c r="F7498" s="10">
        <f t="shared" si="1"/>
        <v>0.01261982181</v>
      </c>
    </row>
    <row r="7499" ht="14.25" customHeight="1">
      <c r="A7499" s="2" t="s">
        <v>285</v>
      </c>
      <c r="B7499" s="2" t="s">
        <v>286</v>
      </c>
      <c r="C7499" s="2">
        <v>2009.0</v>
      </c>
      <c r="D7499" s="9">
        <v>25544.244</v>
      </c>
      <c r="E7499" s="10" t="str">
        <f t="array" ref="E7499">IFS(D7499&lt;=$G$3,'calculated data '!$A$3,D7499&lt;=$G$4,'calculated data '!$A$4,D7499&lt;=$G$6,'calculated data '!$A$5,D7499&gt;=$G$6,'calculated data '!$A$6)</f>
        <v>Target Market (Core IQR)</v>
      </c>
      <c r="F7499" s="10">
        <f t="shared" si="1"/>
        <v>0.01297830164</v>
      </c>
    </row>
    <row r="7500" ht="14.25" customHeight="1">
      <c r="A7500" s="2" t="s">
        <v>407</v>
      </c>
      <c r="B7500" s="2" t="s">
        <v>408</v>
      </c>
      <c r="C7500" s="2">
        <v>1999.0</v>
      </c>
      <c r="D7500" s="9">
        <v>25554.07</v>
      </c>
      <c r="E7500" s="10" t="str">
        <f t="array" ref="E7500">IFS(D7500&lt;=$G$3,'calculated data '!$A$3,D7500&lt;=$G$4,'calculated data '!$A$4,D7500&lt;=$G$6,'calculated data '!$A$5,D7500&gt;=$G$6,'calculated data '!$A$6)</f>
        <v>Target Market (Core IQR)</v>
      </c>
      <c r="F7500" s="10">
        <f t="shared" si="1"/>
        <v>0.01323839342</v>
      </c>
    </row>
    <row r="7501" ht="14.25" customHeight="1">
      <c r="A7501" s="2" t="s">
        <v>415</v>
      </c>
      <c r="B7501" s="2" t="s">
        <v>416</v>
      </c>
      <c r="C7501" s="2">
        <v>2024.0</v>
      </c>
      <c r="D7501" s="9">
        <v>25567.469</v>
      </c>
      <c r="E7501" s="10" t="str">
        <f t="array" ref="E7501">IFS(D7501&lt;=$G$3,'calculated data '!$A$3,D7501&lt;=$G$4,'calculated data '!$A$4,D7501&lt;=$G$6,'calculated data '!$A$5,D7501&gt;=$G$6,'calculated data '!$A$6)</f>
        <v>Target Market (Core IQR)</v>
      </c>
      <c r="F7501" s="10">
        <f t="shared" si="1"/>
        <v>0.01359306161</v>
      </c>
    </row>
    <row r="7502" ht="14.25" customHeight="1">
      <c r="A7502" s="2" t="s">
        <v>343</v>
      </c>
      <c r="B7502" s="2" t="s">
        <v>344</v>
      </c>
      <c r="C7502" s="2">
        <v>1995.0</v>
      </c>
      <c r="D7502" s="9">
        <v>25594.115</v>
      </c>
      <c r="E7502" s="10" t="str">
        <f t="array" ref="E7502">IFS(D7502&lt;=$G$3,'calculated data '!$A$3,D7502&lt;=$G$4,'calculated data '!$A$4,D7502&lt;=$G$6,'calculated data '!$A$5,D7502&gt;=$G$6,'calculated data '!$A$6)</f>
        <v>Target Market (Core IQR)</v>
      </c>
      <c r="F7502" s="10">
        <f t="shared" si="1"/>
        <v>0.01429837459</v>
      </c>
    </row>
    <row r="7503" ht="14.25" customHeight="1">
      <c r="A7503" s="2" t="s">
        <v>429</v>
      </c>
      <c r="B7503" s="2" t="s">
        <v>430</v>
      </c>
      <c r="C7503" s="2">
        <v>1965.0</v>
      </c>
      <c r="D7503" s="9">
        <v>25597.227</v>
      </c>
      <c r="E7503" s="10" t="str">
        <f t="array" ref="E7503">IFS(D7503&lt;=$G$3,'calculated data '!$A$3,D7503&lt;=$G$4,'calculated data '!$A$4,D7503&lt;=$G$6,'calculated data '!$A$5,D7503&gt;=$G$6,'calculated data '!$A$6)</f>
        <v>Target Market (Core IQR)</v>
      </c>
      <c r="F7503" s="10">
        <f t="shared" si="1"/>
        <v>0.01438074846</v>
      </c>
    </row>
    <row r="7504" ht="14.25" customHeight="1">
      <c r="A7504" s="2" t="s">
        <v>355</v>
      </c>
      <c r="B7504" s="2" t="s">
        <v>356</v>
      </c>
      <c r="C7504" s="2">
        <v>1979.0</v>
      </c>
      <c r="D7504" s="9">
        <v>25601.467</v>
      </c>
      <c r="E7504" s="10" t="str">
        <f t="array" ref="E7504">IFS(D7504&lt;=$G$3,'calculated data '!$A$3,D7504&lt;=$G$4,'calculated data '!$A$4,D7504&lt;=$G$6,'calculated data '!$A$5,D7504&gt;=$G$6,'calculated data '!$A$6)</f>
        <v>Target Market (Core IQR)</v>
      </c>
      <c r="F7504" s="10">
        <f t="shared" si="1"/>
        <v>0.0144929802</v>
      </c>
    </row>
    <row r="7505" ht="14.25" customHeight="1">
      <c r="A7505" s="2" t="s">
        <v>425</v>
      </c>
      <c r="B7505" s="2" t="s">
        <v>426</v>
      </c>
      <c r="C7505" s="2">
        <v>2024.0</v>
      </c>
      <c r="D7505" s="9">
        <v>25610.932</v>
      </c>
      <c r="E7505" s="10" t="str">
        <f t="array" ref="E7505">IFS(D7505&lt;=$G$3,'calculated data '!$A$3,D7505&lt;=$G$4,'calculated data '!$A$4,D7505&lt;=$G$6,'calculated data '!$A$5,D7505&gt;=$G$6,'calculated data '!$A$6)</f>
        <v>Target Market (Core IQR)</v>
      </c>
      <c r="F7505" s="10">
        <f t="shared" si="1"/>
        <v>0.01474351639</v>
      </c>
    </row>
    <row r="7506" ht="14.25" customHeight="1">
      <c r="A7506" s="2" t="s">
        <v>375</v>
      </c>
      <c r="B7506" s="2" t="s">
        <v>376</v>
      </c>
      <c r="C7506" s="2">
        <v>1975.0</v>
      </c>
      <c r="D7506" s="9">
        <v>25618.941</v>
      </c>
      <c r="E7506" s="10" t="str">
        <f t="array" ref="E7506">IFS(D7506&lt;=$G$3,'calculated data '!$A$3,D7506&lt;=$G$4,'calculated data '!$A$4,D7506&lt;=$G$6,'calculated data '!$A$5,D7506&gt;=$G$6,'calculated data '!$A$6)</f>
        <v>Target Market (Core IQR)</v>
      </c>
      <c r="F7506" s="10">
        <f t="shared" si="1"/>
        <v>0.01495551263</v>
      </c>
    </row>
    <row r="7507" ht="14.25" customHeight="1">
      <c r="A7507" s="2" t="s">
        <v>355</v>
      </c>
      <c r="B7507" s="2" t="s">
        <v>356</v>
      </c>
      <c r="C7507" s="2">
        <v>1991.0</v>
      </c>
      <c r="D7507" s="9">
        <v>25632.883</v>
      </c>
      <c r="E7507" s="10" t="str">
        <f t="array" ref="E7507">IFS(D7507&lt;=$G$3,'calculated data '!$A$3,D7507&lt;=$G$4,'calculated data '!$A$4,D7507&lt;=$G$6,'calculated data '!$A$5,D7507&gt;=$G$6,'calculated data '!$A$6)</f>
        <v>Target Market (Core IQR)</v>
      </c>
      <c r="F7507" s="10">
        <f t="shared" si="1"/>
        <v>0.0153245539</v>
      </c>
    </row>
    <row r="7508" ht="14.25" customHeight="1">
      <c r="A7508" s="2" t="s">
        <v>395</v>
      </c>
      <c r="B7508" s="2" t="s">
        <v>396</v>
      </c>
      <c r="C7508" s="2">
        <v>2017.0</v>
      </c>
      <c r="D7508" s="9">
        <v>25638.635</v>
      </c>
      <c r="E7508" s="10" t="str">
        <f t="array" ref="E7508">IFS(D7508&lt;=$G$3,'calculated data '!$A$3,D7508&lt;=$G$4,'calculated data '!$A$4,D7508&lt;=$G$6,'calculated data '!$A$5,D7508&gt;=$G$6,'calculated data '!$A$6)</f>
        <v>Target Market (Core IQR)</v>
      </c>
      <c r="F7508" s="10">
        <f t="shared" si="1"/>
        <v>0.0154768079</v>
      </c>
    </row>
    <row r="7509" ht="14.25" customHeight="1">
      <c r="A7509" s="2" t="s">
        <v>431</v>
      </c>
      <c r="B7509" s="2" t="s">
        <v>432</v>
      </c>
      <c r="C7509" s="2">
        <v>2020.0</v>
      </c>
      <c r="D7509" s="9">
        <v>25645.621</v>
      </c>
      <c r="E7509" s="10" t="str">
        <f t="array" ref="E7509">IFS(D7509&lt;=$G$3,'calculated data '!$A$3,D7509&lt;=$G$4,'calculated data '!$A$4,D7509&lt;=$G$6,'calculated data '!$A$5,D7509&gt;=$G$6,'calculated data '!$A$6)</f>
        <v>Target Market (Core IQR)</v>
      </c>
      <c r="F7509" s="10">
        <f t="shared" si="1"/>
        <v>0.01566172558</v>
      </c>
    </row>
    <row r="7510" ht="14.25" customHeight="1">
      <c r="A7510" s="2" t="s">
        <v>371</v>
      </c>
      <c r="B7510" s="2" t="s">
        <v>372</v>
      </c>
      <c r="C7510" s="2">
        <v>2020.0</v>
      </c>
      <c r="D7510" s="9">
        <v>25651.572</v>
      </c>
      <c r="E7510" s="10" t="str">
        <f t="array" ref="E7510">IFS(D7510&lt;=$G$3,'calculated data '!$A$3,D7510&lt;=$G$4,'calculated data '!$A$4,D7510&lt;=$G$6,'calculated data '!$A$5,D7510&gt;=$G$6,'calculated data '!$A$6)</f>
        <v>Target Market (Core IQR)</v>
      </c>
      <c r="F7510" s="10">
        <f t="shared" si="1"/>
        <v>0.01581924707</v>
      </c>
    </row>
    <row r="7511" ht="14.25" customHeight="1">
      <c r="A7511" s="2" t="s">
        <v>339</v>
      </c>
      <c r="B7511" s="2" t="s">
        <v>340</v>
      </c>
      <c r="C7511" s="2">
        <v>1980.0</v>
      </c>
      <c r="D7511" s="9">
        <v>25654.4</v>
      </c>
      <c r="E7511" s="10" t="str">
        <f t="array" ref="E7511">IFS(D7511&lt;=$G$3,'calculated data '!$A$3,D7511&lt;=$G$4,'calculated data '!$A$4,D7511&lt;=$G$6,'calculated data '!$A$5,D7511&gt;=$G$6,'calculated data '!$A$6)</f>
        <v>Target Market (Core IQR)</v>
      </c>
      <c r="F7511" s="10">
        <f t="shared" si="1"/>
        <v>0.01589410353</v>
      </c>
    </row>
    <row r="7512" ht="14.25" customHeight="1">
      <c r="A7512" s="2" t="s">
        <v>309</v>
      </c>
      <c r="B7512" s="2" t="s">
        <v>310</v>
      </c>
      <c r="C7512" s="2">
        <v>1991.0</v>
      </c>
      <c r="D7512" s="9">
        <v>25655.133</v>
      </c>
      <c r="E7512" s="10" t="str">
        <f t="array" ref="E7512">IFS(D7512&lt;=$G$3,'calculated data '!$A$3,D7512&lt;=$G$4,'calculated data '!$A$4,D7512&lt;=$G$6,'calculated data '!$A$5,D7512&gt;=$G$6,'calculated data '!$A$6)</f>
        <v>Target Market (Core IQR)</v>
      </c>
      <c r="F7512" s="10">
        <f t="shared" si="1"/>
        <v>0.01591350586</v>
      </c>
    </row>
    <row r="7513" ht="14.25" customHeight="1">
      <c r="A7513" s="2" t="s">
        <v>359</v>
      </c>
      <c r="B7513" s="2" t="s">
        <v>360</v>
      </c>
      <c r="C7513" s="2">
        <v>1991.0</v>
      </c>
      <c r="D7513" s="9">
        <v>25662.115</v>
      </c>
      <c r="E7513" s="10" t="str">
        <f t="array" ref="E7513">IFS(D7513&lt;=$G$3,'calculated data '!$A$3,D7513&lt;=$G$4,'calculated data '!$A$4,D7513&lt;=$G$6,'calculated data '!$A$5,D7513&gt;=$G$6,'calculated data '!$A$6)</f>
        <v>Target Market (Core IQR)</v>
      </c>
      <c r="F7513" s="10">
        <f t="shared" si="1"/>
        <v>0.01609831766</v>
      </c>
    </row>
    <row r="7514" ht="14.25" customHeight="1">
      <c r="A7514" s="2" t="s">
        <v>409</v>
      </c>
      <c r="B7514" s="2" t="s">
        <v>410</v>
      </c>
      <c r="C7514" s="2">
        <v>1966.0</v>
      </c>
      <c r="D7514" s="9">
        <v>25665.611</v>
      </c>
      <c r="E7514" s="10" t="str">
        <f t="array" ref="E7514">IFS(D7514&lt;=$G$3,'calculated data '!$A$3,D7514&lt;=$G$4,'calculated data '!$A$4,D7514&lt;=$G$6,'calculated data '!$A$5,D7514&gt;=$G$6,'calculated data '!$A$6)</f>
        <v>Target Market (Core IQR)</v>
      </c>
      <c r="F7514" s="10">
        <f t="shared" si="1"/>
        <v>0.01619085591</v>
      </c>
    </row>
    <row r="7515" ht="14.25" customHeight="1">
      <c r="A7515" s="2" t="s">
        <v>353</v>
      </c>
      <c r="B7515" s="2" t="s">
        <v>354</v>
      </c>
      <c r="C7515" s="2">
        <v>1972.0</v>
      </c>
      <c r="D7515" s="9">
        <v>25666.742</v>
      </c>
      <c r="E7515" s="10" t="str">
        <f t="array" ref="E7515">IFS(D7515&lt;=$G$3,'calculated data '!$A$3,D7515&lt;=$G$4,'calculated data '!$A$4,D7515&lt;=$G$6,'calculated data '!$A$5,D7515&gt;=$G$6,'calculated data '!$A$6)</f>
        <v>Target Market (Core IQR)</v>
      </c>
      <c r="F7515" s="10">
        <f t="shared" si="1"/>
        <v>0.01622079319</v>
      </c>
    </row>
    <row r="7516" ht="14.25" customHeight="1">
      <c r="A7516" s="2" t="s">
        <v>47</v>
      </c>
      <c r="B7516" s="2" t="s">
        <v>48</v>
      </c>
      <c r="C7516" s="2">
        <v>2010.0</v>
      </c>
      <c r="D7516" s="9">
        <v>25673.332</v>
      </c>
      <c r="E7516" s="10" t="str">
        <f t="array" ref="E7516">IFS(D7516&lt;=$G$3,'calculated data '!$A$3,D7516&lt;=$G$4,'calculated data '!$A$4,D7516&lt;=$G$6,'calculated data '!$A$5,D7516&gt;=$G$6,'calculated data '!$A$6)</f>
        <v>Target Market (Core IQR)</v>
      </c>
      <c r="F7516" s="10">
        <f t="shared" si="1"/>
        <v>0.01639522885</v>
      </c>
    </row>
    <row r="7517" ht="14.25" customHeight="1">
      <c r="A7517" s="2" t="s">
        <v>419</v>
      </c>
      <c r="B7517" s="2" t="s">
        <v>420</v>
      </c>
      <c r="C7517" s="2">
        <v>1997.0</v>
      </c>
      <c r="D7517" s="9">
        <v>25691.625</v>
      </c>
      <c r="E7517" s="10" t="str">
        <f t="array" ref="E7517">IFS(D7517&lt;=$G$3,'calculated data '!$A$3,D7517&lt;=$G$4,'calculated data '!$A$4,D7517&lt;=$G$6,'calculated data '!$A$5,D7517&gt;=$G$6,'calculated data '!$A$6)</f>
        <v>Target Market (Core IQR)</v>
      </c>
      <c r="F7517" s="10">
        <f t="shared" si="1"/>
        <v>0.01687944001</v>
      </c>
    </row>
    <row r="7518" ht="14.25" customHeight="1">
      <c r="A7518" s="2" t="s">
        <v>385</v>
      </c>
      <c r="B7518" s="2" t="s">
        <v>386</v>
      </c>
      <c r="C7518" s="2">
        <v>1986.0</v>
      </c>
      <c r="D7518" s="9">
        <v>25710.578</v>
      </c>
      <c r="E7518" s="10" t="str">
        <f t="array" ref="E7518">IFS(D7518&lt;=$G$3,'calculated data '!$A$3,D7518&lt;=$G$4,'calculated data '!$A$4,D7518&lt;=$G$6,'calculated data '!$A$5,D7518&gt;=$G$6,'calculated data '!$A$6)</f>
        <v>Target Market (Core IQR)</v>
      </c>
      <c r="F7518" s="10">
        <f t="shared" si="1"/>
        <v>0.0173811212</v>
      </c>
    </row>
    <row r="7519" ht="14.25" customHeight="1">
      <c r="A7519" s="2" t="s">
        <v>379</v>
      </c>
      <c r="B7519" s="2" t="s">
        <v>380</v>
      </c>
      <c r="C7519" s="2">
        <v>1983.0</v>
      </c>
      <c r="D7519" s="9">
        <v>25710.727</v>
      </c>
      <c r="E7519" s="10" t="str">
        <f t="array" ref="E7519">IFS(D7519&lt;=$G$3,'calculated data '!$A$3,D7519&lt;=$G$4,'calculated data '!$A$4,D7519&lt;=$G$6,'calculated data '!$A$5,D7519&gt;=$G$6,'calculated data '!$A$6)</f>
        <v>Target Market (Core IQR)</v>
      </c>
      <c r="F7519" s="10">
        <f t="shared" si="1"/>
        <v>0.01738506519</v>
      </c>
    </row>
    <row r="7520" ht="14.25" customHeight="1">
      <c r="A7520" s="2" t="s">
        <v>407</v>
      </c>
      <c r="B7520" s="2" t="s">
        <v>408</v>
      </c>
      <c r="C7520" s="2">
        <v>2001.0</v>
      </c>
      <c r="D7520" s="9">
        <v>25715.441</v>
      </c>
      <c r="E7520" s="10" t="str">
        <f t="array" ref="E7520">IFS(D7520&lt;=$G$3,'calculated data '!$A$3,D7520&lt;=$G$4,'calculated data '!$A$4,D7520&lt;=$G$6,'calculated data '!$A$5,D7520&gt;=$G$6,'calculated data '!$A$6)</f>
        <v>Target Market (Core IQR)</v>
      </c>
      <c r="F7520" s="10">
        <f t="shared" si="1"/>
        <v>0.0175098436</v>
      </c>
    </row>
    <row r="7521" ht="14.25" customHeight="1">
      <c r="A7521" s="2" t="s">
        <v>271</v>
      </c>
      <c r="B7521" s="2" t="s">
        <v>272</v>
      </c>
      <c r="C7521" s="2">
        <v>2006.0</v>
      </c>
      <c r="D7521" s="9">
        <v>25718.0</v>
      </c>
      <c r="E7521" s="10" t="str">
        <f t="array" ref="E7521">IFS(D7521&lt;=$G$3,'calculated data '!$A$3,D7521&lt;=$G$4,'calculated data '!$A$4,D7521&lt;=$G$6,'calculated data '!$A$5,D7521&gt;=$G$6,'calculated data '!$A$6)</f>
        <v>Target Market (Core IQR)</v>
      </c>
      <c r="F7521" s="10">
        <f t="shared" si="1"/>
        <v>0.01757757969</v>
      </c>
    </row>
    <row r="7522" ht="14.25" customHeight="1">
      <c r="A7522" s="2" t="s">
        <v>28</v>
      </c>
      <c r="B7522" s="2" t="s">
        <v>29</v>
      </c>
      <c r="C7522" s="2">
        <v>1999.0</v>
      </c>
      <c r="D7522" s="9">
        <v>25735.385</v>
      </c>
      <c r="E7522" s="10" t="str">
        <f t="array" ref="E7522">IFS(D7522&lt;=$G$3,'calculated data '!$A$3,D7522&lt;=$G$4,'calculated data '!$A$4,D7522&lt;=$G$6,'calculated data '!$A$5,D7522&gt;=$G$6,'calculated data '!$A$6)</f>
        <v>Target Market (Core IQR)</v>
      </c>
      <c r="F7522" s="10">
        <f t="shared" si="1"/>
        <v>0.01803775631</v>
      </c>
    </row>
    <row r="7523" ht="14.25" customHeight="1">
      <c r="A7523" s="2" t="s">
        <v>433</v>
      </c>
      <c r="B7523" s="2" t="s">
        <v>434</v>
      </c>
      <c r="C7523" s="2">
        <v>1965.0</v>
      </c>
      <c r="D7523" s="9">
        <v>25743.836</v>
      </c>
      <c r="E7523" s="10" t="str">
        <f t="array" ref="E7523">IFS(D7523&lt;=$G$3,'calculated data '!$A$3,D7523&lt;=$G$4,'calculated data '!$A$4,D7523&lt;=$G$6,'calculated data '!$A$5,D7523&gt;=$G$6,'calculated data '!$A$6)</f>
        <v>Target Market (Core IQR)</v>
      </c>
      <c r="F7523" s="10">
        <f t="shared" si="1"/>
        <v>0.01826145217</v>
      </c>
    </row>
    <row r="7524" ht="14.25" customHeight="1">
      <c r="A7524" s="2" t="s">
        <v>257</v>
      </c>
      <c r="B7524" s="2" t="s">
        <v>258</v>
      </c>
      <c r="C7524" s="2">
        <v>2004.0</v>
      </c>
      <c r="D7524" s="9">
        <v>25754.51</v>
      </c>
      <c r="E7524" s="10" t="str">
        <f t="array" ref="E7524">IFS(D7524&lt;=$G$3,'calculated data '!$A$3,D7524&lt;=$G$4,'calculated data '!$A$4,D7524&lt;=$G$6,'calculated data '!$A$5,D7524&gt;=$G$6,'calculated data '!$A$6)</f>
        <v>Target Market (Core IQR)</v>
      </c>
      <c r="F7524" s="10">
        <f t="shared" si="1"/>
        <v>0.01854399029</v>
      </c>
    </row>
    <row r="7525" ht="14.25" customHeight="1">
      <c r="A7525" s="2" t="s">
        <v>417</v>
      </c>
      <c r="B7525" s="2" t="s">
        <v>418</v>
      </c>
      <c r="C7525" s="2">
        <v>1967.0</v>
      </c>
      <c r="D7525" s="9">
        <v>25759.89</v>
      </c>
      <c r="E7525" s="10" t="str">
        <f t="array" ref="E7525">IFS(D7525&lt;=$G$3,'calculated data '!$A$3,D7525&lt;=$G$4,'calculated data '!$A$4,D7525&lt;=$G$6,'calculated data '!$A$5,D7525&gt;=$G$6,'calculated data '!$A$6)</f>
        <v>Target Market (Core IQR)</v>
      </c>
      <c r="F7525" s="10">
        <f t="shared" si="1"/>
        <v>0.01868639755</v>
      </c>
    </row>
    <row r="7526" ht="14.25" customHeight="1">
      <c r="A7526" s="2" t="s">
        <v>375</v>
      </c>
      <c r="B7526" s="2" t="s">
        <v>376</v>
      </c>
      <c r="C7526" s="2">
        <v>2012.0</v>
      </c>
      <c r="D7526" s="9">
        <v>25760.926</v>
      </c>
      <c r="E7526" s="10" t="str">
        <f t="array" ref="E7526">IFS(D7526&lt;=$G$3,'calculated data '!$A$3,D7526&lt;=$G$4,'calculated data '!$A$4,D7526&lt;=$G$6,'calculated data '!$A$5,D7526&gt;=$G$6,'calculated data '!$A$6)</f>
        <v>Target Market (Core IQR)</v>
      </c>
      <c r="F7526" s="10">
        <f t="shared" si="1"/>
        <v>0.01871382022</v>
      </c>
    </row>
    <row r="7527" ht="14.25" customHeight="1">
      <c r="A7527" s="2" t="s">
        <v>197</v>
      </c>
      <c r="B7527" s="2" t="s">
        <v>198</v>
      </c>
      <c r="C7527" s="2">
        <v>2019.0</v>
      </c>
      <c r="D7527" s="9">
        <v>25765.094</v>
      </c>
      <c r="E7527" s="10" t="str">
        <f t="array" ref="E7527">IFS(D7527&lt;=$G$3,'calculated data '!$A$3,D7527&lt;=$G$4,'calculated data '!$A$4,D7527&lt;=$G$6,'calculated data '!$A$5,D7527&gt;=$G$6,'calculated data '!$A$6)</f>
        <v>Target Market (Core IQR)</v>
      </c>
      <c r="F7527" s="10">
        <f t="shared" si="1"/>
        <v>0.01882414614</v>
      </c>
    </row>
    <row r="7528" ht="14.25" customHeight="1">
      <c r="A7528" s="2" t="s">
        <v>403</v>
      </c>
      <c r="B7528" s="2" t="s">
        <v>404</v>
      </c>
      <c r="C7528" s="2">
        <v>1991.0</v>
      </c>
      <c r="D7528" s="9">
        <v>25780.13</v>
      </c>
      <c r="E7528" s="10" t="str">
        <f t="array" ref="E7528">IFS(D7528&lt;=$G$3,'calculated data '!$A$3,D7528&lt;=$G$4,'calculated data '!$A$4,D7528&lt;=$G$6,'calculated data '!$A$5,D7528&gt;=$G$6,'calculated data '!$A$6)</f>
        <v>Target Market (Core IQR)</v>
      </c>
      <c r="F7528" s="10">
        <f t="shared" si="1"/>
        <v>0.01922214531</v>
      </c>
    </row>
    <row r="7529" ht="14.25" customHeight="1">
      <c r="A7529" s="2" t="s">
        <v>309</v>
      </c>
      <c r="B7529" s="2" t="s">
        <v>310</v>
      </c>
      <c r="C7529" s="2">
        <v>1989.0</v>
      </c>
      <c r="D7529" s="9">
        <v>25784.225</v>
      </c>
      <c r="E7529" s="10" t="str">
        <f t="array" ref="E7529">IFS(D7529&lt;=$G$3,'calculated data '!$A$3,D7529&lt;=$G$4,'calculated data '!$A$4,D7529&lt;=$G$6,'calculated data '!$A$5,D7529&gt;=$G$6,'calculated data '!$A$6)</f>
        <v>Target Market (Core IQR)</v>
      </c>
      <c r="F7529" s="10">
        <f t="shared" si="1"/>
        <v>0.01933053894</v>
      </c>
    </row>
    <row r="7530" ht="14.25" customHeight="1">
      <c r="A7530" s="2" t="s">
        <v>395</v>
      </c>
      <c r="B7530" s="2" t="s">
        <v>396</v>
      </c>
      <c r="C7530" s="2">
        <v>2020.0</v>
      </c>
      <c r="D7530" s="9">
        <v>25791.172</v>
      </c>
      <c r="E7530" s="10" t="str">
        <f t="array" ref="E7530">IFS(D7530&lt;=$G$3,'calculated data '!$A$3,D7530&lt;=$G$4,'calculated data '!$A$4,D7530&lt;=$G$6,'calculated data '!$A$5,D7530&gt;=$G$6,'calculated data '!$A$6)</f>
        <v>Target Market (Core IQR)</v>
      </c>
      <c r="F7530" s="10">
        <f t="shared" si="1"/>
        <v>0.0195144243</v>
      </c>
    </row>
    <row r="7531" ht="14.25" customHeight="1">
      <c r="A7531" s="2" t="s">
        <v>395</v>
      </c>
      <c r="B7531" s="2" t="s">
        <v>396</v>
      </c>
      <c r="C7531" s="2">
        <v>2018.0</v>
      </c>
      <c r="D7531" s="9">
        <v>25794.066</v>
      </c>
      <c r="E7531" s="10" t="str">
        <f t="array" ref="E7531">IFS(D7531&lt;=$G$3,'calculated data '!$A$3,D7531&lt;=$G$4,'calculated data '!$A$4,D7531&lt;=$G$6,'calculated data '!$A$5,D7531&gt;=$G$6,'calculated data '!$A$6)</f>
        <v>Target Market (Core IQR)</v>
      </c>
      <c r="F7531" s="10">
        <f t="shared" si="1"/>
        <v>0.01959102776</v>
      </c>
    </row>
    <row r="7532" ht="14.25" customHeight="1">
      <c r="A7532" s="2" t="s">
        <v>285</v>
      </c>
      <c r="B7532" s="2" t="s">
        <v>286</v>
      </c>
      <c r="C7532" s="2">
        <v>2010.0</v>
      </c>
      <c r="D7532" s="9">
        <v>25813.229</v>
      </c>
      <c r="E7532" s="10" t="str">
        <f t="array" ref="E7532">IFS(D7532&lt;=$G$3,'calculated data '!$A$3,D7532&lt;=$G$4,'calculated data '!$A$4,D7532&lt;=$G$6,'calculated data '!$A$5,D7532&gt;=$G$6,'calculated data '!$A$6)</f>
        <v>Target Market (Core IQR)</v>
      </c>
      <c r="F7532" s="10">
        <f t="shared" si="1"/>
        <v>0.0200982676</v>
      </c>
    </row>
    <row r="7533" ht="14.25" customHeight="1">
      <c r="A7533" s="2" t="s">
        <v>47</v>
      </c>
      <c r="B7533" s="2" t="s">
        <v>48</v>
      </c>
      <c r="C7533" s="2">
        <v>2009.0</v>
      </c>
      <c r="D7533" s="9">
        <v>25817.717</v>
      </c>
      <c r="E7533" s="10" t="str">
        <f t="array" ref="E7533">IFS(D7533&lt;=$G$3,'calculated data '!$A$3,D7533&lt;=$G$4,'calculated data '!$A$4,D7533&lt;=$G$6,'calculated data '!$A$5,D7533&gt;=$G$6,'calculated data '!$A$6)</f>
        <v>Target Market (Core IQR)</v>
      </c>
      <c r="F7533" s="10">
        <f t="shared" si="1"/>
        <v>0.02021706384</v>
      </c>
    </row>
    <row r="7534" ht="14.25" customHeight="1">
      <c r="A7534" s="2" t="s">
        <v>307</v>
      </c>
      <c r="B7534" s="2" t="s">
        <v>308</v>
      </c>
      <c r="C7534" s="2">
        <v>1988.0</v>
      </c>
      <c r="D7534" s="9">
        <v>25821.334</v>
      </c>
      <c r="E7534" s="10" t="str">
        <f t="array" ref="E7534">IFS(D7534&lt;=$G$3,'calculated data '!$A$3,D7534&lt;=$G$4,'calculated data '!$A$4,D7534&lt;=$G$6,'calculated data '!$A$5,D7534&gt;=$G$6,'calculated data '!$A$6)</f>
        <v>Target Market (Core IQR)</v>
      </c>
      <c r="F7534" s="10">
        <f t="shared" si="1"/>
        <v>0.02031280493</v>
      </c>
    </row>
    <row r="7535" ht="14.25" customHeight="1">
      <c r="A7535" s="2" t="s">
        <v>409</v>
      </c>
      <c r="B7535" s="2" t="s">
        <v>410</v>
      </c>
      <c r="C7535" s="2">
        <v>1975.0</v>
      </c>
      <c r="D7535" s="9">
        <v>25823.287</v>
      </c>
      <c r="E7535" s="10" t="str">
        <f t="array" ref="E7535">IFS(D7535&lt;=$G$3,'calculated data '!$A$3,D7535&lt;=$G$4,'calculated data '!$A$4,D7535&lt;=$G$6,'calculated data '!$A$5,D7535&gt;=$G$6,'calculated data '!$A$6)</f>
        <v>Target Market (Core IQR)</v>
      </c>
      <c r="F7535" s="10">
        <f t="shared" si="1"/>
        <v>0.02036450035</v>
      </c>
    </row>
    <row r="7536" ht="14.25" customHeight="1">
      <c r="A7536" s="2" t="s">
        <v>355</v>
      </c>
      <c r="B7536" s="2" t="s">
        <v>356</v>
      </c>
      <c r="C7536" s="2">
        <v>1989.0</v>
      </c>
      <c r="D7536" s="9">
        <v>25852.617</v>
      </c>
      <c r="E7536" s="10" t="str">
        <f t="array" ref="E7536">IFS(D7536&lt;=$G$3,'calculated data '!$A$3,D7536&lt;=$G$4,'calculated data '!$A$4,D7536&lt;=$G$6,'calculated data '!$A$5,D7536&gt;=$G$6,'calculated data '!$A$6)</f>
        <v>Target Market (Core IQR)</v>
      </c>
      <c r="F7536" s="10">
        <f t="shared" si="1"/>
        <v>0.02114085815</v>
      </c>
    </row>
    <row r="7537" ht="14.25" customHeight="1">
      <c r="A7537" s="2" t="s">
        <v>341</v>
      </c>
      <c r="B7537" s="2" t="s">
        <v>342</v>
      </c>
      <c r="C7537" s="2">
        <v>1981.0</v>
      </c>
      <c r="D7537" s="9">
        <v>25854.002</v>
      </c>
      <c r="E7537" s="10" t="str">
        <f t="array" ref="E7537">IFS(D7537&lt;=$G$3,'calculated data '!$A$3,D7537&lt;=$G$4,'calculated data '!$A$4,D7537&lt;=$G$6,'calculated data '!$A$5,D7537&gt;=$G$6,'calculated data '!$A$6)</f>
        <v>Target Market (Core IQR)</v>
      </c>
      <c r="F7537" s="10">
        <f t="shared" si="1"/>
        <v>0.02117751875</v>
      </c>
    </row>
    <row r="7538" ht="14.25" customHeight="1">
      <c r="A7538" s="2" t="s">
        <v>127</v>
      </c>
      <c r="B7538" s="2" t="s">
        <v>128</v>
      </c>
      <c r="C7538" s="2">
        <v>2010.0</v>
      </c>
      <c r="D7538" s="9">
        <v>25870.34</v>
      </c>
      <c r="E7538" s="10" t="str">
        <f t="array" ref="E7538">IFS(D7538&lt;=$G$3,'calculated data '!$A$3,D7538&lt;=$G$4,'calculated data '!$A$4,D7538&lt;=$G$6,'calculated data '!$A$5,D7538&gt;=$G$6,'calculated data '!$A$6)</f>
        <v>Target Market (Core IQR)</v>
      </c>
      <c r="F7538" s="10">
        <f t="shared" si="1"/>
        <v>0.02160998155</v>
      </c>
    </row>
    <row r="7539" ht="14.25" customHeight="1">
      <c r="A7539" s="2" t="s">
        <v>271</v>
      </c>
      <c r="B7539" s="2" t="s">
        <v>272</v>
      </c>
      <c r="C7539" s="2">
        <v>2007.0</v>
      </c>
      <c r="D7539" s="9">
        <v>25875.422</v>
      </c>
      <c r="E7539" s="10" t="str">
        <f t="array" ref="E7539">IFS(D7539&lt;=$G$3,'calculated data '!$A$3,D7539&lt;=$G$4,'calculated data '!$A$4,D7539&lt;=$G$6,'calculated data '!$A$5,D7539&gt;=$G$6,'calculated data '!$A$6)</f>
        <v>Target Market (Core IQR)</v>
      </c>
      <c r="F7539" s="10">
        <f t="shared" si="1"/>
        <v>0.02174450082</v>
      </c>
    </row>
    <row r="7540" ht="14.25" customHeight="1">
      <c r="A7540" s="2" t="s">
        <v>433</v>
      </c>
      <c r="B7540" s="2" t="s">
        <v>434</v>
      </c>
      <c r="C7540" s="2">
        <v>1966.0</v>
      </c>
      <c r="D7540" s="9">
        <v>25916.375</v>
      </c>
      <c r="E7540" s="10" t="str">
        <f t="array" ref="E7540">IFS(D7540&lt;=$G$3,'calculated data '!$A$3,D7540&lt;=$G$4,'calculated data '!$A$4,D7540&lt;=$G$6,'calculated data '!$A$5,D7540&gt;=$G$6,'calculated data '!$A$6)</f>
        <v>Target Market (Core IQR)</v>
      </c>
      <c r="F7540" s="10">
        <f t="shared" si="1"/>
        <v>0.02282851653</v>
      </c>
    </row>
    <row r="7541" ht="14.25" customHeight="1">
      <c r="A7541" s="2" t="s">
        <v>421</v>
      </c>
      <c r="B7541" s="2" t="s">
        <v>422</v>
      </c>
      <c r="C7541" s="2">
        <v>2002.0</v>
      </c>
      <c r="D7541" s="9">
        <v>25927.719</v>
      </c>
      <c r="E7541" s="10" t="str">
        <f t="array" ref="E7541">IFS(D7541&lt;=$G$3,'calculated data '!$A$3,D7541&lt;=$G$4,'calculated data '!$A$4,D7541&lt;=$G$6,'calculated data '!$A$5,D7541&gt;=$G$6,'calculated data '!$A$6)</f>
        <v>Target Market (Core IQR)</v>
      </c>
      <c r="F7541" s="10">
        <f t="shared" si="1"/>
        <v>0.02312878938</v>
      </c>
    </row>
    <row r="7542" ht="14.25" customHeight="1">
      <c r="A7542" s="2" t="s">
        <v>371</v>
      </c>
      <c r="B7542" s="2" t="s">
        <v>372</v>
      </c>
      <c r="C7542" s="2">
        <v>2023.0</v>
      </c>
      <c r="D7542" s="9">
        <v>25929.031</v>
      </c>
      <c r="E7542" s="10" t="str">
        <f t="array" ref="E7542">IFS(D7542&lt;=$G$3,'calculated data '!$A$3,D7542&lt;=$G$4,'calculated data '!$A$4,D7542&lt;=$G$6,'calculated data '!$A$5,D7542&gt;=$G$6,'calculated data '!$A$6)</f>
        <v>Target Market (Core IQR)</v>
      </c>
      <c r="F7542" s="10">
        <f t="shared" si="1"/>
        <v>0.0231635177</v>
      </c>
    </row>
    <row r="7543" ht="14.25" customHeight="1">
      <c r="A7543" s="2" t="s">
        <v>409</v>
      </c>
      <c r="B7543" s="2" t="s">
        <v>410</v>
      </c>
      <c r="C7543" s="2">
        <v>1976.0</v>
      </c>
      <c r="D7543" s="9">
        <v>25931.318</v>
      </c>
      <c r="E7543" s="10" t="str">
        <f t="array" ref="E7543">IFS(D7543&lt;=$G$3,'calculated data '!$A$3,D7543&lt;=$G$4,'calculated data '!$A$4,D7543&lt;=$G$6,'calculated data '!$A$5,D7543&gt;=$G$6,'calculated data '!$A$6)</f>
        <v>Target Market (Core IQR)</v>
      </c>
      <c r="F7543" s="10">
        <f t="shared" si="1"/>
        <v>0.02322405402</v>
      </c>
    </row>
    <row r="7544" ht="14.25" customHeight="1">
      <c r="A7544" s="2" t="s">
        <v>425</v>
      </c>
      <c r="B7544" s="2" t="s">
        <v>426</v>
      </c>
      <c r="C7544" s="2">
        <v>2023.0</v>
      </c>
      <c r="D7544" s="9">
        <v>25932.873</v>
      </c>
      <c r="E7544" s="10" t="str">
        <f t="array" ref="E7544">IFS(D7544&lt;=$G$3,'calculated data '!$A$3,D7544&lt;=$G$4,'calculated data '!$A$4,D7544&lt;=$G$6,'calculated data '!$A$5,D7544&gt;=$G$6,'calculated data '!$A$6)</f>
        <v>Target Market (Core IQR)</v>
      </c>
      <c r="F7544" s="10">
        <f t="shared" si="1"/>
        <v>0.02326521448</v>
      </c>
    </row>
    <row r="7545" ht="14.25" customHeight="1">
      <c r="A7545" s="2" t="s">
        <v>375</v>
      </c>
      <c r="B7545" s="2" t="s">
        <v>376</v>
      </c>
      <c r="C7545" s="2">
        <v>2023.0</v>
      </c>
      <c r="D7545" s="9">
        <v>25942.113</v>
      </c>
      <c r="E7545" s="10" t="str">
        <f t="array" ref="E7545">IFS(D7545&lt;=$G$3,'calculated data '!$A$3,D7545&lt;=$G$4,'calculated data '!$A$4,D7545&lt;=$G$6,'calculated data '!$A$5,D7545&gt;=$G$6,'calculated data '!$A$6)</f>
        <v>Target Market (Core IQR)</v>
      </c>
      <c r="F7545" s="10">
        <f t="shared" si="1"/>
        <v>0.02350979498</v>
      </c>
    </row>
    <row r="7546" ht="14.25" customHeight="1">
      <c r="A7546" s="2" t="s">
        <v>331</v>
      </c>
      <c r="B7546" s="2" t="s">
        <v>332</v>
      </c>
      <c r="C7546" s="2">
        <v>2023.0</v>
      </c>
      <c r="D7546" s="9">
        <v>25947.395</v>
      </c>
      <c r="E7546" s="10" t="str">
        <f t="array" ref="E7546">IFS(D7546&lt;=$G$3,'calculated data '!$A$3,D7546&lt;=$G$4,'calculated data '!$A$4,D7546&lt;=$G$6,'calculated data '!$A$5,D7546&gt;=$G$6,'calculated data '!$A$6)</f>
        <v>Target Market (Core IQR)</v>
      </c>
      <c r="F7546" s="10">
        <f t="shared" si="1"/>
        <v>0.0236496082</v>
      </c>
    </row>
    <row r="7547" ht="14.25" customHeight="1">
      <c r="A7547" s="2" t="s">
        <v>383</v>
      </c>
      <c r="B7547" s="2" t="s">
        <v>384</v>
      </c>
      <c r="C7547" s="2">
        <v>2003.0</v>
      </c>
      <c r="D7547" s="9">
        <v>25954.656</v>
      </c>
      <c r="E7547" s="10" t="str">
        <f t="array" ref="E7547">IFS(D7547&lt;=$G$3,'calculated data '!$A$3,D7547&lt;=$G$4,'calculated data '!$A$4,D7547&lt;=$G$6,'calculated data '!$A$5,D7547&gt;=$G$6,'calculated data '!$A$6)</f>
        <v>Target Market (Core IQR)</v>
      </c>
      <c r="F7547" s="10">
        <f t="shared" si="1"/>
        <v>0.02384180507</v>
      </c>
    </row>
    <row r="7548" ht="14.25" customHeight="1">
      <c r="A7548" s="2" t="s">
        <v>381</v>
      </c>
      <c r="B7548" s="2" t="s">
        <v>382</v>
      </c>
      <c r="C7548" s="2">
        <v>1986.0</v>
      </c>
      <c r="D7548" s="9">
        <v>25959.744</v>
      </c>
      <c r="E7548" s="10" t="str">
        <f t="array" ref="E7548">IFS(D7548&lt;=$G$3,'calculated data '!$A$3,D7548&lt;=$G$4,'calculated data '!$A$4,D7548&lt;=$G$6,'calculated data '!$A$5,D7548&gt;=$G$6,'calculated data '!$A$6)</f>
        <v>Target Market (Core IQR)</v>
      </c>
      <c r="F7548" s="10">
        <f t="shared" si="1"/>
        <v>0.02397648316</v>
      </c>
    </row>
    <row r="7549" ht="14.25" customHeight="1">
      <c r="A7549" s="2" t="s">
        <v>419</v>
      </c>
      <c r="B7549" s="2" t="s">
        <v>420</v>
      </c>
      <c r="C7549" s="2">
        <v>2003.0</v>
      </c>
      <c r="D7549" s="9">
        <v>25960.836</v>
      </c>
      <c r="E7549" s="10" t="str">
        <f t="array" ref="E7549">IFS(D7549&lt;=$G$3,'calculated data '!$A$3,D7549&lt;=$G$4,'calculated data '!$A$4,D7549&lt;=$G$6,'calculated data '!$A$5,D7549&gt;=$G$6,'calculated data '!$A$6)</f>
        <v>Target Market (Core IQR)</v>
      </c>
      <c r="F7549" s="10">
        <f t="shared" si="1"/>
        <v>0.02400538813</v>
      </c>
    </row>
    <row r="7550" ht="14.25" customHeight="1">
      <c r="A7550" s="2" t="s">
        <v>419</v>
      </c>
      <c r="B7550" s="2" t="s">
        <v>420</v>
      </c>
      <c r="C7550" s="2">
        <v>2002.0</v>
      </c>
      <c r="D7550" s="9">
        <v>25970.707</v>
      </c>
      <c r="E7550" s="10" t="str">
        <f t="array" ref="E7550">IFS(D7550&lt;=$G$3,'calculated data '!$A$3,D7550&lt;=$G$4,'calculated data '!$A$4,D7550&lt;=$G$6,'calculated data '!$A$5,D7550&gt;=$G$6,'calculated data '!$A$6)</f>
        <v>Target Market (Core IQR)</v>
      </c>
      <c r="F7550" s="10">
        <f t="shared" si="1"/>
        <v>0.02426667104</v>
      </c>
    </row>
    <row r="7551" ht="14.25" customHeight="1">
      <c r="A7551" s="2" t="s">
        <v>319</v>
      </c>
      <c r="B7551" s="2" t="s">
        <v>320</v>
      </c>
      <c r="C7551" s="2">
        <v>1991.0</v>
      </c>
      <c r="D7551" s="9">
        <v>25979.832</v>
      </c>
      <c r="E7551" s="10" t="str">
        <f t="array" ref="E7551">IFS(D7551&lt;=$G$3,'calculated data '!$A$3,D7551&lt;=$G$4,'calculated data '!$A$4,D7551&lt;=$G$6,'calculated data '!$A$5,D7551&gt;=$G$6,'calculated data '!$A$6)</f>
        <v>Target Market (Core IQR)</v>
      </c>
      <c r="F7551" s="10">
        <f t="shared" si="1"/>
        <v>0.02450820752</v>
      </c>
    </row>
    <row r="7552" ht="14.25" customHeight="1">
      <c r="A7552" s="2" t="s">
        <v>395</v>
      </c>
      <c r="B7552" s="2" t="s">
        <v>396</v>
      </c>
      <c r="C7552" s="2">
        <v>2023.0</v>
      </c>
      <c r="D7552" s="9">
        <v>25981.281</v>
      </c>
      <c r="E7552" s="10" t="str">
        <f t="array" ref="E7552">IFS(D7552&lt;=$G$3,'calculated data '!$A$3,D7552&lt;=$G$4,'calculated data '!$A$4,D7552&lt;=$G$6,'calculated data '!$A$5,D7552&gt;=$G$6,'calculated data '!$A$6)</f>
        <v>Target Market (Core IQR)</v>
      </c>
      <c r="F7552" s="10">
        <f t="shared" si="1"/>
        <v>0.02454656218</v>
      </c>
    </row>
    <row r="7553" ht="14.25" customHeight="1">
      <c r="A7553" s="2" t="s">
        <v>407</v>
      </c>
      <c r="B7553" s="2" t="s">
        <v>408</v>
      </c>
      <c r="C7553" s="2">
        <v>2002.0</v>
      </c>
      <c r="D7553" s="9">
        <v>25988.018</v>
      </c>
      <c r="E7553" s="10" t="str">
        <f t="array" ref="E7553">IFS(D7553&lt;=$G$3,'calculated data '!$A$3,D7553&lt;=$G$4,'calculated data '!$A$4,D7553&lt;=$G$6,'calculated data '!$A$5,D7553&gt;=$G$6,'calculated data '!$A$6)</f>
        <v>Target Market (Core IQR)</v>
      </c>
      <c r="F7553" s="10">
        <f t="shared" si="1"/>
        <v>0.0247248889</v>
      </c>
    </row>
    <row r="7554" ht="14.25" customHeight="1">
      <c r="A7554" s="2" t="s">
        <v>395</v>
      </c>
      <c r="B7554" s="2" t="s">
        <v>396</v>
      </c>
      <c r="C7554" s="2">
        <v>2019.0</v>
      </c>
      <c r="D7554" s="9">
        <v>25990.816</v>
      </c>
      <c r="E7554" s="10" t="str">
        <f t="array" ref="E7554">IFS(D7554&lt;=$G$3,'calculated data '!$A$3,D7554&lt;=$G$4,'calculated data '!$A$4,D7554&lt;=$G$6,'calculated data '!$A$5,D7554&gt;=$G$6,'calculated data '!$A$6)</f>
        <v>Target Market (Core IQR)</v>
      </c>
      <c r="F7554" s="10">
        <f t="shared" si="1"/>
        <v>0.02479895126</v>
      </c>
    </row>
    <row r="7555" ht="14.25" customHeight="1">
      <c r="A7555" s="2" t="s">
        <v>371</v>
      </c>
      <c r="B7555" s="2" t="s">
        <v>372</v>
      </c>
      <c r="C7555" s="2">
        <v>2025.0</v>
      </c>
      <c r="D7555" s="9">
        <v>25990.916</v>
      </c>
      <c r="E7555" s="10" t="str">
        <f t="array" ref="E7555">IFS(D7555&lt;=$G$3,'calculated data '!$A$3,D7555&lt;=$G$4,'calculated data '!$A$4,D7555&lt;=$G$6,'calculated data '!$A$5,D7555&gt;=$G$6,'calculated data '!$A$6)</f>
        <v>Target Market (Core IQR)</v>
      </c>
      <c r="F7555" s="10">
        <f t="shared" si="1"/>
        <v>0.02480159823</v>
      </c>
    </row>
    <row r="7556" ht="14.25" customHeight="1">
      <c r="A7556" s="2" t="s">
        <v>377</v>
      </c>
      <c r="B7556" s="2" t="s">
        <v>378</v>
      </c>
      <c r="C7556" s="2">
        <v>2018.0</v>
      </c>
      <c r="D7556" s="9">
        <v>25991.373</v>
      </c>
      <c r="E7556" s="10" t="str">
        <f t="array" ref="E7556">IFS(D7556&lt;=$G$3,'calculated data '!$A$3,D7556&lt;=$G$4,'calculated data '!$A$4,D7556&lt;=$G$6,'calculated data '!$A$5,D7556&gt;=$G$6,'calculated data '!$A$6)</f>
        <v>Target Market (Core IQR)</v>
      </c>
      <c r="F7556" s="10">
        <f t="shared" si="1"/>
        <v>0.02481369491</v>
      </c>
    </row>
    <row r="7557" ht="14.25" customHeight="1">
      <c r="A7557" s="2" t="s">
        <v>409</v>
      </c>
      <c r="B7557" s="2" t="s">
        <v>410</v>
      </c>
      <c r="C7557" s="2">
        <v>1971.0</v>
      </c>
      <c r="D7557" s="9">
        <v>26000.686</v>
      </c>
      <c r="E7557" s="10" t="str">
        <f t="array" ref="E7557">IFS(D7557&lt;=$G$3,'calculated data '!$A$3,D7557&lt;=$G$4,'calculated data '!$A$4,D7557&lt;=$G$6,'calculated data '!$A$5,D7557&gt;=$G$6,'calculated data '!$A$6)</f>
        <v>Target Market (Core IQR)</v>
      </c>
      <c r="F7557" s="10">
        <f t="shared" si="1"/>
        <v>0.0250602077</v>
      </c>
    </row>
    <row r="7558" ht="14.25" customHeight="1">
      <c r="A7558" s="2" t="s">
        <v>355</v>
      </c>
      <c r="B7558" s="2" t="s">
        <v>356</v>
      </c>
      <c r="C7558" s="2">
        <v>2004.0</v>
      </c>
      <c r="D7558" s="9">
        <v>26008.367</v>
      </c>
      <c r="E7558" s="10" t="str">
        <f t="array" ref="E7558">IFS(D7558&lt;=$G$3,'calculated data '!$A$3,D7558&lt;=$G$4,'calculated data '!$A$4,D7558&lt;=$G$6,'calculated data '!$A$5,D7558&gt;=$G$6,'calculated data '!$A$6)</f>
        <v>Target Market (Core IQR)</v>
      </c>
      <c r="F7558" s="10">
        <f t="shared" si="1"/>
        <v>0.02526352186</v>
      </c>
    </row>
    <row r="7559" ht="14.25" customHeight="1">
      <c r="A7559" s="2" t="s">
        <v>427</v>
      </c>
      <c r="B7559" s="2" t="s">
        <v>428</v>
      </c>
      <c r="C7559" s="2">
        <v>2000.0</v>
      </c>
      <c r="D7559" s="9">
        <v>26013.479</v>
      </c>
      <c r="E7559" s="10" t="str">
        <f t="array" ref="E7559">IFS(D7559&lt;=$G$3,'calculated data '!$A$3,D7559&lt;=$G$4,'calculated data '!$A$4,D7559&lt;=$G$6,'calculated data '!$A$5,D7559&gt;=$G$6,'calculated data '!$A$6)</f>
        <v>Target Market (Core IQR)</v>
      </c>
      <c r="F7559" s="10">
        <f t="shared" si="1"/>
        <v>0.02539883522</v>
      </c>
    </row>
    <row r="7560" ht="14.25" customHeight="1">
      <c r="A7560" s="2" t="s">
        <v>249</v>
      </c>
      <c r="B7560" s="2" t="s">
        <v>250</v>
      </c>
      <c r="C7560" s="2">
        <v>2000.0</v>
      </c>
      <c r="D7560" s="9">
        <v>26013.688</v>
      </c>
      <c r="E7560" s="10" t="str">
        <f t="array" ref="E7560">IFS(D7560&lt;=$G$3,'calculated data '!$A$3,D7560&lt;=$G$4,'calculated data '!$A$4,D7560&lt;=$G$6,'calculated data '!$A$5,D7560&gt;=$G$6,'calculated data '!$A$6)</f>
        <v>Target Market (Core IQR)</v>
      </c>
      <c r="F7560" s="10">
        <f t="shared" si="1"/>
        <v>0.0254043674</v>
      </c>
    </row>
    <row r="7561" ht="14.25" customHeight="1">
      <c r="A7561" s="2" t="s">
        <v>375</v>
      </c>
      <c r="B7561" s="2" t="s">
        <v>376</v>
      </c>
      <c r="C7561" s="2">
        <v>2015.0</v>
      </c>
      <c r="D7561" s="9">
        <v>26016.703</v>
      </c>
      <c r="E7561" s="10" t="str">
        <f t="array" ref="E7561">IFS(D7561&lt;=$G$3,'calculated data '!$A$3,D7561&lt;=$G$4,'calculated data '!$A$4,D7561&lt;=$G$6,'calculated data '!$A$5,D7561&gt;=$G$6,'calculated data '!$A$6)</f>
        <v>Target Market (Core IQR)</v>
      </c>
      <c r="F7561" s="10">
        <f t="shared" si="1"/>
        <v>0.0254841737</v>
      </c>
    </row>
    <row r="7562" ht="14.25" customHeight="1">
      <c r="A7562" s="2" t="s">
        <v>373</v>
      </c>
      <c r="B7562" s="2" t="s">
        <v>374</v>
      </c>
      <c r="C7562" s="2">
        <v>2018.0</v>
      </c>
      <c r="D7562" s="9">
        <v>26041.184</v>
      </c>
      <c r="E7562" s="10" t="str">
        <f t="array" ref="E7562">IFS(D7562&lt;=$G$3,'calculated data '!$A$3,D7562&lt;=$G$4,'calculated data '!$A$4,D7562&lt;=$G$6,'calculated data '!$A$5,D7562&gt;=$G$6,'calculated data '!$A$6)</f>
        <v>Target Market (Core IQR)</v>
      </c>
      <c r="F7562" s="10">
        <f t="shared" si="1"/>
        <v>0.02613217967</v>
      </c>
    </row>
    <row r="7563" ht="14.25" customHeight="1">
      <c r="A7563" s="2" t="s">
        <v>375</v>
      </c>
      <c r="B7563" s="2" t="s">
        <v>376</v>
      </c>
      <c r="C7563" s="2">
        <v>2024.0</v>
      </c>
      <c r="D7563" s="9">
        <v>26053.31</v>
      </c>
      <c r="E7563" s="10" t="str">
        <f t="array" ref="E7563">IFS(D7563&lt;=$G$3,'calculated data '!$A$3,D7563&lt;=$G$4,'calculated data '!$A$4,D7563&lt;=$G$6,'calculated data '!$A$5,D7563&gt;=$G$6,'calculated data '!$A$6)</f>
        <v>Target Market (Core IQR)</v>
      </c>
      <c r="F7563" s="10">
        <f t="shared" si="1"/>
        <v>0.02645315187</v>
      </c>
    </row>
    <row r="7564" ht="14.25" customHeight="1">
      <c r="A7564" s="2" t="s">
        <v>28</v>
      </c>
      <c r="B7564" s="2" t="s">
        <v>29</v>
      </c>
      <c r="C7564" s="2">
        <v>1994.0</v>
      </c>
      <c r="D7564" s="9">
        <v>26076.389</v>
      </c>
      <c r="E7564" s="10" t="str">
        <f t="array" ref="E7564">IFS(D7564&lt;=$G$3,'calculated data '!$A$3,D7564&lt;=$G$4,'calculated data '!$A$4,D7564&lt;=$G$6,'calculated data '!$A$5,D7564&gt;=$G$6,'calculated data '!$A$6)</f>
        <v>Target Market (Core IQR)</v>
      </c>
      <c r="F7564" s="10">
        <f t="shared" si="1"/>
        <v>0.02706404726</v>
      </c>
    </row>
    <row r="7565" ht="14.25" customHeight="1">
      <c r="A7565" s="2" t="s">
        <v>385</v>
      </c>
      <c r="B7565" s="2" t="s">
        <v>386</v>
      </c>
      <c r="C7565" s="2">
        <v>1985.0</v>
      </c>
      <c r="D7565" s="9">
        <v>26093.176</v>
      </c>
      <c r="E7565" s="10" t="str">
        <f t="array" ref="E7565">IFS(D7565&lt;=$G$3,'calculated data '!$A$3,D7565&lt;=$G$4,'calculated data '!$A$4,D7565&lt;=$G$6,'calculated data '!$A$5,D7565&gt;=$G$6,'calculated data '!$A$6)</f>
        <v>Target Market (Core IQR)</v>
      </c>
      <c r="F7565" s="10">
        <f t="shared" si="1"/>
        <v>0.02750839497</v>
      </c>
    </row>
    <row r="7566" ht="14.25" customHeight="1">
      <c r="A7566" s="2" t="s">
        <v>371</v>
      </c>
      <c r="B7566" s="2" t="s">
        <v>372</v>
      </c>
      <c r="C7566" s="2">
        <v>2024.0</v>
      </c>
      <c r="D7566" s="9">
        <v>26093.639</v>
      </c>
      <c r="E7566" s="10" t="str">
        <f t="array" ref="E7566">IFS(D7566&lt;=$G$3,'calculated data '!$A$3,D7566&lt;=$G$4,'calculated data '!$A$4,D7566&lt;=$G$6,'calculated data '!$A$5,D7566&gt;=$G$6,'calculated data '!$A$6)</f>
        <v>Target Market (Core IQR)</v>
      </c>
      <c r="F7566" s="10">
        <f t="shared" si="1"/>
        <v>0.02752065046</v>
      </c>
    </row>
    <row r="7567" ht="14.25" customHeight="1">
      <c r="A7567" s="2" t="s">
        <v>249</v>
      </c>
      <c r="B7567" s="2" t="s">
        <v>250</v>
      </c>
      <c r="C7567" s="2">
        <v>2001.0</v>
      </c>
      <c r="D7567" s="9">
        <v>26096.805</v>
      </c>
      <c r="E7567" s="10" t="str">
        <f t="array" ref="E7567">IFS(D7567&lt;=$G$3,'calculated data '!$A$3,D7567&lt;=$G$4,'calculated data '!$A$4,D7567&lt;=$G$6,'calculated data '!$A$5,D7567&gt;=$G$6,'calculated data '!$A$6)</f>
        <v>Target Market (Core IQR)</v>
      </c>
      <c r="F7567" s="10">
        <f t="shared" si="1"/>
        <v>0.02760445369</v>
      </c>
    </row>
    <row r="7568" ht="14.25" customHeight="1">
      <c r="A7568" s="2" t="s">
        <v>355</v>
      </c>
      <c r="B7568" s="2" t="s">
        <v>356</v>
      </c>
      <c r="C7568" s="2">
        <v>1987.0</v>
      </c>
      <c r="D7568" s="9">
        <v>26118.965</v>
      </c>
      <c r="E7568" s="10" t="str">
        <f t="array" ref="E7568">IFS(D7568&lt;=$G$3,'calculated data '!$A$3,D7568&lt;=$G$4,'calculated data '!$A$4,D7568&lt;=$G$6,'calculated data '!$A$5,D7568&gt;=$G$6,'calculated data '!$A$6)</f>
        <v>Target Market (Core IQR)</v>
      </c>
      <c r="F7568" s="10">
        <f t="shared" si="1"/>
        <v>0.02819102337</v>
      </c>
    </row>
    <row r="7569" ht="14.25" customHeight="1">
      <c r="A7569" s="2" t="s">
        <v>385</v>
      </c>
      <c r="B7569" s="2" t="s">
        <v>386</v>
      </c>
      <c r="C7569" s="2">
        <v>2004.0</v>
      </c>
      <c r="D7569" s="9">
        <v>26133.139</v>
      </c>
      <c r="E7569" s="10" t="str">
        <f t="array" ref="E7569">IFS(D7569&lt;=$G$3,'calculated data '!$A$3,D7569&lt;=$G$4,'calculated data '!$A$4,D7569&lt;=$G$6,'calculated data '!$A$5,D7569&gt;=$G$6,'calculated data '!$A$6)</f>
        <v>Target Market (Core IQR)</v>
      </c>
      <c r="F7569" s="10">
        <f t="shared" si="1"/>
        <v>0.02856620562</v>
      </c>
    </row>
    <row r="7570" ht="14.25" customHeight="1">
      <c r="A7570" s="2" t="s">
        <v>377</v>
      </c>
      <c r="B7570" s="2" t="s">
        <v>378</v>
      </c>
      <c r="C7570" s="2">
        <v>2014.0</v>
      </c>
      <c r="D7570" s="9">
        <v>26141.912</v>
      </c>
      <c r="E7570" s="10" t="str">
        <f t="array" ref="E7570">IFS(D7570&lt;=$G$3,'calculated data '!$A$3,D7570&lt;=$G$4,'calculated data '!$A$4,D7570&lt;=$G$6,'calculated data '!$A$5,D7570&gt;=$G$6,'calculated data '!$A$6)</f>
        <v>Target Market (Core IQR)</v>
      </c>
      <c r="F7570" s="10">
        <f t="shared" si="1"/>
        <v>0.02879842475</v>
      </c>
    </row>
    <row r="7571" ht="14.25" customHeight="1">
      <c r="A7571" s="2" t="s">
        <v>383</v>
      </c>
      <c r="B7571" s="2" t="s">
        <v>384</v>
      </c>
      <c r="C7571" s="2">
        <v>1998.0</v>
      </c>
      <c r="D7571" s="9">
        <v>26153.467</v>
      </c>
      <c r="E7571" s="10" t="str">
        <f t="array" ref="E7571">IFS(D7571&lt;=$G$3,'calculated data '!$A$3,D7571&lt;=$G$4,'calculated data '!$A$4,D7571&lt;=$G$6,'calculated data '!$A$5,D7571&gt;=$G$6,'calculated data '!$A$6)</f>
        <v>Target Market (Core IQR)</v>
      </c>
      <c r="F7571" s="10">
        <f t="shared" si="1"/>
        <v>0.02910428272</v>
      </c>
    </row>
    <row r="7572" ht="14.25" customHeight="1">
      <c r="A7572" s="2" t="s">
        <v>379</v>
      </c>
      <c r="B7572" s="2" t="s">
        <v>380</v>
      </c>
      <c r="C7572" s="2">
        <v>1987.0</v>
      </c>
      <c r="D7572" s="9">
        <v>26154.86</v>
      </c>
      <c r="E7572" s="10" t="str">
        <f t="array" ref="E7572">IFS(D7572&lt;=$G$3,'calculated data '!$A$3,D7572&lt;=$G$4,'calculated data '!$A$4,D7572&lt;=$G$6,'calculated data '!$A$5,D7572&gt;=$G$6,'calculated data '!$A$6)</f>
        <v>Target Market (Core IQR)</v>
      </c>
      <c r="F7572" s="10">
        <f t="shared" si="1"/>
        <v>0.02914115508</v>
      </c>
    </row>
    <row r="7573" ht="14.25" customHeight="1">
      <c r="A7573" s="2" t="s">
        <v>47</v>
      </c>
      <c r="B7573" s="2" t="s">
        <v>48</v>
      </c>
      <c r="C7573" s="2">
        <v>2007.0</v>
      </c>
      <c r="D7573" s="9">
        <v>26158.38</v>
      </c>
      <c r="E7573" s="10" t="str">
        <f t="array" ref="E7573">IFS(D7573&lt;=$G$3,'calculated data '!$A$3,D7573&lt;=$G$4,'calculated data '!$A$4,D7573&lt;=$G$6,'calculated data '!$A$5,D7573&gt;=$G$6,'calculated data '!$A$6)</f>
        <v>Target Market (Core IQR)</v>
      </c>
      <c r="F7573" s="10">
        <f t="shared" si="1"/>
        <v>0.02923432861</v>
      </c>
    </row>
    <row r="7574" ht="14.25" customHeight="1">
      <c r="A7574" s="2" t="s">
        <v>71</v>
      </c>
      <c r="B7574" s="2" t="s">
        <v>72</v>
      </c>
      <c r="C7574" s="2">
        <v>1994.0</v>
      </c>
      <c r="D7574" s="9">
        <v>26192.926</v>
      </c>
      <c r="E7574" s="10" t="str">
        <f t="array" ref="E7574">IFS(D7574&lt;=$G$3,'calculated data '!$A$3,D7574&lt;=$G$4,'calculated data '!$A$4,D7574&lt;=$G$6,'calculated data '!$A$5,D7574&gt;=$G$6,'calculated data '!$A$6)</f>
        <v>Target Market (Core IQR)</v>
      </c>
      <c r="F7574" s="10">
        <f t="shared" si="1"/>
        <v>0.03014875262</v>
      </c>
    </row>
    <row r="7575" ht="14.25" customHeight="1">
      <c r="A7575" s="2" t="s">
        <v>379</v>
      </c>
      <c r="B7575" s="2" t="s">
        <v>380</v>
      </c>
      <c r="C7575" s="2">
        <v>1982.0</v>
      </c>
      <c r="D7575" s="9">
        <v>26196.988</v>
      </c>
      <c r="E7575" s="10" t="str">
        <f t="array" ref="E7575">IFS(D7575&lt;=$G$3,'calculated data '!$A$3,D7575&lt;=$G$4,'calculated data '!$A$4,D7575&lt;=$G$6,'calculated data '!$A$5,D7575&gt;=$G$6,'calculated data '!$A$6)</f>
        <v>Target Market (Core IQR)</v>
      </c>
      <c r="F7575" s="10">
        <f t="shared" si="1"/>
        <v>0.03025627275</v>
      </c>
    </row>
    <row r="7576" ht="14.25" customHeight="1">
      <c r="A7576" s="2" t="s">
        <v>331</v>
      </c>
      <c r="B7576" s="2" t="s">
        <v>332</v>
      </c>
      <c r="C7576" s="2">
        <v>2016.0</v>
      </c>
      <c r="D7576" s="9">
        <v>26212.955</v>
      </c>
      <c r="E7576" s="10" t="str">
        <f t="array" ref="E7576">IFS(D7576&lt;=$G$3,'calculated data '!$A$3,D7576&lt;=$G$4,'calculated data '!$A$4,D7576&lt;=$G$6,'calculated data '!$A$5,D7576&gt;=$G$6,'calculated data '!$A$6)</f>
        <v>Target Market (Core IQR)</v>
      </c>
      <c r="F7576" s="10">
        <f t="shared" si="1"/>
        <v>0.03067891526</v>
      </c>
    </row>
    <row r="7577" ht="14.25" customHeight="1">
      <c r="A7577" s="2" t="s">
        <v>271</v>
      </c>
      <c r="B7577" s="2" t="s">
        <v>272</v>
      </c>
      <c r="C7577" s="2">
        <v>2001.0</v>
      </c>
      <c r="D7577" s="9">
        <v>26232.467</v>
      </c>
      <c r="E7577" s="10" t="str">
        <f t="array" ref="E7577">IFS(D7577&lt;=$G$3,'calculated data '!$A$3,D7577&lt;=$G$4,'calculated data '!$A$4,D7577&lt;=$G$6,'calculated data '!$A$5,D7577&gt;=$G$6,'calculated data '!$A$6)</f>
        <v>Target Market (Core IQR)</v>
      </c>
      <c r="F7577" s="10">
        <f t="shared" si="1"/>
        <v>0.03119539304</v>
      </c>
    </row>
    <row r="7578" ht="14.25" customHeight="1">
      <c r="A7578" s="2" t="s">
        <v>403</v>
      </c>
      <c r="B7578" s="2" t="s">
        <v>404</v>
      </c>
      <c r="C7578" s="2">
        <v>1996.0</v>
      </c>
      <c r="D7578" s="9">
        <v>26236.92</v>
      </c>
      <c r="E7578" s="10" t="str">
        <f t="array" ref="E7578">IFS(D7578&lt;=$G$3,'calculated data '!$A$3,D7578&lt;=$G$4,'calculated data '!$A$4,D7578&lt;=$G$6,'calculated data '!$A$5,D7578&gt;=$G$6,'calculated data '!$A$6)</f>
        <v>Target Market (Core IQR)</v>
      </c>
      <c r="F7578" s="10">
        <f t="shared" si="1"/>
        <v>0.03131326284</v>
      </c>
    </row>
    <row r="7579" ht="14.25" customHeight="1">
      <c r="A7579" s="2" t="s">
        <v>355</v>
      </c>
      <c r="B7579" s="2" t="s">
        <v>356</v>
      </c>
      <c r="C7579" s="2">
        <v>1993.0</v>
      </c>
      <c r="D7579" s="9">
        <v>26241.158</v>
      </c>
      <c r="E7579" s="10" t="str">
        <f t="array" ref="E7579">IFS(D7579&lt;=$G$3,'calculated data '!$A$3,D7579&lt;=$G$4,'calculated data '!$A$4,D7579&lt;=$G$6,'calculated data '!$A$5,D7579&gt;=$G$6,'calculated data '!$A$6)</f>
        <v>Target Market (Core IQR)</v>
      </c>
      <c r="F7579" s="10">
        <f t="shared" si="1"/>
        <v>0.03142544165</v>
      </c>
    </row>
    <row r="7580" ht="14.25" customHeight="1">
      <c r="A7580" s="2" t="s">
        <v>271</v>
      </c>
      <c r="B7580" s="2" t="s">
        <v>272</v>
      </c>
      <c r="C7580" s="2">
        <v>2017.0</v>
      </c>
      <c r="D7580" s="9">
        <v>26249.594</v>
      </c>
      <c r="E7580" s="10" t="str">
        <f t="array" ref="E7580">IFS(D7580&lt;=$G$3,'calculated data '!$A$3,D7580&lt;=$G$4,'calculated data '!$A$4,D7580&lt;=$G$6,'calculated data '!$A$5,D7580&gt;=$G$6,'calculated data '!$A$6)</f>
        <v>Target Market (Core IQR)</v>
      </c>
      <c r="F7580" s="10">
        <f t="shared" si="1"/>
        <v>0.03164874047</v>
      </c>
    </row>
    <row r="7581" ht="14.25" customHeight="1">
      <c r="A7581" s="2" t="s">
        <v>385</v>
      </c>
      <c r="B7581" s="2" t="s">
        <v>386</v>
      </c>
      <c r="C7581" s="2">
        <v>2011.0</v>
      </c>
      <c r="D7581" s="9">
        <v>26253.617</v>
      </c>
      <c r="E7581" s="10" t="str">
        <f t="array" ref="E7581">IFS(D7581&lt;=$G$3,'calculated data '!$A$3,D7581&lt;=$G$4,'calculated data '!$A$4,D7581&lt;=$G$6,'calculated data '!$A$5,D7581&gt;=$G$6,'calculated data '!$A$6)</f>
        <v>Target Market (Core IQR)</v>
      </c>
      <c r="F7581" s="10">
        <f t="shared" si="1"/>
        <v>0.03175522828</v>
      </c>
    </row>
    <row r="7582" ht="14.25" customHeight="1">
      <c r="A7582" s="2" t="s">
        <v>395</v>
      </c>
      <c r="B7582" s="2" t="s">
        <v>396</v>
      </c>
      <c r="C7582" s="2">
        <v>2022.0</v>
      </c>
      <c r="D7582" s="9">
        <v>26256.807</v>
      </c>
      <c r="E7582" s="10" t="str">
        <f t="array" ref="E7582">IFS(D7582&lt;=$G$3,'calculated data '!$A$3,D7582&lt;=$G$4,'calculated data '!$A$4,D7582&lt;=$G$6,'calculated data '!$A$5,D7582&gt;=$G$6,'calculated data '!$A$6)</f>
        <v>Target Market (Core IQR)</v>
      </c>
      <c r="F7582" s="10">
        <f t="shared" si="1"/>
        <v>0.03183966678</v>
      </c>
    </row>
    <row r="7583" ht="14.25" customHeight="1">
      <c r="A7583" s="2" t="s">
        <v>379</v>
      </c>
      <c r="B7583" s="2" t="s">
        <v>380</v>
      </c>
      <c r="C7583" s="2">
        <v>1984.0</v>
      </c>
      <c r="D7583" s="9">
        <v>26262.92</v>
      </c>
      <c r="E7583" s="10" t="str">
        <f t="array" ref="E7583">IFS(D7583&lt;=$G$3,'calculated data '!$A$3,D7583&lt;=$G$4,'calculated data '!$A$4,D7583&lt;=$G$6,'calculated data '!$A$5,D7583&gt;=$G$6,'calculated data '!$A$6)</f>
        <v>Target Market (Core IQR)</v>
      </c>
      <c r="F7583" s="10">
        <f t="shared" si="1"/>
        <v>0.03200147637</v>
      </c>
    </row>
    <row r="7584" ht="14.25" customHeight="1">
      <c r="A7584" s="2" t="s">
        <v>373</v>
      </c>
      <c r="B7584" s="2" t="s">
        <v>374</v>
      </c>
      <c r="C7584" s="2">
        <v>2012.0</v>
      </c>
      <c r="D7584" s="9">
        <v>26282.139</v>
      </c>
      <c r="E7584" s="10" t="str">
        <f t="array" ref="E7584">IFS(D7584&lt;=$G$3,'calculated data '!$A$3,D7584&lt;=$G$4,'calculated data '!$A$4,D7584&lt;=$G$6,'calculated data '!$A$5,D7584&gt;=$G$6,'calculated data '!$A$6)</f>
        <v>Target Market (Core IQR)</v>
      </c>
      <c r="F7584" s="10">
        <f t="shared" si="1"/>
        <v>0.03251019851</v>
      </c>
    </row>
    <row r="7585" ht="14.25" customHeight="1">
      <c r="A7585" s="2" t="s">
        <v>271</v>
      </c>
      <c r="B7585" s="2" t="s">
        <v>272</v>
      </c>
      <c r="C7585" s="2">
        <v>2003.0</v>
      </c>
      <c r="D7585" s="9">
        <v>26283.82</v>
      </c>
      <c r="E7585" s="10" t="str">
        <f t="array" ref="E7585">IFS(D7585&lt;=$G$3,'calculated data '!$A$3,D7585&lt;=$G$4,'calculated data '!$A$4,D7585&lt;=$G$6,'calculated data '!$A$5,D7585&gt;=$G$6,'calculated data '!$A$6)</f>
        <v>Target Market (Core IQR)</v>
      </c>
      <c r="F7585" s="10">
        <f t="shared" si="1"/>
        <v>0.03255469416</v>
      </c>
    </row>
    <row r="7586" ht="14.25" customHeight="1">
      <c r="A7586" s="2" t="s">
        <v>391</v>
      </c>
      <c r="B7586" s="2" t="s">
        <v>392</v>
      </c>
      <c r="C7586" s="2">
        <v>1981.0</v>
      </c>
      <c r="D7586" s="9">
        <v>26285.688</v>
      </c>
      <c r="E7586" s="10" t="str">
        <f t="array" ref="E7586">IFS(D7586&lt;=$G$3,'calculated data '!$A$3,D7586&lt;=$G$4,'calculated data '!$A$4,D7586&lt;=$G$6,'calculated data '!$A$5,D7586&gt;=$G$6,'calculated data '!$A$6)</f>
        <v>Target Market (Core IQR)</v>
      </c>
      <c r="F7586" s="10">
        <f t="shared" si="1"/>
        <v>0.03260413966</v>
      </c>
    </row>
    <row r="7587" ht="14.25" customHeight="1">
      <c r="A7587" s="2" t="s">
        <v>421</v>
      </c>
      <c r="B7587" s="2" t="s">
        <v>422</v>
      </c>
      <c r="C7587" s="2">
        <v>2001.0</v>
      </c>
      <c r="D7587" s="9">
        <v>26289.254</v>
      </c>
      <c r="E7587" s="10" t="str">
        <f t="array" ref="E7587">IFS(D7587&lt;=$G$3,'calculated data '!$A$3,D7587&lt;=$G$4,'calculated data '!$A$4,D7587&lt;=$G$6,'calculated data '!$A$5,D7587&gt;=$G$6,'calculated data '!$A$6)</f>
        <v>Target Market (Core IQR)</v>
      </c>
      <c r="F7587" s="10">
        <f t="shared" si="1"/>
        <v>0.03269853079</v>
      </c>
    </row>
    <row r="7588" ht="14.25" customHeight="1">
      <c r="A7588" s="2" t="s">
        <v>359</v>
      </c>
      <c r="B7588" s="2" t="s">
        <v>360</v>
      </c>
      <c r="C7588" s="2">
        <v>1975.0</v>
      </c>
      <c r="D7588" s="9">
        <v>26292.535</v>
      </c>
      <c r="E7588" s="10" t="str">
        <f t="array" ref="E7588">IFS(D7588&lt;=$G$3,'calculated data '!$A$3,D7588&lt;=$G$4,'calculated data '!$A$4,D7588&lt;=$G$6,'calculated data '!$A$5,D7588&gt;=$G$6,'calculated data '!$A$6)</f>
        <v>Target Market (Core IQR)</v>
      </c>
      <c r="F7588" s="10">
        <f t="shared" si="1"/>
        <v>0.03278537804</v>
      </c>
    </row>
    <row r="7589" ht="14.25" customHeight="1">
      <c r="A7589" s="2" t="s">
        <v>355</v>
      </c>
      <c r="B7589" s="2" t="s">
        <v>356</v>
      </c>
      <c r="C7589" s="2">
        <v>1988.0</v>
      </c>
      <c r="D7589" s="9">
        <v>26304.314</v>
      </c>
      <c r="E7589" s="10" t="str">
        <f t="array" ref="E7589">IFS(D7589&lt;=$G$3,'calculated data '!$A$3,D7589&lt;=$G$4,'calculated data '!$A$4,D7589&lt;=$G$6,'calculated data '!$A$5,D7589&gt;=$G$6,'calculated data '!$A$6)</f>
        <v>Target Market (Core IQR)</v>
      </c>
      <c r="F7589" s="10">
        <f t="shared" si="1"/>
        <v>0.03309716524</v>
      </c>
    </row>
    <row r="7590" ht="14.25" customHeight="1">
      <c r="A7590" s="2" t="s">
        <v>355</v>
      </c>
      <c r="B7590" s="2" t="s">
        <v>356</v>
      </c>
      <c r="C7590" s="2">
        <v>1985.0</v>
      </c>
      <c r="D7590" s="9">
        <v>26312.332</v>
      </c>
      <c r="E7590" s="10" t="str">
        <f t="array" ref="E7590">IFS(D7590&lt;=$G$3,'calculated data '!$A$3,D7590&lt;=$G$4,'calculated data '!$A$4,D7590&lt;=$G$6,'calculated data '!$A$5,D7590&gt;=$G$6,'calculated data '!$A$6)</f>
        <v>Target Market (Core IQR)</v>
      </c>
      <c r="F7590" s="10">
        <f t="shared" si="1"/>
        <v>0.0333093997</v>
      </c>
    </row>
    <row r="7591" ht="14.25" customHeight="1">
      <c r="A7591" s="2" t="s">
        <v>377</v>
      </c>
      <c r="B7591" s="2" t="s">
        <v>378</v>
      </c>
      <c r="C7591" s="2">
        <v>2010.0</v>
      </c>
      <c r="D7591" s="9">
        <v>26313.107</v>
      </c>
      <c r="E7591" s="10" t="str">
        <f t="array" ref="E7591">IFS(D7591&lt;=$G$3,'calculated data '!$A$3,D7591&lt;=$G$4,'calculated data '!$A$4,D7591&lt;=$G$6,'calculated data '!$A$5,D7591&gt;=$G$6,'calculated data '!$A$6)</f>
        <v>Target Market (Core IQR)</v>
      </c>
      <c r="F7591" s="10">
        <f t="shared" si="1"/>
        <v>0.03332991376</v>
      </c>
    </row>
    <row r="7592" ht="14.25" customHeight="1">
      <c r="A7592" s="2" t="s">
        <v>403</v>
      </c>
      <c r="B7592" s="2" t="s">
        <v>404</v>
      </c>
      <c r="C7592" s="2">
        <v>1990.0</v>
      </c>
      <c r="D7592" s="9">
        <v>26313.588</v>
      </c>
      <c r="E7592" s="10" t="str">
        <f t="array" ref="E7592">IFS(D7592&lt;=$G$3,'calculated data '!$A$3,D7592&lt;=$G$4,'calculated data '!$A$4,D7592&lt;=$G$6,'calculated data '!$A$5,D7592&gt;=$G$6,'calculated data '!$A$6)</f>
        <v>Target Market (Core IQR)</v>
      </c>
      <c r="F7592" s="10">
        <f t="shared" si="1"/>
        <v>0.03334264571</v>
      </c>
    </row>
    <row r="7593" ht="14.25" customHeight="1">
      <c r="A7593" s="2" t="s">
        <v>375</v>
      </c>
      <c r="B7593" s="2" t="s">
        <v>376</v>
      </c>
      <c r="C7593" s="2">
        <v>2025.0</v>
      </c>
      <c r="D7593" s="9">
        <v>26330.79</v>
      </c>
      <c r="E7593" s="10" t="str">
        <f t="array" ref="E7593">IFS(D7593&lt;=$G$3,'calculated data '!$A$3,D7593&lt;=$G$4,'calculated data '!$A$4,D7593&lt;=$G$6,'calculated data '!$A$5,D7593&gt;=$G$6,'calculated data '!$A$6)</f>
        <v>Target Market (Core IQR)</v>
      </c>
      <c r="F7593" s="10">
        <f t="shared" si="1"/>
        <v>0.03379797836</v>
      </c>
    </row>
    <row r="7594" ht="14.25" customHeight="1">
      <c r="A7594" s="2" t="s">
        <v>335</v>
      </c>
      <c r="B7594" s="2" t="s">
        <v>336</v>
      </c>
      <c r="C7594" s="2">
        <v>1990.0</v>
      </c>
      <c r="D7594" s="9">
        <v>26336.332</v>
      </c>
      <c r="E7594" s="10" t="str">
        <f t="array" ref="E7594">IFS(D7594&lt;=$G$3,'calculated data '!$A$3,D7594&lt;=$G$4,'calculated data '!$A$4,D7594&lt;=$G$6,'calculated data '!$A$5,D7594&gt;=$G$6,'calculated data '!$A$6)</f>
        <v>Target Market (Core IQR)</v>
      </c>
      <c r="F7594" s="10">
        <f t="shared" si="1"/>
        <v>0.03394467372</v>
      </c>
    </row>
    <row r="7595" ht="14.25" customHeight="1">
      <c r="A7595" s="2" t="s">
        <v>343</v>
      </c>
      <c r="B7595" s="2" t="s">
        <v>344</v>
      </c>
      <c r="C7595" s="2">
        <v>1996.0</v>
      </c>
      <c r="D7595" s="9">
        <v>26337.684</v>
      </c>
      <c r="E7595" s="10" t="str">
        <f t="array" ref="E7595">IFS(D7595&lt;=$G$3,'calculated data '!$A$3,D7595&lt;=$G$4,'calculated data '!$A$4,D7595&lt;=$G$6,'calculated data '!$A$5,D7595&gt;=$G$6,'calculated data '!$A$6)</f>
        <v>Target Market (Core IQR)</v>
      </c>
      <c r="F7595" s="10">
        <f t="shared" si="1"/>
        <v>0.03398046083</v>
      </c>
    </row>
    <row r="7596" ht="14.25" customHeight="1">
      <c r="A7596" s="2" t="s">
        <v>355</v>
      </c>
      <c r="B7596" s="2" t="s">
        <v>356</v>
      </c>
      <c r="C7596" s="2">
        <v>2005.0</v>
      </c>
      <c r="D7596" s="9">
        <v>26340.021</v>
      </c>
      <c r="E7596" s="10" t="str">
        <f t="array" ref="E7596">IFS(D7596&lt;=$G$3,'calculated data '!$A$3,D7596&lt;=$G$4,'calculated data '!$A$4,D7596&lt;=$G$6,'calculated data '!$A$5,D7596&gt;=$G$6,'calculated data '!$A$6)</f>
        <v>Target Market (Core IQR)</v>
      </c>
      <c r="F7596" s="10">
        <f t="shared" si="1"/>
        <v>0.03404232063</v>
      </c>
    </row>
    <row r="7597" ht="14.25" customHeight="1">
      <c r="A7597" s="2" t="s">
        <v>387</v>
      </c>
      <c r="B7597" s="2" t="s">
        <v>388</v>
      </c>
      <c r="C7597" s="2">
        <v>1980.0</v>
      </c>
      <c r="D7597" s="9">
        <v>26363.068</v>
      </c>
      <c r="E7597" s="10" t="str">
        <f t="array" ref="E7597">IFS(D7597&lt;=$G$3,'calculated data '!$A$3,D7597&lt;=$G$4,'calculated data '!$A$4,D7597&lt;=$G$6,'calculated data '!$A$5,D7597&gt;=$G$6,'calculated data '!$A$6)</f>
        <v>Target Market (Core IQR)</v>
      </c>
      <c r="F7597" s="10">
        <f t="shared" si="1"/>
        <v>0.03465236898</v>
      </c>
    </row>
    <row r="7598" ht="14.25" customHeight="1">
      <c r="A7598" s="2" t="s">
        <v>28</v>
      </c>
      <c r="B7598" s="2" t="s">
        <v>29</v>
      </c>
      <c r="C7598" s="2">
        <v>1991.0</v>
      </c>
      <c r="D7598" s="9">
        <v>26367.818</v>
      </c>
      <c r="E7598" s="10" t="str">
        <f t="array" ref="E7598">IFS(D7598&lt;=$G$3,'calculated data '!$A$3,D7598&lt;=$G$4,'calculated data '!$A$4,D7598&lt;=$G$6,'calculated data '!$A$5,D7598&gt;=$G$6,'calculated data '!$A$6)</f>
        <v>Target Market (Core IQR)</v>
      </c>
      <c r="F7598" s="10">
        <f t="shared" si="1"/>
        <v>0.0347781003</v>
      </c>
    </row>
    <row r="7599" ht="14.25" customHeight="1">
      <c r="A7599" s="2" t="s">
        <v>387</v>
      </c>
      <c r="B7599" s="2" t="s">
        <v>388</v>
      </c>
      <c r="C7599" s="2">
        <v>1987.0</v>
      </c>
      <c r="D7599" s="9">
        <v>26372.535</v>
      </c>
      <c r="E7599" s="10" t="str">
        <f t="array" ref="E7599">IFS(D7599&lt;=$G$3,'calculated data '!$A$3,D7599&lt;=$G$4,'calculated data '!$A$4,D7599&lt;=$G$6,'calculated data '!$A$5,D7599&gt;=$G$6,'calculated data '!$A$6)</f>
        <v>Target Market (Core IQR)</v>
      </c>
      <c r="F7599" s="10">
        <f t="shared" si="1"/>
        <v>0.03490295812</v>
      </c>
    </row>
    <row r="7600" ht="14.25" customHeight="1">
      <c r="A7600" s="2" t="s">
        <v>197</v>
      </c>
      <c r="B7600" s="2" t="s">
        <v>198</v>
      </c>
      <c r="C7600" s="2">
        <v>2020.0</v>
      </c>
      <c r="D7600" s="9">
        <v>26382.59</v>
      </c>
      <c r="E7600" s="10" t="str">
        <f t="array" ref="E7600">IFS(D7600&lt;=$G$3,'calculated data '!$A$3,D7600&lt;=$G$4,'calculated data '!$A$4,D7600&lt;=$G$6,'calculated data '!$A$5,D7600&gt;=$G$6,'calculated data '!$A$6)</f>
        <v>Target Market (Core IQR)</v>
      </c>
      <c r="F7600" s="10">
        <f t="shared" si="1"/>
        <v>0.03516911146</v>
      </c>
    </row>
    <row r="7601" ht="14.25" customHeight="1">
      <c r="A7601" s="2" t="s">
        <v>331</v>
      </c>
      <c r="B7601" s="2" t="s">
        <v>332</v>
      </c>
      <c r="C7601" s="2">
        <v>2014.0</v>
      </c>
      <c r="D7601" s="9">
        <v>26389.102</v>
      </c>
      <c r="E7601" s="10" t="str">
        <f t="array" ref="E7601">IFS(D7601&lt;=$G$3,'calculated data '!$A$3,D7601&lt;=$G$4,'calculated data '!$A$4,D7601&lt;=$G$6,'calculated data '!$A$5,D7601&gt;=$G$6,'calculated data '!$A$6)</f>
        <v>Target Market (Core IQR)</v>
      </c>
      <c r="F7601" s="10">
        <f t="shared" si="1"/>
        <v>0.03534148248</v>
      </c>
    </row>
    <row r="7602" ht="14.25" customHeight="1">
      <c r="A7602" s="2" t="s">
        <v>385</v>
      </c>
      <c r="B7602" s="2" t="s">
        <v>386</v>
      </c>
      <c r="C7602" s="2">
        <v>1984.0</v>
      </c>
      <c r="D7602" s="9">
        <v>26412.176</v>
      </c>
      <c r="E7602" s="10" t="str">
        <f t="array" ref="E7602">IFS(D7602&lt;=$G$3,'calculated data '!$A$3,D7602&lt;=$G$4,'calculated data '!$A$4,D7602&lt;=$G$6,'calculated data '!$A$5,D7602&gt;=$G$6,'calculated data '!$A$6)</f>
        <v>Target Market (Core IQR)</v>
      </c>
      <c r="F7602" s="10">
        <f t="shared" si="1"/>
        <v>0.03595224551</v>
      </c>
    </row>
    <row r="7603" ht="14.25" customHeight="1">
      <c r="A7603" s="2" t="s">
        <v>371</v>
      </c>
      <c r="B7603" s="2" t="s">
        <v>372</v>
      </c>
      <c r="C7603" s="2">
        <v>1971.0</v>
      </c>
      <c r="D7603" s="9">
        <v>26425.549</v>
      </c>
      <c r="E7603" s="10" t="str">
        <f t="array" ref="E7603">IFS(D7603&lt;=$G$3,'calculated data '!$A$3,D7603&lt;=$G$4,'calculated data '!$A$4,D7603&lt;=$G$6,'calculated data '!$A$5,D7603&gt;=$G$6,'calculated data '!$A$6)</f>
        <v>Target Market (Core IQR)</v>
      </c>
      <c r="F7603" s="10">
        <f t="shared" si="1"/>
        <v>0.03630622549</v>
      </c>
    </row>
    <row r="7604" ht="14.25" customHeight="1">
      <c r="A7604" s="2" t="s">
        <v>71</v>
      </c>
      <c r="B7604" s="2" t="s">
        <v>72</v>
      </c>
      <c r="C7604" s="2">
        <v>1990.0</v>
      </c>
      <c r="D7604" s="9">
        <v>26429.148</v>
      </c>
      <c r="E7604" s="10" t="str">
        <f t="array" ref="E7604">IFS(D7604&lt;=$G$3,'calculated data '!$A$3,D7604&lt;=$G$4,'calculated data '!$A$4,D7604&lt;=$G$6,'calculated data '!$A$5,D7604&gt;=$G$6,'calculated data '!$A$6)</f>
        <v>Target Market (Core IQR)</v>
      </c>
      <c r="F7604" s="10">
        <f t="shared" si="1"/>
        <v>0.03640149013</v>
      </c>
    </row>
    <row r="7605" ht="14.25" customHeight="1">
      <c r="A7605" s="2" t="s">
        <v>353</v>
      </c>
      <c r="B7605" s="2" t="s">
        <v>354</v>
      </c>
      <c r="C7605" s="2">
        <v>1973.0</v>
      </c>
      <c r="D7605" s="9">
        <v>26440.516</v>
      </c>
      <c r="E7605" s="10" t="str">
        <f t="array" ref="E7605">IFS(D7605&lt;=$G$3,'calculated data '!$A$3,D7605&lt;=$G$4,'calculated data '!$A$4,D7605&lt;=$G$6,'calculated data '!$A$5,D7605&gt;=$G$6,'calculated data '!$A$6)</f>
        <v>Target Market (Core IQR)</v>
      </c>
      <c r="F7605" s="10">
        <f t="shared" si="1"/>
        <v>0.03670239826</v>
      </c>
    </row>
    <row r="7606" ht="14.25" customHeight="1">
      <c r="A7606" s="2" t="s">
        <v>271</v>
      </c>
      <c r="B7606" s="2" t="s">
        <v>272</v>
      </c>
      <c r="C7606" s="2">
        <v>2000.0</v>
      </c>
      <c r="D7606" s="9">
        <v>26441.314</v>
      </c>
      <c r="E7606" s="10" t="str">
        <f t="array" ref="E7606">IFS(D7606&lt;=$G$3,'calculated data '!$A$3,D7606&lt;=$G$4,'calculated data '!$A$4,D7606&lt;=$G$6,'calculated data '!$A$5,D7606&gt;=$G$6,'calculated data '!$A$6)</f>
        <v>Target Market (Core IQR)</v>
      </c>
      <c r="F7606" s="10">
        <f t="shared" si="1"/>
        <v>0.03672352112</v>
      </c>
    </row>
    <row r="7607" ht="14.25" customHeight="1">
      <c r="A7607" s="2" t="s">
        <v>377</v>
      </c>
      <c r="B7607" s="2" t="s">
        <v>378</v>
      </c>
      <c r="C7607" s="2">
        <v>2015.0</v>
      </c>
      <c r="D7607" s="9">
        <v>26456.928</v>
      </c>
      <c r="E7607" s="10" t="str">
        <f t="array" ref="E7607">IFS(D7607&lt;=$G$3,'calculated data '!$A$3,D7607&lt;=$G$4,'calculated data '!$A$4,D7607&lt;=$G$6,'calculated data '!$A$5,D7607&gt;=$G$6,'calculated data '!$A$6)</f>
        <v>Target Market (Core IQR)</v>
      </c>
      <c r="F7607" s="10">
        <f t="shared" si="1"/>
        <v>0.03713681981</v>
      </c>
    </row>
    <row r="7608" ht="14.25" customHeight="1">
      <c r="A7608" s="2" t="s">
        <v>355</v>
      </c>
      <c r="B7608" s="2" t="s">
        <v>356</v>
      </c>
      <c r="C7608" s="2">
        <v>2000.0</v>
      </c>
      <c r="D7608" s="9">
        <v>26457.656</v>
      </c>
      <c r="E7608" s="10" t="str">
        <f t="array" ref="E7608">IFS(D7608&lt;=$G$3,'calculated data '!$A$3,D7608&lt;=$G$4,'calculated data '!$A$4,D7608&lt;=$G$6,'calculated data '!$A$5,D7608&gt;=$G$6,'calculated data '!$A$6)</f>
        <v>Target Market (Core IQR)</v>
      </c>
      <c r="F7608" s="10">
        <f t="shared" si="1"/>
        <v>0.03715608979</v>
      </c>
    </row>
    <row r="7609" ht="14.25" customHeight="1">
      <c r="A7609" s="2" t="s">
        <v>341</v>
      </c>
      <c r="B7609" s="2" t="s">
        <v>342</v>
      </c>
      <c r="C7609" s="2">
        <v>2016.0</v>
      </c>
      <c r="D7609" s="9">
        <v>26459.42</v>
      </c>
      <c r="E7609" s="10" t="str">
        <f t="array" ref="E7609">IFS(D7609&lt;=$G$3,'calculated data '!$A$3,D7609&lt;=$G$4,'calculated data '!$A$4,D7609&lt;=$G$6,'calculated data '!$A$5,D7609&gt;=$G$6,'calculated data '!$A$6)</f>
        <v>Target Market (Core IQR)</v>
      </c>
      <c r="F7609" s="10">
        <f t="shared" si="1"/>
        <v>0.03720278243</v>
      </c>
    </row>
    <row r="7610" ht="14.25" customHeight="1">
      <c r="A7610" s="2" t="s">
        <v>353</v>
      </c>
      <c r="B7610" s="2" t="s">
        <v>354</v>
      </c>
      <c r="C7610" s="2">
        <v>2013.0</v>
      </c>
      <c r="D7610" s="9">
        <v>26461.943</v>
      </c>
      <c r="E7610" s="10" t="str">
        <f t="array" ref="E7610">IFS(D7610&lt;=$G$3,'calculated data '!$A$3,D7610&lt;=$G$4,'calculated data '!$A$4,D7610&lt;=$G$6,'calculated data '!$A$5,D7610&gt;=$G$6,'calculated data '!$A$6)</f>
        <v>Target Market (Core IQR)</v>
      </c>
      <c r="F7610" s="10">
        <f t="shared" si="1"/>
        <v>0.03726956561</v>
      </c>
    </row>
    <row r="7611" ht="14.25" customHeight="1">
      <c r="A7611" s="2" t="s">
        <v>385</v>
      </c>
      <c r="B7611" s="2" t="s">
        <v>386</v>
      </c>
      <c r="C7611" s="2">
        <v>2013.0</v>
      </c>
      <c r="D7611" s="9">
        <v>26462.594</v>
      </c>
      <c r="E7611" s="10" t="str">
        <f t="array" ref="E7611">IFS(D7611&lt;=$G$3,'calculated data '!$A$3,D7611&lt;=$G$4,'calculated data '!$A$4,D7611&lt;=$G$6,'calculated data '!$A$5,D7611&gt;=$G$6,'calculated data '!$A$6)</f>
        <v>Target Market (Core IQR)</v>
      </c>
      <c r="F7611" s="10">
        <f t="shared" si="1"/>
        <v>0.03728679742</v>
      </c>
    </row>
    <row r="7612" ht="14.25" customHeight="1">
      <c r="A7612" s="2" t="s">
        <v>435</v>
      </c>
      <c r="B7612" s="2" t="s">
        <v>436</v>
      </c>
      <c r="C7612" s="2">
        <v>2020.0</v>
      </c>
      <c r="D7612" s="9">
        <v>26472.564</v>
      </c>
      <c r="E7612" s="10" t="str">
        <f t="array" ref="E7612">IFS(D7612&lt;=$G$3,'calculated data '!$A$3,D7612&lt;=$G$4,'calculated data '!$A$4,D7612&lt;=$G$6,'calculated data '!$A$5,D7612&gt;=$G$6,'calculated data '!$A$6)</f>
        <v>Target Market (Core IQR)</v>
      </c>
      <c r="F7612" s="10">
        <f t="shared" si="1"/>
        <v>0.03755070083</v>
      </c>
    </row>
    <row r="7613" ht="14.25" customHeight="1">
      <c r="A7613" s="2" t="s">
        <v>355</v>
      </c>
      <c r="B7613" s="2" t="s">
        <v>356</v>
      </c>
      <c r="C7613" s="2">
        <v>1984.0</v>
      </c>
      <c r="D7613" s="9">
        <v>26503.785</v>
      </c>
      <c r="E7613" s="10" t="str">
        <f t="array" ref="E7613">IFS(D7613&lt;=$G$3,'calculated data '!$A$3,D7613&lt;=$G$4,'calculated data '!$A$4,D7613&lt;=$G$6,'calculated data '!$A$5,D7613&gt;=$G$6,'calculated data '!$A$6)</f>
        <v>Target Market (Core IQR)</v>
      </c>
      <c r="F7613" s="10">
        <f t="shared" si="1"/>
        <v>0.03837711293</v>
      </c>
    </row>
    <row r="7614" ht="14.25" customHeight="1">
      <c r="A7614" s="2" t="s">
        <v>331</v>
      </c>
      <c r="B7614" s="2" t="s">
        <v>332</v>
      </c>
      <c r="C7614" s="2">
        <v>2015.0</v>
      </c>
      <c r="D7614" s="9">
        <v>26518.014</v>
      </c>
      <c r="E7614" s="10" t="str">
        <f t="array" ref="E7614">IFS(D7614&lt;=$G$3,'calculated data '!$A$3,D7614&lt;=$G$4,'calculated data '!$A$4,D7614&lt;=$G$6,'calculated data '!$A$5,D7614&gt;=$G$6,'calculated data '!$A$6)</f>
        <v>Target Market (Core IQR)</v>
      </c>
      <c r="F7614" s="10">
        <f t="shared" si="1"/>
        <v>0.03875375101</v>
      </c>
    </row>
    <row r="7615" ht="14.25" customHeight="1">
      <c r="A7615" s="2" t="s">
        <v>393</v>
      </c>
      <c r="B7615" s="2" t="s">
        <v>394</v>
      </c>
      <c r="C7615" s="2">
        <v>2001.0</v>
      </c>
      <c r="D7615" s="9">
        <v>26523.688</v>
      </c>
      <c r="E7615" s="10" t="str">
        <f t="array" ref="E7615">IFS(D7615&lt;=$G$3,'calculated data '!$A$3,D7615&lt;=$G$4,'calculated data '!$A$4,D7615&lt;=$G$6,'calculated data '!$A$5,D7615&gt;=$G$6,'calculated data '!$A$6)</f>
        <v>Target Market (Core IQR)</v>
      </c>
      <c r="F7615" s="10">
        <f t="shared" si="1"/>
        <v>0.03890394038</v>
      </c>
    </row>
    <row r="7616" ht="14.25" customHeight="1">
      <c r="A7616" s="2" t="s">
        <v>271</v>
      </c>
      <c r="B7616" s="2" t="s">
        <v>272</v>
      </c>
      <c r="C7616" s="2">
        <v>1999.0</v>
      </c>
      <c r="D7616" s="9">
        <v>26525.986</v>
      </c>
      <c r="E7616" s="10" t="str">
        <f t="array" ref="E7616">IFS(D7616&lt;=$G$3,'calculated data '!$A$3,D7616&lt;=$G$4,'calculated data '!$A$4,D7616&lt;=$G$6,'calculated data '!$A$5,D7616&gt;=$G$6,'calculated data '!$A$6)</f>
        <v>Target Market (Core IQR)</v>
      </c>
      <c r="F7616" s="10">
        <f t="shared" si="1"/>
        <v>0.03896476787</v>
      </c>
    </row>
    <row r="7617" ht="14.25" customHeight="1">
      <c r="A7617" s="2" t="s">
        <v>341</v>
      </c>
      <c r="B7617" s="2" t="s">
        <v>342</v>
      </c>
      <c r="C7617" s="2">
        <v>1980.0</v>
      </c>
      <c r="D7617" s="9">
        <v>26528.752</v>
      </c>
      <c r="E7617" s="10" t="str">
        <f t="array" ref="E7617">IFS(D7617&lt;=$G$3,'calculated data '!$A$3,D7617&lt;=$G$4,'calculated data '!$A$4,D7617&lt;=$G$6,'calculated data '!$A$5,D7617&gt;=$G$6,'calculated data '!$A$6)</f>
        <v>Target Market (Core IQR)</v>
      </c>
      <c r="F7617" s="10">
        <f t="shared" si="1"/>
        <v>0.0390379832</v>
      </c>
    </row>
    <row r="7618" ht="14.25" customHeight="1">
      <c r="A7618" s="2" t="s">
        <v>421</v>
      </c>
      <c r="B7618" s="2" t="s">
        <v>422</v>
      </c>
      <c r="C7618" s="2">
        <v>2000.0</v>
      </c>
      <c r="D7618" s="9">
        <v>26542.246</v>
      </c>
      <c r="E7618" s="10" t="str">
        <f t="array" ref="E7618">IFS(D7618&lt;=$G$3,'calculated data '!$A$3,D7618&lt;=$G$4,'calculated data '!$A$4,D7618&lt;=$G$6,'calculated data '!$A$5,D7618&gt;=$G$6,'calculated data '!$A$6)</f>
        <v>Target Market (Core IQR)</v>
      </c>
      <c r="F7618" s="10">
        <f t="shared" si="1"/>
        <v>0.03939516602</v>
      </c>
    </row>
    <row r="7619" ht="14.25" customHeight="1">
      <c r="A7619" s="2" t="s">
        <v>373</v>
      </c>
      <c r="B7619" s="2" t="s">
        <v>374</v>
      </c>
      <c r="C7619" s="2">
        <v>2001.0</v>
      </c>
      <c r="D7619" s="9">
        <v>26557.926</v>
      </c>
      <c r="E7619" s="10" t="str">
        <f t="array" ref="E7619">IFS(D7619&lt;=$G$3,'calculated data '!$A$3,D7619&lt;=$G$4,'calculated data '!$A$4,D7619&lt;=$G$6,'calculated data '!$A$5,D7619&gt;=$G$6,'calculated data '!$A$6)</f>
        <v>Target Market (Core IQR)</v>
      </c>
      <c r="F7619" s="10">
        <f t="shared" si="1"/>
        <v>0.03981021171</v>
      </c>
    </row>
    <row r="7620" ht="14.25" customHeight="1">
      <c r="A7620" s="2" t="s">
        <v>373</v>
      </c>
      <c r="B7620" s="2" t="s">
        <v>374</v>
      </c>
      <c r="C7620" s="2">
        <v>2002.0</v>
      </c>
      <c r="D7620" s="9">
        <v>26561.965</v>
      </c>
      <c r="E7620" s="10" t="str">
        <f t="array" ref="E7620">IFS(D7620&lt;=$G$3,'calculated data '!$A$3,D7620&lt;=$G$4,'calculated data '!$A$4,D7620&lt;=$G$6,'calculated data '!$A$5,D7620&gt;=$G$6,'calculated data '!$A$6)</f>
        <v>Target Market (Core IQR)</v>
      </c>
      <c r="F7620" s="10">
        <f t="shared" si="1"/>
        <v>0.03991712304</v>
      </c>
    </row>
    <row r="7621" ht="14.25" customHeight="1">
      <c r="A7621" s="2" t="s">
        <v>375</v>
      </c>
      <c r="B7621" s="2" t="s">
        <v>376</v>
      </c>
      <c r="C7621" s="2">
        <v>2016.0</v>
      </c>
      <c r="D7621" s="9">
        <v>26562.197</v>
      </c>
      <c r="E7621" s="10" t="str">
        <f t="array" ref="E7621">IFS(D7621&lt;=$G$3,'calculated data '!$A$3,D7621&lt;=$G$4,'calculated data '!$A$4,D7621&lt;=$G$6,'calculated data '!$A$5,D7621&gt;=$G$6,'calculated data '!$A$6)</f>
        <v>Target Market (Core IQR)</v>
      </c>
      <c r="F7621" s="10">
        <f t="shared" si="1"/>
        <v>0.03992326402</v>
      </c>
    </row>
    <row r="7622" ht="14.25" customHeight="1">
      <c r="A7622" s="2" t="s">
        <v>387</v>
      </c>
      <c r="B7622" s="2" t="s">
        <v>388</v>
      </c>
      <c r="C7622" s="2">
        <v>1993.0</v>
      </c>
      <c r="D7622" s="9">
        <v>26571.008</v>
      </c>
      <c r="E7622" s="10" t="str">
        <f t="array" ref="E7622">IFS(D7622&lt;=$G$3,'calculated data '!$A$3,D7622&lt;=$G$4,'calculated data '!$A$4,D7622&lt;=$G$6,'calculated data '!$A$5,D7622&gt;=$G$6,'calculated data '!$A$6)</f>
        <v>Target Market (Core IQR)</v>
      </c>
      <c r="F7622" s="10">
        <f t="shared" si="1"/>
        <v>0.04015648899</v>
      </c>
    </row>
    <row r="7623" ht="14.25" customHeight="1">
      <c r="A7623" s="2" t="s">
        <v>387</v>
      </c>
      <c r="B7623" s="2" t="s">
        <v>388</v>
      </c>
      <c r="C7623" s="2">
        <v>1988.0</v>
      </c>
      <c r="D7623" s="9">
        <v>26577.275</v>
      </c>
      <c r="E7623" s="10" t="str">
        <f t="array" ref="E7623">IFS(D7623&lt;=$G$3,'calculated data '!$A$3,D7623&lt;=$G$4,'calculated data '!$A$4,D7623&lt;=$G$6,'calculated data '!$A$5,D7623&gt;=$G$6,'calculated data '!$A$6)</f>
        <v>Target Market (Core IQR)</v>
      </c>
      <c r="F7623" s="10">
        <f t="shared" si="1"/>
        <v>0.04032237492</v>
      </c>
    </row>
    <row r="7624" ht="14.25" customHeight="1">
      <c r="A7624" s="2" t="s">
        <v>373</v>
      </c>
      <c r="B7624" s="2" t="s">
        <v>374</v>
      </c>
      <c r="C7624" s="2">
        <v>2000.0</v>
      </c>
      <c r="D7624" s="9">
        <v>26578.361</v>
      </c>
      <c r="E7624" s="10" t="str">
        <f t="array" ref="E7624">IFS(D7624&lt;=$G$3,'calculated data '!$A$3,D7624&lt;=$G$4,'calculated data '!$A$4,D7624&lt;=$G$6,'calculated data '!$A$5,D7624&gt;=$G$6,'calculated data '!$A$6)</f>
        <v>Target Market (Core IQR)</v>
      </c>
      <c r="F7624" s="10">
        <f t="shared" si="1"/>
        <v>0.04035112107</v>
      </c>
    </row>
    <row r="7625" ht="14.25" customHeight="1">
      <c r="A7625" s="2" t="s">
        <v>343</v>
      </c>
      <c r="B7625" s="2" t="s">
        <v>344</v>
      </c>
      <c r="C7625" s="2">
        <v>1994.0</v>
      </c>
      <c r="D7625" s="9">
        <v>26590.453</v>
      </c>
      <c r="E7625" s="10" t="str">
        <f t="array" ref="E7625">IFS(D7625&lt;=$G$3,'calculated data '!$A$3,D7625&lt;=$G$4,'calculated data '!$A$4,D7625&lt;=$G$6,'calculated data '!$A$5,D7625&gt;=$G$6,'calculated data '!$A$6)</f>
        <v>Target Market (Core IQR)</v>
      </c>
      <c r="F7625" s="10">
        <f t="shared" si="1"/>
        <v>0.0406711933</v>
      </c>
    </row>
    <row r="7626" ht="14.25" customHeight="1">
      <c r="A7626" s="2" t="s">
        <v>431</v>
      </c>
      <c r="B7626" s="2" t="s">
        <v>432</v>
      </c>
      <c r="C7626" s="2">
        <v>2016.0</v>
      </c>
      <c r="D7626" s="9">
        <v>26594.12</v>
      </c>
      <c r="E7626" s="10" t="str">
        <f t="array" ref="E7626">IFS(D7626&lt;=$G$3,'calculated data '!$A$3,D7626&lt;=$G$4,'calculated data '!$A$4,D7626&lt;=$G$6,'calculated data '!$A$5,D7626&gt;=$G$6,'calculated data '!$A$6)</f>
        <v>Target Market (Core IQR)</v>
      </c>
      <c r="F7626" s="10">
        <f t="shared" si="1"/>
        <v>0.04076825788</v>
      </c>
    </row>
    <row r="7627" ht="14.25" customHeight="1">
      <c r="A7627" s="2" t="s">
        <v>409</v>
      </c>
      <c r="B7627" s="2" t="s">
        <v>410</v>
      </c>
      <c r="C7627" s="2">
        <v>1984.0</v>
      </c>
      <c r="D7627" s="9">
        <v>26597.12</v>
      </c>
      <c r="E7627" s="10" t="str">
        <f t="array" ref="E7627">IFS(D7627&lt;=$G$3,'calculated data '!$A$3,D7627&lt;=$G$4,'calculated data '!$A$4,D7627&lt;=$G$6,'calculated data '!$A$5,D7627&gt;=$G$6,'calculated data '!$A$6)</f>
        <v>Target Market (Core IQR)</v>
      </c>
      <c r="F7627" s="10">
        <f t="shared" si="1"/>
        <v>0.04084766713</v>
      </c>
    </row>
    <row r="7628" ht="14.25" customHeight="1">
      <c r="A7628" s="2" t="s">
        <v>373</v>
      </c>
      <c r="B7628" s="2" t="s">
        <v>374</v>
      </c>
      <c r="C7628" s="2">
        <v>2013.0</v>
      </c>
      <c r="D7628" s="9">
        <v>26601.328</v>
      </c>
      <c r="E7628" s="10" t="str">
        <f t="array" ref="E7628">IFS(D7628&lt;=$G$3,'calculated data '!$A$3,D7628&lt;=$G$4,'calculated data '!$A$4,D7628&lt;=$G$6,'calculated data '!$A$5,D7628&gt;=$G$6,'calculated data '!$A$6)</f>
        <v>Target Market (Core IQR)</v>
      </c>
      <c r="F7628" s="10">
        <f t="shared" si="1"/>
        <v>0.04095905184</v>
      </c>
    </row>
    <row r="7629" ht="14.25" customHeight="1">
      <c r="A7629" s="2" t="s">
        <v>267</v>
      </c>
      <c r="B7629" s="2" t="s">
        <v>268</v>
      </c>
      <c r="C7629" s="2">
        <v>2017.0</v>
      </c>
      <c r="D7629" s="9">
        <v>26601.775</v>
      </c>
      <c r="E7629" s="10" t="str">
        <f t="array" ref="E7629">IFS(D7629&lt;=$G$3,'calculated data '!$A$3,D7629&lt;=$G$4,'calculated data '!$A$4,D7629&lt;=$G$6,'calculated data '!$A$5,D7629&gt;=$G$6,'calculated data '!$A$6)</f>
        <v>Target Market (Core IQR)</v>
      </c>
      <c r="F7629" s="10">
        <f t="shared" si="1"/>
        <v>0.04097088382</v>
      </c>
    </row>
    <row r="7630" ht="14.25" customHeight="1">
      <c r="A7630" s="2" t="s">
        <v>271</v>
      </c>
      <c r="B7630" s="2" t="s">
        <v>272</v>
      </c>
      <c r="C7630" s="2">
        <v>2004.0</v>
      </c>
      <c r="D7630" s="9">
        <v>26618.404</v>
      </c>
      <c r="E7630" s="10" t="str">
        <f t="array" ref="E7630">IFS(D7630&lt;=$G$3,'calculated data '!$A$3,D7630&lt;=$G$4,'calculated data '!$A$4,D7630&lt;=$G$6,'calculated data '!$A$5,D7630&gt;=$G$6,'calculated data '!$A$6)</f>
        <v>Target Market (Core IQR)</v>
      </c>
      <c r="F7630" s="10">
        <f t="shared" si="1"/>
        <v>0.04141104931</v>
      </c>
    </row>
    <row r="7631" ht="14.25" customHeight="1">
      <c r="A7631" s="2" t="s">
        <v>355</v>
      </c>
      <c r="B7631" s="2" t="s">
        <v>356</v>
      </c>
      <c r="C7631" s="2">
        <v>1996.0</v>
      </c>
      <c r="D7631" s="9">
        <v>26629.666</v>
      </c>
      <c r="E7631" s="10" t="str">
        <f t="array" ref="E7631">IFS(D7631&lt;=$G$3,'calculated data '!$A$3,D7631&lt;=$G$4,'calculated data '!$A$4,D7631&lt;=$G$6,'calculated data '!$A$5,D7631&gt;=$G$6,'calculated data '!$A$6)</f>
        <v>Target Market (Core IQR)</v>
      </c>
      <c r="F7631" s="10">
        <f t="shared" si="1"/>
        <v>0.04170915164</v>
      </c>
    </row>
    <row r="7632" ht="14.25" customHeight="1">
      <c r="A7632" s="2" t="s">
        <v>387</v>
      </c>
      <c r="B7632" s="2" t="s">
        <v>388</v>
      </c>
      <c r="C7632" s="2">
        <v>1989.0</v>
      </c>
      <c r="D7632" s="9">
        <v>26629.824</v>
      </c>
      <c r="E7632" s="10" t="str">
        <f t="array" ref="E7632">IFS(D7632&lt;=$G$3,'calculated data '!$A$3,D7632&lt;=$G$4,'calculated data '!$A$4,D7632&lt;=$G$6,'calculated data '!$A$5,D7632&gt;=$G$6,'calculated data '!$A$6)</f>
        <v>Target Market (Core IQR)</v>
      </c>
      <c r="F7632" s="10">
        <f t="shared" si="1"/>
        <v>0.04171333387</v>
      </c>
    </row>
    <row r="7633" ht="14.25" customHeight="1">
      <c r="A7633" s="2" t="s">
        <v>127</v>
      </c>
      <c r="B7633" s="2" t="s">
        <v>128</v>
      </c>
      <c r="C7633" s="2">
        <v>2011.0</v>
      </c>
      <c r="D7633" s="9">
        <v>26635.107</v>
      </c>
      <c r="E7633" s="10" t="str">
        <f t="array" ref="E7633">IFS(D7633&lt;=$G$3,'calculated data '!$A$3,D7633&lt;=$G$4,'calculated data '!$A$4,D7633&lt;=$G$6,'calculated data '!$A$5,D7633&gt;=$G$6,'calculated data '!$A$6)</f>
        <v>Target Market (Core IQR)</v>
      </c>
      <c r="F7633" s="10">
        <f t="shared" si="1"/>
        <v>0.04185317356</v>
      </c>
    </row>
    <row r="7634" ht="14.25" customHeight="1">
      <c r="A7634" s="2" t="s">
        <v>257</v>
      </c>
      <c r="B7634" s="2" t="s">
        <v>258</v>
      </c>
      <c r="C7634" s="2">
        <v>2005.0</v>
      </c>
      <c r="D7634" s="9">
        <v>26636.312</v>
      </c>
      <c r="E7634" s="10" t="str">
        <f t="array" ref="E7634">IFS(D7634&lt;=$G$3,'calculated data '!$A$3,D7634&lt;=$G$4,'calculated data '!$A$4,D7634&lt;=$G$6,'calculated data '!$A$5,D7634&gt;=$G$6,'calculated data '!$A$6)</f>
        <v>Target Market (Core IQR)</v>
      </c>
      <c r="F7634" s="10">
        <f t="shared" si="1"/>
        <v>0.04188506961</v>
      </c>
    </row>
    <row r="7635" ht="14.25" customHeight="1">
      <c r="A7635" s="2" t="s">
        <v>383</v>
      </c>
      <c r="B7635" s="2" t="s">
        <v>384</v>
      </c>
      <c r="C7635" s="2">
        <v>2004.0</v>
      </c>
      <c r="D7635" s="9">
        <v>26642.047</v>
      </c>
      <c r="E7635" s="10" t="str">
        <f t="array" ref="E7635">IFS(D7635&lt;=$G$3,'calculated data '!$A$3,D7635&lt;=$G$4,'calculated data '!$A$4,D7635&lt;=$G$6,'calculated data '!$A$5,D7635&gt;=$G$6,'calculated data '!$A$6)</f>
        <v>Target Market (Core IQR)</v>
      </c>
      <c r="F7635" s="10">
        <f t="shared" si="1"/>
        <v>0.04203687363</v>
      </c>
    </row>
    <row r="7636" ht="14.25" customHeight="1">
      <c r="A7636" s="2" t="s">
        <v>353</v>
      </c>
      <c r="B7636" s="2" t="s">
        <v>354</v>
      </c>
      <c r="C7636" s="2">
        <v>1999.0</v>
      </c>
      <c r="D7636" s="9">
        <v>26645.15</v>
      </c>
      <c r="E7636" s="10" t="str">
        <f t="array" ref="E7636">IFS(D7636&lt;=$G$3,'calculated data '!$A$3,D7636&lt;=$G$4,'calculated data '!$A$4,D7636&lt;=$G$6,'calculated data '!$A$5,D7636&gt;=$G$6,'calculated data '!$A$6)</f>
        <v>Target Market (Core IQR)</v>
      </c>
      <c r="F7636" s="10">
        <f t="shared" si="1"/>
        <v>0.04211900927</v>
      </c>
    </row>
    <row r="7637" ht="14.25" customHeight="1">
      <c r="A7637" s="2" t="s">
        <v>279</v>
      </c>
      <c r="B7637" s="2" t="s">
        <v>280</v>
      </c>
      <c r="C7637" s="2">
        <v>1989.0</v>
      </c>
      <c r="D7637" s="9">
        <v>26652.912</v>
      </c>
      <c r="E7637" s="10" t="str">
        <f t="array" ref="E7637">IFS(D7637&lt;=$G$3,'calculated data '!$A$3,D7637&lt;=$G$4,'calculated data '!$A$4,D7637&lt;=$G$6,'calculated data '!$A$5,D7637&gt;=$G$6,'calculated data '!$A$6)</f>
        <v>Target Market (Core IQR)</v>
      </c>
      <c r="F7637" s="10">
        <f t="shared" si="1"/>
        <v>0.04232446748</v>
      </c>
    </row>
    <row r="7638" ht="14.25" customHeight="1">
      <c r="A7638" s="2" t="s">
        <v>415</v>
      </c>
      <c r="B7638" s="2" t="s">
        <v>416</v>
      </c>
      <c r="C7638" s="2">
        <v>2022.0</v>
      </c>
      <c r="D7638" s="9">
        <v>26664.795</v>
      </c>
      <c r="E7638" s="10" t="str">
        <f t="array" ref="E7638">IFS(D7638&lt;=$G$3,'calculated data '!$A$3,D7638&lt;=$G$4,'calculated data '!$A$4,D7638&lt;=$G$6,'calculated data '!$A$5,D7638&gt;=$G$6,'calculated data '!$A$6)</f>
        <v>Target Market (Core IQR)</v>
      </c>
      <c r="F7638" s="10">
        <f t="shared" si="1"/>
        <v>0.04263900753</v>
      </c>
    </row>
    <row r="7639" ht="14.25" customHeight="1">
      <c r="A7639" s="2" t="s">
        <v>28</v>
      </c>
      <c r="B7639" s="2" t="s">
        <v>29</v>
      </c>
      <c r="C7639" s="2">
        <v>1998.0</v>
      </c>
      <c r="D7639" s="9">
        <v>26665.314</v>
      </c>
      <c r="E7639" s="10" t="str">
        <f t="array" ref="E7639">IFS(D7639&lt;=$G$3,'calculated data '!$A$3,D7639&lt;=$G$4,'calculated data '!$A$4,D7639&lt;=$G$6,'calculated data '!$A$5,D7639&gt;=$G$6,'calculated data '!$A$6)</f>
        <v>Target Market (Core IQR)</v>
      </c>
      <c r="F7639" s="10">
        <f t="shared" si="1"/>
        <v>0.04265274533</v>
      </c>
    </row>
    <row r="7640" ht="14.25" customHeight="1">
      <c r="A7640" s="2" t="s">
        <v>47</v>
      </c>
      <c r="B7640" s="2" t="s">
        <v>48</v>
      </c>
      <c r="C7640" s="2">
        <v>2008.0</v>
      </c>
      <c r="D7640" s="9">
        <v>26674.824</v>
      </c>
      <c r="E7640" s="10" t="str">
        <f t="array" ref="E7640">IFS(D7640&lt;=$G$3,'calculated data '!$A$3,D7640&lt;=$G$4,'calculated data '!$A$4,D7640&lt;=$G$6,'calculated data '!$A$5,D7640&gt;=$G$6,'calculated data '!$A$6)</f>
        <v>Target Market (Core IQR)</v>
      </c>
      <c r="F7640" s="10">
        <f t="shared" si="1"/>
        <v>0.04290447266</v>
      </c>
    </row>
    <row r="7641" ht="14.25" customHeight="1">
      <c r="A7641" s="2" t="s">
        <v>335</v>
      </c>
      <c r="B7641" s="2" t="s">
        <v>336</v>
      </c>
      <c r="C7641" s="2">
        <v>1989.0</v>
      </c>
      <c r="D7641" s="9">
        <v>26678.637</v>
      </c>
      <c r="E7641" s="10" t="str">
        <f t="array" ref="E7641">IFS(D7641&lt;=$G$3,'calculated data '!$A$3,D7641&lt;=$G$4,'calculated data '!$A$4,D7641&lt;=$G$6,'calculated data '!$A$5,D7641&gt;=$G$6,'calculated data '!$A$6)</f>
        <v>Target Market (Core IQR)</v>
      </c>
      <c r="F7641" s="10">
        <f t="shared" si="1"/>
        <v>0.04300540182</v>
      </c>
    </row>
    <row r="7642" ht="14.25" customHeight="1">
      <c r="A7642" s="2" t="s">
        <v>373</v>
      </c>
      <c r="B7642" s="2" t="s">
        <v>374</v>
      </c>
      <c r="C7642" s="2">
        <v>2003.0</v>
      </c>
      <c r="D7642" s="9">
        <v>26680.176</v>
      </c>
      <c r="E7642" s="10" t="str">
        <f t="array" ref="E7642">IFS(D7642&lt;=$G$3,'calculated data '!$A$3,D7642&lt;=$G$4,'calculated data '!$A$4,D7642&lt;=$G$6,'calculated data '!$A$5,D7642&gt;=$G$6,'calculated data '!$A$6)</f>
        <v>Target Market (Core IQR)</v>
      </c>
      <c r="F7642" s="10">
        <f t="shared" si="1"/>
        <v>0.04304613876</v>
      </c>
    </row>
    <row r="7643" ht="14.25" customHeight="1">
      <c r="A7643" s="2" t="s">
        <v>295</v>
      </c>
      <c r="B7643" s="2" t="s">
        <v>296</v>
      </c>
      <c r="C7643" s="2">
        <v>2023.0</v>
      </c>
      <c r="D7643" s="9">
        <v>26697.61</v>
      </c>
      <c r="E7643" s="10" t="str">
        <f t="array" ref="E7643">IFS(D7643&lt;=$G$3,'calculated data '!$A$3,D7643&lt;=$G$4,'calculated data '!$A$4,D7643&lt;=$G$6,'calculated data '!$A$5,D7643&gt;=$G$6,'calculated data '!$A$6)</f>
        <v>Target Market (Core IQR)</v>
      </c>
      <c r="F7643" s="10">
        <f t="shared" si="1"/>
        <v>0.0435076124</v>
      </c>
    </row>
    <row r="7644" ht="14.25" customHeight="1">
      <c r="A7644" s="2" t="s">
        <v>405</v>
      </c>
      <c r="B7644" s="2" t="s">
        <v>406</v>
      </c>
      <c r="C7644" s="2">
        <v>2020.0</v>
      </c>
      <c r="D7644" s="9">
        <v>26711.46</v>
      </c>
      <c r="E7644" s="10" t="str">
        <f t="array" ref="E7644">IFS(D7644&lt;=$G$3,'calculated data '!$A$3,D7644&lt;=$G$4,'calculated data '!$A$4,D7644&lt;=$G$6,'calculated data '!$A$5,D7644&gt;=$G$6,'calculated data '!$A$6)</f>
        <v>Target Market (Core IQR)</v>
      </c>
      <c r="F7644" s="10">
        <f t="shared" si="1"/>
        <v>0.04387421845</v>
      </c>
    </row>
    <row r="7645" ht="14.25" customHeight="1">
      <c r="A7645" s="2" t="s">
        <v>373</v>
      </c>
      <c r="B7645" s="2" t="s">
        <v>374</v>
      </c>
      <c r="C7645" s="2">
        <v>2006.0</v>
      </c>
      <c r="D7645" s="9">
        <v>26723.955</v>
      </c>
      <c r="E7645" s="10" t="str">
        <f t="array" ref="E7645">IFS(D7645&lt;=$G$3,'calculated data '!$A$3,D7645&lt;=$G$4,'calculated data '!$A$4,D7645&lt;=$G$6,'calculated data '!$A$5,D7645&gt;=$G$6,'calculated data '!$A$6)</f>
        <v>Target Market (Core IQR)</v>
      </c>
      <c r="F7645" s="10">
        <f t="shared" si="1"/>
        <v>0.04420495799</v>
      </c>
    </row>
    <row r="7646" ht="14.25" customHeight="1">
      <c r="A7646" s="2" t="s">
        <v>373</v>
      </c>
      <c r="B7646" s="2" t="s">
        <v>374</v>
      </c>
      <c r="C7646" s="2">
        <v>2004.0</v>
      </c>
      <c r="D7646" s="9">
        <v>26727.373</v>
      </c>
      <c r="E7646" s="10" t="str">
        <f t="array" ref="E7646">IFS(D7646&lt;=$G$3,'calculated data '!$A$3,D7646&lt;=$G$4,'calculated data '!$A$4,D7646&lt;=$G$6,'calculated data '!$A$5,D7646&gt;=$G$6,'calculated data '!$A$6)</f>
        <v>Target Market (Core IQR)</v>
      </c>
      <c r="F7646" s="10">
        <f t="shared" si="1"/>
        <v>0.0442954316</v>
      </c>
    </row>
    <row r="7647" ht="14.25" customHeight="1">
      <c r="A7647" s="2" t="s">
        <v>413</v>
      </c>
      <c r="B7647" s="2" t="s">
        <v>414</v>
      </c>
      <c r="C7647" s="2">
        <v>1968.0</v>
      </c>
      <c r="D7647" s="9">
        <v>26734.312</v>
      </c>
      <c r="E7647" s="10" t="str">
        <f t="array" ref="E7647">IFS(D7647&lt;=$G$3,'calculated data '!$A$3,D7647&lt;=$G$4,'calculated data '!$A$4,D7647&lt;=$G$6,'calculated data '!$A$5,D7647&gt;=$G$6,'calculated data '!$A$6)</f>
        <v>Target Market (Core IQR)</v>
      </c>
      <c r="F7647" s="10">
        <f t="shared" si="1"/>
        <v>0.0444791052</v>
      </c>
    </row>
    <row r="7648" ht="14.25" customHeight="1">
      <c r="A7648" s="2" t="s">
        <v>411</v>
      </c>
      <c r="B7648" s="2" t="s">
        <v>412</v>
      </c>
      <c r="C7648" s="2">
        <v>1968.0</v>
      </c>
      <c r="D7648" s="9">
        <v>26736.15</v>
      </c>
      <c r="E7648" s="10" t="str">
        <f t="array" ref="E7648">IFS(D7648&lt;=$G$3,'calculated data '!$A$3,D7648&lt;=$G$4,'calculated data '!$A$4,D7648&lt;=$G$6,'calculated data '!$A$5,D7648&gt;=$G$6,'calculated data '!$A$6)</f>
        <v>Target Market (Core IQR)</v>
      </c>
      <c r="F7648" s="10">
        <f t="shared" si="1"/>
        <v>0.0445277566</v>
      </c>
    </row>
    <row r="7649" ht="14.25" customHeight="1">
      <c r="A7649" s="2" t="s">
        <v>367</v>
      </c>
      <c r="B7649" s="2" t="s">
        <v>368</v>
      </c>
      <c r="C7649" s="2">
        <v>2014.0</v>
      </c>
      <c r="D7649" s="9">
        <v>26739.113</v>
      </c>
      <c r="E7649" s="10" t="str">
        <f t="array" ref="E7649">IFS(D7649&lt;=$G$3,'calculated data '!$A$3,D7649&lt;=$G$4,'calculated data '!$A$4,D7649&lt;=$G$6,'calculated data '!$A$5,D7649&gt;=$G$6,'calculated data '!$A$6)</f>
        <v>Target Market (Core IQR)</v>
      </c>
      <c r="F7649" s="10">
        <f t="shared" si="1"/>
        <v>0.04460618648</v>
      </c>
    </row>
    <row r="7650" ht="14.25" customHeight="1">
      <c r="A7650" s="2" t="s">
        <v>267</v>
      </c>
      <c r="B7650" s="2" t="s">
        <v>268</v>
      </c>
      <c r="C7650" s="2">
        <v>2022.0</v>
      </c>
      <c r="D7650" s="9">
        <v>26739.414</v>
      </c>
      <c r="E7650" s="10" t="str">
        <f t="array" ref="E7650">IFS(D7650&lt;=$G$3,'calculated data '!$A$3,D7650&lt;=$G$4,'calculated data '!$A$4,D7650&lt;=$G$6,'calculated data '!$A$5,D7650&gt;=$G$6,'calculated data '!$A$6)</f>
        <v>Target Market (Core IQR)</v>
      </c>
      <c r="F7650" s="10">
        <f t="shared" si="1"/>
        <v>0.04461415387</v>
      </c>
    </row>
    <row r="7651" ht="14.25" customHeight="1">
      <c r="A7651" s="2" t="s">
        <v>331</v>
      </c>
      <c r="B7651" s="2" t="s">
        <v>332</v>
      </c>
      <c r="C7651" s="2">
        <v>1989.0</v>
      </c>
      <c r="D7651" s="9">
        <v>26751.65</v>
      </c>
      <c r="E7651" s="10" t="str">
        <f t="array" ref="E7651">IFS(D7651&lt;=$G$3,'calculated data '!$A$3,D7651&lt;=$G$4,'calculated data '!$A$4,D7651&lt;=$G$6,'calculated data '!$A$5,D7651&gt;=$G$6,'calculated data '!$A$6)</f>
        <v>Target Market (Core IQR)</v>
      </c>
      <c r="F7651" s="10">
        <f t="shared" si="1"/>
        <v>0.04493803774</v>
      </c>
    </row>
    <row r="7652" ht="14.25" customHeight="1">
      <c r="A7652" s="2" t="s">
        <v>373</v>
      </c>
      <c r="B7652" s="2" t="s">
        <v>374</v>
      </c>
      <c r="C7652" s="2">
        <v>2010.0</v>
      </c>
      <c r="D7652" s="9">
        <v>26773.963</v>
      </c>
      <c r="E7652" s="10" t="str">
        <f t="array" ref="E7652">IFS(D7652&lt;=$G$3,'calculated data '!$A$3,D7652&lt;=$G$4,'calculated data '!$A$4,D7652&lt;=$G$6,'calculated data '!$A$5,D7652&gt;=$G$6,'calculated data '!$A$6)</f>
        <v>Target Market (Core IQR)</v>
      </c>
      <c r="F7652" s="10">
        <f t="shared" si="1"/>
        <v>0.0455286573</v>
      </c>
    </row>
    <row r="7653" ht="14.25" customHeight="1">
      <c r="A7653" s="2" t="s">
        <v>335</v>
      </c>
      <c r="B7653" s="2" t="s">
        <v>336</v>
      </c>
      <c r="C7653" s="2">
        <v>2020.0</v>
      </c>
      <c r="D7653" s="9">
        <v>26776.49</v>
      </c>
      <c r="E7653" s="10" t="str">
        <f t="array" ref="E7653">IFS(D7653&lt;=$G$3,'calculated data '!$A$3,D7653&lt;=$G$4,'calculated data '!$A$4,D7653&lt;=$G$6,'calculated data '!$A$5,D7653&gt;=$G$6,'calculated data '!$A$6)</f>
        <v>Target Market (Core IQR)</v>
      </c>
      <c r="F7653" s="10">
        <f t="shared" si="1"/>
        <v>0.04559554636</v>
      </c>
    </row>
    <row r="7654" ht="14.25" customHeight="1">
      <c r="A7654" s="2" t="s">
        <v>385</v>
      </c>
      <c r="B7654" s="2" t="s">
        <v>386</v>
      </c>
      <c r="C7654" s="2">
        <v>2005.0</v>
      </c>
      <c r="D7654" s="9">
        <v>26785.201</v>
      </c>
      <c r="E7654" s="10" t="str">
        <f t="array" ref="E7654">IFS(D7654&lt;=$G$3,'calculated data '!$A$3,D7654&lt;=$G$4,'calculated data '!$A$4,D7654&lt;=$G$6,'calculated data '!$A$5,D7654&gt;=$G$6,'calculated data '!$A$6)</f>
        <v>Target Market (Core IQR)</v>
      </c>
      <c r="F7654" s="10">
        <f t="shared" si="1"/>
        <v>0.04582612436</v>
      </c>
    </row>
    <row r="7655" ht="14.25" customHeight="1">
      <c r="A7655" s="2" t="s">
        <v>341</v>
      </c>
      <c r="B7655" s="2" t="s">
        <v>342</v>
      </c>
      <c r="C7655" s="2">
        <v>2018.0</v>
      </c>
      <c r="D7655" s="9">
        <v>26785.832</v>
      </c>
      <c r="E7655" s="10" t="str">
        <f t="array" ref="E7655">IFS(D7655&lt;=$G$3,'calculated data '!$A$3,D7655&lt;=$G$4,'calculated data '!$A$4,D7655&lt;=$G$6,'calculated data '!$A$5,D7655&gt;=$G$6,'calculated data '!$A$6)</f>
        <v>Target Market (Core IQR)</v>
      </c>
      <c r="F7655" s="10">
        <f t="shared" si="1"/>
        <v>0.04584282677</v>
      </c>
    </row>
    <row r="7656" ht="14.25" customHeight="1">
      <c r="A7656" s="2" t="s">
        <v>355</v>
      </c>
      <c r="B7656" s="2" t="s">
        <v>356</v>
      </c>
      <c r="C7656" s="2">
        <v>1990.0</v>
      </c>
      <c r="D7656" s="9">
        <v>26790.705</v>
      </c>
      <c r="E7656" s="10" t="str">
        <f t="array" ref="E7656">IFS(D7656&lt;=$G$3,'calculated data '!$A$3,D7656&lt;=$G$4,'calculated data '!$A$4,D7656&lt;=$G$6,'calculated data '!$A$5,D7656&gt;=$G$6,'calculated data '!$A$6)</f>
        <v>Target Market (Core IQR)</v>
      </c>
      <c r="F7656" s="10">
        <f t="shared" si="1"/>
        <v>0.04597181387</v>
      </c>
    </row>
    <row r="7657" ht="14.25" customHeight="1">
      <c r="A7657" s="2" t="s">
        <v>373</v>
      </c>
      <c r="B7657" s="2" t="s">
        <v>374</v>
      </c>
      <c r="C7657" s="2">
        <v>2005.0</v>
      </c>
      <c r="D7657" s="9">
        <v>26791.81</v>
      </c>
      <c r="E7657" s="10" t="str">
        <f t="array" ref="E7657">IFS(D7657&lt;=$G$3,'calculated data '!$A$3,D7657&lt;=$G$4,'calculated data '!$A$4,D7657&lt;=$G$6,'calculated data '!$A$5,D7657&gt;=$G$6,'calculated data '!$A$6)</f>
        <v>Target Market (Core IQR)</v>
      </c>
      <c r="F7657" s="10">
        <f t="shared" si="1"/>
        <v>0.04600106294</v>
      </c>
    </row>
    <row r="7658" ht="14.25" customHeight="1">
      <c r="A7658" s="2" t="s">
        <v>331</v>
      </c>
      <c r="B7658" s="2" t="s">
        <v>332</v>
      </c>
      <c r="C7658" s="2">
        <v>2022.0</v>
      </c>
      <c r="D7658" s="9">
        <v>26794.645</v>
      </c>
      <c r="E7658" s="10" t="str">
        <f t="array" ref="E7658">IFS(D7658&lt;=$G$3,'calculated data '!$A$3,D7658&lt;=$G$4,'calculated data '!$A$4,D7658&lt;=$G$6,'calculated data '!$A$5,D7658&gt;=$G$6,'calculated data '!$A$6)</f>
        <v>Target Market (Core IQR)</v>
      </c>
      <c r="F7658" s="10">
        <f t="shared" si="1"/>
        <v>0.04607610468</v>
      </c>
    </row>
    <row r="7659" ht="14.25" customHeight="1">
      <c r="A7659" s="2" t="s">
        <v>319</v>
      </c>
      <c r="B7659" s="2" t="s">
        <v>320</v>
      </c>
      <c r="C7659" s="2">
        <v>2012.0</v>
      </c>
      <c r="D7659" s="9">
        <v>26805.506</v>
      </c>
      <c r="E7659" s="10" t="str">
        <f t="array" ref="E7659">IFS(D7659&lt;=$G$3,'calculated data '!$A$3,D7659&lt;=$G$4,'calculated data '!$A$4,D7659&lt;=$G$6,'calculated data '!$A$5,D7659&gt;=$G$6,'calculated data '!$A$6)</f>
        <v>Target Market (Core IQR)</v>
      </c>
      <c r="F7659" s="10">
        <f t="shared" si="1"/>
        <v>0.04636359265</v>
      </c>
    </row>
    <row r="7660" ht="14.25" customHeight="1">
      <c r="A7660" s="2" t="s">
        <v>353</v>
      </c>
      <c r="B7660" s="2" t="s">
        <v>354</v>
      </c>
      <c r="C7660" s="2">
        <v>2009.0</v>
      </c>
      <c r="D7660" s="9">
        <v>26825.344</v>
      </c>
      <c r="E7660" s="10" t="str">
        <f t="array" ref="E7660">IFS(D7660&lt;=$G$3,'calculated data '!$A$3,D7660&lt;=$G$4,'calculated data '!$A$4,D7660&lt;=$G$6,'calculated data '!$A$5,D7660&gt;=$G$6,'calculated data '!$A$6)</f>
        <v>Target Market (Core IQR)</v>
      </c>
      <c r="F7660" s="10">
        <f t="shared" si="1"/>
        <v>0.04688869957</v>
      </c>
    </row>
    <row r="7661" ht="14.25" customHeight="1">
      <c r="A7661" s="2" t="s">
        <v>337</v>
      </c>
      <c r="B7661" s="2" t="s">
        <v>338</v>
      </c>
      <c r="C7661" s="2">
        <v>1992.0</v>
      </c>
      <c r="D7661" s="9">
        <v>26830.818</v>
      </c>
      <c r="E7661" s="10" t="str">
        <f t="array" ref="E7661">IFS(D7661&lt;=$G$3,'calculated data '!$A$3,D7661&lt;=$G$4,'calculated data '!$A$4,D7661&lt;=$G$6,'calculated data '!$A$5,D7661&gt;=$G$6,'calculated data '!$A$6)</f>
        <v>Target Market (Core IQR)</v>
      </c>
      <c r="F7661" s="10">
        <f t="shared" si="1"/>
        <v>0.04703359499</v>
      </c>
    </row>
    <row r="7662" ht="14.25" customHeight="1">
      <c r="A7662" s="2" t="s">
        <v>385</v>
      </c>
      <c r="B7662" s="2" t="s">
        <v>386</v>
      </c>
      <c r="C7662" s="2">
        <v>2009.0</v>
      </c>
      <c r="D7662" s="9">
        <v>26849.484</v>
      </c>
      <c r="E7662" s="10" t="str">
        <f t="array" ref="E7662">IFS(D7662&lt;=$G$3,'calculated data '!$A$3,D7662&lt;=$G$4,'calculated data '!$A$4,D7662&lt;=$G$6,'calculated data '!$A$5,D7662&gt;=$G$6,'calculated data '!$A$6)</f>
        <v>Target Market (Core IQR)</v>
      </c>
      <c r="F7662" s="10">
        <f t="shared" si="1"/>
        <v>0.04752767936</v>
      </c>
    </row>
    <row r="7663" ht="14.25" customHeight="1">
      <c r="A7663" s="2" t="s">
        <v>421</v>
      </c>
      <c r="B7663" s="2" t="s">
        <v>422</v>
      </c>
      <c r="C7663" s="2">
        <v>2003.0</v>
      </c>
      <c r="D7663" s="9">
        <v>26868.266</v>
      </c>
      <c r="E7663" s="10" t="str">
        <f t="array" ref="E7663">IFS(D7663&lt;=$G$3,'calculated data '!$A$3,D7663&lt;=$G$4,'calculated data '!$A$4,D7663&lt;=$G$6,'calculated data '!$A$5,D7663&gt;=$G$6,'calculated data '!$A$6)</f>
        <v>Target Market (Core IQR)</v>
      </c>
      <c r="F7663" s="10">
        <f t="shared" si="1"/>
        <v>0.04802483422</v>
      </c>
    </row>
    <row r="7664" ht="14.25" customHeight="1">
      <c r="A7664" s="2" t="s">
        <v>337</v>
      </c>
      <c r="B7664" s="2" t="s">
        <v>338</v>
      </c>
      <c r="C7664" s="2">
        <v>1988.0</v>
      </c>
      <c r="D7664" s="9">
        <v>26889.072</v>
      </c>
      <c r="E7664" s="10" t="str">
        <f t="array" ref="E7664">IFS(D7664&lt;=$G$3,'calculated data '!$A$3,D7664&lt;=$G$4,'calculated data '!$A$4,D7664&lt;=$G$6,'calculated data '!$A$5,D7664&gt;=$G$6,'calculated data '!$A$6)</f>
        <v>Target Market (Core IQR)</v>
      </c>
      <c r="F7664" s="10">
        <f t="shared" si="1"/>
        <v>0.04857556386</v>
      </c>
    </row>
    <row r="7665" ht="14.25" customHeight="1">
      <c r="A7665" s="2" t="s">
        <v>407</v>
      </c>
      <c r="B7665" s="2" t="s">
        <v>408</v>
      </c>
      <c r="C7665" s="2">
        <v>1998.0</v>
      </c>
      <c r="D7665" s="9">
        <v>26904.895</v>
      </c>
      <c r="E7665" s="10" t="str">
        <f t="array" ref="E7665">IFS(D7665&lt;=$G$3,'calculated data '!$A$3,D7665&lt;=$G$4,'calculated data '!$A$4,D7665&lt;=$G$6,'calculated data '!$A$5,D7665&gt;=$G$6,'calculated data '!$A$6)</f>
        <v>Target Market (Core IQR)</v>
      </c>
      <c r="F7665" s="10">
        <f t="shared" si="1"/>
        <v>0.04899439473</v>
      </c>
    </row>
    <row r="7666" ht="14.25" customHeight="1">
      <c r="A7666" s="2" t="s">
        <v>355</v>
      </c>
      <c r="B7666" s="2" t="s">
        <v>356</v>
      </c>
      <c r="C7666" s="2">
        <v>1983.0</v>
      </c>
      <c r="D7666" s="9">
        <v>26905.676</v>
      </c>
      <c r="E7666" s="10" t="str">
        <f t="array" ref="E7666">IFS(D7666&lt;=$G$3,'calculated data '!$A$3,D7666&lt;=$G$4,'calculated data '!$A$4,D7666&lt;=$G$6,'calculated data '!$A$5,D7666&gt;=$G$6,'calculated data '!$A$6)</f>
        <v>Target Market (Core IQR)</v>
      </c>
      <c r="F7666" s="10">
        <f t="shared" si="1"/>
        <v>0.0490150676</v>
      </c>
    </row>
    <row r="7667" ht="14.25" customHeight="1">
      <c r="A7667" s="2" t="s">
        <v>385</v>
      </c>
      <c r="B7667" s="2" t="s">
        <v>386</v>
      </c>
      <c r="C7667" s="2">
        <v>2012.0</v>
      </c>
      <c r="D7667" s="9">
        <v>26910.973</v>
      </c>
      <c r="E7667" s="10" t="str">
        <f t="array" ref="E7667">IFS(D7667&lt;=$G$3,'calculated data '!$A$3,D7667&lt;=$G$4,'calculated data '!$A$4,D7667&lt;=$G$6,'calculated data '!$A$5,D7667&gt;=$G$6,'calculated data '!$A$6)</f>
        <v>Target Market (Core IQR)</v>
      </c>
      <c r="F7667" s="10">
        <f t="shared" si="1"/>
        <v>0.04915527787</v>
      </c>
    </row>
    <row r="7668" ht="14.25" customHeight="1">
      <c r="A7668" s="2" t="s">
        <v>249</v>
      </c>
      <c r="B7668" s="2" t="s">
        <v>250</v>
      </c>
      <c r="C7668" s="2">
        <v>2002.0</v>
      </c>
      <c r="D7668" s="9">
        <v>26915.031</v>
      </c>
      <c r="E7668" s="10" t="str">
        <f t="array" ref="E7668">IFS(D7668&lt;=$G$3,'calculated data '!$A$3,D7668&lt;=$G$4,'calculated data '!$A$4,D7668&lt;=$G$6,'calculated data '!$A$5,D7668&gt;=$G$6,'calculated data '!$A$6)</f>
        <v>Target Market (Core IQR)</v>
      </c>
      <c r="F7668" s="10">
        <f t="shared" si="1"/>
        <v>0.04926269212</v>
      </c>
    </row>
    <row r="7669" ht="14.25" customHeight="1">
      <c r="A7669" s="2" t="s">
        <v>409</v>
      </c>
      <c r="B7669" s="2" t="s">
        <v>410</v>
      </c>
      <c r="C7669" s="2">
        <v>1972.0</v>
      </c>
      <c r="D7669" s="9">
        <v>26927.834</v>
      </c>
      <c r="E7669" s="10" t="str">
        <f t="array" ref="E7669">IFS(D7669&lt;=$G$3,'calculated data '!$A$3,D7669&lt;=$G$4,'calculated data '!$A$4,D7669&lt;=$G$6,'calculated data '!$A$5,D7669&gt;=$G$6,'calculated data '!$A$6)</f>
        <v>Target Market (Core IQR)</v>
      </c>
      <c r="F7669" s="10">
        <f t="shared" si="1"/>
        <v>0.04960158434</v>
      </c>
    </row>
    <row r="7670" ht="14.25" customHeight="1">
      <c r="A7670" s="2" t="s">
        <v>411</v>
      </c>
      <c r="B7670" s="2" t="s">
        <v>412</v>
      </c>
      <c r="C7670" s="2">
        <v>2021.0</v>
      </c>
      <c r="D7670" s="9">
        <v>26947.01</v>
      </c>
      <c r="E7670" s="10" t="str">
        <f t="array" ref="E7670">IFS(D7670&lt;=$G$3,'calculated data '!$A$3,D7670&lt;=$G$4,'calculated data '!$A$4,D7670&lt;=$G$6,'calculated data '!$A$5,D7670&gt;=$G$6,'calculated data '!$A$6)</f>
        <v>Target Market (Core IQR)</v>
      </c>
      <c r="F7670" s="10">
        <f t="shared" si="1"/>
        <v>0.05010916829</v>
      </c>
    </row>
    <row r="7671" ht="14.25" customHeight="1">
      <c r="A7671" s="2" t="s">
        <v>353</v>
      </c>
      <c r="B7671" s="2" t="s">
        <v>354</v>
      </c>
      <c r="C7671" s="2">
        <v>2000.0</v>
      </c>
      <c r="D7671" s="9">
        <v>26964.86</v>
      </c>
      <c r="E7671" s="10" t="str">
        <f t="array" ref="E7671">IFS(D7671&lt;=$G$3,'calculated data '!$A$3,D7671&lt;=$G$4,'calculated data '!$A$4,D7671&lt;=$G$6,'calculated data '!$A$5,D7671&gt;=$G$6,'calculated data '!$A$6)</f>
        <v>Target Market (Core IQR)</v>
      </c>
      <c r="F7671" s="10">
        <f t="shared" si="1"/>
        <v>0.05058165334</v>
      </c>
    </row>
    <row r="7672" ht="14.25" customHeight="1">
      <c r="A7672" s="2" t="s">
        <v>409</v>
      </c>
      <c r="B7672" s="2" t="s">
        <v>410</v>
      </c>
      <c r="C7672" s="2">
        <v>1983.0</v>
      </c>
      <c r="D7672" s="9">
        <v>26976.232</v>
      </c>
      <c r="E7672" s="10" t="str">
        <f t="array" ref="E7672">IFS(D7672&lt;=$G$3,'calculated data '!$A$3,D7672&lt;=$G$4,'calculated data '!$A$4,D7672&lt;=$G$6,'calculated data '!$A$5,D7672&gt;=$G$6,'calculated data '!$A$6)</f>
        <v>Target Market (Core IQR)</v>
      </c>
      <c r="F7672" s="10">
        <f t="shared" si="1"/>
        <v>0.05088266735</v>
      </c>
    </row>
    <row r="7673" ht="14.25" customHeight="1">
      <c r="A7673" s="2" t="s">
        <v>385</v>
      </c>
      <c r="B7673" s="2" t="s">
        <v>386</v>
      </c>
      <c r="C7673" s="2">
        <v>1988.0</v>
      </c>
      <c r="D7673" s="9">
        <v>26978.094</v>
      </c>
      <c r="E7673" s="10" t="str">
        <f t="array" ref="E7673">IFS(D7673&lt;=$G$3,'calculated data '!$A$3,D7673&lt;=$G$4,'calculated data '!$A$4,D7673&lt;=$G$6,'calculated data '!$A$5,D7673&gt;=$G$6,'calculated data '!$A$6)</f>
        <v>Target Market (Core IQR)</v>
      </c>
      <c r="F7673" s="10">
        <f t="shared" si="1"/>
        <v>0.05093195402</v>
      </c>
    </row>
    <row r="7674" ht="14.25" customHeight="1">
      <c r="A7674" s="2" t="s">
        <v>337</v>
      </c>
      <c r="B7674" s="2" t="s">
        <v>338</v>
      </c>
      <c r="C7674" s="2">
        <v>1994.0</v>
      </c>
      <c r="D7674" s="9">
        <v>26994.596</v>
      </c>
      <c r="E7674" s="10" t="str">
        <f t="array" ref="E7674">IFS(D7674&lt;=$G$3,'calculated data '!$A$3,D7674&lt;=$G$4,'calculated data '!$A$4,D7674&lt;=$G$6,'calculated data '!$A$5,D7674&gt;=$G$6,'calculated data '!$A$6)</f>
        <v>Target Market (Core IQR)</v>
      </c>
      <c r="F7674" s="10">
        <f t="shared" si="1"/>
        <v>0.05136875785</v>
      </c>
    </row>
    <row r="7675" ht="14.25" customHeight="1">
      <c r="A7675" s="2" t="s">
        <v>427</v>
      </c>
      <c r="B7675" s="2" t="s">
        <v>428</v>
      </c>
      <c r="C7675" s="2">
        <v>2002.0</v>
      </c>
      <c r="D7675" s="9">
        <v>27000.611</v>
      </c>
      <c r="E7675" s="10" t="str">
        <f t="array" ref="E7675">IFS(D7675&lt;=$G$3,'calculated data '!$A$3,D7675&lt;=$G$4,'calculated data '!$A$4,D7675&lt;=$G$6,'calculated data '!$A$5,D7675&gt;=$G$6,'calculated data '!$A$6)</f>
        <v>Target Market (Core IQR)</v>
      </c>
      <c r="F7675" s="10">
        <f t="shared" si="1"/>
        <v>0.05152797341</v>
      </c>
    </row>
    <row r="7676" ht="14.25" customHeight="1">
      <c r="A7676" s="2" t="s">
        <v>28</v>
      </c>
      <c r="B7676" s="2" t="s">
        <v>29</v>
      </c>
      <c r="C7676" s="2">
        <v>1993.0</v>
      </c>
      <c r="D7676" s="9">
        <v>27003.998</v>
      </c>
      <c r="E7676" s="10" t="str">
        <f t="array" ref="E7676">IFS(D7676&lt;=$G$3,'calculated data '!$A$3,D7676&lt;=$G$4,'calculated data '!$A$4,D7676&lt;=$G$6,'calculated data '!$A$5,D7676&gt;=$G$6,'calculated data '!$A$6)</f>
        <v>Target Market (Core IQR)</v>
      </c>
      <c r="F7676" s="10">
        <f t="shared" si="1"/>
        <v>0.05161762645</v>
      </c>
    </row>
    <row r="7677" ht="14.25" customHeight="1">
      <c r="A7677" s="2" t="s">
        <v>369</v>
      </c>
      <c r="B7677" s="2" t="s">
        <v>370</v>
      </c>
      <c r="C7677" s="2">
        <v>1969.0</v>
      </c>
      <c r="D7677" s="9">
        <v>27005.984</v>
      </c>
      <c r="E7677" s="10" t="str">
        <f t="array" ref="E7677">IFS(D7677&lt;=$G$3,'calculated data '!$A$3,D7677&lt;=$G$4,'calculated data '!$A$4,D7677&lt;=$G$6,'calculated data '!$A$5,D7677&gt;=$G$6,'calculated data '!$A$6)</f>
        <v>Target Market (Core IQR)</v>
      </c>
      <c r="F7677" s="10">
        <f t="shared" si="1"/>
        <v>0.05167019538</v>
      </c>
    </row>
    <row r="7678" ht="14.25" customHeight="1">
      <c r="A7678" s="2" t="s">
        <v>421</v>
      </c>
      <c r="B7678" s="2" t="s">
        <v>422</v>
      </c>
      <c r="C7678" s="2">
        <v>2004.0</v>
      </c>
      <c r="D7678" s="9">
        <v>27041.645</v>
      </c>
      <c r="E7678" s="10" t="str">
        <f t="array" ref="E7678">IFS(D7678&lt;=$G$3,'calculated data '!$A$3,D7678&lt;=$G$4,'calculated data '!$A$4,D7678&lt;=$G$6,'calculated data '!$A$5,D7678&gt;=$G$6,'calculated data '!$A$6)</f>
        <v>Target Market (Core IQR)</v>
      </c>
      <c r="F7678" s="10">
        <f t="shared" si="1"/>
        <v>0.05261413317</v>
      </c>
    </row>
    <row r="7679" ht="14.25" customHeight="1">
      <c r="A7679" s="2" t="s">
        <v>355</v>
      </c>
      <c r="B7679" s="2" t="s">
        <v>356</v>
      </c>
      <c r="C7679" s="2">
        <v>1998.0</v>
      </c>
      <c r="D7679" s="9">
        <v>27049.418</v>
      </c>
      <c r="E7679" s="10" t="str">
        <f t="array" ref="E7679">IFS(D7679&lt;=$G$3,'calculated data '!$A$3,D7679&lt;=$G$4,'calculated data '!$A$4,D7679&lt;=$G$6,'calculated data '!$A$5,D7679&gt;=$G$6,'calculated data '!$A$6)</f>
        <v>Target Market (Core IQR)</v>
      </c>
      <c r="F7679" s="10">
        <f t="shared" si="1"/>
        <v>0.05281988254</v>
      </c>
    </row>
    <row r="7680" ht="14.25" customHeight="1">
      <c r="A7680" s="2" t="s">
        <v>271</v>
      </c>
      <c r="B7680" s="2" t="s">
        <v>272</v>
      </c>
      <c r="C7680" s="2">
        <v>2002.0</v>
      </c>
      <c r="D7680" s="9">
        <v>27050.602</v>
      </c>
      <c r="E7680" s="10" t="str">
        <f t="array" ref="E7680">IFS(D7680&lt;=$G$3,'calculated data '!$A$3,D7680&lt;=$G$4,'calculated data '!$A$4,D7680&lt;=$G$6,'calculated data '!$A$5,D7680&gt;=$G$6,'calculated data '!$A$6)</f>
        <v>Target Market (Core IQR)</v>
      </c>
      <c r="F7680" s="10">
        <f t="shared" si="1"/>
        <v>0.05285122272</v>
      </c>
    </row>
    <row r="7681" ht="14.25" customHeight="1">
      <c r="A7681" s="2" t="s">
        <v>311</v>
      </c>
      <c r="B7681" s="2" t="s">
        <v>312</v>
      </c>
      <c r="C7681" s="2">
        <v>2017.0</v>
      </c>
      <c r="D7681" s="9">
        <v>27071.768</v>
      </c>
      <c r="E7681" s="10" t="str">
        <f t="array" ref="E7681">IFS(D7681&lt;=$G$3,'calculated data '!$A$3,D7681&lt;=$G$4,'calculated data '!$A$4,D7681&lt;=$G$6,'calculated data '!$A$5,D7681&gt;=$G$6,'calculated data '!$A$6)</f>
        <v>Target Market (Core IQR)</v>
      </c>
      <c r="F7681" s="10">
        <f t="shared" si="1"/>
        <v>0.05341148147</v>
      </c>
    </row>
    <row r="7682" ht="14.25" customHeight="1">
      <c r="A7682" s="2" t="s">
        <v>427</v>
      </c>
      <c r="B7682" s="2" t="s">
        <v>428</v>
      </c>
      <c r="C7682" s="2">
        <v>2008.0</v>
      </c>
      <c r="D7682" s="9">
        <v>27123.143</v>
      </c>
      <c r="E7682" s="10" t="str">
        <f t="array" ref="E7682">IFS(D7682&lt;=$G$3,'calculated data '!$A$3,D7682&lt;=$G$4,'calculated data '!$A$4,D7682&lt;=$G$6,'calculated data '!$A$5,D7682&gt;=$G$6,'calculated data '!$A$6)</f>
        <v>Target Market (Core IQR)</v>
      </c>
      <c r="F7682" s="10">
        <f t="shared" si="1"/>
        <v>0.05477136493</v>
      </c>
    </row>
    <row r="7683" ht="14.25" customHeight="1">
      <c r="A7683" s="2" t="s">
        <v>387</v>
      </c>
      <c r="B7683" s="2" t="s">
        <v>388</v>
      </c>
      <c r="C7683" s="2">
        <v>1992.0</v>
      </c>
      <c r="D7683" s="9">
        <v>27129.709</v>
      </c>
      <c r="E7683" s="10" t="str">
        <f t="array" ref="E7683">IFS(D7683&lt;=$G$3,'calculated data '!$A$3,D7683&lt;=$G$4,'calculated data '!$A$4,D7683&lt;=$G$6,'calculated data '!$A$5,D7683&gt;=$G$6,'calculated data '!$A$6)</f>
        <v>Target Market (Core IQR)</v>
      </c>
      <c r="F7683" s="10">
        <f t="shared" si="1"/>
        <v>0.05494516531</v>
      </c>
    </row>
    <row r="7684" ht="14.25" customHeight="1">
      <c r="A7684" s="2" t="s">
        <v>335</v>
      </c>
      <c r="B7684" s="2" t="s">
        <v>336</v>
      </c>
      <c r="C7684" s="2">
        <v>1991.0</v>
      </c>
      <c r="D7684" s="9">
        <v>27134.297</v>
      </c>
      <c r="E7684" s="10" t="str">
        <f t="array" ref="E7684">IFS(D7684&lt;=$G$3,'calculated data '!$A$3,D7684&lt;=$G$4,'calculated data '!$A$4,D7684&lt;=$G$6,'calculated data '!$A$5,D7684&gt;=$G$6,'calculated data '!$A$6)</f>
        <v>Target Market (Core IQR)</v>
      </c>
      <c r="F7684" s="10">
        <f t="shared" si="1"/>
        <v>0.05506660853</v>
      </c>
    </row>
    <row r="7685" ht="14.25" customHeight="1">
      <c r="A7685" s="2" t="s">
        <v>377</v>
      </c>
      <c r="B7685" s="2" t="s">
        <v>378</v>
      </c>
      <c r="C7685" s="2">
        <v>2013.0</v>
      </c>
      <c r="D7685" s="9">
        <v>27153.611</v>
      </c>
      <c r="E7685" s="10" t="str">
        <f t="array" ref="E7685">IFS(D7685&lt;=$G$3,'calculated data '!$A$3,D7685&lt;=$G$4,'calculated data '!$A$4,D7685&lt;=$G$6,'calculated data '!$A$5,D7685&gt;=$G$6,'calculated data '!$A$6)</f>
        <v>Target Market (Core IQR)</v>
      </c>
      <c r="F7685" s="10">
        <f t="shared" si="1"/>
        <v>0.0555778453</v>
      </c>
    </row>
    <row r="7686" ht="14.25" customHeight="1">
      <c r="A7686" s="2" t="s">
        <v>409</v>
      </c>
      <c r="B7686" s="2" t="s">
        <v>410</v>
      </c>
      <c r="C7686" s="2">
        <v>1977.0</v>
      </c>
      <c r="D7686" s="9">
        <v>27154.781</v>
      </c>
      <c r="E7686" s="10" t="str">
        <f t="array" ref="E7686">IFS(D7686&lt;=$G$3,'calculated data '!$A$3,D7686&lt;=$G$4,'calculated data '!$A$4,D7686&lt;=$G$6,'calculated data '!$A$5,D7686&gt;=$G$6,'calculated data '!$A$6)</f>
        <v>Target Market (Core IQR)</v>
      </c>
      <c r="F7686" s="10">
        <f t="shared" si="1"/>
        <v>0.05560881491</v>
      </c>
    </row>
    <row r="7687" ht="14.25" customHeight="1">
      <c r="A7687" s="2" t="s">
        <v>331</v>
      </c>
      <c r="B7687" s="2" t="s">
        <v>332</v>
      </c>
      <c r="C7687" s="2">
        <v>2019.0</v>
      </c>
      <c r="D7687" s="9">
        <v>27170.318</v>
      </c>
      <c r="E7687" s="10" t="str">
        <f t="array" ref="E7687">IFS(D7687&lt;=$G$3,'calculated data '!$A$3,D7687&lt;=$G$4,'calculated data '!$A$4,D7687&lt;=$G$6,'calculated data '!$A$5,D7687&gt;=$G$6,'calculated data '!$A$6)</f>
        <v>Target Market (Core IQR)</v>
      </c>
      <c r="F7687" s="10">
        <f t="shared" si="1"/>
        <v>0.05602007543</v>
      </c>
    </row>
    <row r="7688" ht="14.25" customHeight="1">
      <c r="A7688" s="2" t="s">
        <v>355</v>
      </c>
      <c r="B7688" s="2" t="s">
        <v>356</v>
      </c>
      <c r="C7688" s="2">
        <v>1992.0</v>
      </c>
      <c r="D7688" s="9">
        <v>27193.46</v>
      </c>
      <c r="E7688" s="10" t="str">
        <f t="array" ref="E7688">IFS(D7688&lt;=$G$3,'calculated data '!$A$3,D7688&lt;=$G$4,'calculated data '!$A$4,D7688&lt;=$G$6,'calculated data '!$A$5,D7688&gt;=$G$6,'calculated data '!$A$6)</f>
        <v>Target Market (Core IQR)</v>
      </c>
      <c r="F7688" s="10">
        <f t="shared" si="1"/>
        <v>0.0566326384</v>
      </c>
    </row>
    <row r="7689" ht="14.25" customHeight="1">
      <c r="A7689" s="2" t="s">
        <v>377</v>
      </c>
      <c r="B7689" s="2" t="s">
        <v>378</v>
      </c>
      <c r="C7689" s="2">
        <v>2023.0</v>
      </c>
      <c r="D7689" s="9">
        <v>27193.633</v>
      </c>
      <c r="E7689" s="10" t="str">
        <f t="array" ref="E7689">IFS(D7689&lt;=$G$3,'calculated data '!$A$3,D7689&lt;=$G$4,'calculated data '!$A$4,D7689&lt;=$G$6,'calculated data '!$A$5,D7689&gt;=$G$6,'calculated data '!$A$6)</f>
        <v>Target Market (Core IQR)</v>
      </c>
      <c r="F7689" s="10">
        <f t="shared" si="1"/>
        <v>0.05663721767</v>
      </c>
    </row>
    <row r="7690" ht="14.25" customHeight="1">
      <c r="A7690" s="2" t="s">
        <v>353</v>
      </c>
      <c r="B7690" s="2" t="s">
        <v>354</v>
      </c>
      <c r="C7690" s="2">
        <v>1974.0</v>
      </c>
      <c r="D7690" s="9">
        <v>27196.33</v>
      </c>
      <c r="E7690" s="10" t="str">
        <f t="array" ref="E7690">IFS(D7690&lt;=$G$3,'calculated data '!$A$3,D7690&lt;=$G$4,'calculated data '!$A$4,D7690&lt;=$G$6,'calculated data '!$A$5,D7690&gt;=$G$6,'calculated data '!$A$6)</f>
        <v>Target Market (Core IQR)</v>
      </c>
      <c r="F7690" s="10">
        <f t="shared" si="1"/>
        <v>0.05670860659</v>
      </c>
    </row>
    <row r="7691" ht="14.25" customHeight="1">
      <c r="A7691" s="2" t="s">
        <v>411</v>
      </c>
      <c r="B7691" s="2" t="s">
        <v>412</v>
      </c>
      <c r="C7691" s="2">
        <v>2025.0</v>
      </c>
      <c r="D7691" s="9">
        <v>27196.69</v>
      </c>
      <c r="E7691" s="10" t="str">
        <f t="array" ref="E7691">IFS(D7691&lt;=$G$3,'calculated data '!$A$3,D7691&lt;=$G$4,'calculated data '!$A$4,D7691&lt;=$G$6,'calculated data '!$A$5,D7691&gt;=$G$6,'calculated data '!$A$6)</f>
        <v>Target Market (Core IQR)</v>
      </c>
      <c r="F7691" s="10">
        <f t="shared" si="1"/>
        <v>0.0567181357</v>
      </c>
    </row>
    <row r="7692" ht="14.25" customHeight="1">
      <c r="A7692" s="2" t="s">
        <v>375</v>
      </c>
      <c r="B7692" s="2" t="s">
        <v>376</v>
      </c>
      <c r="C7692" s="2">
        <v>1976.0</v>
      </c>
      <c r="D7692" s="9">
        <v>27221.305</v>
      </c>
      <c r="E7692" s="10" t="str">
        <f t="array" ref="E7692">IFS(D7692&lt;=$G$3,'calculated data '!$A$3,D7692&lt;=$G$4,'calculated data '!$A$4,D7692&lt;=$G$6,'calculated data '!$A$5,D7692&gt;=$G$6,'calculated data '!$A$6)</f>
        <v>Target Market (Core IQR)</v>
      </c>
      <c r="F7692" s="10">
        <f t="shared" si="1"/>
        <v>0.05736968862</v>
      </c>
    </row>
    <row r="7693" ht="14.25" customHeight="1">
      <c r="A7693" s="2" t="s">
        <v>421</v>
      </c>
      <c r="B7693" s="2" t="s">
        <v>422</v>
      </c>
      <c r="C7693" s="2">
        <v>1968.0</v>
      </c>
      <c r="D7693" s="9">
        <v>27257.99</v>
      </c>
      <c r="E7693" s="10" t="str">
        <f t="array" ref="E7693">IFS(D7693&lt;=$G$3,'calculated data '!$A$3,D7693&lt;=$G$4,'calculated data '!$A$4,D7693&lt;=$G$6,'calculated data '!$A$5,D7693&gt;=$G$6,'calculated data '!$A$6)</f>
        <v>Target Market (Core IQR)</v>
      </c>
      <c r="F7693" s="10">
        <f t="shared" si="1"/>
        <v>0.05834073143</v>
      </c>
    </row>
    <row r="7694" ht="14.25" customHeight="1">
      <c r="A7694" s="2" t="s">
        <v>271</v>
      </c>
      <c r="B7694" s="2" t="s">
        <v>272</v>
      </c>
      <c r="C7694" s="2">
        <v>2005.0</v>
      </c>
      <c r="D7694" s="9">
        <v>27266.895</v>
      </c>
      <c r="E7694" s="10" t="str">
        <f t="array" ref="E7694">IFS(D7694&lt;=$G$3,'calculated data '!$A$3,D7694&lt;=$G$4,'calculated data '!$A$4,D7694&lt;=$G$6,'calculated data '!$A$5,D7694&gt;=$G$6,'calculated data '!$A$6)</f>
        <v>Target Market (Core IQR)</v>
      </c>
      <c r="F7694" s="10">
        <f t="shared" si="1"/>
        <v>0.05857644456</v>
      </c>
    </row>
    <row r="7695" ht="14.25" customHeight="1">
      <c r="A7695" s="2" t="s">
        <v>395</v>
      </c>
      <c r="B7695" s="2" t="s">
        <v>396</v>
      </c>
      <c r="C7695" s="2">
        <v>2021.0</v>
      </c>
      <c r="D7695" s="9">
        <v>27267.758</v>
      </c>
      <c r="E7695" s="10" t="str">
        <f t="array" ref="E7695">IFS(D7695&lt;=$G$3,'calculated data '!$A$3,D7695&lt;=$G$4,'calculated data '!$A$4,D7695&lt;=$G$6,'calculated data '!$A$5,D7695&gt;=$G$6,'calculated data '!$A$6)</f>
        <v>Target Market (Core IQR)</v>
      </c>
      <c r="F7695" s="10">
        <f t="shared" si="1"/>
        <v>0.05859928796</v>
      </c>
    </row>
    <row r="7696" ht="14.25" customHeight="1">
      <c r="A7696" s="2" t="s">
        <v>431</v>
      </c>
      <c r="B7696" s="2" t="s">
        <v>432</v>
      </c>
      <c r="C7696" s="2">
        <v>2011.0</v>
      </c>
      <c r="D7696" s="9">
        <v>27274.67</v>
      </c>
      <c r="E7696" s="10" t="str">
        <f t="array" ref="E7696">IFS(D7696&lt;=$G$3,'calculated data '!$A$3,D7696&lt;=$G$4,'calculated data '!$A$4,D7696&lt;=$G$6,'calculated data '!$A$5,D7696&gt;=$G$6,'calculated data '!$A$6)</f>
        <v>Target Market (Core IQR)</v>
      </c>
      <c r="F7696" s="10">
        <f t="shared" si="1"/>
        <v>0.05878224688</v>
      </c>
    </row>
    <row r="7697" ht="14.25" customHeight="1">
      <c r="A7697" s="2" t="s">
        <v>337</v>
      </c>
      <c r="B7697" s="2" t="s">
        <v>338</v>
      </c>
      <c r="C7697" s="2">
        <v>1993.0</v>
      </c>
      <c r="D7697" s="9">
        <v>27298.03</v>
      </c>
      <c r="E7697" s="10" t="str">
        <f t="array" ref="E7697">IFS(D7697&lt;=$G$3,'calculated data '!$A$3,D7697&lt;=$G$4,'calculated data '!$A$4,D7697&lt;=$G$6,'calculated data '!$A$5,D7697&gt;=$G$6,'calculated data '!$A$6)</f>
        <v>Target Market (Core IQR)</v>
      </c>
      <c r="F7697" s="10">
        <f t="shared" si="1"/>
        <v>0.05940058026</v>
      </c>
    </row>
    <row r="7698" ht="14.25" customHeight="1">
      <c r="A7698" s="2" t="s">
        <v>415</v>
      </c>
      <c r="B7698" s="2" t="s">
        <v>416</v>
      </c>
      <c r="C7698" s="2">
        <v>2021.0</v>
      </c>
      <c r="D7698" s="9">
        <v>27317.38</v>
      </c>
      <c r="E7698" s="10" t="str">
        <f t="array" ref="E7698">IFS(D7698&lt;=$G$3,'calculated data '!$A$3,D7698&lt;=$G$4,'calculated data '!$A$4,D7698&lt;=$G$6,'calculated data '!$A$5,D7698&gt;=$G$6,'calculated data '!$A$6)</f>
        <v>Target Market (Core IQR)</v>
      </c>
      <c r="F7698" s="10">
        <f t="shared" si="1"/>
        <v>0.05991276994</v>
      </c>
    </row>
    <row r="7699" ht="14.25" customHeight="1">
      <c r="A7699" s="2" t="s">
        <v>335</v>
      </c>
      <c r="B7699" s="2" t="s">
        <v>336</v>
      </c>
      <c r="C7699" s="2">
        <v>1993.0</v>
      </c>
      <c r="D7699" s="9">
        <v>27344.783</v>
      </c>
      <c r="E7699" s="10" t="str">
        <f t="array" ref="E7699">IFS(D7699&lt;=$G$3,'calculated data '!$A$3,D7699&lt;=$G$4,'calculated data '!$A$4,D7699&lt;=$G$6,'calculated data '!$A$5,D7699&gt;=$G$6,'calculated data '!$A$6)</f>
        <v>Target Market (Core IQR)</v>
      </c>
      <c r="F7699" s="10">
        <f t="shared" si="1"/>
        <v>0.06063812053</v>
      </c>
    </row>
    <row r="7700" ht="14.25" customHeight="1">
      <c r="A7700" s="2" t="s">
        <v>337</v>
      </c>
      <c r="B7700" s="2" t="s">
        <v>338</v>
      </c>
      <c r="C7700" s="2">
        <v>1991.0</v>
      </c>
      <c r="D7700" s="9">
        <v>27346.63</v>
      </c>
      <c r="E7700" s="10" t="str">
        <f t="array" ref="E7700">IFS(D7700&lt;=$G$3,'calculated data '!$A$3,D7700&lt;=$G$4,'calculated data '!$A$4,D7700&lt;=$G$6,'calculated data '!$A$5,D7700&gt;=$G$6,'calculated data '!$A$6)</f>
        <v>Target Market (Core IQR)</v>
      </c>
      <c r="F7700" s="10">
        <f t="shared" si="1"/>
        <v>0.06068701016</v>
      </c>
    </row>
    <row r="7701" ht="14.25" customHeight="1">
      <c r="A7701" s="2" t="s">
        <v>425</v>
      </c>
      <c r="B7701" s="2" t="s">
        <v>426</v>
      </c>
      <c r="C7701" s="2">
        <v>2022.0</v>
      </c>
      <c r="D7701" s="9">
        <v>27354.86</v>
      </c>
      <c r="E7701" s="10" t="str">
        <f t="array" ref="E7701">IFS(D7701&lt;=$G$3,'calculated data '!$A$3,D7701&lt;=$G$4,'calculated data '!$A$4,D7701&lt;=$G$6,'calculated data '!$A$5,D7701&gt;=$G$6,'calculated data '!$A$6)</f>
        <v>Target Market (Core IQR)</v>
      </c>
      <c r="F7701" s="10">
        <f t="shared" si="1"/>
        <v>0.06090485621</v>
      </c>
    </row>
    <row r="7702" ht="14.25" customHeight="1">
      <c r="A7702" s="2" t="s">
        <v>427</v>
      </c>
      <c r="B7702" s="2" t="s">
        <v>428</v>
      </c>
      <c r="C7702" s="2">
        <v>1997.0</v>
      </c>
      <c r="D7702" s="9">
        <v>27378.326</v>
      </c>
      <c r="E7702" s="10" t="str">
        <f t="array" ref="E7702">IFS(D7702&lt;=$G$3,'calculated data '!$A$3,D7702&lt;=$G$4,'calculated data '!$A$4,D7702&lt;=$G$6,'calculated data '!$A$5,D7702&gt;=$G$6,'calculated data '!$A$6)</f>
        <v>Target Market (Core IQR)</v>
      </c>
      <c r="F7702" s="10">
        <f t="shared" si="1"/>
        <v>0.06152599538</v>
      </c>
    </row>
    <row r="7703" ht="14.25" customHeight="1">
      <c r="A7703" s="2" t="s">
        <v>267</v>
      </c>
      <c r="B7703" s="2" t="s">
        <v>268</v>
      </c>
      <c r="C7703" s="2">
        <v>2018.0</v>
      </c>
      <c r="D7703" s="9">
        <v>27406.453</v>
      </c>
      <c r="E7703" s="10" t="str">
        <f t="array" ref="E7703">IFS(D7703&lt;=$G$3,'calculated data '!$A$3,D7703&lt;=$G$4,'calculated data '!$A$4,D7703&lt;=$G$6,'calculated data '!$A$5,D7703&gt;=$G$6,'calculated data '!$A$6)</f>
        <v>Target Market (Core IQR)</v>
      </c>
      <c r="F7703" s="10">
        <f t="shared" si="1"/>
        <v>0.06227051007</v>
      </c>
    </row>
    <row r="7704" ht="14.25" customHeight="1">
      <c r="A7704" s="2" t="s">
        <v>375</v>
      </c>
      <c r="B7704" s="2" t="s">
        <v>376</v>
      </c>
      <c r="C7704" s="2">
        <v>1994.0</v>
      </c>
      <c r="D7704" s="9">
        <v>27411.0</v>
      </c>
      <c r="E7704" s="10" t="str">
        <f t="array" ref="E7704">IFS(D7704&lt;=$G$3,'calculated data '!$A$3,D7704&lt;=$G$4,'calculated data '!$A$4,D7704&lt;=$G$6,'calculated data '!$A$5,D7704&gt;=$G$6,'calculated data '!$A$6)</f>
        <v>Target Market (Core IQR)</v>
      </c>
      <c r="F7704" s="10">
        <f t="shared" si="1"/>
        <v>0.06239086802</v>
      </c>
    </row>
    <row r="7705" ht="14.25" customHeight="1">
      <c r="A7705" s="2" t="s">
        <v>385</v>
      </c>
      <c r="B7705" s="2" t="s">
        <v>386</v>
      </c>
      <c r="C7705" s="2">
        <v>2010.0</v>
      </c>
      <c r="D7705" s="9">
        <v>27430.426</v>
      </c>
      <c r="E7705" s="10" t="str">
        <f t="array" ref="E7705">IFS(D7705&lt;=$G$3,'calculated data '!$A$3,D7705&lt;=$G$4,'calculated data '!$A$4,D7705&lt;=$G$6,'calculated data '!$A$5,D7705&gt;=$G$6,'calculated data '!$A$6)</f>
        <v>Target Market (Core IQR)</v>
      </c>
      <c r="F7705" s="10">
        <f t="shared" si="1"/>
        <v>0.0629050694</v>
      </c>
    </row>
    <row r="7706" ht="14.25" customHeight="1">
      <c r="A7706" s="2" t="s">
        <v>425</v>
      </c>
      <c r="B7706" s="2" t="s">
        <v>426</v>
      </c>
      <c r="C7706" s="2">
        <v>2020.0</v>
      </c>
      <c r="D7706" s="9">
        <v>27432.844</v>
      </c>
      <c r="E7706" s="10" t="str">
        <f t="array" ref="E7706">IFS(D7706&lt;=$G$3,'calculated data '!$A$3,D7706&lt;=$G$4,'calculated data '!$A$4,D7706&lt;=$G$6,'calculated data '!$A$5,D7706&gt;=$G$6,'calculated data '!$A$6)</f>
        <v>Target Market (Core IQR)</v>
      </c>
      <c r="F7706" s="10">
        <f t="shared" si="1"/>
        <v>0.06296907326</v>
      </c>
    </row>
    <row r="7707" ht="14.25" customHeight="1">
      <c r="A7707" s="2" t="s">
        <v>405</v>
      </c>
      <c r="B7707" s="2" t="s">
        <v>406</v>
      </c>
      <c r="C7707" s="2">
        <v>2013.0</v>
      </c>
      <c r="D7707" s="9">
        <v>27437.01</v>
      </c>
      <c r="E7707" s="10" t="str">
        <f t="array" ref="E7707">IFS(D7707&lt;=$G$3,'calculated data '!$A$3,D7707&lt;=$G$4,'calculated data '!$A$4,D7707&lt;=$G$6,'calculated data '!$A$5,D7707&gt;=$G$6,'calculated data '!$A$6)</f>
        <v>Target Market (Core IQR)</v>
      </c>
      <c r="F7707" s="10">
        <f t="shared" si="1"/>
        <v>0.06307934624</v>
      </c>
    </row>
    <row r="7708" ht="14.25" customHeight="1">
      <c r="A7708" s="2" t="s">
        <v>331</v>
      </c>
      <c r="B7708" s="2" t="s">
        <v>332</v>
      </c>
      <c r="C7708" s="2">
        <v>1991.0</v>
      </c>
      <c r="D7708" s="9">
        <v>27443.053</v>
      </c>
      <c r="E7708" s="10" t="str">
        <f t="array" ref="E7708">IFS(D7708&lt;=$G$3,'calculated data '!$A$3,D7708&lt;=$G$4,'calculated data '!$A$4,D7708&lt;=$G$6,'calculated data '!$A$5,D7708&gt;=$G$6,'calculated data '!$A$6)</f>
        <v>Target Market (Core IQR)</v>
      </c>
      <c r="F7708" s="10">
        <f t="shared" si="1"/>
        <v>0.06323930295</v>
      </c>
    </row>
    <row r="7709" ht="14.25" customHeight="1">
      <c r="A7709" s="2" t="s">
        <v>337</v>
      </c>
      <c r="B7709" s="2" t="s">
        <v>338</v>
      </c>
      <c r="C7709" s="2">
        <v>1996.0</v>
      </c>
      <c r="D7709" s="9">
        <v>27444.008</v>
      </c>
      <c r="E7709" s="10" t="str">
        <f t="array" ref="E7709">IFS(D7709&lt;=$G$3,'calculated data '!$A$3,D7709&lt;=$G$4,'calculated data '!$A$4,D7709&lt;=$G$6,'calculated data '!$A$5,D7709&gt;=$G$6,'calculated data '!$A$6)</f>
        <v>Target Market (Core IQR)</v>
      </c>
      <c r="F7709" s="10">
        <f t="shared" si="1"/>
        <v>0.06326458156</v>
      </c>
    </row>
    <row r="7710" ht="14.25" customHeight="1">
      <c r="A7710" s="2" t="s">
        <v>417</v>
      </c>
      <c r="B7710" s="2" t="s">
        <v>418</v>
      </c>
      <c r="C7710" s="2">
        <v>1968.0</v>
      </c>
      <c r="D7710" s="9">
        <v>27444.906</v>
      </c>
      <c r="E7710" s="10" t="str">
        <f t="array" ref="E7710">IFS(D7710&lt;=$G$3,'calculated data '!$A$3,D7710&lt;=$G$4,'calculated data '!$A$4,D7710&lt;=$G$6,'calculated data '!$A$5,D7710&gt;=$G$6,'calculated data '!$A$6)</f>
        <v>Target Market (Core IQR)</v>
      </c>
      <c r="F7710" s="10">
        <f t="shared" si="1"/>
        <v>0.0632883514</v>
      </c>
    </row>
    <row r="7711" ht="14.25" customHeight="1">
      <c r="A7711" s="2" t="s">
        <v>355</v>
      </c>
      <c r="B7711" s="2" t="s">
        <v>356</v>
      </c>
      <c r="C7711" s="2">
        <v>1986.0</v>
      </c>
      <c r="D7711" s="9">
        <v>27450.512</v>
      </c>
      <c r="E7711" s="10" t="str">
        <f t="array" ref="E7711">IFS(D7711&lt;=$G$3,'calculated data '!$A$3,D7711&lt;=$G$4,'calculated data '!$A$4,D7711&lt;=$G$6,'calculated data '!$A$5,D7711&gt;=$G$6,'calculated data '!$A$6)</f>
        <v>Target Market (Core IQR)</v>
      </c>
      <c r="F7711" s="10">
        <f t="shared" si="1"/>
        <v>0.06343674082</v>
      </c>
    </row>
    <row r="7712" ht="14.25" customHeight="1">
      <c r="A7712" s="2" t="s">
        <v>405</v>
      </c>
      <c r="B7712" s="2" t="s">
        <v>406</v>
      </c>
      <c r="C7712" s="2">
        <v>2019.0</v>
      </c>
      <c r="D7712" s="9">
        <v>27454.725</v>
      </c>
      <c r="E7712" s="10" t="str">
        <f t="array" ref="E7712">IFS(D7712&lt;=$G$3,'calculated data '!$A$3,D7712&lt;=$G$4,'calculated data '!$A$4,D7712&lt;=$G$6,'calculated data '!$A$5,D7712&gt;=$G$6,'calculated data '!$A$6)</f>
        <v>Target Market (Core IQR)</v>
      </c>
      <c r="F7712" s="10">
        <f t="shared" si="1"/>
        <v>0.06354825788</v>
      </c>
    </row>
    <row r="7713" ht="14.25" customHeight="1">
      <c r="A7713" s="2" t="s">
        <v>371</v>
      </c>
      <c r="B7713" s="2" t="s">
        <v>372</v>
      </c>
      <c r="C7713" s="2">
        <v>1983.0</v>
      </c>
      <c r="D7713" s="9">
        <v>27457.875</v>
      </c>
      <c r="E7713" s="10" t="str">
        <f t="array" ref="E7713">IFS(D7713&lt;=$G$3,'calculated data '!$A$3,D7713&lt;=$G$4,'calculated data '!$A$4,D7713&lt;=$G$6,'calculated data '!$A$5,D7713&gt;=$G$6,'calculated data '!$A$6)</f>
        <v>Target Market (Core IQR)</v>
      </c>
      <c r="F7713" s="10">
        <f t="shared" si="1"/>
        <v>0.0636316376</v>
      </c>
    </row>
    <row r="7714" ht="14.25" customHeight="1">
      <c r="A7714" s="2" t="s">
        <v>379</v>
      </c>
      <c r="B7714" s="2" t="s">
        <v>380</v>
      </c>
      <c r="C7714" s="2">
        <v>1991.0</v>
      </c>
      <c r="D7714" s="9">
        <v>27462.105</v>
      </c>
      <c r="E7714" s="10" t="str">
        <f t="array" ref="E7714">IFS(D7714&lt;=$G$3,'calculated data '!$A$3,D7714&lt;=$G$4,'calculated data '!$A$4,D7714&lt;=$G$6,'calculated data '!$A$5,D7714&gt;=$G$6,'calculated data '!$A$6)</f>
        <v>Target Market (Core IQR)</v>
      </c>
      <c r="F7714" s="10">
        <f t="shared" si="1"/>
        <v>0.06374360464</v>
      </c>
    </row>
    <row r="7715" ht="14.25" customHeight="1">
      <c r="A7715" s="2" t="s">
        <v>421</v>
      </c>
      <c r="B7715" s="2" t="s">
        <v>422</v>
      </c>
      <c r="C7715" s="2">
        <v>2024.0</v>
      </c>
      <c r="D7715" s="9">
        <v>27477.623</v>
      </c>
      <c r="E7715" s="10" t="str">
        <f t="array" ref="E7715">IFS(D7715&lt;=$G$3,'calculated data '!$A$3,D7715&lt;=$G$4,'calculated data '!$A$4,D7715&lt;=$G$6,'calculated data '!$A$5,D7715&gt;=$G$6,'calculated data '!$A$6)</f>
        <v>Target Market (Core IQR)</v>
      </c>
      <c r="F7715" s="10">
        <f t="shared" si="1"/>
        <v>0.06415436224</v>
      </c>
    </row>
    <row r="7716" ht="14.25" customHeight="1">
      <c r="A7716" s="2" t="s">
        <v>371</v>
      </c>
      <c r="B7716" s="2" t="s">
        <v>372</v>
      </c>
      <c r="C7716" s="2">
        <v>1972.0</v>
      </c>
      <c r="D7716" s="9">
        <v>27488.92</v>
      </c>
      <c r="E7716" s="10" t="str">
        <f t="array" ref="E7716">IFS(D7716&lt;=$G$3,'calculated data '!$A$3,D7716&lt;=$G$4,'calculated data '!$A$4,D7716&lt;=$G$6,'calculated data '!$A$5,D7716&gt;=$G$6,'calculated data '!$A$6)</f>
        <v>Target Market (Core IQR)</v>
      </c>
      <c r="F7716" s="10">
        <f t="shared" si="1"/>
        <v>0.06445339102</v>
      </c>
    </row>
    <row r="7717" ht="14.25" customHeight="1">
      <c r="A7717" s="2" t="s">
        <v>375</v>
      </c>
      <c r="B7717" s="2" t="s">
        <v>376</v>
      </c>
      <c r="C7717" s="2">
        <v>2022.0</v>
      </c>
      <c r="D7717" s="9">
        <v>27489.441</v>
      </c>
      <c r="E7717" s="10" t="str">
        <f t="array" ref="E7717">IFS(D7717&lt;=$G$3,'calculated data '!$A$3,D7717&lt;=$G$4,'calculated data '!$A$4,D7717&lt;=$G$6,'calculated data '!$A$5,D7717&gt;=$G$6,'calculated data '!$A$6)</f>
        <v>Target Market (Core IQR)</v>
      </c>
      <c r="F7717" s="10">
        <f t="shared" si="1"/>
        <v>0.06446718176</v>
      </c>
    </row>
    <row r="7718" ht="14.25" customHeight="1">
      <c r="A7718" s="2" t="s">
        <v>387</v>
      </c>
      <c r="B7718" s="2" t="s">
        <v>388</v>
      </c>
      <c r="C7718" s="2">
        <v>1991.0</v>
      </c>
      <c r="D7718" s="9">
        <v>27490.848</v>
      </c>
      <c r="E7718" s="10" t="str">
        <f t="array" ref="E7718">IFS(D7718&lt;=$G$3,'calculated data '!$A$3,D7718&lt;=$G$4,'calculated data '!$A$4,D7718&lt;=$G$6,'calculated data '!$A$5,D7718&gt;=$G$6,'calculated data '!$A$6)</f>
        <v>Target Market (Core IQR)</v>
      </c>
      <c r="F7718" s="10">
        <f t="shared" si="1"/>
        <v>0.0645044247</v>
      </c>
    </row>
    <row r="7719" ht="14.25" customHeight="1">
      <c r="A7719" s="2" t="s">
        <v>375</v>
      </c>
      <c r="B7719" s="2" t="s">
        <v>376</v>
      </c>
      <c r="C7719" s="2">
        <v>2011.0</v>
      </c>
      <c r="D7719" s="9">
        <v>27520.873</v>
      </c>
      <c r="E7719" s="10" t="str">
        <f t="array" ref="E7719">IFS(D7719&lt;=$G$3,'calculated data '!$A$3,D7719&lt;=$G$4,'calculated data '!$A$4,D7719&lt;=$G$6,'calculated data '!$A$5,D7719&gt;=$G$6,'calculated data '!$A$6)</f>
        <v>Target Market (Core IQR)</v>
      </c>
      <c r="F7719" s="10">
        <f t="shared" si="1"/>
        <v>0.06529917897</v>
      </c>
    </row>
    <row r="7720" ht="14.25" customHeight="1">
      <c r="A7720" s="2" t="s">
        <v>28</v>
      </c>
      <c r="B7720" s="2" t="s">
        <v>29</v>
      </c>
      <c r="C7720" s="2">
        <v>1997.0</v>
      </c>
      <c r="D7720" s="9">
        <v>27528.705</v>
      </c>
      <c r="E7720" s="10" t="str">
        <f t="array" ref="E7720">IFS(D7720&lt;=$G$3,'calculated data '!$A$3,D7720&lt;=$G$4,'calculated data '!$A$4,D7720&lt;=$G$6,'calculated data '!$A$5,D7720&gt;=$G$6,'calculated data '!$A$6)</f>
        <v>Target Market (Core IQR)</v>
      </c>
      <c r="F7720" s="10">
        <f t="shared" si="1"/>
        <v>0.06550649006</v>
      </c>
    </row>
    <row r="7721" ht="14.25" customHeight="1">
      <c r="A7721" s="2" t="s">
        <v>409</v>
      </c>
      <c r="B7721" s="2" t="s">
        <v>410</v>
      </c>
      <c r="C7721" s="2">
        <v>1982.0</v>
      </c>
      <c r="D7721" s="9">
        <v>27540.297</v>
      </c>
      <c r="E7721" s="10" t="str">
        <f t="array" ref="E7721">IFS(D7721&lt;=$G$3,'calculated data '!$A$3,D7721&lt;=$G$4,'calculated data '!$A$4,D7721&lt;=$G$6,'calculated data '!$A$5,D7721&gt;=$G$6,'calculated data '!$A$6)</f>
        <v>Target Market (Core IQR)</v>
      </c>
      <c r="F7721" s="10">
        <f t="shared" si="1"/>
        <v>0.06581332741</v>
      </c>
    </row>
    <row r="7722" ht="14.25" customHeight="1">
      <c r="A7722" s="2" t="s">
        <v>371</v>
      </c>
      <c r="B7722" s="2" t="s">
        <v>372</v>
      </c>
      <c r="C7722" s="2">
        <v>1975.0</v>
      </c>
      <c r="D7722" s="9">
        <v>27541.38</v>
      </c>
      <c r="E7722" s="10" t="str">
        <f t="array" ref="E7722">IFS(D7722&lt;=$G$3,'calculated data '!$A$3,D7722&lt;=$G$4,'calculated data '!$A$4,D7722&lt;=$G$6,'calculated data '!$A$5,D7722&gt;=$G$6,'calculated data '!$A$6)</f>
        <v>Target Market (Core IQR)</v>
      </c>
      <c r="F7722" s="10">
        <f t="shared" si="1"/>
        <v>0.06584199415</v>
      </c>
    </row>
    <row r="7723" ht="14.25" customHeight="1">
      <c r="A7723" s="2" t="s">
        <v>377</v>
      </c>
      <c r="B7723" s="2" t="s">
        <v>378</v>
      </c>
      <c r="C7723" s="2">
        <v>2024.0</v>
      </c>
      <c r="D7723" s="9">
        <v>27541.82</v>
      </c>
      <c r="E7723" s="10" t="str">
        <f t="array" ref="E7723">IFS(D7723&lt;=$G$3,'calculated data '!$A$3,D7723&lt;=$G$4,'calculated data '!$A$4,D7723&lt;=$G$6,'calculated data '!$A$5,D7723&gt;=$G$6,'calculated data '!$A$6)</f>
        <v>Target Market (Core IQR)</v>
      </c>
      <c r="F7723" s="10">
        <f t="shared" si="1"/>
        <v>0.06585364084</v>
      </c>
    </row>
    <row r="7724" ht="14.25" customHeight="1">
      <c r="A7724" s="2" t="s">
        <v>405</v>
      </c>
      <c r="B7724" s="2" t="s">
        <v>406</v>
      </c>
      <c r="C7724" s="2">
        <v>2021.0</v>
      </c>
      <c r="D7724" s="9">
        <v>27542.607</v>
      </c>
      <c r="E7724" s="10" t="str">
        <f t="array" ref="E7724">IFS(D7724&lt;=$G$3,'calculated data '!$A$3,D7724&lt;=$G$4,'calculated data '!$A$4,D7724&lt;=$G$6,'calculated data '!$A$5,D7724&gt;=$G$6,'calculated data '!$A$6)</f>
        <v>Target Market (Core IQR)</v>
      </c>
      <c r="F7724" s="10">
        <f t="shared" si="1"/>
        <v>0.06587447253</v>
      </c>
    </row>
    <row r="7725" ht="14.25" customHeight="1">
      <c r="A7725" s="2" t="s">
        <v>355</v>
      </c>
      <c r="B7725" s="2" t="s">
        <v>356</v>
      </c>
      <c r="C7725" s="2">
        <v>1997.0</v>
      </c>
      <c r="D7725" s="9">
        <v>27550.2</v>
      </c>
      <c r="E7725" s="10" t="str">
        <f t="array" ref="E7725">IFS(D7725&lt;=$G$3,'calculated data '!$A$3,D7725&lt;=$G$4,'calculated data '!$A$4,D7725&lt;=$G$6,'calculated data '!$A$5,D7725&gt;=$G$6,'calculated data '!$A$6)</f>
        <v>Target Market (Core IQR)</v>
      </c>
      <c r="F7725" s="10">
        <f t="shared" si="1"/>
        <v>0.06607545735</v>
      </c>
    </row>
    <row r="7726" ht="14.25" customHeight="1">
      <c r="A7726" s="2" t="s">
        <v>355</v>
      </c>
      <c r="B7726" s="2" t="s">
        <v>356</v>
      </c>
      <c r="C7726" s="2">
        <v>2015.0</v>
      </c>
      <c r="D7726" s="9">
        <v>27560.371</v>
      </c>
      <c r="E7726" s="10" t="str">
        <f t="array" ref="E7726">IFS(D7726&lt;=$G$3,'calculated data '!$A$3,D7726&lt;=$G$4,'calculated data '!$A$4,D7726&lt;=$G$6,'calculated data '!$A$5,D7726&gt;=$G$6,'calculated data '!$A$6)</f>
        <v>Target Market (Core IQR)</v>
      </c>
      <c r="F7726" s="10">
        <f t="shared" si="1"/>
        <v>0.06634468119</v>
      </c>
    </row>
    <row r="7727" ht="14.25" customHeight="1">
      <c r="A7727" s="2" t="s">
        <v>379</v>
      </c>
      <c r="B7727" s="2" t="s">
        <v>380</v>
      </c>
      <c r="C7727" s="2">
        <v>1988.0</v>
      </c>
      <c r="D7727" s="9">
        <v>27574.135</v>
      </c>
      <c r="E7727" s="10" t="str">
        <f t="array" ref="E7727">IFS(D7727&lt;=$G$3,'calculated data '!$A$3,D7727&lt;=$G$4,'calculated data '!$A$4,D7727&lt;=$G$6,'calculated data '!$A$5,D7727&gt;=$G$6,'calculated data '!$A$6)</f>
        <v>Target Market (Core IQR)</v>
      </c>
      <c r="F7727" s="10">
        <f t="shared" si="1"/>
        <v>0.06670901084</v>
      </c>
    </row>
    <row r="7728" ht="14.25" customHeight="1">
      <c r="A7728" s="2" t="s">
        <v>419</v>
      </c>
      <c r="B7728" s="2" t="s">
        <v>420</v>
      </c>
      <c r="C7728" s="2">
        <v>1994.0</v>
      </c>
      <c r="D7728" s="9">
        <v>27581.8</v>
      </c>
      <c r="E7728" s="10" t="str">
        <f t="array" ref="E7728">IFS(D7728&lt;=$G$3,'calculated data '!$A$3,D7728&lt;=$G$4,'calculated data '!$A$4,D7728&lt;=$G$6,'calculated data '!$A$5,D7728&gt;=$G$6,'calculated data '!$A$6)</f>
        <v>Target Market (Core IQR)</v>
      </c>
      <c r="F7728" s="10">
        <f t="shared" si="1"/>
        <v>0.06691190148</v>
      </c>
    </row>
    <row r="7729" ht="14.25" customHeight="1">
      <c r="A7729" s="2" t="s">
        <v>437</v>
      </c>
      <c r="B7729" s="2" t="s">
        <v>438</v>
      </c>
      <c r="C7729" s="2">
        <v>1965.0</v>
      </c>
      <c r="D7729" s="9">
        <v>27582.633</v>
      </c>
      <c r="E7729" s="10" t="str">
        <f t="array" ref="E7729">IFS(D7729&lt;=$G$3,'calculated data '!$A$3,D7729&lt;=$G$4,'calculated data '!$A$4,D7729&lt;=$G$6,'calculated data '!$A$5,D7729&gt;=$G$6,'calculated data '!$A$6)</f>
        <v>Target Market (Core IQR)</v>
      </c>
      <c r="F7729" s="10">
        <f t="shared" si="1"/>
        <v>0.06693395079</v>
      </c>
    </row>
    <row r="7730" ht="14.25" customHeight="1">
      <c r="A7730" s="2" t="s">
        <v>355</v>
      </c>
      <c r="B7730" s="2" t="s">
        <v>356</v>
      </c>
      <c r="C7730" s="2">
        <v>2002.0</v>
      </c>
      <c r="D7730" s="9">
        <v>27583.533</v>
      </c>
      <c r="E7730" s="10" t="str">
        <f t="array" ref="E7730">IFS(D7730&lt;=$G$3,'calculated data '!$A$3,D7730&lt;=$G$4,'calculated data '!$A$4,D7730&lt;=$G$6,'calculated data '!$A$5,D7730&gt;=$G$6,'calculated data '!$A$6)</f>
        <v>Target Market (Core IQR)</v>
      </c>
      <c r="F7730" s="10">
        <f t="shared" si="1"/>
        <v>0.06695777356</v>
      </c>
    </row>
    <row r="7731" ht="14.25" customHeight="1">
      <c r="A7731" s="2" t="s">
        <v>431</v>
      </c>
      <c r="B7731" s="2" t="s">
        <v>432</v>
      </c>
      <c r="C7731" s="2">
        <v>2015.0</v>
      </c>
      <c r="D7731" s="9">
        <v>27587.34</v>
      </c>
      <c r="E7731" s="10" t="str">
        <f t="array" ref="E7731">IFS(D7731&lt;=$G$3,'calculated data '!$A$3,D7731&lt;=$G$4,'calculated data '!$A$4,D7731&lt;=$G$6,'calculated data '!$A$5,D7731&gt;=$G$6,'calculated data '!$A$6)</f>
        <v>Target Market (Core IQR)</v>
      </c>
      <c r="F7731" s="10">
        <f t="shared" si="1"/>
        <v>0.0670585439</v>
      </c>
    </row>
    <row r="7732" ht="14.25" customHeight="1">
      <c r="A7732" s="2" t="s">
        <v>371</v>
      </c>
      <c r="B7732" s="2" t="s">
        <v>372</v>
      </c>
      <c r="C7732" s="2">
        <v>2022.0</v>
      </c>
      <c r="D7732" s="9">
        <v>27597.16</v>
      </c>
      <c r="E7732" s="10" t="str">
        <f t="array" ref="E7732">IFS(D7732&lt;=$G$3,'calculated data '!$A$3,D7732&lt;=$G$4,'calculated data '!$A$4,D7732&lt;=$G$6,'calculated data '!$A$5,D7732&gt;=$G$6,'calculated data '!$A$6)</f>
        <v>Target Market (Core IQR)</v>
      </c>
      <c r="F7732" s="10">
        <f t="shared" si="1"/>
        <v>0.06731847686</v>
      </c>
    </row>
    <row r="7733" ht="14.25" customHeight="1">
      <c r="A7733" s="2" t="s">
        <v>375</v>
      </c>
      <c r="B7733" s="2" t="s">
        <v>376</v>
      </c>
      <c r="C7733" s="2">
        <v>1993.0</v>
      </c>
      <c r="D7733" s="9">
        <v>27599.7</v>
      </c>
      <c r="E7733" s="10" t="str">
        <f t="array" ref="E7733">IFS(D7733&lt;=$G$3,'calculated data '!$A$3,D7733&lt;=$G$4,'calculated data '!$A$4,D7733&lt;=$G$6,'calculated data '!$A$5,D7733&gt;=$G$6,'calculated data '!$A$6)</f>
        <v>Target Market (Core IQR)</v>
      </c>
      <c r="F7733" s="10">
        <f t="shared" si="1"/>
        <v>0.06738571002</v>
      </c>
    </row>
    <row r="7734" ht="14.25" customHeight="1">
      <c r="A7734" s="2" t="s">
        <v>337</v>
      </c>
      <c r="B7734" s="2" t="s">
        <v>338</v>
      </c>
      <c r="C7734" s="2">
        <v>1989.0</v>
      </c>
      <c r="D7734" s="9">
        <v>27631.094</v>
      </c>
      <c r="E7734" s="10" t="str">
        <f t="array" ref="E7734">IFS(D7734&lt;=$G$3,'calculated data '!$A$3,D7734&lt;=$G$4,'calculated data '!$A$4,D7734&lt;=$G$6,'calculated data '!$A$5,D7734&gt;=$G$6,'calculated data '!$A$6)</f>
        <v>Target Market (Core IQR)</v>
      </c>
      <c r="F7734" s="10">
        <f t="shared" si="1"/>
        <v>0.06821670139</v>
      </c>
    </row>
    <row r="7735" ht="14.25" customHeight="1">
      <c r="A7735" s="2" t="s">
        <v>337</v>
      </c>
      <c r="B7735" s="2" t="s">
        <v>338</v>
      </c>
      <c r="C7735" s="2">
        <v>1995.0</v>
      </c>
      <c r="D7735" s="9">
        <v>27636.34</v>
      </c>
      <c r="E7735" s="10" t="str">
        <f t="array" ref="E7735">IFS(D7735&lt;=$G$3,'calculated data '!$A$3,D7735&lt;=$G$4,'calculated data '!$A$4,D7735&lt;=$G$6,'calculated data '!$A$5,D7735&gt;=$G$6,'calculated data '!$A$6)</f>
        <v>Target Market (Core IQR)</v>
      </c>
      <c r="F7735" s="10">
        <f t="shared" si="1"/>
        <v>0.0683555617</v>
      </c>
    </row>
    <row r="7736" ht="14.25" customHeight="1">
      <c r="A7736" s="2" t="s">
        <v>421</v>
      </c>
      <c r="B7736" s="2" t="s">
        <v>422</v>
      </c>
      <c r="C7736" s="2">
        <v>2023.0</v>
      </c>
      <c r="D7736" s="9">
        <v>27638.25</v>
      </c>
      <c r="E7736" s="10" t="str">
        <f t="array" ref="E7736">IFS(D7736&lt;=$G$3,'calculated data '!$A$3,D7736&lt;=$G$4,'calculated data '!$A$4,D7736&lt;=$G$6,'calculated data '!$A$5,D7736&gt;=$G$6,'calculated data '!$A$6)</f>
        <v>Target Market (Core IQR)</v>
      </c>
      <c r="F7736" s="10">
        <f t="shared" si="1"/>
        <v>0.06840611892</v>
      </c>
    </row>
    <row r="7737" ht="14.25" customHeight="1">
      <c r="A7737" s="2" t="s">
        <v>371</v>
      </c>
      <c r="B7737" s="2" t="s">
        <v>372</v>
      </c>
      <c r="C7737" s="2">
        <v>2014.0</v>
      </c>
      <c r="D7737" s="9">
        <v>27644.438</v>
      </c>
      <c r="E7737" s="10" t="str">
        <f t="array" ref="E7737">IFS(D7737&lt;=$G$3,'calculated data '!$A$3,D7737&lt;=$G$4,'calculated data '!$A$4,D7737&lt;=$G$6,'calculated data '!$A$5,D7737&gt;=$G$6,'calculated data '!$A$6)</f>
        <v>Target Market (Core IQR)</v>
      </c>
      <c r="F7737" s="10">
        <f t="shared" si="1"/>
        <v>0.06856991374</v>
      </c>
    </row>
    <row r="7738" ht="14.25" customHeight="1">
      <c r="A7738" s="2" t="s">
        <v>421</v>
      </c>
      <c r="B7738" s="2" t="s">
        <v>422</v>
      </c>
      <c r="C7738" s="2">
        <v>1999.0</v>
      </c>
      <c r="D7738" s="9">
        <v>27647.96</v>
      </c>
      <c r="E7738" s="10" t="str">
        <f t="array" ref="E7738">IFS(D7738&lt;=$G$3,'calculated data '!$A$3,D7738&lt;=$G$4,'calculated data '!$A$4,D7738&lt;=$G$6,'calculated data '!$A$5,D7738&gt;=$G$6,'calculated data '!$A$6)</f>
        <v>Target Market (Core IQR)</v>
      </c>
      <c r="F7738" s="10">
        <f t="shared" si="1"/>
        <v>0.0686631402</v>
      </c>
    </row>
    <row r="7739" ht="14.25" customHeight="1">
      <c r="A7739" s="2" t="s">
        <v>221</v>
      </c>
      <c r="B7739" s="2" t="s">
        <v>222</v>
      </c>
      <c r="C7739" s="2">
        <v>1991.0</v>
      </c>
      <c r="D7739" s="9">
        <v>27655.045</v>
      </c>
      <c r="E7739" s="10" t="str">
        <f t="array" ref="E7739">IFS(D7739&lt;=$G$3,'calculated data '!$A$3,D7739&lt;=$G$4,'calculated data '!$A$4,D7739&lt;=$G$6,'calculated data '!$A$5,D7739&gt;=$G$6,'calculated data '!$A$6)</f>
        <v>Target Market (Core IQR)</v>
      </c>
      <c r="F7739" s="10">
        <f t="shared" si="1"/>
        <v>0.06885067839</v>
      </c>
    </row>
    <row r="7740" ht="14.25" customHeight="1">
      <c r="A7740" s="2" t="s">
        <v>295</v>
      </c>
      <c r="B7740" s="2" t="s">
        <v>296</v>
      </c>
      <c r="C7740" s="2">
        <v>2024.0</v>
      </c>
      <c r="D7740" s="9">
        <v>27656.611</v>
      </c>
      <c r="E7740" s="10" t="str">
        <f t="array" ref="E7740">IFS(D7740&lt;=$G$3,'calculated data '!$A$3,D7740&lt;=$G$4,'calculated data '!$A$4,D7740&lt;=$G$6,'calculated data '!$A$5,D7740&gt;=$G$6,'calculated data '!$A$6)</f>
        <v>Target Market (Core IQR)</v>
      </c>
      <c r="F7740" s="10">
        <f t="shared" si="1"/>
        <v>0.06889213002</v>
      </c>
    </row>
    <row r="7741" ht="14.25" customHeight="1">
      <c r="A7741" s="2" t="s">
        <v>331</v>
      </c>
      <c r="B7741" s="2" t="s">
        <v>332</v>
      </c>
      <c r="C7741" s="2">
        <v>1990.0</v>
      </c>
      <c r="D7741" s="9">
        <v>27671.88</v>
      </c>
      <c r="E7741" s="10" t="str">
        <f t="array" ref="E7741">IFS(D7741&lt;=$G$3,'calculated data '!$A$3,D7741&lt;=$G$4,'calculated data '!$A$4,D7741&lt;=$G$6,'calculated data '!$A$5,D7741&gt;=$G$6,'calculated data '!$A$6)</f>
        <v>Target Market (Core IQR)</v>
      </c>
      <c r="F7741" s="10">
        <f t="shared" si="1"/>
        <v>0.06929629665</v>
      </c>
    </row>
    <row r="7742" ht="14.25" customHeight="1">
      <c r="A7742" s="2" t="s">
        <v>337</v>
      </c>
      <c r="B7742" s="2" t="s">
        <v>338</v>
      </c>
      <c r="C7742" s="2">
        <v>2021.0</v>
      </c>
      <c r="D7742" s="9">
        <v>27693.805</v>
      </c>
      <c r="E7742" s="10" t="str">
        <f t="array" ref="E7742">IFS(D7742&lt;=$G$3,'calculated data '!$A$3,D7742&lt;=$G$4,'calculated data '!$A$4,D7742&lt;=$G$6,'calculated data '!$A$5,D7742&gt;=$G$6,'calculated data '!$A$6)</f>
        <v>Target Market (Core IQR)</v>
      </c>
      <c r="F7742" s="10">
        <f t="shared" si="1"/>
        <v>0.06987664594</v>
      </c>
    </row>
    <row r="7743" ht="14.25" customHeight="1">
      <c r="A7743" s="2" t="s">
        <v>425</v>
      </c>
      <c r="B7743" s="2" t="s">
        <v>426</v>
      </c>
      <c r="C7743" s="2">
        <v>2021.0</v>
      </c>
      <c r="D7743" s="9">
        <v>27696.584</v>
      </c>
      <c r="E7743" s="10" t="str">
        <f t="array" ref="E7743">IFS(D7743&lt;=$G$3,'calculated data '!$A$3,D7743&lt;=$G$4,'calculated data '!$A$4,D7743&lt;=$G$6,'calculated data '!$A$5,D7743&gt;=$G$6,'calculated data '!$A$6)</f>
        <v>Target Market (Core IQR)</v>
      </c>
      <c r="F7743" s="10">
        <f t="shared" si="1"/>
        <v>0.06995020537</v>
      </c>
    </row>
    <row r="7744" ht="14.25" customHeight="1">
      <c r="A7744" s="2" t="s">
        <v>433</v>
      </c>
      <c r="B7744" s="2" t="s">
        <v>434</v>
      </c>
      <c r="C7744" s="2">
        <v>1967.0</v>
      </c>
      <c r="D7744" s="9">
        <v>27703.166</v>
      </c>
      <c r="E7744" s="10" t="str">
        <f t="array" ref="E7744">IFS(D7744&lt;=$G$3,'calculated data '!$A$3,D7744&lt;=$G$4,'calculated data '!$A$4,D7744&lt;=$G$6,'calculated data '!$A$5,D7744&gt;=$G$6,'calculated data '!$A$6)</f>
        <v>Target Market (Core IQR)</v>
      </c>
      <c r="F7744" s="10">
        <f t="shared" si="1"/>
        <v>0.07012442927</v>
      </c>
    </row>
    <row r="7745" ht="14.25" customHeight="1">
      <c r="A7745" s="2" t="s">
        <v>331</v>
      </c>
      <c r="B7745" s="2" t="s">
        <v>332</v>
      </c>
      <c r="C7745" s="2">
        <v>2013.0</v>
      </c>
      <c r="D7745" s="9">
        <v>27706.56</v>
      </c>
      <c r="E7745" s="10" t="str">
        <f t="array" ref="E7745">IFS(D7745&lt;=$G$3,'calculated data '!$A$3,D7745&lt;=$G$4,'calculated data '!$A$4,D7745&lt;=$G$6,'calculated data '!$A$5,D7745&gt;=$G$6,'calculated data '!$A$6)</f>
        <v>Target Market (Core IQR)</v>
      </c>
      <c r="F7745" s="10">
        <f t="shared" si="1"/>
        <v>0.07021426761</v>
      </c>
    </row>
    <row r="7746" ht="14.25" customHeight="1">
      <c r="A7746" s="2" t="s">
        <v>409</v>
      </c>
      <c r="B7746" s="2" t="s">
        <v>410</v>
      </c>
      <c r="C7746" s="2">
        <v>1985.0</v>
      </c>
      <c r="D7746" s="9">
        <v>27723.455</v>
      </c>
      <c r="E7746" s="10" t="str">
        <f t="array" ref="E7746">IFS(D7746&lt;=$G$3,'calculated data '!$A$3,D7746&lt;=$G$4,'calculated data '!$A$4,D7746&lt;=$G$6,'calculated data '!$A$5,D7746&gt;=$G$6,'calculated data '!$A$6)</f>
        <v>Target Market (Core IQR)</v>
      </c>
      <c r="F7746" s="10">
        <f t="shared" si="1"/>
        <v>0.07066147405</v>
      </c>
    </row>
    <row r="7747" ht="14.25" customHeight="1">
      <c r="A7747" s="2" t="s">
        <v>387</v>
      </c>
      <c r="B7747" s="2" t="s">
        <v>388</v>
      </c>
      <c r="C7747" s="2">
        <v>1990.0</v>
      </c>
      <c r="D7747" s="9">
        <v>27726.844</v>
      </c>
      <c r="E7747" s="10" t="str">
        <f t="array" ref="E7747">IFS(D7747&lt;=$G$3,'calculated data '!$A$3,D7747&lt;=$G$4,'calculated data '!$A$4,D7747&lt;=$G$6,'calculated data '!$A$5,D7747&gt;=$G$6,'calculated data '!$A$6)</f>
        <v>Target Market (Core IQR)</v>
      </c>
      <c r="F7747" s="10">
        <f t="shared" si="1"/>
        <v>0.07075118004</v>
      </c>
    </row>
    <row r="7748" ht="14.25" customHeight="1">
      <c r="A7748" s="2" t="s">
        <v>371</v>
      </c>
      <c r="B7748" s="2" t="s">
        <v>372</v>
      </c>
      <c r="C7748" s="2">
        <v>1985.0</v>
      </c>
      <c r="D7748" s="9">
        <v>27733.033</v>
      </c>
      <c r="E7748" s="10" t="str">
        <f t="array" ref="E7748">IFS(D7748&lt;=$G$3,'calculated data '!$A$3,D7748&lt;=$G$4,'calculated data '!$A$4,D7748&lt;=$G$6,'calculated data '!$A$5,D7748&gt;=$G$6,'calculated data '!$A$6)</f>
        <v>Target Market (Core IQR)</v>
      </c>
      <c r="F7748" s="10">
        <f t="shared" si="1"/>
        <v>0.07091500133</v>
      </c>
    </row>
    <row r="7749" ht="14.25" customHeight="1">
      <c r="A7749" s="2" t="s">
        <v>421</v>
      </c>
      <c r="B7749" s="2" t="s">
        <v>422</v>
      </c>
      <c r="C7749" s="2">
        <v>2005.0</v>
      </c>
      <c r="D7749" s="9">
        <v>27733.936</v>
      </c>
      <c r="E7749" s="10" t="str">
        <f t="array" ref="E7749">IFS(D7749&lt;=$G$3,'calculated data '!$A$3,D7749&lt;=$G$4,'calculated data '!$A$4,D7749&lt;=$G$6,'calculated data '!$A$5,D7749&gt;=$G$6,'calculated data '!$A$6)</f>
        <v>Target Market (Core IQR)</v>
      </c>
      <c r="F7749" s="10">
        <f t="shared" si="1"/>
        <v>0.07093890351</v>
      </c>
    </row>
    <row r="7750" ht="14.25" customHeight="1">
      <c r="A7750" s="2" t="s">
        <v>409</v>
      </c>
      <c r="B7750" s="2" t="s">
        <v>410</v>
      </c>
      <c r="C7750" s="2">
        <v>1967.0</v>
      </c>
      <c r="D7750" s="9">
        <v>27740.953</v>
      </c>
      <c r="E7750" s="10" t="str">
        <f t="array" ref="E7750">IFS(D7750&lt;=$G$3,'calculated data '!$A$3,D7750&lt;=$G$4,'calculated data '!$A$4,D7750&lt;=$G$6,'calculated data '!$A$5,D7750&gt;=$G$6,'calculated data '!$A$6)</f>
        <v>Target Market (Core IQR)</v>
      </c>
      <c r="F7750" s="10">
        <f t="shared" si="1"/>
        <v>0.07112464175</v>
      </c>
    </row>
    <row r="7751" ht="14.25" customHeight="1">
      <c r="A7751" s="2" t="s">
        <v>267</v>
      </c>
      <c r="B7751" s="2" t="s">
        <v>268</v>
      </c>
      <c r="C7751" s="2">
        <v>1997.0</v>
      </c>
      <c r="D7751" s="9">
        <v>27747.975</v>
      </c>
      <c r="E7751" s="10" t="str">
        <f t="array" ref="E7751">IFS(D7751&lt;=$G$3,'calculated data '!$A$3,D7751&lt;=$G$4,'calculated data '!$A$4,D7751&lt;=$G$6,'calculated data '!$A$5,D7751&gt;=$G$6,'calculated data '!$A$6)</f>
        <v>Target Market (Core IQR)</v>
      </c>
      <c r="F7751" s="10">
        <f t="shared" si="1"/>
        <v>0.07131051234</v>
      </c>
    </row>
    <row r="7752" ht="14.25" customHeight="1">
      <c r="A7752" s="2" t="s">
        <v>371</v>
      </c>
      <c r="B7752" s="2" t="s">
        <v>372</v>
      </c>
      <c r="C7752" s="2">
        <v>2021.0</v>
      </c>
      <c r="D7752" s="9">
        <v>27758.664</v>
      </c>
      <c r="E7752" s="10" t="str">
        <f t="array" ref="E7752">IFS(D7752&lt;=$G$3,'calculated data '!$A$3,D7752&lt;=$G$4,'calculated data '!$A$4,D7752&lt;=$G$6,'calculated data '!$A$5,D7752&gt;=$G$6,'calculated data '!$A$6)</f>
        <v>Target Market (Core IQR)</v>
      </c>
      <c r="F7752" s="10">
        <f t="shared" si="1"/>
        <v>0.07159344751</v>
      </c>
    </row>
    <row r="7753" ht="14.25" customHeight="1">
      <c r="A7753" s="2" t="s">
        <v>375</v>
      </c>
      <c r="B7753" s="2" t="s">
        <v>376</v>
      </c>
      <c r="C7753" s="2">
        <v>2000.0</v>
      </c>
      <c r="D7753" s="9">
        <v>27759.346</v>
      </c>
      <c r="E7753" s="10" t="str">
        <f t="array" ref="E7753">IFS(D7753&lt;=$G$3,'calculated data '!$A$3,D7753&lt;=$G$4,'calculated data '!$A$4,D7753&lt;=$G$6,'calculated data '!$A$5,D7753&gt;=$G$6,'calculated data '!$A$6)</f>
        <v>Target Market (Core IQR)</v>
      </c>
      <c r="F7753" s="10">
        <f t="shared" si="1"/>
        <v>0.07161149988</v>
      </c>
    </row>
    <row r="7754" ht="14.25" customHeight="1">
      <c r="A7754" s="2" t="s">
        <v>331</v>
      </c>
      <c r="B7754" s="2" t="s">
        <v>332</v>
      </c>
      <c r="C7754" s="2">
        <v>2018.0</v>
      </c>
      <c r="D7754" s="9">
        <v>27768.762</v>
      </c>
      <c r="E7754" s="10" t="str">
        <f t="array" ref="E7754">IFS(D7754&lt;=$G$3,'calculated data '!$A$3,D7754&lt;=$G$4,'calculated data '!$A$4,D7754&lt;=$G$6,'calculated data '!$A$5,D7754&gt;=$G$6,'calculated data '!$A$6)</f>
        <v>Target Market (Core IQR)</v>
      </c>
      <c r="F7754" s="10">
        <f t="shared" si="1"/>
        <v>0.07186073906</v>
      </c>
    </row>
    <row r="7755" ht="14.25" customHeight="1">
      <c r="A7755" s="2" t="s">
        <v>353</v>
      </c>
      <c r="B7755" s="2" t="s">
        <v>354</v>
      </c>
      <c r="C7755" s="2">
        <v>2002.0</v>
      </c>
      <c r="D7755" s="9">
        <v>27781.545</v>
      </c>
      <c r="E7755" s="10" t="str">
        <f t="array" ref="E7755">IFS(D7755&lt;=$G$3,'calculated data '!$A$3,D7755&lt;=$G$4,'calculated data '!$A$4,D7755&lt;=$G$6,'calculated data '!$A$5,D7755&gt;=$G$6,'calculated data '!$A$6)</f>
        <v>Target Market (Core IQR)</v>
      </c>
      <c r="F7755" s="10">
        <f t="shared" si="1"/>
        <v>0.07219910188</v>
      </c>
    </row>
    <row r="7756" ht="14.25" customHeight="1">
      <c r="A7756" s="2" t="s">
        <v>197</v>
      </c>
      <c r="B7756" s="2" t="s">
        <v>198</v>
      </c>
      <c r="C7756" s="2">
        <v>2021.0</v>
      </c>
      <c r="D7756" s="9">
        <v>27799.73</v>
      </c>
      <c r="E7756" s="10" t="str">
        <f t="array" ref="E7756">IFS(D7756&lt;=$G$3,'calculated data '!$A$3,D7756&lt;=$G$4,'calculated data '!$A$4,D7756&lt;=$G$6,'calculated data '!$A$5,D7756&gt;=$G$6,'calculated data '!$A$6)</f>
        <v>Target Market (Core IQR)</v>
      </c>
      <c r="F7756" s="10">
        <f t="shared" si="1"/>
        <v>0.0726804543</v>
      </c>
    </row>
    <row r="7757" ht="14.25" customHeight="1">
      <c r="A7757" s="2" t="s">
        <v>405</v>
      </c>
      <c r="B7757" s="2" t="s">
        <v>406</v>
      </c>
      <c r="C7757" s="2">
        <v>2022.0</v>
      </c>
      <c r="D7757" s="9">
        <v>27801.133</v>
      </c>
      <c r="E7757" s="10" t="str">
        <f t="array" ref="E7757">IFS(D7757&lt;=$G$3,'calculated data '!$A$3,D7757&lt;=$G$4,'calculated data '!$A$4,D7757&lt;=$G$6,'calculated data '!$A$5,D7757&gt;=$G$6,'calculated data '!$A$6)</f>
        <v>Target Market (Core IQR)</v>
      </c>
      <c r="F7757" s="10">
        <f t="shared" si="1"/>
        <v>0.07271759136</v>
      </c>
    </row>
    <row r="7758" ht="14.25" customHeight="1">
      <c r="A7758" s="2" t="s">
        <v>375</v>
      </c>
      <c r="B7758" s="2" t="s">
        <v>376</v>
      </c>
      <c r="C7758" s="2">
        <v>1992.0</v>
      </c>
      <c r="D7758" s="9">
        <v>27807.564</v>
      </c>
      <c r="E7758" s="10" t="str">
        <f t="array" ref="E7758">IFS(D7758&lt;=$G$3,'calculated data '!$A$3,D7758&lt;=$G$4,'calculated data '!$A$4,D7758&lt;=$G$6,'calculated data '!$A$5,D7758&gt;=$G$6,'calculated data '!$A$6)</f>
        <v>Target Market (Core IQR)</v>
      </c>
      <c r="F7758" s="10">
        <f t="shared" si="1"/>
        <v>0.07288781833</v>
      </c>
    </row>
    <row r="7759" ht="14.25" customHeight="1">
      <c r="A7759" s="2" t="s">
        <v>353</v>
      </c>
      <c r="B7759" s="2" t="s">
        <v>354</v>
      </c>
      <c r="C7759" s="2">
        <v>2010.0</v>
      </c>
      <c r="D7759" s="9">
        <v>27816.795</v>
      </c>
      <c r="E7759" s="10" t="str">
        <f t="array" ref="E7759">IFS(D7759&lt;=$G$3,'calculated data '!$A$3,D7759&lt;=$G$4,'calculated data '!$A$4,D7759&lt;=$G$6,'calculated data '!$A$5,D7759&gt;=$G$6,'calculated data '!$A$6)</f>
        <v>Target Market (Core IQR)</v>
      </c>
      <c r="F7759" s="10">
        <f t="shared" si="1"/>
        <v>0.0731321606</v>
      </c>
    </row>
    <row r="7760" ht="14.25" customHeight="1">
      <c r="A7760" s="2" t="s">
        <v>309</v>
      </c>
      <c r="B7760" s="2" t="s">
        <v>310</v>
      </c>
      <c r="C7760" s="2">
        <v>1994.0</v>
      </c>
      <c r="D7760" s="9">
        <v>27819.545</v>
      </c>
      <c r="E7760" s="10" t="str">
        <f t="array" ref="E7760">IFS(D7760&lt;=$G$3,'calculated data '!$A$3,D7760&lt;=$G$4,'calculated data '!$A$4,D7760&lt;=$G$6,'calculated data '!$A$5,D7760&gt;=$G$6,'calculated data '!$A$6)</f>
        <v>Target Market (Core IQR)</v>
      </c>
      <c r="F7760" s="10">
        <f t="shared" si="1"/>
        <v>0.07320495242</v>
      </c>
    </row>
    <row r="7761" ht="14.25" customHeight="1">
      <c r="A7761" s="2" t="s">
        <v>393</v>
      </c>
      <c r="B7761" s="2" t="s">
        <v>394</v>
      </c>
      <c r="C7761" s="2">
        <v>1995.0</v>
      </c>
      <c r="D7761" s="9">
        <v>27823.912</v>
      </c>
      <c r="E7761" s="10" t="str">
        <f t="array" ref="E7761">IFS(D7761&lt;=$G$3,'calculated data '!$A$3,D7761&lt;=$G$4,'calculated data '!$A$4,D7761&lt;=$G$6,'calculated data '!$A$5,D7761&gt;=$G$6,'calculated data '!$A$6)</f>
        <v>Target Market (Core IQR)</v>
      </c>
      <c r="F7761" s="10">
        <f t="shared" si="1"/>
        <v>0.07332054582</v>
      </c>
    </row>
    <row r="7762" ht="14.25" customHeight="1">
      <c r="A7762" s="2" t="s">
        <v>387</v>
      </c>
      <c r="B7762" s="2" t="s">
        <v>388</v>
      </c>
      <c r="C7762" s="2">
        <v>1999.0</v>
      </c>
      <c r="D7762" s="9">
        <v>27824.682</v>
      </c>
      <c r="E7762" s="10" t="str">
        <f t="array" ref="E7762">IFS(D7762&lt;=$G$3,'calculated data '!$A$3,D7762&lt;=$G$4,'calculated data '!$A$4,D7762&lt;=$G$6,'calculated data '!$A$5,D7762&gt;=$G$6,'calculated data '!$A$6)</f>
        <v>Target Market (Core IQR)</v>
      </c>
      <c r="F7762" s="10">
        <f t="shared" si="1"/>
        <v>0.07334092753</v>
      </c>
    </row>
    <row r="7763" ht="14.25" customHeight="1">
      <c r="A7763" s="2" t="s">
        <v>127</v>
      </c>
      <c r="B7763" s="2" t="s">
        <v>128</v>
      </c>
      <c r="C7763" s="2">
        <v>2008.0</v>
      </c>
      <c r="D7763" s="9">
        <v>27828.389</v>
      </c>
      <c r="E7763" s="10" t="str">
        <f t="array" ref="E7763">IFS(D7763&lt;=$G$3,'calculated data '!$A$3,D7763&lt;=$G$4,'calculated data '!$A$4,D7763&lt;=$G$6,'calculated data '!$A$5,D7763&gt;=$G$6,'calculated data '!$A$6)</f>
        <v>Target Market (Core IQR)</v>
      </c>
      <c r="F7763" s="10">
        <f t="shared" si="1"/>
        <v>0.0734390509</v>
      </c>
    </row>
    <row r="7764" ht="14.25" customHeight="1">
      <c r="A7764" s="2" t="s">
        <v>351</v>
      </c>
      <c r="B7764" s="2" t="s">
        <v>352</v>
      </c>
      <c r="C7764" s="2">
        <v>1991.0</v>
      </c>
      <c r="D7764" s="9">
        <v>27843.77</v>
      </c>
      <c r="E7764" s="10" t="str">
        <f t="array" ref="E7764">IFS(D7764&lt;=$G$3,'calculated data '!$A$3,D7764&lt;=$G$4,'calculated data '!$A$4,D7764&lt;=$G$6,'calculated data '!$A$5,D7764&gt;=$G$6,'calculated data '!$A$6)</f>
        <v>Target Market (Core IQR)</v>
      </c>
      <c r="F7764" s="10">
        <f t="shared" si="1"/>
        <v>0.07384618214</v>
      </c>
    </row>
    <row r="7765" ht="14.25" customHeight="1">
      <c r="A7765" s="2" t="s">
        <v>375</v>
      </c>
      <c r="B7765" s="2" t="s">
        <v>376</v>
      </c>
      <c r="C7765" s="2">
        <v>2009.0</v>
      </c>
      <c r="D7765" s="9">
        <v>27852.602</v>
      </c>
      <c r="E7765" s="10" t="str">
        <f t="array" ref="E7765">IFS(D7765&lt;=$G$3,'calculated data '!$A$3,D7765&lt;=$G$4,'calculated data '!$A$4,D7765&lt;=$G$6,'calculated data '!$A$5,D7765&gt;=$G$6,'calculated data '!$A$6)</f>
        <v>Target Market (Core IQR)</v>
      </c>
      <c r="F7765" s="10">
        <f t="shared" si="1"/>
        <v>0.07407996298</v>
      </c>
    </row>
    <row r="7766" ht="14.25" customHeight="1">
      <c r="A7766" s="2" t="s">
        <v>407</v>
      </c>
      <c r="B7766" s="2" t="s">
        <v>408</v>
      </c>
      <c r="C7766" s="2">
        <v>1997.0</v>
      </c>
      <c r="D7766" s="9">
        <v>27857.059</v>
      </c>
      <c r="E7766" s="10" t="str">
        <f t="array" ref="E7766">IFS(D7766&lt;=$G$3,'calculated data '!$A$3,D7766&lt;=$G$4,'calculated data '!$A$4,D7766&lt;=$G$6,'calculated data '!$A$5,D7766&gt;=$G$6,'calculated data '!$A$6)</f>
        <v>Target Market (Core IQR)</v>
      </c>
      <c r="F7766" s="10">
        <f t="shared" si="1"/>
        <v>0.07419793866</v>
      </c>
    </row>
    <row r="7767" ht="14.25" customHeight="1">
      <c r="A7767" s="2" t="s">
        <v>409</v>
      </c>
      <c r="B7767" s="2" t="s">
        <v>410</v>
      </c>
      <c r="C7767" s="2">
        <v>1978.0</v>
      </c>
      <c r="D7767" s="9">
        <v>27858.514</v>
      </c>
      <c r="E7767" s="10" t="str">
        <f t="array" ref="E7767">IFS(D7767&lt;=$G$3,'calculated data '!$A$3,D7767&lt;=$G$4,'calculated data '!$A$4,D7767&lt;=$G$6,'calculated data '!$A$5,D7767&gt;=$G$6,'calculated data '!$A$6)</f>
        <v>Target Market (Core IQR)</v>
      </c>
      <c r="F7767" s="10">
        <f t="shared" si="1"/>
        <v>0.07423645214</v>
      </c>
    </row>
    <row r="7768" ht="14.25" customHeight="1">
      <c r="A7768" s="2" t="s">
        <v>371</v>
      </c>
      <c r="B7768" s="2" t="s">
        <v>372</v>
      </c>
      <c r="C7768" s="2">
        <v>1984.0</v>
      </c>
      <c r="D7768" s="9">
        <v>27867.09</v>
      </c>
      <c r="E7768" s="10" t="str">
        <f t="array" ref="E7768">IFS(D7768&lt;=$G$3,'calculated data '!$A$3,D7768&lt;=$G$4,'calculated data '!$A$4,D7768&lt;=$G$6,'calculated data '!$A$5,D7768&gt;=$G$6,'calculated data '!$A$6)</f>
        <v>Target Market (Core IQR)</v>
      </c>
      <c r="F7768" s="10">
        <f t="shared" si="1"/>
        <v>0.07446345673</v>
      </c>
    </row>
    <row r="7769" ht="14.25" customHeight="1">
      <c r="A7769" s="2" t="s">
        <v>127</v>
      </c>
      <c r="B7769" s="2" t="s">
        <v>128</v>
      </c>
      <c r="C7769" s="2">
        <v>2006.0</v>
      </c>
      <c r="D7769" s="9">
        <v>27874.07</v>
      </c>
      <c r="E7769" s="10" t="str">
        <f t="array" ref="E7769">IFS(D7769&lt;=$G$3,'calculated data '!$A$3,D7769&lt;=$G$4,'calculated data '!$A$4,D7769&lt;=$G$6,'calculated data '!$A$5,D7769&gt;=$G$6,'calculated data '!$A$6)</f>
        <v>Target Market (Core IQR)</v>
      </c>
      <c r="F7769" s="10">
        <f t="shared" si="1"/>
        <v>0.07464821559</v>
      </c>
    </row>
    <row r="7770" ht="14.25" customHeight="1">
      <c r="A7770" s="2" t="s">
        <v>343</v>
      </c>
      <c r="B7770" s="2" t="s">
        <v>344</v>
      </c>
      <c r="C7770" s="2">
        <v>1997.0</v>
      </c>
      <c r="D7770" s="9">
        <v>27874.633</v>
      </c>
      <c r="E7770" s="10" t="str">
        <f t="array" ref="E7770">IFS(D7770&lt;=$G$3,'calculated data '!$A$3,D7770&lt;=$G$4,'calculated data '!$A$4,D7770&lt;=$G$6,'calculated data '!$A$5,D7770&gt;=$G$6,'calculated data '!$A$6)</f>
        <v>Target Market (Core IQR)</v>
      </c>
      <c r="F7770" s="10">
        <f t="shared" si="1"/>
        <v>0.07466311806</v>
      </c>
    </row>
    <row r="7771" ht="14.25" customHeight="1">
      <c r="A7771" s="2" t="s">
        <v>331</v>
      </c>
      <c r="B7771" s="2" t="s">
        <v>332</v>
      </c>
      <c r="C7771" s="2">
        <v>2017.0</v>
      </c>
      <c r="D7771" s="9">
        <v>27875.854</v>
      </c>
      <c r="E7771" s="10" t="str">
        <f t="array" ref="E7771">IFS(D7771&lt;=$G$3,'calculated data '!$A$3,D7771&lt;=$G$4,'calculated data '!$A$4,D7771&lt;=$G$6,'calculated data '!$A$5,D7771&gt;=$G$6,'calculated data '!$A$6)</f>
        <v>Target Market (Core IQR)</v>
      </c>
      <c r="F7771" s="10">
        <f t="shared" si="1"/>
        <v>0.07469543762</v>
      </c>
    </row>
    <row r="7772" ht="14.25" customHeight="1">
      <c r="A7772" s="2" t="s">
        <v>409</v>
      </c>
      <c r="B7772" s="2" t="s">
        <v>410</v>
      </c>
      <c r="C7772" s="2">
        <v>1974.0</v>
      </c>
      <c r="D7772" s="9">
        <v>27888.855</v>
      </c>
      <c r="E7772" s="10" t="str">
        <f t="array" ref="E7772">IFS(D7772&lt;=$G$3,'calculated data '!$A$3,D7772&lt;=$G$4,'calculated data '!$A$4,D7772&lt;=$G$6,'calculated data '!$A$5,D7772&gt;=$G$6,'calculated data '!$A$6)</f>
        <v>Target Market (Core IQR)</v>
      </c>
      <c r="F7772" s="10">
        <f t="shared" si="1"/>
        <v>0.07503957086</v>
      </c>
    </row>
    <row r="7773" ht="14.25" customHeight="1">
      <c r="A7773" s="2" t="s">
        <v>355</v>
      </c>
      <c r="B7773" s="2" t="s">
        <v>356</v>
      </c>
      <c r="C7773" s="2">
        <v>1994.0</v>
      </c>
      <c r="D7773" s="9">
        <v>27892.334</v>
      </c>
      <c r="E7773" s="10" t="str">
        <f t="array" ref="E7773">IFS(D7773&lt;=$G$3,'calculated data '!$A$3,D7773&lt;=$G$4,'calculated data '!$A$4,D7773&lt;=$G$6,'calculated data '!$A$5,D7773&gt;=$G$6,'calculated data '!$A$6)</f>
        <v>Target Market (Core IQR)</v>
      </c>
      <c r="F7773" s="10">
        <f t="shared" si="1"/>
        <v>0.07513165912</v>
      </c>
    </row>
    <row r="7774" ht="14.25" customHeight="1">
      <c r="A7774" s="2" t="s">
        <v>373</v>
      </c>
      <c r="B7774" s="2" t="s">
        <v>374</v>
      </c>
      <c r="C7774" s="2">
        <v>2009.0</v>
      </c>
      <c r="D7774" s="9">
        <v>27907.617</v>
      </c>
      <c r="E7774" s="10" t="str">
        <f t="array" ref="E7774">IFS(D7774&lt;=$G$3,'calculated data '!$A$3,D7774&lt;=$G$4,'calculated data '!$A$4,D7774&lt;=$G$6,'calculated data '!$A$5,D7774&gt;=$G$6,'calculated data '!$A$6)</f>
        <v>Target Market (Core IQR)</v>
      </c>
      <c r="F7774" s="10">
        <f t="shared" si="1"/>
        <v>0.07553619632</v>
      </c>
    </row>
    <row r="7775" ht="14.25" customHeight="1">
      <c r="A7775" s="2" t="s">
        <v>387</v>
      </c>
      <c r="B7775" s="2" t="s">
        <v>388</v>
      </c>
      <c r="C7775" s="2">
        <v>1994.0</v>
      </c>
      <c r="D7775" s="9">
        <v>27909.777</v>
      </c>
      <c r="E7775" s="10" t="str">
        <f t="array" ref="E7775">IFS(D7775&lt;=$G$3,'calculated data '!$A$3,D7775&lt;=$G$4,'calculated data '!$A$4,D7775&lt;=$G$6,'calculated data '!$A$5,D7775&gt;=$G$6,'calculated data '!$A$6)</f>
        <v>Target Market (Core IQR)</v>
      </c>
      <c r="F7775" s="10">
        <f t="shared" si="1"/>
        <v>0.07559337099</v>
      </c>
    </row>
    <row r="7776" ht="14.25" customHeight="1">
      <c r="A7776" s="2" t="s">
        <v>385</v>
      </c>
      <c r="B7776" s="2" t="s">
        <v>386</v>
      </c>
      <c r="C7776" s="2">
        <v>2006.0</v>
      </c>
      <c r="D7776" s="9">
        <v>27919.186</v>
      </c>
      <c r="E7776" s="10" t="str">
        <f t="array" ref="E7776">IFS(D7776&lt;=$G$3,'calculated data '!$A$3,D7776&lt;=$G$4,'calculated data '!$A$4,D7776&lt;=$G$6,'calculated data '!$A$5,D7776&gt;=$G$6,'calculated data '!$A$6)</f>
        <v>Target Market (Core IQR)</v>
      </c>
      <c r="F7776" s="10">
        <f t="shared" si="1"/>
        <v>0.07584242487</v>
      </c>
    </row>
    <row r="7777" ht="14.25" customHeight="1">
      <c r="A7777" s="2" t="s">
        <v>409</v>
      </c>
      <c r="B7777" s="2" t="s">
        <v>410</v>
      </c>
      <c r="C7777" s="2">
        <v>1973.0</v>
      </c>
      <c r="D7777" s="9">
        <v>27920.064</v>
      </c>
      <c r="E7777" s="10" t="str">
        <f t="array" ref="E7777">IFS(D7777&lt;=$G$3,'calculated data '!$A$3,D7777&lt;=$G$4,'calculated data '!$A$4,D7777&lt;=$G$6,'calculated data '!$A$5,D7777&gt;=$G$6,'calculated data '!$A$6)</f>
        <v>Target Market (Core IQR)</v>
      </c>
      <c r="F7777" s="10">
        <f t="shared" si="1"/>
        <v>0.07586566531</v>
      </c>
    </row>
    <row r="7778" ht="14.25" customHeight="1">
      <c r="A7778" s="2" t="s">
        <v>341</v>
      </c>
      <c r="B7778" s="2" t="s">
        <v>342</v>
      </c>
      <c r="C7778" s="2">
        <v>2017.0</v>
      </c>
      <c r="D7778" s="9">
        <v>27922.566</v>
      </c>
      <c r="E7778" s="10" t="str">
        <f t="array" ref="E7778">IFS(D7778&lt;=$G$3,'calculated data '!$A$3,D7778&lt;=$G$4,'calculated data '!$A$4,D7778&lt;=$G$6,'calculated data '!$A$5,D7778&gt;=$G$6,'calculated data '!$A$6)</f>
        <v>Target Market (Core IQR)</v>
      </c>
      <c r="F7778" s="10">
        <f t="shared" si="1"/>
        <v>0.07593189263</v>
      </c>
    </row>
    <row r="7779" ht="14.25" customHeight="1">
      <c r="A7779" s="2" t="s">
        <v>409</v>
      </c>
      <c r="B7779" s="2" t="s">
        <v>410</v>
      </c>
      <c r="C7779" s="2">
        <v>1981.0</v>
      </c>
      <c r="D7779" s="9">
        <v>27924.516</v>
      </c>
      <c r="E7779" s="10" t="str">
        <f t="array" ref="E7779">IFS(D7779&lt;=$G$3,'calculated data '!$A$3,D7779&lt;=$G$4,'calculated data '!$A$4,D7779&lt;=$G$6,'calculated data '!$A$5,D7779&gt;=$G$6,'calculated data '!$A$6)</f>
        <v>Target Market (Core IQR)</v>
      </c>
      <c r="F7779" s="10">
        <f t="shared" si="1"/>
        <v>0.07598350864</v>
      </c>
    </row>
    <row r="7780" ht="14.25" customHeight="1">
      <c r="A7780" s="2" t="s">
        <v>353</v>
      </c>
      <c r="B7780" s="2" t="s">
        <v>354</v>
      </c>
      <c r="C7780" s="2">
        <v>2004.0</v>
      </c>
      <c r="D7780" s="9">
        <v>27932.94</v>
      </c>
      <c r="E7780" s="10" t="str">
        <f t="array" ref="E7780">IFS(D7780&lt;=$G$3,'calculated data '!$A$3,D7780&lt;=$G$4,'calculated data '!$A$4,D7780&lt;=$G$6,'calculated data '!$A$5,D7780&gt;=$G$6,'calculated data '!$A$6)</f>
        <v>Target Market (Core IQR)</v>
      </c>
      <c r="F7780" s="10">
        <f t="shared" si="1"/>
        <v>0.07620648983</v>
      </c>
    </row>
    <row r="7781" ht="14.25" customHeight="1">
      <c r="A7781" s="2" t="s">
        <v>413</v>
      </c>
      <c r="B7781" s="2" t="s">
        <v>414</v>
      </c>
      <c r="C7781" s="2">
        <v>1969.0</v>
      </c>
      <c r="D7781" s="9">
        <v>27934.125</v>
      </c>
      <c r="E7781" s="10" t="str">
        <f t="array" ref="E7781">IFS(D7781&lt;=$G$3,'calculated data '!$A$3,D7781&lt;=$G$4,'calculated data '!$A$4,D7781&lt;=$G$6,'calculated data '!$A$5,D7781&gt;=$G$6,'calculated data '!$A$6)</f>
        <v>Target Market (Core IQR)</v>
      </c>
      <c r="F7781" s="10">
        <f t="shared" si="1"/>
        <v>0.07623785648</v>
      </c>
    </row>
    <row r="7782" ht="14.25" customHeight="1">
      <c r="A7782" s="2" t="s">
        <v>337</v>
      </c>
      <c r="B7782" s="2" t="s">
        <v>338</v>
      </c>
      <c r="C7782" s="2">
        <v>1999.0</v>
      </c>
      <c r="D7782" s="9">
        <v>27958.432</v>
      </c>
      <c r="E7782" s="10" t="str">
        <f t="array" ref="E7782">IFS(D7782&lt;=$G$3,'calculated data '!$A$3,D7782&lt;=$G$4,'calculated data '!$A$4,D7782&lt;=$G$6,'calculated data '!$A$5,D7782&gt;=$G$6,'calculated data '!$A$6)</f>
        <v>Target Market (Core IQR)</v>
      </c>
      <c r="F7782" s="10">
        <f t="shared" si="1"/>
        <v>0.07688125672</v>
      </c>
    </row>
    <row r="7783" ht="14.25" customHeight="1">
      <c r="A7783" s="2" t="s">
        <v>375</v>
      </c>
      <c r="B7783" s="2" t="s">
        <v>376</v>
      </c>
      <c r="C7783" s="2">
        <v>2020.0</v>
      </c>
      <c r="D7783" s="9">
        <v>27983.818</v>
      </c>
      <c r="E7783" s="10" t="str">
        <f t="array" ref="E7783">IFS(D7783&lt;=$G$3,'calculated data '!$A$3,D7783&lt;=$G$4,'calculated data '!$A$4,D7783&lt;=$G$6,'calculated data '!$A$5,D7783&gt;=$G$6,'calculated data '!$A$6)</f>
        <v>Target Market (Core IQR)</v>
      </c>
      <c r="F7783" s="10">
        <f t="shared" si="1"/>
        <v>0.07755321781</v>
      </c>
    </row>
    <row r="7784" ht="14.25" customHeight="1">
      <c r="A7784" s="2" t="s">
        <v>421</v>
      </c>
      <c r="B7784" s="2" t="s">
        <v>422</v>
      </c>
      <c r="C7784" s="2">
        <v>2014.0</v>
      </c>
      <c r="D7784" s="9">
        <v>27985.643</v>
      </c>
      <c r="E7784" s="10" t="str">
        <f t="array" ref="E7784">IFS(D7784&lt;=$G$3,'calculated data '!$A$3,D7784&lt;=$G$4,'calculated data '!$A$4,D7784&lt;=$G$6,'calculated data '!$A$5,D7784&gt;=$G$6,'calculated data '!$A$6)</f>
        <v>Target Market (Core IQR)</v>
      </c>
      <c r="F7784" s="10">
        <f t="shared" si="1"/>
        <v>0.07760152511</v>
      </c>
    </row>
    <row r="7785" ht="14.25" customHeight="1">
      <c r="A7785" s="2" t="s">
        <v>397</v>
      </c>
      <c r="B7785" s="2" t="s">
        <v>398</v>
      </c>
      <c r="C7785" s="2">
        <v>1968.0</v>
      </c>
      <c r="D7785" s="9">
        <v>27986.678</v>
      </c>
      <c r="E7785" s="10" t="str">
        <f t="array" ref="E7785">IFS(D7785&lt;=$G$3,'calculated data '!$A$3,D7785&lt;=$G$4,'calculated data '!$A$4,D7785&lt;=$G$6,'calculated data '!$A$5,D7785&gt;=$G$6,'calculated data '!$A$6)</f>
        <v>Target Market (Core IQR)</v>
      </c>
      <c r="F7785" s="10">
        <f t="shared" si="1"/>
        <v>0.0776289213</v>
      </c>
    </row>
    <row r="7786" ht="14.25" customHeight="1">
      <c r="A7786" s="2" t="s">
        <v>331</v>
      </c>
      <c r="B7786" s="2" t="s">
        <v>332</v>
      </c>
      <c r="C7786" s="2">
        <v>1992.0</v>
      </c>
      <c r="D7786" s="9">
        <v>27992.812</v>
      </c>
      <c r="E7786" s="10" t="str">
        <f t="array" ref="E7786">IFS(D7786&lt;=$G$3,'calculated data '!$A$3,D7786&lt;=$G$4,'calculated data '!$A$4,D7786&lt;=$G$6,'calculated data '!$A$5,D7786&gt;=$G$6,'calculated data '!$A$6)</f>
        <v>Target Market (Core IQR)</v>
      </c>
      <c r="F7786" s="10">
        <f t="shared" si="1"/>
        <v>0.07779128675</v>
      </c>
    </row>
    <row r="7787" ht="14.25" customHeight="1">
      <c r="A7787" s="2" t="s">
        <v>393</v>
      </c>
      <c r="B7787" s="2" t="s">
        <v>394</v>
      </c>
      <c r="C7787" s="2">
        <v>2006.0</v>
      </c>
      <c r="D7787" s="9">
        <v>27994.572</v>
      </c>
      <c r="E7787" s="10" t="str">
        <f t="array" ref="E7787">IFS(D7787&lt;=$G$3,'calculated data '!$A$3,D7787&lt;=$G$4,'calculated data '!$A$4,D7787&lt;=$G$6,'calculated data '!$A$5,D7787&gt;=$G$6,'calculated data '!$A$6)</f>
        <v>Target Market (Core IQR)</v>
      </c>
      <c r="F7787" s="10">
        <f t="shared" si="1"/>
        <v>0.07783787352</v>
      </c>
    </row>
    <row r="7788" ht="14.25" customHeight="1">
      <c r="A7788" s="2" t="s">
        <v>431</v>
      </c>
      <c r="B7788" s="2" t="s">
        <v>432</v>
      </c>
      <c r="C7788" s="2">
        <v>1982.0</v>
      </c>
      <c r="D7788" s="9">
        <v>28002.148</v>
      </c>
      <c r="E7788" s="10" t="str">
        <f t="array" ref="E7788">IFS(D7788&lt;=$G$3,'calculated data '!$A$3,D7788&lt;=$G$4,'calculated data '!$A$4,D7788&lt;=$G$6,'calculated data '!$A$5,D7788&gt;=$G$6,'calculated data '!$A$6)</f>
        <v>Target Market (Core IQR)</v>
      </c>
      <c r="F7788" s="10">
        <f t="shared" si="1"/>
        <v>0.07803840835</v>
      </c>
    </row>
    <row r="7789" ht="14.25" customHeight="1">
      <c r="A7789" s="2" t="s">
        <v>353</v>
      </c>
      <c r="B7789" s="2" t="s">
        <v>354</v>
      </c>
      <c r="C7789" s="2">
        <v>2020.0</v>
      </c>
      <c r="D7789" s="9">
        <v>28009.277</v>
      </c>
      <c r="E7789" s="10" t="str">
        <f t="array" ref="E7789">IFS(D7789&lt;=$G$3,'calculated data '!$A$3,D7789&lt;=$G$4,'calculated data '!$A$4,D7789&lt;=$G$6,'calculated data '!$A$5,D7789&gt;=$G$6,'calculated data '!$A$6)</f>
        <v>Target Market (Core IQR)</v>
      </c>
      <c r="F7789" s="10">
        <f t="shared" si="1"/>
        <v>0.0782271112</v>
      </c>
    </row>
    <row r="7790" ht="14.25" customHeight="1">
      <c r="A7790" s="2" t="s">
        <v>355</v>
      </c>
      <c r="B7790" s="2" t="s">
        <v>356</v>
      </c>
      <c r="C7790" s="2">
        <v>2001.0</v>
      </c>
      <c r="D7790" s="9">
        <v>28017.682</v>
      </c>
      <c r="E7790" s="10" t="str">
        <f t="array" ref="E7790">IFS(D7790&lt;=$G$3,'calculated data '!$A$3,D7790&lt;=$G$4,'calculated data '!$A$4,D7790&lt;=$G$6,'calculated data '!$A$5,D7790&gt;=$G$6,'calculated data '!$A$6)</f>
        <v>Target Market (Core IQR)</v>
      </c>
      <c r="F7790" s="10">
        <f t="shared" si="1"/>
        <v>0.07844958946</v>
      </c>
    </row>
    <row r="7791" ht="14.25" customHeight="1">
      <c r="A7791" s="2" t="s">
        <v>355</v>
      </c>
      <c r="B7791" s="2" t="s">
        <v>356</v>
      </c>
      <c r="C7791" s="2">
        <v>1982.0</v>
      </c>
      <c r="D7791" s="9">
        <v>28019.48</v>
      </c>
      <c r="E7791" s="10" t="str">
        <f t="array" ref="E7791">IFS(D7791&lt;=$G$3,'calculated data '!$A$3,D7791&lt;=$G$4,'calculated data '!$A$4,D7791&lt;=$G$6,'calculated data '!$A$5,D7791&gt;=$G$6,'calculated data '!$A$6)</f>
        <v>Target Market (Core IQR)</v>
      </c>
      <c r="F7791" s="10">
        <f t="shared" si="1"/>
        <v>0.07849718207</v>
      </c>
    </row>
    <row r="7792" ht="14.25" customHeight="1">
      <c r="A7792" s="2" t="s">
        <v>28</v>
      </c>
      <c r="B7792" s="2" t="s">
        <v>29</v>
      </c>
      <c r="C7792" s="2">
        <v>1996.0</v>
      </c>
      <c r="D7792" s="9">
        <v>28022.633</v>
      </c>
      <c r="E7792" s="10" t="str">
        <f t="array" ref="E7792">IFS(D7792&lt;=$G$3,'calculated data '!$A$3,D7792&lt;=$G$4,'calculated data '!$A$4,D7792&lt;=$G$6,'calculated data '!$A$5,D7792&gt;=$G$6,'calculated data '!$A$6)</f>
        <v>Target Market (Core IQR)</v>
      </c>
      <c r="F7792" s="10">
        <f t="shared" si="1"/>
        <v>0.0785806412</v>
      </c>
    </row>
    <row r="7793" ht="14.25" customHeight="1">
      <c r="A7793" s="2" t="s">
        <v>355</v>
      </c>
      <c r="B7793" s="2" t="s">
        <v>356</v>
      </c>
      <c r="C7793" s="2">
        <v>1980.0</v>
      </c>
      <c r="D7793" s="9">
        <v>28029.297</v>
      </c>
      <c r="E7793" s="10" t="str">
        <f t="array" ref="E7793">IFS(D7793&lt;=$G$3,'calculated data '!$A$3,D7793&lt;=$G$4,'calculated data '!$A$4,D7793&lt;=$G$6,'calculated data '!$A$5,D7793&gt;=$G$6,'calculated data '!$A$6)</f>
        <v>Target Market (Core IQR)</v>
      </c>
      <c r="F7793" s="10">
        <f t="shared" si="1"/>
        <v>0.07875703562</v>
      </c>
    </row>
    <row r="7794" ht="14.25" customHeight="1">
      <c r="A7794" s="2" t="s">
        <v>375</v>
      </c>
      <c r="B7794" s="2" t="s">
        <v>376</v>
      </c>
      <c r="C7794" s="2">
        <v>2017.0</v>
      </c>
      <c r="D7794" s="9">
        <v>28043.133</v>
      </c>
      <c r="E7794" s="10" t="str">
        <f t="array" ref="E7794">IFS(D7794&lt;=$G$3,'calculated data '!$A$3,D7794&lt;=$G$4,'calculated data '!$A$4,D7794&lt;=$G$6,'calculated data '!$A$5,D7794&gt;=$G$6,'calculated data '!$A$6)</f>
        <v>Target Market (Core IQR)</v>
      </c>
      <c r="F7794" s="10">
        <f t="shared" si="1"/>
        <v>0.07912327109</v>
      </c>
    </row>
    <row r="7795" ht="14.25" customHeight="1">
      <c r="A7795" s="2" t="s">
        <v>373</v>
      </c>
      <c r="B7795" s="2" t="s">
        <v>374</v>
      </c>
      <c r="C7795" s="2">
        <v>2011.0</v>
      </c>
      <c r="D7795" s="9">
        <v>28044.492</v>
      </c>
      <c r="E7795" s="10" t="str">
        <f t="array" ref="E7795">IFS(D7795&lt;=$G$3,'calculated data '!$A$3,D7795&lt;=$G$4,'calculated data '!$A$4,D7795&lt;=$G$6,'calculated data '!$A$5,D7795&gt;=$G$6,'calculated data '!$A$6)</f>
        <v>Target Market (Core IQR)</v>
      </c>
      <c r="F7795" s="10">
        <f t="shared" si="1"/>
        <v>0.07915924348</v>
      </c>
    </row>
    <row r="7796" ht="14.25" customHeight="1">
      <c r="A7796" s="2" t="s">
        <v>353</v>
      </c>
      <c r="B7796" s="2" t="s">
        <v>354</v>
      </c>
      <c r="C7796" s="2">
        <v>2024.0</v>
      </c>
      <c r="D7796" s="9">
        <v>28046.855</v>
      </c>
      <c r="E7796" s="10" t="str">
        <f t="array" ref="E7796">IFS(D7796&lt;=$G$3,'calculated data '!$A$3,D7796&lt;=$G$4,'calculated data '!$A$4,D7796&lt;=$G$6,'calculated data '!$A$5,D7796&gt;=$G$6,'calculated data '!$A$6)</f>
        <v>Target Market (Core IQR)</v>
      </c>
      <c r="F7796" s="10">
        <f t="shared" si="1"/>
        <v>0.0792217915</v>
      </c>
    </row>
    <row r="7797" ht="14.25" customHeight="1">
      <c r="A7797" s="2" t="s">
        <v>405</v>
      </c>
      <c r="B7797" s="2" t="s">
        <v>406</v>
      </c>
      <c r="C7797" s="2">
        <v>2018.0</v>
      </c>
      <c r="D7797" s="9">
        <v>28063.158</v>
      </c>
      <c r="E7797" s="10" t="str">
        <f t="array" ref="E7797">IFS(D7797&lt;=$G$3,'calculated data '!$A$3,D7797&lt;=$G$4,'calculated data '!$A$4,D7797&lt;=$G$6,'calculated data '!$A$5,D7797&gt;=$G$6,'calculated data '!$A$6)</f>
        <v>Target Market (Core IQR)</v>
      </c>
      <c r="F7797" s="10">
        <f t="shared" si="1"/>
        <v>0.07965332785</v>
      </c>
    </row>
    <row r="7798" ht="14.25" customHeight="1">
      <c r="A7798" s="2" t="s">
        <v>279</v>
      </c>
      <c r="B7798" s="2" t="s">
        <v>280</v>
      </c>
      <c r="C7798" s="2">
        <v>1990.0</v>
      </c>
      <c r="D7798" s="9">
        <v>28068.406</v>
      </c>
      <c r="E7798" s="10" t="str">
        <f t="array" ref="E7798">IFS(D7798&lt;=$G$3,'calculated data '!$A$3,D7798&lt;=$G$4,'calculated data '!$A$4,D7798&lt;=$G$6,'calculated data '!$A$5,D7798&gt;=$G$6,'calculated data '!$A$6)</f>
        <v>Target Market (Core IQR)</v>
      </c>
      <c r="F7798" s="10">
        <f t="shared" si="1"/>
        <v>0.07979224111</v>
      </c>
    </row>
    <row r="7799" ht="14.25" customHeight="1">
      <c r="A7799" s="2" t="s">
        <v>319</v>
      </c>
      <c r="B7799" s="2" t="s">
        <v>320</v>
      </c>
      <c r="C7799" s="2">
        <v>1993.0</v>
      </c>
      <c r="D7799" s="9">
        <v>28077.77</v>
      </c>
      <c r="E7799" s="10" t="str">
        <f t="array" ref="E7799">IFS(D7799&lt;=$G$3,'calculated data '!$A$3,D7799&lt;=$G$4,'calculated data '!$A$4,D7799&lt;=$G$6,'calculated data '!$A$5,D7799&gt;=$G$6,'calculated data '!$A$6)</f>
        <v>Target Market (Core IQR)</v>
      </c>
      <c r="F7799" s="10">
        <f t="shared" si="1"/>
        <v>0.08004010385</v>
      </c>
    </row>
    <row r="7800" ht="14.25" customHeight="1">
      <c r="A7800" s="2" t="s">
        <v>387</v>
      </c>
      <c r="B7800" s="2" t="s">
        <v>388</v>
      </c>
      <c r="C7800" s="2">
        <v>2001.0</v>
      </c>
      <c r="D7800" s="9">
        <v>28078.7</v>
      </c>
      <c r="E7800" s="10" t="str">
        <f t="array" ref="E7800">IFS(D7800&lt;=$G$3,'calculated data '!$A$3,D7800&lt;=$G$4,'calculated data '!$A$4,D7800&lt;=$G$6,'calculated data '!$A$5,D7800&gt;=$G$6,'calculated data '!$A$6)</f>
        <v>Target Market (Core IQR)</v>
      </c>
      <c r="F7800" s="10">
        <f t="shared" si="1"/>
        <v>0.08006472072</v>
      </c>
    </row>
    <row r="7801" ht="14.25" customHeight="1">
      <c r="A7801" s="2" t="s">
        <v>411</v>
      </c>
      <c r="B7801" s="2" t="s">
        <v>412</v>
      </c>
      <c r="C7801" s="2">
        <v>1969.0</v>
      </c>
      <c r="D7801" s="9">
        <v>28094.229</v>
      </c>
      <c r="E7801" s="10" t="str">
        <f t="array" ref="E7801">IFS(D7801&lt;=$G$3,'calculated data '!$A$3,D7801&lt;=$G$4,'calculated data '!$A$4,D7801&lt;=$G$6,'calculated data '!$A$5,D7801&gt;=$G$6,'calculated data '!$A$6)</f>
        <v>Target Market (Core IQR)</v>
      </c>
      <c r="F7801" s="10">
        <f t="shared" si="1"/>
        <v>0.08047576949</v>
      </c>
    </row>
    <row r="7802" ht="14.25" customHeight="1">
      <c r="A7802" s="2" t="s">
        <v>371</v>
      </c>
      <c r="B7802" s="2" t="s">
        <v>372</v>
      </c>
      <c r="C7802" s="2">
        <v>1982.0</v>
      </c>
      <c r="D7802" s="9">
        <v>28098.812</v>
      </c>
      <c r="E7802" s="10" t="str">
        <f t="array" ref="E7802">IFS(D7802&lt;=$G$3,'calculated data '!$A$3,D7802&lt;=$G$4,'calculated data '!$A$4,D7802&lt;=$G$6,'calculated data '!$A$5,D7802&gt;=$G$6,'calculated data '!$A$6)</f>
        <v>Target Market (Core IQR)</v>
      </c>
      <c r="F7802" s="10">
        <f t="shared" si="1"/>
        <v>0.08059708035</v>
      </c>
    </row>
    <row r="7803" ht="14.25" customHeight="1">
      <c r="A7803" s="2" t="s">
        <v>311</v>
      </c>
      <c r="B7803" s="2" t="s">
        <v>312</v>
      </c>
      <c r="C7803" s="2">
        <v>2022.0</v>
      </c>
      <c r="D7803" s="9">
        <v>28099.07</v>
      </c>
      <c r="E7803" s="10" t="str">
        <f t="array" ref="E7803">IFS(D7803&lt;=$G$3,'calculated data '!$A$3,D7803&lt;=$G$4,'calculated data '!$A$4,D7803&lt;=$G$6,'calculated data '!$A$5,D7803&gt;=$G$6,'calculated data '!$A$6)</f>
        <v>Target Market (Core IQR)</v>
      </c>
      <c r="F7803" s="10">
        <f t="shared" si="1"/>
        <v>0.08060390955</v>
      </c>
    </row>
    <row r="7804" ht="14.25" customHeight="1">
      <c r="A7804" s="2" t="s">
        <v>419</v>
      </c>
      <c r="B7804" s="2" t="s">
        <v>420</v>
      </c>
      <c r="C7804" s="2">
        <v>2015.0</v>
      </c>
      <c r="D7804" s="9">
        <v>28108.896</v>
      </c>
      <c r="E7804" s="10" t="str">
        <f t="array" ref="E7804">IFS(D7804&lt;=$G$3,'calculated data '!$A$3,D7804&lt;=$G$4,'calculated data '!$A$4,D7804&lt;=$G$6,'calculated data '!$A$5,D7804&gt;=$G$6,'calculated data '!$A$6)</f>
        <v>Target Market (Core IQR)</v>
      </c>
      <c r="F7804" s="10">
        <f t="shared" si="1"/>
        <v>0.08086400132</v>
      </c>
    </row>
    <row r="7805" ht="14.25" customHeight="1">
      <c r="A7805" s="2" t="s">
        <v>423</v>
      </c>
      <c r="B7805" s="2" t="s">
        <v>424</v>
      </c>
      <c r="C7805" s="2">
        <v>1981.0</v>
      </c>
      <c r="D7805" s="9">
        <v>28143.51</v>
      </c>
      <c r="E7805" s="10" t="str">
        <f t="array" ref="E7805">IFS(D7805&lt;=$G$3,'calculated data '!$A$3,D7805&lt;=$G$4,'calculated data '!$A$4,D7805&lt;=$G$6,'calculated data '!$A$5,D7805&gt;=$G$6,'calculated data '!$A$6)</f>
        <v>Target Market (Core IQR)</v>
      </c>
      <c r="F7805" s="10">
        <f t="shared" si="1"/>
        <v>0.08178022528</v>
      </c>
    </row>
    <row r="7806" ht="14.25" customHeight="1">
      <c r="A7806" s="2" t="s">
        <v>375</v>
      </c>
      <c r="B7806" s="2" t="s">
        <v>376</v>
      </c>
      <c r="C7806" s="2">
        <v>1997.0</v>
      </c>
      <c r="D7806" s="9">
        <v>28143.88</v>
      </c>
      <c r="E7806" s="10" t="str">
        <f t="array" ref="E7806">IFS(D7806&lt;=$G$3,'calculated data '!$A$3,D7806&lt;=$G$4,'calculated data '!$A$4,D7806&lt;=$G$6,'calculated data '!$A$5,D7806&gt;=$G$6,'calculated data '!$A$6)</f>
        <v>Target Market (Core IQR)</v>
      </c>
      <c r="F7806" s="10">
        <f t="shared" si="1"/>
        <v>0.08179001909</v>
      </c>
    </row>
    <row r="7807" ht="14.25" customHeight="1">
      <c r="A7807" s="2" t="s">
        <v>127</v>
      </c>
      <c r="B7807" s="2" t="s">
        <v>128</v>
      </c>
      <c r="C7807" s="2">
        <v>2009.0</v>
      </c>
      <c r="D7807" s="9">
        <v>28164.0</v>
      </c>
      <c r="E7807" s="10" t="str">
        <f t="array" ref="E7807">IFS(D7807&lt;=$G$3,'calculated data '!$A$3,D7807&lt;=$G$4,'calculated data '!$A$4,D7807&lt;=$G$6,'calculated data '!$A$5,D7807&gt;=$G$6,'calculated data '!$A$6)</f>
        <v>Target Market (Core IQR)</v>
      </c>
      <c r="F7807" s="10">
        <f t="shared" si="1"/>
        <v>0.08232259048</v>
      </c>
    </row>
    <row r="7808" ht="14.25" customHeight="1">
      <c r="A7808" s="2" t="s">
        <v>359</v>
      </c>
      <c r="B7808" s="2" t="s">
        <v>360</v>
      </c>
      <c r="C7808" s="2">
        <v>1976.0</v>
      </c>
      <c r="D7808" s="9">
        <v>28211.283</v>
      </c>
      <c r="E7808" s="10" t="str">
        <f t="array" ref="E7808">IFS(D7808&lt;=$G$3,'calculated data '!$A$3,D7808&lt;=$G$4,'calculated data '!$A$4,D7808&lt;=$G$6,'calculated data '!$A$5,D7808&gt;=$G$6,'calculated data '!$A$6)</f>
        <v>Target Market (Core IQR)</v>
      </c>
      <c r="F7808" s="10">
        <f t="shared" si="1"/>
        <v>0.08357415971</v>
      </c>
    </row>
    <row r="7809" ht="14.25" customHeight="1">
      <c r="A7809" s="2" t="s">
        <v>375</v>
      </c>
      <c r="B7809" s="2" t="s">
        <v>376</v>
      </c>
      <c r="C7809" s="2">
        <v>1995.0</v>
      </c>
      <c r="D7809" s="9">
        <v>28213.863</v>
      </c>
      <c r="E7809" s="10" t="str">
        <f t="array" ref="E7809">IFS(D7809&lt;=$G$3,'calculated data '!$A$3,D7809&lt;=$G$4,'calculated data '!$A$4,D7809&lt;=$G$6,'calculated data '!$A$5,D7809&gt;=$G$6,'calculated data '!$A$6)</f>
        <v>Target Market (Core IQR)</v>
      </c>
      <c r="F7809" s="10">
        <f t="shared" si="1"/>
        <v>0.08364245167</v>
      </c>
    </row>
    <row r="7810" ht="14.25" customHeight="1">
      <c r="A7810" s="2" t="s">
        <v>421</v>
      </c>
      <c r="B7810" s="2" t="s">
        <v>422</v>
      </c>
      <c r="C7810" s="2">
        <v>2015.0</v>
      </c>
      <c r="D7810" s="9">
        <v>28219.496</v>
      </c>
      <c r="E7810" s="10" t="str">
        <f t="array" ref="E7810">IFS(D7810&lt;=$G$3,'calculated data '!$A$3,D7810&lt;=$G$4,'calculated data '!$A$4,D7810&lt;=$G$6,'calculated data '!$A$5,D7810&gt;=$G$6,'calculated data '!$A$6)</f>
        <v>Target Market (Core IQR)</v>
      </c>
      <c r="F7810" s="10">
        <f t="shared" si="1"/>
        <v>0.08379155578</v>
      </c>
    </row>
    <row r="7811" ht="14.25" customHeight="1">
      <c r="A7811" s="2" t="s">
        <v>331</v>
      </c>
      <c r="B7811" s="2" t="s">
        <v>332</v>
      </c>
      <c r="C7811" s="2">
        <v>2024.0</v>
      </c>
      <c r="D7811" s="9">
        <v>28235.77</v>
      </c>
      <c r="E7811" s="10" t="str">
        <f t="array" ref="E7811">IFS(D7811&lt;=$G$3,'calculated data '!$A$3,D7811&lt;=$G$4,'calculated data '!$A$4,D7811&lt;=$G$6,'calculated data '!$A$5,D7811&gt;=$G$6,'calculated data '!$A$6)</f>
        <v>Target Market (Core IQR)</v>
      </c>
      <c r="F7811" s="10">
        <f t="shared" si="1"/>
        <v>0.0842223245</v>
      </c>
    </row>
    <row r="7812" ht="14.25" customHeight="1">
      <c r="A7812" s="2" t="s">
        <v>355</v>
      </c>
      <c r="B7812" s="2" t="s">
        <v>356</v>
      </c>
      <c r="C7812" s="2">
        <v>1995.0</v>
      </c>
      <c r="D7812" s="9">
        <v>28238.043</v>
      </c>
      <c r="E7812" s="10" t="str">
        <f t="array" ref="E7812">IFS(D7812&lt;=$G$3,'calculated data '!$A$3,D7812&lt;=$G$4,'calculated data '!$A$4,D7812&lt;=$G$6,'calculated data '!$A$5,D7812&gt;=$G$6,'calculated data '!$A$6)</f>
        <v>Target Market (Core IQR)</v>
      </c>
      <c r="F7812" s="10">
        <f t="shared" si="1"/>
        <v>0.08428249025</v>
      </c>
    </row>
    <row r="7813" ht="14.25" customHeight="1">
      <c r="A7813" s="2" t="s">
        <v>375</v>
      </c>
      <c r="B7813" s="2" t="s">
        <v>376</v>
      </c>
      <c r="C7813" s="2">
        <v>2018.0</v>
      </c>
      <c r="D7813" s="9">
        <v>28262.955</v>
      </c>
      <c r="E7813" s="10" t="str">
        <f t="array" ref="E7813">IFS(D7813&lt;=$G$3,'calculated data '!$A$3,D7813&lt;=$G$4,'calculated data '!$A$4,D7813&lt;=$G$6,'calculated data '!$A$5,D7813&gt;=$G$6,'calculated data '!$A$6)</f>
        <v>Target Market (Core IQR)</v>
      </c>
      <c r="F7813" s="10">
        <f t="shared" si="1"/>
        <v>0.08494190468</v>
      </c>
    </row>
    <row r="7814" ht="14.25" customHeight="1">
      <c r="A7814" s="2" t="s">
        <v>421</v>
      </c>
      <c r="B7814" s="2" t="s">
        <v>422</v>
      </c>
      <c r="C7814" s="2">
        <v>1998.0</v>
      </c>
      <c r="D7814" s="9">
        <v>28265.184</v>
      </c>
      <c r="E7814" s="10" t="str">
        <f t="array" ref="E7814">IFS(D7814&lt;=$G$3,'calculated data '!$A$3,D7814&lt;=$G$4,'calculated data '!$A$4,D7814&lt;=$G$6,'calculated data '!$A$5,D7814&gt;=$G$6,'calculated data '!$A$6)</f>
        <v>Target Market (Core IQR)</v>
      </c>
      <c r="F7814" s="10">
        <f t="shared" si="1"/>
        <v>0.08500090576</v>
      </c>
    </row>
    <row r="7815" ht="14.25" customHeight="1">
      <c r="A7815" s="2" t="s">
        <v>295</v>
      </c>
      <c r="B7815" s="2" t="s">
        <v>296</v>
      </c>
      <c r="C7815" s="2">
        <v>2022.0</v>
      </c>
      <c r="D7815" s="9">
        <v>28279.162</v>
      </c>
      <c r="E7815" s="10" t="str">
        <f t="array" ref="E7815">IFS(D7815&lt;=$G$3,'calculated data '!$A$3,D7815&lt;=$G$4,'calculated data '!$A$4,D7815&lt;=$G$6,'calculated data '!$A$5,D7815&gt;=$G$6,'calculated data '!$A$6)</f>
        <v>Target Market (Core IQR)</v>
      </c>
      <c r="F7815" s="10">
        <f t="shared" si="1"/>
        <v>0.08537089994</v>
      </c>
    </row>
    <row r="7816" ht="14.25" customHeight="1">
      <c r="A7816" s="2" t="s">
        <v>197</v>
      </c>
      <c r="B7816" s="2" t="s">
        <v>198</v>
      </c>
      <c r="C7816" s="2">
        <v>2022.0</v>
      </c>
      <c r="D7816" s="9">
        <v>28279.979</v>
      </c>
      <c r="E7816" s="10" t="str">
        <f t="array" ref="E7816">IFS(D7816&lt;=$G$3,'calculated data '!$A$3,D7816&lt;=$G$4,'calculated data '!$A$4,D7816&lt;=$G$6,'calculated data '!$A$5,D7816&gt;=$G$6,'calculated data '!$A$6)</f>
        <v>Target Market (Core IQR)</v>
      </c>
      <c r="F7816" s="10">
        <f t="shared" si="1"/>
        <v>0.08539252572</v>
      </c>
    </row>
    <row r="7817" ht="14.25" customHeight="1">
      <c r="A7817" s="2" t="s">
        <v>331</v>
      </c>
      <c r="B7817" s="2" t="s">
        <v>332</v>
      </c>
      <c r="C7817" s="2">
        <v>1993.0</v>
      </c>
      <c r="D7817" s="9">
        <v>28282.541</v>
      </c>
      <c r="E7817" s="10" t="str">
        <f t="array" ref="E7817">IFS(D7817&lt;=$G$3,'calculated data '!$A$3,D7817&lt;=$G$4,'calculated data '!$A$4,D7817&lt;=$G$6,'calculated data '!$A$5,D7817&gt;=$G$6,'calculated data '!$A$6)</f>
        <v>Target Market (Core IQR)</v>
      </c>
      <c r="F7817" s="10">
        <f t="shared" si="1"/>
        <v>0.08546034122</v>
      </c>
    </row>
    <row r="7818" ht="14.25" customHeight="1">
      <c r="A7818" s="2" t="s">
        <v>355</v>
      </c>
      <c r="B7818" s="2" t="s">
        <v>356</v>
      </c>
      <c r="C7818" s="2">
        <v>1981.0</v>
      </c>
      <c r="D7818" s="9">
        <v>28287.527</v>
      </c>
      <c r="E7818" s="10" t="str">
        <f t="array" ref="E7818">IFS(D7818&lt;=$G$3,'calculated data '!$A$3,D7818&lt;=$G$4,'calculated data '!$A$4,D7818&lt;=$G$6,'calculated data '!$A$5,D7818&gt;=$G$6,'calculated data '!$A$6)</f>
        <v>Target Market (Core IQR)</v>
      </c>
      <c r="F7818" s="10">
        <f t="shared" si="1"/>
        <v>0.0855923194</v>
      </c>
    </row>
    <row r="7819" ht="14.25" customHeight="1">
      <c r="A7819" s="2" t="s">
        <v>387</v>
      </c>
      <c r="B7819" s="2" t="s">
        <v>388</v>
      </c>
      <c r="C7819" s="2">
        <v>1998.0</v>
      </c>
      <c r="D7819" s="9">
        <v>28305.19</v>
      </c>
      <c r="E7819" s="10" t="str">
        <f t="array" ref="E7819">IFS(D7819&lt;=$G$3,'calculated data '!$A$3,D7819&lt;=$G$4,'calculated data '!$A$4,D7819&lt;=$G$6,'calculated data '!$A$5,D7819&gt;=$G$6,'calculated data '!$A$6)</f>
        <v>Target Market (Core IQR)</v>
      </c>
      <c r="F7819" s="10">
        <f t="shared" si="1"/>
        <v>0.08605985461</v>
      </c>
    </row>
    <row r="7820" ht="14.25" customHeight="1">
      <c r="A7820" s="2" t="s">
        <v>353</v>
      </c>
      <c r="B7820" s="2" t="s">
        <v>354</v>
      </c>
      <c r="C7820" s="2">
        <v>2023.0</v>
      </c>
      <c r="D7820" s="9">
        <v>28324.393</v>
      </c>
      <c r="E7820" s="10" t="str">
        <f t="array" ref="E7820">IFS(D7820&lt;=$G$3,'calculated data '!$A$3,D7820&lt;=$G$4,'calculated data '!$A$4,D7820&lt;=$G$6,'calculated data '!$A$5,D7820&gt;=$G$6,'calculated data '!$A$6)</f>
        <v>Target Market (Core IQR)</v>
      </c>
      <c r="F7820" s="10">
        <f t="shared" si="1"/>
        <v>0.08656815324</v>
      </c>
    </row>
    <row r="7821" ht="14.25" customHeight="1">
      <c r="A7821" s="2" t="s">
        <v>335</v>
      </c>
      <c r="B7821" s="2" t="s">
        <v>336</v>
      </c>
      <c r="C7821" s="2">
        <v>1994.0</v>
      </c>
      <c r="D7821" s="9">
        <v>28343.654</v>
      </c>
      <c r="E7821" s="10" t="str">
        <f t="array" ref="E7821">IFS(D7821&lt;=$G$3,'calculated data '!$A$3,D7821&lt;=$G$4,'calculated data '!$A$4,D7821&lt;=$G$6,'calculated data '!$A$5,D7821&gt;=$G$6,'calculated data '!$A$6)</f>
        <v>Target Market (Core IQR)</v>
      </c>
      <c r="F7821" s="10">
        <f t="shared" si="1"/>
        <v>0.08707798711</v>
      </c>
    </row>
    <row r="7822" ht="14.25" customHeight="1">
      <c r="A7822" s="2" t="s">
        <v>311</v>
      </c>
      <c r="B7822" s="2" t="s">
        <v>312</v>
      </c>
      <c r="C7822" s="2">
        <v>2018.0</v>
      </c>
      <c r="D7822" s="9">
        <v>28354.258</v>
      </c>
      <c r="E7822" s="10" t="str">
        <f t="array" ref="E7822">IFS(D7822&lt;=$G$3,'calculated data '!$A$3,D7822&lt;=$G$4,'calculated data '!$A$4,D7822&lt;=$G$6,'calculated data '!$A$5,D7822&gt;=$G$6,'calculated data '!$A$6)</f>
        <v>Target Market (Core IQR)</v>
      </c>
      <c r="F7822" s="10">
        <f t="shared" si="1"/>
        <v>0.08735867235</v>
      </c>
    </row>
    <row r="7823" ht="14.25" customHeight="1">
      <c r="A7823" s="2" t="s">
        <v>379</v>
      </c>
      <c r="B7823" s="2" t="s">
        <v>380</v>
      </c>
      <c r="C7823" s="2">
        <v>1989.0</v>
      </c>
      <c r="D7823" s="9">
        <v>28362.309</v>
      </c>
      <c r="E7823" s="10" t="str">
        <f t="array" ref="E7823">IFS(D7823&lt;=$G$3,'calculated data '!$A$3,D7823&lt;=$G$4,'calculated data '!$A$4,D7823&lt;=$G$6,'calculated data '!$A$5,D7823&gt;=$G$6,'calculated data '!$A$6)</f>
        <v>Target Market (Core IQR)</v>
      </c>
      <c r="F7823" s="10">
        <f t="shared" si="1"/>
        <v>0.08757178032</v>
      </c>
    </row>
    <row r="7824" ht="14.25" customHeight="1">
      <c r="A7824" s="2" t="s">
        <v>421</v>
      </c>
      <c r="B7824" s="2" t="s">
        <v>422</v>
      </c>
      <c r="C7824" s="2">
        <v>2009.0</v>
      </c>
      <c r="D7824" s="9">
        <v>28370.928</v>
      </c>
      <c r="E7824" s="10" t="str">
        <f t="array" ref="E7824">IFS(D7824&lt;=$G$3,'calculated data '!$A$3,D7824&lt;=$G$4,'calculated data '!$A$4,D7824&lt;=$G$6,'calculated data '!$A$5,D7824&gt;=$G$6,'calculated data '!$A$6)</f>
        <v>Target Market (Core IQR)</v>
      </c>
      <c r="F7824" s="10">
        <f t="shared" si="1"/>
        <v>0.0877999231</v>
      </c>
    </row>
    <row r="7825" ht="14.25" customHeight="1">
      <c r="A7825" s="2" t="s">
        <v>371</v>
      </c>
      <c r="B7825" s="2" t="s">
        <v>372</v>
      </c>
      <c r="C7825" s="2">
        <v>2016.0</v>
      </c>
      <c r="D7825" s="9">
        <v>28390.072</v>
      </c>
      <c r="E7825" s="10" t="str">
        <f t="array" ref="E7825">IFS(D7825&lt;=$G$3,'calculated data '!$A$3,D7825&lt;=$G$4,'calculated data '!$A$4,D7825&lt;=$G$6,'calculated data '!$A$5,D7825&gt;=$G$6,'calculated data '!$A$6)</f>
        <v>Target Market (Core IQR)</v>
      </c>
      <c r="F7825" s="10">
        <f t="shared" si="1"/>
        <v>0.08830666001</v>
      </c>
    </row>
    <row r="7826" ht="14.25" customHeight="1">
      <c r="A7826" s="2" t="s">
        <v>371</v>
      </c>
      <c r="B7826" s="2" t="s">
        <v>372</v>
      </c>
      <c r="C7826" s="2">
        <v>2015.0</v>
      </c>
      <c r="D7826" s="9">
        <v>28394.059</v>
      </c>
      <c r="E7826" s="10" t="str">
        <f t="array" ref="E7826">IFS(D7826&lt;=$G$3,'calculated data '!$A$3,D7826&lt;=$G$4,'calculated data '!$A$4,D7826&lt;=$G$6,'calculated data '!$A$5,D7826&gt;=$G$6,'calculated data '!$A$6)</f>
        <v>Target Market (Core IQR)</v>
      </c>
      <c r="F7826" s="10">
        <f t="shared" si="1"/>
        <v>0.08841219491</v>
      </c>
    </row>
    <row r="7827" ht="14.25" customHeight="1">
      <c r="A7827" s="2" t="s">
        <v>437</v>
      </c>
      <c r="B7827" s="2" t="s">
        <v>438</v>
      </c>
      <c r="C7827" s="2">
        <v>1966.0</v>
      </c>
      <c r="D7827" s="9">
        <v>28400.74</v>
      </c>
      <c r="E7827" s="10" t="str">
        <f t="array" ref="E7827">IFS(D7827&lt;=$G$3,'calculated data '!$A$3,D7827&lt;=$G$4,'calculated data '!$A$4,D7827&lt;=$G$6,'calculated data '!$A$5,D7827&gt;=$G$6,'calculated data '!$A$6)</f>
        <v>Target Market (Core IQR)</v>
      </c>
      <c r="F7827" s="10">
        <f t="shared" si="1"/>
        <v>0.08858903931</v>
      </c>
    </row>
    <row r="7828" ht="14.25" customHeight="1">
      <c r="A7828" s="2" t="s">
        <v>337</v>
      </c>
      <c r="B7828" s="2" t="s">
        <v>338</v>
      </c>
      <c r="C7828" s="2">
        <v>1998.0</v>
      </c>
      <c r="D7828" s="9">
        <v>28406.807</v>
      </c>
      <c r="E7828" s="10" t="str">
        <f t="array" ref="E7828">IFS(D7828&lt;=$G$3,'calculated data '!$A$3,D7828&lt;=$G$4,'calculated data '!$A$4,D7828&lt;=$G$6,'calculated data '!$A$5,D7828&gt;=$G$6,'calculated data '!$A$6)</f>
        <v>Target Market (Core IQR)</v>
      </c>
      <c r="F7828" s="10">
        <f t="shared" si="1"/>
        <v>0.08874963129</v>
      </c>
    </row>
    <row r="7829" ht="14.25" customHeight="1">
      <c r="A7829" s="2" t="s">
        <v>379</v>
      </c>
      <c r="B7829" s="2" t="s">
        <v>380</v>
      </c>
      <c r="C7829" s="2">
        <v>1990.0</v>
      </c>
      <c r="D7829" s="9">
        <v>28411.346</v>
      </c>
      <c r="E7829" s="10" t="str">
        <f t="array" ref="E7829">IFS(D7829&lt;=$G$3,'calculated data '!$A$3,D7829&lt;=$G$4,'calculated data '!$A$4,D7829&lt;=$G$6,'calculated data '!$A$5,D7829&gt;=$G$6,'calculated data '!$A$6)</f>
        <v>Target Market (Core IQR)</v>
      </c>
      <c r="F7829" s="10">
        <f t="shared" si="1"/>
        <v>0.08886977749</v>
      </c>
    </row>
    <row r="7830" ht="14.25" customHeight="1">
      <c r="A7830" s="2" t="s">
        <v>257</v>
      </c>
      <c r="B7830" s="2" t="s">
        <v>258</v>
      </c>
      <c r="C7830" s="2">
        <v>2006.0</v>
      </c>
      <c r="D7830" s="9">
        <v>28420.826</v>
      </c>
      <c r="E7830" s="10" t="str">
        <f t="array" ref="E7830">IFS(D7830&lt;=$G$3,'calculated data '!$A$3,D7830&lt;=$G$4,'calculated data '!$A$4,D7830&lt;=$G$6,'calculated data '!$A$5,D7830&gt;=$G$6,'calculated data '!$A$6)</f>
        <v>Target Market (Core IQR)</v>
      </c>
      <c r="F7830" s="10">
        <f t="shared" si="1"/>
        <v>0.08912071073</v>
      </c>
    </row>
    <row r="7831" ht="14.25" customHeight="1">
      <c r="A7831" s="2" t="s">
        <v>421</v>
      </c>
      <c r="B7831" s="2" t="s">
        <v>422</v>
      </c>
      <c r="C7831" s="2">
        <v>1994.0</v>
      </c>
      <c r="D7831" s="9">
        <v>28427.832</v>
      </c>
      <c r="E7831" s="10" t="str">
        <f t="array" ref="E7831">IFS(D7831&lt;=$G$3,'calculated data '!$A$3,D7831&lt;=$G$4,'calculated data '!$A$4,D7831&lt;=$G$6,'calculated data '!$A$5,D7831&gt;=$G$6,'calculated data '!$A$6)</f>
        <v>Target Market (Core IQR)</v>
      </c>
      <c r="F7831" s="10">
        <f t="shared" si="1"/>
        <v>0.08930615781</v>
      </c>
    </row>
    <row r="7832" ht="14.25" customHeight="1">
      <c r="A7832" s="2" t="s">
        <v>353</v>
      </c>
      <c r="B7832" s="2" t="s">
        <v>354</v>
      </c>
      <c r="C7832" s="2">
        <v>2001.0</v>
      </c>
      <c r="D7832" s="9">
        <v>28441.594</v>
      </c>
      <c r="E7832" s="10" t="str">
        <f t="array" ref="E7832">IFS(D7832&lt;=$G$3,'calculated data '!$A$3,D7832&lt;=$G$4,'calculated data '!$A$4,D7832&lt;=$G$6,'calculated data '!$A$5,D7832&gt;=$G$6,'calculated data '!$A$6)</f>
        <v>Target Market (Core IQR)</v>
      </c>
      <c r="F7832" s="10">
        <f t="shared" si="1"/>
        <v>0.08967043452</v>
      </c>
    </row>
    <row r="7833" ht="14.25" customHeight="1">
      <c r="A7833" s="2" t="s">
        <v>371</v>
      </c>
      <c r="B7833" s="2" t="s">
        <v>372</v>
      </c>
      <c r="C7833" s="2">
        <v>1974.0</v>
      </c>
      <c r="D7833" s="9">
        <v>28449.805</v>
      </c>
      <c r="E7833" s="10" t="str">
        <f t="array" ref="E7833">IFS(D7833&lt;=$G$3,'calculated data '!$A$3,D7833&lt;=$G$4,'calculated data '!$A$4,D7833&lt;=$G$6,'calculated data '!$A$5,D7833&gt;=$G$6,'calculated data '!$A$6)</f>
        <v>Target Market (Core IQR)</v>
      </c>
      <c r="F7833" s="10">
        <f t="shared" si="1"/>
        <v>0.08988777764</v>
      </c>
    </row>
    <row r="7834" ht="14.25" customHeight="1">
      <c r="A7834" s="2" t="s">
        <v>385</v>
      </c>
      <c r="B7834" s="2" t="s">
        <v>386</v>
      </c>
      <c r="C7834" s="2">
        <v>2007.0</v>
      </c>
      <c r="D7834" s="9">
        <v>28456.82</v>
      </c>
      <c r="E7834" s="10" t="str">
        <f t="array" ref="E7834">IFS(D7834&lt;=$G$3,'calculated data '!$A$3,D7834&lt;=$G$4,'calculated data '!$A$4,D7834&lt;=$G$6,'calculated data '!$A$5,D7834&gt;=$G$6,'calculated data '!$A$6)</f>
        <v>Target Market (Core IQR)</v>
      </c>
      <c r="F7834" s="10">
        <f t="shared" si="1"/>
        <v>0.09007346295</v>
      </c>
    </row>
    <row r="7835" ht="14.25" customHeight="1">
      <c r="A7835" s="2" t="s">
        <v>439</v>
      </c>
      <c r="B7835" s="2" t="s">
        <v>440</v>
      </c>
      <c r="C7835" s="2">
        <v>1967.0</v>
      </c>
      <c r="D7835" s="9">
        <v>28458.402</v>
      </c>
      <c r="E7835" s="10" t="str">
        <f t="array" ref="E7835">IFS(D7835&lt;=$G$3,'calculated data '!$A$3,D7835&lt;=$G$4,'calculated data '!$A$4,D7835&lt;=$G$6,'calculated data '!$A$5,D7835&gt;=$G$6,'calculated data '!$A$6)</f>
        <v>Target Market (Core IQR)</v>
      </c>
      <c r="F7835" s="10">
        <f t="shared" si="1"/>
        <v>0.09011533809</v>
      </c>
    </row>
    <row r="7836" ht="14.25" customHeight="1">
      <c r="A7836" s="2" t="s">
        <v>371</v>
      </c>
      <c r="B7836" s="2" t="s">
        <v>372</v>
      </c>
      <c r="C7836" s="2">
        <v>2019.0</v>
      </c>
      <c r="D7836" s="9">
        <v>28458.92</v>
      </c>
      <c r="E7836" s="10" t="str">
        <f t="array" ref="E7836">IFS(D7836&lt;=$G$3,'calculated data '!$A$3,D7836&lt;=$G$4,'calculated data '!$A$4,D7836&lt;=$G$6,'calculated data '!$A$5,D7836&gt;=$G$6,'calculated data '!$A$6)</f>
        <v>Target Market (Core IQR)</v>
      </c>
      <c r="F7836" s="10">
        <f t="shared" si="1"/>
        <v>0.09012904942</v>
      </c>
    </row>
    <row r="7837" ht="14.25" customHeight="1">
      <c r="A7837" s="2" t="s">
        <v>401</v>
      </c>
      <c r="B7837" s="2" t="s">
        <v>402</v>
      </c>
      <c r="C7837" s="2">
        <v>1970.0</v>
      </c>
      <c r="D7837" s="9">
        <v>28459.201</v>
      </c>
      <c r="E7837" s="10" t="str">
        <f t="array" ref="E7837">IFS(D7837&lt;=$G$3,'calculated data '!$A$3,D7837&lt;=$G$4,'calculated data '!$A$4,D7837&lt;=$G$6,'calculated data '!$A$5,D7837&gt;=$G$6,'calculated data '!$A$6)</f>
        <v>Target Market (Core IQR)</v>
      </c>
      <c r="F7837" s="10">
        <f t="shared" si="1"/>
        <v>0.09013648742</v>
      </c>
    </row>
    <row r="7838" ht="14.25" customHeight="1">
      <c r="A7838" s="2" t="s">
        <v>407</v>
      </c>
      <c r="B7838" s="2" t="s">
        <v>408</v>
      </c>
      <c r="C7838" s="2">
        <v>2003.0</v>
      </c>
      <c r="D7838" s="9">
        <v>28468.428</v>
      </c>
      <c r="E7838" s="10" t="str">
        <f t="array" ref="E7838">IFS(D7838&lt;=$G$3,'calculated data '!$A$3,D7838&lt;=$G$4,'calculated data '!$A$4,D7838&lt;=$G$6,'calculated data '!$A$5,D7838&gt;=$G$6,'calculated data '!$A$6)</f>
        <v>Target Market (Core IQR)</v>
      </c>
      <c r="F7838" s="10">
        <f t="shared" si="1"/>
        <v>0.09038072382</v>
      </c>
    </row>
    <row r="7839" ht="14.25" customHeight="1">
      <c r="A7839" s="2" t="s">
        <v>309</v>
      </c>
      <c r="B7839" s="2" t="s">
        <v>310</v>
      </c>
      <c r="C7839" s="2">
        <v>1997.0</v>
      </c>
      <c r="D7839" s="9">
        <v>28471.62</v>
      </c>
      <c r="E7839" s="10" t="str">
        <f t="array" ref="E7839">IFS(D7839&lt;=$G$3,'calculated data '!$A$3,D7839&lt;=$G$4,'calculated data '!$A$4,D7839&lt;=$G$6,'calculated data '!$A$5,D7839&gt;=$G$6,'calculated data '!$A$6)</f>
        <v>Target Market (Core IQR)</v>
      </c>
      <c r="F7839" s="10">
        <f t="shared" si="1"/>
        <v>0.09046521526</v>
      </c>
    </row>
    <row r="7840" ht="14.25" customHeight="1">
      <c r="A7840" s="2" t="s">
        <v>375</v>
      </c>
      <c r="B7840" s="2" t="s">
        <v>376</v>
      </c>
      <c r="C7840" s="2">
        <v>1998.0</v>
      </c>
      <c r="D7840" s="9">
        <v>28480.078</v>
      </c>
      <c r="E7840" s="10" t="str">
        <f t="array" ref="E7840">IFS(D7840&lt;=$G$3,'calculated data '!$A$3,D7840&lt;=$G$4,'calculated data '!$A$4,D7840&lt;=$G$6,'calculated data '!$A$5,D7840&gt;=$G$6,'calculated data '!$A$6)</f>
        <v>Target Market (Core IQR)</v>
      </c>
      <c r="F7840" s="10">
        <f t="shared" si="1"/>
        <v>0.09068909641</v>
      </c>
    </row>
    <row r="7841" ht="14.25" customHeight="1">
      <c r="A7841" s="2" t="s">
        <v>375</v>
      </c>
      <c r="B7841" s="2" t="s">
        <v>376</v>
      </c>
      <c r="C7841" s="2">
        <v>2010.0</v>
      </c>
      <c r="D7841" s="9">
        <v>28481.984</v>
      </c>
      <c r="E7841" s="10" t="str">
        <f t="array" ref="E7841">IFS(D7841&lt;=$G$3,'calculated data '!$A$3,D7841&lt;=$G$4,'calculated data '!$A$4,D7841&lt;=$G$6,'calculated data '!$A$5,D7841&gt;=$G$6,'calculated data '!$A$6)</f>
        <v>Target Market (Core IQR)</v>
      </c>
      <c r="F7841" s="10">
        <f t="shared" si="1"/>
        <v>0.09073954776</v>
      </c>
    </row>
    <row r="7842" ht="14.25" customHeight="1">
      <c r="A7842" s="2" t="s">
        <v>349</v>
      </c>
      <c r="B7842" s="2" t="s">
        <v>350</v>
      </c>
      <c r="C7842" s="2">
        <v>1992.0</v>
      </c>
      <c r="D7842" s="9">
        <v>28487.797</v>
      </c>
      <c r="E7842" s="10" t="str">
        <f t="array" ref="E7842">IFS(D7842&lt;=$G$3,'calculated data '!$A$3,D7842&lt;=$G$4,'calculated data '!$A$4,D7842&lt;=$G$6,'calculated data '!$A$5,D7842&gt;=$G$6,'calculated data '!$A$6)</f>
        <v>Target Market (Core IQR)</v>
      </c>
      <c r="F7842" s="10">
        <f t="shared" si="1"/>
        <v>0.09089341642</v>
      </c>
    </row>
    <row r="7843" ht="14.25" customHeight="1">
      <c r="A7843" s="2" t="s">
        <v>355</v>
      </c>
      <c r="B7843" s="2" t="s">
        <v>356</v>
      </c>
      <c r="C7843" s="2">
        <v>2010.0</v>
      </c>
      <c r="D7843" s="9">
        <v>28490.139</v>
      </c>
      <c r="E7843" s="10" t="str">
        <f t="array" ref="E7843">IFS(D7843&lt;=$G$3,'calculated data '!$A$3,D7843&lt;=$G$4,'calculated data '!$A$4,D7843&lt;=$G$6,'calculated data '!$A$5,D7843&gt;=$G$6,'calculated data '!$A$6)</f>
        <v>Target Market (Core IQR)</v>
      </c>
      <c r="F7843" s="10">
        <f t="shared" si="1"/>
        <v>0.09095540858</v>
      </c>
    </row>
    <row r="7844" ht="14.25" customHeight="1">
      <c r="A7844" s="2" t="s">
        <v>375</v>
      </c>
      <c r="B7844" s="2" t="s">
        <v>376</v>
      </c>
      <c r="C7844" s="2">
        <v>1977.0</v>
      </c>
      <c r="D7844" s="9">
        <v>28493.262</v>
      </c>
      <c r="E7844" s="10" t="str">
        <f t="array" ref="E7844">IFS(D7844&lt;=$G$3,'calculated data '!$A$3,D7844&lt;=$G$4,'calculated data '!$A$4,D7844&lt;=$G$6,'calculated data '!$A$5,D7844&gt;=$G$6,'calculated data '!$A$6)</f>
        <v>Target Market (Core IQR)</v>
      </c>
      <c r="F7844" s="10">
        <f t="shared" si="1"/>
        <v>0.09103807361</v>
      </c>
    </row>
    <row r="7845" ht="14.25" customHeight="1">
      <c r="A7845" s="2" t="s">
        <v>381</v>
      </c>
      <c r="B7845" s="2" t="s">
        <v>382</v>
      </c>
      <c r="C7845" s="2">
        <v>1983.0</v>
      </c>
      <c r="D7845" s="9">
        <v>28506.496</v>
      </c>
      <c r="E7845" s="10" t="str">
        <f t="array" ref="E7845">IFS(D7845&lt;=$G$3,'calculated data '!$A$3,D7845&lt;=$G$4,'calculated data '!$A$4,D7845&lt;=$G$6,'calculated data '!$A$5,D7845&gt;=$G$6,'calculated data '!$A$6)</f>
        <v>Target Market (Core IQR)</v>
      </c>
      <c r="F7845" s="10">
        <f t="shared" si="1"/>
        <v>0.09138837429</v>
      </c>
    </row>
    <row r="7846" ht="14.25" customHeight="1">
      <c r="A7846" s="2" t="s">
        <v>309</v>
      </c>
      <c r="B7846" s="2" t="s">
        <v>310</v>
      </c>
      <c r="C7846" s="2">
        <v>1999.0</v>
      </c>
      <c r="D7846" s="9">
        <v>28507.68</v>
      </c>
      <c r="E7846" s="10" t="str">
        <f t="array" ref="E7846">IFS(D7846&lt;=$G$3,'calculated data '!$A$3,D7846&lt;=$G$4,'calculated data '!$A$4,D7846&lt;=$G$6,'calculated data '!$A$5,D7846&gt;=$G$6,'calculated data '!$A$6)</f>
        <v>Target Market (Core IQR)</v>
      </c>
      <c r="F7846" s="10">
        <f t="shared" si="1"/>
        <v>0.09141971448</v>
      </c>
    </row>
    <row r="7847" ht="14.25" customHeight="1">
      <c r="A7847" s="2" t="s">
        <v>387</v>
      </c>
      <c r="B7847" s="2" t="s">
        <v>388</v>
      </c>
      <c r="C7847" s="2">
        <v>2000.0</v>
      </c>
      <c r="D7847" s="9">
        <v>28510.771</v>
      </c>
      <c r="E7847" s="10" t="str">
        <f t="array" ref="E7847">IFS(D7847&lt;=$G$3,'calculated data '!$A$3,D7847&lt;=$G$4,'calculated data '!$A$4,D7847&lt;=$G$6,'calculated data '!$A$5,D7847&gt;=$G$6,'calculated data '!$A$6)</f>
        <v>Target Market (Core IQR)</v>
      </c>
      <c r="F7847" s="10">
        <f t="shared" si="1"/>
        <v>0.09150153248</v>
      </c>
    </row>
    <row r="7848" ht="14.25" customHeight="1">
      <c r="A7848" s="2" t="s">
        <v>371</v>
      </c>
      <c r="B7848" s="2" t="s">
        <v>372</v>
      </c>
      <c r="C7848" s="2">
        <v>1986.0</v>
      </c>
      <c r="D7848" s="9">
        <v>28518.125</v>
      </c>
      <c r="E7848" s="10" t="str">
        <f t="array" ref="E7848">IFS(D7848&lt;=$G$3,'calculated data '!$A$3,D7848&lt;=$G$4,'calculated data '!$A$4,D7848&lt;=$G$6,'calculated data '!$A$5,D7848&gt;=$G$6,'calculated data '!$A$6)</f>
        <v>Target Market (Core IQR)</v>
      </c>
      <c r="F7848" s="10">
        <f t="shared" si="1"/>
        <v>0.09169619103</v>
      </c>
    </row>
    <row r="7849" ht="14.25" customHeight="1">
      <c r="A7849" s="2" t="s">
        <v>429</v>
      </c>
      <c r="B7849" s="2" t="s">
        <v>430</v>
      </c>
      <c r="C7849" s="2">
        <v>1966.0</v>
      </c>
      <c r="D7849" s="9">
        <v>28525.906</v>
      </c>
      <c r="E7849" s="10" t="str">
        <f t="array" ref="E7849">IFS(D7849&lt;=$G$3,'calculated data '!$A$3,D7849&lt;=$G$4,'calculated data '!$A$4,D7849&lt;=$G$6,'calculated data '!$A$5,D7849&gt;=$G$6,'calculated data '!$A$6)</f>
        <v>Target Market (Core IQR)</v>
      </c>
      <c r="F7849" s="10">
        <f t="shared" si="1"/>
        <v>0.09190215216</v>
      </c>
    </row>
    <row r="7850" ht="14.25" customHeight="1">
      <c r="A7850" s="2" t="s">
        <v>353</v>
      </c>
      <c r="B7850" s="2" t="s">
        <v>354</v>
      </c>
      <c r="C7850" s="2">
        <v>2014.0</v>
      </c>
      <c r="D7850" s="9">
        <v>28527.188</v>
      </c>
      <c r="E7850" s="10" t="str">
        <f t="array" ref="E7850">IFS(D7850&lt;=$G$3,'calculated data '!$A$3,D7850&lt;=$G$4,'calculated data '!$A$4,D7850&lt;=$G$6,'calculated data '!$A$5,D7850&gt;=$G$6,'calculated data '!$A$6)</f>
        <v>Target Market (Core IQR)</v>
      </c>
      <c r="F7850" s="10">
        <f t="shared" si="1"/>
        <v>0.09193608638</v>
      </c>
    </row>
    <row r="7851" ht="14.25" customHeight="1">
      <c r="A7851" s="2" t="s">
        <v>393</v>
      </c>
      <c r="B7851" s="2" t="s">
        <v>394</v>
      </c>
      <c r="C7851" s="2">
        <v>1993.0</v>
      </c>
      <c r="D7851" s="9">
        <v>28533.926</v>
      </c>
      <c r="E7851" s="10" t="str">
        <f t="array" ref="E7851">IFS(D7851&lt;=$G$3,'calculated data '!$A$3,D7851&lt;=$G$4,'calculated data '!$A$4,D7851&lt;=$G$6,'calculated data '!$A$5,D7851&gt;=$G$6,'calculated data '!$A$6)</f>
        <v>Target Market (Core IQR)</v>
      </c>
      <c r="F7851" s="10">
        <f t="shared" si="1"/>
        <v>0.09211443956</v>
      </c>
    </row>
    <row r="7852" ht="14.25" customHeight="1">
      <c r="A7852" s="2" t="s">
        <v>375</v>
      </c>
      <c r="B7852" s="2" t="s">
        <v>376</v>
      </c>
      <c r="C7852" s="2">
        <v>2019.0</v>
      </c>
      <c r="D7852" s="9">
        <v>28536.904</v>
      </c>
      <c r="E7852" s="10" t="str">
        <f t="array" ref="E7852">IFS(D7852&lt;=$G$3,'calculated data '!$A$3,D7852&lt;=$G$4,'calculated data '!$A$4,D7852&lt;=$G$6,'calculated data '!$A$5,D7852&gt;=$G$6,'calculated data '!$A$6)</f>
        <v>Target Market (Core IQR)</v>
      </c>
      <c r="F7852" s="10">
        <f t="shared" si="1"/>
        <v>0.09219326648</v>
      </c>
    </row>
    <row r="7853" ht="14.25" customHeight="1">
      <c r="A7853" s="2" t="s">
        <v>249</v>
      </c>
      <c r="B7853" s="2" t="s">
        <v>250</v>
      </c>
      <c r="C7853" s="2">
        <v>2003.0</v>
      </c>
      <c r="D7853" s="9">
        <v>28542.492</v>
      </c>
      <c r="E7853" s="10" t="str">
        <f t="array" ref="E7853">IFS(D7853&lt;=$G$3,'calculated data '!$A$3,D7853&lt;=$G$4,'calculated data '!$A$4,D7853&lt;=$G$6,'calculated data '!$A$5,D7853&gt;=$G$6,'calculated data '!$A$6)</f>
        <v>Target Market (Core IQR)</v>
      </c>
      <c r="F7853" s="10">
        <f t="shared" si="1"/>
        <v>0.09234117945</v>
      </c>
    </row>
    <row r="7854" ht="14.25" customHeight="1">
      <c r="A7854" s="2" t="s">
        <v>439</v>
      </c>
      <c r="B7854" s="2" t="s">
        <v>440</v>
      </c>
      <c r="C7854" s="2">
        <v>1965.0</v>
      </c>
      <c r="D7854" s="9">
        <v>28547.89</v>
      </c>
      <c r="E7854" s="10" t="str">
        <f t="array" ref="E7854">IFS(D7854&lt;=$G$3,'calculated data '!$A$3,D7854&lt;=$G$4,'calculated data '!$A$4,D7854&lt;=$G$6,'calculated data '!$A$5,D7854&gt;=$G$6,'calculated data '!$A$6)</f>
        <v>Target Market (Core IQR)</v>
      </c>
      <c r="F7854" s="10">
        <f t="shared" si="1"/>
        <v>0.09248406316</v>
      </c>
    </row>
    <row r="7855" ht="14.25" customHeight="1">
      <c r="A7855" s="2" t="s">
        <v>375</v>
      </c>
      <c r="B7855" s="2" t="s">
        <v>376</v>
      </c>
      <c r="C7855" s="2">
        <v>2001.0</v>
      </c>
      <c r="D7855" s="9">
        <v>28548.047</v>
      </c>
      <c r="E7855" s="10" t="str">
        <f t="array" ref="E7855">IFS(D7855&lt;=$G$3,'calculated data '!$A$3,D7855&lt;=$G$4,'calculated data '!$A$4,D7855&lt;=$G$6,'calculated data '!$A$5,D7855&gt;=$G$6,'calculated data '!$A$6)</f>
        <v>Target Market (Core IQR)</v>
      </c>
      <c r="F7855" s="10">
        <f t="shared" si="1"/>
        <v>0.09248821892</v>
      </c>
    </row>
    <row r="7856" ht="14.25" customHeight="1">
      <c r="A7856" s="2" t="s">
        <v>375</v>
      </c>
      <c r="B7856" s="2" t="s">
        <v>376</v>
      </c>
      <c r="C7856" s="2">
        <v>2002.0</v>
      </c>
      <c r="D7856" s="9">
        <v>28548.742</v>
      </c>
      <c r="E7856" s="10" t="str">
        <f t="array" ref="E7856">IFS(D7856&lt;=$G$3,'calculated data '!$A$3,D7856&lt;=$G$4,'calculated data '!$A$4,D7856&lt;=$G$6,'calculated data '!$A$5,D7856&gt;=$G$6,'calculated data '!$A$6)</f>
        <v>Target Market (Core IQR)</v>
      </c>
      <c r="F7856" s="10">
        <f t="shared" si="1"/>
        <v>0.09250661539</v>
      </c>
    </row>
    <row r="7857" ht="14.25" customHeight="1">
      <c r="A7857" s="2" t="s">
        <v>309</v>
      </c>
      <c r="B7857" s="2" t="s">
        <v>310</v>
      </c>
      <c r="C7857" s="2">
        <v>1998.0</v>
      </c>
      <c r="D7857" s="9">
        <v>28557.63</v>
      </c>
      <c r="E7857" s="10" t="str">
        <f t="array" ref="E7857">IFS(D7857&lt;=$G$3,'calculated data '!$A$3,D7857&lt;=$G$4,'calculated data '!$A$4,D7857&lt;=$G$6,'calculated data '!$A$5,D7857&gt;=$G$6,'calculated data '!$A$6)</f>
        <v>Target Market (Core IQR)</v>
      </c>
      <c r="F7857" s="10">
        <f t="shared" si="1"/>
        <v>0.09274187854</v>
      </c>
    </row>
    <row r="7858" ht="14.25" customHeight="1">
      <c r="A7858" s="2" t="s">
        <v>421</v>
      </c>
      <c r="B7858" s="2" t="s">
        <v>422</v>
      </c>
      <c r="C7858" s="2">
        <v>2025.0</v>
      </c>
      <c r="D7858" s="9">
        <v>28574.916</v>
      </c>
      <c r="E7858" s="10" t="str">
        <f t="array" ref="E7858">IFS(D7858&lt;=$G$3,'calculated data '!$A$3,D7858&lt;=$G$4,'calculated data '!$A$4,D7858&lt;=$G$6,'calculated data '!$A$5,D7858&gt;=$G$6,'calculated data '!$A$6)</f>
        <v>Target Market (Core IQR)</v>
      </c>
      <c r="F7858" s="10">
        <f t="shared" si="1"/>
        <v>0.09319943465</v>
      </c>
    </row>
    <row r="7859" ht="14.25" customHeight="1">
      <c r="A7859" s="2" t="s">
        <v>371</v>
      </c>
      <c r="B7859" s="2" t="s">
        <v>372</v>
      </c>
      <c r="C7859" s="2">
        <v>1977.0</v>
      </c>
      <c r="D7859" s="9">
        <v>28585.83</v>
      </c>
      <c r="E7859" s="10" t="str">
        <f t="array" ref="E7859">IFS(D7859&lt;=$G$3,'calculated data '!$A$3,D7859&lt;=$G$4,'calculated data '!$A$4,D7859&lt;=$G$6,'calculated data '!$A$5,D7859&gt;=$G$6,'calculated data '!$A$6)</f>
        <v>Target Market (Core IQR)</v>
      </c>
      <c r="F7859" s="10">
        <f t="shared" si="1"/>
        <v>0.09348832552</v>
      </c>
    </row>
    <row r="7860" ht="14.25" customHeight="1">
      <c r="A7860" s="2" t="s">
        <v>375</v>
      </c>
      <c r="B7860" s="2" t="s">
        <v>376</v>
      </c>
      <c r="C7860" s="2">
        <v>1999.0</v>
      </c>
      <c r="D7860" s="9">
        <v>28589.848</v>
      </c>
      <c r="E7860" s="10" t="str">
        <f t="array" ref="E7860">IFS(D7860&lt;=$G$3,'calculated data '!$A$3,D7860&lt;=$G$4,'calculated data '!$A$4,D7860&lt;=$G$6,'calculated data '!$A$5,D7860&gt;=$G$6,'calculated data '!$A$6)</f>
        <v>Target Market (Core IQR)</v>
      </c>
      <c r="F7860" s="10">
        <f t="shared" si="1"/>
        <v>0.09359468097</v>
      </c>
    </row>
    <row r="7861" ht="14.25" customHeight="1">
      <c r="A7861" s="2" t="s">
        <v>331</v>
      </c>
      <c r="B7861" s="2" t="s">
        <v>332</v>
      </c>
      <c r="C7861" s="2">
        <v>1994.0</v>
      </c>
      <c r="D7861" s="9">
        <v>28590.346</v>
      </c>
      <c r="E7861" s="10" t="str">
        <f t="array" ref="E7861">IFS(D7861&lt;=$G$3,'calculated data '!$A$3,D7861&lt;=$G$4,'calculated data '!$A$4,D7861&lt;=$G$6,'calculated data '!$A$5,D7861&gt;=$G$6,'calculated data '!$A$6)</f>
        <v>Target Market (Core IQR)</v>
      </c>
      <c r="F7861" s="10">
        <f t="shared" si="1"/>
        <v>0.09360786291</v>
      </c>
    </row>
    <row r="7862" ht="14.25" customHeight="1">
      <c r="A7862" s="2" t="s">
        <v>319</v>
      </c>
      <c r="B7862" s="2" t="s">
        <v>320</v>
      </c>
      <c r="C7862" s="2">
        <v>1995.0</v>
      </c>
      <c r="D7862" s="9">
        <v>28590.82</v>
      </c>
      <c r="E7862" s="10" t="str">
        <f t="array" ref="E7862">IFS(D7862&lt;=$G$3,'calculated data '!$A$3,D7862&lt;=$G$4,'calculated data '!$A$4,D7862&lt;=$G$6,'calculated data '!$A$5,D7862&gt;=$G$6,'calculated data '!$A$6)</f>
        <v>Target Market (Core IQR)</v>
      </c>
      <c r="F7862" s="10">
        <f t="shared" si="1"/>
        <v>0.09362040957</v>
      </c>
    </row>
    <row r="7863" ht="14.25" customHeight="1">
      <c r="A7863" s="2" t="s">
        <v>393</v>
      </c>
      <c r="B7863" s="2" t="s">
        <v>394</v>
      </c>
      <c r="C7863" s="2">
        <v>1997.0</v>
      </c>
      <c r="D7863" s="9">
        <v>28593.244</v>
      </c>
      <c r="E7863" s="10" t="str">
        <f t="array" ref="E7863">IFS(D7863&lt;=$G$3,'calculated data '!$A$3,D7863&lt;=$G$4,'calculated data '!$A$4,D7863&lt;=$G$6,'calculated data '!$A$5,D7863&gt;=$G$6,'calculated data '!$A$6)</f>
        <v>Target Market (Core IQR)</v>
      </c>
      <c r="F7863" s="10">
        <f t="shared" si="1"/>
        <v>0.09368457225</v>
      </c>
    </row>
    <row r="7864" ht="14.25" customHeight="1">
      <c r="A7864" s="2" t="s">
        <v>319</v>
      </c>
      <c r="B7864" s="2" t="s">
        <v>320</v>
      </c>
      <c r="C7864" s="2">
        <v>1992.0</v>
      </c>
      <c r="D7864" s="9">
        <v>28607.89</v>
      </c>
      <c r="E7864" s="10" t="str">
        <f t="array" ref="E7864">IFS(D7864&lt;=$G$3,'calculated data '!$A$3,D7864&lt;=$G$4,'calculated data '!$A$4,D7864&lt;=$G$6,'calculated data '!$A$5,D7864&gt;=$G$6,'calculated data '!$A$6)</f>
        <v>Target Market (Core IQR)</v>
      </c>
      <c r="F7864" s="10">
        <f t="shared" si="1"/>
        <v>0.09407224822</v>
      </c>
    </row>
    <row r="7865" ht="14.25" customHeight="1">
      <c r="A7865" s="2" t="s">
        <v>403</v>
      </c>
      <c r="B7865" s="2" t="s">
        <v>404</v>
      </c>
      <c r="C7865" s="2">
        <v>1985.0</v>
      </c>
      <c r="D7865" s="9">
        <v>28615.18</v>
      </c>
      <c r="E7865" s="10" t="str">
        <f t="array" ref="E7865">IFS(D7865&lt;=$G$3,'calculated data '!$A$3,D7865&lt;=$G$4,'calculated data '!$A$4,D7865&lt;=$G$6,'calculated data '!$A$5,D7865&gt;=$G$6,'calculated data '!$A$6)</f>
        <v>Target Market (Core IQR)</v>
      </c>
      <c r="F7865" s="10">
        <f t="shared" si="1"/>
        <v>0.09426521271</v>
      </c>
    </row>
    <row r="7866" ht="14.25" customHeight="1">
      <c r="A7866" s="2" t="s">
        <v>371</v>
      </c>
      <c r="B7866" s="2" t="s">
        <v>372</v>
      </c>
      <c r="C7866" s="2">
        <v>1981.0</v>
      </c>
      <c r="D7866" s="9">
        <v>28649.152</v>
      </c>
      <c r="E7866" s="10" t="str">
        <f t="array" ref="E7866">IFS(D7866&lt;=$G$3,'calculated data '!$A$3,D7866&lt;=$G$4,'calculated data '!$A$4,D7866&lt;=$G$6,'calculated data '!$A$5,D7866&gt;=$G$6,'calculated data '!$A$6)</f>
        <v>Target Market (Core IQR)</v>
      </c>
      <c r="F7866" s="10">
        <f t="shared" si="1"/>
        <v>0.09516444308</v>
      </c>
    </row>
    <row r="7867" ht="14.25" customHeight="1">
      <c r="A7867" s="2" t="s">
        <v>387</v>
      </c>
      <c r="B7867" s="2" t="s">
        <v>388</v>
      </c>
      <c r="C7867" s="2">
        <v>1996.0</v>
      </c>
      <c r="D7867" s="9">
        <v>28649.453</v>
      </c>
      <c r="E7867" s="10" t="str">
        <f t="array" ref="E7867">IFS(D7867&lt;=$G$3,'calculated data '!$A$3,D7867&lt;=$G$4,'calculated data '!$A$4,D7867&lt;=$G$6,'calculated data '!$A$5,D7867&gt;=$G$6,'calculated data '!$A$6)</f>
        <v>Target Market (Core IQR)</v>
      </c>
      <c r="F7867" s="10">
        <f t="shared" si="1"/>
        <v>0.09517241048</v>
      </c>
    </row>
    <row r="7868" ht="14.25" customHeight="1">
      <c r="A7868" s="2" t="s">
        <v>309</v>
      </c>
      <c r="B7868" s="2" t="s">
        <v>310</v>
      </c>
      <c r="C7868" s="2">
        <v>1996.0</v>
      </c>
      <c r="D7868" s="9">
        <v>28654.012</v>
      </c>
      <c r="E7868" s="10" t="str">
        <f t="array" ref="E7868">IFS(D7868&lt;=$G$3,'calculated data '!$A$3,D7868&lt;=$G$4,'calculated data '!$A$4,D7868&lt;=$G$6,'calculated data '!$A$5,D7868&gt;=$G$6,'calculated data '!$A$6)</f>
        <v>Target Market (Core IQR)</v>
      </c>
      <c r="F7868" s="10">
        <f t="shared" si="1"/>
        <v>0.09529308607</v>
      </c>
    </row>
    <row r="7869" ht="14.25" customHeight="1">
      <c r="A7869" s="2" t="s">
        <v>371</v>
      </c>
      <c r="B7869" s="2" t="s">
        <v>372</v>
      </c>
      <c r="C7869" s="2">
        <v>1973.0</v>
      </c>
      <c r="D7869" s="9">
        <v>28659.719</v>
      </c>
      <c r="E7869" s="10" t="str">
        <f t="array" ref="E7869">IFS(D7869&lt;=$G$3,'calculated data '!$A$3,D7869&lt;=$G$4,'calculated data '!$A$4,D7869&lt;=$G$6,'calculated data '!$A$5,D7869&gt;=$G$6,'calculated data '!$A$6)</f>
        <v>Target Market (Core IQR)</v>
      </c>
      <c r="F7869" s="10">
        <f t="shared" si="1"/>
        <v>0.09544414894</v>
      </c>
    </row>
    <row r="7870" ht="14.25" customHeight="1">
      <c r="A7870" s="2" t="s">
        <v>335</v>
      </c>
      <c r="B7870" s="2" t="s">
        <v>336</v>
      </c>
      <c r="C7870" s="2">
        <v>2021.0</v>
      </c>
      <c r="D7870" s="9">
        <v>28660.398</v>
      </c>
      <c r="E7870" s="10" t="str">
        <f t="array" ref="E7870">IFS(D7870&lt;=$G$3,'calculated data '!$A$3,D7870&lt;=$G$4,'calculated data '!$A$4,D7870&lt;=$G$6,'calculated data '!$A$5,D7870&gt;=$G$6,'calculated data '!$A$6)</f>
        <v>Target Market (Core IQR)</v>
      </c>
      <c r="F7870" s="10">
        <f t="shared" si="1"/>
        <v>0.0954621219</v>
      </c>
    </row>
    <row r="7871" ht="14.25" customHeight="1">
      <c r="A7871" s="2" t="s">
        <v>371</v>
      </c>
      <c r="B7871" s="2" t="s">
        <v>372</v>
      </c>
      <c r="C7871" s="2">
        <v>2018.0</v>
      </c>
      <c r="D7871" s="9">
        <v>28662.682</v>
      </c>
      <c r="E7871" s="10" t="str">
        <f t="array" ref="E7871">IFS(D7871&lt;=$G$3,'calculated data '!$A$3,D7871&lt;=$G$4,'calculated data '!$A$4,D7871&lt;=$G$6,'calculated data '!$A$5,D7871&gt;=$G$6,'calculated data '!$A$6)</f>
        <v>Target Market (Core IQR)</v>
      </c>
      <c r="F7871" s="10">
        <f t="shared" si="1"/>
        <v>0.09552257881</v>
      </c>
    </row>
    <row r="7872" ht="14.25" customHeight="1">
      <c r="A7872" s="2" t="s">
        <v>419</v>
      </c>
      <c r="B7872" s="2" t="s">
        <v>420</v>
      </c>
      <c r="C7872" s="2">
        <v>2016.0</v>
      </c>
      <c r="D7872" s="9">
        <v>28674.209</v>
      </c>
      <c r="E7872" s="10" t="str">
        <f t="array" ref="E7872">IFS(D7872&lt;=$G$3,'calculated data '!$A$3,D7872&lt;=$G$4,'calculated data '!$A$4,D7872&lt;=$G$6,'calculated data '!$A$5,D7872&gt;=$G$6,'calculated data '!$A$6)</f>
        <v>Target Market (Core IQR)</v>
      </c>
      <c r="F7872" s="10">
        <f t="shared" si="1"/>
        <v>0.09582769563</v>
      </c>
    </row>
    <row r="7873" ht="14.25" customHeight="1">
      <c r="A7873" s="2" t="s">
        <v>353</v>
      </c>
      <c r="B7873" s="2" t="s">
        <v>354</v>
      </c>
      <c r="C7873" s="2">
        <v>2003.0</v>
      </c>
      <c r="D7873" s="9">
        <v>28693.54</v>
      </c>
      <c r="E7873" s="10" t="str">
        <f t="array" ref="E7873">IFS(D7873&lt;=$G$3,'calculated data '!$A$3,D7873&lt;=$G$4,'calculated data '!$A$4,D7873&lt;=$G$6,'calculated data '!$A$5,D7873&gt;=$G$6,'calculated data '!$A$6)</f>
        <v>Target Market (Core IQR)</v>
      </c>
      <c r="F7873" s="10">
        <f t="shared" si="1"/>
        <v>0.09633938239</v>
      </c>
    </row>
    <row r="7874" ht="14.25" customHeight="1">
      <c r="A7874" s="2" t="s">
        <v>353</v>
      </c>
      <c r="B7874" s="2" t="s">
        <v>354</v>
      </c>
      <c r="C7874" s="2">
        <v>1992.0</v>
      </c>
      <c r="D7874" s="9">
        <v>28693.926</v>
      </c>
      <c r="E7874" s="10" t="str">
        <f t="array" ref="E7874">IFS(D7874&lt;=$G$3,'calculated data '!$A$3,D7874&lt;=$G$4,'calculated data '!$A$4,D7874&lt;=$G$6,'calculated data '!$A$5,D7874&gt;=$G$6,'calculated data '!$A$6)</f>
        <v>Target Market (Core IQR)</v>
      </c>
      <c r="F7874" s="10">
        <f t="shared" si="1"/>
        <v>0.09634959971</v>
      </c>
    </row>
    <row r="7875" ht="14.25" customHeight="1">
      <c r="A7875" s="2" t="s">
        <v>371</v>
      </c>
      <c r="B7875" s="2" t="s">
        <v>372</v>
      </c>
      <c r="C7875" s="2">
        <v>2013.0</v>
      </c>
      <c r="D7875" s="9">
        <v>28696.967</v>
      </c>
      <c r="E7875" s="10" t="str">
        <f t="array" ref="E7875">IFS(D7875&lt;=$G$3,'calculated data '!$A$3,D7875&lt;=$G$4,'calculated data '!$A$4,D7875&lt;=$G$6,'calculated data '!$A$5,D7875&gt;=$G$6,'calculated data '!$A$6)</f>
        <v>Target Market (Core IQR)</v>
      </c>
      <c r="F7875" s="10">
        <f t="shared" si="1"/>
        <v>0.09643009423</v>
      </c>
    </row>
    <row r="7876" ht="14.25" customHeight="1">
      <c r="A7876" s="2" t="s">
        <v>331</v>
      </c>
      <c r="B7876" s="2" t="s">
        <v>332</v>
      </c>
      <c r="C7876" s="2">
        <v>2025.0</v>
      </c>
      <c r="D7876" s="9">
        <v>28698.387</v>
      </c>
      <c r="E7876" s="10" t="str">
        <f t="array" ref="E7876">IFS(D7876&lt;=$G$3,'calculated data '!$A$3,D7876&lt;=$G$4,'calculated data '!$A$4,D7876&lt;=$G$6,'calculated data '!$A$5,D7876&gt;=$G$6,'calculated data '!$A$6)</f>
        <v>Target Market (Core IQR)</v>
      </c>
      <c r="F7876" s="10">
        <f t="shared" si="1"/>
        <v>0.09646768127</v>
      </c>
    </row>
    <row r="7877" ht="14.25" customHeight="1">
      <c r="A7877" s="2" t="s">
        <v>367</v>
      </c>
      <c r="B7877" s="2" t="s">
        <v>368</v>
      </c>
      <c r="C7877" s="2">
        <v>2009.0</v>
      </c>
      <c r="D7877" s="9">
        <v>28700.387</v>
      </c>
      <c r="E7877" s="10" t="str">
        <f t="array" ref="E7877">IFS(D7877&lt;=$G$3,'calculated data '!$A$3,D7877&lt;=$G$4,'calculated data '!$A$4,D7877&lt;=$G$6,'calculated data '!$A$5,D7877&gt;=$G$6,'calculated data '!$A$6)</f>
        <v>Target Market (Core IQR)</v>
      </c>
      <c r="F7877" s="10">
        <f t="shared" si="1"/>
        <v>0.09652062077</v>
      </c>
    </row>
    <row r="7878" ht="14.25" customHeight="1">
      <c r="A7878" s="2" t="s">
        <v>385</v>
      </c>
      <c r="B7878" s="2" t="s">
        <v>386</v>
      </c>
      <c r="C7878" s="2">
        <v>2008.0</v>
      </c>
      <c r="D7878" s="9">
        <v>28716.367</v>
      </c>
      <c r="E7878" s="10" t="str">
        <f t="array" ref="E7878">IFS(D7878&lt;=$G$3,'calculated data '!$A$3,D7878&lt;=$G$4,'calculated data '!$A$4,D7878&lt;=$G$6,'calculated data '!$A$5,D7878&gt;=$G$6,'calculated data '!$A$6)</f>
        <v>Target Market (Core IQR)</v>
      </c>
      <c r="F7878" s="10">
        <f t="shared" si="1"/>
        <v>0.09694360739</v>
      </c>
    </row>
    <row r="7879" ht="14.25" customHeight="1">
      <c r="A7879" s="2" t="s">
        <v>405</v>
      </c>
      <c r="B7879" s="2" t="s">
        <v>406</v>
      </c>
      <c r="C7879" s="2">
        <v>2023.0</v>
      </c>
      <c r="D7879" s="9">
        <v>28723.691</v>
      </c>
      <c r="E7879" s="10" t="str">
        <f t="array" ref="E7879">IFS(D7879&lt;=$G$3,'calculated data '!$A$3,D7879&lt;=$G$4,'calculated data '!$A$4,D7879&lt;=$G$6,'calculated data '!$A$5,D7879&gt;=$G$6,'calculated data '!$A$6)</f>
        <v>Target Market (Core IQR)</v>
      </c>
      <c r="F7879" s="10">
        <f t="shared" si="1"/>
        <v>0.09713747185</v>
      </c>
    </row>
    <row r="7880" ht="14.25" customHeight="1">
      <c r="A7880" s="2" t="s">
        <v>337</v>
      </c>
      <c r="B7880" s="2" t="s">
        <v>338</v>
      </c>
      <c r="C7880" s="2">
        <v>2022.0</v>
      </c>
      <c r="D7880" s="9">
        <v>28729.107</v>
      </c>
      <c r="E7880" s="10" t="str">
        <f t="array" ref="E7880">IFS(D7880&lt;=$G$3,'calculated data '!$A$3,D7880&lt;=$G$4,'calculated data '!$A$4,D7880&lt;=$G$6,'calculated data '!$A$5,D7880&gt;=$G$6,'calculated data '!$A$6)</f>
        <v>Target Market (Core IQR)</v>
      </c>
      <c r="F7880" s="10">
        <f t="shared" si="1"/>
        <v>0.09728083202</v>
      </c>
    </row>
    <row r="7881" ht="14.25" customHeight="1">
      <c r="A7881" s="2" t="s">
        <v>335</v>
      </c>
      <c r="B7881" s="2" t="s">
        <v>336</v>
      </c>
      <c r="C7881" s="2">
        <v>1992.0</v>
      </c>
      <c r="D7881" s="9">
        <v>28729.979</v>
      </c>
      <c r="E7881" s="10" t="str">
        <f t="array" ref="E7881">IFS(D7881&lt;=$G$3,'calculated data '!$A$3,D7881&lt;=$G$4,'calculated data '!$A$4,D7881&lt;=$G$6,'calculated data '!$A$5,D7881&gt;=$G$6,'calculated data '!$A$6)</f>
        <v>Target Market (Core IQR)</v>
      </c>
      <c r="F7881" s="10">
        <f t="shared" si="1"/>
        <v>0.09730391364</v>
      </c>
    </row>
    <row r="7882" ht="14.25" customHeight="1">
      <c r="A7882" s="2" t="s">
        <v>377</v>
      </c>
      <c r="B7882" s="2" t="s">
        <v>378</v>
      </c>
      <c r="C7882" s="2">
        <v>2011.0</v>
      </c>
      <c r="D7882" s="9">
        <v>28745.928</v>
      </c>
      <c r="E7882" s="10" t="str">
        <f t="array" ref="E7882">IFS(D7882&lt;=$G$3,'calculated data '!$A$3,D7882&lt;=$G$4,'calculated data '!$A$4,D7882&lt;=$G$6,'calculated data '!$A$5,D7882&gt;=$G$6,'calculated data '!$A$6)</f>
        <v>Target Market (Core IQR)</v>
      </c>
      <c r="F7882" s="10">
        <f t="shared" si="1"/>
        <v>0.0977260797</v>
      </c>
    </row>
    <row r="7883" ht="14.25" customHeight="1">
      <c r="A7883" s="2" t="s">
        <v>371</v>
      </c>
      <c r="B7883" s="2" t="s">
        <v>372</v>
      </c>
      <c r="C7883" s="2">
        <v>2017.0</v>
      </c>
      <c r="D7883" s="9">
        <v>28746.031</v>
      </c>
      <c r="E7883" s="10" t="str">
        <f t="array" ref="E7883">IFS(D7883&lt;=$G$3,'calculated data '!$A$3,D7883&lt;=$G$4,'calculated data '!$A$4,D7883&lt;=$G$6,'calculated data '!$A$5,D7883&gt;=$G$6,'calculated data '!$A$6)</f>
        <v>Target Market (Core IQR)</v>
      </c>
      <c r="F7883" s="10">
        <f t="shared" si="1"/>
        <v>0.09772880608</v>
      </c>
    </row>
    <row r="7884" ht="14.25" customHeight="1">
      <c r="A7884" s="2" t="s">
        <v>375</v>
      </c>
      <c r="B7884" s="2" t="s">
        <v>376</v>
      </c>
      <c r="C7884" s="2">
        <v>1996.0</v>
      </c>
      <c r="D7884" s="9">
        <v>28752.32</v>
      </c>
      <c r="E7884" s="10" t="str">
        <f t="array" ref="E7884">IFS(D7884&lt;=$G$3,'calculated data '!$A$3,D7884&lt;=$G$4,'calculated data '!$A$4,D7884&lt;=$G$6,'calculated data '!$A$5,D7884&gt;=$G$6,'calculated data '!$A$6)</f>
        <v>Target Market (Core IQR)</v>
      </c>
      <c r="F7884" s="10">
        <f t="shared" si="1"/>
        <v>0.09789527435</v>
      </c>
    </row>
    <row r="7885" ht="14.25" customHeight="1">
      <c r="A7885" s="2" t="s">
        <v>335</v>
      </c>
      <c r="B7885" s="2" t="s">
        <v>336</v>
      </c>
      <c r="C7885" s="2">
        <v>2023.0</v>
      </c>
      <c r="D7885" s="9">
        <v>28754.945</v>
      </c>
      <c r="E7885" s="10" t="str">
        <f t="array" ref="E7885">IFS(D7885&lt;=$G$3,'calculated data '!$A$3,D7885&lt;=$G$4,'calculated data '!$A$4,D7885&lt;=$G$6,'calculated data '!$A$5,D7885&gt;=$G$6,'calculated data '!$A$6)</f>
        <v>Target Market (Core IQR)</v>
      </c>
      <c r="F7885" s="10">
        <f t="shared" si="1"/>
        <v>0.09796475744</v>
      </c>
    </row>
    <row r="7886" ht="14.25" customHeight="1">
      <c r="A7886" s="2" t="s">
        <v>415</v>
      </c>
      <c r="B7886" s="2" t="s">
        <v>416</v>
      </c>
      <c r="C7886" s="2">
        <v>2019.0</v>
      </c>
      <c r="D7886" s="9">
        <v>28765.967</v>
      </c>
      <c r="E7886" s="10" t="str">
        <f t="array" ref="E7886">IFS(D7886&lt;=$G$3,'calculated data '!$A$3,D7886&lt;=$G$4,'calculated data '!$A$4,D7886&lt;=$G$6,'calculated data '!$A$5,D7886&gt;=$G$6,'calculated data '!$A$6)</f>
        <v>Target Market (Core IQR)</v>
      </c>
      <c r="F7886" s="10">
        <f t="shared" si="1"/>
        <v>0.09825650704</v>
      </c>
    </row>
    <row r="7887" ht="14.25" customHeight="1">
      <c r="A7887" s="2" t="s">
        <v>71</v>
      </c>
      <c r="B7887" s="2" t="s">
        <v>72</v>
      </c>
      <c r="C7887" s="2">
        <v>1993.0</v>
      </c>
      <c r="D7887" s="9">
        <v>28780.871</v>
      </c>
      <c r="E7887" s="10" t="str">
        <f t="array" ref="E7887">IFS(D7887&lt;=$G$3,'calculated data '!$A$3,D7887&lt;=$G$4,'calculated data '!$A$4,D7887&lt;=$G$6,'calculated data '!$A$5,D7887&gt;=$G$6,'calculated data '!$A$6)</f>
        <v>Target Market (Core IQR)</v>
      </c>
      <c r="F7887" s="10">
        <f t="shared" si="1"/>
        <v>0.09865101221</v>
      </c>
    </row>
    <row r="7888" ht="14.25" customHeight="1">
      <c r="A7888" s="2" t="s">
        <v>355</v>
      </c>
      <c r="B7888" s="2" t="s">
        <v>356</v>
      </c>
      <c r="C7888" s="2">
        <v>2006.0</v>
      </c>
      <c r="D7888" s="9">
        <v>28787.357</v>
      </c>
      <c r="E7888" s="10" t="str">
        <f t="array" ref="E7888">IFS(D7888&lt;=$G$3,'calculated data '!$A$3,D7888&lt;=$G$4,'calculated data '!$A$4,D7888&lt;=$G$6,'calculated data '!$A$5,D7888&gt;=$G$6,'calculated data '!$A$6)</f>
        <v>Target Market (Core IQR)</v>
      </c>
      <c r="F7888" s="10">
        <f t="shared" si="1"/>
        <v>0.09882269501</v>
      </c>
    </row>
    <row r="7889" ht="14.25" customHeight="1">
      <c r="A7889" s="2" t="s">
        <v>337</v>
      </c>
      <c r="B7889" s="2" t="s">
        <v>338</v>
      </c>
      <c r="C7889" s="2">
        <v>1997.0</v>
      </c>
      <c r="D7889" s="9">
        <v>28787.61</v>
      </c>
      <c r="E7889" s="10" t="str">
        <f t="array" ref="E7889">IFS(D7889&lt;=$G$3,'calculated data '!$A$3,D7889&lt;=$G$4,'calculated data '!$A$4,D7889&lt;=$G$6,'calculated data '!$A$5,D7889&gt;=$G$6,'calculated data '!$A$6)</f>
        <v>Target Market (Core IQR)</v>
      </c>
      <c r="F7889" s="10">
        <f t="shared" si="1"/>
        <v>0.09882939186</v>
      </c>
    </row>
    <row r="7890" ht="14.25" customHeight="1">
      <c r="A7890" s="2" t="s">
        <v>353</v>
      </c>
      <c r="B7890" s="2" t="s">
        <v>354</v>
      </c>
      <c r="C7890" s="2">
        <v>2012.0</v>
      </c>
      <c r="D7890" s="9">
        <v>28795.844</v>
      </c>
      <c r="E7890" s="10" t="str">
        <f t="array" ref="E7890">IFS(D7890&lt;=$G$3,'calculated data '!$A$3,D7890&lt;=$G$4,'calculated data '!$A$4,D7890&lt;=$G$6,'calculated data '!$A$5,D7890&gt;=$G$6,'calculated data '!$A$6)</f>
        <v>Target Market (Core IQR)</v>
      </c>
      <c r="F7890" s="10">
        <f t="shared" si="1"/>
        <v>0.09904734379</v>
      </c>
    </row>
    <row r="7891" ht="14.25" customHeight="1">
      <c r="A7891" s="2" t="s">
        <v>353</v>
      </c>
      <c r="B7891" s="2" t="s">
        <v>354</v>
      </c>
      <c r="C7891" s="2">
        <v>2025.0</v>
      </c>
      <c r="D7891" s="9">
        <v>28804.273</v>
      </c>
      <c r="E7891" s="10" t="str">
        <f t="array" ref="E7891">IFS(D7891&lt;=$G$3,'calculated data '!$A$3,D7891&lt;=$G$4,'calculated data '!$A$4,D7891&lt;=$G$6,'calculated data '!$A$5,D7891&gt;=$G$6,'calculated data '!$A$6)</f>
        <v>Target Market (Core IQR)</v>
      </c>
      <c r="F7891" s="10">
        <f t="shared" si="1"/>
        <v>0.09927045732</v>
      </c>
    </row>
    <row r="7892" ht="14.25" customHeight="1">
      <c r="A7892" s="2" t="s">
        <v>399</v>
      </c>
      <c r="B7892" s="2" t="s">
        <v>400</v>
      </c>
      <c r="C7892" s="2">
        <v>2014.0</v>
      </c>
      <c r="D7892" s="9">
        <v>28813.55</v>
      </c>
      <c r="E7892" s="10" t="str">
        <f t="array" ref="E7892">IFS(D7892&lt;=$G$3,'calculated data '!$A$3,D7892&lt;=$G$4,'calculated data '!$A$4,D7892&lt;=$G$6,'calculated data '!$A$5,D7892&gt;=$G$6,'calculated data '!$A$6)</f>
        <v>Target Market (Core IQR)</v>
      </c>
      <c r="F7892" s="10">
        <f t="shared" si="1"/>
        <v>0.0995160172</v>
      </c>
    </row>
    <row r="7893" ht="14.25" customHeight="1">
      <c r="A7893" s="2" t="s">
        <v>375</v>
      </c>
      <c r="B7893" s="2" t="s">
        <v>376</v>
      </c>
      <c r="C7893" s="2">
        <v>2003.0</v>
      </c>
      <c r="D7893" s="9">
        <v>28819.982</v>
      </c>
      <c r="E7893" s="10" t="str">
        <f t="array" ref="E7893">IFS(D7893&lt;=$G$3,'calculated data '!$A$3,D7893&lt;=$G$4,'calculated data '!$A$4,D7893&lt;=$G$6,'calculated data '!$A$5,D7893&gt;=$G$6,'calculated data '!$A$6)</f>
        <v>Target Market (Core IQR)</v>
      </c>
      <c r="F7893" s="10">
        <f t="shared" si="1"/>
        <v>0.09968627064</v>
      </c>
    </row>
    <row r="7894" ht="14.25" customHeight="1">
      <c r="A7894" s="2" t="s">
        <v>433</v>
      </c>
      <c r="B7894" s="2" t="s">
        <v>434</v>
      </c>
      <c r="C7894" s="2">
        <v>1968.0</v>
      </c>
      <c r="D7894" s="9">
        <v>28836.889</v>
      </c>
      <c r="E7894" s="10" t="str">
        <f t="array" ref="E7894">IFS(D7894&lt;=$G$3,'calculated data '!$A$3,D7894&lt;=$G$4,'calculated data '!$A$4,D7894&lt;=$G$6,'calculated data '!$A$5,D7894&gt;=$G$6,'calculated data '!$A$6)</f>
        <v>Target Market (Core IQR)</v>
      </c>
      <c r="F7894" s="10">
        <f t="shared" si="1"/>
        <v>0.1001337947</v>
      </c>
    </row>
    <row r="7895" ht="14.25" customHeight="1">
      <c r="A7895" s="2" t="s">
        <v>387</v>
      </c>
      <c r="B7895" s="2" t="s">
        <v>388</v>
      </c>
      <c r="C7895" s="2">
        <v>1997.0</v>
      </c>
      <c r="D7895" s="9">
        <v>28846.434</v>
      </c>
      <c r="E7895" s="10" t="str">
        <f t="array" ref="E7895">IFS(D7895&lt;=$G$3,'calculated data '!$A$3,D7895&lt;=$G$4,'calculated data '!$A$4,D7895&lt;=$G$6,'calculated data '!$A$5,D7895&gt;=$G$6,'calculated data '!$A$6)</f>
        <v>Target Market (Core IQR)</v>
      </c>
      <c r="F7895" s="10">
        <f t="shared" si="1"/>
        <v>0.1003864485</v>
      </c>
    </row>
    <row r="7896" ht="14.25" customHeight="1">
      <c r="A7896" s="2" t="s">
        <v>423</v>
      </c>
      <c r="B7896" s="2" t="s">
        <v>424</v>
      </c>
      <c r="C7896" s="2">
        <v>1982.0</v>
      </c>
      <c r="D7896" s="9">
        <v>28888.857</v>
      </c>
      <c r="E7896" s="10" t="str">
        <f t="array" ref="E7896">IFS(D7896&lt;=$G$3,'calculated data '!$A$3,D7896&lt;=$G$4,'calculated data '!$A$4,D7896&lt;=$G$6,'calculated data '!$A$5,D7896&gt;=$G$6,'calculated data '!$A$6)</f>
        <v>Target Market (Core IQR)</v>
      </c>
      <c r="F7896" s="10">
        <f t="shared" si="1"/>
        <v>0.1015093747</v>
      </c>
    </row>
    <row r="7897" ht="14.25" customHeight="1">
      <c r="A7897" s="2" t="s">
        <v>421</v>
      </c>
      <c r="B7897" s="2" t="s">
        <v>422</v>
      </c>
      <c r="C7897" s="2">
        <v>2007.0</v>
      </c>
      <c r="D7897" s="9">
        <v>28904.936</v>
      </c>
      <c r="E7897" s="10" t="str">
        <f t="array" ref="E7897">IFS(D7897&lt;=$G$3,'calculated data '!$A$3,D7897&lt;=$G$4,'calculated data '!$A$4,D7897&lt;=$G$6,'calculated data '!$A$5,D7897&gt;=$G$6,'calculated data '!$A$6)</f>
        <v>Target Market (Core IQR)</v>
      </c>
      <c r="F7897" s="10">
        <f t="shared" si="1"/>
        <v>0.1019349819</v>
      </c>
    </row>
    <row r="7898" ht="14.25" customHeight="1">
      <c r="A7898" s="2" t="s">
        <v>421</v>
      </c>
      <c r="B7898" s="2" t="s">
        <v>422</v>
      </c>
      <c r="C7898" s="2">
        <v>1969.0</v>
      </c>
      <c r="D7898" s="9">
        <v>28910.488</v>
      </c>
      <c r="E7898" s="10" t="str">
        <f t="array" ref="E7898">IFS(D7898&lt;=$G$3,'calculated data '!$A$3,D7898&lt;=$G$4,'calculated data '!$A$4,D7898&lt;=$G$6,'calculated data '!$A$5,D7898&gt;=$G$6,'calculated data '!$A$6)</f>
        <v>Target Market (Core IQR)</v>
      </c>
      <c r="F7898" s="10">
        <f t="shared" si="1"/>
        <v>0.1020819419</v>
      </c>
    </row>
    <row r="7899" ht="14.25" customHeight="1">
      <c r="A7899" s="2" t="s">
        <v>411</v>
      </c>
      <c r="B7899" s="2" t="s">
        <v>412</v>
      </c>
      <c r="C7899" s="2">
        <v>2022.0</v>
      </c>
      <c r="D7899" s="9">
        <v>28919.814</v>
      </c>
      <c r="E7899" s="10" t="str">
        <f t="array" ref="E7899">IFS(D7899&lt;=$G$3,'calculated data '!$A$3,D7899&lt;=$G$4,'calculated data '!$A$4,D7899&lt;=$G$6,'calculated data '!$A$5,D7899&gt;=$G$6,'calculated data '!$A$6)</f>
        <v>Target Market (Core IQR)</v>
      </c>
      <c r="F7899" s="10">
        <f t="shared" si="1"/>
        <v>0.1023287988</v>
      </c>
    </row>
    <row r="7900" ht="14.25" customHeight="1">
      <c r="A7900" s="2" t="s">
        <v>409</v>
      </c>
      <c r="B7900" s="2" t="s">
        <v>410</v>
      </c>
      <c r="C7900" s="2">
        <v>1980.0</v>
      </c>
      <c r="D7900" s="9">
        <v>28924.969</v>
      </c>
      <c r="E7900" s="10" t="str">
        <f t="array" ref="E7900">IFS(D7900&lt;=$G$3,'calculated data '!$A$3,D7900&lt;=$G$4,'calculated data '!$A$4,D7900&lt;=$G$6,'calculated data '!$A$5,D7900&gt;=$G$6,'calculated data '!$A$6)</f>
        <v>Target Market (Core IQR)</v>
      </c>
      <c r="F7900" s="10">
        <f t="shared" si="1"/>
        <v>0.1024652504</v>
      </c>
    </row>
    <row r="7901" ht="14.25" customHeight="1">
      <c r="A7901" s="2" t="s">
        <v>439</v>
      </c>
      <c r="B7901" s="2" t="s">
        <v>440</v>
      </c>
      <c r="C7901" s="2">
        <v>1968.0</v>
      </c>
      <c r="D7901" s="9">
        <v>28938.053</v>
      </c>
      <c r="E7901" s="10" t="str">
        <f t="array" ref="E7901">IFS(D7901&lt;=$G$3,'calculated data '!$A$3,D7901&lt;=$G$4,'calculated data '!$A$4,D7901&lt;=$G$6,'calculated data '!$A$5,D7901&gt;=$G$6,'calculated data '!$A$6)</f>
        <v>Target Market (Core IQR)</v>
      </c>
      <c r="F7901" s="10">
        <f t="shared" si="1"/>
        <v>0.1028115806</v>
      </c>
    </row>
    <row r="7902" ht="14.25" customHeight="1">
      <c r="A7902" s="2" t="s">
        <v>355</v>
      </c>
      <c r="B7902" s="2" t="s">
        <v>356</v>
      </c>
      <c r="C7902" s="2">
        <v>2014.0</v>
      </c>
      <c r="D7902" s="9">
        <v>28944.182</v>
      </c>
      <c r="E7902" s="10" t="str">
        <f t="array" ref="E7902">IFS(D7902&lt;=$G$3,'calculated data '!$A$3,D7902&lt;=$G$4,'calculated data '!$A$4,D7902&lt;=$G$6,'calculated data '!$A$5,D7902&gt;=$G$6,'calculated data '!$A$6)</f>
        <v>Target Market (Core IQR)</v>
      </c>
      <c r="F7902" s="10">
        <f t="shared" si="1"/>
        <v>0.1029738137</v>
      </c>
    </row>
    <row r="7903" ht="14.25" customHeight="1">
      <c r="A7903" s="2" t="s">
        <v>375</v>
      </c>
      <c r="B7903" s="2" t="s">
        <v>376</v>
      </c>
      <c r="C7903" s="2">
        <v>2004.0</v>
      </c>
      <c r="D7903" s="9">
        <v>28956.453</v>
      </c>
      <c r="E7903" s="10" t="str">
        <f t="array" ref="E7903">IFS(D7903&lt;=$G$3,'calculated data '!$A$3,D7903&lt;=$G$4,'calculated data '!$A$4,D7903&lt;=$G$6,'calculated data '!$A$5,D7903&gt;=$G$6,'calculated data '!$A$6)</f>
        <v>Target Market (Core IQR)</v>
      </c>
      <c r="F7903" s="10">
        <f t="shared" si="1"/>
        <v>0.103298624</v>
      </c>
    </row>
    <row r="7904" ht="14.25" customHeight="1">
      <c r="A7904" s="2" t="s">
        <v>421</v>
      </c>
      <c r="B7904" s="2" t="s">
        <v>422</v>
      </c>
      <c r="C7904" s="2">
        <v>2020.0</v>
      </c>
      <c r="D7904" s="9">
        <v>28963.285</v>
      </c>
      <c r="E7904" s="10" t="str">
        <f t="array" ref="E7904">IFS(D7904&lt;=$G$3,'calculated data '!$A$3,D7904&lt;=$G$4,'calculated data '!$A$4,D7904&lt;=$G$6,'calculated data '!$A$5,D7904&gt;=$G$6,'calculated data '!$A$6)</f>
        <v>Target Market (Core IQR)</v>
      </c>
      <c r="F7904" s="10">
        <f t="shared" si="1"/>
        <v>0.1034794654</v>
      </c>
    </row>
    <row r="7905" ht="14.25" customHeight="1">
      <c r="A7905" s="2" t="s">
        <v>343</v>
      </c>
      <c r="B7905" s="2" t="s">
        <v>344</v>
      </c>
      <c r="C7905" s="2">
        <v>1998.0</v>
      </c>
      <c r="D7905" s="9">
        <v>28964.922</v>
      </c>
      <c r="E7905" s="10" t="str">
        <f t="array" ref="E7905">IFS(D7905&lt;=$G$3,'calculated data '!$A$3,D7905&lt;=$G$4,'calculated data '!$A$4,D7905&lt;=$G$6,'calculated data '!$A$5,D7905&gt;=$G$6,'calculated data '!$A$6)</f>
        <v>Target Market (Core IQR)</v>
      </c>
      <c r="F7905" s="10">
        <f t="shared" si="1"/>
        <v>0.1035227963</v>
      </c>
    </row>
    <row r="7906" ht="14.25" customHeight="1">
      <c r="A7906" s="2" t="s">
        <v>405</v>
      </c>
      <c r="B7906" s="2" t="s">
        <v>406</v>
      </c>
      <c r="C7906" s="2">
        <v>2014.0</v>
      </c>
      <c r="D7906" s="9">
        <v>29001.47</v>
      </c>
      <c r="E7906" s="10" t="str">
        <f t="array" ref="E7906">IFS(D7906&lt;=$G$3,'calculated data '!$A$3,D7906&lt;=$G$4,'calculated data '!$A$4,D7906&lt;=$G$6,'calculated data '!$A$5,D7906&gt;=$G$6,'calculated data '!$A$6)</f>
        <v>Target Market (Core IQR)</v>
      </c>
      <c r="F7906" s="10">
        <f t="shared" si="1"/>
        <v>0.1044902128</v>
      </c>
    </row>
    <row r="7907" ht="14.25" customHeight="1">
      <c r="A7907" s="2" t="s">
        <v>393</v>
      </c>
      <c r="B7907" s="2" t="s">
        <v>394</v>
      </c>
      <c r="C7907" s="2">
        <v>2005.0</v>
      </c>
      <c r="D7907" s="9">
        <v>29020.904</v>
      </c>
      <c r="E7907" s="10" t="str">
        <f t="array" ref="E7907">IFS(D7907&lt;=$G$3,'calculated data '!$A$3,D7907&lt;=$G$4,'calculated data '!$A$4,D7907&lt;=$G$6,'calculated data '!$A$5,D7907&gt;=$G$6,'calculated data '!$A$6)</f>
        <v>Target Market (Core IQR)</v>
      </c>
      <c r="F7907" s="10">
        <f t="shared" si="1"/>
        <v>0.1050046259</v>
      </c>
    </row>
    <row r="7908" ht="14.25" customHeight="1">
      <c r="A7908" s="2" t="s">
        <v>441</v>
      </c>
      <c r="B7908" s="2" t="s">
        <v>442</v>
      </c>
      <c r="C7908" s="2">
        <v>1997.0</v>
      </c>
      <c r="D7908" s="9">
        <v>29035.682</v>
      </c>
      <c r="E7908" s="10" t="str">
        <f t="array" ref="E7908">IFS(D7908&lt;=$G$3,'calculated data '!$A$3,D7908&lt;=$G$4,'calculated data '!$A$4,D7908&lt;=$G$6,'calculated data '!$A$5,D7908&gt;=$G$6,'calculated data '!$A$6)</f>
        <v>Target Market (Core IQR)</v>
      </c>
      <c r="F7908" s="10">
        <f t="shared" si="1"/>
        <v>0.1053957959</v>
      </c>
    </row>
    <row r="7909" ht="14.25" customHeight="1">
      <c r="A7909" s="2" t="s">
        <v>371</v>
      </c>
      <c r="B7909" s="2" t="s">
        <v>372</v>
      </c>
      <c r="C7909" s="2">
        <v>1976.0</v>
      </c>
      <c r="D7909" s="9">
        <v>29045.342</v>
      </c>
      <c r="E7909" s="10" t="str">
        <f t="array" ref="E7909">IFS(D7909&lt;=$G$3,'calculated data '!$A$3,D7909&lt;=$G$4,'calculated data '!$A$4,D7909&lt;=$G$6,'calculated data '!$A$5,D7909&gt;=$G$6,'calculated data '!$A$6)</f>
        <v>Target Market (Core IQR)</v>
      </c>
      <c r="F7909" s="10">
        <f t="shared" si="1"/>
        <v>0.1056514937</v>
      </c>
    </row>
    <row r="7910" ht="14.25" customHeight="1">
      <c r="A7910" s="2" t="s">
        <v>421</v>
      </c>
      <c r="B7910" s="2" t="s">
        <v>422</v>
      </c>
      <c r="C7910" s="2">
        <v>2006.0</v>
      </c>
      <c r="D7910" s="9">
        <v>29045.484</v>
      </c>
      <c r="E7910" s="10" t="str">
        <f t="array" ref="E7910">IFS(D7910&lt;=$G$3,'calculated data '!$A$3,D7910&lt;=$G$4,'calculated data '!$A$4,D7910&lt;=$G$6,'calculated data '!$A$5,D7910&gt;=$G$6,'calculated data '!$A$6)</f>
        <v>Target Market (Core IQR)</v>
      </c>
      <c r="F7910" s="10">
        <f t="shared" si="1"/>
        <v>0.1056552524</v>
      </c>
    </row>
    <row r="7911" ht="14.25" customHeight="1">
      <c r="A7911" s="2" t="s">
        <v>319</v>
      </c>
      <c r="B7911" s="2" t="s">
        <v>320</v>
      </c>
      <c r="C7911" s="2">
        <v>1994.0</v>
      </c>
      <c r="D7911" s="9">
        <v>29053.914</v>
      </c>
      <c r="E7911" s="10" t="str">
        <f t="array" ref="E7911">IFS(D7911&lt;=$G$3,'calculated data '!$A$3,D7911&lt;=$G$4,'calculated data '!$A$4,D7911&lt;=$G$6,'calculated data '!$A$5,D7911&gt;=$G$6,'calculated data '!$A$6)</f>
        <v>Target Market (Core IQR)</v>
      </c>
      <c r="F7911" s="10">
        <f t="shared" si="1"/>
        <v>0.1058783924</v>
      </c>
    </row>
    <row r="7912" ht="14.25" customHeight="1">
      <c r="A7912" s="2" t="s">
        <v>283</v>
      </c>
      <c r="B7912" s="2" t="s">
        <v>284</v>
      </c>
      <c r="C7912" s="2">
        <v>1969.0</v>
      </c>
      <c r="D7912" s="9">
        <v>29076.443</v>
      </c>
      <c r="E7912" s="10" t="str">
        <f t="array" ref="E7912">IFS(D7912&lt;=$G$3,'calculated data '!$A$3,D7912&lt;=$G$4,'calculated data '!$A$4,D7912&lt;=$G$6,'calculated data '!$A$5,D7912&gt;=$G$6,'calculated data '!$A$6)</f>
        <v>Target Market (Core IQR)</v>
      </c>
      <c r="F7912" s="10">
        <f t="shared" si="1"/>
        <v>0.1064747294</v>
      </c>
    </row>
    <row r="7913" ht="14.25" customHeight="1">
      <c r="A7913" s="2" t="s">
        <v>307</v>
      </c>
      <c r="B7913" s="2" t="s">
        <v>308</v>
      </c>
      <c r="C7913" s="2">
        <v>1996.0</v>
      </c>
      <c r="D7913" s="9">
        <v>29093.84</v>
      </c>
      <c r="E7913" s="10" t="str">
        <f t="array" ref="E7913">IFS(D7913&lt;=$G$3,'calculated data '!$A$3,D7913&lt;=$G$4,'calculated data '!$A$4,D7913&lt;=$G$6,'calculated data '!$A$5,D7913&gt;=$G$6,'calculated data '!$A$6)</f>
        <v>Target Market (Core IQR)</v>
      </c>
      <c r="F7913" s="10">
        <f t="shared" si="1"/>
        <v>0.1069352237</v>
      </c>
    </row>
    <row r="7914" ht="14.25" customHeight="1">
      <c r="A7914" s="2" t="s">
        <v>319</v>
      </c>
      <c r="B7914" s="2" t="s">
        <v>320</v>
      </c>
      <c r="C7914" s="2">
        <v>1997.0</v>
      </c>
      <c r="D7914" s="9">
        <v>29112.568</v>
      </c>
      <c r="E7914" s="10" t="str">
        <f t="array" ref="E7914">IFS(D7914&lt;=$G$3,'calculated data '!$A$3,D7914&lt;=$G$4,'calculated data '!$A$4,D7914&lt;=$G$6,'calculated data '!$A$5,D7914&gt;=$G$6,'calculated data '!$A$6)</f>
        <v>Target Market (Core IQR)</v>
      </c>
      <c r="F7914" s="10">
        <f t="shared" si="1"/>
        <v>0.1074309492</v>
      </c>
    </row>
    <row r="7915" ht="14.25" customHeight="1">
      <c r="A7915" s="2" t="s">
        <v>431</v>
      </c>
      <c r="B7915" s="2" t="s">
        <v>432</v>
      </c>
      <c r="C7915" s="2">
        <v>1981.0</v>
      </c>
      <c r="D7915" s="9">
        <v>29115.6</v>
      </c>
      <c r="E7915" s="10" t="str">
        <f t="array" ref="E7915">IFS(D7915&lt;=$G$3,'calculated data '!$A$3,D7915&lt;=$G$4,'calculated data '!$A$4,D7915&lt;=$G$6,'calculated data '!$A$5,D7915&gt;=$G$6,'calculated data '!$A$6)</f>
        <v>Target Market (Core IQR)</v>
      </c>
      <c r="F7915" s="10">
        <f t="shared" si="1"/>
        <v>0.1075112055</v>
      </c>
    </row>
    <row r="7916" ht="14.25" customHeight="1">
      <c r="A7916" s="2" t="s">
        <v>309</v>
      </c>
      <c r="B7916" s="2" t="s">
        <v>310</v>
      </c>
      <c r="C7916" s="2">
        <v>2022.0</v>
      </c>
      <c r="D7916" s="9">
        <v>29119.748</v>
      </c>
      <c r="E7916" s="10" t="str">
        <f t="array" ref="E7916">IFS(D7916&lt;=$G$3,'calculated data '!$A$3,D7916&lt;=$G$4,'calculated data '!$A$4,D7916&lt;=$G$6,'calculated data '!$A$5,D7916&gt;=$G$6,'calculated data '!$A$6)</f>
        <v>Target Market (Core IQR)</v>
      </c>
      <c r="F7916" s="10">
        <f t="shared" si="1"/>
        <v>0.107621002</v>
      </c>
    </row>
    <row r="7917" ht="14.25" customHeight="1">
      <c r="A7917" s="2" t="s">
        <v>421</v>
      </c>
      <c r="B7917" s="2" t="s">
        <v>422</v>
      </c>
      <c r="C7917" s="2">
        <v>2012.0</v>
      </c>
      <c r="D7917" s="9">
        <v>29138.188</v>
      </c>
      <c r="E7917" s="10" t="str">
        <f t="array" ref="E7917">IFS(D7917&lt;=$G$3,'calculated data '!$A$3,D7917&lt;=$G$4,'calculated data '!$A$4,D7917&lt;=$G$6,'calculated data '!$A$5,D7917&gt;=$G$6,'calculated data '!$A$6)</f>
        <v>Target Market (Core IQR)</v>
      </c>
      <c r="F7917" s="10">
        <f t="shared" si="1"/>
        <v>0.1081091042</v>
      </c>
    </row>
    <row r="7918" ht="14.25" customHeight="1">
      <c r="A7918" s="2" t="s">
        <v>421</v>
      </c>
      <c r="B7918" s="2" t="s">
        <v>422</v>
      </c>
      <c r="C7918" s="2">
        <v>2013.0</v>
      </c>
      <c r="D7918" s="9">
        <v>29152.465</v>
      </c>
      <c r="E7918" s="10" t="str">
        <f t="array" ref="E7918">IFS(D7918&lt;=$G$3,'calculated data '!$A$3,D7918&lt;=$G$4,'calculated data '!$A$4,D7918&lt;=$G$6,'calculated data '!$A$5,D7918&gt;=$G$6,'calculated data '!$A$6)</f>
        <v>Target Market (Core IQR)</v>
      </c>
      <c r="F7918" s="10">
        <f t="shared" si="1"/>
        <v>0.1084870128</v>
      </c>
    </row>
    <row r="7919" ht="14.25" customHeight="1">
      <c r="A7919" s="2" t="s">
        <v>419</v>
      </c>
      <c r="B7919" s="2" t="s">
        <v>420</v>
      </c>
      <c r="C7919" s="2">
        <v>2017.0</v>
      </c>
      <c r="D7919" s="9">
        <v>29153.885</v>
      </c>
      <c r="E7919" s="10" t="str">
        <f t="array" ref="E7919">IFS(D7919&lt;=$G$3,'calculated data '!$A$3,D7919&lt;=$G$4,'calculated data '!$A$4,D7919&lt;=$G$6,'calculated data '!$A$5,D7919&gt;=$G$6,'calculated data '!$A$6)</f>
        <v>Target Market (Core IQR)</v>
      </c>
      <c r="F7919" s="10">
        <f t="shared" si="1"/>
        <v>0.1085245999</v>
      </c>
    </row>
    <row r="7920" ht="14.25" customHeight="1">
      <c r="A7920" s="2" t="s">
        <v>421</v>
      </c>
      <c r="B7920" s="2" t="s">
        <v>422</v>
      </c>
      <c r="C7920" s="2">
        <v>1995.0</v>
      </c>
      <c r="D7920" s="9">
        <v>29157.818</v>
      </c>
      <c r="E7920" s="10" t="str">
        <f t="array" ref="E7920">IFS(D7920&lt;=$G$3,'calculated data '!$A$3,D7920&lt;=$G$4,'calculated data '!$A$4,D7920&lt;=$G$6,'calculated data '!$A$5,D7920&gt;=$G$6,'calculated data '!$A$6)</f>
        <v>Target Market (Core IQR)</v>
      </c>
      <c r="F7920" s="10">
        <f t="shared" si="1"/>
        <v>0.1086287054</v>
      </c>
    </row>
    <row r="7921" ht="14.25" customHeight="1">
      <c r="A7921" s="2" t="s">
        <v>387</v>
      </c>
      <c r="B7921" s="2" t="s">
        <v>388</v>
      </c>
      <c r="C7921" s="2">
        <v>1995.0</v>
      </c>
      <c r="D7921" s="9">
        <v>29167.164</v>
      </c>
      <c r="E7921" s="10" t="str">
        <f t="array" ref="E7921">IFS(D7921&lt;=$G$3,'calculated data '!$A$3,D7921&lt;=$G$4,'calculated data '!$A$4,D7921&lt;=$G$6,'calculated data '!$A$5,D7921&gt;=$G$6,'calculated data '!$A$6)</f>
        <v>Target Market (Core IQR)</v>
      </c>
      <c r="F7921" s="10">
        <f t="shared" si="1"/>
        <v>0.1088760917</v>
      </c>
    </row>
    <row r="7922" ht="14.25" customHeight="1">
      <c r="A7922" s="2" t="s">
        <v>393</v>
      </c>
      <c r="B7922" s="2" t="s">
        <v>394</v>
      </c>
      <c r="C7922" s="2">
        <v>2002.0</v>
      </c>
      <c r="D7922" s="9">
        <v>29193.023</v>
      </c>
      <c r="E7922" s="10" t="str">
        <f t="array" ref="E7922">IFS(D7922&lt;=$G$3,'calculated data '!$A$3,D7922&lt;=$G$4,'calculated data '!$A$4,D7922&lt;=$G$6,'calculated data '!$A$5,D7922&gt;=$G$6,'calculated data '!$A$6)</f>
        <v>Target Market (Core IQR)</v>
      </c>
      <c r="F7922" s="10">
        <f t="shared" si="1"/>
        <v>0.109560573</v>
      </c>
    </row>
    <row r="7923" ht="14.25" customHeight="1">
      <c r="A7923" s="2" t="s">
        <v>443</v>
      </c>
      <c r="B7923" s="2" t="s">
        <v>444</v>
      </c>
      <c r="C7923" s="2">
        <v>1965.0</v>
      </c>
      <c r="D7923" s="9">
        <v>29213.18</v>
      </c>
      <c r="E7923" s="10" t="str">
        <f t="array" ref="E7923">IFS(D7923&lt;=$G$3,'calculated data '!$A$3,D7923&lt;=$G$4,'calculated data '!$A$4,D7923&lt;=$G$6,'calculated data '!$A$5,D7923&gt;=$G$6,'calculated data '!$A$6)</f>
        <v>Target Market (Core IQR)</v>
      </c>
      <c r="F7923" s="10">
        <f t="shared" si="1"/>
        <v>0.1100941238</v>
      </c>
    </row>
    <row r="7924" ht="14.25" customHeight="1">
      <c r="A7924" s="2" t="s">
        <v>437</v>
      </c>
      <c r="B7924" s="2" t="s">
        <v>438</v>
      </c>
      <c r="C7924" s="2">
        <v>1967.0</v>
      </c>
      <c r="D7924" s="9">
        <v>29219.873</v>
      </c>
      <c r="E7924" s="10" t="str">
        <f t="array" ref="E7924">IFS(D7924&lt;=$G$3,'calculated data '!$A$3,D7924&lt;=$G$4,'calculated data '!$A$4,D7924&lt;=$G$6,'calculated data '!$A$5,D7924&gt;=$G$6,'calculated data '!$A$6)</f>
        <v>Target Market (Core IQR)</v>
      </c>
      <c r="F7924" s="10">
        <f t="shared" si="1"/>
        <v>0.1102712858</v>
      </c>
    </row>
    <row r="7925" ht="14.25" customHeight="1">
      <c r="A7925" s="2" t="s">
        <v>309</v>
      </c>
      <c r="B7925" s="2" t="s">
        <v>310</v>
      </c>
      <c r="C7925" s="2">
        <v>1995.0</v>
      </c>
      <c r="D7925" s="9">
        <v>29250.05</v>
      </c>
      <c r="E7925" s="10" t="str">
        <f t="array" ref="E7925">IFS(D7925&lt;=$G$3,'calculated data '!$A$3,D7925&lt;=$G$4,'calculated data '!$A$4,D7925&lt;=$G$6,'calculated data '!$A$5,D7925&gt;=$G$6,'calculated data '!$A$6)</f>
        <v>Target Market (Core IQR)</v>
      </c>
      <c r="F7925" s="10">
        <f t="shared" si="1"/>
        <v>0.1110700635</v>
      </c>
    </row>
    <row r="7926" ht="14.25" customHeight="1">
      <c r="A7926" s="2" t="s">
        <v>311</v>
      </c>
      <c r="B7926" s="2" t="s">
        <v>312</v>
      </c>
      <c r="C7926" s="2">
        <v>2019.0</v>
      </c>
      <c r="D7926" s="9">
        <v>29256.52</v>
      </c>
      <c r="E7926" s="10" t="str">
        <f t="array" ref="E7926">IFS(D7926&lt;=$G$3,'calculated data '!$A$3,D7926&lt;=$G$4,'calculated data '!$A$4,D7926&lt;=$G$6,'calculated data '!$A$5,D7926&gt;=$G$6,'calculated data '!$A$6)</f>
        <v>Target Market (Core IQR)</v>
      </c>
      <c r="F7926" s="10">
        <f t="shared" si="1"/>
        <v>0.1112413228</v>
      </c>
    </row>
    <row r="7927" ht="14.25" customHeight="1">
      <c r="A7927" s="2" t="s">
        <v>351</v>
      </c>
      <c r="B7927" s="2" t="s">
        <v>352</v>
      </c>
      <c r="C7927" s="2">
        <v>1989.0</v>
      </c>
      <c r="D7927" s="9">
        <v>29262.379</v>
      </c>
      <c r="E7927" s="10" t="str">
        <f t="array" ref="E7927">IFS(D7927&lt;=$G$3,'calculated data '!$A$3,D7927&lt;=$G$4,'calculated data '!$A$4,D7927&lt;=$G$6,'calculated data '!$A$5,D7927&gt;=$G$6,'calculated data '!$A$6)</f>
        <v>Target Market (Core IQR)</v>
      </c>
      <c r="F7927" s="10">
        <f t="shared" si="1"/>
        <v>0.111396409</v>
      </c>
    </row>
    <row r="7928" ht="14.25" customHeight="1">
      <c r="A7928" s="2" t="s">
        <v>419</v>
      </c>
      <c r="B7928" s="2" t="s">
        <v>420</v>
      </c>
      <c r="C7928" s="2">
        <v>2004.0</v>
      </c>
      <c r="D7928" s="9">
        <v>29272.406</v>
      </c>
      <c r="E7928" s="10" t="str">
        <f t="array" ref="E7928">IFS(D7928&lt;=$G$3,'calculated data '!$A$3,D7928&lt;=$G$4,'calculated data '!$A$4,D7928&lt;=$G$6,'calculated data '!$A$5,D7928&gt;=$G$6,'calculated data '!$A$6)</f>
        <v>Target Market (Core IQR)</v>
      </c>
      <c r="F7928" s="10">
        <f t="shared" si="1"/>
        <v>0.1116618212</v>
      </c>
    </row>
    <row r="7929" ht="14.25" customHeight="1">
      <c r="A7929" s="2" t="s">
        <v>399</v>
      </c>
      <c r="B7929" s="2" t="s">
        <v>400</v>
      </c>
      <c r="C7929" s="2">
        <v>2011.0</v>
      </c>
      <c r="D7929" s="9">
        <v>29293.537</v>
      </c>
      <c r="E7929" s="10" t="str">
        <f t="array" ref="E7929">IFS(D7929&lt;=$G$3,'calculated data '!$A$3,D7929&lt;=$G$4,'calculated data '!$A$4,D7929&lt;=$G$6,'calculated data '!$A$5,D7929&gt;=$G$6,'calculated data '!$A$6)</f>
        <v>Target Market (Core IQR)</v>
      </c>
      <c r="F7929" s="10">
        <f t="shared" si="1"/>
        <v>0.1122211535</v>
      </c>
    </row>
    <row r="7930" ht="14.25" customHeight="1">
      <c r="A7930" s="2" t="s">
        <v>375</v>
      </c>
      <c r="B7930" s="2" t="s">
        <v>376</v>
      </c>
      <c r="C7930" s="2">
        <v>2021.0</v>
      </c>
      <c r="D7930" s="9">
        <v>29299.83</v>
      </c>
      <c r="E7930" s="10" t="str">
        <f t="array" ref="E7930">IFS(D7930&lt;=$G$3,'calculated data '!$A$3,D7930&lt;=$G$4,'calculated data '!$A$4,D7930&lt;=$G$6,'calculated data '!$A$5,D7930&gt;=$G$6,'calculated data '!$A$6)</f>
        <v>Target Market (Core IQR)</v>
      </c>
      <c r="F7930" s="10">
        <f t="shared" si="1"/>
        <v>0.1123877277</v>
      </c>
    </row>
    <row r="7931" ht="14.25" customHeight="1">
      <c r="A7931" s="2" t="s">
        <v>393</v>
      </c>
      <c r="B7931" s="2" t="s">
        <v>394</v>
      </c>
      <c r="C7931" s="2">
        <v>2009.0</v>
      </c>
      <c r="D7931" s="9">
        <v>29327.494</v>
      </c>
      <c r="E7931" s="10" t="str">
        <f t="array" ref="E7931">IFS(D7931&lt;=$G$3,'calculated data '!$A$3,D7931&lt;=$G$4,'calculated data '!$A$4,D7931&lt;=$G$6,'calculated data '!$A$5,D7931&gt;=$G$6,'calculated data '!$A$6)</f>
        <v>Target Market (Core IQR)</v>
      </c>
      <c r="F7931" s="10">
        <f t="shared" si="1"/>
        <v>0.1131199869</v>
      </c>
    </row>
    <row r="7932" ht="14.25" customHeight="1">
      <c r="A7932" s="2" t="s">
        <v>371</v>
      </c>
      <c r="B7932" s="2" t="s">
        <v>372</v>
      </c>
      <c r="C7932" s="2">
        <v>1980.0</v>
      </c>
      <c r="D7932" s="9">
        <v>29330.7</v>
      </c>
      <c r="E7932" s="10" t="str">
        <f t="array" ref="E7932">IFS(D7932&lt;=$G$3,'calculated data '!$A$3,D7932&lt;=$G$4,'calculated data '!$A$4,D7932&lt;=$G$6,'calculated data '!$A$5,D7932&gt;=$G$6,'calculated data '!$A$6)</f>
        <v>Target Market (Core IQR)</v>
      </c>
      <c r="F7932" s="10">
        <f t="shared" si="1"/>
        <v>0.1132048489</v>
      </c>
    </row>
    <row r="7933" ht="14.25" customHeight="1">
      <c r="A7933" s="2" t="s">
        <v>319</v>
      </c>
      <c r="B7933" s="2" t="s">
        <v>320</v>
      </c>
      <c r="C7933" s="2">
        <v>2011.0</v>
      </c>
      <c r="D7933" s="9">
        <v>29337.473</v>
      </c>
      <c r="E7933" s="10" t="str">
        <f t="array" ref="E7933">IFS(D7933&lt;=$G$3,'calculated data '!$A$3,D7933&lt;=$G$4,'calculated data '!$A$4,D7933&lt;=$G$6,'calculated data '!$A$5,D7933&gt;=$G$6,'calculated data '!$A$6)</f>
        <v>Target Market (Core IQR)</v>
      </c>
      <c r="F7933" s="10">
        <f t="shared" si="1"/>
        <v>0.1133841285</v>
      </c>
    </row>
    <row r="7934" ht="14.25" customHeight="1">
      <c r="A7934" s="2" t="s">
        <v>331</v>
      </c>
      <c r="B7934" s="2" t="s">
        <v>332</v>
      </c>
      <c r="C7934" s="2">
        <v>1995.0</v>
      </c>
      <c r="D7934" s="9">
        <v>29338.197</v>
      </c>
      <c r="E7934" s="10" t="str">
        <f t="array" ref="E7934">IFS(D7934&lt;=$G$3,'calculated data '!$A$3,D7934&lt;=$G$4,'calculated data '!$A$4,D7934&lt;=$G$6,'calculated data '!$A$5,D7934&gt;=$G$6,'calculated data '!$A$6)</f>
        <v>Target Market (Core IQR)</v>
      </c>
      <c r="F7934" s="10">
        <f t="shared" si="1"/>
        <v>0.1134032926</v>
      </c>
    </row>
    <row r="7935" ht="14.25" customHeight="1">
      <c r="A7935" s="2" t="s">
        <v>353</v>
      </c>
      <c r="B7935" s="2" t="s">
        <v>354</v>
      </c>
      <c r="C7935" s="2">
        <v>2016.0</v>
      </c>
      <c r="D7935" s="9">
        <v>29339.521</v>
      </c>
      <c r="E7935" s="10" t="str">
        <f t="array" ref="E7935">IFS(D7935&lt;=$G$3,'calculated data '!$A$3,D7935&lt;=$G$4,'calculated data '!$A$4,D7935&lt;=$G$6,'calculated data '!$A$5,D7935&gt;=$G$6,'calculated data '!$A$6)</f>
        <v>Target Market (Core IQR)</v>
      </c>
      <c r="F7935" s="10">
        <f t="shared" si="1"/>
        <v>0.1134383386</v>
      </c>
    </row>
    <row r="7936" ht="14.25" customHeight="1">
      <c r="A7936" s="2" t="s">
        <v>319</v>
      </c>
      <c r="B7936" s="2" t="s">
        <v>320</v>
      </c>
      <c r="C7936" s="2">
        <v>1996.0</v>
      </c>
      <c r="D7936" s="9">
        <v>29346.434</v>
      </c>
      <c r="E7936" s="10" t="str">
        <f t="array" ref="E7936">IFS(D7936&lt;=$G$3,'calculated data '!$A$3,D7936&lt;=$G$4,'calculated data '!$A$4,D7936&lt;=$G$6,'calculated data '!$A$5,D7936&gt;=$G$6,'calculated data '!$A$6)</f>
        <v>Target Market (Core IQR)</v>
      </c>
      <c r="F7936" s="10">
        <f t="shared" si="1"/>
        <v>0.113621324</v>
      </c>
    </row>
    <row r="7937" ht="14.25" customHeight="1">
      <c r="A7937" s="2" t="s">
        <v>267</v>
      </c>
      <c r="B7937" s="2" t="s">
        <v>268</v>
      </c>
      <c r="C7937" s="2">
        <v>2016.0</v>
      </c>
      <c r="D7937" s="9">
        <v>29353.95</v>
      </c>
      <c r="E7937" s="10" t="str">
        <f t="array" ref="E7937">IFS(D7937&lt;=$G$3,'calculated data '!$A$3,D7937&lt;=$G$4,'calculated data '!$A$4,D7937&lt;=$G$6,'calculated data '!$A$5,D7937&gt;=$G$6,'calculated data '!$A$6)</f>
        <v>Target Market (Core IQR)</v>
      </c>
      <c r="F7937" s="10">
        <f t="shared" si="1"/>
        <v>0.1138202706</v>
      </c>
    </row>
    <row r="7938" ht="14.25" customHeight="1">
      <c r="A7938" s="2" t="s">
        <v>401</v>
      </c>
      <c r="B7938" s="2" t="s">
        <v>402</v>
      </c>
      <c r="C7938" s="2">
        <v>1971.0</v>
      </c>
      <c r="D7938" s="9">
        <v>29357.08</v>
      </c>
      <c r="E7938" s="10" t="str">
        <f t="array" ref="E7938">IFS(D7938&lt;=$G$3,'calculated data '!$A$3,D7938&lt;=$G$4,'calculated data '!$A$4,D7938&lt;=$G$6,'calculated data '!$A$5,D7938&gt;=$G$6,'calculated data '!$A$6)</f>
        <v>Target Market (Core IQR)</v>
      </c>
      <c r="F7938" s="10">
        <f t="shared" si="1"/>
        <v>0.1139031209</v>
      </c>
    </row>
    <row r="7939" ht="14.25" customHeight="1">
      <c r="A7939" s="2" t="s">
        <v>421</v>
      </c>
      <c r="B7939" s="2" t="s">
        <v>422</v>
      </c>
      <c r="C7939" s="2">
        <v>2016.0</v>
      </c>
      <c r="D7939" s="9">
        <v>29376.773</v>
      </c>
      <c r="E7939" s="10" t="str">
        <f t="array" ref="E7939">IFS(D7939&lt;=$G$3,'calculated data '!$A$3,D7939&lt;=$G$4,'calculated data '!$A$4,D7939&lt;=$G$6,'calculated data '!$A$5,D7939&gt;=$G$6,'calculated data '!$A$6)</f>
        <v>Target Market (Core IQR)</v>
      </c>
      <c r="F7939" s="10">
        <f t="shared" si="1"/>
        <v>0.1144243897</v>
      </c>
    </row>
    <row r="7940" ht="14.25" customHeight="1">
      <c r="A7940" s="2" t="s">
        <v>419</v>
      </c>
      <c r="B7940" s="2" t="s">
        <v>420</v>
      </c>
      <c r="C7940" s="2">
        <v>2005.0</v>
      </c>
      <c r="D7940" s="9">
        <v>29379.598</v>
      </c>
      <c r="E7940" s="10" t="str">
        <f t="array" ref="E7940">IFS(D7940&lt;=$G$3,'calculated data '!$A$3,D7940&lt;=$G$4,'calculated data '!$A$4,D7940&lt;=$G$6,'calculated data '!$A$5,D7940&gt;=$G$6,'calculated data '!$A$6)</f>
        <v>Target Market (Core IQR)</v>
      </c>
      <c r="F7940" s="10">
        <f t="shared" si="1"/>
        <v>0.1144991668</v>
      </c>
    </row>
    <row r="7941" ht="14.25" customHeight="1">
      <c r="A7941" s="2" t="s">
        <v>439</v>
      </c>
      <c r="B7941" s="2" t="s">
        <v>440</v>
      </c>
      <c r="C7941" s="2">
        <v>1969.0</v>
      </c>
      <c r="D7941" s="9">
        <v>29381.455</v>
      </c>
      <c r="E7941" s="10" t="str">
        <f t="array" ref="E7941">IFS(D7941&lt;=$G$3,'calculated data '!$A$3,D7941&lt;=$G$4,'calculated data '!$A$4,D7941&lt;=$G$6,'calculated data '!$A$5,D7941&gt;=$G$6,'calculated data '!$A$6)</f>
        <v>Target Market (Core IQR)</v>
      </c>
      <c r="F7941" s="10">
        <f t="shared" si="1"/>
        <v>0.1145483211</v>
      </c>
    </row>
    <row r="7942" ht="14.25" customHeight="1">
      <c r="A7942" s="2" t="s">
        <v>28</v>
      </c>
      <c r="B7942" s="2" t="s">
        <v>29</v>
      </c>
      <c r="C7942" s="2">
        <v>1995.0</v>
      </c>
      <c r="D7942" s="9">
        <v>29387.615</v>
      </c>
      <c r="E7942" s="10" t="str">
        <f t="array" ref="E7942">IFS(D7942&lt;=$G$3,'calculated data '!$A$3,D7942&lt;=$G$4,'calculated data '!$A$4,D7942&lt;=$G$6,'calculated data '!$A$5,D7942&gt;=$G$6,'calculated data '!$A$6)</f>
        <v>Target Market (Core IQR)</v>
      </c>
      <c r="F7942" s="10">
        <f t="shared" si="1"/>
        <v>0.1147113748</v>
      </c>
    </row>
    <row r="7943" ht="14.25" customHeight="1">
      <c r="A7943" s="2" t="s">
        <v>371</v>
      </c>
      <c r="B7943" s="2" t="s">
        <v>372</v>
      </c>
      <c r="C7943" s="2">
        <v>1978.0</v>
      </c>
      <c r="D7943" s="9">
        <v>29407.084</v>
      </c>
      <c r="E7943" s="10" t="str">
        <f t="array" ref="E7943">IFS(D7943&lt;=$G$3,'calculated data '!$A$3,D7943&lt;=$G$4,'calculated data '!$A$4,D7943&lt;=$G$6,'calculated data '!$A$5,D7943&gt;=$G$6,'calculated data '!$A$6)</f>
        <v>Target Market (Core IQR)</v>
      </c>
      <c r="F7943" s="10">
        <f t="shared" si="1"/>
        <v>0.1152267144</v>
      </c>
    </row>
    <row r="7944" ht="14.25" customHeight="1">
      <c r="A7944" s="2" t="s">
        <v>445</v>
      </c>
      <c r="B7944" s="2" t="s">
        <v>446</v>
      </c>
      <c r="C7944" s="2">
        <v>1965.0</v>
      </c>
      <c r="D7944" s="9">
        <v>29410.168</v>
      </c>
      <c r="E7944" s="10" t="str">
        <f t="array" ref="E7944">IFS(D7944&lt;=$G$3,'calculated data '!$A$3,D7944&lt;=$G$4,'calculated data '!$A$4,D7944&lt;=$G$6,'calculated data '!$A$5,D7944&gt;=$G$6,'calculated data '!$A$6)</f>
        <v>Target Market (Core IQR)</v>
      </c>
      <c r="F7944" s="10">
        <f t="shared" si="1"/>
        <v>0.1153083471</v>
      </c>
    </row>
    <row r="7945" ht="14.25" customHeight="1">
      <c r="A7945" s="2" t="s">
        <v>319</v>
      </c>
      <c r="B7945" s="2" t="s">
        <v>320</v>
      </c>
      <c r="C7945" s="2">
        <v>1998.0</v>
      </c>
      <c r="D7945" s="9">
        <v>29413.053</v>
      </c>
      <c r="E7945" s="10" t="str">
        <f t="array" ref="E7945">IFS(D7945&lt;=$G$3,'calculated data '!$A$3,D7945&lt;=$G$4,'calculated data '!$A$4,D7945&lt;=$G$6,'calculated data '!$A$5,D7945&gt;=$G$6,'calculated data '!$A$6)</f>
        <v>Target Market (Core IQR)</v>
      </c>
      <c r="F7945" s="10">
        <f t="shared" si="1"/>
        <v>0.1153847123</v>
      </c>
    </row>
    <row r="7946" ht="14.25" customHeight="1">
      <c r="A7946" s="2" t="s">
        <v>421</v>
      </c>
      <c r="B7946" s="2" t="s">
        <v>422</v>
      </c>
      <c r="C7946" s="2">
        <v>2008.0</v>
      </c>
      <c r="D7946" s="9">
        <v>29435.55</v>
      </c>
      <c r="E7946" s="10" t="str">
        <f t="array" ref="E7946">IFS(D7946&lt;=$G$3,'calculated data '!$A$3,D7946&lt;=$G$4,'calculated data '!$A$4,D7946&lt;=$G$6,'calculated data '!$A$5,D7946&gt;=$G$6,'calculated data '!$A$6)</f>
        <v>Target Market (Core IQR)</v>
      </c>
      <c r="F7946" s="10">
        <f t="shared" si="1"/>
        <v>0.1159802023</v>
      </c>
    </row>
    <row r="7947" ht="14.25" customHeight="1">
      <c r="A7947" s="2" t="s">
        <v>371</v>
      </c>
      <c r="B7947" s="2" t="s">
        <v>372</v>
      </c>
      <c r="C7947" s="2">
        <v>1987.0</v>
      </c>
      <c r="D7947" s="9">
        <v>29444.287</v>
      </c>
      <c r="E7947" s="10" t="str">
        <f t="array" ref="E7947">IFS(D7947&lt;=$G$3,'calculated data '!$A$3,D7947&lt;=$G$4,'calculated data '!$A$4,D7947&lt;=$G$6,'calculated data '!$A$5,D7947&gt;=$G$6,'calculated data '!$A$6)</f>
        <v>Target Market (Core IQR)</v>
      </c>
      <c r="F7947" s="10">
        <f t="shared" si="1"/>
        <v>0.1162114685</v>
      </c>
    </row>
    <row r="7948" ht="14.25" customHeight="1">
      <c r="A7948" s="2" t="s">
        <v>309</v>
      </c>
      <c r="B7948" s="2" t="s">
        <v>310</v>
      </c>
      <c r="C7948" s="2">
        <v>2000.0</v>
      </c>
      <c r="D7948" s="9">
        <v>29453.422</v>
      </c>
      <c r="E7948" s="10" t="str">
        <f t="array" ref="E7948">IFS(D7948&lt;=$G$3,'calculated data '!$A$3,D7948&lt;=$G$4,'calculated data '!$A$4,D7948&lt;=$G$6,'calculated data '!$A$5,D7948&gt;=$G$6,'calculated data '!$A$6)</f>
        <v>Target Market (Core IQR)</v>
      </c>
      <c r="F7948" s="10">
        <f t="shared" si="1"/>
        <v>0.1164532697</v>
      </c>
    </row>
    <row r="7949" ht="14.25" customHeight="1">
      <c r="A7949" s="2" t="s">
        <v>411</v>
      </c>
      <c r="B7949" s="2" t="s">
        <v>412</v>
      </c>
      <c r="C7949" s="2">
        <v>2020.0</v>
      </c>
      <c r="D7949" s="9">
        <v>29463.832</v>
      </c>
      <c r="E7949" s="10" t="str">
        <f t="array" ref="E7949">IFS(D7949&lt;=$G$3,'calculated data '!$A$3,D7949&lt;=$G$4,'calculated data '!$A$4,D7949&lt;=$G$6,'calculated data '!$A$5,D7949&gt;=$G$6,'calculated data '!$A$6)</f>
        <v>Target Market (Core IQR)</v>
      </c>
      <c r="F7949" s="10">
        <f t="shared" si="1"/>
        <v>0.1167288198</v>
      </c>
    </row>
    <row r="7950" ht="14.25" customHeight="1">
      <c r="A7950" s="2" t="s">
        <v>127</v>
      </c>
      <c r="B7950" s="2" t="s">
        <v>128</v>
      </c>
      <c r="C7950" s="2">
        <v>2007.0</v>
      </c>
      <c r="D7950" s="9">
        <v>29474.863</v>
      </c>
      <c r="E7950" s="10" t="str">
        <f t="array" ref="E7950">IFS(D7950&lt;=$G$3,'calculated data '!$A$3,D7950&lt;=$G$4,'calculated data '!$A$4,D7950&lt;=$G$6,'calculated data '!$A$5,D7950&gt;=$G$6,'calculated data '!$A$6)</f>
        <v>Target Market (Core IQR)</v>
      </c>
      <c r="F7950" s="10">
        <f t="shared" si="1"/>
        <v>0.1170208076</v>
      </c>
    </row>
    <row r="7951" ht="14.25" customHeight="1">
      <c r="A7951" s="2" t="s">
        <v>335</v>
      </c>
      <c r="B7951" s="2" t="s">
        <v>336</v>
      </c>
      <c r="C7951" s="2">
        <v>2024.0</v>
      </c>
      <c r="D7951" s="9">
        <v>29491.5</v>
      </c>
      <c r="E7951" s="10" t="str">
        <f t="array" ref="E7951">IFS(D7951&lt;=$G$3,'calculated data '!$A$3,D7951&lt;=$G$4,'calculated data '!$A$4,D7951&lt;=$G$6,'calculated data '!$A$5,D7951&gt;=$G$6,'calculated data '!$A$6)</f>
        <v>Target Market (Core IQR)</v>
      </c>
      <c r="F7951" s="10">
        <f t="shared" si="1"/>
        <v>0.1174611848</v>
      </c>
    </row>
    <row r="7952" ht="14.25" customHeight="1">
      <c r="A7952" s="2" t="s">
        <v>439</v>
      </c>
      <c r="B7952" s="2" t="s">
        <v>440</v>
      </c>
      <c r="C7952" s="2">
        <v>1966.0</v>
      </c>
      <c r="D7952" s="9">
        <v>29500.2</v>
      </c>
      <c r="E7952" s="10" t="str">
        <f t="array" ref="E7952">IFS(D7952&lt;=$G$3,'calculated data '!$A$3,D7952&lt;=$G$4,'calculated data '!$A$4,D7952&lt;=$G$6,'calculated data '!$A$5,D7952&gt;=$G$6,'calculated data '!$A$6)</f>
        <v>Target Market (Core IQR)</v>
      </c>
      <c r="F7952" s="10">
        <f t="shared" si="1"/>
        <v>0.1176914717</v>
      </c>
    </row>
    <row r="7953" ht="14.25" customHeight="1">
      <c r="A7953" s="2" t="s">
        <v>309</v>
      </c>
      <c r="B7953" s="2" t="s">
        <v>310</v>
      </c>
      <c r="C7953" s="2">
        <v>1992.0</v>
      </c>
      <c r="D7953" s="9">
        <v>29503.812</v>
      </c>
      <c r="E7953" s="10" t="str">
        <f t="array" ref="E7953">IFS(D7953&lt;=$G$3,'calculated data '!$A$3,D7953&lt;=$G$4,'calculated data '!$A$4,D7953&lt;=$G$6,'calculated data '!$A$5,D7953&gt;=$G$6,'calculated data '!$A$6)</f>
        <v>Target Market (Core IQR)</v>
      </c>
      <c r="F7953" s="10">
        <f t="shared" si="1"/>
        <v>0.1177870804</v>
      </c>
    </row>
    <row r="7954" ht="14.25" customHeight="1">
      <c r="A7954" s="2" t="s">
        <v>411</v>
      </c>
      <c r="B7954" s="2" t="s">
        <v>412</v>
      </c>
      <c r="C7954" s="2">
        <v>2023.0</v>
      </c>
      <c r="D7954" s="9">
        <v>29508.014</v>
      </c>
      <c r="E7954" s="10" t="str">
        <f t="array" ref="E7954">IFS(D7954&lt;=$G$3,'calculated data '!$A$3,D7954&lt;=$G$4,'calculated data '!$A$4,D7954&lt;=$G$6,'calculated data '!$A$5,D7954&gt;=$G$6,'calculated data '!$A$6)</f>
        <v>Target Market (Core IQR)</v>
      </c>
      <c r="F7954" s="10">
        <f t="shared" si="1"/>
        <v>0.1178983063</v>
      </c>
    </row>
    <row r="7955" ht="14.25" customHeight="1">
      <c r="A7955" s="2" t="s">
        <v>341</v>
      </c>
      <c r="B7955" s="2" t="s">
        <v>342</v>
      </c>
      <c r="C7955" s="2">
        <v>2019.0</v>
      </c>
      <c r="D7955" s="9">
        <v>29523.986</v>
      </c>
      <c r="E7955" s="10" t="str">
        <f t="array" ref="E7955">IFS(D7955&lt;=$G$3,'calculated data '!$A$3,D7955&lt;=$G$4,'calculated data '!$A$4,D7955&lt;=$G$6,'calculated data '!$A$5,D7955&gt;=$G$6,'calculated data '!$A$6)</f>
        <v>Target Market (Core IQR)</v>
      </c>
      <c r="F7955" s="10">
        <f t="shared" si="1"/>
        <v>0.1183210812</v>
      </c>
    </row>
    <row r="7956" ht="14.25" customHeight="1">
      <c r="A7956" s="2" t="s">
        <v>335</v>
      </c>
      <c r="B7956" s="2" t="s">
        <v>336</v>
      </c>
      <c r="C7956" s="2">
        <v>1995.0</v>
      </c>
      <c r="D7956" s="9">
        <v>29564.762</v>
      </c>
      <c r="E7956" s="10" t="str">
        <f t="array" ref="E7956">IFS(D7956&lt;=$G$3,'calculated data '!$A$3,D7956&lt;=$G$4,'calculated data '!$A$4,D7956&lt;=$G$6,'calculated data '!$A$5,D7956&gt;=$G$6,'calculated data '!$A$6)</f>
        <v>Target Market (Core IQR)</v>
      </c>
      <c r="F7956" s="10">
        <f t="shared" si="1"/>
        <v>0.1194004117</v>
      </c>
    </row>
    <row r="7957" ht="14.25" customHeight="1">
      <c r="A7957" s="2" t="s">
        <v>359</v>
      </c>
      <c r="B7957" s="2" t="s">
        <v>360</v>
      </c>
      <c r="C7957" s="2">
        <v>1977.0</v>
      </c>
      <c r="D7957" s="9">
        <v>29568.998</v>
      </c>
      <c r="E7957" s="10" t="str">
        <f t="array" ref="E7957">IFS(D7957&lt;=$G$3,'calculated data '!$A$3,D7957&lt;=$G$4,'calculated data '!$A$4,D7957&lt;=$G$6,'calculated data '!$A$5,D7957&gt;=$G$6,'calculated data '!$A$6)</f>
        <v>Target Market (Core IQR)</v>
      </c>
      <c r="F7957" s="10">
        <f t="shared" si="1"/>
        <v>0.1195125376</v>
      </c>
    </row>
    <row r="7958" ht="14.25" customHeight="1">
      <c r="A7958" s="2" t="s">
        <v>355</v>
      </c>
      <c r="B7958" s="2" t="s">
        <v>356</v>
      </c>
      <c r="C7958" s="2">
        <v>2011.0</v>
      </c>
      <c r="D7958" s="9">
        <v>29592.82</v>
      </c>
      <c r="E7958" s="10" t="str">
        <f t="array" ref="E7958">IFS(D7958&lt;=$G$3,'calculated data '!$A$3,D7958&lt;=$G$4,'calculated data '!$A$4,D7958&lt;=$G$6,'calculated data '!$A$5,D7958&gt;=$G$6,'calculated data '!$A$6)</f>
        <v>Target Market (Core IQR)</v>
      </c>
      <c r="F7958" s="10">
        <f t="shared" si="1"/>
        <v>0.1201431</v>
      </c>
    </row>
    <row r="7959" ht="14.25" customHeight="1">
      <c r="A7959" s="2" t="s">
        <v>417</v>
      </c>
      <c r="B7959" s="2" t="s">
        <v>418</v>
      </c>
      <c r="C7959" s="2">
        <v>1969.0</v>
      </c>
      <c r="D7959" s="9">
        <v>29606.553</v>
      </c>
      <c r="E7959" s="10" t="str">
        <f t="array" ref="E7959">IFS(D7959&lt;=$G$3,'calculated data '!$A$3,D7959&lt;=$G$4,'calculated data '!$A$4,D7959&lt;=$G$6,'calculated data '!$A$5,D7959&gt;=$G$6,'calculated data '!$A$6)</f>
        <v>Target Market (Core IQR)</v>
      </c>
      <c r="F7959" s="10">
        <f t="shared" si="1"/>
        <v>0.1205066091</v>
      </c>
    </row>
    <row r="7960" ht="14.25" customHeight="1">
      <c r="A7960" s="2" t="s">
        <v>375</v>
      </c>
      <c r="B7960" s="2" t="s">
        <v>376</v>
      </c>
      <c r="C7960" s="2">
        <v>1983.0</v>
      </c>
      <c r="D7960" s="9">
        <v>29620.053</v>
      </c>
      <c r="E7960" s="10" t="str">
        <f t="array" ref="E7960">IFS(D7960&lt;=$G$3,'calculated data '!$A$3,D7960&lt;=$G$4,'calculated data '!$A$4,D7960&lt;=$G$6,'calculated data '!$A$5,D7960&gt;=$G$6,'calculated data '!$A$6)</f>
        <v>Target Market (Core IQR)</v>
      </c>
      <c r="F7960" s="10">
        <f t="shared" si="1"/>
        <v>0.1208639507</v>
      </c>
    </row>
    <row r="7961" ht="14.25" customHeight="1">
      <c r="A7961" s="2" t="s">
        <v>421</v>
      </c>
      <c r="B7961" s="2" t="s">
        <v>422</v>
      </c>
      <c r="C7961" s="2">
        <v>2022.0</v>
      </c>
      <c r="D7961" s="9">
        <v>29660.32</v>
      </c>
      <c r="E7961" s="10" t="str">
        <f t="array" ref="E7961">IFS(D7961&lt;=$G$3,'calculated data '!$A$3,D7961&lt;=$G$4,'calculated data '!$A$4,D7961&lt;=$G$6,'calculated data '!$A$5,D7961&gt;=$G$6,'calculated data '!$A$6)</f>
        <v>Target Market (Core IQR)</v>
      </c>
      <c r="F7961" s="10">
        <f t="shared" si="1"/>
        <v>0.1219298082</v>
      </c>
    </row>
    <row r="7962" ht="14.25" customHeight="1">
      <c r="A7962" s="2" t="s">
        <v>279</v>
      </c>
      <c r="B7962" s="2" t="s">
        <v>280</v>
      </c>
      <c r="C7962" s="2">
        <v>1991.0</v>
      </c>
      <c r="D7962" s="9">
        <v>29666.664</v>
      </c>
      <c r="E7962" s="10" t="str">
        <f t="array" ref="E7962">IFS(D7962&lt;=$G$3,'calculated data '!$A$3,D7962&lt;=$G$4,'calculated data '!$A$4,D7962&lt;=$G$6,'calculated data '!$A$5,D7962&gt;=$G$6,'calculated data '!$A$6)</f>
        <v>Target Market (Core IQR)</v>
      </c>
      <c r="F7962" s="10">
        <f t="shared" si="1"/>
        <v>0.1220977323</v>
      </c>
    </row>
    <row r="7963" ht="14.25" customHeight="1">
      <c r="A7963" s="2" t="s">
        <v>421</v>
      </c>
      <c r="B7963" s="2" t="s">
        <v>422</v>
      </c>
      <c r="C7963" s="2">
        <v>1993.0</v>
      </c>
      <c r="D7963" s="9">
        <v>29678.166</v>
      </c>
      <c r="E7963" s="10" t="str">
        <f t="array" ref="E7963">IFS(D7963&lt;=$G$3,'calculated data '!$A$3,D7963&lt;=$G$4,'calculated data '!$A$4,D7963&lt;=$G$6,'calculated data '!$A$5,D7963&gt;=$G$6,'calculated data '!$A$6)</f>
        <v>Target Market (Core IQR)</v>
      </c>
      <c r="F7963" s="10">
        <f t="shared" si="1"/>
        <v>0.1224021874</v>
      </c>
    </row>
    <row r="7964" ht="14.25" customHeight="1">
      <c r="A7964" s="2" t="s">
        <v>419</v>
      </c>
      <c r="B7964" s="2" t="s">
        <v>420</v>
      </c>
      <c r="C7964" s="2">
        <v>2009.0</v>
      </c>
      <c r="D7964" s="9">
        <v>29705.824</v>
      </c>
      <c r="E7964" s="10" t="str">
        <f t="array" ref="E7964">IFS(D7964&lt;=$G$3,'calculated data '!$A$3,D7964&lt;=$G$4,'calculated data '!$A$4,D7964&lt;=$G$6,'calculated data '!$A$5,D7964&gt;=$G$6,'calculated data '!$A$6)</f>
        <v>Target Market (Core IQR)</v>
      </c>
      <c r="F7964" s="10">
        <f t="shared" si="1"/>
        <v>0.1231342877</v>
      </c>
    </row>
    <row r="7965" ht="14.25" customHeight="1">
      <c r="A7965" s="2" t="s">
        <v>447</v>
      </c>
      <c r="B7965" s="2" t="s">
        <v>448</v>
      </c>
      <c r="C7965" s="2">
        <v>1992.0</v>
      </c>
      <c r="D7965" s="9">
        <v>29713.938</v>
      </c>
      <c r="E7965" s="10" t="str">
        <f t="array" ref="E7965">IFS(D7965&lt;=$G$3,'calculated data '!$A$3,D7965&lt;=$G$4,'calculated data '!$A$4,D7965&lt;=$G$6,'calculated data '!$A$5,D7965&gt;=$G$6,'calculated data '!$A$6)</f>
        <v>Target Market (Core IQR)</v>
      </c>
      <c r="F7965" s="10">
        <f t="shared" si="1"/>
        <v>0.1233490633</v>
      </c>
    </row>
    <row r="7966" ht="14.25" customHeight="1">
      <c r="A7966" s="2" t="s">
        <v>423</v>
      </c>
      <c r="B7966" s="2" t="s">
        <v>424</v>
      </c>
      <c r="C7966" s="2">
        <v>1983.0</v>
      </c>
      <c r="D7966" s="9">
        <v>29719.5</v>
      </c>
      <c r="E7966" s="10" t="str">
        <f t="array" ref="E7966">IFS(D7966&lt;=$G$3,'calculated data '!$A$3,D7966&lt;=$G$4,'calculated data '!$A$4,D7966&lt;=$G$6,'calculated data '!$A$5,D7966&gt;=$G$6,'calculated data '!$A$6)</f>
        <v>Target Market (Core IQR)</v>
      </c>
      <c r="F7966" s="10">
        <f t="shared" si="1"/>
        <v>0.1234962881</v>
      </c>
    </row>
    <row r="7967" ht="14.25" customHeight="1">
      <c r="A7967" s="2" t="s">
        <v>387</v>
      </c>
      <c r="B7967" s="2" t="s">
        <v>388</v>
      </c>
      <c r="C7967" s="2">
        <v>2002.0</v>
      </c>
      <c r="D7967" s="9">
        <v>29724.633</v>
      </c>
      <c r="E7967" s="10" t="str">
        <f t="array" ref="E7967">IFS(D7967&lt;=$G$3,'calculated data '!$A$3,D7967&lt;=$G$4,'calculated data '!$A$4,D7967&lt;=$G$6,'calculated data '!$A$5,D7967&gt;=$G$6,'calculated data '!$A$6)</f>
        <v>Target Market (Core IQR)</v>
      </c>
      <c r="F7967" s="10">
        <f t="shared" si="1"/>
        <v>0.1236321573</v>
      </c>
    </row>
    <row r="7968" ht="14.25" customHeight="1">
      <c r="A7968" s="2" t="s">
        <v>421</v>
      </c>
      <c r="B7968" s="2" t="s">
        <v>422</v>
      </c>
      <c r="C7968" s="2">
        <v>1992.0</v>
      </c>
      <c r="D7968" s="9">
        <v>29727.277</v>
      </c>
      <c r="E7968" s="10" t="str">
        <f t="array" ref="E7968">IFS(D7968&lt;=$G$3,'calculated data '!$A$3,D7968&lt;=$G$4,'calculated data '!$A$4,D7968&lt;=$G$6,'calculated data '!$A$5,D7968&gt;=$G$6,'calculated data '!$A$6)</f>
        <v>Target Market (Core IQR)</v>
      </c>
      <c r="F7968" s="10">
        <f t="shared" si="1"/>
        <v>0.1237021433</v>
      </c>
    </row>
    <row r="7969" ht="14.25" customHeight="1">
      <c r="A7969" s="2" t="s">
        <v>331</v>
      </c>
      <c r="B7969" s="2" t="s">
        <v>332</v>
      </c>
      <c r="C7969" s="2">
        <v>1996.0</v>
      </c>
      <c r="D7969" s="9">
        <v>29730.352</v>
      </c>
      <c r="E7969" s="10" t="str">
        <f t="array" ref="E7969">IFS(D7969&lt;=$G$3,'calculated data '!$A$3,D7969&lt;=$G$4,'calculated data '!$A$4,D7969&lt;=$G$6,'calculated data '!$A$5,D7969&gt;=$G$6,'calculated data '!$A$6)</f>
        <v>Target Market (Core IQR)</v>
      </c>
      <c r="F7969" s="10">
        <f t="shared" si="1"/>
        <v>0.1237835378</v>
      </c>
    </row>
    <row r="7970" ht="14.25" customHeight="1">
      <c r="A7970" s="2" t="s">
        <v>373</v>
      </c>
      <c r="B7970" s="2" t="s">
        <v>374</v>
      </c>
      <c r="C7970" s="2">
        <v>2008.0</v>
      </c>
      <c r="D7970" s="9">
        <v>29765.596</v>
      </c>
      <c r="E7970" s="10" t="str">
        <f t="array" ref="E7970">IFS(D7970&lt;=$G$3,'calculated data '!$A$3,D7970&lt;=$G$4,'calculated data '!$A$4,D7970&lt;=$G$6,'calculated data '!$A$5,D7970&gt;=$G$6,'calculated data '!$A$6)</f>
        <v>Target Market (Core IQR)</v>
      </c>
      <c r="F7970" s="10">
        <f t="shared" si="1"/>
        <v>0.1247164377</v>
      </c>
    </row>
    <row r="7971" ht="14.25" customHeight="1">
      <c r="A7971" s="2" t="s">
        <v>257</v>
      </c>
      <c r="B7971" s="2" t="s">
        <v>258</v>
      </c>
      <c r="C7971" s="2">
        <v>2007.0</v>
      </c>
      <c r="D7971" s="9">
        <v>29769.873</v>
      </c>
      <c r="E7971" s="10" t="str">
        <f t="array" ref="E7971">IFS(D7971&lt;=$G$3,'calculated data '!$A$3,D7971&lt;=$G$4,'calculated data '!$A$4,D7971&lt;=$G$6,'calculated data '!$A$5,D7971&gt;=$G$6,'calculated data '!$A$6)</f>
        <v>Target Market (Core IQR)</v>
      </c>
      <c r="F7971" s="10">
        <f t="shared" si="1"/>
        <v>0.1248296488</v>
      </c>
    </row>
    <row r="7972" ht="14.25" customHeight="1">
      <c r="A7972" s="2" t="s">
        <v>335</v>
      </c>
      <c r="B7972" s="2" t="s">
        <v>336</v>
      </c>
      <c r="C7972" s="2">
        <v>1996.0</v>
      </c>
      <c r="D7972" s="9">
        <v>29788.84</v>
      </c>
      <c r="E7972" s="10" t="str">
        <f t="array" ref="E7972">IFS(D7972&lt;=$G$3,'calculated data '!$A$3,D7972&lt;=$G$4,'calculated data '!$A$4,D7972&lt;=$G$6,'calculated data '!$A$5,D7972&gt;=$G$6,'calculated data '!$A$6)</f>
        <v>Target Market (Core IQR)</v>
      </c>
      <c r="F7972" s="10">
        <f t="shared" si="1"/>
        <v>0.1253317006</v>
      </c>
    </row>
    <row r="7973" ht="14.25" customHeight="1">
      <c r="A7973" s="2" t="s">
        <v>431</v>
      </c>
      <c r="B7973" s="2" t="s">
        <v>432</v>
      </c>
      <c r="C7973" s="2">
        <v>1984.0</v>
      </c>
      <c r="D7973" s="9">
        <v>29797.709</v>
      </c>
      <c r="E7973" s="10" t="str">
        <f t="array" ref="E7973">IFS(D7973&lt;=$G$3,'calculated data '!$A$3,D7973&lt;=$G$4,'calculated data '!$A$4,D7973&lt;=$G$6,'calculated data '!$A$5,D7973&gt;=$G$6,'calculated data '!$A$6)</f>
        <v>Target Market (Core IQR)</v>
      </c>
      <c r="F7973" s="10">
        <f t="shared" si="1"/>
        <v>0.1255664608</v>
      </c>
    </row>
    <row r="7974" ht="14.25" customHeight="1">
      <c r="A7974" s="2" t="s">
        <v>355</v>
      </c>
      <c r="B7974" s="2" t="s">
        <v>356</v>
      </c>
      <c r="C7974" s="2">
        <v>2007.0</v>
      </c>
      <c r="D7974" s="9">
        <v>29798.4</v>
      </c>
      <c r="E7974" s="10" t="str">
        <f t="array" ref="E7974">IFS(D7974&lt;=$G$3,'calculated data '!$A$3,D7974&lt;=$G$4,'calculated data '!$A$4,D7974&lt;=$G$6,'calculated data '!$A$5,D7974&gt;=$G$6,'calculated data '!$A$6)</f>
        <v>Target Market (Core IQR)</v>
      </c>
      <c r="F7974" s="10">
        <f t="shared" si="1"/>
        <v>0.1255847514</v>
      </c>
    </row>
    <row r="7975" ht="14.25" customHeight="1">
      <c r="A7975" s="2" t="s">
        <v>375</v>
      </c>
      <c r="B7975" s="2" t="s">
        <v>376</v>
      </c>
      <c r="C7975" s="2">
        <v>2008.0</v>
      </c>
      <c r="D7975" s="9">
        <v>29798.463</v>
      </c>
      <c r="E7975" s="10" t="str">
        <f t="array" ref="E7975">IFS(D7975&lt;=$G$3,'calculated data '!$A$3,D7975&lt;=$G$4,'calculated data '!$A$4,D7975&lt;=$G$6,'calculated data '!$A$5,D7975&gt;=$G$6,'calculated data '!$A$6)</f>
        <v>Target Market (Core IQR)</v>
      </c>
      <c r="F7975" s="10">
        <f t="shared" si="1"/>
        <v>0.125586419</v>
      </c>
    </row>
    <row r="7976" ht="14.25" customHeight="1">
      <c r="A7976" s="2" t="s">
        <v>375</v>
      </c>
      <c r="B7976" s="2" t="s">
        <v>376</v>
      </c>
      <c r="C7976" s="2">
        <v>1981.0</v>
      </c>
      <c r="D7976" s="9">
        <v>29800.773</v>
      </c>
      <c r="E7976" s="10" t="str">
        <f t="array" ref="E7976">IFS(D7976&lt;=$G$3,'calculated data '!$A$3,D7976&lt;=$G$4,'calculated data '!$A$4,D7976&lt;=$G$6,'calculated data '!$A$5,D7976&gt;=$G$6,'calculated data '!$A$6)</f>
        <v>Target Market (Core IQR)</v>
      </c>
      <c r="F7976" s="10">
        <f t="shared" si="1"/>
        <v>0.1256475641</v>
      </c>
    </row>
    <row r="7977" ht="14.25" customHeight="1">
      <c r="A7977" s="2" t="s">
        <v>409</v>
      </c>
      <c r="B7977" s="2" t="s">
        <v>410</v>
      </c>
      <c r="C7977" s="2">
        <v>2025.0</v>
      </c>
      <c r="D7977" s="9">
        <v>29806.256</v>
      </c>
      <c r="E7977" s="10" t="str">
        <f t="array" ref="E7977">IFS(D7977&lt;=$G$3,'calculated data '!$A$3,D7977&lt;=$G$4,'calculated data '!$A$4,D7977&lt;=$G$6,'calculated data '!$A$5,D7977&gt;=$G$6,'calculated data '!$A$6)</f>
        <v>Target Market (Core IQR)</v>
      </c>
      <c r="F7977" s="10">
        <f t="shared" si="1"/>
        <v>0.1257926978</v>
      </c>
    </row>
    <row r="7978" ht="14.25" customHeight="1">
      <c r="A7978" s="2" t="s">
        <v>375</v>
      </c>
      <c r="B7978" s="2" t="s">
        <v>376</v>
      </c>
      <c r="C7978" s="2">
        <v>1991.0</v>
      </c>
      <c r="D7978" s="9">
        <v>29829.154</v>
      </c>
      <c r="E7978" s="10" t="str">
        <f t="array" ref="E7978">IFS(D7978&lt;=$G$3,'calculated data '!$A$3,D7978&lt;=$G$4,'calculated data '!$A$4,D7978&lt;=$G$6,'calculated data '!$A$5,D7978&gt;=$G$6,'calculated data '!$A$6)</f>
        <v>Target Market (Core IQR)</v>
      </c>
      <c r="F7978" s="10">
        <f t="shared" si="1"/>
        <v>0.1263988021</v>
      </c>
    </row>
    <row r="7979" ht="14.25" customHeight="1">
      <c r="A7979" s="2" t="s">
        <v>409</v>
      </c>
      <c r="B7979" s="2" t="s">
        <v>410</v>
      </c>
      <c r="C7979" s="2">
        <v>1986.0</v>
      </c>
      <c r="D7979" s="9">
        <v>29844.287</v>
      </c>
      <c r="E7979" s="10" t="str">
        <f t="array" ref="E7979">IFS(D7979&lt;=$G$3,'calculated data '!$A$3,D7979&lt;=$G$4,'calculated data '!$A$4,D7979&lt;=$G$6,'calculated data '!$A$5,D7979&gt;=$G$6,'calculated data '!$A$6)</f>
        <v>Target Market (Core IQR)</v>
      </c>
      <c r="F7979" s="10">
        <f t="shared" si="1"/>
        <v>0.1267993689</v>
      </c>
    </row>
    <row r="7980" ht="14.25" customHeight="1">
      <c r="A7980" s="2" t="s">
        <v>351</v>
      </c>
      <c r="B7980" s="2" t="s">
        <v>352</v>
      </c>
      <c r="C7980" s="2">
        <v>1988.0</v>
      </c>
      <c r="D7980" s="9">
        <v>29855.535</v>
      </c>
      <c r="E7980" s="10" t="str">
        <f t="array" ref="E7980">IFS(D7980&lt;=$G$3,'calculated data '!$A$3,D7980&lt;=$G$4,'calculated data '!$A$4,D7980&lt;=$G$6,'calculated data '!$A$5,D7980&gt;=$G$6,'calculated data '!$A$6)</f>
        <v>Target Market (Core IQR)</v>
      </c>
      <c r="F7980" s="10">
        <f t="shared" si="1"/>
        <v>0.1270971006</v>
      </c>
    </row>
    <row r="7981" ht="14.25" customHeight="1">
      <c r="A7981" s="2" t="s">
        <v>427</v>
      </c>
      <c r="B7981" s="2" t="s">
        <v>428</v>
      </c>
      <c r="C7981" s="2">
        <v>1993.0</v>
      </c>
      <c r="D7981" s="9">
        <v>29871.008</v>
      </c>
      <c r="E7981" s="10" t="str">
        <f t="array" ref="E7981">IFS(D7981&lt;=$G$3,'calculated data '!$A$3,D7981&lt;=$G$4,'calculated data '!$A$4,D7981&lt;=$G$6,'calculated data '!$A$5,D7981&gt;=$G$6,'calculated data '!$A$6)</f>
        <v>Target Market (Core IQR)</v>
      </c>
      <c r="F7981" s="10">
        <f t="shared" si="1"/>
        <v>0.1275066671</v>
      </c>
    </row>
    <row r="7982" ht="14.25" customHeight="1">
      <c r="A7982" s="2" t="s">
        <v>367</v>
      </c>
      <c r="B7982" s="2" t="s">
        <v>368</v>
      </c>
      <c r="C7982" s="2">
        <v>2013.0</v>
      </c>
      <c r="D7982" s="9">
        <v>29878.098</v>
      </c>
      <c r="E7982" s="10" t="str">
        <f t="array" ref="E7982">IFS(D7982&lt;=$G$3,'calculated data '!$A$3,D7982&lt;=$G$4,'calculated data '!$A$4,D7982&lt;=$G$6,'calculated data '!$A$5,D7982&gt;=$G$6,'calculated data '!$A$6)</f>
        <v>Target Market (Core IQR)</v>
      </c>
      <c r="F7982" s="10">
        <f t="shared" si="1"/>
        <v>0.1276943376</v>
      </c>
    </row>
    <row r="7983" ht="14.25" customHeight="1">
      <c r="A7983" s="2" t="s">
        <v>337</v>
      </c>
      <c r="B7983" s="2" t="s">
        <v>338</v>
      </c>
      <c r="C7983" s="2">
        <v>2020.0</v>
      </c>
      <c r="D7983" s="9">
        <v>29880.9</v>
      </c>
      <c r="E7983" s="10" t="str">
        <f t="array" ref="E7983">IFS(D7983&lt;=$G$3,'calculated data '!$A$3,D7983&lt;=$G$4,'calculated data '!$A$4,D7983&lt;=$G$6,'calculated data '!$A$5,D7983&gt;=$G$6,'calculated data '!$A$6)</f>
        <v>Target Market (Core IQR)</v>
      </c>
      <c r="F7983" s="10">
        <f t="shared" si="1"/>
        <v>0.1277685059</v>
      </c>
    </row>
    <row r="7984" ht="14.25" customHeight="1">
      <c r="A7984" s="2" t="s">
        <v>353</v>
      </c>
      <c r="B7984" s="2" t="s">
        <v>354</v>
      </c>
      <c r="C7984" s="2">
        <v>1975.0</v>
      </c>
      <c r="D7984" s="9">
        <v>29920.938</v>
      </c>
      <c r="E7984" s="10" t="str">
        <f t="array" ref="E7984">IFS(D7984&lt;=$G$3,'calculated data '!$A$3,D7984&lt;=$G$4,'calculated data '!$A$4,D7984&lt;=$G$6,'calculated data '!$A$5,D7984&gt;=$G$6,'calculated data '!$A$6)</f>
        <v>Target Market (Core IQR)</v>
      </c>
      <c r="F7984" s="10">
        <f t="shared" si="1"/>
        <v>0.1288283017</v>
      </c>
    </row>
    <row r="7985" ht="14.25" customHeight="1">
      <c r="A7985" s="2" t="s">
        <v>335</v>
      </c>
      <c r="B7985" s="2" t="s">
        <v>336</v>
      </c>
      <c r="C7985" s="2">
        <v>2014.0</v>
      </c>
      <c r="D7985" s="9">
        <v>29940.248</v>
      </c>
      <c r="E7985" s="10" t="str">
        <f t="array" ref="E7985">IFS(D7985&lt;=$G$3,'calculated data '!$A$3,D7985&lt;=$G$4,'calculated data '!$A$4,D7985&lt;=$G$6,'calculated data '!$A$5,D7985&gt;=$G$6,'calculated data '!$A$6)</f>
        <v>Target Market (Core IQR)</v>
      </c>
      <c r="F7985" s="10">
        <f t="shared" si="1"/>
        <v>0.1293394326</v>
      </c>
    </row>
    <row r="7986" ht="14.25" customHeight="1">
      <c r="A7986" s="2" t="s">
        <v>411</v>
      </c>
      <c r="B7986" s="2" t="s">
        <v>412</v>
      </c>
      <c r="C7986" s="2">
        <v>2024.0</v>
      </c>
      <c r="D7986" s="9">
        <v>29955.744</v>
      </c>
      <c r="E7986" s="10" t="str">
        <f t="array" ref="E7986">IFS(D7986&lt;=$G$3,'calculated data '!$A$3,D7986&lt;=$G$4,'calculated data '!$A$4,D7986&lt;=$G$6,'calculated data '!$A$5,D7986&gt;=$G$6,'calculated data '!$A$6)</f>
        <v>Target Market (Core IQR)</v>
      </c>
      <c r="F7986" s="10">
        <f t="shared" si="1"/>
        <v>0.1297496079</v>
      </c>
    </row>
    <row r="7987" ht="14.25" customHeight="1">
      <c r="A7987" s="2" t="s">
        <v>355</v>
      </c>
      <c r="B7987" s="2" t="s">
        <v>356</v>
      </c>
      <c r="C7987" s="2">
        <v>2013.0</v>
      </c>
      <c r="D7987" s="9">
        <v>29962.137</v>
      </c>
      <c r="E7987" s="10" t="str">
        <f t="array" ref="E7987">IFS(D7987&lt;=$G$3,'calculated data '!$A$3,D7987&lt;=$G$4,'calculated data '!$A$4,D7987&lt;=$G$6,'calculated data '!$A$5,D7987&gt;=$G$6,'calculated data '!$A$6)</f>
        <v>Target Market (Core IQR)</v>
      </c>
      <c r="F7987" s="10">
        <f t="shared" si="1"/>
        <v>0.129918829</v>
      </c>
    </row>
    <row r="7988" ht="14.25" customHeight="1">
      <c r="A7988" s="2" t="s">
        <v>449</v>
      </c>
      <c r="B7988" s="2" t="s">
        <v>450</v>
      </c>
      <c r="C7988" s="2">
        <v>1983.0</v>
      </c>
      <c r="D7988" s="9">
        <v>29976.361</v>
      </c>
      <c r="E7988" s="10" t="str">
        <f t="array" ref="E7988">IFS(D7988&lt;=$G$3,'calculated data '!$A$3,D7988&lt;=$G$4,'calculated data '!$A$4,D7988&lt;=$G$6,'calculated data '!$A$5,D7988&gt;=$G$6,'calculated data '!$A$6)</f>
        <v>Target Market (Core IQR)</v>
      </c>
      <c r="F7988" s="10">
        <f t="shared" si="1"/>
        <v>0.1302953348</v>
      </c>
    </row>
    <row r="7989" ht="14.25" customHeight="1">
      <c r="A7989" s="2" t="s">
        <v>353</v>
      </c>
      <c r="B7989" s="2" t="s">
        <v>354</v>
      </c>
      <c r="C7989" s="2">
        <v>1991.0</v>
      </c>
      <c r="D7989" s="9">
        <v>29980.121</v>
      </c>
      <c r="E7989" s="10" t="str">
        <f t="array" ref="E7989">IFS(D7989&lt;=$G$3,'calculated data '!$A$3,D7989&lt;=$G$4,'calculated data '!$A$4,D7989&lt;=$G$6,'calculated data '!$A$5,D7989&gt;=$G$6,'calculated data '!$A$6)</f>
        <v>Target Market (Core IQR)</v>
      </c>
      <c r="F7989" s="10">
        <f t="shared" si="1"/>
        <v>0.130394861</v>
      </c>
    </row>
    <row r="7990" ht="14.25" customHeight="1">
      <c r="A7990" s="2" t="s">
        <v>375</v>
      </c>
      <c r="B7990" s="2" t="s">
        <v>376</v>
      </c>
      <c r="C7990" s="2">
        <v>2007.0</v>
      </c>
      <c r="D7990" s="9">
        <v>29991.752</v>
      </c>
      <c r="E7990" s="10" t="str">
        <f t="array" ref="E7990">IFS(D7990&lt;=$G$3,'calculated data '!$A$3,D7990&lt;=$G$4,'calculated data '!$A$4,D7990&lt;=$G$6,'calculated data '!$A$5,D7990&gt;=$G$6,'calculated data '!$A$6)</f>
        <v>Target Market (Core IQR)</v>
      </c>
      <c r="F7990" s="10">
        <f t="shared" si="1"/>
        <v>0.1307027307</v>
      </c>
    </row>
    <row r="7991" ht="14.25" customHeight="1">
      <c r="A7991" s="2" t="s">
        <v>375</v>
      </c>
      <c r="B7991" s="2" t="s">
        <v>376</v>
      </c>
      <c r="C7991" s="2">
        <v>1979.0</v>
      </c>
      <c r="D7991" s="9">
        <v>29994.22</v>
      </c>
      <c r="E7991" s="10" t="str">
        <f t="array" ref="E7991">IFS(D7991&lt;=$G$3,'calculated data '!$A$3,D7991&lt;=$G$4,'calculated data '!$A$4,D7991&lt;=$G$6,'calculated data '!$A$5,D7991&gt;=$G$6,'calculated data '!$A$6)</f>
        <v>Target Market (Core IQR)</v>
      </c>
      <c r="F7991" s="10">
        <f t="shared" si="1"/>
        <v>0.130768058</v>
      </c>
    </row>
    <row r="7992" ht="14.25" customHeight="1">
      <c r="A7992" s="2" t="s">
        <v>407</v>
      </c>
      <c r="B7992" s="2" t="s">
        <v>408</v>
      </c>
      <c r="C7992" s="2">
        <v>2004.0</v>
      </c>
      <c r="D7992" s="9">
        <v>29997.346</v>
      </c>
      <c r="E7992" s="10" t="str">
        <f t="array" ref="E7992">IFS(D7992&lt;=$G$3,'calculated data '!$A$3,D7992&lt;=$G$4,'calculated data '!$A$4,D7992&lt;=$G$6,'calculated data '!$A$5,D7992&gt;=$G$6,'calculated data '!$A$6)</f>
        <v>Target Market (Core IQR)</v>
      </c>
      <c r="F7992" s="10">
        <f t="shared" si="1"/>
        <v>0.1308508025</v>
      </c>
    </row>
    <row r="7993" ht="14.25" customHeight="1">
      <c r="A7993" s="2" t="s">
        <v>375</v>
      </c>
      <c r="B7993" s="2" t="s">
        <v>376</v>
      </c>
      <c r="C7993" s="2">
        <v>1982.0</v>
      </c>
      <c r="D7993" s="9">
        <v>29999.934</v>
      </c>
      <c r="E7993" s="10" t="str">
        <f t="array" ref="E7993">IFS(D7993&lt;=$G$3,'calculated data '!$A$3,D7993&lt;=$G$4,'calculated data '!$A$4,D7993&lt;=$G$6,'calculated data '!$A$5,D7993&gt;=$G$6,'calculated data '!$A$6)</f>
        <v>Target Market (Core IQR)</v>
      </c>
      <c r="F7993" s="10">
        <f t="shared" si="1"/>
        <v>0.1309193062</v>
      </c>
    </row>
    <row r="7994" ht="14.25" customHeight="1">
      <c r="A7994" s="2" t="s">
        <v>335</v>
      </c>
      <c r="B7994" s="2" t="s">
        <v>336</v>
      </c>
      <c r="C7994" s="2">
        <v>2022.0</v>
      </c>
      <c r="D7994" s="9">
        <v>30012.596</v>
      </c>
      <c r="E7994" s="10" t="str">
        <f t="array" ref="E7994">IFS(D7994&lt;=$G$3,'calculated data '!$A$3,D7994&lt;=$G$4,'calculated data '!$A$4,D7994&lt;=$G$6,'calculated data '!$A$5,D7994&gt;=$G$6,'calculated data '!$A$6)</f>
        <v>Target Market (Core IQR)</v>
      </c>
      <c r="F7994" s="10">
        <f t="shared" si="1"/>
        <v>0.1312544662</v>
      </c>
    </row>
    <row r="7995" ht="14.25" customHeight="1">
      <c r="A7995" s="2" t="s">
        <v>353</v>
      </c>
      <c r="B7995" s="2" t="s">
        <v>354</v>
      </c>
      <c r="C7995" s="2">
        <v>1998.0</v>
      </c>
      <c r="D7995" s="9">
        <v>30045.271</v>
      </c>
      <c r="E7995" s="10" t="str">
        <f t="array" ref="E7995">IFS(D7995&lt;=$G$3,'calculated data '!$A$3,D7995&lt;=$G$4,'calculated data '!$A$4,D7995&lt;=$G$6,'calculated data '!$A$5,D7995&gt;=$G$6,'calculated data '!$A$6)</f>
        <v>Target Market (Core IQR)</v>
      </c>
      <c r="F7995" s="10">
        <f t="shared" si="1"/>
        <v>0.1321193653</v>
      </c>
    </row>
    <row r="7996" ht="14.25" customHeight="1">
      <c r="A7996" s="2" t="s">
        <v>331</v>
      </c>
      <c r="B7996" s="2" t="s">
        <v>332</v>
      </c>
      <c r="C7996" s="2">
        <v>2012.0</v>
      </c>
      <c r="D7996" s="9">
        <v>30048.53</v>
      </c>
      <c r="E7996" s="10" t="str">
        <f t="array" ref="E7996">IFS(D7996&lt;=$G$3,'calculated data '!$A$3,D7996&lt;=$G$4,'calculated data '!$A$4,D7996&lt;=$G$6,'calculated data '!$A$5,D7996&gt;=$G$6,'calculated data '!$A$6)</f>
        <v>Target Market (Core IQR)</v>
      </c>
      <c r="F7996" s="10">
        <f t="shared" si="1"/>
        <v>0.1322056302</v>
      </c>
    </row>
    <row r="7997" ht="14.25" customHeight="1">
      <c r="A7997" s="2" t="s">
        <v>431</v>
      </c>
      <c r="B7997" s="2" t="s">
        <v>432</v>
      </c>
      <c r="C7997" s="2">
        <v>1999.0</v>
      </c>
      <c r="D7997" s="9">
        <v>30057.596</v>
      </c>
      <c r="E7997" s="10" t="str">
        <f t="array" ref="E7997">IFS(D7997&lt;=$G$3,'calculated data '!$A$3,D7997&lt;=$G$4,'calculated data '!$A$4,D7997&lt;=$G$6,'calculated data '!$A$5,D7997&gt;=$G$6,'calculated data '!$A$6)</f>
        <v>Target Market (Core IQR)</v>
      </c>
      <c r="F7997" s="10">
        <f t="shared" si="1"/>
        <v>0.132445605</v>
      </c>
    </row>
    <row r="7998" ht="14.25" customHeight="1">
      <c r="A7998" s="2" t="s">
        <v>355</v>
      </c>
      <c r="B7998" s="2" t="s">
        <v>356</v>
      </c>
      <c r="C7998" s="2">
        <v>2008.0</v>
      </c>
      <c r="D7998" s="9">
        <v>30061.484</v>
      </c>
      <c r="E7998" s="10" t="str">
        <f t="array" ref="E7998">IFS(D7998&lt;=$G$3,'calculated data '!$A$3,D7998&lt;=$G$4,'calculated data '!$A$4,D7998&lt;=$G$6,'calculated data '!$A$5,D7998&gt;=$G$6,'calculated data '!$A$6)</f>
        <v>Target Market (Core IQR)</v>
      </c>
      <c r="F7998" s="10">
        <f t="shared" si="1"/>
        <v>0.1325485194</v>
      </c>
    </row>
    <row r="7999" ht="14.25" customHeight="1">
      <c r="A7999" s="2" t="s">
        <v>375</v>
      </c>
      <c r="B7999" s="2" t="s">
        <v>376</v>
      </c>
      <c r="C7999" s="2">
        <v>1980.0</v>
      </c>
      <c r="D7999" s="9">
        <v>30070.912</v>
      </c>
      <c r="E7999" s="10" t="str">
        <f t="array" ref="E7999">IFS(D7999&lt;=$G$3,'calculated data '!$A$3,D7999&lt;=$G$4,'calculated data '!$A$4,D7999&lt;=$G$6,'calculated data '!$A$5,D7999&gt;=$G$6,'calculated data '!$A$6)</f>
        <v>Target Market (Core IQR)</v>
      </c>
      <c r="F7999" s="10">
        <f t="shared" si="1"/>
        <v>0.1327980762</v>
      </c>
    </row>
    <row r="8000" ht="14.25" customHeight="1">
      <c r="A8000" s="2" t="s">
        <v>283</v>
      </c>
      <c r="B8000" s="2" t="s">
        <v>284</v>
      </c>
      <c r="C8000" s="2">
        <v>1967.0</v>
      </c>
      <c r="D8000" s="9">
        <v>30086.34</v>
      </c>
      <c r="E8000" s="10" t="str">
        <f t="array" ref="E8000">IFS(D8000&lt;=$G$3,'calculated data '!$A$3,D8000&lt;=$G$4,'calculated data '!$A$4,D8000&lt;=$G$6,'calculated data '!$A$5,D8000&gt;=$G$6,'calculated data '!$A$6)</f>
        <v>Target Market (Core IQR)</v>
      </c>
      <c r="F8000" s="10">
        <f t="shared" si="1"/>
        <v>0.1332064515</v>
      </c>
    </row>
    <row r="8001" ht="14.25" customHeight="1">
      <c r="A8001" s="2" t="s">
        <v>197</v>
      </c>
      <c r="B8001" s="2" t="s">
        <v>198</v>
      </c>
      <c r="C8001" s="2">
        <v>2023.0</v>
      </c>
      <c r="D8001" s="9">
        <v>30086.684</v>
      </c>
      <c r="E8001" s="10" t="str">
        <f t="array" ref="E8001">IFS(D8001&lt;=$G$3,'calculated data '!$A$3,D8001&lt;=$G$4,'calculated data '!$A$4,D8001&lt;=$G$6,'calculated data '!$A$5,D8001&gt;=$G$6,'calculated data '!$A$6)</f>
        <v>Target Market (Core IQR)</v>
      </c>
      <c r="F8001" s="10">
        <f t="shared" si="1"/>
        <v>0.1332155571</v>
      </c>
    </row>
    <row r="8002" ht="14.25" customHeight="1">
      <c r="A8002" s="2" t="s">
        <v>421</v>
      </c>
      <c r="B8002" s="2" t="s">
        <v>422</v>
      </c>
      <c r="C8002" s="2">
        <v>1997.0</v>
      </c>
      <c r="D8002" s="9">
        <v>30113.635</v>
      </c>
      <c r="E8002" s="10" t="str">
        <f t="array" ref="E8002">IFS(D8002&lt;=$G$3,'calculated data '!$A$3,D8002&lt;=$G$4,'calculated data '!$A$4,D8002&lt;=$G$6,'calculated data '!$A$5,D8002&gt;=$G$6,'calculated data '!$A$6)</f>
        <v>Target Market (Core IQR)</v>
      </c>
      <c r="F8002" s="10">
        <f t="shared" si="1"/>
        <v>0.1339289433</v>
      </c>
    </row>
    <row r="8003" ht="14.25" customHeight="1">
      <c r="A8003" s="2" t="s">
        <v>71</v>
      </c>
      <c r="B8003" s="2" t="s">
        <v>72</v>
      </c>
      <c r="C8003" s="2">
        <v>1995.0</v>
      </c>
      <c r="D8003" s="9">
        <v>30118.719</v>
      </c>
      <c r="E8003" s="10" t="str">
        <f t="array" ref="E8003">IFS(D8003&lt;=$G$3,'calculated data '!$A$3,D8003&lt;=$G$4,'calculated data '!$A$4,D8003&lt;=$G$6,'calculated data '!$A$5,D8003&gt;=$G$6,'calculated data '!$A$6)</f>
        <v>Target Market (Core IQR)</v>
      </c>
      <c r="F8003" s="10">
        <f t="shared" si="1"/>
        <v>0.1340635156</v>
      </c>
    </row>
    <row r="8004" ht="14.25" customHeight="1">
      <c r="A8004" s="2" t="s">
        <v>355</v>
      </c>
      <c r="B8004" s="2" t="s">
        <v>356</v>
      </c>
      <c r="C8004" s="2">
        <v>2009.0</v>
      </c>
      <c r="D8004" s="9">
        <v>30131.799</v>
      </c>
      <c r="E8004" s="10" t="str">
        <f t="array" ref="E8004">IFS(D8004&lt;=$G$3,'calculated data '!$A$3,D8004&lt;=$G$4,'calculated data '!$A$4,D8004&lt;=$G$6,'calculated data '!$A$5,D8004&gt;=$G$6,'calculated data '!$A$6)</f>
        <v>Target Market (Core IQR)</v>
      </c>
      <c r="F8004" s="10">
        <f t="shared" si="1"/>
        <v>0.1344097399</v>
      </c>
    </row>
    <row r="8005" ht="14.25" customHeight="1">
      <c r="A8005" s="2" t="s">
        <v>319</v>
      </c>
      <c r="B8005" s="2" t="s">
        <v>320</v>
      </c>
      <c r="C8005" s="2">
        <v>2010.0</v>
      </c>
      <c r="D8005" s="9">
        <v>30132.326</v>
      </c>
      <c r="E8005" s="10" t="str">
        <f t="array" ref="E8005">IFS(D8005&lt;=$G$3,'calculated data '!$A$3,D8005&lt;=$G$4,'calculated data '!$A$4,D8005&lt;=$G$6,'calculated data '!$A$5,D8005&gt;=$G$6,'calculated data '!$A$6)</f>
        <v>Target Market (Core IQR)</v>
      </c>
      <c r="F8005" s="10">
        <f t="shared" si="1"/>
        <v>0.1344236895</v>
      </c>
    </row>
    <row r="8006" ht="14.25" customHeight="1">
      <c r="A8006" s="2" t="s">
        <v>249</v>
      </c>
      <c r="B8006" s="2" t="s">
        <v>250</v>
      </c>
      <c r="C8006" s="2">
        <v>2004.0</v>
      </c>
      <c r="D8006" s="9">
        <v>30132.916</v>
      </c>
      <c r="E8006" s="10" t="str">
        <f t="array" ref="E8006">IFS(D8006&lt;=$G$3,'calculated data '!$A$3,D8006&lt;=$G$4,'calculated data '!$A$4,D8006&lt;=$G$6,'calculated data '!$A$5,D8006&gt;=$G$6,'calculated data '!$A$6)</f>
        <v>Target Market (Core IQR)</v>
      </c>
      <c r="F8006" s="10">
        <f t="shared" si="1"/>
        <v>0.1344393066</v>
      </c>
    </row>
    <row r="8007" ht="14.25" customHeight="1">
      <c r="A8007" s="2" t="s">
        <v>379</v>
      </c>
      <c r="B8007" s="2" t="s">
        <v>380</v>
      </c>
      <c r="C8007" s="2">
        <v>2025.0</v>
      </c>
      <c r="D8007" s="9">
        <v>30134.883</v>
      </c>
      <c r="E8007" s="10" t="str">
        <f t="array" ref="E8007">IFS(D8007&lt;=$G$3,'calculated data '!$A$3,D8007&lt;=$G$4,'calculated data '!$A$4,D8007&lt;=$G$6,'calculated data '!$A$5,D8007&gt;=$G$6,'calculated data '!$A$6)</f>
        <v>Target Market (Core IQR)</v>
      </c>
      <c r="F8007" s="10">
        <f t="shared" si="1"/>
        <v>0.1344913726</v>
      </c>
    </row>
    <row r="8008" ht="14.25" customHeight="1">
      <c r="A8008" s="2" t="s">
        <v>421</v>
      </c>
      <c r="B8008" s="2" t="s">
        <v>422</v>
      </c>
      <c r="C8008" s="2">
        <v>2010.0</v>
      </c>
      <c r="D8008" s="9">
        <v>30137.281</v>
      </c>
      <c r="E8008" s="10" t="str">
        <f t="array" ref="E8008">IFS(D8008&lt;=$G$3,'calculated data '!$A$3,D8008&lt;=$G$4,'calculated data '!$A$4,D8008&lt;=$G$6,'calculated data '!$A$5,D8008&gt;=$G$6,'calculated data '!$A$6)</f>
        <v>Target Market (Core IQR)</v>
      </c>
      <c r="F8008" s="10">
        <f t="shared" si="1"/>
        <v>0.1345548471</v>
      </c>
    </row>
    <row r="8009" ht="14.25" customHeight="1">
      <c r="A8009" s="2" t="s">
        <v>443</v>
      </c>
      <c r="B8009" s="2" t="s">
        <v>444</v>
      </c>
      <c r="C8009" s="2">
        <v>1966.0</v>
      </c>
      <c r="D8009" s="9">
        <v>30137.457</v>
      </c>
      <c r="E8009" s="10" t="str">
        <f t="array" ref="E8009">IFS(D8009&lt;=$G$3,'calculated data '!$A$3,D8009&lt;=$G$4,'calculated data '!$A$4,D8009&lt;=$G$6,'calculated data '!$A$5,D8009&gt;=$G$6,'calculated data '!$A$6)</f>
        <v>Target Market (Core IQR)</v>
      </c>
      <c r="F8009" s="10">
        <f t="shared" si="1"/>
        <v>0.1345595058</v>
      </c>
    </row>
    <row r="8010" ht="14.25" customHeight="1">
      <c r="A8010" s="2" t="s">
        <v>421</v>
      </c>
      <c r="B8010" s="2" t="s">
        <v>422</v>
      </c>
      <c r="C8010" s="2">
        <v>2011.0</v>
      </c>
      <c r="D8010" s="9">
        <v>30142.316</v>
      </c>
      <c r="E8010" s="10" t="str">
        <f t="array" ref="E8010">IFS(D8010&lt;=$G$3,'calculated data '!$A$3,D8010&lt;=$G$4,'calculated data '!$A$4,D8010&lt;=$G$6,'calculated data '!$A$5,D8010&gt;=$G$6,'calculated data '!$A$6)</f>
        <v>Target Market (Core IQR)</v>
      </c>
      <c r="F8010" s="10">
        <f t="shared" si="1"/>
        <v>0.1346881223</v>
      </c>
    </row>
    <row r="8011" ht="14.25" customHeight="1">
      <c r="A8011" s="2" t="s">
        <v>335</v>
      </c>
      <c r="B8011" s="2" t="s">
        <v>336</v>
      </c>
      <c r="C8011" s="2">
        <v>2025.0</v>
      </c>
      <c r="D8011" s="9">
        <v>30143.582</v>
      </c>
      <c r="E8011" s="10" t="str">
        <f t="array" ref="E8011">IFS(D8011&lt;=$G$3,'calculated data '!$A$3,D8011&lt;=$G$4,'calculated data '!$A$4,D8011&lt;=$G$6,'calculated data '!$A$5,D8011&gt;=$G$6,'calculated data '!$A$6)</f>
        <v>Target Market (Core IQR)</v>
      </c>
      <c r="F8011" s="10">
        <f t="shared" si="1"/>
        <v>0.134721633</v>
      </c>
    </row>
    <row r="8012" ht="14.25" customHeight="1">
      <c r="A8012" s="2" t="s">
        <v>371</v>
      </c>
      <c r="B8012" s="2" t="s">
        <v>372</v>
      </c>
      <c r="C8012" s="2">
        <v>1988.0</v>
      </c>
      <c r="D8012" s="9">
        <v>30145.916</v>
      </c>
      <c r="E8012" s="10" t="str">
        <f t="array" ref="E8012">IFS(D8012&lt;=$G$3,'calculated data '!$A$3,D8012&lt;=$G$4,'calculated data '!$A$4,D8012&lt;=$G$6,'calculated data '!$A$5,D8012&gt;=$G$6,'calculated data '!$A$6)</f>
        <v>Target Market (Core IQR)</v>
      </c>
      <c r="F8012" s="10">
        <f t="shared" si="1"/>
        <v>0.1347834134</v>
      </c>
    </row>
    <row r="8013" ht="14.25" customHeight="1">
      <c r="A8013" s="2" t="s">
        <v>353</v>
      </c>
      <c r="B8013" s="2" t="s">
        <v>354</v>
      </c>
      <c r="C8013" s="2">
        <v>2019.0</v>
      </c>
      <c r="D8013" s="9">
        <v>30145.984</v>
      </c>
      <c r="E8013" s="10" t="str">
        <f t="array" ref="E8013">IFS(D8013&lt;=$G$3,'calculated data '!$A$3,D8013&lt;=$G$4,'calculated data '!$A$4,D8013&lt;=$G$6,'calculated data '!$A$5,D8013&gt;=$G$6,'calculated data '!$A$6)</f>
        <v>Target Market (Core IQR)</v>
      </c>
      <c r="F8013" s="10">
        <f t="shared" si="1"/>
        <v>0.1347852133</v>
      </c>
    </row>
    <row r="8014" ht="14.25" customHeight="1">
      <c r="A8014" s="2" t="s">
        <v>353</v>
      </c>
      <c r="B8014" s="2" t="s">
        <v>354</v>
      </c>
      <c r="C8014" s="2">
        <v>1994.0</v>
      </c>
      <c r="D8014" s="9">
        <v>30172.555</v>
      </c>
      <c r="E8014" s="10" t="str">
        <f t="array" ref="E8014">IFS(D8014&lt;=$G$3,'calculated data '!$A$3,D8014&lt;=$G$4,'calculated data '!$A$4,D8014&lt;=$G$6,'calculated data '!$A$5,D8014&gt;=$G$6,'calculated data '!$A$6)</f>
        <v>Target Market (Core IQR)</v>
      </c>
      <c r="F8014" s="10">
        <f t="shared" si="1"/>
        <v>0.1354885411</v>
      </c>
    </row>
    <row r="8015" ht="14.25" customHeight="1">
      <c r="A8015" s="2" t="s">
        <v>415</v>
      </c>
      <c r="B8015" s="2" t="s">
        <v>416</v>
      </c>
      <c r="C8015" s="2">
        <v>2018.0</v>
      </c>
      <c r="D8015" s="9">
        <v>30180.834</v>
      </c>
      <c r="E8015" s="10" t="str">
        <f t="array" ref="E8015">IFS(D8015&lt;=$G$3,'calculated data '!$A$3,D8015&lt;=$G$4,'calculated data '!$A$4,D8015&lt;=$G$6,'calculated data '!$A$5,D8015&gt;=$G$6,'calculated data '!$A$6)</f>
        <v>Target Market (Core IQR)</v>
      </c>
      <c r="F8015" s="10">
        <f t="shared" si="1"/>
        <v>0.1357076841</v>
      </c>
    </row>
    <row r="8016" ht="14.25" customHeight="1">
      <c r="A8016" s="2" t="s">
        <v>431</v>
      </c>
      <c r="B8016" s="2" t="s">
        <v>432</v>
      </c>
      <c r="C8016" s="2">
        <v>1983.0</v>
      </c>
      <c r="D8016" s="9">
        <v>30193.688</v>
      </c>
      <c r="E8016" s="10" t="str">
        <f t="array" ref="E8016">IFS(D8016&lt;=$G$3,'calculated data '!$A$3,D8016&lt;=$G$4,'calculated data '!$A$4,D8016&lt;=$G$6,'calculated data '!$A$5,D8016&gt;=$G$6,'calculated data '!$A$6)</f>
        <v>Target Market (Core IQR)</v>
      </c>
      <c r="F8016" s="10">
        <f t="shared" si="1"/>
        <v>0.1360479263</v>
      </c>
    </row>
    <row r="8017" ht="14.25" customHeight="1">
      <c r="A8017" s="2" t="s">
        <v>409</v>
      </c>
      <c r="B8017" s="2" t="s">
        <v>410</v>
      </c>
      <c r="C8017" s="2">
        <v>1988.0</v>
      </c>
      <c r="D8017" s="9">
        <v>30209.7</v>
      </c>
      <c r="E8017" s="10" t="str">
        <f t="array" ref="E8017">IFS(D8017&lt;=$G$3,'calculated data '!$A$3,D8017&lt;=$G$4,'calculated data '!$A$4,D8017&lt;=$G$6,'calculated data '!$A$5,D8017&gt;=$G$6,'calculated data '!$A$6)</f>
        <v>Target Market (Core IQR)</v>
      </c>
      <c r="F8017" s="10">
        <f t="shared" si="1"/>
        <v>0.13647176</v>
      </c>
    </row>
    <row r="8018" ht="14.25" customHeight="1">
      <c r="A8018" s="2" t="s">
        <v>401</v>
      </c>
      <c r="B8018" s="2" t="s">
        <v>402</v>
      </c>
      <c r="C8018" s="2">
        <v>1972.0</v>
      </c>
      <c r="D8018" s="9">
        <v>30224.865</v>
      </c>
      <c r="E8018" s="10" t="str">
        <f t="array" ref="E8018">IFS(D8018&lt;=$G$3,'calculated data '!$A$3,D8018&lt;=$G$4,'calculated data '!$A$4,D8018&lt;=$G$6,'calculated data '!$A$5,D8018&gt;=$G$6,'calculated data '!$A$6)</f>
        <v>Target Market (Core IQR)</v>
      </c>
      <c r="F8018" s="10">
        <f t="shared" si="1"/>
        <v>0.1368731737</v>
      </c>
    </row>
    <row r="8019" ht="14.25" customHeight="1">
      <c r="A8019" s="2" t="s">
        <v>371</v>
      </c>
      <c r="B8019" s="2" t="s">
        <v>372</v>
      </c>
      <c r="C8019" s="2">
        <v>1979.0</v>
      </c>
      <c r="D8019" s="9">
        <v>30240.037</v>
      </c>
      <c r="E8019" s="10" t="str">
        <f t="array" ref="E8019">IFS(D8019&lt;=$G$3,'calculated data '!$A$3,D8019&lt;=$G$4,'calculated data '!$A$4,D8019&lt;=$G$6,'calculated data '!$A$5,D8019&gt;=$G$6,'calculated data '!$A$6)</f>
        <v>Target Market (Core IQR)</v>
      </c>
      <c r="F8019" s="10">
        <f t="shared" si="1"/>
        <v>0.1372747728</v>
      </c>
    </row>
    <row r="8020" ht="14.25" customHeight="1">
      <c r="A8020" s="2" t="s">
        <v>421</v>
      </c>
      <c r="B8020" s="2" t="s">
        <v>422</v>
      </c>
      <c r="C8020" s="2">
        <v>1970.0</v>
      </c>
      <c r="D8020" s="9">
        <v>30250.951</v>
      </c>
      <c r="E8020" s="10" t="str">
        <f t="array" ref="E8020">IFS(D8020&lt;=$G$3,'calculated data '!$A$3,D8020&lt;=$G$4,'calculated data '!$A$4,D8020&lt;=$G$6,'calculated data '!$A$5,D8020&gt;=$G$6,'calculated data '!$A$6)</f>
        <v>Target Market (Core IQR)</v>
      </c>
      <c r="F8020" s="10">
        <f t="shared" si="1"/>
        <v>0.1375636637</v>
      </c>
    </row>
    <row r="8021" ht="14.25" customHeight="1">
      <c r="A8021" s="2" t="s">
        <v>353</v>
      </c>
      <c r="B8021" s="2" t="s">
        <v>354</v>
      </c>
      <c r="C8021" s="2">
        <v>2015.0</v>
      </c>
      <c r="D8021" s="9">
        <v>30251.44</v>
      </c>
      <c r="E8021" s="10" t="str">
        <f t="array" ref="E8021">IFS(D8021&lt;=$G$3,'calculated data '!$A$3,D8021&lt;=$G$4,'calculated data '!$A$4,D8021&lt;=$G$6,'calculated data '!$A$5,D8021&gt;=$G$6,'calculated data '!$A$6)</f>
        <v>Target Market (Core IQR)</v>
      </c>
      <c r="F8021" s="10">
        <f t="shared" si="1"/>
        <v>0.1375766074</v>
      </c>
    </row>
    <row r="8022" ht="14.25" customHeight="1">
      <c r="A8022" s="2" t="s">
        <v>409</v>
      </c>
      <c r="B8022" s="2" t="s">
        <v>410</v>
      </c>
      <c r="C8022" s="2">
        <v>1979.0</v>
      </c>
      <c r="D8022" s="9">
        <v>30265.484</v>
      </c>
      <c r="E8022" s="10" t="str">
        <f t="array" ref="E8022">IFS(D8022&lt;=$G$3,'calculated data '!$A$3,D8022&lt;=$G$4,'calculated data '!$A$4,D8022&lt;=$G$6,'calculated data '!$A$5,D8022&gt;=$G$6,'calculated data '!$A$6)</f>
        <v>Target Market (Core IQR)</v>
      </c>
      <c r="F8022" s="10">
        <f t="shared" si="1"/>
        <v>0.1379483486</v>
      </c>
    </row>
    <row r="8023" ht="14.25" customHeight="1">
      <c r="A8023" s="2" t="s">
        <v>421</v>
      </c>
      <c r="B8023" s="2" t="s">
        <v>422</v>
      </c>
      <c r="C8023" s="2">
        <v>2019.0</v>
      </c>
      <c r="D8023" s="9">
        <v>30265.96</v>
      </c>
      <c r="E8023" s="10" t="str">
        <f t="array" ref="E8023">IFS(D8023&lt;=$G$3,'calculated data '!$A$3,D8023&lt;=$G$4,'calculated data '!$A$4,D8023&lt;=$G$6,'calculated data '!$A$5,D8023&gt;=$G$6,'calculated data '!$A$6)</f>
        <v>Target Market (Core IQR)</v>
      </c>
      <c r="F8023" s="10">
        <f t="shared" si="1"/>
        <v>0.1379609482</v>
      </c>
    </row>
    <row r="8024" ht="14.25" customHeight="1">
      <c r="A8024" s="2" t="s">
        <v>335</v>
      </c>
      <c r="B8024" s="2" t="s">
        <v>336</v>
      </c>
      <c r="C8024" s="2">
        <v>2013.0</v>
      </c>
      <c r="D8024" s="9">
        <v>30279.594</v>
      </c>
      <c r="E8024" s="10" t="str">
        <f t="array" ref="E8024">IFS(D8024&lt;=$G$3,'calculated data '!$A$3,D8024&lt;=$G$4,'calculated data '!$A$4,D8024&lt;=$G$6,'calculated data '!$A$5,D8024&gt;=$G$6,'calculated data '!$A$6)</f>
        <v>Target Market (Core IQR)</v>
      </c>
      <c r="F8024" s="10">
        <f t="shared" si="1"/>
        <v>0.1383218367</v>
      </c>
    </row>
    <row r="8025" ht="14.25" customHeight="1">
      <c r="A8025" s="2" t="s">
        <v>405</v>
      </c>
      <c r="B8025" s="2" t="s">
        <v>406</v>
      </c>
      <c r="C8025" s="2">
        <v>2015.0</v>
      </c>
      <c r="D8025" s="9">
        <v>30294.217</v>
      </c>
      <c r="E8025" s="10" t="str">
        <f t="array" ref="E8025">IFS(D8025&lt;=$G$3,'calculated data '!$A$3,D8025&lt;=$G$4,'calculated data '!$A$4,D8025&lt;=$G$6,'calculated data '!$A$5,D8025&gt;=$G$6,'calculated data '!$A$6)</f>
        <v>Target Market (Core IQR)</v>
      </c>
      <c r="F8025" s="10">
        <f t="shared" si="1"/>
        <v>0.1387089039</v>
      </c>
    </row>
    <row r="8026" ht="14.25" customHeight="1">
      <c r="A8026" s="2" t="s">
        <v>437</v>
      </c>
      <c r="B8026" s="2" t="s">
        <v>438</v>
      </c>
      <c r="C8026" s="2">
        <v>1968.0</v>
      </c>
      <c r="D8026" s="9">
        <v>30304.9</v>
      </c>
      <c r="E8026" s="10" t="str">
        <f t="array" ref="E8026">IFS(D8026&lt;=$G$3,'calculated data '!$A$3,D8026&lt;=$G$4,'calculated data '!$A$4,D8026&lt;=$G$6,'calculated data '!$A$5,D8026&gt;=$G$6,'calculated data '!$A$6)</f>
        <v>Target Market (Core IQR)</v>
      </c>
      <c r="F8026" s="10">
        <f t="shared" si="1"/>
        <v>0.1389916803</v>
      </c>
    </row>
    <row r="8027" ht="14.25" customHeight="1">
      <c r="A8027" s="2" t="s">
        <v>353</v>
      </c>
      <c r="B8027" s="2" t="s">
        <v>354</v>
      </c>
      <c r="C8027" s="2">
        <v>2005.0</v>
      </c>
      <c r="D8027" s="9">
        <v>30323.42</v>
      </c>
      <c r="E8027" s="10" t="str">
        <f t="array" ref="E8027">IFS(D8027&lt;=$G$3,'calculated data '!$A$3,D8027&lt;=$G$4,'calculated data '!$A$4,D8027&lt;=$G$6,'calculated data '!$A$5,D8027&gt;=$G$6,'calculated data '!$A$6)</f>
        <v>Target Market (Core IQR)</v>
      </c>
      <c r="F8027" s="10">
        <f t="shared" si="1"/>
        <v>0.1394819</v>
      </c>
    </row>
    <row r="8028" ht="14.25" customHeight="1">
      <c r="A8028" s="2" t="s">
        <v>409</v>
      </c>
      <c r="B8028" s="2" t="s">
        <v>410</v>
      </c>
      <c r="C8028" s="2">
        <v>1987.0</v>
      </c>
      <c r="D8028" s="9">
        <v>30329.041</v>
      </c>
      <c r="E8028" s="10" t="str">
        <f t="array" ref="E8028">IFS(D8028&lt;=$G$3,'calculated data '!$A$3,D8028&lt;=$G$4,'calculated data '!$A$4,D8028&lt;=$G$6,'calculated data '!$A$5,D8028&gt;=$G$6,'calculated data '!$A$6)</f>
        <v>Target Market (Core IQR)</v>
      </c>
      <c r="F8028" s="10">
        <f t="shared" si="1"/>
        <v>0.1396306865</v>
      </c>
    </row>
    <row r="8029" ht="14.25" customHeight="1">
      <c r="A8029" s="2" t="s">
        <v>421</v>
      </c>
      <c r="B8029" s="2" t="s">
        <v>422</v>
      </c>
      <c r="C8029" s="2">
        <v>1996.0</v>
      </c>
      <c r="D8029" s="9">
        <v>30336.936</v>
      </c>
      <c r="E8029" s="10" t="str">
        <f t="array" ref="E8029">IFS(D8029&lt;=$G$3,'calculated data '!$A$3,D8029&lt;=$G$4,'calculated data '!$A$4,D8029&lt;=$G$6,'calculated data '!$A$5,D8029&gt;=$G$6,'calculated data '!$A$6)</f>
        <v>Target Market (Core IQR)</v>
      </c>
      <c r="F8029" s="10">
        <f t="shared" si="1"/>
        <v>0.1398396652</v>
      </c>
    </row>
    <row r="8030" ht="14.25" customHeight="1">
      <c r="A8030" s="2" t="s">
        <v>319</v>
      </c>
      <c r="B8030" s="2" t="s">
        <v>320</v>
      </c>
      <c r="C8030" s="2">
        <v>2004.0</v>
      </c>
      <c r="D8030" s="9">
        <v>30338.873</v>
      </c>
      <c r="E8030" s="10" t="str">
        <f t="array" ref="E8030">IFS(D8030&lt;=$G$3,'calculated data '!$A$3,D8030&lt;=$G$4,'calculated data '!$A$4,D8030&lt;=$G$6,'calculated data '!$A$5,D8030&gt;=$G$6,'calculated data '!$A$6)</f>
        <v>Target Market (Core IQR)</v>
      </c>
      <c r="F8030" s="10">
        <f t="shared" si="1"/>
        <v>0.1398909371</v>
      </c>
    </row>
    <row r="8031" ht="14.25" customHeight="1">
      <c r="A8031" s="2" t="s">
        <v>353</v>
      </c>
      <c r="B8031" s="2" t="s">
        <v>354</v>
      </c>
      <c r="C8031" s="2">
        <v>2011.0</v>
      </c>
      <c r="D8031" s="9">
        <v>30366.549</v>
      </c>
      <c r="E8031" s="10" t="str">
        <f t="array" ref="E8031">IFS(D8031&lt;=$G$3,'calculated data '!$A$3,D8031&lt;=$G$4,'calculated data '!$A$4,D8031&lt;=$G$6,'calculated data '!$A$5,D8031&gt;=$G$6,'calculated data '!$A$6)</f>
        <v>Target Market (Core IQR)</v>
      </c>
      <c r="F8031" s="10">
        <f t="shared" si="1"/>
        <v>0.1406235139</v>
      </c>
    </row>
    <row r="8032" ht="14.25" customHeight="1">
      <c r="A8032" s="2" t="s">
        <v>375</v>
      </c>
      <c r="B8032" s="2" t="s">
        <v>376</v>
      </c>
      <c r="C8032" s="2">
        <v>1978.0</v>
      </c>
      <c r="D8032" s="9">
        <v>30371.654</v>
      </c>
      <c r="E8032" s="10" t="str">
        <f t="array" ref="E8032">IFS(D8032&lt;=$G$3,'calculated data '!$A$3,D8032&lt;=$G$4,'calculated data '!$A$4,D8032&lt;=$G$6,'calculated data '!$A$5,D8032&gt;=$G$6,'calculated data '!$A$6)</f>
        <v>Target Market (Core IQR)</v>
      </c>
      <c r="F8032" s="10">
        <f t="shared" si="1"/>
        <v>0.140758642</v>
      </c>
    </row>
    <row r="8033" ht="14.25" customHeight="1">
      <c r="A8033" s="2" t="s">
        <v>71</v>
      </c>
      <c r="B8033" s="2" t="s">
        <v>72</v>
      </c>
      <c r="C8033" s="2">
        <v>1996.0</v>
      </c>
      <c r="D8033" s="9">
        <v>30375.232</v>
      </c>
      <c r="E8033" s="10" t="str">
        <f t="array" ref="E8033">IFS(D8033&lt;=$G$3,'calculated data '!$A$3,D8033&lt;=$G$4,'calculated data '!$A$4,D8033&lt;=$G$6,'calculated data '!$A$5,D8033&gt;=$G$6,'calculated data '!$A$6)</f>
        <v>Target Market (Core IQR)</v>
      </c>
      <c r="F8033" s="10">
        <f t="shared" si="1"/>
        <v>0.1408533508</v>
      </c>
    </row>
    <row r="8034" ht="14.25" customHeight="1">
      <c r="A8034" s="2" t="s">
        <v>375</v>
      </c>
      <c r="B8034" s="2" t="s">
        <v>376</v>
      </c>
      <c r="C8034" s="2">
        <v>2006.0</v>
      </c>
      <c r="D8034" s="9">
        <v>30407.557</v>
      </c>
      <c r="E8034" s="10" t="str">
        <f t="array" ref="E8034">IFS(D8034&lt;=$G$3,'calculated data '!$A$3,D8034&lt;=$G$4,'calculated data '!$A$4,D8034&lt;=$G$6,'calculated data '!$A$5,D8034&gt;=$G$6,'calculated data '!$A$6)</f>
        <v>Target Market (Core IQR)</v>
      </c>
      <c r="F8034" s="10">
        <f t="shared" si="1"/>
        <v>0.1417089855</v>
      </c>
    </row>
    <row r="8035" ht="14.25" customHeight="1">
      <c r="A8035" s="2" t="s">
        <v>353</v>
      </c>
      <c r="B8035" s="2" t="s">
        <v>354</v>
      </c>
      <c r="C8035" s="2">
        <v>2018.0</v>
      </c>
      <c r="D8035" s="9">
        <v>30411.877</v>
      </c>
      <c r="E8035" s="10" t="str">
        <f t="array" ref="E8035">IFS(D8035&lt;=$G$3,'calculated data '!$A$3,D8035&lt;=$G$4,'calculated data '!$A$4,D8035&lt;=$G$6,'calculated data '!$A$5,D8035&gt;=$G$6,'calculated data '!$A$6)</f>
        <v>Target Market (Core IQR)</v>
      </c>
      <c r="F8035" s="10">
        <f t="shared" si="1"/>
        <v>0.1418233348</v>
      </c>
    </row>
    <row r="8036" ht="14.25" customHeight="1">
      <c r="A8036" s="2" t="s">
        <v>409</v>
      </c>
      <c r="B8036" s="2" t="s">
        <v>410</v>
      </c>
      <c r="C8036" s="2">
        <v>2024.0</v>
      </c>
      <c r="D8036" s="9">
        <v>30413.041</v>
      </c>
      <c r="E8036" s="10" t="str">
        <f t="array" ref="E8036">IFS(D8036&lt;=$G$3,'calculated data '!$A$3,D8036&lt;=$G$4,'calculated data '!$A$4,D8036&lt;=$G$6,'calculated data '!$A$5,D8036&gt;=$G$6,'calculated data '!$A$6)</f>
        <v>Target Market (Core IQR)</v>
      </c>
      <c r="F8036" s="10">
        <f t="shared" si="1"/>
        <v>0.1418541456</v>
      </c>
    </row>
    <row r="8037" ht="14.25" customHeight="1">
      <c r="A8037" s="2" t="s">
        <v>413</v>
      </c>
      <c r="B8037" s="2" t="s">
        <v>414</v>
      </c>
      <c r="C8037" s="2">
        <v>1970.0</v>
      </c>
      <c r="D8037" s="9">
        <v>30465.887</v>
      </c>
      <c r="E8037" s="10" t="str">
        <f t="array" ref="E8037">IFS(D8037&lt;=$G$3,'calculated data '!$A$3,D8037&lt;=$G$4,'calculated data '!$A$4,D8037&lt;=$G$6,'calculated data '!$A$5,D8037&gt;=$G$6,'calculated data '!$A$6)</f>
        <v>Target Market (Core IQR)</v>
      </c>
      <c r="F8037" s="10">
        <f t="shared" si="1"/>
        <v>0.1432529661</v>
      </c>
    </row>
    <row r="8038" ht="14.25" customHeight="1">
      <c r="A8038" s="2" t="s">
        <v>421</v>
      </c>
      <c r="B8038" s="2" t="s">
        <v>422</v>
      </c>
      <c r="C8038" s="2">
        <v>1991.0</v>
      </c>
      <c r="D8038" s="9">
        <v>30494.654</v>
      </c>
      <c r="E8038" s="10" t="str">
        <f t="array" ref="E8038">IFS(D8038&lt;=$G$3,'calculated data '!$A$3,D8038&lt;=$G$4,'calculated data '!$A$4,D8038&lt;=$G$6,'calculated data '!$A$5,D8038&gt;=$G$6,'calculated data '!$A$6)</f>
        <v>Target Market (Core IQR)</v>
      </c>
      <c r="F8038" s="10">
        <f t="shared" si="1"/>
        <v>0.1440144214</v>
      </c>
    </row>
    <row r="8039" ht="14.25" customHeight="1">
      <c r="A8039" s="2" t="s">
        <v>415</v>
      </c>
      <c r="B8039" s="2" t="s">
        <v>416</v>
      </c>
      <c r="C8039" s="2">
        <v>2017.0</v>
      </c>
      <c r="D8039" s="9">
        <v>30513.816</v>
      </c>
      <c r="E8039" s="10" t="str">
        <f t="array" ref="E8039">IFS(D8039&lt;=$G$3,'calculated data '!$A$3,D8039&lt;=$G$4,'calculated data '!$A$4,D8039&lt;=$G$6,'calculated data '!$A$5,D8039&gt;=$G$6,'calculated data '!$A$6)</f>
        <v>Target Market (Core IQR)</v>
      </c>
      <c r="F8039" s="10">
        <f t="shared" si="1"/>
        <v>0.1445216347</v>
      </c>
    </row>
    <row r="8040" ht="14.25" customHeight="1">
      <c r="A8040" s="2" t="s">
        <v>399</v>
      </c>
      <c r="B8040" s="2" t="s">
        <v>400</v>
      </c>
      <c r="C8040" s="2">
        <v>2013.0</v>
      </c>
      <c r="D8040" s="9">
        <v>30515.967</v>
      </c>
      <c r="E8040" s="10" t="str">
        <f t="array" ref="E8040">IFS(D8040&lt;=$G$3,'calculated data '!$A$3,D8040&lt;=$G$4,'calculated data '!$A$4,D8040&lt;=$G$6,'calculated data '!$A$5,D8040&gt;=$G$6,'calculated data '!$A$6)</f>
        <v>Target Market (Core IQR)</v>
      </c>
      <c r="F8040" s="10">
        <f t="shared" si="1"/>
        <v>0.1445785712</v>
      </c>
    </row>
    <row r="8041" ht="14.25" customHeight="1">
      <c r="A8041" s="2" t="s">
        <v>359</v>
      </c>
      <c r="B8041" s="2" t="s">
        <v>360</v>
      </c>
      <c r="C8041" s="2">
        <v>1985.0</v>
      </c>
      <c r="D8041" s="9">
        <v>30524.217</v>
      </c>
      <c r="E8041" s="10" t="str">
        <f t="array" ref="E8041">IFS(D8041&lt;=$G$3,'calculated data '!$A$3,D8041&lt;=$G$4,'calculated data '!$A$4,D8041&lt;=$G$6,'calculated data '!$A$5,D8041&gt;=$G$6,'calculated data '!$A$6)</f>
        <v>Target Market (Core IQR)</v>
      </c>
      <c r="F8041" s="10">
        <f t="shared" si="1"/>
        <v>0.1447969466</v>
      </c>
    </row>
    <row r="8042" ht="14.25" customHeight="1">
      <c r="A8042" s="2" t="s">
        <v>419</v>
      </c>
      <c r="B8042" s="2" t="s">
        <v>420</v>
      </c>
      <c r="C8042" s="2">
        <v>2020.0</v>
      </c>
      <c r="D8042" s="9">
        <v>30525.865</v>
      </c>
      <c r="E8042" s="10" t="str">
        <f t="array" ref="E8042">IFS(D8042&lt;=$G$3,'calculated data '!$A$3,D8042&lt;=$G$4,'calculated data '!$A$4,D8042&lt;=$G$6,'calculated data '!$A$5,D8042&gt;=$G$6,'calculated data '!$A$6)</f>
        <v>Target Market (Core IQR)</v>
      </c>
      <c r="F8042" s="10">
        <f t="shared" si="1"/>
        <v>0.1448405688</v>
      </c>
    </row>
    <row r="8043" ht="14.25" customHeight="1">
      <c r="A8043" s="2" t="s">
        <v>353</v>
      </c>
      <c r="B8043" s="2" t="s">
        <v>354</v>
      </c>
      <c r="C8043" s="2">
        <v>2017.0</v>
      </c>
      <c r="D8043" s="9">
        <v>30525.95</v>
      </c>
      <c r="E8043" s="10" t="str">
        <f t="array" ref="E8043">IFS(D8043&lt;=$G$3,'calculated data '!$A$3,D8043&lt;=$G$4,'calculated data '!$A$4,D8043&lt;=$G$6,'calculated data '!$A$5,D8043&gt;=$G$6,'calculated data '!$A$6)</f>
        <v>Target Market (Core IQR)</v>
      </c>
      <c r="F8043" s="10">
        <f t="shared" si="1"/>
        <v>0.1448428187</v>
      </c>
    </row>
    <row r="8044" ht="14.25" customHeight="1">
      <c r="A8044" s="2" t="s">
        <v>409</v>
      </c>
      <c r="B8044" s="2" t="s">
        <v>410</v>
      </c>
      <c r="C8044" s="2">
        <v>2023.0</v>
      </c>
      <c r="D8044" s="9">
        <v>30540.422</v>
      </c>
      <c r="E8044" s="10" t="str">
        <f t="array" ref="E8044">IFS(D8044&lt;=$G$3,'calculated data '!$A$3,D8044&lt;=$G$4,'calculated data '!$A$4,D8044&lt;=$G$6,'calculated data '!$A$5,D8044&gt;=$G$6,'calculated data '!$A$6)</f>
        <v>Target Market (Core IQR)</v>
      </c>
      <c r="F8044" s="10">
        <f t="shared" si="1"/>
        <v>0.1452258889</v>
      </c>
    </row>
    <row r="8045" ht="14.25" customHeight="1">
      <c r="A8045" s="2" t="s">
        <v>353</v>
      </c>
      <c r="B8045" s="2" t="s">
        <v>354</v>
      </c>
      <c r="C8045" s="2">
        <v>2008.0</v>
      </c>
      <c r="D8045" s="9">
        <v>30549.385</v>
      </c>
      <c r="E8045" s="10" t="str">
        <f t="array" ref="E8045">IFS(D8045&lt;=$G$3,'calculated data '!$A$3,D8045&lt;=$G$4,'calculated data '!$A$4,D8045&lt;=$G$6,'calculated data '!$A$5,D8045&gt;=$G$6,'calculated data '!$A$6)</f>
        <v>Target Market (Core IQR)</v>
      </c>
      <c r="F8045" s="10">
        <f t="shared" si="1"/>
        <v>0.1454631373</v>
      </c>
    </row>
    <row r="8046" ht="14.25" customHeight="1">
      <c r="A8046" s="2" t="s">
        <v>375</v>
      </c>
      <c r="B8046" s="2" t="s">
        <v>376</v>
      </c>
      <c r="C8046" s="2">
        <v>1984.0</v>
      </c>
      <c r="D8046" s="9">
        <v>30553.572</v>
      </c>
      <c r="E8046" s="10" t="str">
        <f t="array" ref="E8046">IFS(D8046&lt;=$G$3,'calculated data '!$A$3,D8046&lt;=$G$4,'calculated data '!$A$4,D8046&lt;=$G$6,'calculated data '!$A$5,D8046&gt;=$G$6,'calculated data '!$A$6)</f>
        <v>Target Market (Core IQR)</v>
      </c>
      <c r="F8046" s="10">
        <f t="shared" si="1"/>
        <v>0.1455739662</v>
      </c>
    </row>
    <row r="8047" ht="14.25" customHeight="1">
      <c r="A8047" s="2" t="s">
        <v>371</v>
      </c>
      <c r="B8047" s="2" t="s">
        <v>372</v>
      </c>
      <c r="C8047" s="2">
        <v>2012.0</v>
      </c>
      <c r="D8047" s="9">
        <v>30559.484</v>
      </c>
      <c r="E8047" s="10" t="str">
        <f t="array" ref="E8047">IFS(D8047&lt;=$G$3,'calculated data '!$A$3,D8047&lt;=$G$4,'calculated data '!$A$4,D8047&lt;=$G$6,'calculated data '!$A$5,D8047&gt;=$G$6,'calculated data '!$A$6)</f>
        <v>Target Market (Core IQR)</v>
      </c>
      <c r="F8047" s="10">
        <f t="shared" si="1"/>
        <v>0.1457304553</v>
      </c>
    </row>
    <row r="8048" ht="14.25" customHeight="1">
      <c r="A8048" s="2" t="s">
        <v>431</v>
      </c>
      <c r="B8048" s="2" t="s">
        <v>432</v>
      </c>
      <c r="C8048" s="2">
        <v>2023.0</v>
      </c>
      <c r="D8048" s="9">
        <v>30564.959</v>
      </c>
      <c r="E8048" s="10" t="str">
        <f t="array" ref="E8048">IFS(D8048&lt;=$G$3,'calculated data '!$A$3,D8048&lt;=$G$4,'calculated data '!$A$4,D8048&lt;=$G$6,'calculated data '!$A$5,D8048&gt;=$G$6,'calculated data '!$A$6)</f>
        <v>Target Market (Core IQR)</v>
      </c>
      <c r="F8048" s="10">
        <f t="shared" si="1"/>
        <v>0.1458753772</v>
      </c>
    </row>
    <row r="8049" ht="14.25" customHeight="1">
      <c r="A8049" s="2" t="s">
        <v>353</v>
      </c>
      <c r="B8049" s="2" t="s">
        <v>354</v>
      </c>
      <c r="C8049" s="2">
        <v>2007.0</v>
      </c>
      <c r="D8049" s="9">
        <v>30582.062</v>
      </c>
      <c r="E8049" s="10" t="str">
        <f t="array" ref="E8049">IFS(D8049&lt;=$G$3,'calculated data '!$A$3,D8049&lt;=$G$4,'calculated data '!$A$4,D8049&lt;=$G$6,'calculated data '!$A$5,D8049&gt;=$G$6,'calculated data '!$A$6)</f>
        <v>Target Market (Core IQR)</v>
      </c>
      <c r="F8049" s="10">
        <f t="shared" si="1"/>
        <v>0.1463280894</v>
      </c>
    </row>
    <row r="8050" ht="14.25" customHeight="1">
      <c r="A8050" s="2" t="s">
        <v>257</v>
      </c>
      <c r="B8050" s="2" t="s">
        <v>258</v>
      </c>
      <c r="C8050" s="2">
        <v>2008.0</v>
      </c>
      <c r="D8050" s="9">
        <v>30584.305</v>
      </c>
      <c r="E8050" s="10" t="str">
        <f t="array" ref="E8050">IFS(D8050&lt;=$G$3,'calculated data '!$A$3,D8050&lt;=$G$4,'calculated data '!$A$4,D8050&lt;=$G$6,'calculated data '!$A$5,D8050&gt;=$G$6,'calculated data '!$A$6)</f>
        <v>Target Market (Core IQR)</v>
      </c>
      <c r="F8050" s="10">
        <f t="shared" si="1"/>
        <v>0.146387461</v>
      </c>
    </row>
    <row r="8051" ht="14.25" customHeight="1">
      <c r="A8051" s="2" t="s">
        <v>427</v>
      </c>
      <c r="B8051" s="2" t="s">
        <v>428</v>
      </c>
      <c r="C8051" s="2">
        <v>1999.0</v>
      </c>
      <c r="D8051" s="9">
        <v>30596.732</v>
      </c>
      <c r="E8051" s="10" t="str">
        <f t="array" ref="E8051">IFS(D8051&lt;=$G$3,'calculated data '!$A$3,D8051&lt;=$G$4,'calculated data '!$A$4,D8051&lt;=$G$6,'calculated data '!$A$5,D8051&gt;=$G$6,'calculated data '!$A$6)</f>
        <v>Target Market (Core IQR)</v>
      </c>
      <c r="F8051" s="10">
        <f t="shared" si="1"/>
        <v>0.1467164006</v>
      </c>
    </row>
    <row r="8052" ht="14.25" customHeight="1">
      <c r="A8052" s="2" t="s">
        <v>331</v>
      </c>
      <c r="B8052" s="2" t="s">
        <v>332</v>
      </c>
      <c r="C8052" s="2">
        <v>1997.0</v>
      </c>
      <c r="D8052" s="9">
        <v>30603.572</v>
      </c>
      <c r="E8052" s="10" t="str">
        <f t="array" ref="E8052">IFS(D8052&lt;=$G$3,'calculated data '!$A$3,D8052&lt;=$G$4,'calculated data '!$A$4,D8052&lt;=$G$6,'calculated data '!$A$5,D8052&gt;=$G$6,'calculated data '!$A$6)</f>
        <v>Target Market (Core IQR)</v>
      </c>
      <c r="F8052" s="10">
        <f t="shared" si="1"/>
        <v>0.1468974537</v>
      </c>
    </row>
    <row r="8053" ht="14.25" customHeight="1">
      <c r="A8053" s="2" t="s">
        <v>377</v>
      </c>
      <c r="B8053" s="2" t="s">
        <v>378</v>
      </c>
      <c r="C8053" s="2">
        <v>2012.0</v>
      </c>
      <c r="D8053" s="9">
        <v>30611.012</v>
      </c>
      <c r="E8053" s="10" t="str">
        <f t="array" ref="E8053">IFS(D8053&lt;=$G$3,'calculated data '!$A$3,D8053&lt;=$G$4,'calculated data '!$A$4,D8053&lt;=$G$6,'calculated data '!$A$5,D8053&gt;=$G$6,'calculated data '!$A$6)</f>
        <v>Target Market (Core IQR)</v>
      </c>
      <c r="F8053" s="10">
        <f t="shared" si="1"/>
        <v>0.1470943887</v>
      </c>
    </row>
    <row r="8054" ht="14.25" customHeight="1">
      <c r="A8054" s="2" t="s">
        <v>267</v>
      </c>
      <c r="B8054" s="2" t="s">
        <v>268</v>
      </c>
      <c r="C8054" s="2">
        <v>1998.0</v>
      </c>
      <c r="D8054" s="9">
        <v>30636.469</v>
      </c>
      <c r="E8054" s="10" t="str">
        <f t="array" ref="E8054">IFS(D8054&lt;=$G$3,'calculated data '!$A$3,D8054&lt;=$G$4,'calculated data '!$A$4,D8054&lt;=$G$6,'calculated data '!$A$5,D8054&gt;=$G$6,'calculated data '!$A$6)</f>
        <v>Target Market (Core IQR)</v>
      </c>
      <c r="F8054" s="10">
        <f t="shared" si="1"/>
        <v>0.1477682291</v>
      </c>
    </row>
    <row r="8055" ht="14.25" customHeight="1">
      <c r="A8055" s="2" t="s">
        <v>393</v>
      </c>
      <c r="B8055" s="2" t="s">
        <v>394</v>
      </c>
      <c r="C8055" s="2">
        <v>1996.0</v>
      </c>
      <c r="D8055" s="9">
        <v>30655.396</v>
      </c>
      <c r="E8055" s="10" t="str">
        <f t="array" ref="E8055">IFS(D8055&lt;=$G$3,'calculated data '!$A$3,D8055&lt;=$G$4,'calculated data '!$A$4,D8055&lt;=$G$6,'calculated data '!$A$5,D8055&gt;=$G$6,'calculated data '!$A$6)</f>
        <v>Target Market (Core IQR)</v>
      </c>
      <c r="F8055" s="10">
        <f t="shared" si="1"/>
        <v>0.1482692221</v>
      </c>
    </row>
    <row r="8056" ht="14.25" customHeight="1">
      <c r="A8056" s="2" t="s">
        <v>435</v>
      </c>
      <c r="B8056" s="2" t="s">
        <v>436</v>
      </c>
      <c r="C8056" s="2">
        <v>2015.0</v>
      </c>
      <c r="D8056" s="9">
        <v>30661.69</v>
      </c>
      <c r="E8056" s="10" t="str">
        <f t="array" ref="E8056">IFS(D8056&lt;=$G$3,'calculated data '!$A$3,D8056&lt;=$G$4,'calculated data '!$A$4,D8056&lt;=$G$6,'calculated data '!$A$5,D8056&gt;=$G$6,'calculated data '!$A$6)</f>
        <v>Target Market (Core IQR)</v>
      </c>
      <c r="F8056" s="10">
        <f t="shared" si="1"/>
        <v>0.1484358227</v>
      </c>
    </row>
    <row r="8057" ht="14.25" customHeight="1">
      <c r="A8057" s="2" t="s">
        <v>451</v>
      </c>
      <c r="B8057" s="2" t="s">
        <v>452</v>
      </c>
      <c r="C8057" s="2">
        <v>1965.0</v>
      </c>
      <c r="D8057" s="9">
        <v>30674.322</v>
      </c>
      <c r="E8057" s="10" t="str">
        <f t="array" ref="E8057">IFS(D8057&lt;=$G$3,'calculated data '!$A$3,D8057&lt;=$G$4,'calculated data '!$A$4,D8057&lt;=$G$6,'calculated data '!$A$5,D8057&gt;=$G$6,'calculated data '!$A$6)</f>
        <v>Target Market (Core IQR)</v>
      </c>
      <c r="F8057" s="10">
        <f t="shared" si="1"/>
        <v>0.1487701886</v>
      </c>
    </row>
    <row r="8058" ht="14.25" customHeight="1">
      <c r="A8058" s="2" t="s">
        <v>369</v>
      </c>
      <c r="B8058" s="2" t="s">
        <v>370</v>
      </c>
      <c r="C8058" s="2">
        <v>1970.0</v>
      </c>
      <c r="D8058" s="9">
        <v>30679.2</v>
      </c>
      <c r="E8058" s="10" t="str">
        <f t="array" ref="E8058">IFS(D8058&lt;=$G$3,'calculated data '!$A$3,D8058&lt;=$G$4,'calculated data '!$A$4,D8058&lt;=$G$6,'calculated data '!$A$5,D8058&gt;=$G$6,'calculated data '!$A$6)</f>
        <v>Target Market (Core IQR)</v>
      </c>
      <c r="F8058" s="10">
        <f t="shared" si="1"/>
        <v>0.148899308</v>
      </c>
    </row>
    <row r="8059" ht="14.25" customHeight="1">
      <c r="A8059" s="2" t="s">
        <v>407</v>
      </c>
      <c r="B8059" s="2" t="s">
        <v>408</v>
      </c>
      <c r="C8059" s="2">
        <v>2005.0</v>
      </c>
      <c r="D8059" s="9">
        <v>30685.295</v>
      </c>
      <c r="E8059" s="10" t="str">
        <f t="array" ref="E8059">IFS(D8059&lt;=$G$3,'calculated data '!$A$3,D8059&lt;=$G$4,'calculated data '!$A$4,D8059&lt;=$G$6,'calculated data '!$A$5,D8059&gt;=$G$6,'calculated data '!$A$6)</f>
        <v>Target Market (Core IQR)</v>
      </c>
      <c r="F8059" s="10">
        <f t="shared" si="1"/>
        <v>0.1490606412</v>
      </c>
    </row>
    <row r="8060" ht="14.25" customHeight="1">
      <c r="A8060" s="2" t="s">
        <v>453</v>
      </c>
      <c r="B8060" s="2" t="s">
        <v>454</v>
      </c>
      <c r="C8060" s="2">
        <v>2020.0</v>
      </c>
      <c r="D8060" s="9">
        <v>30691.555</v>
      </c>
      <c r="E8060" s="10" t="str">
        <f t="array" ref="E8060">IFS(D8060&lt;=$G$3,'calculated data '!$A$3,D8060&lt;=$G$4,'calculated data '!$A$4,D8060&lt;=$G$6,'calculated data '!$A$5,D8060&gt;=$G$6,'calculated data '!$A$6)</f>
        <v>Target Market (Core IQR)</v>
      </c>
      <c r="F8060" s="10">
        <f t="shared" si="1"/>
        <v>0.1492263418</v>
      </c>
    </row>
    <row r="8061" ht="14.25" customHeight="1">
      <c r="A8061" s="2" t="s">
        <v>319</v>
      </c>
      <c r="B8061" s="2" t="s">
        <v>320</v>
      </c>
      <c r="C8061" s="2">
        <v>2002.0</v>
      </c>
      <c r="D8061" s="9">
        <v>30732.988</v>
      </c>
      <c r="E8061" s="10" t="str">
        <f t="array" ref="E8061">IFS(D8061&lt;=$G$3,'calculated data '!$A$3,D8061&lt;=$G$4,'calculated data '!$A$4,D8061&lt;=$G$6,'calculated data '!$A$5,D8061&gt;=$G$6,'calculated data '!$A$6)</f>
        <v>Target Market (Core IQR)</v>
      </c>
      <c r="F8061" s="10">
        <f t="shared" si="1"/>
        <v>0.150323063</v>
      </c>
    </row>
    <row r="8062" ht="14.25" customHeight="1">
      <c r="A8062" s="2" t="s">
        <v>415</v>
      </c>
      <c r="B8062" s="2" t="s">
        <v>416</v>
      </c>
      <c r="C8062" s="2">
        <v>2015.0</v>
      </c>
      <c r="D8062" s="9">
        <v>30752.408</v>
      </c>
      <c r="E8062" s="10" t="str">
        <f t="array" ref="E8062">IFS(D8062&lt;=$G$3,'calculated data '!$A$3,D8062&lt;=$G$4,'calculated data '!$A$4,D8062&lt;=$G$6,'calculated data '!$A$5,D8062&gt;=$G$6,'calculated data '!$A$6)</f>
        <v>Target Market (Core IQR)</v>
      </c>
      <c r="F8062" s="10">
        <f t="shared" si="1"/>
        <v>0.1508371056</v>
      </c>
    </row>
    <row r="8063" ht="14.25" customHeight="1">
      <c r="A8063" s="2" t="s">
        <v>421</v>
      </c>
      <c r="B8063" s="2" t="s">
        <v>422</v>
      </c>
      <c r="C8063" s="2">
        <v>2017.0</v>
      </c>
      <c r="D8063" s="9">
        <v>30791.908</v>
      </c>
      <c r="E8063" s="10" t="str">
        <f t="array" ref="E8063">IFS(D8063&lt;=$G$3,'calculated data '!$A$3,D8063&lt;=$G$4,'calculated data '!$A$4,D8063&lt;=$G$6,'calculated data '!$A$5,D8063&gt;=$G$6,'calculated data '!$A$6)</f>
        <v>Target Market (Core IQR)</v>
      </c>
      <c r="F8063" s="10">
        <f t="shared" si="1"/>
        <v>0.1518826607</v>
      </c>
    </row>
    <row r="8064" ht="14.25" customHeight="1">
      <c r="A8064" s="2" t="s">
        <v>71</v>
      </c>
      <c r="B8064" s="2" t="s">
        <v>72</v>
      </c>
      <c r="C8064" s="2">
        <v>1997.0</v>
      </c>
      <c r="D8064" s="9">
        <v>30807.531</v>
      </c>
      <c r="E8064" s="10" t="str">
        <f t="array" ref="E8064">IFS(D8064&lt;=$G$3,'calculated data '!$A$3,D8064&lt;=$G$4,'calculated data '!$A$4,D8064&lt;=$G$6,'calculated data '!$A$5,D8064&gt;=$G$6,'calculated data '!$A$6)</f>
        <v>Target Market (Core IQR)</v>
      </c>
      <c r="F8064" s="10">
        <f t="shared" si="1"/>
        <v>0.1522961976</v>
      </c>
    </row>
    <row r="8065" ht="14.25" customHeight="1">
      <c r="A8065" s="2" t="s">
        <v>419</v>
      </c>
      <c r="B8065" s="2" t="s">
        <v>420</v>
      </c>
      <c r="C8065" s="2">
        <v>2007.0</v>
      </c>
      <c r="D8065" s="9">
        <v>30811.928</v>
      </c>
      <c r="E8065" s="10" t="str">
        <f t="array" ref="E8065">IFS(D8065&lt;=$G$3,'calculated data '!$A$3,D8065&lt;=$G$4,'calculated data '!$A$4,D8065&lt;=$G$6,'calculated data '!$A$5,D8065&gt;=$G$6,'calculated data '!$A$6)</f>
        <v>Target Market (Core IQR)</v>
      </c>
      <c r="F8065" s="10">
        <f t="shared" si="1"/>
        <v>0.1524125851</v>
      </c>
    </row>
    <row r="8066" ht="14.25" customHeight="1">
      <c r="A8066" s="2" t="s">
        <v>359</v>
      </c>
      <c r="B8066" s="2" t="s">
        <v>360</v>
      </c>
      <c r="C8066" s="2">
        <v>1984.0</v>
      </c>
      <c r="D8066" s="9">
        <v>30834.896</v>
      </c>
      <c r="E8066" s="10" t="str">
        <f t="array" ref="E8066">IFS(D8066&lt;=$G$3,'calculated data '!$A$3,D8066&lt;=$G$4,'calculated data '!$A$4,D8066&lt;=$G$6,'calculated data '!$A$5,D8066&gt;=$G$6,'calculated data '!$A$6)</f>
        <v>Target Market (Core IQR)</v>
      </c>
      <c r="F8066" s="10">
        <f t="shared" si="1"/>
        <v>0.1530205424</v>
      </c>
    </row>
    <row r="8067" ht="14.25" customHeight="1">
      <c r="A8067" s="2" t="s">
        <v>437</v>
      </c>
      <c r="B8067" s="2" t="s">
        <v>438</v>
      </c>
      <c r="C8067" s="2">
        <v>1969.0</v>
      </c>
      <c r="D8067" s="9">
        <v>30850.275</v>
      </c>
      <c r="E8067" s="10" t="str">
        <f t="array" ref="E8067">IFS(D8067&lt;=$G$3,'calculated data '!$A$3,D8067&lt;=$G$4,'calculated data '!$A$4,D8067&lt;=$G$6,'calculated data '!$A$5,D8067&gt;=$G$6,'calculated data '!$A$6)</f>
        <v>Target Market (Core IQR)</v>
      </c>
      <c r="F8067" s="10">
        <f t="shared" si="1"/>
        <v>0.1534276207</v>
      </c>
    </row>
    <row r="8068" ht="14.25" customHeight="1">
      <c r="A8068" s="2" t="s">
        <v>335</v>
      </c>
      <c r="B8068" s="2" t="s">
        <v>336</v>
      </c>
      <c r="C8068" s="2">
        <v>2019.0</v>
      </c>
      <c r="D8068" s="9">
        <v>30858.781</v>
      </c>
      <c r="E8068" s="10" t="str">
        <f t="array" ref="E8068">IFS(D8068&lt;=$G$3,'calculated data '!$A$3,D8068&lt;=$G$4,'calculated data '!$A$4,D8068&lt;=$G$6,'calculated data '!$A$5,D8068&gt;=$G$6,'calculated data '!$A$6)</f>
        <v>Target Market (Core IQR)</v>
      </c>
      <c r="F8068" s="10">
        <f t="shared" si="1"/>
        <v>0.1536527724</v>
      </c>
    </row>
    <row r="8069" ht="14.25" customHeight="1">
      <c r="A8069" s="2" t="s">
        <v>393</v>
      </c>
      <c r="B8069" s="2" t="s">
        <v>394</v>
      </c>
      <c r="C8069" s="2">
        <v>2003.0</v>
      </c>
      <c r="D8069" s="9">
        <v>30873.51</v>
      </c>
      <c r="E8069" s="10" t="str">
        <f t="array" ref="E8069">IFS(D8069&lt;=$G$3,'calculated data '!$A$3,D8069&lt;=$G$4,'calculated data '!$A$4,D8069&lt;=$G$6,'calculated data '!$A$5,D8069&gt;=$G$6,'calculated data '!$A$6)</f>
        <v>Target Market (Core IQR)</v>
      </c>
      <c r="F8069" s="10">
        <f t="shared" si="1"/>
        <v>0.1540426453</v>
      </c>
    </row>
    <row r="8070" ht="14.25" customHeight="1">
      <c r="A8070" s="2" t="s">
        <v>377</v>
      </c>
      <c r="B8070" s="2" t="s">
        <v>378</v>
      </c>
      <c r="C8070" s="2">
        <v>2009.0</v>
      </c>
      <c r="D8070" s="9">
        <v>30873.604</v>
      </c>
      <c r="E8070" s="10" t="str">
        <f t="array" ref="E8070">IFS(D8070&lt;=$G$3,'calculated data '!$A$3,D8070&lt;=$G$4,'calculated data '!$A$4,D8070&lt;=$G$6,'calculated data '!$A$5,D8070&gt;=$G$6,'calculated data '!$A$6)</f>
        <v>Target Market (Core IQR)</v>
      </c>
      <c r="F8070" s="10">
        <f t="shared" si="1"/>
        <v>0.1540451335</v>
      </c>
    </row>
    <row r="8071" ht="14.25" customHeight="1">
      <c r="A8071" s="2" t="s">
        <v>355</v>
      </c>
      <c r="B8071" s="2" t="s">
        <v>356</v>
      </c>
      <c r="C8071" s="2">
        <v>2012.0</v>
      </c>
      <c r="D8071" s="9">
        <v>30874.855</v>
      </c>
      <c r="E8071" s="10" t="str">
        <f t="array" ref="E8071">IFS(D8071&lt;=$G$3,'calculated data '!$A$3,D8071&lt;=$G$4,'calculated data '!$A$4,D8071&lt;=$G$6,'calculated data '!$A$5,D8071&gt;=$G$6,'calculated data '!$A$6)</f>
        <v>Target Market (Core IQR)</v>
      </c>
      <c r="F8071" s="10">
        <f t="shared" si="1"/>
        <v>0.1540782472</v>
      </c>
    </row>
    <row r="8072" ht="14.25" customHeight="1">
      <c r="A8072" s="2" t="s">
        <v>407</v>
      </c>
      <c r="B8072" s="2" t="s">
        <v>408</v>
      </c>
      <c r="C8072" s="2">
        <v>1996.0</v>
      </c>
      <c r="D8072" s="9">
        <v>30876.668</v>
      </c>
      <c r="E8072" s="10" t="str">
        <f t="array" ref="E8072">IFS(D8072&lt;=$G$3,'calculated data '!$A$3,D8072&lt;=$G$4,'calculated data '!$A$4,D8072&lt;=$G$6,'calculated data '!$A$5,D8072&gt;=$G$6,'calculated data '!$A$6)</f>
        <v>Target Market (Core IQR)</v>
      </c>
      <c r="F8072" s="10">
        <f t="shared" si="1"/>
        <v>0.1541262368</v>
      </c>
    </row>
    <row r="8073" ht="14.25" customHeight="1">
      <c r="A8073" s="2" t="s">
        <v>445</v>
      </c>
      <c r="B8073" s="2" t="s">
        <v>446</v>
      </c>
      <c r="C8073" s="2">
        <v>1966.0</v>
      </c>
      <c r="D8073" s="9">
        <v>30876.844</v>
      </c>
      <c r="E8073" s="10" t="str">
        <f t="array" ref="E8073">IFS(D8073&lt;=$G$3,'calculated data '!$A$3,D8073&lt;=$G$4,'calculated data '!$A$4,D8073&lt;=$G$6,'calculated data '!$A$5,D8073&gt;=$G$6,'calculated data '!$A$6)</f>
        <v>Target Market (Core IQR)</v>
      </c>
      <c r="F8073" s="10">
        <f t="shared" si="1"/>
        <v>0.1541308955</v>
      </c>
    </row>
    <row r="8074" ht="14.25" customHeight="1">
      <c r="A8074" s="2" t="s">
        <v>335</v>
      </c>
      <c r="B8074" s="2" t="s">
        <v>336</v>
      </c>
      <c r="C8074" s="2">
        <v>2016.0</v>
      </c>
      <c r="D8074" s="9">
        <v>30880.186</v>
      </c>
      <c r="E8074" s="10" t="str">
        <f t="array" ref="E8074">IFS(D8074&lt;=$G$3,'calculated data '!$A$3,D8074&lt;=$G$4,'calculated data '!$A$4,D8074&lt;=$G$6,'calculated data '!$A$5,D8074&gt;=$G$6,'calculated data '!$A$6)</f>
        <v>Target Market (Core IQR)</v>
      </c>
      <c r="F8074" s="10">
        <f t="shared" si="1"/>
        <v>0.1542193574</v>
      </c>
    </row>
    <row r="8075" ht="14.25" customHeight="1">
      <c r="A8075" s="2" t="s">
        <v>379</v>
      </c>
      <c r="B8075" s="2" t="s">
        <v>380</v>
      </c>
      <c r="C8075" s="2">
        <v>1992.0</v>
      </c>
      <c r="D8075" s="9">
        <v>30892.156</v>
      </c>
      <c r="E8075" s="10" t="str">
        <f t="array" ref="E8075">IFS(D8075&lt;=$G$3,'calculated data '!$A$3,D8075&lt;=$G$4,'calculated data '!$A$4,D8075&lt;=$G$6,'calculated data '!$A$5,D8075&gt;=$G$6,'calculated data '!$A$6)</f>
        <v>Target Market (Core IQR)</v>
      </c>
      <c r="F8075" s="10">
        <f t="shared" si="1"/>
        <v>0.1545362003</v>
      </c>
    </row>
    <row r="8076" ht="14.25" customHeight="1">
      <c r="A8076" s="2" t="s">
        <v>431</v>
      </c>
      <c r="B8076" s="2" t="s">
        <v>432</v>
      </c>
      <c r="C8076" s="2">
        <v>2021.0</v>
      </c>
      <c r="D8076" s="9">
        <v>30892.902</v>
      </c>
      <c r="E8076" s="10" t="str">
        <f t="array" ref="E8076">IFS(D8076&lt;=$G$3,'calculated data '!$A$3,D8076&lt;=$G$4,'calculated data '!$A$4,D8076&lt;=$G$6,'calculated data '!$A$5,D8076&gt;=$G$6,'calculated data '!$A$6)</f>
        <v>Target Market (Core IQR)</v>
      </c>
      <c r="F8076" s="10">
        <f t="shared" si="1"/>
        <v>0.1545559467</v>
      </c>
    </row>
    <row r="8077" ht="14.25" customHeight="1">
      <c r="A8077" s="2" t="s">
        <v>387</v>
      </c>
      <c r="B8077" s="2" t="s">
        <v>388</v>
      </c>
      <c r="C8077" s="2">
        <v>2003.0</v>
      </c>
      <c r="D8077" s="9">
        <v>30902.998</v>
      </c>
      <c r="E8077" s="10" t="str">
        <f t="array" ref="E8077">IFS(D8077&lt;=$G$3,'calculated data '!$A$3,D8077&lt;=$G$4,'calculated data '!$A$4,D8077&lt;=$G$6,'calculated data '!$A$5,D8077&gt;=$G$6,'calculated data '!$A$6)</f>
        <v>Target Market (Core IQR)</v>
      </c>
      <c r="F8077" s="10">
        <f t="shared" si="1"/>
        <v>0.1548231854</v>
      </c>
    </row>
    <row r="8078" ht="14.25" customHeight="1">
      <c r="A8078" s="2" t="s">
        <v>393</v>
      </c>
      <c r="B8078" s="2" t="s">
        <v>394</v>
      </c>
      <c r="C8078" s="2">
        <v>1998.0</v>
      </c>
      <c r="D8078" s="9">
        <v>30903.053</v>
      </c>
      <c r="E8078" s="10" t="str">
        <f t="array" ref="E8078">IFS(D8078&lt;=$G$3,'calculated data '!$A$3,D8078&lt;=$G$4,'calculated data '!$A$4,D8078&lt;=$G$6,'calculated data '!$A$5,D8078&gt;=$G$6,'calculated data '!$A$6)</f>
        <v>Target Market (Core IQR)</v>
      </c>
      <c r="F8078" s="10">
        <f t="shared" si="1"/>
        <v>0.1548246412</v>
      </c>
    </row>
    <row r="8079" ht="14.25" customHeight="1">
      <c r="A8079" s="2" t="s">
        <v>319</v>
      </c>
      <c r="B8079" s="2" t="s">
        <v>320</v>
      </c>
      <c r="C8079" s="2">
        <v>1999.0</v>
      </c>
      <c r="D8079" s="9">
        <v>30903.463</v>
      </c>
      <c r="E8079" s="10" t="str">
        <f t="array" ref="E8079">IFS(D8079&lt;=$G$3,'calculated data '!$A$3,D8079&lt;=$G$4,'calculated data '!$A$4,D8079&lt;=$G$6,'calculated data '!$A$5,D8079&gt;=$G$6,'calculated data '!$A$6)</f>
        <v>Target Market (Core IQR)</v>
      </c>
      <c r="F8079" s="10">
        <f t="shared" si="1"/>
        <v>0.1548354938</v>
      </c>
    </row>
    <row r="8080" ht="14.25" customHeight="1">
      <c r="A8080" s="2" t="s">
        <v>335</v>
      </c>
      <c r="B8080" s="2" t="s">
        <v>336</v>
      </c>
      <c r="C8080" s="2">
        <v>2015.0</v>
      </c>
      <c r="D8080" s="9">
        <v>30913.78</v>
      </c>
      <c r="E8080" s="10" t="str">
        <f t="array" ref="E8080">IFS(D8080&lt;=$G$3,'calculated data '!$A$3,D8080&lt;=$G$4,'calculated data '!$A$4,D8080&lt;=$G$6,'calculated data '!$A$5,D8080&gt;=$G$6,'calculated data '!$A$6)</f>
        <v>Target Market (Core IQR)</v>
      </c>
      <c r="F8080" s="10">
        <f t="shared" si="1"/>
        <v>0.1551085822</v>
      </c>
    </row>
    <row r="8081" ht="14.25" customHeight="1">
      <c r="A8081" s="2" t="s">
        <v>367</v>
      </c>
      <c r="B8081" s="2" t="s">
        <v>368</v>
      </c>
      <c r="C8081" s="2">
        <v>2010.0</v>
      </c>
      <c r="D8081" s="9">
        <v>30914.201</v>
      </c>
      <c r="E8081" s="10" t="str">
        <f t="array" ref="E8081">IFS(D8081&lt;=$G$3,'calculated data '!$A$3,D8081&lt;=$G$4,'calculated data '!$A$4,D8081&lt;=$G$6,'calculated data '!$A$5,D8081&gt;=$G$6,'calculated data '!$A$6)</f>
        <v>Target Market (Core IQR)</v>
      </c>
      <c r="F8081" s="10">
        <f t="shared" si="1"/>
        <v>0.155119726</v>
      </c>
    </row>
    <row r="8082" ht="14.25" customHeight="1">
      <c r="A8082" s="2" t="s">
        <v>423</v>
      </c>
      <c r="B8082" s="2" t="s">
        <v>424</v>
      </c>
      <c r="C8082" s="2">
        <v>1991.0</v>
      </c>
      <c r="D8082" s="9">
        <v>30920.125</v>
      </c>
      <c r="E8082" s="10" t="str">
        <f t="array" ref="E8082">IFS(D8082&lt;=$G$3,'calculated data '!$A$3,D8082&lt;=$G$4,'calculated data '!$A$4,D8082&lt;=$G$6,'calculated data '!$A$5,D8082&gt;=$G$6,'calculated data '!$A$6)</f>
        <v>Target Market (Core IQR)</v>
      </c>
      <c r="F8082" s="10">
        <f t="shared" si="1"/>
        <v>0.1552765328</v>
      </c>
    </row>
    <row r="8083" ht="14.25" customHeight="1">
      <c r="A8083" s="2" t="s">
        <v>375</v>
      </c>
      <c r="B8083" s="2" t="s">
        <v>376</v>
      </c>
      <c r="C8083" s="2">
        <v>2005.0</v>
      </c>
      <c r="D8083" s="9">
        <v>30923.053</v>
      </c>
      <c r="E8083" s="10" t="str">
        <f t="array" ref="E8083">IFS(D8083&lt;=$G$3,'calculated data '!$A$3,D8083&lt;=$G$4,'calculated data '!$A$4,D8083&lt;=$G$6,'calculated data '!$A$5,D8083&gt;=$G$6,'calculated data '!$A$6)</f>
        <v>Target Market (Core IQR)</v>
      </c>
      <c r="F8083" s="10">
        <f t="shared" si="1"/>
        <v>0.1553540362</v>
      </c>
    </row>
    <row r="8084" ht="14.25" customHeight="1">
      <c r="A8084" s="2" t="s">
        <v>359</v>
      </c>
      <c r="B8084" s="2" t="s">
        <v>360</v>
      </c>
      <c r="C8084" s="2">
        <v>1990.0</v>
      </c>
      <c r="D8084" s="9">
        <v>30931.105</v>
      </c>
      <c r="E8084" s="10" t="str">
        <f t="array" ref="E8084">IFS(D8084&lt;=$G$3,'calculated data '!$A$3,D8084&lt;=$G$4,'calculated data '!$A$4,D8084&lt;=$G$6,'calculated data '!$A$5,D8084&gt;=$G$6,'calculated data '!$A$6)</f>
        <v>Target Market (Core IQR)</v>
      </c>
      <c r="F8084" s="10">
        <f t="shared" si="1"/>
        <v>0.1555671706</v>
      </c>
    </row>
    <row r="8085" ht="14.25" customHeight="1">
      <c r="A8085" s="2" t="s">
        <v>221</v>
      </c>
      <c r="B8085" s="2" t="s">
        <v>222</v>
      </c>
      <c r="C8085" s="2">
        <v>1992.0</v>
      </c>
      <c r="D8085" s="9">
        <v>30939.625</v>
      </c>
      <c r="E8085" s="10" t="str">
        <f t="array" ref="E8085">IFS(D8085&lt;=$G$3,'calculated data '!$A$3,D8085&lt;=$G$4,'calculated data '!$A$4,D8085&lt;=$G$6,'calculated data '!$A$5,D8085&gt;=$G$6,'calculated data '!$A$6)</f>
        <v>Target Market (Core IQR)</v>
      </c>
      <c r="F8085" s="10">
        <f t="shared" si="1"/>
        <v>0.1557926929</v>
      </c>
    </row>
    <row r="8086" ht="14.25" customHeight="1">
      <c r="A8086" s="2" t="s">
        <v>401</v>
      </c>
      <c r="B8086" s="2" t="s">
        <v>402</v>
      </c>
      <c r="C8086" s="2">
        <v>1975.0</v>
      </c>
      <c r="D8086" s="9">
        <v>30945.078</v>
      </c>
      <c r="E8086" s="10" t="str">
        <f t="array" ref="E8086">IFS(D8086&lt;=$G$3,'calculated data '!$A$3,D8086&lt;=$G$4,'calculated data '!$A$4,D8086&lt;=$G$6,'calculated data '!$A$5,D8086&gt;=$G$6,'calculated data '!$A$6)</f>
        <v>Target Market (Core IQR)</v>
      </c>
      <c r="F8086" s="10">
        <f t="shared" si="1"/>
        <v>0.1559370325</v>
      </c>
    </row>
    <row r="8087" ht="14.25" customHeight="1">
      <c r="A8087" s="2" t="s">
        <v>435</v>
      </c>
      <c r="B8087" s="2" t="s">
        <v>436</v>
      </c>
      <c r="C8087" s="2">
        <v>2018.0</v>
      </c>
      <c r="D8087" s="9">
        <v>30950.479</v>
      </c>
      <c r="E8087" s="10" t="str">
        <f t="array" ref="E8087">IFS(D8087&lt;=$G$3,'calculated data '!$A$3,D8087&lt;=$G$4,'calculated data '!$A$4,D8087&lt;=$G$6,'calculated data '!$A$5,D8087&gt;=$G$6,'calculated data '!$A$6)</f>
        <v>Target Market (Core IQR)</v>
      </c>
      <c r="F8087" s="10">
        <f t="shared" si="1"/>
        <v>0.1560799956</v>
      </c>
    </row>
    <row r="8088" ht="14.25" customHeight="1">
      <c r="A8088" s="2" t="s">
        <v>279</v>
      </c>
      <c r="B8088" s="2" t="s">
        <v>280</v>
      </c>
      <c r="C8088" s="2">
        <v>1992.0</v>
      </c>
      <c r="D8088" s="9">
        <v>30955.318</v>
      </c>
      <c r="E8088" s="10" t="str">
        <f t="array" ref="E8088">IFS(D8088&lt;=$G$3,'calculated data '!$A$3,D8088&lt;=$G$4,'calculated data '!$A$4,D8088&lt;=$G$6,'calculated data '!$A$5,D8088&gt;=$G$6,'calculated data '!$A$6)</f>
        <v>Target Market (Core IQR)</v>
      </c>
      <c r="F8088" s="10">
        <f t="shared" si="1"/>
        <v>0.1562080827</v>
      </c>
    </row>
    <row r="8089" ht="14.25" customHeight="1">
      <c r="A8089" s="2" t="s">
        <v>257</v>
      </c>
      <c r="B8089" s="2" t="s">
        <v>258</v>
      </c>
      <c r="C8089" s="2">
        <v>2009.0</v>
      </c>
      <c r="D8089" s="9">
        <v>30956.031</v>
      </c>
      <c r="E8089" s="10" t="str">
        <f t="array" ref="E8089">IFS(D8089&lt;=$G$3,'calculated data '!$A$3,D8089&lt;=$G$4,'calculated data '!$A$4,D8089&lt;=$G$6,'calculated data '!$A$5,D8089&gt;=$G$6,'calculated data '!$A$6)</f>
        <v>Target Market (Core IQR)</v>
      </c>
      <c r="F8089" s="10">
        <f t="shared" si="1"/>
        <v>0.1562269557</v>
      </c>
    </row>
    <row r="8090" ht="14.25" customHeight="1">
      <c r="A8090" s="2" t="s">
        <v>425</v>
      </c>
      <c r="B8090" s="2" t="s">
        <v>426</v>
      </c>
      <c r="C8090" s="2">
        <v>2019.0</v>
      </c>
      <c r="D8090" s="9">
        <v>30987.209</v>
      </c>
      <c r="E8090" s="10" t="str">
        <f t="array" ref="E8090">IFS(D8090&lt;=$G$3,'calculated data '!$A$3,D8090&lt;=$G$4,'calculated data '!$A$4,D8090&lt;=$G$6,'calculated data '!$A$5,D8090&gt;=$G$6,'calculated data '!$A$6)</f>
        <v>Target Market (Core IQR)</v>
      </c>
      <c r="F8090" s="10">
        <f t="shared" si="1"/>
        <v>0.1570522295</v>
      </c>
    </row>
    <row r="8091" ht="14.25" customHeight="1">
      <c r="A8091" s="2" t="s">
        <v>447</v>
      </c>
      <c r="B8091" s="2" t="s">
        <v>448</v>
      </c>
      <c r="C8091" s="2">
        <v>1993.0</v>
      </c>
      <c r="D8091" s="9">
        <v>31000.55</v>
      </c>
      <c r="E8091" s="10" t="str">
        <f t="array" ref="E8091">IFS(D8091&lt;=$G$3,'calculated data '!$A$3,D8091&lt;=$G$4,'calculated data '!$A$4,D8091&lt;=$G$6,'calculated data '!$A$5,D8091&gt;=$G$6,'calculated data '!$A$6)</f>
        <v>Target Market (Core IQR)</v>
      </c>
      <c r="F8091" s="10">
        <f t="shared" si="1"/>
        <v>0.1574053625</v>
      </c>
    </row>
    <row r="8092" ht="14.25" customHeight="1">
      <c r="A8092" s="2" t="s">
        <v>421</v>
      </c>
      <c r="B8092" s="2" t="s">
        <v>422</v>
      </c>
      <c r="C8092" s="2">
        <v>1971.0</v>
      </c>
      <c r="D8092" s="9">
        <v>31004.467</v>
      </c>
      <c r="E8092" s="10" t="str">
        <f t="array" ref="E8092">IFS(D8092&lt;=$G$3,'calculated data '!$A$3,D8092&lt;=$G$4,'calculated data '!$A$4,D8092&lt;=$G$6,'calculated data '!$A$5,D8092&gt;=$G$6,'calculated data '!$A$6)</f>
        <v>Target Market (Core IQR)</v>
      </c>
      <c r="F8092" s="10">
        <f t="shared" si="1"/>
        <v>0.1575090445</v>
      </c>
    </row>
    <row r="8093" ht="14.25" customHeight="1">
      <c r="A8093" s="2" t="s">
        <v>337</v>
      </c>
      <c r="B8093" s="2" t="s">
        <v>338</v>
      </c>
      <c r="C8093" s="2">
        <v>2023.0</v>
      </c>
      <c r="D8093" s="9">
        <v>31019.922</v>
      </c>
      <c r="E8093" s="10" t="str">
        <f t="array" ref="E8093">IFS(D8093&lt;=$G$3,'calculated data '!$A$3,D8093&lt;=$G$4,'calculated data '!$A$4,D8093&lt;=$G$6,'calculated data '!$A$5,D8093&gt;=$G$6,'calculated data '!$A$6)</f>
        <v>Target Market (Core IQR)</v>
      </c>
      <c r="F8093" s="10">
        <f t="shared" si="1"/>
        <v>0.1579181345</v>
      </c>
    </row>
    <row r="8094" ht="14.25" customHeight="1">
      <c r="A8094" s="2" t="s">
        <v>353</v>
      </c>
      <c r="B8094" s="2" t="s">
        <v>354</v>
      </c>
      <c r="C8094" s="2">
        <v>1993.0</v>
      </c>
      <c r="D8094" s="9">
        <v>31039.617</v>
      </c>
      <c r="E8094" s="10" t="str">
        <f t="array" ref="E8094">IFS(D8094&lt;=$G$3,'calculated data '!$A$3,D8094&lt;=$G$4,'calculated data '!$A$4,D8094&lt;=$G$6,'calculated data '!$A$5,D8094&gt;=$G$6,'calculated data '!$A$6)</f>
        <v>Target Market (Core IQR)</v>
      </c>
      <c r="F8094" s="10">
        <f t="shared" si="1"/>
        <v>0.1584394563</v>
      </c>
    </row>
    <row r="8095" ht="14.25" customHeight="1">
      <c r="A8095" s="2" t="s">
        <v>419</v>
      </c>
      <c r="B8095" s="2" t="s">
        <v>420</v>
      </c>
      <c r="C8095" s="2">
        <v>2013.0</v>
      </c>
      <c r="D8095" s="9">
        <v>31057.21</v>
      </c>
      <c r="E8095" s="10" t="str">
        <f t="array" ref="E8095">IFS(D8095&lt;=$G$3,'calculated data '!$A$3,D8095&lt;=$G$4,'calculated data '!$A$4,D8095&lt;=$G$6,'calculated data '!$A$5,D8095&gt;=$G$6,'calculated data '!$A$6)</f>
        <v>Target Market (Core IQR)</v>
      </c>
      <c r="F8095" s="10">
        <f t="shared" si="1"/>
        <v>0.1589051386</v>
      </c>
    </row>
    <row r="8096" ht="14.25" customHeight="1">
      <c r="A8096" s="2" t="s">
        <v>353</v>
      </c>
      <c r="B8096" s="2" t="s">
        <v>354</v>
      </c>
      <c r="C8096" s="2">
        <v>1997.0</v>
      </c>
      <c r="D8096" s="9">
        <v>31061.566</v>
      </c>
      <c r="E8096" s="10" t="str">
        <f t="array" ref="E8096">IFS(D8096&lt;=$G$3,'calculated data '!$A$3,D8096&lt;=$G$4,'calculated data '!$A$4,D8096&lt;=$G$6,'calculated data '!$A$5,D8096&gt;=$G$6,'calculated data '!$A$6)</f>
        <v>Target Market (Core IQR)</v>
      </c>
      <c r="F8096" s="10">
        <f t="shared" si="1"/>
        <v>0.1590204408</v>
      </c>
    </row>
    <row r="8097" ht="14.25" customHeight="1">
      <c r="A8097" s="2" t="s">
        <v>197</v>
      </c>
      <c r="B8097" s="2" t="s">
        <v>198</v>
      </c>
      <c r="C8097" s="2">
        <v>2024.0</v>
      </c>
      <c r="D8097" s="9">
        <v>31075.78</v>
      </c>
      <c r="E8097" s="10" t="str">
        <f t="array" ref="E8097">IFS(D8097&lt;=$G$3,'calculated data '!$A$3,D8097&lt;=$G$4,'calculated data '!$A$4,D8097&lt;=$G$6,'calculated data '!$A$5,D8097&gt;=$G$6,'calculated data '!$A$6)</f>
        <v>Target Market (Core IQR)</v>
      </c>
      <c r="F8097" s="10">
        <f t="shared" si="1"/>
        <v>0.1593966819</v>
      </c>
    </row>
    <row r="8098" ht="14.25" customHeight="1">
      <c r="A8098" s="2" t="s">
        <v>443</v>
      </c>
      <c r="B8098" s="2" t="s">
        <v>444</v>
      </c>
      <c r="C8098" s="2">
        <v>1967.0</v>
      </c>
      <c r="D8098" s="9">
        <v>31086.494</v>
      </c>
      <c r="E8098" s="10" t="str">
        <f t="array" ref="E8098">IFS(D8098&lt;=$G$3,'calculated data '!$A$3,D8098&lt;=$G$4,'calculated data '!$A$4,D8098&lt;=$G$6,'calculated data '!$A$5,D8098&gt;=$G$6,'calculated data '!$A$6)</f>
        <v>Target Market (Core IQR)</v>
      </c>
      <c r="F8098" s="10">
        <f t="shared" si="1"/>
        <v>0.1596802788</v>
      </c>
    </row>
    <row r="8099" ht="14.25" customHeight="1">
      <c r="A8099" s="2" t="s">
        <v>371</v>
      </c>
      <c r="B8099" s="2" t="s">
        <v>372</v>
      </c>
      <c r="C8099" s="2">
        <v>1994.0</v>
      </c>
      <c r="D8099" s="9">
        <v>31100.94</v>
      </c>
      <c r="E8099" s="10" t="str">
        <f t="array" ref="E8099">IFS(D8099&lt;=$G$3,'calculated data '!$A$3,D8099&lt;=$G$4,'calculated data '!$A$4,D8099&lt;=$G$6,'calculated data '!$A$5,D8099&gt;=$G$6,'calculated data '!$A$6)</f>
        <v>Target Market (Core IQR)</v>
      </c>
      <c r="F8099" s="10">
        <f t="shared" si="1"/>
        <v>0.1600626608</v>
      </c>
    </row>
    <row r="8100" ht="14.25" customHeight="1">
      <c r="A8100" s="2" t="s">
        <v>419</v>
      </c>
      <c r="B8100" s="2" t="s">
        <v>420</v>
      </c>
      <c r="C8100" s="2">
        <v>2014.0</v>
      </c>
      <c r="D8100" s="9">
        <v>31102.455</v>
      </c>
      <c r="E8100" s="10" t="str">
        <f t="array" ref="E8100">IFS(D8100&lt;=$G$3,'calculated data '!$A$3,D8100&lt;=$G$4,'calculated data '!$A$4,D8100&lt;=$G$6,'calculated data '!$A$5,D8100&gt;=$G$6,'calculated data '!$A$6)</f>
        <v>Target Market (Core IQR)</v>
      </c>
      <c r="F8100" s="10">
        <f t="shared" si="1"/>
        <v>0.1601027625</v>
      </c>
    </row>
    <row r="8101" ht="14.25" customHeight="1">
      <c r="A8101" s="2" t="s">
        <v>415</v>
      </c>
      <c r="B8101" s="2" t="s">
        <v>416</v>
      </c>
      <c r="C8101" s="2">
        <v>2016.0</v>
      </c>
      <c r="D8101" s="9">
        <v>31114.156</v>
      </c>
      <c r="E8101" s="10" t="str">
        <f t="array" ref="E8101">IFS(D8101&lt;=$G$3,'calculated data '!$A$3,D8101&lt;=$G$4,'calculated data '!$A$4,D8101&lt;=$G$6,'calculated data '!$A$5,D8101&gt;=$G$6,'calculated data '!$A$6)</f>
        <v>Target Market (Core IQR)</v>
      </c>
      <c r="F8101" s="10">
        <f t="shared" si="1"/>
        <v>0.160412485</v>
      </c>
    </row>
    <row r="8102" ht="14.25" customHeight="1">
      <c r="A8102" s="2" t="s">
        <v>411</v>
      </c>
      <c r="B8102" s="2" t="s">
        <v>412</v>
      </c>
      <c r="C8102" s="2">
        <v>1970.0</v>
      </c>
      <c r="D8102" s="9">
        <v>31114.393</v>
      </c>
      <c r="E8102" s="10" t="str">
        <f t="array" ref="E8102">IFS(D8102&lt;=$G$3,'calculated data '!$A$3,D8102&lt;=$G$4,'calculated data '!$A$4,D8102&lt;=$G$6,'calculated data '!$A$5,D8102&gt;=$G$6,'calculated data '!$A$6)</f>
        <v>Target Market (Core IQR)</v>
      </c>
      <c r="F8102" s="10">
        <f t="shared" si="1"/>
        <v>0.1604187584</v>
      </c>
    </row>
    <row r="8103" ht="14.25" customHeight="1">
      <c r="A8103" s="2" t="s">
        <v>421</v>
      </c>
      <c r="B8103" s="2" t="s">
        <v>422</v>
      </c>
      <c r="C8103" s="2">
        <v>1990.0</v>
      </c>
      <c r="D8103" s="9">
        <v>31122.396</v>
      </c>
      <c r="E8103" s="10" t="str">
        <f t="array" ref="E8103">IFS(D8103&lt;=$G$3,'calculated data '!$A$3,D8103&lt;=$G$4,'calculated data '!$A$4,D8103&lt;=$G$6,'calculated data '!$A$5,D8103&gt;=$G$6,'calculated data '!$A$6)</f>
        <v>Target Market (Core IQR)</v>
      </c>
      <c r="F8103" s="10">
        <f t="shared" si="1"/>
        <v>0.1606305958</v>
      </c>
    </row>
    <row r="8104" ht="14.25" customHeight="1">
      <c r="A8104" s="2" t="s">
        <v>71</v>
      </c>
      <c r="B8104" s="2" t="s">
        <v>72</v>
      </c>
      <c r="C8104" s="2">
        <v>1992.0</v>
      </c>
      <c r="D8104" s="9">
        <v>31123.568</v>
      </c>
      <c r="E8104" s="10" t="str">
        <f t="array" ref="E8104">IFS(D8104&lt;=$G$3,'calculated data '!$A$3,D8104&lt;=$G$4,'calculated data '!$A$4,D8104&lt;=$G$6,'calculated data '!$A$5,D8104&gt;=$G$6,'calculated data '!$A$6)</f>
        <v>Target Market (Core IQR)</v>
      </c>
      <c r="F8104" s="10">
        <f t="shared" si="1"/>
        <v>0.1606616183</v>
      </c>
    </row>
    <row r="8105" ht="14.25" customHeight="1">
      <c r="A8105" s="2" t="s">
        <v>335</v>
      </c>
      <c r="B8105" s="2" t="s">
        <v>336</v>
      </c>
      <c r="C8105" s="2">
        <v>1997.0</v>
      </c>
      <c r="D8105" s="9">
        <v>31132.143</v>
      </c>
      <c r="E8105" s="10" t="str">
        <f t="array" ref="E8105">IFS(D8105&lt;=$G$3,'calculated data '!$A$3,D8105&lt;=$G$4,'calculated data '!$A$4,D8105&lt;=$G$6,'calculated data '!$A$5,D8105&gt;=$G$6,'calculated data '!$A$6)</f>
        <v>Target Market (Core IQR)</v>
      </c>
      <c r="F8105" s="10">
        <f t="shared" si="1"/>
        <v>0.1608885964</v>
      </c>
    </row>
    <row r="8106" ht="14.25" customHeight="1">
      <c r="A8106" s="2" t="s">
        <v>71</v>
      </c>
      <c r="B8106" s="2" t="s">
        <v>72</v>
      </c>
      <c r="C8106" s="2">
        <v>1998.0</v>
      </c>
      <c r="D8106" s="9">
        <v>31152.215</v>
      </c>
      <c r="E8106" s="10" t="str">
        <f t="array" ref="E8106">IFS(D8106&lt;=$G$3,'calculated data '!$A$3,D8106&lt;=$G$4,'calculated data '!$A$4,D8106&lt;=$G$6,'calculated data '!$A$5,D8106&gt;=$G$6,'calculated data '!$A$6)</f>
        <v>Target Market (Core IQR)</v>
      </c>
      <c r="F8106" s="10">
        <f t="shared" si="1"/>
        <v>0.1614198973</v>
      </c>
    </row>
    <row r="8107" ht="14.25" customHeight="1">
      <c r="A8107" s="2" t="s">
        <v>375</v>
      </c>
      <c r="B8107" s="2" t="s">
        <v>376</v>
      </c>
      <c r="C8107" s="2">
        <v>1990.0</v>
      </c>
      <c r="D8107" s="9">
        <v>31155.89</v>
      </c>
      <c r="E8107" s="10" t="str">
        <f t="array" ref="E8107">IFS(D8107&lt;=$G$3,'calculated data '!$A$3,D8107&lt;=$G$4,'calculated data '!$A$4,D8107&lt;=$G$6,'calculated data '!$A$5,D8107&gt;=$G$6,'calculated data '!$A$6)</f>
        <v>Target Market (Core IQR)</v>
      </c>
      <c r="F8107" s="10">
        <f t="shared" si="1"/>
        <v>0.1615171736</v>
      </c>
    </row>
    <row r="8108" ht="14.25" customHeight="1">
      <c r="A8108" s="2" t="s">
        <v>379</v>
      </c>
      <c r="B8108" s="2" t="s">
        <v>380</v>
      </c>
      <c r="C8108" s="2">
        <v>2024.0</v>
      </c>
      <c r="D8108" s="9">
        <v>31167.48</v>
      </c>
      <c r="E8108" s="10" t="str">
        <f t="array" ref="E8108">IFS(D8108&lt;=$G$3,'calculated data '!$A$3,D8108&lt;=$G$4,'calculated data '!$A$4,D8108&lt;=$G$6,'calculated data '!$A$5,D8108&gt;=$G$6,'calculated data '!$A$6)</f>
        <v>Target Market (Core IQR)</v>
      </c>
      <c r="F8108" s="10">
        <f t="shared" si="1"/>
        <v>0.161823958</v>
      </c>
    </row>
    <row r="8109" ht="14.25" customHeight="1">
      <c r="A8109" s="2" t="s">
        <v>435</v>
      </c>
      <c r="B8109" s="2" t="s">
        <v>436</v>
      </c>
      <c r="C8109" s="2">
        <v>2022.0</v>
      </c>
      <c r="D8109" s="9">
        <v>31185.008</v>
      </c>
      <c r="E8109" s="10" t="str">
        <f t="array" ref="E8109">IFS(D8109&lt;=$G$3,'calculated data '!$A$3,D8109&lt;=$G$4,'calculated data '!$A$4,D8109&lt;=$G$6,'calculated data '!$A$5,D8109&gt;=$G$6,'calculated data '!$A$6)</f>
        <v>Target Market (Core IQR)</v>
      </c>
      <c r="F8109" s="10">
        <f t="shared" si="1"/>
        <v>0.1622879198</v>
      </c>
    </row>
    <row r="8110" ht="14.25" customHeight="1">
      <c r="A8110" s="2" t="s">
        <v>421</v>
      </c>
      <c r="B8110" s="2" t="s">
        <v>422</v>
      </c>
      <c r="C8110" s="2">
        <v>2021.0</v>
      </c>
      <c r="D8110" s="9">
        <v>31215.29</v>
      </c>
      <c r="E8110" s="10" t="str">
        <f t="array" ref="E8110">IFS(D8110&lt;=$G$3,'calculated data '!$A$3,D8110&lt;=$G$4,'calculated data '!$A$4,D8110&lt;=$G$6,'calculated data '!$A$5,D8110&gt;=$G$6,'calculated data '!$A$6)</f>
        <v>Target Market (Core IQR)</v>
      </c>
      <c r="F8110" s="10">
        <f t="shared" si="1"/>
        <v>0.1630894768</v>
      </c>
    </row>
    <row r="8111" ht="14.25" customHeight="1">
      <c r="A8111" s="2" t="s">
        <v>431</v>
      </c>
      <c r="B8111" s="2" t="s">
        <v>432</v>
      </c>
      <c r="C8111" s="2">
        <v>2022.0</v>
      </c>
      <c r="D8111" s="9">
        <v>31237.596</v>
      </c>
      <c r="E8111" s="10" t="str">
        <f t="array" ref="E8111">IFS(D8111&lt;=$G$3,'calculated data '!$A$3,D8111&lt;=$G$4,'calculated data '!$A$4,D8111&lt;=$G$6,'calculated data '!$A$5,D8111&gt;=$G$6,'calculated data '!$A$6)</f>
        <v>Target Market (Core IQR)</v>
      </c>
      <c r="F8111" s="10">
        <f t="shared" si="1"/>
        <v>0.1636799111</v>
      </c>
    </row>
    <row r="8112" ht="14.25" customHeight="1">
      <c r="A8112" s="2" t="s">
        <v>353</v>
      </c>
      <c r="B8112" s="2" t="s">
        <v>354</v>
      </c>
      <c r="C8112" s="2">
        <v>2006.0</v>
      </c>
      <c r="D8112" s="9">
        <v>31246.787</v>
      </c>
      <c r="E8112" s="10" t="str">
        <f t="array" ref="E8112">IFS(D8112&lt;=$G$3,'calculated data '!$A$3,D8112&lt;=$G$4,'calculated data '!$A$4,D8112&lt;=$G$6,'calculated data '!$A$5,D8112&gt;=$G$6,'calculated data '!$A$6)</f>
        <v>Target Market (Core IQR)</v>
      </c>
      <c r="F8112" s="10">
        <f t="shared" si="1"/>
        <v>0.1639231946</v>
      </c>
    </row>
    <row r="8113" ht="14.25" customHeight="1">
      <c r="A8113" s="2" t="s">
        <v>371</v>
      </c>
      <c r="B8113" s="2" t="s">
        <v>372</v>
      </c>
      <c r="C8113" s="2">
        <v>1989.0</v>
      </c>
      <c r="D8113" s="9">
        <v>31255.84</v>
      </c>
      <c r="E8113" s="10" t="str">
        <f t="array" ref="E8113">IFS(D8113&lt;=$G$3,'calculated data '!$A$3,D8113&lt;=$G$4,'calculated data '!$A$4,D8113&lt;=$G$6,'calculated data '!$A$5,D8113&gt;=$G$6,'calculated data '!$A$6)</f>
        <v>Target Market (Core IQR)</v>
      </c>
      <c r="F8113" s="10">
        <f t="shared" si="1"/>
        <v>0.1641628252</v>
      </c>
    </row>
    <row r="8114" ht="14.25" customHeight="1">
      <c r="A8114" s="2" t="s">
        <v>431</v>
      </c>
      <c r="B8114" s="2" t="s">
        <v>432</v>
      </c>
      <c r="C8114" s="2">
        <v>1992.0</v>
      </c>
      <c r="D8114" s="9">
        <v>31258.516</v>
      </c>
      <c r="E8114" s="10" t="str">
        <f t="array" ref="E8114">IFS(D8114&lt;=$G$3,'calculated data '!$A$3,D8114&lt;=$G$4,'calculated data '!$A$4,D8114&lt;=$G$6,'calculated data '!$A$5,D8114&gt;=$G$6,'calculated data '!$A$6)</f>
        <v>Target Market (Core IQR)</v>
      </c>
      <c r="F8114" s="10">
        <f t="shared" si="1"/>
        <v>0.1642336583</v>
      </c>
    </row>
    <row r="8115" ht="14.25" customHeight="1">
      <c r="A8115" s="2" t="s">
        <v>409</v>
      </c>
      <c r="B8115" s="2" t="s">
        <v>410</v>
      </c>
      <c r="C8115" s="2">
        <v>2020.0</v>
      </c>
      <c r="D8115" s="9">
        <v>31262.725</v>
      </c>
      <c r="E8115" s="10" t="str">
        <f t="array" ref="E8115">IFS(D8115&lt;=$G$3,'calculated data '!$A$3,D8115&lt;=$G$4,'calculated data '!$A$4,D8115&lt;=$G$6,'calculated data '!$A$5,D8115&gt;=$G$6,'calculated data '!$A$6)</f>
        <v>Target Market (Core IQR)</v>
      </c>
      <c r="F8115" s="10">
        <f t="shared" si="1"/>
        <v>0.1643450694</v>
      </c>
    </row>
    <row r="8116" ht="14.25" customHeight="1">
      <c r="A8116" s="2" t="s">
        <v>427</v>
      </c>
      <c r="B8116" s="2" t="s">
        <v>428</v>
      </c>
      <c r="C8116" s="2">
        <v>1994.0</v>
      </c>
      <c r="D8116" s="9">
        <v>31264.205</v>
      </c>
      <c r="E8116" s="10" t="str">
        <f t="array" ref="E8116">IFS(D8116&lt;=$G$3,'calculated data '!$A$3,D8116&lt;=$G$4,'calculated data '!$A$4,D8116&lt;=$G$6,'calculated data '!$A$5,D8116&gt;=$G$6,'calculated data '!$A$6)</f>
        <v>Target Market (Core IQR)</v>
      </c>
      <c r="F8116" s="10">
        <f t="shared" si="1"/>
        <v>0.1643842447</v>
      </c>
    </row>
    <row r="8117" ht="14.25" customHeight="1">
      <c r="A8117" s="2" t="s">
        <v>359</v>
      </c>
      <c r="B8117" s="2" t="s">
        <v>360</v>
      </c>
      <c r="C8117" s="2">
        <v>1986.0</v>
      </c>
      <c r="D8117" s="9">
        <v>31265.092</v>
      </c>
      <c r="E8117" s="10" t="str">
        <f t="array" ref="E8117">IFS(D8117&lt;=$G$3,'calculated data '!$A$3,D8117&lt;=$G$4,'calculated data '!$A$4,D8117&lt;=$G$6,'calculated data '!$A$5,D8117&gt;=$G$6,'calculated data '!$A$6)</f>
        <v>Target Market (Core IQR)</v>
      </c>
      <c r="F8117" s="10">
        <f t="shared" si="1"/>
        <v>0.1644077233</v>
      </c>
    </row>
    <row r="8118" ht="14.25" customHeight="1">
      <c r="A8118" s="2" t="s">
        <v>449</v>
      </c>
      <c r="B8118" s="2" t="s">
        <v>450</v>
      </c>
      <c r="C8118" s="2">
        <v>1999.0</v>
      </c>
      <c r="D8118" s="9">
        <v>31279.45</v>
      </c>
      <c r="E8118" s="10" t="str">
        <f t="array" ref="E8118">IFS(D8118&lt;=$G$3,'calculated data '!$A$3,D8118&lt;=$G$4,'calculated data '!$A$4,D8118&lt;=$G$6,'calculated data '!$A$5,D8118&gt;=$G$6,'calculated data '!$A$6)</f>
        <v>Target Market (Core IQR)</v>
      </c>
      <c r="F8118" s="10">
        <f t="shared" si="1"/>
        <v>0.164787776</v>
      </c>
    </row>
    <row r="8119" ht="14.25" customHeight="1">
      <c r="A8119" s="2" t="s">
        <v>421</v>
      </c>
      <c r="B8119" s="2" t="s">
        <v>422</v>
      </c>
      <c r="C8119" s="2">
        <v>2018.0</v>
      </c>
      <c r="D8119" s="9">
        <v>31281.102</v>
      </c>
      <c r="E8119" s="10" t="str">
        <f t="array" ref="E8119">IFS(D8119&lt;=$G$3,'calculated data '!$A$3,D8119&lt;=$G$4,'calculated data '!$A$4,D8119&lt;=$G$6,'calculated data '!$A$5,D8119&gt;=$G$6,'calculated data '!$A$6)</f>
        <v>Target Market (Core IQR)</v>
      </c>
      <c r="F8119" s="10">
        <f t="shared" si="1"/>
        <v>0.1648315041</v>
      </c>
    </row>
    <row r="8120" ht="14.25" customHeight="1">
      <c r="A8120" s="2" t="s">
        <v>359</v>
      </c>
      <c r="B8120" s="2" t="s">
        <v>360</v>
      </c>
      <c r="C8120" s="2">
        <v>1983.0</v>
      </c>
      <c r="D8120" s="9">
        <v>31281.57</v>
      </c>
      <c r="E8120" s="10" t="str">
        <f t="array" ref="E8120">IFS(D8120&lt;=$G$3,'calculated data '!$A$3,D8120&lt;=$G$4,'calculated data '!$A$4,D8120&lt;=$G$6,'calculated data '!$A$5,D8120&gt;=$G$6,'calculated data '!$A$6)</f>
        <v>Target Market (Core IQR)</v>
      </c>
      <c r="F8120" s="10">
        <f t="shared" si="1"/>
        <v>0.1648438919</v>
      </c>
    </row>
    <row r="8121" ht="14.25" customHeight="1">
      <c r="A8121" s="2" t="s">
        <v>393</v>
      </c>
      <c r="B8121" s="2" t="s">
        <v>394</v>
      </c>
      <c r="C8121" s="2">
        <v>2008.0</v>
      </c>
      <c r="D8121" s="9">
        <v>31312.592</v>
      </c>
      <c r="E8121" s="10" t="str">
        <f t="array" ref="E8121">IFS(D8121&lt;=$G$3,'calculated data '!$A$3,D8121&lt;=$G$4,'calculated data '!$A$4,D8121&lt;=$G$6,'calculated data '!$A$5,D8121&gt;=$G$6,'calculated data '!$A$6)</f>
        <v>Target Market (Core IQR)</v>
      </c>
      <c r="F8121" s="10">
        <f t="shared" si="1"/>
        <v>0.1656650365</v>
      </c>
    </row>
    <row r="8122" ht="14.25" customHeight="1">
      <c r="A8122" s="2" t="s">
        <v>419</v>
      </c>
      <c r="B8122" s="2" t="s">
        <v>420</v>
      </c>
      <c r="C8122" s="2">
        <v>2008.0</v>
      </c>
      <c r="D8122" s="9">
        <v>31328.078</v>
      </c>
      <c r="E8122" s="10" t="str">
        <f t="array" ref="E8122">IFS(D8122&lt;=$G$3,'calculated data '!$A$3,D8122&lt;=$G$4,'calculated data '!$A$4,D8122&lt;=$G$6,'calculated data '!$A$5,D8122&gt;=$G$6,'calculated data '!$A$6)</f>
        <v>Target Market (Core IQR)</v>
      </c>
      <c r="F8122" s="10">
        <f t="shared" si="1"/>
        <v>0.1660749471</v>
      </c>
    </row>
    <row r="8123" ht="14.25" customHeight="1">
      <c r="A8123" s="2" t="s">
        <v>393</v>
      </c>
      <c r="B8123" s="2" t="s">
        <v>394</v>
      </c>
      <c r="C8123" s="2">
        <v>2007.0</v>
      </c>
      <c r="D8123" s="9">
        <v>31329.229</v>
      </c>
      <c r="E8123" s="10" t="str">
        <f t="array" ref="E8123">IFS(D8123&lt;=$G$3,'calculated data '!$A$3,D8123&lt;=$G$4,'calculated data '!$A$4,D8123&lt;=$G$6,'calculated data '!$A$5,D8123&gt;=$G$6,'calculated data '!$A$6)</f>
        <v>Target Market (Core IQR)</v>
      </c>
      <c r="F8123" s="10">
        <f t="shared" si="1"/>
        <v>0.1661054138</v>
      </c>
    </row>
    <row r="8124" ht="14.25" customHeight="1">
      <c r="A8124" s="2" t="s">
        <v>367</v>
      </c>
      <c r="B8124" s="2" t="s">
        <v>368</v>
      </c>
      <c r="C8124" s="2">
        <v>1999.0</v>
      </c>
      <c r="D8124" s="9">
        <v>31343.547</v>
      </c>
      <c r="E8124" s="10" t="str">
        <f t="array" ref="E8124">IFS(D8124&lt;=$G$3,'calculated data '!$A$3,D8124&lt;=$G$4,'calculated data '!$A$4,D8124&lt;=$G$6,'calculated data '!$A$5,D8124&gt;=$G$6,'calculated data '!$A$6)</f>
        <v>Target Market (Core IQR)</v>
      </c>
      <c r="F8124" s="10">
        <f t="shared" si="1"/>
        <v>0.1664844077</v>
      </c>
    </row>
    <row r="8125" ht="14.25" customHeight="1">
      <c r="A8125" s="2" t="s">
        <v>371</v>
      </c>
      <c r="B8125" s="2" t="s">
        <v>372</v>
      </c>
      <c r="C8125" s="2">
        <v>1990.0</v>
      </c>
      <c r="D8125" s="9">
        <v>31359.31</v>
      </c>
      <c r="E8125" s="10" t="str">
        <f t="array" ref="E8125">IFS(D8125&lt;=$G$3,'calculated data '!$A$3,D8125&lt;=$G$4,'calculated data '!$A$4,D8125&lt;=$G$6,'calculated data '!$A$5,D8125&gt;=$G$6,'calculated data '!$A$6)</f>
        <v>Target Market (Core IQR)</v>
      </c>
      <c r="F8125" s="10">
        <f t="shared" si="1"/>
        <v>0.1669016503</v>
      </c>
    </row>
    <row r="8126" ht="14.25" customHeight="1">
      <c r="A8126" s="2" t="s">
        <v>409</v>
      </c>
      <c r="B8126" s="2" t="s">
        <v>410</v>
      </c>
      <c r="C8126" s="2">
        <v>1989.0</v>
      </c>
      <c r="D8126" s="9">
        <v>31359.924</v>
      </c>
      <c r="E8126" s="10" t="str">
        <f t="array" ref="E8126">IFS(D8126&lt;=$G$3,'calculated data '!$A$3,D8126&lt;=$G$4,'calculated data '!$A$4,D8126&lt;=$G$6,'calculated data '!$A$5,D8126&gt;=$G$6,'calculated data '!$A$6)</f>
        <v>Target Market (Core IQR)</v>
      </c>
      <c r="F8126" s="10">
        <f t="shared" si="1"/>
        <v>0.1669179028</v>
      </c>
    </row>
    <row r="8127" ht="14.25" customHeight="1">
      <c r="A8127" s="2" t="s">
        <v>401</v>
      </c>
      <c r="B8127" s="2" t="s">
        <v>402</v>
      </c>
      <c r="C8127" s="2">
        <v>1974.0</v>
      </c>
      <c r="D8127" s="9">
        <v>31391.916</v>
      </c>
      <c r="E8127" s="10" t="str">
        <f t="array" ref="E8127">IFS(D8127&lt;=$G$3,'calculated data '!$A$3,D8127&lt;=$G$4,'calculated data '!$A$4,D8127&lt;=$G$6,'calculated data '!$A$5,D8127&gt;=$G$6,'calculated data '!$A$6)</f>
        <v>Target Market (Core IQR)</v>
      </c>
      <c r="F8127" s="10">
        <f t="shared" si="1"/>
        <v>0.167764723</v>
      </c>
    </row>
    <row r="8128" ht="14.25" customHeight="1">
      <c r="A8128" s="2" t="s">
        <v>309</v>
      </c>
      <c r="B8128" s="2" t="s">
        <v>310</v>
      </c>
      <c r="C8128" s="2">
        <v>1993.0</v>
      </c>
      <c r="D8128" s="9">
        <v>31427.719</v>
      </c>
      <c r="E8128" s="10" t="str">
        <f t="array" ref="E8128">IFS(D8128&lt;=$G$3,'calculated data '!$A$3,D8128&lt;=$G$4,'calculated data '!$A$4,D8128&lt;=$G$6,'calculated data '!$A$5,D8128&gt;=$G$6,'calculated data '!$A$6)</f>
        <v>Target Market (Core IQR)</v>
      </c>
      <c r="F8128" s="10">
        <f t="shared" si="1"/>
        <v>0.1687124195</v>
      </c>
    </row>
    <row r="8129" ht="14.25" customHeight="1">
      <c r="A8129" s="2" t="s">
        <v>419</v>
      </c>
      <c r="B8129" s="2" t="s">
        <v>420</v>
      </c>
      <c r="C8129" s="2">
        <v>2006.0</v>
      </c>
      <c r="D8129" s="9">
        <v>31436.703</v>
      </c>
      <c r="E8129" s="10" t="str">
        <f t="array" ref="E8129">IFS(D8129&lt;=$G$3,'calculated data '!$A$3,D8129&lt;=$G$4,'calculated data '!$A$4,D8129&lt;=$G$6,'calculated data '!$A$5,D8129&gt;=$G$6,'calculated data '!$A$6)</f>
        <v>Target Market (Core IQR)</v>
      </c>
      <c r="F8129" s="10">
        <f t="shared" si="1"/>
        <v>0.1689502238</v>
      </c>
    </row>
    <row r="8130" ht="14.25" customHeight="1">
      <c r="A8130" s="2" t="s">
        <v>359</v>
      </c>
      <c r="B8130" s="2" t="s">
        <v>360</v>
      </c>
      <c r="C8130" s="2">
        <v>1982.0</v>
      </c>
      <c r="D8130" s="9">
        <v>31467.842</v>
      </c>
      <c r="E8130" s="10" t="str">
        <f t="array" ref="E8130">IFS(D8130&lt;=$G$3,'calculated data '!$A$3,D8130&lt;=$G$4,'calculated data '!$A$4,D8130&lt;=$G$6,'calculated data '!$A$5,D8130&gt;=$G$6,'calculated data '!$A$6)</f>
        <v>Target Market (Core IQR)</v>
      </c>
      <c r="F8130" s="10">
        <f t="shared" si="1"/>
        <v>0.1697744654</v>
      </c>
    </row>
    <row r="8131" ht="14.25" customHeight="1">
      <c r="A8131" s="2" t="s">
        <v>379</v>
      </c>
      <c r="B8131" s="2" t="s">
        <v>380</v>
      </c>
      <c r="C8131" s="2">
        <v>2023.0</v>
      </c>
      <c r="D8131" s="9">
        <v>31485.44</v>
      </c>
      <c r="E8131" s="10" t="str">
        <f t="array" ref="E8131">IFS(D8131&lt;=$G$3,'calculated data '!$A$3,D8131&lt;=$G$4,'calculated data '!$A$4,D8131&lt;=$G$6,'calculated data '!$A$5,D8131&gt;=$G$6,'calculated data '!$A$6)</f>
        <v>Target Market (Core IQR)</v>
      </c>
      <c r="F8131" s="10">
        <f t="shared" si="1"/>
        <v>0.17024028</v>
      </c>
    </row>
    <row r="8132" ht="14.25" customHeight="1">
      <c r="A8132" s="2" t="s">
        <v>249</v>
      </c>
      <c r="B8132" s="2" t="s">
        <v>250</v>
      </c>
      <c r="C8132" s="2">
        <v>2006.0</v>
      </c>
      <c r="D8132" s="9">
        <v>31496.188</v>
      </c>
      <c r="E8132" s="10" t="str">
        <f t="array" ref="E8132">IFS(D8132&lt;=$G$3,'calculated data '!$A$3,D8132&lt;=$G$4,'calculated data '!$A$4,D8132&lt;=$G$6,'calculated data '!$A$5,D8132&gt;=$G$6,'calculated data '!$A$6)</f>
        <v>Target Market (Core IQR)</v>
      </c>
      <c r="F8132" s="10">
        <f t="shared" si="1"/>
        <v>0.1705247769</v>
      </c>
    </row>
    <row r="8133" ht="14.25" customHeight="1">
      <c r="A8133" s="2" t="s">
        <v>435</v>
      </c>
      <c r="B8133" s="2" t="s">
        <v>436</v>
      </c>
      <c r="C8133" s="2">
        <v>2011.0</v>
      </c>
      <c r="D8133" s="9">
        <v>31497.744</v>
      </c>
      <c r="E8133" s="10" t="str">
        <f t="array" ref="E8133">IFS(D8133&lt;=$G$3,'calculated data '!$A$3,D8133&lt;=$G$4,'calculated data '!$A$4,D8133&lt;=$G$6,'calculated data '!$A$5,D8133&gt;=$G$6,'calculated data '!$A$6)</f>
        <v>Target Market (Core IQR)</v>
      </c>
      <c r="F8133" s="10">
        <f t="shared" si="1"/>
        <v>0.1705659638</v>
      </c>
    </row>
    <row r="8134" ht="14.25" customHeight="1">
      <c r="A8134" s="2" t="s">
        <v>319</v>
      </c>
      <c r="B8134" s="2" t="s">
        <v>320</v>
      </c>
      <c r="C8134" s="2">
        <v>2009.0</v>
      </c>
      <c r="D8134" s="9">
        <v>31510.936</v>
      </c>
      <c r="E8134" s="10" t="str">
        <f t="array" ref="E8134">IFS(D8134&lt;=$G$3,'calculated data '!$A$3,D8134&lt;=$G$4,'calculated data '!$A$4,D8134&lt;=$G$6,'calculated data '!$A$5,D8134&gt;=$G$6,'calculated data '!$A$6)</f>
        <v>Target Market (Core IQR)</v>
      </c>
      <c r="F8134" s="10">
        <f t="shared" si="1"/>
        <v>0.1709151528</v>
      </c>
    </row>
    <row r="8135" ht="14.25" customHeight="1">
      <c r="A8135" s="2" t="s">
        <v>257</v>
      </c>
      <c r="B8135" s="2" t="s">
        <v>258</v>
      </c>
      <c r="C8135" s="2">
        <v>2010.0</v>
      </c>
      <c r="D8135" s="9">
        <v>31514.592</v>
      </c>
      <c r="E8135" s="10" t="str">
        <f t="array" ref="E8135">IFS(D8135&lt;=$G$3,'calculated data '!$A$3,D8135&lt;=$G$4,'calculated data '!$A$4,D8135&lt;=$G$6,'calculated data '!$A$5,D8135&gt;=$G$6,'calculated data '!$A$6)</f>
        <v>Target Market (Core IQR)</v>
      </c>
      <c r="F8135" s="10">
        <f t="shared" si="1"/>
        <v>0.1710119262</v>
      </c>
    </row>
    <row r="8136" ht="14.25" customHeight="1">
      <c r="A8136" s="2" t="s">
        <v>435</v>
      </c>
      <c r="B8136" s="2" t="s">
        <v>436</v>
      </c>
      <c r="C8136" s="2">
        <v>1992.0</v>
      </c>
      <c r="D8136" s="9">
        <v>31525.203</v>
      </c>
      <c r="E8136" s="10" t="str">
        <f t="array" ref="E8136">IFS(D8136&lt;=$G$3,'calculated data '!$A$3,D8136&lt;=$G$4,'calculated data '!$A$4,D8136&lt;=$G$6,'calculated data '!$A$5,D8136&gt;=$G$6,'calculated data '!$A$6)</f>
        <v>Target Market (Core IQR)</v>
      </c>
      <c r="F8136" s="10">
        <f t="shared" si="1"/>
        <v>0.1712927967</v>
      </c>
    </row>
    <row r="8137" ht="14.25" customHeight="1">
      <c r="A8137" s="2" t="s">
        <v>367</v>
      </c>
      <c r="B8137" s="2" t="s">
        <v>368</v>
      </c>
      <c r="C8137" s="2">
        <v>1998.0</v>
      </c>
      <c r="D8137" s="9">
        <v>31527.607</v>
      </c>
      <c r="E8137" s="10" t="str">
        <f t="array" ref="E8137">IFS(D8137&lt;=$G$3,'calculated data '!$A$3,D8137&lt;=$G$4,'calculated data '!$A$4,D8137&lt;=$G$6,'calculated data '!$A$5,D8137&gt;=$G$6,'calculated data '!$A$6)</f>
        <v>Target Market (Core IQR)</v>
      </c>
      <c r="F8137" s="10">
        <f t="shared" si="1"/>
        <v>0.17135643</v>
      </c>
    </row>
    <row r="8138" ht="14.25" customHeight="1">
      <c r="A8138" s="2" t="s">
        <v>353</v>
      </c>
      <c r="B8138" s="2" t="s">
        <v>354</v>
      </c>
      <c r="C8138" s="2">
        <v>1976.0</v>
      </c>
      <c r="D8138" s="9">
        <v>31529.977</v>
      </c>
      <c r="E8138" s="10" t="str">
        <f t="array" ref="E8138">IFS(D8138&lt;=$G$3,'calculated data '!$A$3,D8138&lt;=$G$4,'calculated data '!$A$4,D8138&lt;=$G$6,'calculated data '!$A$5,D8138&gt;=$G$6,'calculated data '!$A$6)</f>
        <v>Target Market (Core IQR)</v>
      </c>
      <c r="F8138" s="10">
        <f t="shared" si="1"/>
        <v>0.1714191633</v>
      </c>
    </row>
    <row r="8139" ht="14.25" customHeight="1">
      <c r="A8139" s="2" t="s">
        <v>433</v>
      </c>
      <c r="B8139" s="2" t="s">
        <v>434</v>
      </c>
      <c r="C8139" s="2">
        <v>1969.0</v>
      </c>
      <c r="D8139" s="9">
        <v>31547.396</v>
      </c>
      <c r="E8139" s="10" t="str">
        <f t="array" ref="E8139">IFS(D8139&lt;=$G$3,'calculated data '!$A$3,D8139&lt;=$G$4,'calculated data '!$A$4,D8139&lt;=$G$6,'calculated data '!$A$5,D8139&gt;=$G$6,'calculated data '!$A$6)</f>
        <v>Target Market (Core IQR)</v>
      </c>
      <c r="F8139" s="10">
        <f t="shared" si="1"/>
        <v>0.1718802399</v>
      </c>
    </row>
    <row r="8140" ht="14.25" customHeight="1">
      <c r="A8140" s="2" t="s">
        <v>359</v>
      </c>
      <c r="B8140" s="2" t="s">
        <v>360</v>
      </c>
      <c r="C8140" s="2">
        <v>1978.0</v>
      </c>
      <c r="D8140" s="9">
        <v>31552.059</v>
      </c>
      <c r="E8140" s="10" t="str">
        <f t="array" ref="E8140">IFS(D8140&lt;=$G$3,'calculated data '!$A$3,D8140&lt;=$G$4,'calculated data '!$A$4,D8140&lt;=$G$6,'calculated data '!$A$5,D8140&gt;=$G$6,'calculated data '!$A$6)</f>
        <v>Target Market (Core IQR)</v>
      </c>
      <c r="F8140" s="10">
        <f t="shared" si="1"/>
        <v>0.1720036684</v>
      </c>
    </row>
    <row r="8141" ht="14.25" customHeight="1">
      <c r="A8141" s="2" t="s">
        <v>393</v>
      </c>
      <c r="B8141" s="2" t="s">
        <v>394</v>
      </c>
      <c r="C8141" s="2">
        <v>2004.0</v>
      </c>
      <c r="D8141" s="9">
        <v>31561.943</v>
      </c>
      <c r="E8141" s="10" t="str">
        <f t="array" ref="E8141">IFS(D8141&lt;=$G$3,'calculated data '!$A$3,D8141&lt;=$G$4,'calculated data '!$A$4,D8141&lt;=$G$6,'calculated data '!$A$5,D8141&gt;=$G$6,'calculated data '!$A$6)</f>
        <v>Target Market (Core IQR)</v>
      </c>
      <c r="F8141" s="10">
        <f t="shared" si="1"/>
        <v>0.1722652954</v>
      </c>
    </row>
    <row r="8142" ht="14.25" customHeight="1">
      <c r="A8142" s="2" t="s">
        <v>411</v>
      </c>
      <c r="B8142" s="2" t="s">
        <v>412</v>
      </c>
      <c r="C8142" s="2">
        <v>2017.0</v>
      </c>
      <c r="D8142" s="9">
        <v>31562.688</v>
      </c>
      <c r="E8142" s="10" t="str">
        <f t="array" ref="E8142">IFS(D8142&lt;=$G$3,'calculated data '!$A$3,D8142&lt;=$G$4,'calculated data '!$A$4,D8142&lt;=$G$6,'calculated data '!$A$5,D8142&gt;=$G$6,'calculated data '!$A$6)</f>
        <v>Target Market (Core IQR)</v>
      </c>
      <c r="F8142" s="10">
        <f t="shared" si="1"/>
        <v>0.1722850153</v>
      </c>
    </row>
    <row r="8143" ht="14.25" customHeight="1">
      <c r="A8143" s="2" t="s">
        <v>351</v>
      </c>
      <c r="B8143" s="2" t="s">
        <v>352</v>
      </c>
      <c r="C8143" s="2">
        <v>1987.0</v>
      </c>
      <c r="D8143" s="9">
        <v>31563.164</v>
      </c>
      <c r="E8143" s="10" t="str">
        <f t="array" ref="E8143">IFS(D8143&lt;=$G$3,'calculated data '!$A$3,D8143&lt;=$G$4,'calculated data '!$A$4,D8143&lt;=$G$6,'calculated data '!$A$5,D8143&gt;=$G$6,'calculated data '!$A$6)</f>
        <v>Target Market (Core IQR)</v>
      </c>
      <c r="F8143" s="10">
        <f t="shared" si="1"/>
        <v>0.1722976149</v>
      </c>
    </row>
    <row r="8144" ht="14.25" customHeight="1">
      <c r="A8144" s="2" t="s">
        <v>319</v>
      </c>
      <c r="B8144" s="2" t="s">
        <v>320</v>
      </c>
      <c r="C8144" s="2">
        <v>2001.0</v>
      </c>
      <c r="D8144" s="9">
        <v>31565.08</v>
      </c>
      <c r="E8144" s="10" t="str">
        <f t="array" ref="E8144">IFS(D8144&lt;=$G$3,'calculated data '!$A$3,D8144&lt;=$G$4,'calculated data '!$A$4,D8144&lt;=$G$6,'calculated data '!$A$5,D8144&gt;=$G$6,'calculated data '!$A$6)</f>
        <v>Target Market (Core IQR)</v>
      </c>
      <c r="F8144" s="10">
        <f t="shared" si="1"/>
        <v>0.172348331</v>
      </c>
    </row>
    <row r="8145" ht="14.25" customHeight="1">
      <c r="A8145" s="2" t="s">
        <v>367</v>
      </c>
      <c r="B8145" s="2" t="s">
        <v>368</v>
      </c>
      <c r="C8145" s="2">
        <v>2012.0</v>
      </c>
      <c r="D8145" s="9">
        <v>31586.428</v>
      </c>
      <c r="E8145" s="10" t="str">
        <f t="array" ref="E8145">IFS(D8145&lt;=$G$3,'calculated data '!$A$3,D8145&lt;=$G$4,'calculated data '!$A$4,D8145&lt;=$G$6,'calculated data '!$A$5,D8145&gt;=$G$6,'calculated data '!$A$6)</f>
        <v>Target Market (Core IQR)</v>
      </c>
      <c r="F8145" s="10">
        <f t="shared" si="1"/>
        <v>0.1729134072</v>
      </c>
    </row>
    <row r="8146" ht="14.25" customHeight="1">
      <c r="A8146" s="2" t="s">
        <v>417</v>
      </c>
      <c r="B8146" s="2" t="s">
        <v>418</v>
      </c>
      <c r="C8146" s="2">
        <v>1970.0</v>
      </c>
      <c r="D8146" s="9">
        <v>31587.357</v>
      </c>
      <c r="E8146" s="10" t="str">
        <f t="array" ref="E8146">IFS(D8146&lt;=$G$3,'calculated data '!$A$3,D8146&lt;=$G$4,'calculated data '!$A$4,D8146&lt;=$G$6,'calculated data '!$A$5,D8146&gt;=$G$6,'calculated data '!$A$6)</f>
        <v>Target Market (Core IQR)</v>
      </c>
      <c r="F8146" s="10">
        <f t="shared" si="1"/>
        <v>0.1729379976</v>
      </c>
    </row>
    <row r="8147" ht="14.25" customHeight="1">
      <c r="A8147" s="2" t="s">
        <v>337</v>
      </c>
      <c r="B8147" s="2" t="s">
        <v>338</v>
      </c>
      <c r="C8147" s="2">
        <v>2024.0</v>
      </c>
      <c r="D8147" s="9">
        <v>31604.953</v>
      </c>
      <c r="E8147" s="10" t="str">
        <f t="array" ref="E8147">IFS(D8147&lt;=$G$3,'calculated data '!$A$3,D8147&lt;=$G$4,'calculated data '!$A$4,D8147&lt;=$G$6,'calculated data '!$A$5,D8147&gt;=$G$6,'calculated data '!$A$6)</f>
        <v>Target Market (Core IQR)</v>
      </c>
      <c r="F8147" s="10">
        <f t="shared" si="1"/>
        <v>0.1734037594</v>
      </c>
    </row>
    <row r="8148" ht="14.25" customHeight="1">
      <c r="A8148" s="2" t="s">
        <v>379</v>
      </c>
      <c r="B8148" s="2" t="s">
        <v>380</v>
      </c>
      <c r="C8148" s="2">
        <v>2020.0</v>
      </c>
      <c r="D8148" s="9">
        <v>31612.973</v>
      </c>
      <c r="E8148" s="10" t="str">
        <f t="array" ref="E8148">IFS(D8148&lt;=$G$3,'calculated data '!$A$3,D8148&lt;=$G$4,'calculated data '!$A$4,D8148&lt;=$G$6,'calculated data '!$A$5,D8148&gt;=$G$6,'calculated data '!$A$6)</f>
        <v>Target Market (Core IQR)</v>
      </c>
      <c r="F8148" s="10">
        <f t="shared" si="1"/>
        <v>0.1736160468</v>
      </c>
    </row>
    <row r="8149" ht="14.25" customHeight="1">
      <c r="A8149" s="2" t="s">
        <v>371</v>
      </c>
      <c r="B8149" s="2" t="s">
        <v>372</v>
      </c>
      <c r="C8149" s="2">
        <v>1993.0</v>
      </c>
      <c r="D8149" s="9">
        <v>31633.22</v>
      </c>
      <c r="E8149" s="10" t="str">
        <f t="array" ref="E8149">IFS(D8149&lt;=$G$3,'calculated data '!$A$3,D8149&lt;=$G$4,'calculated data '!$A$4,D8149&lt;=$G$6,'calculated data '!$A$5,D8149&gt;=$G$6,'calculated data '!$A$6)</f>
        <v>Target Market (Core IQR)</v>
      </c>
      <c r="F8149" s="10">
        <f t="shared" si="1"/>
        <v>0.1741519798</v>
      </c>
    </row>
    <row r="8150" ht="14.25" customHeight="1">
      <c r="A8150" s="2" t="s">
        <v>353</v>
      </c>
      <c r="B8150" s="2" t="s">
        <v>354</v>
      </c>
      <c r="C8150" s="2">
        <v>2021.0</v>
      </c>
      <c r="D8150" s="9">
        <v>31633.506</v>
      </c>
      <c r="E8150" s="10" t="str">
        <f t="array" ref="E8150">IFS(D8150&lt;=$G$3,'calculated data '!$A$3,D8150&lt;=$G$4,'calculated data '!$A$4,D8150&lt;=$G$6,'calculated data '!$A$5,D8150&gt;=$G$6,'calculated data '!$A$6)</f>
        <v>Target Market (Core IQR)</v>
      </c>
      <c r="F8150" s="10">
        <f t="shared" si="1"/>
        <v>0.1741595502</v>
      </c>
    </row>
    <row r="8151" ht="14.25" customHeight="1">
      <c r="A8151" s="2" t="s">
        <v>249</v>
      </c>
      <c r="B8151" s="2" t="s">
        <v>250</v>
      </c>
      <c r="C8151" s="2">
        <v>2009.0</v>
      </c>
      <c r="D8151" s="9">
        <v>31661.45</v>
      </c>
      <c r="E8151" s="10" t="str">
        <f t="array" ref="E8151">IFS(D8151&lt;=$G$3,'calculated data '!$A$3,D8151&lt;=$G$4,'calculated data '!$A$4,D8151&lt;=$G$6,'calculated data '!$A$5,D8151&gt;=$G$6,'calculated data '!$A$6)</f>
        <v>Target Market (Core IQR)</v>
      </c>
      <c r="F8151" s="10">
        <f t="shared" si="1"/>
        <v>0.1748992209</v>
      </c>
    </row>
    <row r="8152" ht="14.25" customHeight="1">
      <c r="A8152" s="2" t="s">
        <v>379</v>
      </c>
      <c r="B8152" s="2" t="s">
        <v>380</v>
      </c>
      <c r="C8152" s="2">
        <v>2021.0</v>
      </c>
      <c r="D8152" s="9">
        <v>31675.225</v>
      </c>
      <c r="E8152" s="10" t="str">
        <f t="array" ref="E8152">IFS(D8152&lt;=$G$3,'calculated data '!$A$3,D8152&lt;=$G$4,'calculated data '!$A$4,D8152&lt;=$G$6,'calculated data '!$A$5,D8152&gt;=$G$6,'calculated data '!$A$6)</f>
        <v>Target Market (Core IQR)</v>
      </c>
      <c r="F8152" s="10">
        <f t="shared" si="1"/>
        <v>0.1752638417</v>
      </c>
    </row>
    <row r="8153" ht="14.25" customHeight="1">
      <c r="A8153" s="2" t="s">
        <v>375</v>
      </c>
      <c r="B8153" s="2" t="s">
        <v>376</v>
      </c>
      <c r="C8153" s="2">
        <v>1986.0</v>
      </c>
      <c r="D8153" s="9">
        <v>31676.45</v>
      </c>
      <c r="E8153" s="10" t="str">
        <f t="array" ref="E8153">IFS(D8153&lt;=$G$3,'calculated data '!$A$3,D8153&lt;=$G$4,'calculated data '!$A$4,D8153&lt;=$G$6,'calculated data '!$A$5,D8153&gt;=$G$6,'calculated data '!$A$6)</f>
        <v>Target Market (Core IQR)</v>
      </c>
      <c r="F8153" s="10">
        <f t="shared" si="1"/>
        <v>0.1752962672</v>
      </c>
    </row>
    <row r="8154" ht="14.25" customHeight="1">
      <c r="A8154" s="2" t="s">
        <v>411</v>
      </c>
      <c r="B8154" s="2" t="s">
        <v>412</v>
      </c>
      <c r="C8154" s="2">
        <v>2016.0</v>
      </c>
      <c r="D8154" s="9">
        <v>31678.422</v>
      </c>
      <c r="E8154" s="10" t="str">
        <f t="array" ref="E8154">IFS(D8154&lt;=$G$3,'calculated data '!$A$3,D8154&lt;=$G$4,'calculated data '!$A$4,D8154&lt;=$G$6,'calculated data '!$A$5,D8154&gt;=$G$6,'calculated data '!$A$6)</f>
        <v>Target Market (Core IQR)</v>
      </c>
      <c r="F8154" s="10">
        <f t="shared" si="1"/>
        <v>0.1753484655</v>
      </c>
    </row>
    <row r="8155" ht="14.25" customHeight="1">
      <c r="A8155" s="2" t="s">
        <v>367</v>
      </c>
      <c r="B8155" s="2" t="s">
        <v>368</v>
      </c>
      <c r="C8155" s="2">
        <v>2001.0</v>
      </c>
      <c r="D8155" s="9">
        <v>31678.709</v>
      </c>
      <c r="E8155" s="10" t="str">
        <f t="array" ref="E8155">IFS(D8155&lt;=$G$3,'calculated data '!$A$3,D8155&lt;=$G$4,'calculated data '!$A$4,D8155&lt;=$G$6,'calculated data '!$A$5,D8155&gt;=$G$6,'calculated data '!$A$6)</f>
        <v>Target Market (Core IQR)</v>
      </c>
      <c r="F8155" s="10">
        <f t="shared" si="1"/>
        <v>0.1753560623</v>
      </c>
    </row>
    <row r="8156" ht="14.25" customHeight="1">
      <c r="A8156" s="2" t="s">
        <v>369</v>
      </c>
      <c r="B8156" s="2" t="s">
        <v>370</v>
      </c>
      <c r="C8156" s="2">
        <v>1971.0</v>
      </c>
      <c r="D8156" s="9">
        <v>31682.629</v>
      </c>
      <c r="E8156" s="10" t="str">
        <f t="array" ref="E8156">IFS(D8156&lt;=$G$3,'calculated data '!$A$3,D8156&lt;=$G$4,'calculated data '!$A$4,D8156&lt;=$G$6,'calculated data '!$A$5,D8156&gt;=$G$6,'calculated data '!$A$6)</f>
        <v>Target Market (Core IQR)</v>
      </c>
      <c r="F8156" s="10">
        <f t="shared" si="1"/>
        <v>0.1754598237</v>
      </c>
    </row>
    <row r="8157" ht="14.25" customHeight="1">
      <c r="A8157" s="2" t="s">
        <v>447</v>
      </c>
      <c r="B8157" s="2" t="s">
        <v>448</v>
      </c>
      <c r="C8157" s="2">
        <v>2023.0</v>
      </c>
      <c r="D8157" s="9">
        <v>31684.88</v>
      </c>
      <c r="E8157" s="10" t="str">
        <f t="array" ref="E8157">IFS(D8157&lt;=$G$3,'calculated data '!$A$3,D8157&lt;=$G$4,'calculated data '!$A$4,D8157&lt;=$G$6,'calculated data '!$A$5,D8157&gt;=$G$6,'calculated data '!$A$6)</f>
        <v>Target Market (Core IQR)</v>
      </c>
      <c r="F8157" s="10">
        <f t="shared" si="1"/>
        <v>0.1755194072</v>
      </c>
    </row>
    <row r="8158" ht="14.25" customHeight="1">
      <c r="A8158" s="2" t="s">
        <v>375</v>
      </c>
      <c r="B8158" s="2" t="s">
        <v>376</v>
      </c>
      <c r="C8158" s="2">
        <v>1985.0</v>
      </c>
      <c r="D8158" s="9">
        <v>31698.016</v>
      </c>
      <c r="E8158" s="10" t="str">
        <f t="array" ref="E8158">IFS(D8158&lt;=$G$3,'calculated data '!$A$3,D8158&lt;=$G$4,'calculated data '!$A$4,D8158&lt;=$G$6,'calculated data '!$A$5,D8158&gt;=$G$6,'calculated data '!$A$6)</f>
        <v>Target Market (Core IQR)</v>
      </c>
      <c r="F8158" s="10">
        <f t="shared" si="1"/>
        <v>0.1758671138</v>
      </c>
    </row>
    <row r="8159" ht="14.25" customHeight="1">
      <c r="A8159" s="2" t="s">
        <v>399</v>
      </c>
      <c r="B8159" s="2" t="s">
        <v>400</v>
      </c>
      <c r="C8159" s="2">
        <v>2015.0</v>
      </c>
      <c r="D8159" s="9">
        <v>31702.783</v>
      </c>
      <c r="E8159" s="10" t="str">
        <f t="array" ref="E8159">IFS(D8159&lt;=$G$3,'calculated data '!$A$3,D8159&lt;=$G$4,'calculated data '!$A$4,D8159&lt;=$G$6,'calculated data '!$A$5,D8159&gt;=$G$6,'calculated data '!$A$6)</f>
        <v>Target Market (Core IQR)</v>
      </c>
      <c r="F8159" s="10">
        <f t="shared" si="1"/>
        <v>0.1759932951</v>
      </c>
    </row>
    <row r="8160" ht="14.25" customHeight="1">
      <c r="A8160" s="2" t="s">
        <v>399</v>
      </c>
      <c r="B8160" s="2" t="s">
        <v>400</v>
      </c>
      <c r="C8160" s="2">
        <v>2016.0</v>
      </c>
      <c r="D8160" s="9">
        <v>31706.357</v>
      </c>
      <c r="E8160" s="10" t="str">
        <f t="array" ref="E8160">IFS(D8160&lt;=$G$3,'calculated data '!$A$3,D8160&lt;=$G$4,'calculated data '!$A$4,D8160&lt;=$G$6,'calculated data '!$A$5,D8160&gt;=$G$6,'calculated data '!$A$6)</f>
        <v>Target Market (Core IQR)</v>
      </c>
      <c r="F8160" s="10">
        <f t="shared" si="1"/>
        <v>0.176087898</v>
      </c>
    </row>
    <row r="8161" ht="14.25" customHeight="1">
      <c r="A8161" s="2" t="s">
        <v>387</v>
      </c>
      <c r="B8161" s="2" t="s">
        <v>388</v>
      </c>
      <c r="C8161" s="2">
        <v>2004.0</v>
      </c>
      <c r="D8161" s="9">
        <v>31710.818</v>
      </c>
      <c r="E8161" s="10" t="str">
        <f t="array" ref="E8161">IFS(D8161&lt;=$G$3,'calculated data '!$A$3,D8161&lt;=$G$4,'calculated data '!$A$4,D8161&lt;=$G$6,'calculated data '!$A$5,D8161&gt;=$G$6,'calculated data '!$A$6)</f>
        <v>Target Market (Core IQR)</v>
      </c>
      <c r="F8161" s="10">
        <f t="shared" si="1"/>
        <v>0.1762059796</v>
      </c>
    </row>
    <row r="8162" ht="14.25" customHeight="1">
      <c r="A8162" s="2" t="s">
        <v>431</v>
      </c>
      <c r="B8162" s="2" t="s">
        <v>432</v>
      </c>
      <c r="C8162" s="2">
        <v>1985.0</v>
      </c>
      <c r="D8162" s="9">
        <v>31720.879</v>
      </c>
      <c r="E8162" s="10" t="str">
        <f t="array" ref="E8162">IFS(D8162&lt;=$G$3,'calculated data '!$A$3,D8162&lt;=$G$4,'calculated data '!$A$4,D8162&lt;=$G$6,'calculated data '!$A$5,D8162&gt;=$G$6,'calculated data '!$A$6)</f>
        <v>Target Market (Core IQR)</v>
      </c>
      <c r="F8162" s="10">
        <f t="shared" si="1"/>
        <v>0.1764722917</v>
      </c>
    </row>
    <row r="8163" ht="14.25" customHeight="1">
      <c r="A8163" s="2" t="s">
        <v>335</v>
      </c>
      <c r="B8163" s="2" t="s">
        <v>336</v>
      </c>
      <c r="C8163" s="2">
        <v>2018.0</v>
      </c>
      <c r="D8163" s="9">
        <v>31721.201</v>
      </c>
      <c r="E8163" s="10" t="str">
        <f t="array" ref="E8163">IFS(D8163&lt;=$G$3,'calculated data '!$A$3,D8163&lt;=$G$4,'calculated data '!$A$4,D8163&lt;=$G$6,'calculated data '!$A$5,D8163&gt;=$G$6,'calculated data '!$A$6)</f>
        <v>Target Market (Core IQR)</v>
      </c>
      <c r="F8163" s="10">
        <f t="shared" si="1"/>
        <v>0.176480815</v>
      </c>
    </row>
    <row r="8164" ht="14.25" customHeight="1">
      <c r="A8164" s="2" t="s">
        <v>419</v>
      </c>
      <c r="B8164" s="2" t="s">
        <v>420</v>
      </c>
      <c r="C8164" s="2">
        <v>2011.0</v>
      </c>
      <c r="D8164" s="9">
        <v>31731.9</v>
      </c>
      <c r="E8164" s="10" t="str">
        <f t="array" ref="E8164">IFS(D8164&lt;=$G$3,'calculated data '!$A$3,D8164&lt;=$G$4,'calculated data '!$A$4,D8164&lt;=$G$6,'calculated data '!$A$5,D8164&gt;=$G$6,'calculated data '!$A$6)</f>
        <v>Target Market (Core IQR)</v>
      </c>
      <c r="F8164" s="10">
        <f t="shared" si="1"/>
        <v>0.1767640148</v>
      </c>
    </row>
    <row r="8165" ht="14.25" customHeight="1">
      <c r="A8165" s="2" t="s">
        <v>319</v>
      </c>
      <c r="B8165" s="2" t="s">
        <v>320</v>
      </c>
      <c r="C8165" s="2">
        <v>2000.0</v>
      </c>
      <c r="D8165" s="9">
        <v>31739.25</v>
      </c>
      <c r="E8165" s="10" t="str">
        <f t="array" ref="E8165">IFS(D8165&lt;=$G$3,'calculated data '!$A$3,D8165&lt;=$G$4,'calculated data '!$A$4,D8165&lt;=$G$6,'calculated data '!$A$5,D8165&gt;=$G$6,'calculated data '!$A$6)</f>
        <v>Target Market (Core IQR)</v>
      </c>
      <c r="F8165" s="10">
        <f t="shared" si="1"/>
        <v>0.1769585675</v>
      </c>
    </row>
    <row r="8166" ht="14.25" customHeight="1">
      <c r="A8166" s="2" t="s">
        <v>431</v>
      </c>
      <c r="B8166" s="2" t="s">
        <v>432</v>
      </c>
      <c r="C8166" s="2">
        <v>1993.0</v>
      </c>
      <c r="D8166" s="9">
        <v>31748.7</v>
      </c>
      <c r="E8166" s="10" t="str">
        <f t="array" ref="E8166">IFS(D8166&lt;=$G$3,'calculated data '!$A$3,D8166&lt;=$G$4,'calculated data '!$A$4,D8166&lt;=$G$6,'calculated data '!$A$5,D8166&gt;=$G$6,'calculated data '!$A$6)</f>
        <v>Target Market (Core IQR)</v>
      </c>
      <c r="F8166" s="10">
        <f t="shared" si="1"/>
        <v>0.1772087067</v>
      </c>
    </row>
    <row r="8167" ht="14.25" customHeight="1">
      <c r="A8167" s="2" t="s">
        <v>417</v>
      </c>
      <c r="B8167" s="2" t="s">
        <v>418</v>
      </c>
      <c r="C8167" s="2">
        <v>2023.0</v>
      </c>
      <c r="D8167" s="9">
        <v>31787.617</v>
      </c>
      <c r="E8167" s="10" t="str">
        <f t="array" ref="E8167">IFS(D8167&lt;=$G$3,'calculated data '!$A$3,D8167&lt;=$G$4,'calculated data '!$A$4,D8167&lt;=$G$6,'calculated data '!$A$5,D8167&gt;=$G$6,'calculated data '!$A$6)</f>
        <v>Target Market (Core IQR)</v>
      </c>
      <c r="F8167" s="10">
        <f t="shared" si="1"/>
        <v>0.17823883</v>
      </c>
    </row>
    <row r="8168" ht="14.25" customHeight="1">
      <c r="A8168" s="2" t="s">
        <v>387</v>
      </c>
      <c r="B8168" s="2" t="s">
        <v>388</v>
      </c>
      <c r="C8168" s="2">
        <v>1982.0</v>
      </c>
      <c r="D8168" s="9">
        <v>31791.322</v>
      </c>
      <c r="E8168" s="10" t="str">
        <f t="array" ref="E8168">IFS(D8168&lt;=$G$3,'calculated data '!$A$3,D8168&lt;=$G$4,'calculated data '!$A$4,D8168&lt;=$G$6,'calculated data '!$A$5,D8168&gt;=$G$6,'calculated data '!$A$6)</f>
        <v>Target Market (Core IQR)</v>
      </c>
      <c r="F8168" s="10">
        <f t="shared" si="1"/>
        <v>0.1783369004</v>
      </c>
    </row>
    <row r="8169" ht="14.25" customHeight="1">
      <c r="A8169" s="2" t="s">
        <v>401</v>
      </c>
      <c r="B8169" s="2" t="s">
        <v>402</v>
      </c>
      <c r="C8169" s="2">
        <v>1982.0</v>
      </c>
      <c r="D8169" s="9">
        <v>31804.494</v>
      </c>
      <c r="E8169" s="10" t="str">
        <f t="array" ref="E8169">IFS(D8169&lt;=$G$3,'calculated data '!$A$3,D8169&lt;=$G$4,'calculated data '!$A$4,D8169&lt;=$G$6,'calculated data '!$A$5,D8169&gt;=$G$6,'calculated data '!$A$6)</f>
        <v>Target Market (Core IQR)</v>
      </c>
      <c r="F8169" s="10">
        <f t="shared" si="1"/>
        <v>0.1786855599</v>
      </c>
    </row>
    <row r="8170" ht="14.25" customHeight="1">
      <c r="A8170" s="2" t="s">
        <v>197</v>
      </c>
      <c r="B8170" s="2" t="s">
        <v>198</v>
      </c>
      <c r="C8170" s="2">
        <v>2025.0</v>
      </c>
      <c r="D8170" s="9">
        <v>31815.434</v>
      </c>
      <c r="E8170" s="10" t="str">
        <f t="array" ref="E8170">IFS(D8170&lt;=$G$3,'calculated data '!$A$3,D8170&lt;=$G$4,'calculated data '!$A$4,D8170&lt;=$G$6,'calculated data '!$A$5,D8170&gt;=$G$6,'calculated data '!$A$6)</f>
        <v>Target Market (Core IQR)</v>
      </c>
      <c r="F8170" s="10">
        <f t="shared" si="1"/>
        <v>0.178975139</v>
      </c>
    </row>
    <row r="8171" ht="14.25" customHeight="1">
      <c r="A8171" s="2" t="s">
        <v>359</v>
      </c>
      <c r="B8171" s="2" t="s">
        <v>360</v>
      </c>
      <c r="C8171" s="2">
        <v>1981.0</v>
      </c>
      <c r="D8171" s="9">
        <v>31817.346</v>
      </c>
      <c r="E8171" s="10" t="str">
        <f t="array" ref="E8171">IFS(D8171&lt;=$G$3,'calculated data '!$A$3,D8171&lt;=$G$4,'calculated data '!$A$4,D8171&lt;=$G$6,'calculated data '!$A$5,D8171&gt;=$G$6,'calculated data '!$A$6)</f>
        <v>Target Market (Core IQR)</v>
      </c>
      <c r="F8171" s="10">
        <f t="shared" si="1"/>
        <v>0.1790257492</v>
      </c>
    </row>
    <row r="8172" ht="14.25" customHeight="1">
      <c r="A8172" s="2" t="s">
        <v>401</v>
      </c>
      <c r="B8172" s="2" t="s">
        <v>402</v>
      </c>
      <c r="C8172" s="2">
        <v>1983.0</v>
      </c>
      <c r="D8172" s="9">
        <v>31820.355</v>
      </c>
      <c r="E8172" s="10" t="str">
        <f t="array" ref="E8172">IFS(D8172&lt;=$G$3,'calculated data '!$A$3,D8172&lt;=$G$4,'calculated data '!$A$4,D8172&lt;=$G$6,'calculated data '!$A$5,D8172&gt;=$G$6,'calculated data '!$A$6)</f>
        <v>Target Market (Core IQR)</v>
      </c>
      <c r="F8172" s="10">
        <f t="shared" si="1"/>
        <v>0.1791053967</v>
      </c>
    </row>
    <row r="8173" ht="14.25" customHeight="1">
      <c r="A8173" s="2" t="s">
        <v>387</v>
      </c>
      <c r="B8173" s="2" t="s">
        <v>388</v>
      </c>
      <c r="C8173" s="2">
        <v>2020.0</v>
      </c>
      <c r="D8173" s="9">
        <v>31833.912</v>
      </c>
      <c r="E8173" s="10" t="str">
        <f t="array" ref="E8173">IFS(D8173&lt;=$G$3,'calculated data '!$A$3,D8173&lt;=$G$4,'calculated data '!$A$4,D8173&lt;=$G$6,'calculated data '!$A$5,D8173&gt;=$G$6,'calculated data '!$A$6)</f>
        <v>Target Market (Core IQR)</v>
      </c>
      <c r="F8173" s="10">
        <f t="shared" si="1"/>
        <v>0.1794642471</v>
      </c>
    </row>
    <row r="8174" ht="14.25" customHeight="1">
      <c r="A8174" s="2" t="s">
        <v>387</v>
      </c>
      <c r="B8174" s="2" t="s">
        <v>388</v>
      </c>
      <c r="C8174" s="2">
        <v>2005.0</v>
      </c>
      <c r="D8174" s="9">
        <v>31834.326</v>
      </c>
      <c r="E8174" s="10" t="str">
        <f t="array" ref="E8174">IFS(D8174&lt;=$G$3,'calculated data '!$A$3,D8174&lt;=$G$4,'calculated data '!$A$4,D8174&lt;=$G$6,'calculated data '!$A$5,D8174&gt;=$G$6,'calculated data '!$A$6)</f>
        <v>Target Market (Core IQR)</v>
      </c>
      <c r="F8174" s="10">
        <f t="shared" si="1"/>
        <v>0.1794752056</v>
      </c>
    </row>
    <row r="8175" ht="14.25" customHeight="1">
      <c r="A8175" s="2" t="s">
        <v>367</v>
      </c>
      <c r="B8175" s="2" t="s">
        <v>368</v>
      </c>
      <c r="C8175" s="2">
        <v>2000.0</v>
      </c>
      <c r="D8175" s="9">
        <v>31848.24</v>
      </c>
      <c r="E8175" s="10" t="str">
        <f t="array" ref="E8175">IFS(D8175&lt;=$G$3,'calculated data '!$A$3,D8175&lt;=$G$4,'calculated data '!$A$4,D8175&lt;=$G$6,'calculated data '!$A$5,D8175&gt;=$G$6,'calculated data '!$A$6)</f>
        <v>Target Market (Core IQR)</v>
      </c>
      <c r="F8175" s="10">
        <f t="shared" si="1"/>
        <v>0.1798435057</v>
      </c>
    </row>
    <row r="8176" ht="14.25" customHeight="1">
      <c r="A8176" s="2" t="s">
        <v>335</v>
      </c>
      <c r="B8176" s="2" t="s">
        <v>336</v>
      </c>
      <c r="C8176" s="2">
        <v>2017.0</v>
      </c>
      <c r="D8176" s="9">
        <v>31853.057</v>
      </c>
      <c r="E8176" s="10" t="str">
        <f t="array" ref="E8176">IFS(D8176&lt;=$G$3,'calculated data '!$A$3,D8176&lt;=$G$4,'calculated data '!$A$4,D8176&lt;=$G$6,'calculated data '!$A$5,D8176&gt;=$G$6,'calculated data '!$A$6)</f>
        <v>Target Market (Core IQR)</v>
      </c>
      <c r="F8176" s="10">
        <f t="shared" si="1"/>
        <v>0.1799710105</v>
      </c>
    </row>
    <row r="8177" ht="14.25" customHeight="1">
      <c r="A8177" s="2" t="s">
        <v>371</v>
      </c>
      <c r="B8177" s="2" t="s">
        <v>372</v>
      </c>
      <c r="C8177" s="2">
        <v>2009.0</v>
      </c>
      <c r="D8177" s="9">
        <v>31853.35</v>
      </c>
      <c r="E8177" s="10" t="str">
        <f t="array" ref="E8177">IFS(D8177&lt;=$G$3,'calculated data '!$A$3,D8177&lt;=$G$4,'calculated data '!$A$4,D8177&lt;=$G$6,'calculated data '!$A$5,D8177&gt;=$G$6,'calculated data '!$A$6)</f>
        <v>Target Market (Core IQR)</v>
      </c>
      <c r="F8177" s="10">
        <f t="shared" si="1"/>
        <v>0.1799787661</v>
      </c>
    </row>
    <row r="8178" ht="14.25" customHeight="1">
      <c r="A8178" s="2" t="s">
        <v>343</v>
      </c>
      <c r="B8178" s="2" t="s">
        <v>344</v>
      </c>
      <c r="C8178" s="2">
        <v>1999.0</v>
      </c>
      <c r="D8178" s="9">
        <v>31861.633</v>
      </c>
      <c r="E8178" s="10" t="str">
        <f t="array" ref="E8178">IFS(D8178&lt;=$G$3,'calculated data '!$A$3,D8178&lt;=$G$4,'calculated data '!$A$4,D8178&lt;=$G$6,'calculated data '!$A$5,D8178&gt;=$G$6,'calculated data '!$A$6)</f>
        <v>Target Market (Core IQR)</v>
      </c>
      <c r="F8178" s="10">
        <f t="shared" si="1"/>
        <v>0.180198015</v>
      </c>
    </row>
    <row r="8179" ht="14.25" customHeight="1">
      <c r="A8179" s="2" t="s">
        <v>455</v>
      </c>
      <c r="B8179" s="2" t="s">
        <v>456</v>
      </c>
      <c r="C8179" s="2">
        <v>1965.0</v>
      </c>
      <c r="D8179" s="9">
        <v>31866.889</v>
      </c>
      <c r="E8179" s="10" t="str">
        <f t="array" ref="E8179">IFS(D8179&lt;=$G$3,'calculated data '!$A$3,D8179&lt;=$G$4,'calculated data '!$A$4,D8179&lt;=$G$6,'calculated data '!$A$5,D8179&gt;=$G$6,'calculated data '!$A$6)</f>
        <v>Target Market (Core IQR)</v>
      </c>
      <c r="F8179" s="10">
        <f t="shared" si="1"/>
        <v>0.1803371401</v>
      </c>
    </row>
    <row r="8180" ht="14.25" customHeight="1">
      <c r="A8180" s="2" t="s">
        <v>447</v>
      </c>
      <c r="B8180" s="2" t="s">
        <v>448</v>
      </c>
      <c r="C8180" s="2">
        <v>2022.0</v>
      </c>
      <c r="D8180" s="9">
        <v>31870.459</v>
      </c>
      <c r="E8180" s="10" t="str">
        <f t="array" ref="E8180">IFS(D8180&lt;=$G$3,'calculated data '!$A$3,D8180&lt;=$G$4,'calculated data '!$A$4,D8180&lt;=$G$6,'calculated data '!$A$5,D8180&gt;=$G$6,'calculated data '!$A$6)</f>
        <v>Target Market (Core IQR)</v>
      </c>
      <c r="F8180" s="10">
        <f t="shared" si="1"/>
        <v>0.1804316371</v>
      </c>
    </row>
    <row r="8181" ht="14.25" customHeight="1">
      <c r="A8181" s="2" t="s">
        <v>451</v>
      </c>
      <c r="B8181" s="2" t="s">
        <v>452</v>
      </c>
      <c r="C8181" s="2">
        <v>1966.0</v>
      </c>
      <c r="D8181" s="9">
        <v>31876.05</v>
      </c>
      <c r="E8181" s="10" t="str">
        <f t="array" ref="E8181">IFS(D8181&lt;=$G$3,'calculated data '!$A$3,D8181&lt;=$G$4,'calculated data '!$A$4,D8181&lt;=$G$6,'calculated data '!$A$5,D8181&gt;=$G$6,'calculated data '!$A$6)</f>
        <v>Target Market (Core IQR)</v>
      </c>
      <c r="F8181" s="10">
        <f t="shared" si="1"/>
        <v>0.1805796294</v>
      </c>
    </row>
    <row r="8182" ht="14.25" customHeight="1">
      <c r="A8182" s="2" t="s">
        <v>435</v>
      </c>
      <c r="B8182" s="2" t="s">
        <v>436</v>
      </c>
      <c r="C8182" s="2">
        <v>2016.0</v>
      </c>
      <c r="D8182" s="9">
        <v>31876.514</v>
      </c>
      <c r="E8182" s="10" t="str">
        <f t="array" ref="E8182">IFS(D8182&lt;=$G$3,'calculated data '!$A$3,D8182&lt;=$G$4,'calculated data '!$A$4,D8182&lt;=$G$6,'calculated data '!$A$5,D8182&gt;=$G$6,'calculated data '!$A$6)</f>
        <v>Target Market (Core IQR)</v>
      </c>
      <c r="F8182" s="10">
        <f t="shared" si="1"/>
        <v>0.1805919114</v>
      </c>
    </row>
    <row r="8183" ht="14.25" customHeight="1">
      <c r="A8183" s="2" t="s">
        <v>405</v>
      </c>
      <c r="B8183" s="2" t="s">
        <v>406</v>
      </c>
      <c r="C8183" s="2">
        <v>2005.0</v>
      </c>
      <c r="D8183" s="9">
        <v>31884.871</v>
      </c>
      <c r="E8183" s="10" t="str">
        <f t="array" ref="E8183">IFS(D8183&lt;=$G$3,'calculated data '!$A$3,D8183&lt;=$G$4,'calculated data '!$A$4,D8183&lt;=$G$6,'calculated data '!$A$5,D8183&gt;=$G$6,'calculated data '!$A$6)</f>
        <v>Target Market (Core IQR)</v>
      </c>
      <c r="F8183" s="10">
        <f t="shared" si="1"/>
        <v>0.1808131191</v>
      </c>
    </row>
    <row r="8184" ht="14.25" customHeight="1">
      <c r="A8184" s="2" t="s">
        <v>249</v>
      </c>
      <c r="B8184" s="2" t="s">
        <v>250</v>
      </c>
      <c r="C8184" s="2">
        <v>2005.0</v>
      </c>
      <c r="D8184" s="9">
        <v>31885.23</v>
      </c>
      <c r="E8184" s="10" t="str">
        <f t="array" ref="E8184">IFS(D8184&lt;=$G$3,'calculated data '!$A$3,D8184&lt;=$G$4,'calculated data '!$A$4,D8184&lt;=$G$6,'calculated data '!$A$5,D8184&gt;=$G$6,'calculated data '!$A$6)</f>
        <v>Target Market (Core IQR)</v>
      </c>
      <c r="F8184" s="10">
        <f t="shared" si="1"/>
        <v>0.1808226218</v>
      </c>
    </row>
    <row r="8185" ht="14.25" customHeight="1">
      <c r="A8185" s="2" t="s">
        <v>367</v>
      </c>
      <c r="B8185" s="2" t="s">
        <v>368</v>
      </c>
      <c r="C8185" s="2">
        <v>2002.0</v>
      </c>
      <c r="D8185" s="9">
        <v>31896.072</v>
      </c>
      <c r="E8185" s="10" t="str">
        <f t="array" ref="E8185">IFS(D8185&lt;=$G$3,'calculated data '!$A$3,D8185&lt;=$G$4,'calculated data '!$A$4,D8185&lt;=$G$6,'calculated data '!$A$5,D8185&gt;=$G$6,'calculated data '!$A$6)</f>
        <v>Target Market (Core IQR)</v>
      </c>
      <c r="F8185" s="10">
        <f t="shared" si="1"/>
        <v>0.1811096068</v>
      </c>
    </row>
    <row r="8186" ht="14.25" customHeight="1">
      <c r="A8186" s="2" t="s">
        <v>447</v>
      </c>
      <c r="B8186" s="2" t="s">
        <v>448</v>
      </c>
      <c r="C8186" s="2">
        <v>1991.0</v>
      </c>
      <c r="D8186" s="9">
        <v>31901.215</v>
      </c>
      <c r="E8186" s="10" t="str">
        <f t="array" ref="E8186">IFS(D8186&lt;=$G$3,'calculated data '!$A$3,D8186&lt;=$G$4,'calculated data '!$A$4,D8186&lt;=$G$6,'calculated data '!$A$5,D8186&gt;=$G$6,'calculated data '!$A$6)</f>
        <v>Target Market (Core IQR)</v>
      </c>
      <c r="F8186" s="10">
        <f t="shared" si="1"/>
        <v>0.1812457407</v>
      </c>
    </row>
    <row r="8187" ht="14.25" customHeight="1">
      <c r="A8187" s="2" t="s">
        <v>449</v>
      </c>
      <c r="B8187" s="2" t="s">
        <v>450</v>
      </c>
      <c r="C8187" s="2">
        <v>1998.0</v>
      </c>
      <c r="D8187" s="9">
        <v>31902.83</v>
      </c>
      <c r="E8187" s="10" t="str">
        <f t="array" ref="E8187">IFS(D8187&lt;=$G$3,'calculated data '!$A$3,D8187&lt;=$G$4,'calculated data '!$A$4,D8187&lt;=$G$6,'calculated data '!$A$5,D8187&gt;=$G$6,'calculated data '!$A$6)</f>
        <v>Target Market (Core IQR)</v>
      </c>
      <c r="F8187" s="10">
        <f t="shared" si="1"/>
        <v>0.1812884894</v>
      </c>
    </row>
    <row r="8188" ht="14.25" customHeight="1">
      <c r="A8188" s="2" t="s">
        <v>359</v>
      </c>
      <c r="B8188" s="2" t="s">
        <v>360</v>
      </c>
      <c r="C8188" s="2">
        <v>1979.0</v>
      </c>
      <c r="D8188" s="9">
        <v>31909.08</v>
      </c>
      <c r="E8188" s="10" t="str">
        <f t="array" ref="E8188">IFS(D8188&lt;=$G$3,'calculated data '!$A$3,D8188&lt;=$G$4,'calculated data '!$A$4,D8188&lt;=$G$6,'calculated data '!$A$5,D8188&gt;=$G$6,'calculated data '!$A$6)</f>
        <v>Target Market (Core IQR)</v>
      </c>
      <c r="F8188" s="10">
        <f t="shared" si="1"/>
        <v>0.1814539253</v>
      </c>
    </row>
    <row r="8189" ht="14.25" customHeight="1">
      <c r="A8189" s="2" t="s">
        <v>411</v>
      </c>
      <c r="B8189" s="2" t="s">
        <v>412</v>
      </c>
      <c r="C8189" s="2">
        <v>1971.0</v>
      </c>
      <c r="D8189" s="9">
        <v>31913.139</v>
      </c>
      <c r="E8189" s="10" t="str">
        <f t="array" ref="E8189">IFS(D8189&lt;=$G$3,'calculated data '!$A$3,D8189&lt;=$G$4,'calculated data '!$A$4,D8189&lt;=$G$6,'calculated data '!$A$5,D8189&gt;=$G$6,'calculated data '!$A$6)</f>
        <v>Target Market (Core IQR)</v>
      </c>
      <c r="F8189" s="10">
        <f t="shared" si="1"/>
        <v>0.181561366</v>
      </c>
    </row>
    <row r="8190" ht="14.25" customHeight="1">
      <c r="A8190" s="2" t="s">
        <v>435</v>
      </c>
      <c r="B8190" s="2" t="s">
        <v>436</v>
      </c>
      <c r="C8190" s="2">
        <v>2019.0</v>
      </c>
      <c r="D8190" s="9">
        <v>31914.691</v>
      </c>
      <c r="E8190" s="10" t="str">
        <f t="array" ref="E8190">IFS(D8190&lt;=$G$3,'calculated data '!$A$3,D8190&lt;=$G$4,'calculated data '!$A$4,D8190&lt;=$G$6,'calculated data '!$A$5,D8190&gt;=$G$6,'calculated data '!$A$6)</f>
        <v>Target Market (Core IQR)</v>
      </c>
      <c r="F8190" s="10">
        <f t="shared" si="1"/>
        <v>0.1816024471</v>
      </c>
    </row>
    <row r="8191" ht="14.25" customHeight="1">
      <c r="A8191" s="2" t="s">
        <v>359</v>
      </c>
      <c r="B8191" s="2" t="s">
        <v>360</v>
      </c>
      <c r="C8191" s="2">
        <v>1980.0</v>
      </c>
      <c r="D8191" s="9">
        <v>31917.098</v>
      </c>
      <c r="E8191" s="10" t="str">
        <f t="array" ref="E8191">IFS(D8191&lt;=$G$3,'calculated data '!$A$3,D8191&lt;=$G$4,'calculated data '!$A$4,D8191&lt;=$G$6,'calculated data '!$A$5,D8191&gt;=$G$6,'calculated data '!$A$6)</f>
        <v>Target Market (Core IQR)</v>
      </c>
      <c r="F8191" s="10">
        <f t="shared" si="1"/>
        <v>0.1816661598</v>
      </c>
    </row>
    <row r="8192" ht="14.25" customHeight="1">
      <c r="A8192" s="2" t="s">
        <v>439</v>
      </c>
      <c r="B8192" s="2" t="s">
        <v>440</v>
      </c>
      <c r="C8192" s="2">
        <v>1970.0</v>
      </c>
      <c r="D8192" s="9">
        <v>31936.477</v>
      </c>
      <c r="E8192" s="10" t="str">
        <f t="array" ref="E8192">IFS(D8192&lt;=$G$3,'calculated data '!$A$3,D8192&lt;=$G$4,'calculated data '!$A$4,D8192&lt;=$G$6,'calculated data '!$A$5,D8192&gt;=$G$6,'calculated data '!$A$6)</f>
        <v>Target Market (Core IQR)</v>
      </c>
      <c r="F8192" s="10">
        <f t="shared" si="1"/>
        <v>0.1821791171</v>
      </c>
    </row>
    <row r="8193" ht="14.25" customHeight="1">
      <c r="A8193" s="2" t="s">
        <v>375</v>
      </c>
      <c r="B8193" s="2" t="s">
        <v>376</v>
      </c>
      <c r="C8193" s="2">
        <v>1989.0</v>
      </c>
      <c r="D8193" s="9">
        <v>31938.916</v>
      </c>
      <c r="E8193" s="10" t="str">
        <f t="array" ref="E8193">IFS(D8193&lt;=$G$3,'calculated data '!$A$3,D8193&lt;=$G$4,'calculated data '!$A$4,D8193&lt;=$G$6,'calculated data '!$A$5,D8193&gt;=$G$6,'calculated data '!$A$6)</f>
        <v>Target Market (Core IQR)</v>
      </c>
      <c r="F8193" s="10">
        <f t="shared" si="1"/>
        <v>0.1822436768</v>
      </c>
    </row>
    <row r="8194" ht="14.25" customHeight="1">
      <c r="A8194" s="2" t="s">
        <v>439</v>
      </c>
      <c r="B8194" s="2" t="s">
        <v>440</v>
      </c>
      <c r="C8194" s="2">
        <v>1971.0</v>
      </c>
      <c r="D8194" s="9">
        <v>31957.85</v>
      </c>
      <c r="E8194" s="10" t="str">
        <f t="array" ref="E8194">IFS(D8194&lt;=$G$3,'calculated data '!$A$3,D8194&lt;=$G$4,'calculated data '!$A$4,D8194&lt;=$G$6,'calculated data '!$A$5,D8194&gt;=$G$6,'calculated data '!$A$6)</f>
        <v>Target Market (Core IQR)</v>
      </c>
      <c r="F8194" s="10">
        <f t="shared" si="1"/>
        <v>0.1827448551</v>
      </c>
    </row>
    <row r="8195" ht="14.25" customHeight="1">
      <c r="A8195" s="2" t="s">
        <v>397</v>
      </c>
      <c r="B8195" s="2" t="s">
        <v>398</v>
      </c>
      <c r="C8195" s="2">
        <v>1969.0</v>
      </c>
      <c r="D8195" s="9">
        <v>31964.328</v>
      </c>
      <c r="E8195" s="10" t="str">
        <f t="array" ref="E8195">IFS(D8195&lt;=$G$3,'calculated data '!$A$3,D8195&lt;=$G$4,'calculated data '!$A$4,D8195&lt;=$G$6,'calculated data '!$A$5,D8195&gt;=$G$6,'calculated data '!$A$6)</f>
        <v>Target Market (Core IQR)</v>
      </c>
      <c r="F8195" s="10">
        <f t="shared" si="1"/>
        <v>0.1829163261</v>
      </c>
    </row>
    <row r="8196" ht="14.25" customHeight="1">
      <c r="A8196" s="2" t="s">
        <v>453</v>
      </c>
      <c r="B8196" s="2" t="s">
        <v>454</v>
      </c>
      <c r="C8196" s="2">
        <v>1992.0</v>
      </c>
      <c r="D8196" s="9">
        <v>31964.682</v>
      </c>
      <c r="E8196" s="10" t="str">
        <f t="array" ref="E8196">IFS(D8196&lt;=$G$3,'calculated data '!$A$3,D8196&lt;=$G$4,'calculated data '!$A$4,D8196&lt;=$G$6,'calculated data '!$A$5,D8196&gt;=$G$6,'calculated data '!$A$6)</f>
        <v>Target Market (Core IQR)</v>
      </c>
      <c r="F8196" s="10">
        <f t="shared" si="1"/>
        <v>0.1829256964</v>
      </c>
    </row>
    <row r="8197" ht="14.25" customHeight="1">
      <c r="A8197" s="2" t="s">
        <v>371</v>
      </c>
      <c r="B8197" s="2" t="s">
        <v>372</v>
      </c>
      <c r="C8197" s="2">
        <v>2011.0</v>
      </c>
      <c r="D8197" s="9">
        <v>31978.25</v>
      </c>
      <c r="E8197" s="10" t="str">
        <f t="array" ref="E8197">IFS(D8197&lt;=$G$3,'calculated data '!$A$3,D8197&lt;=$G$4,'calculated data '!$A$4,D8197&lt;=$G$6,'calculated data '!$A$5,D8197&gt;=$G$6,'calculated data '!$A$6)</f>
        <v>Target Market (Core IQR)</v>
      </c>
      <c r="F8197" s="10">
        <f t="shared" si="1"/>
        <v>0.183284838</v>
      </c>
    </row>
    <row r="8198" ht="14.25" customHeight="1">
      <c r="A8198" s="2" t="s">
        <v>411</v>
      </c>
      <c r="B8198" s="2" t="s">
        <v>412</v>
      </c>
      <c r="C8198" s="2">
        <v>2018.0</v>
      </c>
      <c r="D8198" s="9">
        <v>32033.068</v>
      </c>
      <c r="E8198" s="10" t="str">
        <f t="array" ref="E8198">IFS(D8198&lt;=$G$3,'calculated data '!$A$3,D8198&lt;=$G$4,'calculated data '!$A$4,D8198&lt;=$G$6,'calculated data '!$A$5,D8198&gt;=$G$6,'calculated data '!$A$6)</f>
        <v>Target Market (Core IQR)</v>
      </c>
      <c r="F8198" s="10">
        <f t="shared" si="1"/>
        <v>0.1847358568</v>
      </c>
    </row>
    <row r="8199" ht="14.25" customHeight="1">
      <c r="A8199" s="2" t="s">
        <v>405</v>
      </c>
      <c r="B8199" s="2" t="s">
        <v>406</v>
      </c>
      <c r="C8199" s="2">
        <v>2024.0</v>
      </c>
      <c r="D8199" s="9">
        <v>32034.71</v>
      </c>
      <c r="E8199" s="10" t="str">
        <f t="array" ref="E8199">IFS(D8199&lt;=$G$3,'calculated data '!$A$3,D8199&lt;=$G$4,'calculated data '!$A$4,D8199&lt;=$G$6,'calculated data '!$A$5,D8199&gt;=$G$6,'calculated data '!$A$6)</f>
        <v>Target Market (Core IQR)</v>
      </c>
      <c r="F8199" s="10">
        <f t="shared" si="1"/>
        <v>0.1847793201</v>
      </c>
    </row>
    <row r="8200" ht="14.25" customHeight="1">
      <c r="A8200" s="2" t="s">
        <v>249</v>
      </c>
      <c r="B8200" s="2" t="s">
        <v>250</v>
      </c>
      <c r="C8200" s="2">
        <v>2011.0</v>
      </c>
      <c r="D8200" s="9">
        <v>32045.32</v>
      </c>
      <c r="E8200" s="10" t="str">
        <f t="array" ref="E8200">IFS(D8200&lt;=$G$3,'calculated data '!$A$3,D8200&lt;=$G$4,'calculated data '!$A$4,D8200&lt;=$G$6,'calculated data '!$A$5,D8200&gt;=$G$6,'calculated data '!$A$6)</f>
        <v>Target Market (Core IQR)</v>
      </c>
      <c r="F8200" s="10">
        <f t="shared" si="1"/>
        <v>0.1850601642</v>
      </c>
    </row>
    <row r="8201" ht="14.25" customHeight="1">
      <c r="A8201" s="2" t="s">
        <v>371</v>
      </c>
      <c r="B8201" s="2" t="s">
        <v>372</v>
      </c>
      <c r="C8201" s="2">
        <v>1992.0</v>
      </c>
      <c r="D8201" s="9">
        <v>32069.758</v>
      </c>
      <c r="E8201" s="10" t="str">
        <f t="array" ref="E8201">IFS(D8201&lt;=$G$3,'calculated data '!$A$3,D8201&lt;=$G$4,'calculated data '!$A$4,D8201&lt;=$G$6,'calculated data '!$A$5,D8201&gt;=$G$6,'calculated data '!$A$6)</f>
        <v>Target Market (Core IQR)</v>
      </c>
      <c r="F8201" s="10">
        <f t="shared" si="1"/>
        <v>0.185707032</v>
      </c>
    </row>
    <row r="8202" ht="14.25" customHeight="1">
      <c r="A8202" s="2" t="s">
        <v>387</v>
      </c>
      <c r="B8202" s="2" t="s">
        <v>388</v>
      </c>
      <c r="C8202" s="2">
        <v>2018.0</v>
      </c>
      <c r="D8202" s="9">
        <v>32080.172</v>
      </c>
      <c r="E8202" s="10" t="str">
        <f t="array" ref="E8202">IFS(D8202&lt;=$G$3,'calculated data '!$A$3,D8202&lt;=$G$4,'calculated data '!$A$4,D8202&lt;=$G$6,'calculated data '!$A$5,D8202&gt;=$G$6,'calculated data '!$A$6)</f>
        <v>Target Market (Core IQR)</v>
      </c>
      <c r="F8202" s="10">
        <f t="shared" si="1"/>
        <v>0.1859826879</v>
      </c>
    </row>
    <row r="8203" ht="14.25" customHeight="1">
      <c r="A8203" s="2" t="s">
        <v>401</v>
      </c>
      <c r="B8203" s="2" t="s">
        <v>402</v>
      </c>
      <c r="C8203" s="2">
        <v>1977.0</v>
      </c>
      <c r="D8203" s="9">
        <v>32088.977</v>
      </c>
      <c r="E8203" s="10" t="str">
        <f t="array" ref="E8203">IFS(D8203&lt;=$G$3,'calculated data '!$A$3,D8203&lt;=$G$4,'calculated data '!$A$4,D8203&lt;=$G$6,'calculated data '!$A$5,D8203&gt;=$G$6,'calculated data '!$A$6)</f>
        <v>Target Market (Core IQR)</v>
      </c>
      <c r="F8203" s="10">
        <f t="shared" si="1"/>
        <v>0.1862157541</v>
      </c>
    </row>
    <row r="8204" ht="14.25" customHeight="1">
      <c r="A8204" s="2" t="s">
        <v>331</v>
      </c>
      <c r="B8204" s="2" t="s">
        <v>332</v>
      </c>
      <c r="C8204" s="2">
        <v>1999.0</v>
      </c>
      <c r="D8204" s="9">
        <v>32094.383</v>
      </c>
      <c r="E8204" s="10" t="str">
        <f t="array" ref="E8204">IFS(D8204&lt;=$G$3,'calculated data '!$A$3,D8204&lt;=$G$4,'calculated data '!$A$4,D8204&lt;=$G$6,'calculated data '!$A$5,D8204&gt;=$G$6,'calculated data '!$A$6)</f>
        <v>Target Market (Core IQR)</v>
      </c>
      <c r="F8204" s="10">
        <f t="shared" si="1"/>
        <v>0.1863588496</v>
      </c>
    </row>
    <row r="8205" ht="14.25" customHeight="1">
      <c r="A8205" s="2" t="s">
        <v>371</v>
      </c>
      <c r="B8205" s="2" t="s">
        <v>372</v>
      </c>
      <c r="C8205" s="2">
        <v>1991.0</v>
      </c>
      <c r="D8205" s="9">
        <v>32101.512</v>
      </c>
      <c r="E8205" s="10" t="str">
        <f t="array" ref="E8205">IFS(D8205&lt;=$G$3,'calculated data '!$A$3,D8205&lt;=$G$4,'calculated data '!$A$4,D8205&lt;=$G$6,'calculated data '!$A$5,D8205&gt;=$G$6,'calculated data '!$A$6)</f>
        <v>Target Market (Core IQR)</v>
      </c>
      <c r="F8205" s="10">
        <f t="shared" si="1"/>
        <v>0.1865475524</v>
      </c>
    </row>
    <row r="8206" ht="14.25" customHeight="1">
      <c r="A8206" s="2" t="s">
        <v>431</v>
      </c>
      <c r="B8206" s="2" t="s">
        <v>432</v>
      </c>
      <c r="C8206" s="2">
        <v>1988.0</v>
      </c>
      <c r="D8206" s="9">
        <v>32134.729</v>
      </c>
      <c r="E8206" s="10" t="str">
        <f t="array" ref="E8206">IFS(D8206&lt;=$G$3,'calculated data '!$A$3,D8206&lt;=$G$4,'calculated data '!$A$4,D8206&lt;=$G$6,'calculated data '!$A$5,D8206&gt;=$G$6,'calculated data '!$A$6)</f>
        <v>Target Market (Core IQR)</v>
      </c>
      <c r="F8206" s="10">
        <f t="shared" si="1"/>
        <v>0.1874267981</v>
      </c>
    </row>
    <row r="8207" ht="14.25" customHeight="1">
      <c r="A8207" s="2" t="s">
        <v>417</v>
      </c>
      <c r="B8207" s="2" t="s">
        <v>418</v>
      </c>
      <c r="C8207" s="2">
        <v>2024.0</v>
      </c>
      <c r="D8207" s="9">
        <v>32140.502</v>
      </c>
      <c r="E8207" s="10" t="str">
        <f t="array" ref="E8207">IFS(D8207&lt;=$G$3,'calculated data '!$A$3,D8207&lt;=$G$4,'calculated data '!$A$4,D8207&lt;=$G$6,'calculated data '!$A$5,D8207&gt;=$G$6,'calculated data '!$A$6)</f>
        <v>Target Market (Core IQR)</v>
      </c>
      <c r="F8207" s="10">
        <f t="shared" si="1"/>
        <v>0.187579608</v>
      </c>
    </row>
    <row r="8208" ht="14.25" customHeight="1">
      <c r="A8208" s="2" t="s">
        <v>257</v>
      </c>
      <c r="B8208" s="2" t="s">
        <v>258</v>
      </c>
      <c r="C8208" s="2">
        <v>2012.0</v>
      </c>
      <c r="D8208" s="9">
        <v>32154.738</v>
      </c>
      <c r="E8208" s="10" t="str">
        <f t="array" ref="E8208">IFS(D8208&lt;=$G$3,'calculated data '!$A$3,D8208&lt;=$G$4,'calculated data '!$A$4,D8208&lt;=$G$6,'calculated data '!$A$5,D8208&gt;=$G$6,'calculated data '!$A$6)</f>
        <v>Target Market (Core IQR)</v>
      </c>
      <c r="F8208" s="10">
        <f t="shared" si="1"/>
        <v>0.1879564314</v>
      </c>
    </row>
    <row r="8209" ht="14.25" customHeight="1">
      <c r="A8209" s="2" t="s">
        <v>249</v>
      </c>
      <c r="B8209" s="2" t="s">
        <v>250</v>
      </c>
      <c r="C8209" s="2">
        <v>2010.0</v>
      </c>
      <c r="D8209" s="9">
        <v>32156.709</v>
      </c>
      <c r="E8209" s="10" t="str">
        <f t="array" ref="E8209">IFS(D8209&lt;=$G$3,'calculated data '!$A$3,D8209&lt;=$G$4,'calculated data '!$A$4,D8209&lt;=$G$6,'calculated data '!$A$5,D8209&gt;=$G$6,'calculated data '!$A$6)</f>
        <v>Target Market (Core IQR)</v>
      </c>
      <c r="F8209" s="10">
        <f t="shared" si="1"/>
        <v>0.1880086033</v>
      </c>
    </row>
    <row r="8210" ht="14.25" customHeight="1">
      <c r="A8210" s="2" t="s">
        <v>401</v>
      </c>
      <c r="B8210" s="2" t="s">
        <v>402</v>
      </c>
      <c r="C8210" s="2">
        <v>1973.0</v>
      </c>
      <c r="D8210" s="9">
        <v>32157.482</v>
      </c>
      <c r="E8210" s="10" t="str">
        <f t="array" ref="E8210">IFS(D8210&lt;=$G$3,'calculated data '!$A$3,D8210&lt;=$G$4,'calculated data '!$A$4,D8210&lt;=$G$6,'calculated data '!$A$5,D8210&gt;=$G$6,'calculated data '!$A$6)</f>
        <v>Target Market (Core IQR)</v>
      </c>
      <c r="F8210" s="10">
        <f t="shared" si="1"/>
        <v>0.1880290644</v>
      </c>
    </row>
    <row r="8211" ht="14.25" customHeight="1">
      <c r="A8211" s="2" t="s">
        <v>445</v>
      </c>
      <c r="B8211" s="2" t="s">
        <v>446</v>
      </c>
      <c r="C8211" s="2">
        <v>1967.0</v>
      </c>
      <c r="D8211" s="9">
        <v>32161.99</v>
      </c>
      <c r="E8211" s="10" t="str">
        <f t="array" ref="E8211">IFS(D8211&lt;=$G$3,'calculated data '!$A$3,D8211&lt;=$G$4,'calculated data '!$A$4,D8211&lt;=$G$6,'calculated data '!$A$5,D8211&gt;=$G$6,'calculated data '!$A$6)</f>
        <v>Target Market (Core IQR)</v>
      </c>
      <c r="F8211" s="10">
        <f t="shared" si="1"/>
        <v>0.18814839</v>
      </c>
    </row>
    <row r="8212" ht="14.25" customHeight="1">
      <c r="A8212" s="2" t="s">
        <v>415</v>
      </c>
      <c r="B8212" s="2" t="s">
        <v>416</v>
      </c>
      <c r="C8212" s="2">
        <v>2014.0</v>
      </c>
      <c r="D8212" s="9">
        <v>32162.486</v>
      </c>
      <c r="E8212" s="10" t="str">
        <f t="array" ref="E8212">IFS(D8212&lt;=$G$3,'calculated data '!$A$3,D8212&lt;=$G$4,'calculated data '!$A$4,D8212&lt;=$G$6,'calculated data '!$A$5,D8212&gt;=$G$6,'calculated data '!$A$6)</f>
        <v>Target Market (Core IQR)</v>
      </c>
      <c r="F8212" s="10">
        <f t="shared" si="1"/>
        <v>0.188161519</v>
      </c>
    </row>
    <row r="8213" ht="14.25" customHeight="1">
      <c r="A8213" s="2" t="s">
        <v>331</v>
      </c>
      <c r="B8213" s="2" t="s">
        <v>332</v>
      </c>
      <c r="C8213" s="2">
        <v>2011.0</v>
      </c>
      <c r="D8213" s="9">
        <v>32165.217</v>
      </c>
      <c r="E8213" s="10" t="str">
        <f t="array" ref="E8213">IFS(D8213&lt;=$G$3,'calculated data '!$A$3,D8213&lt;=$G$4,'calculated data '!$A$4,D8213&lt;=$G$6,'calculated data '!$A$5,D8213&gt;=$G$6,'calculated data '!$A$6)</f>
        <v>Target Market (Core IQR)</v>
      </c>
      <c r="F8213" s="10">
        <f t="shared" si="1"/>
        <v>0.1882338079</v>
      </c>
    </row>
    <row r="8214" ht="14.25" customHeight="1">
      <c r="A8214" s="2" t="s">
        <v>367</v>
      </c>
      <c r="B8214" s="2" t="s">
        <v>368</v>
      </c>
      <c r="C8214" s="2">
        <v>2011.0</v>
      </c>
      <c r="D8214" s="9">
        <v>32172.525</v>
      </c>
      <c r="E8214" s="10" t="str">
        <f t="array" ref="E8214">IFS(D8214&lt;=$G$3,'calculated data '!$A$3,D8214&lt;=$G$4,'calculated data '!$A$4,D8214&lt;=$G$6,'calculated data '!$A$5,D8214&gt;=$G$6,'calculated data '!$A$6)</f>
        <v>Target Market (Core IQR)</v>
      </c>
      <c r="F8214" s="10">
        <f t="shared" si="1"/>
        <v>0.1884272488</v>
      </c>
    </row>
    <row r="8215" ht="14.25" customHeight="1">
      <c r="A8215" s="2" t="s">
        <v>449</v>
      </c>
      <c r="B8215" s="2" t="s">
        <v>450</v>
      </c>
      <c r="C8215" s="2">
        <v>1997.0</v>
      </c>
      <c r="D8215" s="9">
        <v>32178.488</v>
      </c>
      <c r="E8215" s="10" t="str">
        <f t="array" ref="E8215">IFS(D8215&lt;=$G$3,'calculated data '!$A$3,D8215&lt;=$G$4,'calculated data '!$A$4,D8215&lt;=$G$6,'calculated data '!$A$5,D8215&gt;=$G$6,'calculated data '!$A$6)</f>
        <v>Target Market (Core IQR)</v>
      </c>
      <c r="F8215" s="10">
        <f t="shared" si="1"/>
        <v>0.188585088</v>
      </c>
    </row>
    <row r="8216" ht="14.25" customHeight="1">
      <c r="A8216" s="2" t="s">
        <v>431</v>
      </c>
      <c r="B8216" s="2" t="s">
        <v>432</v>
      </c>
      <c r="C8216" s="2">
        <v>1986.0</v>
      </c>
      <c r="D8216" s="9">
        <v>32196.91</v>
      </c>
      <c r="E8216" s="10" t="str">
        <f t="array" ref="E8216">IFS(D8216&lt;=$G$3,'calculated data '!$A$3,D8216&lt;=$G$4,'calculated data '!$A$4,D8216&lt;=$G$6,'calculated data '!$A$5,D8216&gt;=$G$6,'calculated data '!$A$6)</f>
        <v>Target Market (Core IQR)</v>
      </c>
      <c r="F8216" s="10">
        <f t="shared" si="1"/>
        <v>0.1890727137</v>
      </c>
    </row>
    <row r="8217" ht="14.25" customHeight="1">
      <c r="A8217" s="2" t="s">
        <v>351</v>
      </c>
      <c r="B8217" s="2" t="s">
        <v>352</v>
      </c>
      <c r="C8217" s="2">
        <v>1990.0</v>
      </c>
      <c r="D8217" s="9">
        <v>32202.46</v>
      </c>
      <c r="E8217" s="10" t="str">
        <f t="array" ref="E8217">IFS(D8217&lt;=$G$3,'calculated data '!$A$3,D8217&lt;=$G$4,'calculated data '!$A$4,D8217&lt;=$G$6,'calculated data '!$A$5,D8217&gt;=$G$6,'calculated data '!$A$6)</f>
        <v>Target Market (Core IQR)</v>
      </c>
      <c r="F8217" s="10">
        <f t="shared" si="1"/>
        <v>0.1892196208</v>
      </c>
    </row>
    <row r="8218" ht="14.25" customHeight="1">
      <c r="A8218" s="2" t="s">
        <v>431</v>
      </c>
      <c r="B8218" s="2" t="s">
        <v>432</v>
      </c>
      <c r="C8218" s="2">
        <v>1987.0</v>
      </c>
      <c r="D8218" s="9">
        <v>32205.834</v>
      </c>
      <c r="E8218" s="10" t="str">
        <f t="array" ref="E8218">IFS(D8218&lt;=$G$3,'calculated data '!$A$3,D8218&lt;=$G$4,'calculated data '!$A$4,D8218&lt;=$G$6,'calculated data '!$A$5,D8218&gt;=$G$6,'calculated data '!$A$6)</f>
        <v>Target Market (Core IQR)</v>
      </c>
      <c r="F8218" s="10">
        <f t="shared" si="1"/>
        <v>0.1893089298</v>
      </c>
    </row>
    <row r="8219" ht="14.25" customHeight="1">
      <c r="A8219" s="2" t="s">
        <v>425</v>
      </c>
      <c r="B8219" s="2" t="s">
        <v>426</v>
      </c>
      <c r="C8219" s="2">
        <v>2018.0</v>
      </c>
      <c r="D8219" s="9">
        <v>32206.328</v>
      </c>
      <c r="E8219" s="10" t="str">
        <f t="array" ref="E8219">IFS(D8219&lt;=$G$3,'calculated data '!$A$3,D8219&lt;=$G$4,'calculated data '!$A$4,D8219&lt;=$G$6,'calculated data '!$A$5,D8219&gt;=$G$6,'calculated data '!$A$6)</f>
        <v>Target Market (Core IQR)</v>
      </c>
      <c r="F8219" s="10">
        <f t="shared" si="1"/>
        <v>0.1893220058</v>
      </c>
    </row>
    <row r="8220" ht="14.25" customHeight="1">
      <c r="A8220" s="2" t="s">
        <v>431</v>
      </c>
      <c r="B8220" s="2" t="s">
        <v>432</v>
      </c>
      <c r="C8220" s="2">
        <v>1994.0</v>
      </c>
      <c r="D8220" s="9">
        <v>32218.666</v>
      </c>
      <c r="E8220" s="10" t="str">
        <f t="array" ref="E8220">IFS(D8220&lt;=$G$3,'calculated data '!$A$3,D8220&lt;=$G$4,'calculated data '!$A$4,D8220&lt;=$G$6,'calculated data '!$A$5,D8220&gt;=$G$6,'calculated data '!$A$6)</f>
        <v>Target Market (Core IQR)</v>
      </c>
      <c r="F8220" s="10">
        <f t="shared" si="1"/>
        <v>0.1896485896</v>
      </c>
    </row>
    <row r="8221" ht="14.25" customHeight="1">
      <c r="A8221" s="2" t="s">
        <v>419</v>
      </c>
      <c r="B8221" s="2" t="s">
        <v>420</v>
      </c>
      <c r="C8221" s="2">
        <v>2010.0</v>
      </c>
      <c r="D8221" s="9">
        <v>32253.074</v>
      </c>
      <c r="E8221" s="10" t="str">
        <f t="array" ref="E8221">IFS(D8221&lt;=$G$3,'calculated data '!$A$3,D8221&lt;=$G$4,'calculated data '!$A$4,D8221&lt;=$G$6,'calculated data '!$A$5,D8221&gt;=$G$6,'calculated data '!$A$6)</f>
        <v>Target Market (Core IQR)</v>
      </c>
      <c r="F8221" s="10">
        <f t="shared" si="1"/>
        <v>0.1905593608</v>
      </c>
    </row>
    <row r="8222" ht="14.25" customHeight="1">
      <c r="A8222" s="2" t="s">
        <v>409</v>
      </c>
      <c r="B8222" s="2" t="s">
        <v>410</v>
      </c>
      <c r="C8222" s="2">
        <v>1968.0</v>
      </c>
      <c r="D8222" s="9">
        <v>32274.014</v>
      </c>
      <c r="E8222" s="10" t="str">
        <f t="array" ref="E8222">IFS(D8222&lt;=$G$3,'calculated data '!$A$3,D8222&lt;=$G$4,'calculated data '!$A$4,D8222&lt;=$G$6,'calculated data '!$A$5,D8222&gt;=$G$6,'calculated data '!$A$6)</f>
        <v>Target Market (Core IQR)</v>
      </c>
      <c r="F8222" s="10">
        <f t="shared" si="1"/>
        <v>0.1911136374</v>
      </c>
    </row>
    <row r="8223" ht="14.25" customHeight="1">
      <c r="A8223" s="2" t="s">
        <v>409</v>
      </c>
      <c r="B8223" s="2" t="s">
        <v>410</v>
      </c>
      <c r="C8223" s="2">
        <v>2021.0</v>
      </c>
      <c r="D8223" s="9">
        <v>32277.27</v>
      </c>
      <c r="E8223" s="10" t="str">
        <f t="array" ref="E8223">IFS(D8223&lt;=$G$3,'calculated data '!$A$3,D8223&lt;=$G$4,'calculated data '!$A$4,D8223&lt;=$G$6,'calculated data '!$A$5,D8223&gt;=$G$6,'calculated data '!$A$6)</f>
        <v>Target Market (Core IQR)</v>
      </c>
      <c r="F8223" s="10">
        <f t="shared" si="1"/>
        <v>0.1911998229</v>
      </c>
    </row>
    <row r="8224" ht="14.25" customHeight="1">
      <c r="A8224" s="2" t="s">
        <v>417</v>
      </c>
      <c r="B8224" s="2" t="s">
        <v>418</v>
      </c>
      <c r="C8224" s="2">
        <v>2025.0</v>
      </c>
      <c r="D8224" s="9">
        <v>32289.914</v>
      </c>
      <c r="E8224" s="10" t="str">
        <f t="array" ref="E8224">IFS(D8224&lt;=$G$3,'calculated data '!$A$3,D8224&lt;=$G$4,'calculated data '!$A$4,D8224&lt;=$G$6,'calculated data '!$A$5,D8224&gt;=$G$6,'calculated data '!$A$6)</f>
        <v>Target Market (Core IQR)</v>
      </c>
      <c r="F8224" s="10">
        <f t="shared" si="1"/>
        <v>0.1915345064</v>
      </c>
    </row>
    <row r="8225" ht="14.25" customHeight="1">
      <c r="A8225" s="2" t="s">
        <v>419</v>
      </c>
      <c r="B8225" s="2" t="s">
        <v>420</v>
      </c>
      <c r="C8225" s="2">
        <v>2018.0</v>
      </c>
      <c r="D8225" s="9">
        <v>32306.926</v>
      </c>
      <c r="E8225" s="10" t="str">
        <f t="array" ref="E8225">IFS(D8225&lt;=$G$3,'calculated data '!$A$3,D8225&lt;=$G$4,'calculated data '!$A$4,D8225&lt;=$G$6,'calculated data '!$A$5,D8225&gt;=$G$6,'calculated data '!$A$6)</f>
        <v>Target Market (Core IQR)</v>
      </c>
      <c r="F8225" s="10">
        <f t="shared" si="1"/>
        <v>0.1919848098</v>
      </c>
    </row>
    <row r="8226" ht="14.25" customHeight="1">
      <c r="A8226" s="2" t="s">
        <v>409</v>
      </c>
      <c r="B8226" s="2" t="s">
        <v>410</v>
      </c>
      <c r="C8226" s="2">
        <v>1969.0</v>
      </c>
      <c r="D8226" s="9">
        <v>32308.533</v>
      </c>
      <c r="E8226" s="10" t="str">
        <f t="array" ref="E8226">IFS(D8226&lt;=$G$3,'calculated data '!$A$3,D8226&lt;=$G$4,'calculated data '!$A$4,D8226&lt;=$G$6,'calculated data '!$A$5,D8226&gt;=$G$6,'calculated data '!$A$6)</f>
        <v>Target Market (Core IQR)</v>
      </c>
      <c r="F8226" s="10">
        <f t="shared" si="1"/>
        <v>0.1920273467</v>
      </c>
    </row>
    <row r="8227" ht="14.25" customHeight="1">
      <c r="A8227" s="2" t="s">
        <v>359</v>
      </c>
      <c r="B8227" s="2" t="s">
        <v>360</v>
      </c>
      <c r="C8227" s="2">
        <v>1987.0</v>
      </c>
      <c r="D8227" s="9">
        <v>32321.92</v>
      </c>
      <c r="E8227" s="10" t="str">
        <f t="array" ref="E8227">IFS(D8227&lt;=$G$3,'calculated data '!$A$3,D8227&lt;=$G$4,'calculated data '!$A$4,D8227&lt;=$G$6,'calculated data '!$A$5,D8227&gt;=$G$6,'calculated data '!$A$6)</f>
        <v>Target Market (Core IQR)</v>
      </c>
      <c r="F8227" s="10">
        <f t="shared" si="1"/>
        <v>0.1923816973</v>
      </c>
    </row>
    <row r="8228" ht="14.25" customHeight="1">
      <c r="A8228" s="2" t="s">
        <v>435</v>
      </c>
      <c r="B8228" s="2" t="s">
        <v>436</v>
      </c>
      <c r="C8228" s="2">
        <v>2014.0</v>
      </c>
      <c r="D8228" s="9">
        <v>32329.908</v>
      </c>
      <c r="E8228" s="10" t="str">
        <f t="array" ref="E8228">IFS(D8228&lt;=$G$3,'calculated data '!$A$3,D8228&lt;=$G$4,'calculated data '!$A$4,D8228&lt;=$G$6,'calculated data '!$A$5,D8228&gt;=$G$6,'calculated data '!$A$6)</f>
        <v>Target Market (Core IQR)</v>
      </c>
      <c r="F8228" s="10">
        <f t="shared" si="1"/>
        <v>0.1925931377</v>
      </c>
    </row>
    <row r="8229" ht="14.25" customHeight="1">
      <c r="A8229" s="2" t="s">
        <v>257</v>
      </c>
      <c r="B8229" s="2" t="s">
        <v>258</v>
      </c>
      <c r="C8229" s="2">
        <v>2011.0</v>
      </c>
      <c r="D8229" s="9">
        <v>32340.842</v>
      </c>
      <c r="E8229" s="10" t="str">
        <f t="array" ref="E8229">IFS(D8229&lt;=$G$3,'calculated data '!$A$3,D8229&lt;=$G$4,'calculated data '!$A$4,D8229&lt;=$G$6,'calculated data '!$A$5,D8229&gt;=$G$6,'calculated data '!$A$6)</f>
        <v>Target Market (Core IQR)</v>
      </c>
      <c r="F8229" s="10">
        <f t="shared" si="1"/>
        <v>0.1928825579</v>
      </c>
    </row>
    <row r="8230" ht="14.25" customHeight="1">
      <c r="A8230" s="2" t="s">
        <v>387</v>
      </c>
      <c r="B8230" s="2" t="s">
        <v>388</v>
      </c>
      <c r="C8230" s="2">
        <v>2017.0</v>
      </c>
      <c r="D8230" s="9">
        <v>32348.727</v>
      </c>
      <c r="E8230" s="10" t="str">
        <f t="array" ref="E8230">IFS(D8230&lt;=$G$3,'calculated data '!$A$3,D8230&lt;=$G$4,'calculated data '!$A$4,D8230&lt;=$G$6,'calculated data '!$A$5,D8230&gt;=$G$6,'calculated data '!$A$6)</f>
        <v>Target Market (Core IQR)</v>
      </c>
      <c r="F8230" s="10">
        <f t="shared" si="1"/>
        <v>0.1930912719</v>
      </c>
    </row>
    <row r="8231" ht="14.25" customHeight="1">
      <c r="A8231" s="2" t="s">
        <v>413</v>
      </c>
      <c r="B8231" s="2" t="s">
        <v>414</v>
      </c>
      <c r="C8231" s="2">
        <v>2024.0</v>
      </c>
      <c r="D8231" s="9">
        <v>32357.01</v>
      </c>
      <c r="E8231" s="10" t="str">
        <f t="array" ref="E8231">IFS(D8231&lt;=$G$3,'calculated data '!$A$3,D8231&lt;=$G$4,'calculated data '!$A$4,D8231&lt;=$G$6,'calculated data '!$A$5,D8231&gt;=$G$6,'calculated data '!$A$6)</f>
        <v>Target Market (Core IQR)</v>
      </c>
      <c r="F8231" s="10">
        <f t="shared" si="1"/>
        <v>0.1933105209</v>
      </c>
    </row>
    <row r="8232" ht="14.25" customHeight="1">
      <c r="A8232" s="2" t="s">
        <v>331</v>
      </c>
      <c r="B8232" s="2" t="s">
        <v>332</v>
      </c>
      <c r="C8232" s="2">
        <v>2010.0</v>
      </c>
      <c r="D8232" s="9">
        <v>32367.1</v>
      </c>
      <c r="E8232" s="10" t="str">
        <f t="array" ref="E8232">IFS(D8232&lt;=$G$3,'calculated data '!$A$3,D8232&lt;=$G$4,'calculated data '!$A$4,D8232&lt;=$G$6,'calculated data '!$A$5,D8232&gt;=$G$6,'calculated data '!$A$6)</f>
        <v>Target Market (Core IQR)</v>
      </c>
      <c r="F8232" s="10">
        <f t="shared" si="1"/>
        <v>0.1935776006</v>
      </c>
    </row>
    <row r="8233" ht="14.25" customHeight="1">
      <c r="A8233" s="2" t="s">
        <v>379</v>
      </c>
      <c r="B8233" s="2" t="s">
        <v>380</v>
      </c>
      <c r="C8233" s="2">
        <v>2022.0</v>
      </c>
      <c r="D8233" s="9">
        <v>32385.121</v>
      </c>
      <c r="E8233" s="10" t="str">
        <f t="array" ref="E8233">IFS(D8233&lt;=$G$3,'calculated data '!$A$3,D8233&lt;=$G$4,'calculated data '!$A$4,D8233&lt;=$G$6,'calculated data '!$A$5,D8233&gt;=$G$6,'calculated data '!$A$6)</f>
        <v>Target Market (Core IQR)</v>
      </c>
      <c r="F8233" s="10">
        <f t="shared" si="1"/>
        <v>0.194054612</v>
      </c>
    </row>
    <row r="8234" ht="14.25" customHeight="1">
      <c r="A8234" s="2" t="s">
        <v>401</v>
      </c>
      <c r="B8234" s="2" t="s">
        <v>402</v>
      </c>
      <c r="C8234" s="2">
        <v>1984.0</v>
      </c>
      <c r="D8234" s="9">
        <v>32394.332</v>
      </c>
      <c r="E8234" s="10" t="str">
        <f t="array" ref="E8234">IFS(D8234&lt;=$G$3,'calculated data '!$A$3,D8234&lt;=$G$4,'calculated data '!$A$4,D8234&lt;=$G$6,'calculated data '!$A$5,D8234&gt;=$G$6,'calculated data '!$A$6)</f>
        <v>Target Market (Core IQR)</v>
      </c>
      <c r="F8234" s="10">
        <f t="shared" si="1"/>
        <v>0.1942984249</v>
      </c>
    </row>
    <row r="8235" ht="14.25" customHeight="1">
      <c r="A8235" s="2" t="s">
        <v>387</v>
      </c>
      <c r="B8235" s="2" t="s">
        <v>388</v>
      </c>
      <c r="C8235" s="2">
        <v>2006.0</v>
      </c>
      <c r="D8235" s="9">
        <v>32406.76</v>
      </c>
      <c r="E8235" s="10" t="str">
        <f t="array" ref="E8235">IFS(D8235&lt;=$G$3,'calculated data '!$A$3,D8235&lt;=$G$4,'calculated data '!$A$4,D8235&lt;=$G$6,'calculated data '!$A$5,D8235&gt;=$G$6,'calculated data '!$A$6)</f>
        <v>Target Market (Core IQR)</v>
      </c>
      <c r="F8235" s="10">
        <f t="shared" si="1"/>
        <v>0.194627391</v>
      </c>
    </row>
    <row r="8236" ht="14.25" customHeight="1">
      <c r="A8236" s="2" t="s">
        <v>417</v>
      </c>
      <c r="B8236" s="2" t="s">
        <v>418</v>
      </c>
      <c r="C8236" s="2">
        <v>1971.0</v>
      </c>
      <c r="D8236" s="9">
        <v>32410.127</v>
      </c>
      <c r="E8236" s="10" t="str">
        <f t="array" ref="E8236">IFS(D8236&lt;=$G$3,'calculated data '!$A$3,D8236&lt;=$G$4,'calculated data '!$A$4,D8236&lt;=$G$6,'calculated data '!$A$5,D8236&gt;=$G$6,'calculated data '!$A$6)</f>
        <v>Target Market (Core IQR)</v>
      </c>
      <c r="F8236" s="10">
        <f t="shared" si="1"/>
        <v>0.1947165146</v>
      </c>
    </row>
    <row r="8237" ht="14.25" customHeight="1">
      <c r="A8237" s="2" t="s">
        <v>331</v>
      </c>
      <c r="B8237" s="2" t="s">
        <v>332</v>
      </c>
      <c r="C8237" s="2">
        <v>1998.0</v>
      </c>
      <c r="D8237" s="9">
        <v>32426.588</v>
      </c>
      <c r="E8237" s="10" t="str">
        <f t="array" ref="E8237">IFS(D8237&lt;=$G$3,'calculated data '!$A$3,D8237&lt;=$G$4,'calculated data '!$A$4,D8237&lt;=$G$6,'calculated data '!$A$5,D8237&gt;=$G$6,'calculated data '!$A$6)</f>
        <v>Target Market (Core IQR)</v>
      </c>
      <c r="F8237" s="10">
        <f t="shared" si="1"/>
        <v>0.1951522332</v>
      </c>
    </row>
    <row r="8238" ht="14.25" customHeight="1">
      <c r="A8238" s="2" t="s">
        <v>447</v>
      </c>
      <c r="B8238" s="2" t="s">
        <v>448</v>
      </c>
      <c r="C8238" s="2">
        <v>1990.0</v>
      </c>
      <c r="D8238" s="9">
        <v>32436.88</v>
      </c>
      <c r="E8238" s="10" t="str">
        <f t="array" ref="E8238">IFS(D8238&lt;=$G$3,'calculated data '!$A$3,D8238&lt;=$G$4,'calculated data '!$A$4,D8238&lt;=$G$6,'calculated data '!$A$5,D8238&gt;=$G$6,'calculated data '!$A$6)</f>
        <v>Target Market (Core IQR)</v>
      </c>
      <c r="F8238" s="10">
        <f t="shared" si="1"/>
        <v>0.1954246599</v>
      </c>
    </row>
    <row r="8239" ht="14.25" customHeight="1">
      <c r="A8239" s="2" t="s">
        <v>421</v>
      </c>
      <c r="B8239" s="2" t="s">
        <v>422</v>
      </c>
      <c r="C8239" s="2">
        <v>1972.0</v>
      </c>
      <c r="D8239" s="9">
        <v>32441.975</v>
      </c>
      <c r="E8239" s="10" t="str">
        <f t="array" ref="E8239">IFS(D8239&lt;=$G$3,'calculated data '!$A$3,D8239&lt;=$G$4,'calculated data '!$A$4,D8239&lt;=$G$6,'calculated data '!$A$5,D8239&gt;=$G$6,'calculated data '!$A$6)</f>
        <v>Target Market (Core IQR)</v>
      </c>
      <c r="F8239" s="10">
        <f t="shared" si="1"/>
        <v>0.1955595232</v>
      </c>
    </row>
    <row r="8240" ht="14.25" customHeight="1">
      <c r="A8240" s="2" t="s">
        <v>431</v>
      </c>
      <c r="B8240" s="2" t="s">
        <v>432</v>
      </c>
      <c r="C8240" s="2">
        <v>1989.0</v>
      </c>
      <c r="D8240" s="9">
        <v>32443.957</v>
      </c>
      <c r="E8240" s="10" t="str">
        <f t="array" ref="E8240">IFS(D8240&lt;=$G$3,'calculated data '!$A$3,D8240&lt;=$G$4,'calculated data '!$A$4,D8240&lt;=$G$6,'calculated data '!$A$5,D8240&gt;=$G$6,'calculated data '!$A$6)</f>
        <v>Target Market (Core IQR)</v>
      </c>
      <c r="F8240" s="10">
        <f t="shared" si="1"/>
        <v>0.1956119863</v>
      </c>
    </row>
    <row r="8241" ht="14.25" customHeight="1">
      <c r="A8241" s="2" t="s">
        <v>335</v>
      </c>
      <c r="B8241" s="2" t="s">
        <v>336</v>
      </c>
      <c r="C8241" s="2">
        <v>1998.0</v>
      </c>
      <c r="D8241" s="9">
        <v>32484.732</v>
      </c>
      <c r="E8241" s="10" t="str">
        <f t="array" ref="E8241">IFS(D8241&lt;=$G$3,'calculated data '!$A$3,D8241&lt;=$G$4,'calculated data '!$A$4,D8241&lt;=$G$6,'calculated data '!$A$5,D8241&gt;=$G$6,'calculated data '!$A$6)</f>
        <v>Target Market (Core IQR)</v>
      </c>
      <c r="F8241" s="10">
        <f t="shared" si="1"/>
        <v>0.1966912904</v>
      </c>
    </row>
    <row r="8242" ht="14.25" customHeight="1">
      <c r="A8242" s="2" t="s">
        <v>405</v>
      </c>
      <c r="B8242" s="2" t="s">
        <v>406</v>
      </c>
      <c r="C8242" s="2">
        <v>2004.0</v>
      </c>
      <c r="D8242" s="9">
        <v>32495.346</v>
      </c>
      <c r="E8242" s="10" t="str">
        <f t="array" ref="E8242">IFS(D8242&lt;=$G$3,'calculated data '!$A$3,D8242&lt;=$G$4,'calculated data '!$A$4,D8242&lt;=$G$6,'calculated data '!$A$5,D8242&gt;=$G$6,'calculated data '!$A$6)</f>
        <v>Target Market (Core IQR)</v>
      </c>
      <c r="F8242" s="10">
        <f t="shared" si="1"/>
        <v>0.1969722403</v>
      </c>
    </row>
    <row r="8243" ht="14.25" customHeight="1">
      <c r="A8243" s="2" t="s">
        <v>335</v>
      </c>
      <c r="B8243" s="2" t="s">
        <v>336</v>
      </c>
      <c r="C8243" s="2">
        <v>2012.0</v>
      </c>
      <c r="D8243" s="9">
        <v>32507.162</v>
      </c>
      <c r="E8243" s="10" t="str">
        <f t="array" ref="E8243">IFS(D8243&lt;=$G$3,'calculated data '!$A$3,D8243&lt;=$G$4,'calculated data '!$A$4,D8243&lt;=$G$6,'calculated data '!$A$5,D8243&gt;=$G$6,'calculated data '!$A$6)</f>
        <v>Target Market (Core IQR)</v>
      </c>
      <c r="F8243" s="10">
        <f t="shared" si="1"/>
        <v>0.1972850069</v>
      </c>
    </row>
    <row r="8244" ht="14.25" customHeight="1">
      <c r="A8244" s="2" t="s">
        <v>353</v>
      </c>
      <c r="B8244" s="2" t="s">
        <v>354</v>
      </c>
      <c r="C8244" s="2">
        <v>1995.0</v>
      </c>
      <c r="D8244" s="9">
        <v>32513.342</v>
      </c>
      <c r="E8244" s="10" t="str">
        <f t="array" ref="E8244">IFS(D8244&lt;=$G$3,'calculated data '!$A$3,D8244&lt;=$G$4,'calculated data '!$A$4,D8244&lt;=$G$6,'calculated data '!$A$5,D8244&gt;=$G$6,'calculated data '!$A$6)</f>
        <v>Target Market (Core IQR)</v>
      </c>
      <c r="F8244" s="10">
        <f t="shared" si="1"/>
        <v>0.19744859</v>
      </c>
    </row>
    <row r="8245" ht="14.25" customHeight="1">
      <c r="A8245" s="2" t="s">
        <v>359</v>
      </c>
      <c r="B8245" s="2" t="s">
        <v>360</v>
      </c>
      <c r="C8245" s="2">
        <v>1988.0</v>
      </c>
      <c r="D8245" s="9">
        <v>32531.436</v>
      </c>
      <c r="E8245" s="10" t="str">
        <f t="array" ref="E8245">IFS(D8245&lt;=$G$3,'calculated data '!$A$3,D8245&lt;=$G$4,'calculated data '!$A$4,D8245&lt;=$G$6,'calculated data '!$A$5,D8245&gt;=$G$6,'calculated data '!$A$6)</f>
        <v>Target Market (Core IQR)</v>
      </c>
      <c r="F8245" s="10">
        <f t="shared" si="1"/>
        <v>0.1979275336</v>
      </c>
    </row>
    <row r="8246" ht="14.25" customHeight="1">
      <c r="A8246" s="2" t="s">
        <v>353</v>
      </c>
      <c r="B8246" s="2" t="s">
        <v>354</v>
      </c>
      <c r="C8246" s="2">
        <v>1996.0</v>
      </c>
      <c r="D8246" s="9">
        <v>32532.557</v>
      </c>
      <c r="E8246" s="10" t="str">
        <f t="array" ref="E8246">IFS(D8246&lt;=$G$3,'calculated data '!$A$3,D8246&lt;=$G$4,'calculated data '!$A$4,D8246&lt;=$G$6,'calculated data '!$A$5,D8246&gt;=$G$6,'calculated data '!$A$6)</f>
        <v>Target Market (Core IQR)</v>
      </c>
      <c r="F8246" s="10">
        <f t="shared" si="1"/>
        <v>0.1979572062</v>
      </c>
    </row>
    <row r="8247" ht="14.25" customHeight="1">
      <c r="A8247" s="2" t="s">
        <v>447</v>
      </c>
      <c r="B8247" s="2" t="s">
        <v>448</v>
      </c>
      <c r="C8247" s="2">
        <v>2025.0</v>
      </c>
      <c r="D8247" s="9">
        <v>32538.244</v>
      </c>
      <c r="E8247" s="10" t="str">
        <f t="array" ref="E8247">IFS(D8247&lt;=$G$3,'calculated data '!$A$3,D8247&lt;=$G$4,'calculated data '!$A$4,D8247&lt;=$G$6,'calculated data '!$A$5,D8247&gt;=$G$6,'calculated data '!$A$6)</f>
        <v>Target Market (Core IQR)</v>
      </c>
      <c r="F8247" s="10">
        <f t="shared" si="1"/>
        <v>0.1981077397</v>
      </c>
    </row>
    <row r="8248" ht="14.25" customHeight="1">
      <c r="A8248" s="2" t="s">
        <v>443</v>
      </c>
      <c r="B8248" s="2" t="s">
        <v>444</v>
      </c>
      <c r="C8248" s="2">
        <v>1968.0</v>
      </c>
      <c r="D8248" s="9">
        <v>32559.654</v>
      </c>
      <c r="E8248" s="10" t="str">
        <f t="array" ref="E8248">IFS(D8248&lt;=$G$3,'calculated data '!$A$3,D8248&lt;=$G$4,'calculated data '!$A$4,D8248&lt;=$G$6,'calculated data '!$A$5,D8248&gt;=$G$6,'calculated data '!$A$6)</f>
        <v>Target Market (Core IQR)</v>
      </c>
      <c r="F8248" s="10">
        <f t="shared" si="1"/>
        <v>0.1986744571</v>
      </c>
    </row>
    <row r="8249" ht="14.25" customHeight="1">
      <c r="A8249" s="2" t="s">
        <v>309</v>
      </c>
      <c r="B8249" s="2" t="s">
        <v>310</v>
      </c>
      <c r="C8249" s="2">
        <v>2021.0</v>
      </c>
      <c r="D8249" s="9">
        <v>32565.338</v>
      </c>
      <c r="E8249" s="10" t="str">
        <f t="array" ref="E8249">IFS(D8249&lt;=$G$3,'calculated data '!$A$3,D8249&lt;=$G$4,'calculated data '!$A$4,D8249&lt;=$G$6,'calculated data '!$A$5,D8249&gt;=$G$6,'calculated data '!$A$6)</f>
        <v>Target Market (Core IQR)</v>
      </c>
      <c r="F8249" s="10">
        <f t="shared" si="1"/>
        <v>0.1988249111</v>
      </c>
    </row>
    <row r="8250" ht="14.25" customHeight="1">
      <c r="A8250" s="2" t="s">
        <v>359</v>
      </c>
      <c r="B8250" s="2" t="s">
        <v>360</v>
      </c>
      <c r="C8250" s="2">
        <v>1989.0</v>
      </c>
      <c r="D8250" s="9">
        <v>32581.316</v>
      </c>
      <c r="E8250" s="10" t="str">
        <f t="array" ref="E8250">IFS(D8250&lt;=$G$3,'calculated data '!$A$3,D8250&lt;=$G$4,'calculated data '!$A$4,D8250&lt;=$G$6,'calculated data '!$A$5,D8250&gt;=$G$6,'calculated data '!$A$6)</f>
        <v>Target Market (Core IQR)</v>
      </c>
      <c r="F8250" s="10">
        <f t="shared" si="1"/>
        <v>0.1992478448</v>
      </c>
    </row>
    <row r="8251" ht="14.25" customHeight="1">
      <c r="A8251" s="2" t="s">
        <v>419</v>
      </c>
      <c r="B8251" s="2" t="s">
        <v>420</v>
      </c>
      <c r="C8251" s="2">
        <v>2019.0</v>
      </c>
      <c r="D8251" s="9">
        <v>32604.178</v>
      </c>
      <c r="E8251" s="10" t="str">
        <f t="array" ref="E8251">IFS(D8251&lt;=$G$3,'calculated data '!$A$3,D8251&lt;=$G$4,'calculated data '!$A$4,D8251&lt;=$G$6,'calculated data '!$A$5,D8251&gt;=$G$6,'calculated data '!$A$6)</f>
        <v>Target Market (Core IQR)</v>
      </c>
      <c r="F8251" s="10">
        <f t="shared" si="1"/>
        <v>0.1998529963</v>
      </c>
    </row>
    <row r="8252" ht="14.25" customHeight="1">
      <c r="A8252" s="2" t="s">
        <v>337</v>
      </c>
      <c r="B8252" s="2" t="s">
        <v>338</v>
      </c>
      <c r="C8252" s="2">
        <v>2019.0</v>
      </c>
      <c r="D8252" s="9">
        <v>32611.264</v>
      </c>
      <c r="E8252" s="10" t="str">
        <f t="array" ref="E8252">IFS(D8252&lt;=$G$3,'calculated data '!$A$3,D8252&lt;=$G$4,'calculated data '!$A$4,D8252&lt;=$G$6,'calculated data '!$A$5,D8252&gt;=$G$6,'calculated data '!$A$6)</f>
        <v>Target Market (Core IQR)</v>
      </c>
      <c r="F8252" s="10">
        <f t="shared" si="1"/>
        <v>0.2000405609</v>
      </c>
    </row>
    <row r="8253" ht="14.25" customHeight="1">
      <c r="A8253" s="2" t="s">
        <v>409</v>
      </c>
      <c r="B8253" s="2" t="s">
        <v>410</v>
      </c>
      <c r="C8253" s="2">
        <v>2022.0</v>
      </c>
      <c r="D8253" s="9">
        <v>32633.586</v>
      </c>
      <c r="E8253" s="10" t="str">
        <f t="array" ref="E8253">IFS(D8253&lt;=$G$3,'calculated data '!$A$3,D8253&lt;=$G$4,'calculated data '!$A$4,D8253&lt;=$G$6,'calculated data '!$A$5,D8253&gt;=$G$6,'calculated data '!$A$6)</f>
        <v>Target Market (Core IQR)</v>
      </c>
      <c r="F8253" s="10">
        <f t="shared" si="1"/>
        <v>0.2006314187</v>
      </c>
    </row>
    <row r="8254" ht="14.25" customHeight="1">
      <c r="A8254" s="2" t="s">
        <v>319</v>
      </c>
      <c r="B8254" s="2" t="s">
        <v>320</v>
      </c>
      <c r="C8254" s="2">
        <v>2003.0</v>
      </c>
      <c r="D8254" s="9">
        <v>32639.73</v>
      </c>
      <c r="E8254" s="10" t="str">
        <f t="array" ref="E8254">IFS(D8254&lt;=$G$3,'calculated data '!$A$3,D8254&lt;=$G$4,'calculated data '!$A$4,D8254&lt;=$G$6,'calculated data '!$A$5,D8254&gt;=$G$6,'calculated data '!$A$6)</f>
        <v>Target Market (Core IQR)</v>
      </c>
      <c r="F8254" s="10">
        <f t="shared" si="1"/>
        <v>0.2007940488</v>
      </c>
    </row>
    <row r="8255" ht="14.25" customHeight="1">
      <c r="A8255" s="2" t="s">
        <v>411</v>
      </c>
      <c r="B8255" s="2" t="s">
        <v>412</v>
      </c>
      <c r="C8255" s="2">
        <v>1972.0</v>
      </c>
      <c r="D8255" s="9">
        <v>32642.26</v>
      </c>
      <c r="E8255" s="10" t="str">
        <f t="array" ref="E8255">IFS(D8255&lt;=$G$3,'calculated data '!$A$3,D8255&lt;=$G$4,'calculated data '!$A$4,D8255&lt;=$G$6,'calculated data '!$A$5,D8255&gt;=$G$6,'calculated data '!$A$6)</f>
        <v>Target Market (Core IQR)</v>
      </c>
      <c r="F8255" s="10">
        <f t="shared" si="1"/>
        <v>0.2008610173</v>
      </c>
    </row>
    <row r="8256" ht="14.25" customHeight="1">
      <c r="A8256" s="2" t="s">
        <v>319</v>
      </c>
      <c r="B8256" s="2" t="s">
        <v>320</v>
      </c>
      <c r="C8256" s="2">
        <v>2006.0</v>
      </c>
      <c r="D8256" s="9">
        <v>32643.951</v>
      </c>
      <c r="E8256" s="10" t="str">
        <f t="array" ref="E8256">IFS(D8256&lt;=$G$3,'calculated data '!$A$3,D8256&lt;=$G$4,'calculated data '!$A$4,D8256&lt;=$G$6,'calculated data '!$A$5,D8256&gt;=$G$6,'calculated data '!$A$6)</f>
        <v>Target Market (Core IQR)</v>
      </c>
      <c r="F8256" s="10">
        <f t="shared" si="1"/>
        <v>0.2009057777</v>
      </c>
    </row>
    <row r="8257" ht="14.25" customHeight="1">
      <c r="A8257" s="2" t="s">
        <v>375</v>
      </c>
      <c r="B8257" s="2" t="s">
        <v>376</v>
      </c>
      <c r="C8257" s="2">
        <v>1988.0</v>
      </c>
      <c r="D8257" s="9">
        <v>32653.273</v>
      </c>
      <c r="E8257" s="10" t="str">
        <f t="array" ref="E8257">IFS(D8257&lt;=$G$3,'calculated data '!$A$3,D8257&lt;=$G$4,'calculated data '!$A$4,D8257&lt;=$G$6,'calculated data '!$A$5,D8257&gt;=$G$6,'calculated data '!$A$6)</f>
        <v>Target Market (Core IQR)</v>
      </c>
      <c r="F8257" s="10">
        <f t="shared" si="1"/>
        <v>0.2011525287</v>
      </c>
    </row>
    <row r="8258" ht="14.25" customHeight="1">
      <c r="A8258" s="2" t="s">
        <v>405</v>
      </c>
      <c r="B8258" s="2" t="s">
        <v>406</v>
      </c>
      <c r="C8258" s="2">
        <v>2016.0</v>
      </c>
      <c r="D8258" s="9">
        <v>32657.586</v>
      </c>
      <c r="E8258" s="10" t="str">
        <f t="array" ref="E8258">IFS(D8258&lt;=$G$3,'calculated data '!$A$3,D8258&lt;=$G$4,'calculated data '!$A$4,D8258&lt;=$G$6,'calculated data '!$A$5,D8258&gt;=$G$6,'calculated data '!$A$6)</f>
        <v>Target Market (Core IQR)</v>
      </c>
      <c r="F8258" s="10">
        <f t="shared" si="1"/>
        <v>0.2012666927</v>
      </c>
    </row>
    <row r="8259" ht="14.25" customHeight="1">
      <c r="A8259" s="2" t="s">
        <v>367</v>
      </c>
      <c r="B8259" s="2" t="s">
        <v>368</v>
      </c>
      <c r="C8259" s="2">
        <v>1997.0</v>
      </c>
      <c r="D8259" s="9">
        <v>32664.236</v>
      </c>
      <c r="E8259" s="10" t="str">
        <f t="array" ref="E8259">IFS(D8259&lt;=$G$3,'calculated data '!$A$3,D8259&lt;=$G$4,'calculated data '!$A$4,D8259&lt;=$G$6,'calculated data '!$A$5,D8259&gt;=$G$6,'calculated data '!$A$6)</f>
        <v>Target Market (Core IQR)</v>
      </c>
      <c r="F8259" s="10">
        <f t="shared" si="1"/>
        <v>0.2014427166</v>
      </c>
    </row>
    <row r="8260" ht="14.25" customHeight="1">
      <c r="A8260" s="2" t="s">
        <v>319</v>
      </c>
      <c r="B8260" s="2" t="s">
        <v>320</v>
      </c>
      <c r="C8260" s="2">
        <v>2007.0</v>
      </c>
      <c r="D8260" s="9">
        <v>32664.8</v>
      </c>
      <c r="E8260" s="10" t="str">
        <f t="array" ref="E8260">IFS(D8260&lt;=$G$3,'calculated data '!$A$3,D8260&lt;=$G$4,'calculated data '!$A$4,D8260&lt;=$G$6,'calculated data '!$A$5,D8260&gt;=$G$6,'calculated data '!$A$6)</f>
        <v>Target Market (Core IQR)</v>
      </c>
      <c r="F8260" s="10">
        <f t="shared" si="1"/>
        <v>0.2014576455</v>
      </c>
    </row>
    <row r="8261" ht="14.25" customHeight="1">
      <c r="A8261" s="2" t="s">
        <v>427</v>
      </c>
      <c r="B8261" s="2" t="s">
        <v>428</v>
      </c>
      <c r="C8261" s="2">
        <v>2001.0</v>
      </c>
      <c r="D8261" s="9">
        <v>32667.56</v>
      </c>
      <c r="E8261" s="10" t="str">
        <f t="array" ref="E8261">IFS(D8261&lt;=$G$3,'calculated data '!$A$3,D8261&lt;=$G$4,'calculated data '!$A$4,D8261&lt;=$G$6,'calculated data '!$A$5,D8261&gt;=$G$6,'calculated data '!$A$6)</f>
        <v>Target Market (Core IQR)</v>
      </c>
      <c r="F8261" s="10">
        <f t="shared" si="1"/>
        <v>0.201530702</v>
      </c>
    </row>
    <row r="8262" ht="14.25" customHeight="1">
      <c r="A8262" s="2" t="s">
        <v>435</v>
      </c>
      <c r="B8262" s="2" t="s">
        <v>436</v>
      </c>
      <c r="C8262" s="2">
        <v>1993.0</v>
      </c>
      <c r="D8262" s="9">
        <v>32669.926</v>
      </c>
      <c r="E8262" s="10" t="str">
        <f t="array" ref="E8262">IFS(D8262&lt;=$G$3,'calculated data '!$A$3,D8262&lt;=$G$4,'calculated data '!$A$4,D8262&lt;=$G$6,'calculated data '!$A$5,D8262&gt;=$G$6,'calculated data '!$A$6)</f>
        <v>Target Market (Core IQR)</v>
      </c>
      <c r="F8262" s="10">
        <f t="shared" si="1"/>
        <v>0.2015933294</v>
      </c>
    </row>
    <row r="8263" ht="14.25" customHeight="1">
      <c r="A8263" s="2" t="s">
        <v>425</v>
      </c>
      <c r="B8263" s="2" t="s">
        <v>426</v>
      </c>
      <c r="C8263" s="2">
        <v>2017.0</v>
      </c>
      <c r="D8263" s="9">
        <v>32674.855</v>
      </c>
      <c r="E8263" s="10" t="str">
        <f t="array" ref="E8263">IFS(D8263&lt;=$G$3,'calculated data '!$A$3,D8263&lt;=$G$4,'calculated data '!$A$4,D8263&lt;=$G$6,'calculated data '!$A$5,D8263&gt;=$G$6,'calculated data '!$A$6)</f>
        <v>Target Market (Core IQR)</v>
      </c>
      <c r="F8263" s="10">
        <f t="shared" si="1"/>
        <v>0.2017237988</v>
      </c>
    </row>
    <row r="8264" ht="14.25" customHeight="1">
      <c r="A8264" s="2" t="s">
        <v>319</v>
      </c>
      <c r="B8264" s="2" t="s">
        <v>320</v>
      </c>
      <c r="C8264" s="2">
        <v>2008.0</v>
      </c>
      <c r="D8264" s="9">
        <v>32676.465</v>
      </c>
      <c r="E8264" s="10" t="str">
        <f t="array" ref="E8264">IFS(D8264&lt;=$G$3,'calculated data '!$A$3,D8264&lt;=$G$4,'calculated data '!$A$4,D8264&lt;=$G$6,'calculated data '!$A$5,D8264&gt;=$G$6,'calculated data '!$A$6)</f>
        <v>Target Market (Core IQR)</v>
      </c>
      <c r="F8264" s="10">
        <f t="shared" si="1"/>
        <v>0.2017664151</v>
      </c>
    </row>
    <row r="8265" ht="14.25" customHeight="1">
      <c r="A8265" s="2" t="s">
        <v>413</v>
      </c>
      <c r="B8265" s="2" t="s">
        <v>414</v>
      </c>
      <c r="C8265" s="2">
        <v>1971.0</v>
      </c>
      <c r="D8265" s="9">
        <v>32679.39</v>
      </c>
      <c r="E8265" s="10" t="str">
        <f t="array" ref="E8265">IFS(D8265&lt;=$G$3,'calculated data '!$A$3,D8265&lt;=$G$4,'calculated data '!$A$4,D8265&lt;=$G$6,'calculated data '!$A$5,D8265&gt;=$G$6,'calculated data '!$A$6)</f>
        <v>Target Market (Core IQR)</v>
      </c>
      <c r="F8265" s="10">
        <f t="shared" si="1"/>
        <v>0.2018438392</v>
      </c>
    </row>
    <row r="8266" ht="14.25" customHeight="1">
      <c r="A8266" s="2" t="s">
        <v>379</v>
      </c>
      <c r="B8266" s="2" t="s">
        <v>380</v>
      </c>
      <c r="C8266" s="2">
        <v>1993.0</v>
      </c>
      <c r="D8266" s="9">
        <v>32700.383</v>
      </c>
      <c r="E8266" s="10" t="str">
        <f t="array" ref="E8266">IFS(D8266&lt;=$G$3,'calculated data '!$A$3,D8266&lt;=$G$4,'calculated data '!$A$4,D8266&lt;=$G$6,'calculated data '!$A$5,D8266&gt;=$G$6,'calculated data '!$A$6)</f>
        <v>Target Market (Core IQR)</v>
      </c>
      <c r="F8266" s="10">
        <f t="shared" si="1"/>
        <v>0.2023995186</v>
      </c>
    </row>
    <row r="8267" ht="14.25" customHeight="1">
      <c r="A8267" s="2" t="s">
        <v>279</v>
      </c>
      <c r="B8267" s="2" t="s">
        <v>280</v>
      </c>
      <c r="C8267" s="2">
        <v>1993.0</v>
      </c>
      <c r="D8267" s="9">
        <v>32702.635</v>
      </c>
      <c r="E8267" s="10" t="str">
        <f t="array" ref="E8267">IFS(D8267&lt;=$G$3,'calculated data '!$A$3,D8267&lt;=$G$4,'calculated data '!$A$4,D8267&lt;=$G$6,'calculated data '!$A$5,D8267&gt;=$G$6,'calculated data '!$A$6)</f>
        <v>Target Market (Core IQR)</v>
      </c>
      <c r="F8267" s="10">
        <f t="shared" si="1"/>
        <v>0.2024591285</v>
      </c>
    </row>
    <row r="8268" ht="14.25" customHeight="1">
      <c r="A8268" s="2" t="s">
        <v>457</v>
      </c>
      <c r="B8268" s="2" t="s">
        <v>458</v>
      </c>
      <c r="C8268" s="2">
        <v>1969.0</v>
      </c>
      <c r="D8268" s="9">
        <v>32709.691</v>
      </c>
      <c r="E8268" s="10" t="str">
        <f t="array" ref="E8268">IFS(D8268&lt;=$G$3,'calculated data '!$A$3,D8268&lt;=$G$4,'calculated data '!$A$4,D8268&lt;=$G$6,'calculated data '!$A$5,D8268&gt;=$G$6,'calculated data '!$A$6)</f>
        <v>Target Market (Core IQR)</v>
      </c>
      <c r="F8268" s="10">
        <f t="shared" si="1"/>
        <v>0.2026458991</v>
      </c>
    </row>
    <row r="8269" ht="14.25" customHeight="1">
      <c r="A8269" s="2" t="s">
        <v>335</v>
      </c>
      <c r="B8269" s="2" t="s">
        <v>336</v>
      </c>
      <c r="C8269" s="2">
        <v>2011.0</v>
      </c>
      <c r="D8269" s="9">
        <v>32747.002</v>
      </c>
      <c r="E8269" s="10" t="str">
        <f t="array" ref="E8269">IFS(D8269&lt;=$G$3,'calculated data '!$A$3,D8269&lt;=$G$4,'calculated data '!$A$4,D8269&lt;=$G$6,'calculated data '!$A$5,D8269&gt;=$G$6,'calculated data '!$A$6)</f>
        <v>Target Market (Core IQR)</v>
      </c>
      <c r="F8269" s="10">
        <f t="shared" si="1"/>
        <v>0.203633512</v>
      </c>
    </row>
    <row r="8270" ht="14.25" customHeight="1">
      <c r="A8270" s="2" t="s">
        <v>387</v>
      </c>
      <c r="B8270" s="2" t="s">
        <v>388</v>
      </c>
      <c r="C8270" s="2">
        <v>2011.0</v>
      </c>
      <c r="D8270" s="9">
        <v>32756.098</v>
      </c>
      <c r="E8270" s="10" t="str">
        <f t="array" ref="E8270">IFS(D8270&lt;=$G$3,'calculated data '!$A$3,D8270&lt;=$G$4,'calculated data '!$A$4,D8270&lt;=$G$6,'calculated data '!$A$5,D8270&gt;=$G$6,'calculated data '!$A$6)</f>
        <v>Target Market (Core IQR)</v>
      </c>
      <c r="F8270" s="10">
        <f t="shared" si="1"/>
        <v>0.2038742808</v>
      </c>
    </row>
    <row r="8271" ht="14.25" customHeight="1">
      <c r="A8271" s="2" t="s">
        <v>399</v>
      </c>
      <c r="B8271" s="2" t="s">
        <v>400</v>
      </c>
      <c r="C8271" s="2">
        <v>2012.0</v>
      </c>
      <c r="D8271" s="9">
        <v>32763.63</v>
      </c>
      <c r="E8271" s="10" t="str">
        <f t="array" ref="E8271">IFS(D8271&lt;=$G$3,'calculated data '!$A$3,D8271&lt;=$G$4,'calculated data '!$A$4,D8271&lt;=$G$6,'calculated data '!$A$5,D8271&gt;=$G$6,'calculated data '!$A$6)</f>
        <v>Target Market (Core IQR)</v>
      </c>
      <c r="F8271" s="10">
        <f t="shared" si="1"/>
        <v>0.204073651</v>
      </c>
    </row>
    <row r="8272" ht="14.25" customHeight="1">
      <c r="A8272" s="2" t="s">
        <v>421</v>
      </c>
      <c r="B8272" s="2" t="s">
        <v>422</v>
      </c>
      <c r="C8272" s="2">
        <v>1973.0</v>
      </c>
      <c r="D8272" s="9">
        <v>32765.412</v>
      </c>
      <c r="E8272" s="10" t="str">
        <f t="array" ref="E8272">IFS(D8272&lt;=$G$3,'calculated data '!$A$3,D8272&lt;=$G$4,'calculated data '!$A$4,D8272&lt;=$G$6,'calculated data '!$A$5,D8272&gt;=$G$6,'calculated data '!$A$6)</f>
        <v>Target Market (Core IQR)</v>
      </c>
      <c r="F8272" s="10">
        <f t="shared" si="1"/>
        <v>0.2041208201</v>
      </c>
    </row>
    <row r="8273" ht="14.25" customHeight="1">
      <c r="A8273" s="2" t="s">
        <v>371</v>
      </c>
      <c r="B8273" s="2" t="s">
        <v>372</v>
      </c>
      <c r="C8273" s="2">
        <v>1995.0</v>
      </c>
      <c r="D8273" s="9">
        <v>32772.625</v>
      </c>
      <c r="E8273" s="10" t="str">
        <f t="array" ref="E8273">IFS(D8273&lt;=$G$3,'calculated data '!$A$3,D8273&lt;=$G$4,'calculated data '!$A$4,D8273&lt;=$G$6,'calculated data '!$A$5,D8273&gt;=$G$6,'calculated data '!$A$6)</f>
        <v>Target Market (Core IQR)</v>
      </c>
      <c r="F8273" s="10">
        <f t="shared" si="1"/>
        <v>0.2043117464</v>
      </c>
    </row>
    <row r="8274" ht="14.25" customHeight="1">
      <c r="A8274" s="2" t="s">
        <v>379</v>
      </c>
      <c r="B8274" s="2" t="s">
        <v>380</v>
      </c>
      <c r="C8274" s="2">
        <v>2014.0</v>
      </c>
      <c r="D8274" s="9">
        <v>32807.12</v>
      </c>
      <c r="E8274" s="10" t="str">
        <f t="array" ref="E8274">IFS(D8274&lt;=$G$3,'calculated data '!$A$3,D8274&lt;=$G$4,'calculated data '!$A$4,D8274&lt;=$G$6,'calculated data '!$A$5,D8274&gt;=$G$6,'calculated data '!$A$6)</f>
        <v>Target Market (Core IQR)</v>
      </c>
      <c r="F8274" s="10">
        <f t="shared" si="1"/>
        <v>0.2052248204</v>
      </c>
    </row>
    <row r="8275" ht="14.25" customHeight="1">
      <c r="A8275" s="2" t="s">
        <v>371</v>
      </c>
      <c r="B8275" s="2" t="s">
        <v>372</v>
      </c>
      <c r="C8275" s="2">
        <v>1996.0</v>
      </c>
      <c r="D8275" s="9">
        <v>32842.332</v>
      </c>
      <c r="E8275" s="10" t="str">
        <f t="array" ref="E8275">IFS(D8275&lt;=$G$3,'calculated data '!$A$3,D8275&lt;=$G$4,'calculated data '!$A$4,D8275&lt;=$G$6,'calculated data '!$A$5,D8275&gt;=$G$6,'calculated data '!$A$6)</f>
        <v>Target Market (Core IQR)</v>
      </c>
      <c r="F8275" s="10">
        <f t="shared" si="1"/>
        <v>0.2061568733</v>
      </c>
    </row>
    <row r="8276" ht="14.25" customHeight="1">
      <c r="A8276" s="2" t="s">
        <v>437</v>
      </c>
      <c r="B8276" s="2" t="s">
        <v>438</v>
      </c>
      <c r="C8276" s="2">
        <v>1970.0</v>
      </c>
      <c r="D8276" s="9">
        <v>32844.926</v>
      </c>
      <c r="E8276" s="10" t="str">
        <f t="array" ref="E8276">IFS(D8276&lt;=$G$3,'calculated data '!$A$3,D8276&lt;=$G$4,'calculated data '!$A$4,D8276&lt;=$G$6,'calculated data '!$A$5,D8276&gt;=$G$6,'calculated data '!$A$6)</f>
        <v>Target Market (Core IQR)</v>
      </c>
      <c r="F8276" s="10">
        <f t="shared" si="1"/>
        <v>0.2062255358</v>
      </c>
    </row>
    <row r="8277" ht="14.25" customHeight="1">
      <c r="A8277" s="2" t="s">
        <v>431</v>
      </c>
      <c r="B8277" s="2" t="s">
        <v>432</v>
      </c>
      <c r="C8277" s="2">
        <v>2019.0</v>
      </c>
      <c r="D8277" s="9">
        <v>32845.668</v>
      </c>
      <c r="E8277" s="10" t="str">
        <f t="array" ref="E8277">IFS(D8277&lt;=$G$3,'calculated data '!$A$3,D8277&lt;=$G$4,'calculated data '!$A$4,D8277&lt;=$G$6,'calculated data '!$A$5,D8277&gt;=$G$6,'calculated data '!$A$6)</f>
        <v>Target Market (Core IQR)</v>
      </c>
      <c r="F8277" s="10">
        <f t="shared" si="1"/>
        <v>0.2062451764</v>
      </c>
    </row>
    <row r="8278" ht="14.25" customHeight="1">
      <c r="A8278" s="2" t="s">
        <v>407</v>
      </c>
      <c r="B8278" s="2" t="s">
        <v>408</v>
      </c>
      <c r="C8278" s="2">
        <v>2006.0</v>
      </c>
      <c r="D8278" s="9">
        <v>32852.992</v>
      </c>
      <c r="E8278" s="10" t="str">
        <f t="array" ref="E8278">IFS(D8278&lt;=$G$3,'calculated data '!$A$3,D8278&lt;=$G$4,'calculated data '!$A$4,D8278&lt;=$G$6,'calculated data '!$A$5,D8278&gt;=$G$6,'calculated data '!$A$6)</f>
        <v>Target Market (Core IQR)</v>
      </c>
      <c r="F8278" s="10">
        <f t="shared" si="1"/>
        <v>0.2064390409</v>
      </c>
    </row>
    <row r="8279" ht="14.25" customHeight="1">
      <c r="A8279" s="2" t="s">
        <v>447</v>
      </c>
      <c r="B8279" s="2" t="s">
        <v>448</v>
      </c>
      <c r="C8279" s="2">
        <v>1994.0</v>
      </c>
      <c r="D8279" s="9">
        <v>32858.3</v>
      </c>
      <c r="E8279" s="10" t="str">
        <f t="array" ref="E8279">IFS(D8279&lt;=$G$3,'calculated data '!$A$3,D8279&lt;=$G$4,'calculated data '!$A$4,D8279&lt;=$G$6,'calculated data '!$A$5,D8279&gt;=$G$6,'calculated data '!$A$6)</f>
        <v>Target Market (Core IQR)</v>
      </c>
      <c r="F8279" s="10">
        <f t="shared" si="1"/>
        <v>0.2065795423</v>
      </c>
    </row>
    <row r="8280" ht="14.25" customHeight="1">
      <c r="A8280" s="2" t="s">
        <v>71</v>
      </c>
      <c r="B8280" s="2" t="s">
        <v>72</v>
      </c>
      <c r="C8280" s="2">
        <v>1991.0</v>
      </c>
      <c r="D8280" s="9">
        <v>32859.074</v>
      </c>
      <c r="E8280" s="10" t="str">
        <f t="array" ref="E8280">IFS(D8280&lt;=$G$3,'calculated data '!$A$3,D8280&lt;=$G$4,'calculated data '!$A$4,D8280&lt;=$G$6,'calculated data '!$A$5,D8280&gt;=$G$6,'calculated data '!$A$6)</f>
        <v>Target Market (Core IQR)</v>
      </c>
      <c r="F8280" s="10">
        <f t="shared" si="1"/>
        <v>0.2066000299</v>
      </c>
    </row>
    <row r="8281" ht="14.25" customHeight="1">
      <c r="A8281" s="2" t="s">
        <v>413</v>
      </c>
      <c r="B8281" s="2" t="s">
        <v>414</v>
      </c>
      <c r="C8281" s="2">
        <v>2025.0</v>
      </c>
      <c r="D8281" s="9">
        <v>32859.49</v>
      </c>
      <c r="E8281" s="10" t="str">
        <f t="array" ref="E8281">IFS(D8281&lt;=$G$3,'calculated data '!$A$3,D8281&lt;=$G$4,'calculated data '!$A$4,D8281&lt;=$G$6,'calculated data '!$A$5,D8281&gt;=$G$6,'calculated data '!$A$6)</f>
        <v>Target Market (Core IQR)</v>
      </c>
      <c r="F8281" s="10">
        <f t="shared" si="1"/>
        <v>0.2066110413</v>
      </c>
    </row>
    <row r="8282" ht="14.25" customHeight="1">
      <c r="A8282" s="2" t="s">
        <v>451</v>
      </c>
      <c r="B8282" s="2" t="s">
        <v>452</v>
      </c>
      <c r="C8282" s="2">
        <v>1967.0</v>
      </c>
      <c r="D8282" s="9">
        <v>32864.746</v>
      </c>
      <c r="E8282" s="10" t="str">
        <f t="array" ref="E8282">IFS(D8282&lt;=$G$3,'calculated data '!$A$3,D8282&lt;=$G$4,'calculated data '!$A$4,D8282&lt;=$G$6,'calculated data '!$A$5,D8282&gt;=$G$6,'calculated data '!$A$6)</f>
        <v>Target Market (Core IQR)</v>
      </c>
      <c r="F8282" s="10">
        <f t="shared" si="1"/>
        <v>0.2067501663</v>
      </c>
    </row>
    <row r="8283" ht="14.25" customHeight="1">
      <c r="A8283" s="2" t="s">
        <v>377</v>
      </c>
      <c r="B8283" s="2" t="s">
        <v>378</v>
      </c>
      <c r="C8283" s="2">
        <v>2008.0</v>
      </c>
      <c r="D8283" s="9">
        <v>32871.168</v>
      </c>
      <c r="E8283" s="10" t="str">
        <f t="array" ref="E8283">IFS(D8283&lt;=$G$3,'calculated data '!$A$3,D8283&lt;=$G$4,'calculated data '!$A$4,D8283&lt;=$G$6,'calculated data '!$A$5,D8283&gt;=$G$6,'calculated data '!$A$6)</f>
        <v>Target Market (Core IQR)</v>
      </c>
      <c r="F8283" s="10">
        <f t="shared" si="1"/>
        <v>0.2069201551</v>
      </c>
    </row>
    <row r="8284" ht="14.25" customHeight="1">
      <c r="A8284" s="2" t="s">
        <v>387</v>
      </c>
      <c r="B8284" s="2" t="s">
        <v>388</v>
      </c>
      <c r="C8284" s="2">
        <v>2022.0</v>
      </c>
      <c r="D8284" s="9">
        <v>32896.395</v>
      </c>
      <c r="E8284" s="10" t="str">
        <f t="array" ref="E8284">IFS(D8284&lt;=$G$3,'calculated data '!$A$3,D8284&lt;=$G$4,'calculated data '!$A$4,D8284&lt;=$G$6,'calculated data '!$A$5,D8284&gt;=$G$6,'calculated data '!$A$6)</f>
        <v>Target Market (Core IQR)</v>
      </c>
      <c r="F8284" s="10">
        <f t="shared" si="1"/>
        <v>0.2075879075</v>
      </c>
    </row>
    <row r="8285" ht="14.25" customHeight="1">
      <c r="A8285" s="2" t="s">
        <v>457</v>
      </c>
      <c r="B8285" s="2" t="s">
        <v>458</v>
      </c>
      <c r="C8285" s="2">
        <v>1965.0</v>
      </c>
      <c r="D8285" s="9">
        <v>32905.56</v>
      </c>
      <c r="E8285" s="10" t="str">
        <f t="array" ref="E8285">IFS(D8285&lt;=$G$3,'calculated data '!$A$3,D8285&lt;=$G$4,'calculated data '!$A$4,D8285&lt;=$G$6,'calculated data '!$A$5,D8285&gt;=$G$6,'calculated data '!$A$6)</f>
        <v>Target Market (Core IQR)</v>
      </c>
      <c r="F8285" s="10">
        <f t="shared" si="1"/>
        <v>0.2078305027</v>
      </c>
    </row>
    <row r="8286" ht="14.25" customHeight="1">
      <c r="A8286" s="2" t="s">
        <v>445</v>
      </c>
      <c r="B8286" s="2" t="s">
        <v>446</v>
      </c>
      <c r="C8286" s="2">
        <v>1968.0</v>
      </c>
      <c r="D8286" s="9">
        <v>32920.426</v>
      </c>
      <c r="E8286" s="10" t="str">
        <f t="array" ref="E8286">IFS(D8286&lt;=$G$3,'calculated data '!$A$3,D8286&lt;=$G$4,'calculated data '!$A$4,D8286&lt;=$G$6,'calculated data '!$A$5,D8286&gt;=$G$6,'calculated data '!$A$6)</f>
        <v>Target Market (Core IQR)</v>
      </c>
      <c r="F8286" s="10">
        <f t="shared" si="1"/>
        <v>0.208224002</v>
      </c>
    </row>
    <row r="8287" ht="14.25" customHeight="1">
      <c r="A8287" s="2" t="s">
        <v>387</v>
      </c>
      <c r="B8287" s="2" t="s">
        <v>388</v>
      </c>
      <c r="C8287" s="2">
        <v>2021.0</v>
      </c>
      <c r="D8287" s="9">
        <v>32921.89</v>
      </c>
      <c r="E8287" s="10" t="str">
        <f t="array" ref="E8287">IFS(D8287&lt;=$G$3,'calculated data '!$A$3,D8287&lt;=$G$4,'calculated data '!$A$4,D8287&lt;=$G$6,'calculated data '!$A$5,D8287&gt;=$G$6,'calculated data '!$A$6)</f>
        <v>Target Market (Core IQR)</v>
      </c>
      <c r="F8287" s="10">
        <f t="shared" si="1"/>
        <v>0.2082627538</v>
      </c>
    </row>
    <row r="8288" ht="14.25" customHeight="1">
      <c r="A8288" s="2" t="s">
        <v>249</v>
      </c>
      <c r="B8288" s="2" t="s">
        <v>250</v>
      </c>
      <c r="C8288" s="2">
        <v>2007.0</v>
      </c>
      <c r="D8288" s="9">
        <v>32928.758</v>
      </c>
      <c r="E8288" s="10" t="str">
        <f t="array" ref="E8288">IFS(D8288&lt;=$G$3,'calculated data '!$A$3,D8288&lt;=$G$4,'calculated data '!$A$4,D8288&lt;=$G$6,'calculated data '!$A$5,D8288&gt;=$G$6,'calculated data '!$A$6)</f>
        <v>Target Market (Core IQR)</v>
      </c>
      <c r="F8288" s="10">
        <f t="shared" si="1"/>
        <v>0.208444548</v>
      </c>
    </row>
    <row r="8289" ht="14.25" customHeight="1">
      <c r="A8289" s="2" t="s">
        <v>319</v>
      </c>
      <c r="B8289" s="2" t="s">
        <v>320</v>
      </c>
      <c r="C8289" s="2">
        <v>2005.0</v>
      </c>
      <c r="D8289" s="9">
        <v>32937.04</v>
      </c>
      <c r="E8289" s="10" t="str">
        <f t="array" ref="E8289">IFS(D8289&lt;=$G$3,'calculated data '!$A$3,D8289&lt;=$G$4,'calculated data '!$A$4,D8289&lt;=$G$6,'calculated data '!$A$5,D8289&gt;=$G$6,'calculated data '!$A$6)</f>
        <v>Target Market (Core IQR)</v>
      </c>
      <c r="F8289" s="10">
        <f t="shared" si="1"/>
        <v>0.2086637705</v>
      </c>
    </row>
    <row r="8290" ht="14.25" customHeight="1">
      <c r="A8290" s="2" t="s">
        <v>371</v>
      </c>
      <c r="B8290" s="2" t="s">
        <v>372</v>
      </c>
      <c r="C8290" s="2">
        <v>2010.0</v>
      </c>
      <c r="D8290" s="9">
        <v>32944.996</v>
      </c>
      <c r="E8290" s="10" t="str">
        <f t="array" ref="E8290">IFS(D8290&lt;=$G$3,'calculated data '!$A$3,D8290&lt;=$G$4,'calculated data '!$A$4,D8290&lt;=$G$6,'calculated data '!$A$5,D8290&gt;=$G$6,'calculated data '!$A$6)</f>
        <v>Target Market (Core IQR)</v>
      </c>
      <c r="F8290" s="10">
        <f t="shared" si="1"/>
        <v>0.2088743638</v>
      </c>
    </row>
    <row r="8291" ht="14.25" customHeight="1">
      <c r="A8291" s="2" t="s">
        <v>257</v>
      </c>
      <c r="B8291" s="2" t="s">
        <v>258</v>
      </c>
      <c r="C8291" s="2">
        <v>2013.0</v>
      </c>
      <c r="D8291" s="9">
        <v>32959.098</v>
      </c>
      <c r="E8291" s="10" t="str">
        <f t="array" ref="E8291">IFS(D8291&lt;=$G$3,'calculated data '!$A$3,D8291&lt;=$G$4,'calculated data '!$A$4,D8291&lt;=$G$6,'calculated data '!$A$5,D8291&gt;=$G$6,'calculated data '!$A$6)</f>
        <v>Target Market (Core IQR)</v>
      </c>
      <c r="F8291" s="10">
        <f t="shared" si="1"/>
        <v>0.2092476403</v>
      </c>
    </row>
    <row r="8292" ht="14.25" customHeight="1">
      <c r="A8292" s="2" t="s">
        <v>353</v>
      </c>
      <c r="B8292" s="2" t="s">
        <v>354</v>
      </c>
      <c r="C8292" s="2">
        <v>1977.0</v>
      </c>
      <c r="D8292" s="9">
        <v>32977.28</v>
      </c>
      <c r="E8292" s="10" t="str">
        <f t="array" ref="E8292">IFS(D8292&lt;=$G$3,'calculated data '!$A$3,D8292&lt;=$G$4,'calculated data '!$A$4,D8292&lt;=$G$6,'calculated data '!$A$5,D8292&gt;=$G$6,'calculated data '!$A$6)</f>
        <v>Target Market (Core IQR)</v>
      </c>
      <c r="F8292" s="10">
        <f t="shared" si="1"/>
        <v>0.2097289133</v>
      </c>
    </row>
    <row r="8293" ht="14.25" customHeight="1">
      <c r="A8293" s="2" t="s">
        <v>411</v>
      </c>
      <c r="B8293" s="2" t="s">
        <v>412</v>
      </c>
      <c r="C8293" s="2">
        <v>2019.0</v>
      </c>
      <c r="D8293" s="9">
        <v>32986.773</v>
      </c>
      <c r="E8293" s="10" t="str">
        <f t="array" ref="E8293">IFS(D8293&lt;=$G$3,'calculated data '!$A$3,D8293&lt;=$G$4,'calculated data '!$A$4,D8293&lt;=$G$6,'calculated data '!$A$5,D8293&gt;=$G$6,'calculated data '!$A$6)</f>
        <v>Target Market (Core IQR)</v>
      </c>
      <c r="F8293" s="10">
        <f t="shared" si="1"/>
        <v>0.2099801906</v>
      </c>
    </row>
    <row r="8294" ht="14.25" customHeight="1">
      <c r="A8294" s="2" t="s">
        <v>419</v>
      </c>
      <c r="B8294" s="2" t="s">
        <v>420</v>
      </c>
      <c r="C8294" s="2">
        <v>1993.0</v>
      </c>
      <c r="D8294" s="9">
        <v>32987.367</v>
      </c>
      <c r="E8294" s="10" t="str">
        <f t="array" ref="E8294">IFS(D8294&lt;=$G$3,'calculated data '!$A$3,D8294&lt;=$G$4,'calculated data '!$A$4,D8294&lt;=$G$6,'calculated data '!$A$5,D8294&gt;=$G$6,'calculated data '!$A$6)</f>
        <v>Target Market (Core IQR)</v>
      </c>
      <c r="F8294" s="10">
        <f t="shared" si="1"/>
        <v>0.2099959136</v>
      </c>
    </row>
    <row r="8295" ht="14.25" customHeight="1">
      <c r="A8295" s="2" t="s">
        <v>367</v>
      </c>
      <c r="B8295" s="2" t="s">
        <v>368</v>
      </c>
      <c r="C8295" s="2">
        <v>2003.0</v>
      </c>
      <c r="D8295" s="9">
        <v>33001.086</v>
      </c>
      <c r="E8295" s="10" t="str">
        <f t="array" ref="E8295">IFS(D8295&lt;=$G$3,'calculated data '!$A$3,D8295&lt;=$G$4,'calculated data '!$A$4,D8295&lt;=$G$6,'calculated data '!$A$5,D8295&gt;=$G$6,'calculated data '!$A$6)</f>
        <v>Target Market (Core IQR)</v>
      </c>
      <c r="F8295" s="10">
        <f t="shared" si="1"/>
        <v>0.2103590522</v>
      </c>
    </row>
    <row r="8296" ht="14.25" customHeight="1">
      <c r="A8296" s="2" t="s">
        <v>387</v>
      </c>
      <c r="B8296" s="2" t="s">
        <v>388</v>
      </c>
      <c r="C8296" s="2">
        <v>2013.0</v>
      </c>
      <c r="D8296" s="9">
        <v>33005.023</v>
      </c>
      <c r="E8296" s="10" t="str">
        <f t="array" ref="E8296">IFS(D8296&lt;=$G$3,'calculated data '!$A$3,D8296&lt;=$G$4,'calculated data '!$A$4,D8296&lt;=$G$6,'calculated data '!$A$5,D8296&gt;=$G$6,'calculated data '!$A$6)</f>
        <v>Target Market (Core IQR)</v>
      </c>
      <c r="F8296" s="10">
        <f t="shared" si="1"/>
        <v>0.2104632636</v>
      </c>
    </row>
    <row r="8297" ht="14.25" customHeight="1">
      <c r="A8297" s="2" t="s">
        <v>409</v>
      </c>
      <c r="B8297" s="2" t="s">
        <v>410</v>
      </c>
      <c r="C8297" s="2">
        <v>1990.0</v>
      </c>
      <c r="D8297" s="9">
        <v>33041.402</v>
      </c>
      <c r="E8297" s="10" t="str">
        <f t="array" ref="E8297">IFS(D8297&lt;=$G$3,'calculated data '!$A$3,D8297&lt;=$G$4,'calculated data '!$A$4,D8297&lt;=$G$6,'calculated data '!$A$5,D8297&gt;=$G$6,'calculated data '!$A$6)</f>
        <v>Target Market (Core IQR)</v>
      </c>
      <c r="F8297" s="10">
        <f t="shared" si="1"/>
        <v>0.2114262066</v>
      </c>
    </row>
    <row r="8298" ht="14.25" customHeight="1">
      <c r="A8298" s="2" t="s">
        <v>413</v>
      </c>
      <c r="B8298" s="2" t="s">
        <v>414</v>
      </c>
      <c r="C8298" s="2">
        <v>2020.0</v>
      </c>
      <c r="D8298" s="9">
        <v>33052.49</v>
      </c>
      <c r="E8298" s="10" t="str">
        <f t="array" ref="E8298">IFS(D8298&lt;=$G$3,'calculated data '!$A$3,D8298&lt;=$G$4,'calculated data '!$A$4,D8298&lt;=$G$6,'calculated data '!$A$5,D8298&gt;=$G$6,'calculated data '!$A$6)</f>
        <v>Target Market (Core IQR)</v>
      </c>
      <c r="F8298" s="10">
        <f t="shared" si="1"/>
        <v>0.2117197032</v>
      </c>
    </row>
    <row r="8299" ht="14.25" customHeight="1">
      <c r="A8299" s="2" t="s">
        <v>427</v>
      </c>
      <c r="B8299" s="2" t="s">
        <v>428</v>
      </c>
      <c r="C8299" s="2">
        <v>1998.0</v>
      </c>
      <c r="D8299" s="9">
        <v>33059.168</v>
      </c>
      <c r="E8299" s="10" t="str">
        <f t="array" ref="E8299">IFS(D8299&lt;=$G$3,'calculated data '!$A$3,D8299&lt;=$G$4,'calculated data '!$A$4,D8299&lt;=$G$6,'calculated data '!$A$5,D8299&gt;=$G$6,'calculated data '!$A$6)</f>
        <v>Target Market (Core IQR)</v>
      </c>
      <c r="F8299" s="10">
        <f t="shared" si="1"/>
        <v>0.2118964682</v>
      </c>
    </row>
    <row r="8300" ht="14.25" customHeight="1">
      <c r="A8300" s="2" t="s">
        <v>431</v>
      </c>
      <c r="B8300" s="2" t="s">
        <v>432</v>
      </c>
      <c r="C8300" s="2">
        <v>1995.0</v>
      </c>
      <c r="D8300" s="9">
        <v>33059.832</v>
      </c>
      <c r="E8300" s="10" t="str">
        <f t="array" ref="E8300">IFS(D8300&lt;=$G$3,'calculated data '!$A$3,D8300&lt;=$G$4,'calculated data '!$A$4,D8300&lt;=$G$6,'calculated data '!$A$5,D8300&gt;=$G$6,'calculated data '!$A$6)</f>
        <v>Target Market (Core IQR)</v>
      </c>
      <c r="F8300" s="10">
        <f t="shared" si="1"/>
        <v>0.2119140441</v>
      </c>
    </row>
    <row r="8301" ht="14.25" customHeight="1">
      <c r="A8301" s="2" t="s">
        <v>459</v>
      </c>
      <c r="B8301" s="2" t="s">
        <v>460</v>
      </c>
      <c r="C8301" s="2">
        <v>2024.0</v>
      </c>
      <c r="D8301" s="9">
        <v>33061.59</v>
      </c>
      <c r="E8301" s="10" t="str">
        <f t="array" ref="E8301">IFS(D8301&lt;=$G$3,'calculated data '!$A$3,D8301&lt;=$G$4,'calculated data '!$A$4,D8301&lt;=$G$6,'calculated data '!$A$5,D8301&gt;=$G$6,'calculated data '!$A$6)</f>
        <v>Target Market (Core IQR)</v>
      </c>
      <c r="F8301" s="10">
        <f t="shared" si="1"/>
        <v>0.211960578</v>
      </c>
    </row>
    <row r="8302" ht="14.25" customHeight="1">
      <c r="A8302" s="2" t="s">
        <v>387</v>
      </c>
      <c r="B8302" s="2" t="s">
        <v>388</v>
      </c>
      <c r="C8302" s="2">
        <v>2023.0</v>
      </c>
      <c r="D8302" s="9">
        <v>33070.297</v>
      </c>
      <c r="E8302" s="10" t="str">
        <f t="array" ref="E8302">IFS(D8302&lt;=$G$3,'calculated data '!$A$3,D8302&lt;=$G$4,'calculated data '!$A$4,D8302&lt;=$G$6,'calculated data '!$A$5,D8302&gt;=$G$6,'calculated data '!$A$6)</f>
        <v>Target Market (Core IQR)</v>
      </c>
      <c r="F8302" s="10">
        <f t="shared" si="1"/>
        <v>0.2121910501</v>
      </c>
    </row>
    <row r="8303" ht="14.25" customHeight="1">
      <c r="A8303" s="2" t="s">
        <v>367</v>
      </c>
      <c r="B8303" s="2" t="s">
        <v>368</v>
      </c>
      <c r="C8303" s="2">
        <v>2004.0</v>
      </c>
      <c r="D8303" s="9">
        <v>33071.68</v>
      </c>
      <c r="E8303" s="10" t="str">
        <f t="array" ref="E8303">IFS(D8303&lt;=$G$3,'calculated data '!$A$3,D8303&lt;=$G$4,'calculated data '!$A$4,D8303&lt;=$G$6,'calculated data '!$A$5,D8303&gt;=$G$6,'calculated data '!$A$6)</f>
        <v>Target Market (Core IQR)</v>
      </c>
      <c r="F8303" s="10">
        <f t="shared" si="1"/>
        <v>0.2122276578</v>
      </c>
    </row>
    <row r="8304" ht="14.25" customHeight="1">
      <c r="A8304" s="2" t="s">
        <v>335</v>
      </c>
      <c r="B8304" s="2" t="s">
        <v>336</v>
      </c>
      <c r="C8304" s="2">
        <v>2010.0</v>
      </c>
      <c r="D8304" s="9">
        <v>33082.344</v>
      </c>
      <c r="E8304" s="10" t="str">
        <f t="array" ref="E8304">IFS(D8304&lt;=$G$3,'calculated data '!$A$3,D8304&lt;=$G$4,'calculated data '!$A$4,D8304&lt;=$G$6,'calculated data '!$A$5,D8304&gt;=$G$6,'calculated data '!$A$6)</f>
        <v>Target Market (Core IQR)</v>
      </c>
      <c r="F8304" s="10">
        <f t="shared" si="1"/>
        <v>0.2125099312</v>
      </c>
    </row>
    <row r="8305" ht="14.25" customHeight="1">
      <c r="A8305" s="2" t="s">
        <v>353</v>
      </c>
      <c r="B8305" s="2" t="s">
        <v>354</v>
      </c>
      <c r="C8305" s="2">
        <v>2022.0</v>
      </c>
      <c r="D8305" s="9">
        <v>33086.566</v>
      </c>
      <c r="E8305" s="10" t="str">
        <f t="array" ref="E8305">IFS(D8305&lt;=$G$3,'calculated data '!$A$3,D8305&lt;=$G$4,'calculated data '!$A$4,D8305&lt;=$G$6,'calculated data '!$A$5,D8305&gt;=$G$6,'calculated data '!$A$6)</f>
        <v>Target Market (Core IQR)</v>
      </c>
      <c r="F8305" s="10">
        <f t="shared" si="1"/>
        <v>0.2126216865</v>
      </c>
    </row>
    <row r="8306" ht="14.25" customHeight="1">
      <c r="A8306" s="2" t="s">
        <v>413</v>
      </c>
      <c r="B8306" s="2" t="s">
        <v>414</v>
      </c>
      <c r="C8306" s="2">
        <v>2022.0</v>
      </c>
      <c r="D8306" s="9">
        <v>33089.15</v>
      </c>
      <c r="E8306" s="10" t="str">
        <f t="array" ref="E8306">IFS(D8306&lt;=$G$3,'calculated data '!$A$3,D8306&lt;=$G$4,'calculated data '!$A$4,D8306&lt;=$G$6,'calculated data '!$A$5,D8306&gt;=$G$6,'calculated data '!$A$6)</f>
        <v>Target Market (Core IQR)</v>
      </c>
      <c r="F8306" s="10">
        <f t="shared" si="1"/>
        <v>0.2126900843</v>
      </c>
    </row>
    <row r="8307" ht="14.25" customHeight="1">
      <c r="A8307" s="2" t="s">
        <v>457</v>
      </c>
      <c r="B8307" s="2" t="s">
        <v>458</v>
      </c>
      <c r="C8307" s="2">
        <v>1967.0</v>
      </c>
      <c r="D8307" s="9">
        <v>33094.547</v>
      </c>
      <c r="E8307" s="10" t="str">
        <f t="array" ref="E8307">IFS(D8307&lt;=$G$3,'calculated data '!$A$3,D8307&lt;=$G$4,'calculated data '!$A$4,D8307&lt;=$G$6,'calculated data '!$A$5,D8307&gt;=$G$6,'calculated data '!$A$6)</f>
        <v>Target Market (Core IQR)</v>
      </c>
      <c r="F8307" s="10">
        <f t="shared" si="1"/>
        <v>0.2128329415</v>
      </c>
    </row>
    <row r="8308" ht="14.25" customHeight="1">
      <c r="A8308" s="2" t="s">
        <v>335</v>
      </c>
      <c r="B8308" s="2" t="s">
        <v>336</v>
      </c>
      <c r="C8308" s="2">
        <v>2009.0</v>
      </c>
      <c r="D8308" s="9">
        <v>33107.99</v>
      </c>
      <c r="E8308" s="10" t="str">
        <f t="array" ref="E8308">IFS(D8308&lt;=$G$3,'calculated data '!$A$3,D8308&lt;=$G$4,'calculated data '!$A$4,D8308&lt;=$G$6,'calculated data '!$A$5,D8308&gt;=$G$6,'calculated data '!$A$6)</f>
        <v>Target Market (Core IQR)</v>
      </c>
      <c r="F8308" s="10">
        <f t="shared" si="1"/>
        <v>0.2131887744</v>
      </c>
    </row>
    <row r="8309" ht="14.25" customHeight="1">
      <c r="A8309" s="2" t="s">
        <v>413</v>
      </c>
      <c r="B8309" s="2" t="s">
        <v>414</v>
      </c>
      <c r="C8309" s="2">
        <v>2014.0</v>
      </c>
      <c r="D8309" s="9">
        <v>33120.13</v>
      </c>
      <c r="E8309" s="10" t="str">
        <f t="array" ref="E8309">IFS(D8309&lt;=$G$3,'calculated data '!$A$3,D8309&lt;=$G$4,'calculated data '!$A$4,D8309&lt;=$G$6,'calculated data '!$A$5,D8309&gt;=$G$6,'calculated data '!$A$6)</f>
        <v>Target Market (Core IQR)</v>
      </c>
      <c r="F8309" s="10">
        <f t="shared" si="1"/>
        <v>0.2135101172</v>
      </c>
    </row>
    <row r="8310" ht="14.25" customHeight="1">
      <c r="A8310" s="2" t="s">
        <v>387</v>
      </c>
      <c r="B8310" s="2" t="s">
        <v>388</v>
      </c>
      <c r="C8310" s="2">
        <v>2019.0</v>
      </c>
      <c r="D8310" s="9">
        <v>33123.305</v>
      </c>
      <c r="E8310" s="10" t="str">
        <f t="array" ref="E8310">IFS(D8310&lt;=$G$3,'calculated data '!$A$3,D8310&lt;=$G$4,'calculated data '!$A$4,D8310&lt;=$G$6,'calculated data '!$A$5,D8310&gt;=$G$6,'calculated data '!$A$6)</f>
        <v>Target Market (Core IQR)</v>
      </c>
      <c r="F8310" s="10">
        <f t="shared" si="1"/>
        <v>0.2135941586</v>
      </c>
    </row>
    <row r="8311" ht="14.25" customHeight="1">
      <c r="A8311" s="2" t="s">
        <v>401</v>
      </c>
      <c r="B8311" s="2" t="s">
        <v>402</v>
      </c>
      <c r="C8311" s="2">
        <v>1976.0</v>
      </c>
      <c r="D8311" s="9">
        <v>33134.836</v>
      </c>
      <c r="E8311" s="10" t="str">
        <f t="array" ref="E8311">IFS(D8311&lt;=$G$3,'calculated data '!$A$3,D8311&lt;=$G$4,'calculated data '!$A$4,D8311&lt;=$G$6,'calculated data '!$A$5,D8311&gt;=$G$6,'calculated data '!$A$6)</f>
        <v>Target Market (Core IQR)</v>
      </c>
      <c r="F8311" s="10">
        <f t="shared" si="1"/>
        <v>0.2138993813</v>
      </c>
    </row>
    <row r="8312" ht="14.25" customHeight="1">
      <c r="A8312" s="2" t="s">
        <v>417</v>
      </c>
      <c r="B8312" s="2" t="s">
        <v>418</v>
      </c>
      <c r="C8312" s="2">
        <v>2020.0</v>
      </c>
      <c r="D8312" s="9">
        <v>33162.57</v>
      </c>
      <c r="E8312" s="10" t="str">
        <f t="array" ref="E8312">IFS(D8312&lt;=$G$3,'calculated data '!$A$3,D8312&lt;=$G$4,'calculated data '!$A$4,D8312&lt;=$G$6,'calculated data '!$A$5,D8312&gt;=$G$6,'calculated data '!$A$6)</f>
        <v>Target Market (Core IQR)</v>
      </c>
      <c r="F8312" s="10">
        <f t="shared" si="1"/>
        <v>0.2146334934</v>
      </c>
    </row>
    <row r="8313" ht="14.25" customHeight="1">
      <c r="A8313" s="2" t="s">
        <v>311</v>
      </c>
      <c r="B8313" s="2" t="s">
        <v>312</v>
      </c>
      <c r="C8313" s="2">
        <v>2023.0</v>
      </c>
      <c r="D8313" s="9">
        <v>33176.367</v>
      </c>
      <c r="E8313" s="10" t="str">
        <f t="array" ref="E8313">IFS(D8313&lt;=$G$3,'calculated data '!$A$3,D8313&lt;=$G$4,'calculated data '!$A$4,D8313&lt;=$G$6,'calculated data '!$A$5,D8313&gt;=$G$6,'calculated data '!$A$6)</f>
        <v>Target Market (Core IQR)</v>
      </c>
      <c r="F8313" s="10">
        <f t="shared" si="1"/>
        <v>0.2149986966</v>
      </c>
    </row>
    <row r="8314" ht="14.25" customHeight="1">
      <c r="A8314" s="2" t="s">
        <v>425</v>
      </c>
      <c r="B8314" s="2" t="s">
        <v>426</v>
      </c>
      <c r="C8314" s="2">
        <v>2016.0</v>
      </c>
      <c r="D8314" s="9">
        <v>33180.453</v>
      </c>
      <c r="E8314" s="10" t="str">
        <f t="array" ref="E8314">IFS(D8314&lt;=$G$3,'calculated data '!$A$3,D8314&lt;=$G$4,'calculated data '!$A$4,D8314&lt;=$G$6,'calculated data '!$A$5,D8314&gt;=$G$6,'calculated data '!$A$6)</f>
        <v>Target Market (Core IQR)</v>
      </c>
      <c r="F8314" s="10">
        <f t="shared" si="1"/>
        <v>0.215106852</v>
      </c>
    </row>
    <row r="8315" ht="14.25" customHeight="1">
      <c r="A8315" s="2" t="s">
        <v>409</v>
      </c>
      <c r="B8315" s="2" t="s">
        <v>410</v>
      </c>
      <c r="C8315" s="2">
        <v>2014.0</v>
      </c>
      <c r="D8315" s="9">
        <v>33181.11</v>
      </c>
      <c r="E8315" s="10" t="str">
        <f t="array" ref="E8315">IFS(D8315&lt;=$G$3,'calculated data '!$A$3,D8315&lt;=$G$4,'calculated data '!$A$4,D8315&lt;=$G$6,'calculated data '!$A$5,D8315&gt;=$G$6,'calculated data '!$A$6)</f>
        <v>Target Market (Core IQR)</v>
      </c>
      <c r="F8315" s="10">
        <f t="shared" si="1"/>
        <v>0.2151242426</v>
      </c>
    </row>
    <row r="8316" ht="14.25" customHeight="1">
      <c r="A8316" s="2" t="s">
        <v>459</v>
      </c>
      <c r="B8316" s="2" t="s">
        <v>460</v>
      </c>
      <c r="C8316" s="2">
        <v>2025.0</v>
      </c>
      <c r="D8316" s="9">
        <v>33183.234</v>
      </c>
      <c r="E8316" s="10" t="str">
        <f t="array" ref="E8316">IFS(D8316&lt;=$G$3,'calculated data '!$A$3,D8316&lt;=$G$4,'calculated data '!$A$4,D8316&lt;=$G$6,'calculated data '!$A$5,D8316&gt;=$G$6,'calculated data '!$A$6)</f>
        <v>Target Market (Core IQR)</v>
      </c>
      <c r="F8316" s="10">
        <f t="shared" si="1"/>
        <v>0.2151804643</v>
      </c>
    </row>
    <row r="8317" ht="14.25" customHeight="1">
      <c r="A8317" s="2" t="s">
        <v>257</v>
      </c>
      <c r="B8317" s="2" t="s">
        <v>258</v>
      </c>
      <c r="C8317" s="2">
        <v>2015.0</v>
      </c>
      <c r="D8317" s="9">
        <v>33185.715</v>
      </c>
      <c r="E8317" s="10" t="str">
        <f t="array" ref="E8317">IFS(D8317&lt;=$G$3,'calculated data '!$A$3,D8317&lt;=$G$4,'calculated data '!$A$4,D8317&lt;=$G$6,'calculated data '!$A$5,D8317&gt;=$G$6,'calculated data '!$A$6)</f>
        <v>Target Market (Core IQR)</v>
      </c>
      <c r="F8317" s="10">
        <f t="shared" si="1"/>
        <v>0.2152461358</v>
      </c>
    </row>
    <row r="8318" ht="14.25" customHeight="1">
      <c r="A8318" s="2" t="s">
        <v>401</v>
      </c>
      <c r="B8318" s="2" t="s">
        <v>402</v>
      </c>
      <c r="C8318" s="2">
        <v>1981.0</v>
      </c>
      <c r="D8318" s="9">
        <v>33188.06</v>
      </c>
      <c r="E8318" s="10" t="str">
        <f t="array" ref="E8318">IFS(D8318&lt;=$G$3,'calculated data '!$A$3,D8318&lt;=$G$4,'calculated data '!$A$4,D8318&lt;=$G$6,'calculated data '!$A$5,D8318&gt;=$G$6,'calculated data '!$A$6)</f>
        <v>Target Market (Core IQR)</v>
      </c>
      <c r="F8318" s="10">
        <f t="shared" si="1"/>
        <v>0.2153082074</v>
      </c>
    </row>
    <row r="8319" ht="14.25" customHeight="1">
      <c r="A8319" s="2" t="s">
        <v>369</v>
      </c>
      <c r="B8319" s="2" t="s">
        <v>370</v>
      </c>
      <c r="C8319" s="2">
        <v>1982.0</v>
      </c>
      <c r="D8319" s="9">
        <v>33211.824</v>
      </c>
      <c r="E8319" s="10" t="str">
        <f t="array" ref="E8319">IFS(D8319&lt;=$G$3,'calculated data '!$A$3,D8319&lt;=$G$4,'calculated data '!$A$4,D8319&lt;=$G$6,'calculated data '!$A$5,D8319&gt;=$G$6,'calculated data '!$A$6)</f>
        <v>Target Market (Core IQR)</v>
      </c>
      <c r="F8319" s="10">
        <f t="shared" si="1"/>
        <v>0.2159372345</v>
      </c>
    </row>
    <row r="8320" ht="14.25" customHeight="1">
      <c r="A8320" s="2" t="s">
        <v>439</v>
      </c>
      <c r="B8320" s="2" t="s">
        <v>440</v>
      </c>
      <c r="C8320" s="2">
        <v>1981.0</v>
      </c>
      <c r="D8320" s="9">
        <v>33212.08</v>
      </c>
      <c r="E8320" s="10" t="str">
        <f t="array" ref="E8320">IFS(D8320&lt;=$G$3,'calculated data '!$A$3,D8320&lt;=$G$4,'calculated data '!$A$4,D8320&lt;=$G$6,'calculated data '!$A$5,D8320&gt;=$G$6,'calculated data '!$A$6)</f>
        <v>Target Market (Core IQR)</v>
      </c>
      <c r="F8320" s="10">
        <f t="shared" si="1"/>
        <v>0.2159440108</v>
      </c>
    </row>
    <row r="8321" ht="14.25" customHeight="1">
      <c r="A8321" s="2" t="s">
        <v>435</v>
      </c>
      <c r="B8321" s="2" t="s">
        <v>436</v>
      </c>
      <c r="C8321" s="2">
        <v>2013.0</v>
      </c>
      <c r="D8321" s="9">
        <v>33224.723</v>
      </c>
      <c r="E8321" s="10" t="str">
        <f t="array" ref="E8321">IFS(D8321&lt;=$G$3,'calculated data '!$A$3,D8321&lt;=$G$4,'calculated data '!$A$4,D8321&lt;=$G$6,'calculated data '!$A$5,D8321&gt;=$G$6,'calculated data '!$A$6)</f>
        <v>Target Market (Core IQR)</v>
      </c>
      <c r="F8321" s="10">
        <f t="shared" si="1"/>
        <v>0.2162786678</v>
      </c>
    </row>
    <row r="8322" ht="14.25" customHeight="1">
      <c r="A8322" s="2" t="s">
        <v>419</v>
      </c>
      <c r="B8322" s="2" t="s">
        <v>420</v>
      </c>
      <c r="C8322" s="2">
        <v>2022.0</v>
      </c>
      <c r="D8322" s="9">
        <v>33241.582</v>
      </c>
      <c r="E8322" s="10" t="str">
        <f t="array" ref="E8322">IFS(D8322&lt;=$G$3,'calculated data '!$A$3,D8322&lt;=$G$4,'calculated data '!$A$4,D8322&lt;=$G$6,'calculated data '!$A$5,D8322&gt;=$G$6,'calculated data '!$A$6)</f>
        <v>Target Market (Core IQR)</v>
      </c>
      <c r="F8322" s="10">
        <f t="shared" si="1"/>
        <v>0.2167249214</v>
      </c>
    </row>
    <row r="8323" ht="14.25" customHeight="1">
      <c r="A8323" s="2" t="s">
        <v>387</v>
      </c>
      <c r="B8323" s="2" t="s">
        <v>388</v>
      </c>
      <c r="C8323" s="2">
        <v>2024.0</v>
      </c>
      <c r="D8323" s="9">
        <v>33242.316</v>
      </c>
      <c r="E8323" s="10" t="str">
        <f t="array" ref="E8323">IFS(D8323&lt;=$G$3,'calculated data '!$A$3,D8323&lt;=$G$4,'calculated data '!$A$4,D8323&lt;=$G$6,'calculated data '!$A$5,D8323&gt;=$G$6,'calculated data '!$A$6)</f>
        <v>Target Market (Core IQR)</v>
      </c>
      <c r="F8323" s="10">
        <f t="shared" si="1"/>
        <v>0.2167443502</v>
      </c>
    </row>
    <row r="8324" ht="14.25" customHeight="1">
      <c r="A8324" s="2" t="s">
        <v>387</v>
      </c>
      <c r="B8324" s="2" t="s">
        <v>388</v>
      </c>
      <c r="C8324" s="2">
        <v>2010.0</v>
      </c>
      <c r="D8324" s="9">
        <v>33244.883</v>
      </c>
      <c r="E8324" s="10" t="str">
        <f t="array" ref="E8324">IFS(D8324&lt;=$G$3,'calculated data '!$A$3,D8324&lt;=$G$4,'calculated data '!$A$4,D8324&lt;=$G$6,'calculated data '!$A$5,D8324&gt;=$G$6,'calculated data '!$A$6)</f>
        <v>Target Market (Core IQR)</v>
      </c>
      <c r="F8324" s="10">
        <f t="shared" si="1"/>
        <v>0.216812298</v>
      </c>
    </row>
    <row r="8325" ht="14.25" customHeight="1">
      <c r="A8325" s="2" t="s">
        <v>379</v>
      </c>
      <c r="B8325" s="2" t="s">
        <v>380</v>
      </c>
      <c r="C8325" s="2">
        <v>1994.0</v>
      </c>
      <c r="D8325" s="9">
        <v>33263.184</v>
      </c>
      <c r="E8325" s="10" t="str">
        <f t="array" ref="E8325">IFS(D8325&lt;=$G$3,'calculated data '!$A$3,D8325&lt;=$G$4,'calculated data '!$A$4,D8325&lt;=$G$6,'calculated data '!$A$5,D8325&gt;=$G$6,'calculated data '!$A$6)</f>
        <v>Target Market (Core IQR)</v>
      </c>
      <c r="F8325" s="10">
        <f t="shared" si="1"/>
        <v>0.2172967209</v>
      </c>
    </row>
    <row r="8326" ht="14.25" customHeight="1">
      <c r="A8326" s="2" t="s">
        <v>375</v>
      </c>
      <c r="B8326" s="2" t="s">
        <v>376</v>
      </c>
      <c r="C8326" s="2">
        <v>1987.0</v>
      </c>
      <c r="D8326" s="9">
        <v>33263.727</v>
      </c>
      <c r="E8326" s="10" t="str">
        <f t="array" ref="E8326">IFS(D8326&lt;=$G$3,'calculated data '!$A$3,D8326&lt;=$G$4,'calculated data '!$A$4,D8326&lt;=$G$6,'calculated data '!$A$5,D8326&gt;=$G$6,'calculated data '!$A$6)</f>
        <v>Target Market (Core IQR)</v>
      </c>
      <c r="F8326" s="10">
        <f t="shared" si="1"/>
        <v>0.217311094</v>
      </c>
    </row>
    <row r="8327" ht="14.25" customHeight="1">
      <c r="A8327" s="2" t="s">
        <v>409</v>
      </c>
      <c r="B8327" s="2" t="s">
        <v>410</v>
      </c>
      <c r="C8327" s="2">
        <v>1992.0</v>
      </c>
      <c r="D8327" s="9">
        <v>33263.83</v>
      </c>
      <c r="E8327" s="10" t="str">
        <f t="array" ref="E8327">IFS(D8327&lt;=$G$3,'calculated data '!$A$3,D8327&lt;=$G$4,'calculated data '!$A$4,D8327&lt;=$G$6,'calculated data '!$A$5,D8327&gt;=$G$6,'calculated data '!$A$6)</f>
        <v>Target Market (Core IQR)</v>
      </c>
      <c r="F8327" s="10">
        <f t="shared" si="1"/>
        <v>0.2173138204</v>
      </c>
    </row>
    <row r="8328" ht="14.25" customHeight="1">
      <c r="A8328" s="2" t="s">
        <v>453</v>
      </c>
      <c r="B8328" s="2" t="s">
        <v>454</v>
      </c>
      <c r="C8328" s="2">
        <v>2011.0</v>
      </c>
      <c r="D8328" s="9">
        <v>33284.45</v>
      </c>
      <c r="E8328" s="10" t="str">
        <f t="array" ref="E8328">IFS(D8328&lt;=$G$3,'calculated data '!$A$3,D8328&lt;=$G$4,'calculated data '!$A$4,D8328&lt;=$G$6,'calculated data '!$A$5,D8328&gt;=$G$6,'calculated data '!$A$6)</f>
        <v>Target Market (Core IQR)</v>
      </c>
      <c r="F8328" s="10">
        <f t="shared" si="1"/>
        <v>0.2178596267</v>
      </c>
    </row>
    <row r="8329" ht="14.25" customHeight="1">
      <c r="A8329" s="2" t="s">
        <v>399</v>
      </c>
      <c r="B8329" s="2" t="s">
        <v>400</v>
      </c>
      <c r="C8329" s="2">
        <v>2024.0</v>
      </c>
      <c r="D8329" s="9">
        <v>33295.6</v>
      </c>
      <c r="E8329" s="10" t="str">
        <f t="array" ref="E8329">IFS(D8329&lt;=$G$3,'calculated data '!$A$3,D8329&lt;=$G$4,'calculated data '!$A$4,D8329&lt;=$G$6,'calculated data '!$A$5,D8329&gt;=$G$6,'calculated data '!$A$6)</f>
        <v>Target Market (Core IQR)</v>
      </c>
      <c r="F8329" s="10">
        <f t="shared" si="1"/>
        <v>0.2181547644</v>
      </c>
    </row>
    <row r="8330" ht="14.25" customHeight="1">
      <c r="A8330" s="2" t="s">
        <v>459</v>
      </c>
      <c r="B8330" s="2" t="s">
        <v>460</v>
      </c>
      <c r="C8330" s="2">
        <v>2023.0</v>
      </c>
      <c r="D8330" s="9">
        <v>33305.375</v>
      </c>
      <c r="E8330" s="10" t="str">
        <f t="array" ref="E8330">IFS(D8330&lt;=$G$3,'calculated data '!$A$3,D8330&lt;=$G$4,'calculated data '!$A$4,D8330&lt;=$G$6,'calculated data '!$A$5,D8330&gt;=$G$6,'calculated data '!$A$6)</f>
        <v>Target Market (Core IQR)</v>
      </c>
      <c r="F8330" s="10">
        <f t="shared" si="1"/>
        <v>0.2184135062</v>
      </c>
    </row>
    <row r="8331" ht="14.25" customHeight="1">
      <c r="A8331" s="2" t="s">
        <v>387</v>
      </c>
      <c r="B8331" s="2" t="s">
        <v>388</v>
      </c>
      <c r="C8331" s="2">
        <v>2012.0</v>
      </c>
      <c r="D8331" s="9">
        <v>33306.035</v>
      </c>
      <c r="E8331" s="10" t="str">
        <f t="array" ref="E8331">IFS(D8331&lt;=$G$3,'calculated data '!$A$3,D8331&lt;=$G$4,'calculated data '!$A$4,D8331&lt;=$G$6,'calculated data '!$A$5,D8331&gt;=$G$6,'calculated data '!$A$6)</f>
        <v>Target Market (Core IQR)</v>
      </c>
      <c r="F8331" s="10">
        <f t="shared" si="1"/>
        <v>0.2184309762</v>
      </c>
    </row>
    <row r="8332" ht="14.25" customHeight="1">
      <c r="A8332" s="2" t="s">
        <v>455</v>
      </c>
      <c r="B8332" s="2" t="s">
        <v>456</v>
      </c>
      <c r="C8332" s="2">
        <v>1966.0</v>
      </c>
      <c r="D8332" s="9">
        <v>33309.152</v>
      </c>
      <c r="E8332" s="10" t="str">
        <f t="array" ref="E8332">IFS(D8332&lt;=$G$3,'calculated data '!$A$3,D8332&lt;=$G$4,'calculated data '!$A$4,D8332&lt;=$G$6,'calculated data '!$A$5,D8332&gt;=$G$6,'calculated data '!$A$6)</f>
        <v>Target Market (Core IQR)</v>
      </c>
      <c r="F8332" s="10">
        <f t="shared" si="1"/>
        <v>0.2185134824</v>
      </c>
    </row>
    <row r="8333" ht="14.25" customHeight="1">
      <c r="A8333" s="2" t="s">
        <v>249</v>
      </c>
      <c r="B8333" s="2" t="s">
        <v>250</v>
      </c>
      <c r="C8333" s="2">
        <v>2008.0</v>
      </c>
      <c r="D8333" s="9">
        <v>33310.15</v>
      </c>
      <c r="E8333" s="10" t="str">
        <f t="array" ref="E8333">IFS(D8333&lt;=$G$3,'calculated data '!$A$3,D8333&lt;=$G$4,'calculated data '!$A$4,D8333&lt;=$G$6,'calculated data '!$A$5,D8333&gt;=$G$6,'calculated data '!$A$6)</f>
        <v>Target Market (Core IQR)</v>
      </c>
      <c r="F8333" s="10">
        <f t="shared" si="1"/>
        <v>0.2185398993</v>
      </c>
    </row>
    <row r="8334" ht="14.25" customHeight="1">
      <c r="A8334" s="2" t="s">
        <v>437</v>
      </c>
      <c r="B8334" s="2" t="s">
        <v>438</v>
      </c>
      <c r="C8334" s="2">
        <v>1971.0</v>
      </c>
      <c r="D8334" s="9">
        <v>33333.535</v>
      </c>
      <c r="E8334" s="10" t="str">
        <f t="array" ref="E8334">IFS(D8334&lt;=$G$3,'calculated data '!$A$3,D8334&lt;=$G$4,'calculated data '!$A$4,D8334&lt;=$G$6,'calculated data '!$A$5,D8334&gt;=$G$6,'calculated data '!$A$6)</f>
        <v>Target Market (Core IQR)</v>
      </c>
      <c r="F8334" s="10">
        <f t="shared" si="1"/>
        <v>0.2191588944</v>
      </c>
    </row>
    <row r="8335" ht="14.25" customHeight="1">
      <c r="A8335" s="2" t="s">
        <v>371</v>
      </c>
      <c r="B8335" s="2" t="s">
        <v>372</v>
      </c>
      <c r="C8335" s="2">
        <v>1997.0</v>
      </c>
      <c r="D8335" s="9">
        <v>33353.324</v>
      </c>
      <c r="E8335" s="10" t="str">
        <f t="array" ref="E8335">IFS(D8335&lt;=$G$3,'calculated data '!$A$3,D8335&lt;=$G$4,'calculated data '!$A$4,D8335&lt;=$G$6,'calculated data '!$A$5,D8335&gt;=$G$6,'calculated data '!$A$6)</f>
        <v>Target Market (Core IQR)</v>
      </c>
      <c r="F8335" s="10">
        <f t="shared" si="1"/>
        <v>0.2196827043</v>
      </c>
    </row>
    <row r="8336" ht="14.25" customHeight="1">
      <c r="A8336" s="2" t="s">
        <v>439</v>
      </c>
      <c r="B8336" s="2" t="s">
        <v>440</v>
      </c>
      <c r="C8336" s="2">
        <v>1972.0</v>
      </c>
      <c r="D8336" s="9">
        <v>33354.016</v>
      </c>
      <c r="E8336" s="10" t="str">
        <f t="array" ref="E8336">IFS(D8336&lt;=$G$3,'calculated data '!$A$3,D8336&lt;=$G$4,'calculated data '!$A$4,D8336&lt;=$G$6,'calculated data '!$A$5,D8336&gt;=$G$6,'calculated data '!$A$6)</f>
        <v>Target Market (Core IQR)</v>
      </c>
      <c r="F8336" s="10">
        <f t="shared" si="1"/>
        <v>0.2197010214</v>
      </c>
    </row>
    <row r="8337" ht="14.25" customHeight="1">
      <c r="A8337" s="2" t="s">
        <v>431</v>
      </c>
      <c r="B8337" s="2" t="s">
        <v>432</v>
      </c>
      <c r="C8337" s="2">
        <v>2024.0</v>
      </c>
      <c r="D8337" s="9">
        <v>33362.95</v>
      </c>
      <c r="E8337" s="10" t="str">
        <f t="array" ref="E8337">IFS(D8337&lt;=$G$3,'calculated data '!$A$3,D8337&lt;=$G$4,'calculated data '!$A$4,D8337&lt;=$G$6,'calculated data '!$A$5,D8337&gt;=$G$6,'calculated data '!$A$6)</f>
        <v>Target Market (Core IQR)</v>
      </c>
      <c r="F8337" s="10">
        <f t="shared" si="1"/>
        <v>0.2199375021</v>
      </c>
    </row>
    <row r="8338" ht="14.25" customHeight="1">
      <c r="A8338" s="2" t="s">
        <v>415</v>
      </c>
      <c r="B8338" s="2" t="s">
        <v>416</v>
      </c>
      <c r="C8338" s="2">
        <v>2012.0</v>
      </c>
      <c r="D8338" s="9">
        <v>33377.58</v>
      </c>
      <c r="E8338" s="10" t="str">
        <f t="array" ref="E8338">IFS(D8338&lt;=$G$3,'calculated data '!$A$3,D8338&lt;=$G$4,'calculated data '!$A$4,D8338&lt;=$G$6,'calculated data '!$A$5,D8338&gt;=$G$6,'calculated data '!$A$6)</f>
        <v>Target Market (Core IQR)</v>
      </c>
      <c r="F8338" s="10">
        <f t="shared" si="1"/>
        <v>0.2203247546</v>
      </c>
    </row>
    <row r="8339" ht="14.25" customHeight="1">
      <c r="A8339" s="2" t="s">
        <v>399</v>
      </c>
      <c r="B8339" s="2" t="s">
        <v>400</v>
      </c>
      <c r="C8339" s="2">
        <v>2023.0</v>
      </c>
      <c r="D8339" s="9">
        <v>33430.117</v>
      </c>
      <c r="E8339" s="10" t="str">
        <f t="array" ref="E8339">IFS(D8339&lt;=$G$3,'calculated data '!$A$3,D8339&lt;=$G$4,'calculated data '!$A$4,D8339&lt;=$G$6,'calculated data '!$A$5,D8339&gt;=$G$6,'calculated data '!$A$6)</f>
        <v>Target Market (Core IQR)</v>
      </c>
      <c r="F8339" s="10">
        <f t="shared" si="1"/>
        <v>0.2217153959</v>
      </c>
    </row>
    <row r="8340" ht="14.25" customHeight="1">
      <c r="A8340" s="2" t="s">
        <v>417</v>
      </c>
      <c r="B8340" s="2" t="s">
        <v>418</v>
      </c>
      <c r="C8340" s="2">
        <v>2022.0</v>
      </c>
      <c r="D8340" s="9">
        <v>33435.656</v>
      </c>
      <c r="E8340" s="10" t="str">
        <f t="array" ref="E8340">IFS(D8340&lt;=$G$3,'calculated data '!$A$3,D8340&lt;=$G$4,'calculated data '!$A$4,D8340&lt;=$G$6,'calculated data '!$A$5,D8340&gt;=$G$6,'calculated data '!$A$6)</f>
        <v>Target Market (Core IQR)</v>
      </c>
      <c r="F8340" s="10">
        <f t="shared" si="1"/>
        <v>0.2218620118</v>
      </c>
    </row>
    <row r="8341" ht="14.25" customHeight="1">
      <c r="A8341" s="2" t="s">
        <v>401</v>
      </c>
      <c r="B8341" s="2" t="s">
        <v>402</v>
      </c>
      <c r="C8341" s="2">
        <v>2025.0</v>
      </c>
      <c r="D8341" s="9">
        <v>33438.28</v>
      </c>
      <c r="E8341" s="10" t="str">
        <f t="array" ref="E8341">IFS(D8341&lt;=$G$3,'calculated data '!$A$3,D8341&lt;=$G$4,'calculated data '!$A$4,D8341&lt;=$G$6,'calculated data '!$A$5,D8341&gt;=$G$6,'calculated data '!$A$6)</f>
        <v>Target Market (Core IQR)</v>
      </c>
      <c r="F8341" s="10">
        <f t="shared" si="1"/>
        <v>0.2219314684</v>
      </c>
    </row>
    <row r="8342" ht="14.25" customHeight="1">
      <c r="A8342" s="2" t="s">
        <v>429</v>
      </c>
      <c r="B8342" s="2" t="s">
        <v>430</v>
      </c>
      <c r="C8342" s="2">
        <v>1967.0</v>
      </c>
      <c r="D8342" s="9">
        <v>33451.945</v>
      </c>
      <c r="E8342" s="10" t="str">
        <f t="array" ref="E8342">IFS(D8342&lt;=$G$3,'calculated data '!$A$3,D8342&lt;=$G$4,'calculated data '!$A$4,D8342&lt;=$G$6,'calculated data '!$A$5,D8342&gt;=$G$6,'calculated data '!$A$6)</f>
        <v>Target Market (Core IQR)</v>
      </c>
      <c r="F8342" s="10">
        <f t="shared" si="1"/>
        <v>0.2222931776</v>
      </c>
    </row>
    <row r="8343" ht="14.25" customHeight="1">
      <c r="A8343" s="2" t="s">
        <v>447</v>
      </c>
      <c r="B8343" s="2" t="s">
        <v>448</v>
      </c>
      <c r="C8343" s="2">
        <v>2024.0</v>
      </c>
      <c r="D8343" s="9">
        <v>33475.375</v>
      </c>
      <c r="E8343" s="10" t="str">
        <f t="array" ref="E8343">IFS(D8343&lt;=$G$3,'calculated data '!$A$3,D8343&lt;=$G$4,'calculated data '!$A$4,D8343&lt;=$G$6,'calculated data '!$A$5,D8343&gt;=$G$6,'calculated data '!$A$6)</f>
        <v>Target Market (Core IQR)</v>
      </c>
      <c r="F8343" s="10">
        <f t="shared" si="1"/>
        <v>0.2229133639</v>
      </c>
    </row>
    <row r="8344" ht="14.25" customHeight="1">
      <c r="A8344" s="2" t="s">
        <v>387</v>
      </c>
      <c r="B8344" s="2" t="s">
        <v>388</v>
      </c>
      <c r="C8344" s="2">
        <v>2014.0</v>
      </c>
      <c r="D8344" s="9">
        <v>33476.52</v>
      </c>
      <c r="E8344" s="10" t="str">
        <f t="array" ref="E8344">IFS(D8344&lt;=$G$3,'calculated data '!$A$3,D8344&lt;=$G$4,'calculated data '!$A$4,D8344&lt;=$G$6,'calculated data '!$A$5,D8344&gt;=$G$6,'calculated data '!$A$6)</f>
        <v>Target Market (Core IQR)</v>
      </c>
      <c r="F8344" s="10">
        <f t="shared" si="1"/>
        <v>0.2229436717</v>
      </c>
    </row>
    <row r="8345" ht="14.25" customHeight="1">
      <c r="A8345" s="2" t="s">
        <v>411</v>
      </c>
      <c r="B8345" s="2" t="s">
        <v>412</v>
      </c>
      <c r="C8345" s="2">
        <v>1974.0</v>
      </c>
      <c r="D8345" s="9">
        <v>33476.53</v>
      </c>
      <c r="E8345" s="10" t="str">
        <f t="array" ref="E8345">IFS(D8345&lt;=$G$3,'calculated data '!$A$3,D8345&lt;=$G$4,'calculated data '!$A$4,D8345&lt;=$G$6,'calculated data '!$A$5,D8345&gt;=$G$6,'calculated data '!$A$6)</f>
        <v>Target Market (Core IQR)</v>
      </c>
      <c r="F8345" s="10">
        <f t="shared" si="1"/>
        <v>0.2229439364</v>
      </c>
    </row>
    <row r="8346" ht="14.25" customHeight="1">
      <c r="A8346" s="2" t="s">
        <v>431</v>
      </c>
      <c r="B8346" s="2" t="s">
        <v>432</v>
      </c>
      <c r="C8346" s="2">
        <v>1990.0</v>
      </c>
      <c r="D8346" s="9">
        <v>33494.316</v>
      </c>
      <c r="E8346" s="10" t="str">
        <f t="array" ref="E8346">IFS(D8346&lt;=$G$3,'calculated data '!$A$3,D8346&lt;=$G$4,'calculated data '!$A$4,D8346&lt;=$G$6,'calculated data '!$A$5,D8346&gt;=$G$6,'calculated data '!$A$6)</f>
        <v>Target Market (Core IQR)</v>
      </c>
      <c r="F8346" s="10">
        <f t="shared" si="1"/>
        <v>0.2234147274</v>
      </c>
    </row>
    <row r="8347" ht="14.25" customHeight="1">
      <c r="A8347" s="2" t="s">
        <v>407</v>
      </c>
      <c r="B8347" s="2" t="s">
        <v>408</v>
      </c>
      <c r="C8347" s="2">
        <v>2009.0</v>
      </c>
      <c r="D8347" s="9">
        <v>33494.51</v>
      </c>
      <c r="E8347" s="10" t="str">
        <f t="array" ref="E8347">IFS(D8347&lt;=$G$3,'calculated data '!$A$3,D8347&lt;=$G$4,'calculated data '!$A$4,D8347&lt;=$G$6,'calculated data '!$A$5,D8347&gt;=$G$6,'calculated data '!$A$6)</f>
        <v>Target Market (Core IQR)</v>
      </c>
      <c r="F8347" s="10">
        <f t="shared" si="1"/>
        <v>0.2234198625</v>
      </c>
    </row>
    <row r="8348" ht="14.25" customHeight="1">
      <c r="A8348" s="2" t="s">
        <v>421</v>
      </c>
      <c r="B8348" s="2" t="s">
        <v>422</v>
      </c>
      <c r="C8348" s="2">
        <v>1974.0</v>
      </c>
      <c r="D8348" s="9">
        <v>33501.28</v>
      </c>
      <c r="E8348" s="10" t="str">
        <f t="array" ref="E8348">IFS(D8348&lt;=$G$3,'calculated data '!$A$3,D8348&lt;=$G$4,'calculated data '!$A$4,D8348&lt;=$G$6,'calculated data '!$A$5,D8348&gt;=$G$6,'calculated data '!$A$6)</f>
        <v>Target Market (Core IQR)</v>
      </c>
      <c r="F8348" s="10">
        <f t="shared" si="1"/>
        <v>0.2235990628</v>
      </c>
    </row>
    <row r="8349" ht="14.25" customHeight="1">
      <c r="A8349" s="2" t="s">
        <v>387</v>
      </c>
      <c r="B8349" s="2" t="s">
        <v>388</v>
      </c>
      <c r="C8349" s="2">
        <v>2007.0</v>
      </c>
      <c r="D8349" s="9">
        <v>33506.125</v>
      </c>
      <c r="E8349" s="10" t="str">
        <f t="array" ref="E8349">IFS(D8349&lt;=$G$3,'calculated data '!$A$3,D8349&lt;=$G$4,'calculated data '!$A$4,D8349&lt;=$G$6,'calculated data '!$A$5,D8349&gt;=$G$6,'calculated data '!$A$6)</f>
        <v>Target Market (Core IQR)</v>
      </c>
      <c r="F8349" s="10">
        <f t="shared" si="1"/>
        <v>0.2237273087</v>
      </c>
    </row>
    <row r="8350" ht="14.25" customHeight="1">
      <c r="A8350" s="2" t="s">
        <v>283</v>
      </c>
      <c r="B8350" s="2" t="s">
        <v>284</v>
      </c>
      <c r="C8350" s="2">
        <v>1970.0</v>
      </c>
      <c r="D8350" s="9">
        <v>33521.168</v>
      </c>
      <c r="E8350" s="10" t="str">
        <f t="array" ref="E8350">IFS(D8350&lt;=$G$3,'calculated data '!$A$3,D8350&lt;=$G$4,'calculated data '!$A$4,D8350&lt;=$G$6,'calculated data '!$A$5,D8350&gt;=$G$6,'calculated data '!$A$6)</f>
        <v>Target Market (Core IQR)</v>
      </c>
      <c r="F8350" s="10">
        <f t="shared" si="1"/>
        <v>0.2241254932</v>
      </c>
    </row>
    <row r="8351" ht="14.25" customHeight="1">
      <c r="A8351" s="2" t="s">
        <v>427</v>
      </c>
      <c r="B8351" s="2" t="s">
        <v>428</v>
      </c>
      <c r="C8351" s="2">
        <v>2007.0</v>
      </c>
      <c r="D8351" s="9">
        <v>33545.586</v>
      </c>
      <c r="E8351" s="10" t="str">
        <f t="array" ref="E8351">IFS(D8351&lt;=$G$3,'calculated data '!$A$3,D8351&lt;=$G$4,'calculated data '!$A$4,D8351&lt;=$G$6,'calculated data '!$A$5,D8351&gt;=$G$6,'calculated data '!$A$6)</f>
        <v>Target Market (Core IQR)</v>
      </c>
      <c r="F8351" s="10">
        <f t="shared" si="1"/>
        <v>0.2247718315</v>
      </c>
    </row>
    <row r="8352" ht="14.25" customHeight="1">
      <c r="A8352" s="2" t="s">
        <v>439</v>
      </c>
      <c r="B8352" s="2" t="s">
        <v>440</v>
      </c>
      <c r="C8352" s="2">
        <v>1980.0</v>
      </c>
      <c r="D8352" s="9">
        <v>33552.926</v>
      </c>
      <c r="E8352" s="10" t="str">
        <f t="array" ref="E8352">IFS(D8352&lt;=$G$3,'calculated data '!$A$3,D8352&lt;=$G$4,'calculated data '!$A$4,D8352&lt;=$G$6,'calculated data '!$A$5,D8352&gt;=$G$6,'calculated data '!$A$6)</f>
        <v>Target Market (Core IQR)</v>
      </c>
      <c r="F8352" s="10">
        <f t="shared" si="1"/>
        <v>0.2249661195</v>
      </c>
    </row>
    <row r="8353" ht="14.25" customHeight="1">
      <c r="A8353" s="2" t="s">
        <v>367</v>
      </c>
      <c r="B8353" s="2" t="s">
        <v>368</v>
      </c>
      <c r="C8353" s="2">
        <v>2008.0</v>
      </c>
      <c r="D8353" s="9">
        <v>33556.31</v>
      </c>
      <c r="E8353" s="10" t="str">
        <f t="array" ref="E8353">IFS(D8353&lt;=$G$3,'calculated data '!$A$3,D8353&lt;=$G$4,'calculated data '!$A$4,D8353&lt;=$G$6,'calculated data '!$A$5,D8353&gt;=$G$6,'calculated data '!$A$6)</f>
        <v>Target Market (Core IQR)</v>
      </c>
      <c r="F8353" s="10">
        <f t="shared" si="1"/>
        <v>0.2250556931</v>
      </c>
    </row>
    <row r="8354" ht="14.25" customHeight="1">
      <c r="A8354" s="2" t="s">
        <v>401</v>
      </c>
      <c r="B8354" s="2" t="s">
        <v>402</v>
      </c>
      <c r="C8354" s="2">
        <v>2023.0</v>
      </c>
      <c r="D8354" s="9">
        <v>33557.81</v>
      </c>
      <c r="E8354" s="10" t="str">
        <f t="array" ref="E8354">IFS(D8354&lt;=$G$3,'calculated data '!$A$3,D8354&lt;=$G$4,'calculated data '!$A$4,D8354&lt;=$G$6,'calculated data '!$A$5,D8354&gt;=$G$6,'calculated data '!$A$6)</f>
        <v>Target Market (Core IQR)</v>
      </c>
      <c r="F8354" s="10">
        <f t="shared" si="1"/>
        <v>0.2250953978</v>
      </c>
    </row>
    <row r="8355" ht="14.25" customHeight="1">
      <c r="A8355" s="2" t="s">
        <v>413</v>
      </c>
      <c r="B8355" s="2" t="s">
        <v>414</v>
      </c>
      <c r="C8355" s="2">
        <v>2015.0</v>
      </c>
      <c r="D8355" s="9">
        <v>33592.082</v>
      </c>
      <c r="E8355" s="10" t="str">
        <f t="array" ref="E8355">IFS(D8355&lt;=$G$3,'calculated data '!$A$3,D8355&lt;=$G$4,'calculated data '!$A$4,D8355&lt;=$G$6,'calculated data '!$A$5,D8355&gt;=$G$6,'calculated data '!$A$6)</f>
        <v>Target Market (Core IQR)</v>
      </c>
      <c r="F8355" s="10">
        <f t="shared" si="1"/>
        <v>0.2260025691</v>
      </c>
    </row>
    <row r="8356" ht="14.25" customHeight="1">
      <c r="A8356" s="2" t="s">
        <v>449</v>
      </c>
      <c r="B8356" s="2" t="s">
        <v>450</v>
      </c>
      <c r="C8356" s="2">
        <v>1982.0</v>
      </c>
      <c r="D8356" s="9">
        <v>33612.188</v>
      </c>
      <c r="E8356" s="10" t="str">
        <f t="array" ref="E8356">IFS(D8356&lt;=$G$3,'calculated data '!$A$3,D8356&lt;=$G$4,'calculated data '!$A$4,D8356&lt;=$G$6,'calculated data '!$A$5,D8356&gt;=$G$6,'calculated data '!$A$6)</f>
        <v>Target Market (Core IQR)</v>
      </c>
      <c r="F8356" s="10">
        <f t="shared" si="1"/>
        <v>0.2265347699</v>
      </c>
    </row>
    <row r="8357" ht="14.25" customHeight="1">
      <c r="A8357" s="2" t="s">
        <v>435</v>
      </c>
      <c r="B8357" s="2" t="s">
        <v>436</v>
      </c>
      <c r="C8357" s="2">
        <v>2021.0</v>
      </c>
      <c r="D8357" s="9">
        <v>33613.324</v>
      </c>
      <c r="E8357" s="10" t="str">
        <f t="array" ref="E8357">IFS(D8357&lt;=$G$3,'calculated data '!$A$3,D8357&lt;=$G$4,'calculated data '!$A$4,D8357&lt;=$G$6,'calculated data '!$A$5,D8357&gt;=$G$6,'calculated data '!$A$6)</f>
        <v>Target Market (Core IQR)</v>
      </c>
      <c r="F8357" s="10">
        <f t="shared" si="1"/>
        <v>0.2265648395</v>
      </c>
    </row>
    <row r="8358" ht="14.25" customHeight="1">
      <c r="A8358" s="2" t="s">
        <v>369</v>
      </c>
      <c r="B8358" s="2" t="s">
        <v>370</v>
      </c>
      <c r="C8358" s="2">
        <v>1972.0</v>
      </c>
      <c r="D8358" s="9">
        <v>33615.527</v>
      </c>
      <c r="E8358" s="10" t="str">
        <f t="array" ref="E8358">IFS(D8358&lt;=$G$3,'calculated data '!$A$3,D8358&lt;=$G$4,'calculated data '!$A$4,D8358&lt;=$G$6,'calculated data '!$A$5,D8358&gt;=$G$6,'calculated data '!$A$6)</f>
        <v>Target Market (Core IQR)</v>
      </c>
      <c r="F8358" s="10">
        <f t="shared" si="1"/>
        <v>0.2266231524</v>
      </c>
    </row>
    <row r="8359" ht="14.25" customHeight="1">
      <c r="A8359" s="2" t="s">
        <v>413</v>
      </c>
      <c r="B8359" s="2" t="s">
        <v>414</v>
      </c>
      <c r="C8359" s="2">
        <v>2023.0</v>
      </c>
      <c r="D8359" s="9">
        <v>33616.72</v>
      </c>
      <c r="E8359" s="10" t="str">
        <f t="array" ref="E8359">IFS(D8359&lt;=$G$3,'calculated data '!$A$3,D8359&lt;=$G$4,'calculated data '!$A$4,D8359&lt;=$G$6,'calculated data '!$A$5,D8359&gt;=$G$6,'calculated data '!$A$6)</f>
        <v>Target Market (Core IQR)</v>
      </c>
      <c r="F8359" s="10">
        <f t="shared" si="1"/>
        <v>0.2266547308</v>
      </c>
    </row>
    <row r="8360" ht="14.25" customHeight="1">
      <c r="A8360" s="2" t="s">
        <v>367</v>
      </c>
      <c r="B8360" s="2" t="s">
        <v>368</v>
      </c>
      <c r="C8360" s="2">
        <v>1996.0</v>
      </c>
      <c r="D8360" s="9">
        <v>33625.84</v>
      </c>
      <c r="E8360" s="10" t="str">
        <f t="array" ref="E8360">IFS(D8360&lt;=$G$3,'calculated data '!$A$3,D8360&lt;=$G$4,'calculated data '!$A$4,D8360&lt;=$G$6,'calculated data '!$A$5,D8360&gt;=$G$6,'calculated data '!$A$6)</f>
        <v>Target Market (Core IQR)</v>
      </c>
      <c r="F8360" s="10">
        <f t="shared" si="1"/>
        <v>0.2268961349</v>
      </c>
    </row>
    <row r="8361" ht="14.25" customHeight="1">
      <c r="A8361" s="2" t="s">
        <v>439</v>
      </c>
      <c r="B8361" s="2" t="s">
        <v>440</v>
      </c>
      <c r="C8361" s="2">
        <v>1975.0</v>
      </c>
      <c r="D8361" s="9">
        <v>33635.875</v>
      </c>
      <c r="E8361" s="10" t="str">
        <f t="array" ref="E8361">IFS(D8361&lt;=$G$3,'calculated data '!$A$3,D8361&lt;=$G$4,'calculated data '!$A$4,D8361&lt;=$G$6,'calculated data '!$A$5,D8361&gt;=$G$6,'calculated data '!$A$6)</f>
        <v>Target Market (Core IQR)</v>
      </c>
      <c r="F8361" s="10">
        <f t="shared" si="1"/>
        <v>0.2271617589</v>
      </c>
    </row>
    <row r="8362" ht="14.25" customHeight="1">
      <c r="A8362" s="2" t="s">
        <v>461</v>
      </c>
      <c r="B8362" s="2" t="s">
        <v>462</v>
      </c>
      <c r="C8362" s="2">
        <v>1965.0</v>
      </c>
      <c r="D8362" s="9">
        <v>33652.184</v>
      </c>
      <c r="E8362" s="10" t="str">
        <f t="array" ref="E8362">IFS(D8362&lt;=$G$3,'calculated data '!$A$3,D8362&lt;=$G$4,'calculated data '!$A$4,D8362&lt;=$G$6,'calculated data '!$A$5,D8362&gt;=$G$6,'calculated data '!$A$6)</f>
        <v>Target Market (Core IQR)</v>
      </c>
      <c r="F8362" s="10">
        <f t="shared" si="1"/>
        <v>0.227593454</v>
      </c>
    </row>
    <row r="8363" ht="14.25" customHeight="1">
      <c r="A8363" s="2" t="s">
        <v>409</v>
      </c>
      <c r="B8363" s="2" t="s">
        <v>410</v>
      </c>
      <c r="C8363" s="2">
        <v>1991.0</v>
      </c>
      <c r="D8363" s="9">
        <v>33685.15</v>
      </c>
      <c r="E8363" s="10" t="str">
        <f t="array" ref="E8363">IFS(D8363&lt;=$G$3,'calculated data '!$A$3,D8363&lt;=$G$4,'calculated data '!$A$4,D8363&lt;=$G$6,'calculated data '!$A$5,D8363&gt;=$G$6,'calculated data '!$A$6)</f>
        <v>Target Market (Core IQR)</v>
      </c>
      <c r="F8363" s="10">
        <f t="shared" si="1"/>
        <v>0.2284660559</v>
      </c>
    </row>
    <row r="8364" ht="14.25" customHeight="1">
      <c r="A8364" s="2" t="s">
        <v>309</v>
      </c>
      <c r="B8364" s="2" t="s">
        <v>310</v>
      </c>
      <c r="C8364" s="2">
        <v>2023.0</v>
      </c>
      <c r="D8364" s="9">
        <v>33701.195</v>
      </c>
      <c r="E8364" s="10" t="str">
        <f t="array" ref="E8364">IFS(D8364&lt;=$G$3,'calculated data '!$A$3,D8364&lt;=$G$4,'calculated data '!$A$4,D8364&lt;=$G$6,'calculated data '!$A$5,D8364&gt;=$G$6,'calculated data '!$A$6)</f>
        <v>Target Market (Core IQR)</v>
      </c>
      <c r="F8364" s="10">
        <f t="shared" si="1"/>
        <v>0.228890763</v>
      </c>
    </row>
    <row r="8365" ht="14.25" customHeight="1">
      <c r="A8365" s="2" t="s">
        <v>221</v>
      </c>
      <c r="B8365" s="2" t="s">
        <v>222</v>
      </c>
      <c r="C8365" s="2">
        <v>1993.0</v>
      </c>
      <c r="D8365" s="9">
        <v>33704.05</v>
      </c>
      <c r="E8365" s="10" t="str">
        <f t="array" ref="E8365">IFS(D8365&lt;=$G$3,'calculated data '!$A$3,D8365&lt;=$G$4,'calculated data '!$A$4,D8365&lt;=$G$6,'calculated data '!$A$5,D8365&gt;=$G$6,'calculated data '!$A$6)</f>
        <v>Target Market (Core IQR)</v>
      </c>
      <c r="F8365" s="10">
        <f t="shared" si="1"/>
        <v>0.2289663342</v>
      </c>
    </row>
    <row r="8366" ht="14.25" customHeight="1">
      <c r="A8366" s="2" t="s">
        <v>447</v>
      </c>
      <c r="B8366" s="2" t="s">
        <v>448</v>
      </c>
      <c r="C8366" s="2">
        <v>2021.0</v>
      </c>
      <c r="D8366" s="9">
        <v>33728.027</v>
      </c>
      <c r="E8366" s="10" t="str">
        <f t="array" ref="E8366">IFS(D8366&lt;=$G$3,'calculated data '!$A$3,D8366&lt;=$G$4,'calculated data '!$A$4,D8366&lt;=$G$6,'calculated data '!$A$5,D8366&gt;=$G$6,'calculated data '!$A$6)</f>
        <v>Target Market (Core IQR)</v>
      </c>
      <c r="F8366" s="10">
        <f t="shared" si="1"/>
        <v>0.2296009994</v>
      </c>
    </row>
    <row r="8367" ht="14.25" customHeight="1">
      <c r="A8367" s="2" t="s">
        <v>411</v>
      </c>
      <c r="B8367" s="2" t="s">
        <v>412</v>
      </c>
      <c r="C8367" s="2">
        <v>2015.0</v>
      </c>
      <c r="D8367" s="9">
        <v>33749.848</v>
      </c>
      <c r="E8367" s="10" t="str">
        <f t="array" ref="E8367">IFS(D8367&lt;=$G$3,'calculated data '!$A$3,D8367&lt;=$G$4,'calculated data '!$A$4,D8367&lt;=$G$6,'calculated data '!$A$5,D8367&gt;=$G$6,'calculated data '!$A$6)</f>
        <v>Target Market (Core IQR)</v>
      </c>
      <c r="F8367" s="10">
        <f t="shared" si="1"/>
        <v>0.2301785958</v>
      </c>
    </row>
    <row r="8368" ht="14.25" customHeight="1">
      <c r="A8368" s="2" t="s">
        <v>411</v>
      </c>
      <c r="B8368" s="2" t="s">
        <v>412</v>
      </c>
      <c r="C8368" s="2">
        <v>1975.0</v>
      </c>
      <c r="D8368" s="9">
        <v>33753.645</v>
      </c>
      <c r="E8368" s="10" t="str">
        <f t="array" ref="E8368">IFS(D8368&lt;=$G$3,'calculated data '!$A$3,D8368&lt;=$G$4,'calculated data '!$A$4,D8368&lt;=$G$6,'calculated data '!$A$5,D8368&gt;=$G$6,'calculated data '!$A$6)</f>
        <v>Target Market (Core IQR)</v>
      </c>
      <c r="F8368" s="10">
        <f t="shared" si="1"/>
        <v>0.2302791014</v>
      </c>
    </row>
    <row r="8369" ht="14.25" customHeight="1">
      <c r="A8369" s="2" t="s">
        <v>349</v>
      </c>
      <c r="B8369" s="2" t="s">
        <v>350</v>
      </c>
      <c r="C8369" s="2">
        <v>1991.0</v>
      </c>
      <c r="D8369" s="9">
        <v>33756.85</v>
      </c>
      <c r="E8369" s="10" t="str">
        <f t="array" ref="E8369">IFS(D8369&lt;=$G$3,'calculated data '!$A$3,D8369&lt;=$G$4,'calculated data '!$A$4,D8369&lt;=$G$6,'calculated data '!$A$5,D8369&gt;=$G$6,'calculated data '!$A$6)</f>
        <v>Target Market (Core IQR)</v>
      </c>
      <c r="F8369" s="10">
        <f t="shared" si="1"/>
        <v>0.230363937</v>
      </c>
    </row>
    <row r="8370" ht="14.25" customHeight="1">
      <c r="A8370" s="2" t="s">
        <v>409</v>
      </c>
      <c r="B8370" s="2" t="s">
        <v>410</v>
      </c>
      <c r="C8370" s="2">
        <v>2013.0</v>
      </c>
      <c r="D8370" s="9">
        <v>33761.39</v>
      </c>
      <c r="E8370" s="10" t="str">
        <f t="array" ref="E8370">IFS(D8370&lt;=$G$3,'calculated data '!$A$3,D8370&lt;=$G$4,'calculated data '!$A$4,D8370&lt;=$G$6,'calculated data '!$A$5,D8370&gt;=$G$6,'calculated data '!$A$6)</f>
        <v>Target Market (Core IQR)</v>
      </c>
      <c r="F8370" s="10">
        <f t="shared" si="1"/>
        <v>0.2304841097</v>
      </c>
    </row>
    <row r="8371" ht="14.25" customHeight="1">
      <c r="A8371" s="2" t="s">
        <v>401</v>
      </c>
      <c r="B8371" s="2" t="s">
        <v>402</v>
      </c>
      <c r="C8371" s="2">
        <v>1985.0</v>
      </c>
      <c r="D8371" s="9">
        <v>33767.29</v>
      </c>
      <c r="E8371" s="10" t="str">
        <f t="array" ref="E8371">IFS(D8371&lt;=$G$3,'calculated data '!$A$3,D8371&lt;=$G$4,'calculated data '!$A$4,D8371&lt;=$G$6,'calculated data '!$A$5,D8371&gt;=$G$6,'calculated data '!$A$6)</f>
        <v>Target Market (Core IQR)</v>
      </c>
      <c r="F8371" s="10">
        <f t="shared" si="1"/>
        <v>0.2306402812</v>
      </c>
    </row>
    <row r="8372" ht="14.25" customHeight="1">
      <c r="A8372" s="2" t="s">
        <v>401</v>
      </c>
      <c r="B8372" s="2" t="s">
        <v>402</v>
      </c>
      <c r="C8372" s="2">
        <v>1978.0</v>
      </c>
      <c r="D8372" s="9">
        <v>33775.176</v>
      </c>
      <c r="E8372" s="10" t="str">
        <f t="array" ref="E8372">IFS(D8372&lt;=$G$3,'calculated data '!$A$3,D8372&lt;=$G$4,'calculated data '!$A$4,D8372&lt;=$G$6,'calculated data '!$A$5,D8372&gt;=$G$6,'calculated data '!$A$6)</f>
        <v>Target Market (Core IQR)</v>
      </c>
      <c r="F8372" s="10">
        <f t="shared" si="1"/>
        <v>0.2308490217</v>
      </c>
    </row>
    <row r="8373" ht="14.25" customHeight="1">
      <c r="A8373" s="2" t="s">
        <v>387</v>
      </c>
      <c r="B8373" s="2" t="s">
        <v>388</v>
      </c>
      <c r="C8373" s="2">
        <v>2008.0</v>
      </c>
      <c r="D8373" s="9">
        <v>33775.395</v>
      </c>
      <c r="E8373" s="10" t="str">
        <f t="array" ref="E8373">IFS(D8373&lt;=$G$3,'calculated data '!$A$3,D8373&lt;=$G$4,'calculated data '!$A$4,D8373&lt;=$G$6,'calculated data '!$A$5,D8373&gt;=$G$6,'calculated data '!$A$6)</f>
        <v>Target Market (Core IQR)</v>
      </c>
      <c r="F8373" s="10">
        <f t="shared" si="1"/>
        <v>0.2308548185</v>
      </c>
    </row>
    <row r="8374" ht="14.25" customHeight="1">
      <c r="A8374" s="2" t="s">
        <v>367</v>
      </c>
      <c r="B8374" s="2" t="s">
        <v>368</v>
      </c>
      <c r="C8374" s="2">
        <v>2005.0</v>
      </c>
      <c r="D8374" s="9">
        <v>33780.527</v>
      </c>
      <c r="E8374" s="10" t="str">
        <f t="array" ref="E8374">IFS(D8374&lt;=$G$3,'calculated data '!$A$3,D8374&lt;=$G$4,'calculated data '!$A$4,D8374&lt;=$G$6,'calculated data '!$A$5,D8374&gt;=$G$6,'calculated data '!$A$6)</f>
        <v>Target Market (Core IQR)</v>
      </c>
      <c r="F8374" s="10">
        <f t="shared" si="1"/>
        <v>0.2309906613</v>
      </c>
    </row>
    <row r="8375" ht="14.25" customHeight="1">
      <c r="A8375" s="2" t="s">
        <v>413</v>
      </c>
      <c r="B8375" s="2" t="s">
        <v>414</v>
      </c>
      <c r="C8375" s="2">
        <v>2019.0</v>
      </c>
      <c r="D8375" s="9">
        <v>33781.227</v>
      </c>
      <c r="E8375" s="10" t="str">
        <f t="array" ref="E8375">IFS(D8375&lt;=$G$3,'calculated data '!$A$3,D8375&lt;=$G$4,'calculated data '!$A$4,D8375&lt;=$G$6,'calculated data '!$A$5,D8375&gt;=$G$6,'calculated data '!$A$6)</f>
        <v>Target Market (Core IQR)</v>
      </c>
      <c r="F8375" s="10">
        <f t="shared" si="1"/>
        <v>0.2310091901</v>
      </c>
    </row>
    <row r="8376" ht="14.25" customHeight="1">
      <c r="A8376" s="2" t="s">
        <v>401</v>
      </c>
      <c r="B8376" s="2" t="s">
        <v>402</v>
      </c>
      <c r="C8376" s="2">
        <v>1986.0</v>
      </c>
      <c r="D8376" s="9">
        <v>33787.04</v>
      </c>
      <c r="E8376" s="10" t="str">
        <f t="array" ref="E8376">IFS(D8376&lt;=$G$3,'calculated data '!$A$3,D8376&lt;=$G$4,'calculated data '!$A$4,D8376&lt;=$G$6,'calculated data '!$A$5,D8376&gt;=$G$6,'calculated data '!$A$6)</f>
        <v>Target Market (Core IQR)</v>
      </c>
      <c r="F8376" s="10">
        <f t="shared" si="1"/>
        <v>0.2311630588</v>
      </c>
    </row>
    <row r="8377" ht="14.25" customHeight="1">
      <c r="A8377" s="2" t="s">
        <v>423</v>
      </c>
      <c r="B8377" s="2" t="s">
        <v>424</v>
      </c>
      <c r="C8377" s="2">
        <v>1984.0</v>
      </c>
      <c r="D8377" s="9">
        <v>33793.21</v>
      </c>
      <c r="E8377" s="10" t="str">
        <f t="array" ref="E8377">IFS(D8377&lt;=$G$3,'calculated data '!$A$3,D8377&lt;=$G$4,'calculated data '!$A$4,D8377&lt;=$G$6,'calculated data '!$A$5,D8377&gt;=$G$6,'calculated data '!$A$6)</f>
        <v>Target Market (Core IQR)</v>
      </c>
      <c r="F8377" s="10">
        <f t="shared" si="1"/>
        <v>0.2313263771</v>
      </c>
    </row>
    <row r="8378" ht="14.25" customHeight="1">
      <c r="A8378" s="2" t="s">
        <v>431</v>
      </c>
      <c r="B8378" s="2" t="s">
        <v>432</v>
      </c>
      <c r="C8378" s="2">
        <v>1998.0</v>
      </c>
      <c r="D8378" s="9">
        <v>33797.156</v>
      </c>
      <c r="E8378" s="10" t="str">
        <f t="array" ref="E8378">IFS(D8378&lt;=$G$3,'calculated data '!$A$3,D8378&lt;=$G$4,'calculated data '!$A$4,D8378&lt;=$G$6,'calculated data '!$A$5,D8378&gt;=$G$6,'calculated data '!$A$6)</f>
        <v>Target Market (Core IQR)</v>
      </c>
      <c r="F8378" s="10">
        <f t="shared" si="1"/>
        <v>0.2314308268</v>
      </c>
    </row>
    <row r="8379" ht="14.25" customHeight="1">
      <c r="A8379" s="2" t="s">
        <v>379</v>
      </c>
      <c r="B8379" s="2" t="s">
        <v>380</v>
      </c>
      <c r="C8379" s="2">
        <v>2018.0</v>
      </c>
      <c r="D8379" s="9">
        <v>33823.867</v>
      </c>
      <c r="E8379" s="10" t="str">
        <f t="array" ref="E8379">IFS(D8379&lt;=$G$3,'calculated data '!$A$3,D8379&lt;=$G$4,'calculated data '!$A$4,D8379&lt;=$G$6,'calculated data '!$A$5,D8379&gt;=$G$6,'calculated data '!$A$6)</f>
        <v>Target Market (Core IQR)</v>
      </c>
      <c r="F8379" s="10">
        <f t="shared" si="1"/>
        <v>0.2321378603</v>
      </c>
    </row>
    <row r="8380" ht="14.25" customHeight="1">
      <c r="A8380" s="2" t="s">
        <v>379</v>
      </c>
      <c r="B8380" s="2" t="s">
        <v>380</v>
      </c>
      <c r="C8380" s="2">
        <v>2017.0</v>
      </c>
      <c r="D8380" s="9">
        <v>33825.812</v>
      </c>
      <c r="E8380" s="10" t="str">
        <f t="array" ref="E8380">IFS(D8380&lt;=$G$3,'calculated data '!$A$3,D8380&lt;=$G$4,'calculated data '!$A$4,D8380&lt;=$G$6,'calculated data '!$A$5,D8380&gt;=$G$6,'calculated data '!$A$6)</f>
        <v>Target Market (Core IQR)</v>
      </c>
      <c r="F8380" s="10">
        <f t="shared" si="1"/>
        <v>0.232189344</v>
      </c>
    </row>
    <row r="8381" ht="14.25" customHeight="1">
      <c r="A8381" s="2" t="s">
        <v>379</v>
      </c>
      <c r="B8381" s="2" t="s">
        <v>380</v>
      </c>
      <c r="C8381" s="2">
        <v>2016.0</v>
      </c>
      <c r="D8381" s="9">
        <v>33826.426</v>
      </c>
      <c r="E8381" s="10" t="str">
        <f t="array" ref="E8381">IFS(D8381&lt;=$G$3,'calculated data '!$A$3,D8381&lt;=$G$4,'calculated data '!$A$4,D8381&lt;=$G$6,'calculated data '!$A$5,D8381&gt;=$G$6,'calculated data '!$A$6)</f>
        <v>Target Market (Core IQR)</v>
      </c>
      <c r="F8381" s="10">
        <f t="shared" si="1"/>
        <v>0.2322055964</v>
      </c>
    </row>
    <row r="8382" ht="14.25" customHeight="1">
      <c r="A8382" s="2" t="s">
        <v>331</v>
      </c>
      <c r="B8382" s="2" t="s">
        <v>332</v>
      </c>
      <c r="C8382" s="2">
        <v>2000.0</v>
      </c>
      <c r="D8382" s="9">
        <v>33845.367</v>
      </c>
      <c r="E8382" s="10" t="str">
        <f t="array" ref="E8382">IFS(D8382&lt;=$G$3,'calculated data '!$A$3,D8382&lt;=$G$4,'calculated data '!$A$4,D8382&lt;=$G$6,'calculated data '!$A$5,D8382&gt;=$G$6,'calculated data '!$A$6)</f>
        <v>Target Market (Core IQR)</v>
      </c>
      <c r="F8382" s="10">
        <f t="shared" si="1"/>
        <v>0.2327069599</v>
      </c>
    </row>
    <row r="8383" ht="14.25" customHeight="1">
      <c r="A8383" s="2" t="s">
        <v>413</v>
      </c>
      <c r="B8383" s="2" t="s">
        <v>414</v>
      </c>
      <c r="C8383" s="2">
        <v>2016.0</v>
      </c>
      <c r="D8383" s="9">
        <v>33845.383</v>
      </c>
      <c r="E8383" s="10" t="str">
        <f t="array" ref="E8383">IFS(D8383&lt;=$G$3,'calculated data '!$A$3,D8383&lt;=$G$4,'calculated data '!$A$4,D8383&lt;=$G$6,'calculated data '!$A$5,D8383&gt;=$G$6,'calculated data '!$A$6)</f>
        <v>Target Market (Core IQR)</v>
      </c>
      <c r="F8383" s="10">
        <f t="shared" si="1"/>
        <v>0.2327073835</v>
      </c>
    </row>
    <row r="8384" ht="14.25" customHeight="1">
      <c r="A8384" s="2" t="s">
        <v>433</v>
      </c>
      <c r="B8384" s="2" t="s">
        <v>434</v>
      </c>
      <c r="C8384" s="2">
        <v>1970.0</v>
      </c>
      <c r="D8384" s="9">
        <v>33880.406</v>
      </c>
      <c r="E8384" s="10" t="str">
        <f t="array" ref="E8384">IFS(D8384&lt;=$G$3,'calculated data '!$A$3,D8384&lt;=$G$4,'calculated data '!$A$4,D8384&lt;=$G$6,'calculated data '!$A$5,D8384&gt;=$G$6,'calculated data '!$A$6)</f>
        <v>Target Market (Core IQR)</v>
      </c>
      <c r="F8384" s="10">
        <f t="shared" si="1"/>
        <v>0.2336344335</v>
      </c>
    </row>
    <row r="8385" ht="14.25" customHeight="1">
      <c r="A8385" s="2" t="s">
        <v>377</v>
      </c>
      <c r="B8385" s="2" t="s">
        <v>378</v>
      </c>
      <c r="C8385" s="2">
        <v>2000.0</v>
      </c>
      <c r="D8385" s="9">
        <v>33881.17</v>
      </c>
      <c r="E8385" s="10" t="str">
        <f t="array" ref="E8385">IFS(D8385&lt;=$G$3,'calculated data '!$A$3,D8385&lt;=$G$4,'calculated data '!$A$4,D8385&lt;=$G$6,'calculated data '!$A$5,D8385&gt;=$G$6,'calculated data '!$A$6)</f>
        <v>Target Market (Core IQR)</v>
      </c>
      <c r="F8385" s="10">
        <f t="shared" si="1"/>
        <v>0.2336546564</v>
      </c>
    </row>
    <row r="8386" ht="14.25" customHeight="1">
      <c r="A8386" s="2" t="s">
        <v>439</v>
      </c>
      <c r="B8386" s="2" t="s">
        <v>440</v>
      </c>
      <c r="C8386" s="2">
        <v>1979.0</v>
      </c>
      <c r="D8386" s="9">
        <v>33881.94</v>
      </c>
      <c r="E8386" s="10" t="str">
        <f t="array" ref="E8386">IFS(D8386&lt;=$G$3,'calculated data '!$A$3,D8386&lt;=$G$4,'calculated data '!$A$4,D8386&lt;=$G$6,'calculated data '!$A$5,D8386&gt;=$G$6,'calculated data '!$A$6)</f>
        <v>Target Market (Core IQR)</v>
      </c>
      <c r="F8386" s="10">
        <f t="shared" si="1"/>
        <v>0.2336750381</v>
      </c>
    </row>
    <row r="8387" ht="14.25" customHeight="1">
      <c r="A8387" s="2" t="s">
        <v>379</v>
      </c>
      <c r="B8387" s="2" t="s">
        <v>380</v>
      </c>
      <c r="C8387" s="2">
        <v>2015.0</v>
      </c>
      <c r="D8387" s="9">
        <v>33889.08</v>
      </c>
      <c r="E8387" s="10" t="str">
        <f t="array" ref="E8387">IFS(D8387&lt;=$G$3,'calculated data '!$A$3,D8387&lt;=$G$4,'calculated data '!$A$4,D8387&lt;=$G$6,'calculated data '!$A$5,D8387&gt;=$G$6,'calculated data '!$A$6)</f>
        <v>Target Market (Core IQR)</v>
      </c>
      <c r="F8387" s="10">
        <f t="shared" si="1"/>
        <v>0.2338640322</v>
      </c>
    </row>
    <row r="8388" ht="14.25" customHeight="1">
      <c r="A8388" s="2" t="s">
        <v>419</v>
      </c>
      <c r="B8388" s="2" t="s">
        <v>420</v>
      </c>
      <c r="C8388" s="2">
        <v>2023.0</v>
      </c>
      <c r="D8388" s="9">
        <v>33891.15</v>
      </c>
      <c r="E8388" s="10" t="str">
        <f t="array" ref="E8388">IFS(D8388&lt;=$G$3,'calculated data '!$A$3,D8388&lt;=$G$4,'calculated data '!$A$4,D8388&lt;=$G$6,'calculated data '!$A$5,D8388&gt;=$G$6,'calculated data '!$A$6)</f>
        <v>Target Market (Core IQR)</v>
      </c>
      <c r="F8388" s="10">
        <f t="shared" si="1"/>
        <v>0.2339188246</v>
      </c>
    </row>
    <row r="8389" ht="14.25" customHeight="1">
      <c r="A8389" s="2" t="s">
        <v>249</v>
      </c>
      <c r="B8389" s="2" t="s">
        <v>250</v>
      </c>
      <c r="C8389" s="2">
        <v>2020.0</v>
      </c>
      <c r="D8389" s="9">
        <v>33895.184</v>
      </c>
      <c r="E8389" s="10" t="str">
        <f t="array" ref="E8389">IFS(D8389&lt;=$G$3,'calculated data '!$A$3,D8389&lt;=$G$4,'calculated data '!$A$4,D8389&lt;=$G$6,'calculated data '!$A$5,D8389&gt;=$G$6,'calculated data '!$A$6)</f>
        <v>Target Market (Core IQR)</v>
      </c>
      <c r="F8389" s="10">
        <f t="shared" si="1"/>
        <v>0.2340256035</v>
      </c>
    </row>
    <row r="8390" ht="14.25" customHeight="1">
      <c r="A8390" s="2" t="s">
        <v>417</v>
      </c>
      <c r="B8390" s="2" t="s">
        <v>418</v>
      </c>
      <c r="C8390" s="2">
        <v>1972.0</v>
      </c>
      <c r="D8390" s="9">
        <v>33905.297</v>
      </c>
      <c r="E8390" s="10" t="str">
        <f t="array" ref="E8390">IFS(D8390&lt;=$G$3,'calculated data '!$A$3,D8390&lt;=$G$4,'calculated data '!$A$4,D8390&lt;=$G$6,'calculated data '!$A$5,D8390&gt;=$G$6,'calculated data '!$A$6)</f>
        <v>Target Market (Core IQR)</v>
      </c>
      <c r="F8390" s="10">
        <f t="shared" si="1"/>
        <v>0.2342932921</v>
      </c>
    </row>
    <row r="8391" ht="14.25" customHeight="1">
      <c r="A8391" s="2" t="s">
        <v>257</v>
      </c>
      <c r="B8391" s="2" t="s">
        <v>258</v>
      </c>
      <c r="C8391" s="2">
        <v>2014.0</v>
      </c>
      <c r="D8391" s="9">
        <v>33909.3</v>
      </c>
      <c r="E8391" s="10" t="str">
        <f t="array" ref="E8391">IFS(D8391&lt;=$G$3,'calculated data '!$A$3,D8391&lt;=$G$4,'calculated data '!$A$4,D8391&lt;=$G$6,'calculated data '!$A$5,D8391&gt;=$G$6,'calculated data '!$A$6)</f>
        <v>Target Market (Core IQR)</v>
      </c>
      <c r="F8391" s="10">
        <f t="shared" si="1"/>
        <v>0.2343992505</v>
      </c>
    </row>
    <row r="8392" ht="14.25" customHeight="1">
      <c r="A8392" s="2" t="s">
        <v>425</v>
      </c>
      <c r="B8392" s="2" t="s">
        <v>426</v>
      </c>
      <c r="C8392" s="2">
        <v>2015.0</v>
      </c>
      <c r="D8392" s="9">
        <v>33927.492</v>
      </c>
      <c r="E8392" s="10" t="str">
        <f t="array" ref="E8392">IFS(D8392&lt;=$G$3,'calculated data '!$A$3,D8392&lt;=$G$4,'calculated data '!$A$4,D8392&lt;=$G$6,'calculated data '!$A$5,D8392&gt;=$G$6,'calculated data '!$A$6)</f>
        <v>Target Market (Core IQR)</v>
      </c>
      <c r="F8392" s="10">
        <f t="shared" si="1"/>
        <v>0.2348807882</v>
      </c>
    </row>
    <row r="8393" ht="14.25" customHeight="1">
      <c r="A8393" s="2" t="s">
        <v>387</v>
      </c>
      <c r="B8393" s="2" t="s">
        <v>388</v>
      </c>
      <c r="C8393" s="2">
        <v>2015.0</v>
      </c>
      <c r="D8393" s="9">
        <v>33930.758</v>
      </c>
      <c r="E8393" s="10" t="str">
        <f t="array" ref="E8393">IFS(D8393&lt;=$G$3,'calculated data '!$A$3,D8393&lt;=$G$4,'calculated data '!$A$4,D8393&lt;=$G$6,'calculated data '!$A$5,D8393&gt;=$G$6,'calculated data '!$A$6)</f>
        <v>Target Market (Core IQR)</v>
      </c>
      <c r="F8393" s="10">
        <f t="shared" si="1"/>
        <v>0.2349672384</v>
      </c>
    </row>
    <row r="8394" ht="14.25" customHeight="1">
      <c r="A8394" s="2" t="s">
        <v>401</v>
      </c>
      <c r="B8394" s="2" t="s">
        <v>402</v>
      </c>
      <c r="C8394" s="2">
        <v>2022.0</v>
      </c>
      <c r="D8394" s="9">
        <v>33942.26</v>
      </c>
      <c r="E8394" s="10" t="str">
        <f t="array" ref="E8394">IFS(D8394&lt;=$G$3,'calculated data '!$A$3,D8394&lt;=$G$4,'calculated data '!$A$4,D8394&lt;=$G$6,'calculated data '!$A$5,D8394&gt;=$G$6,'calculated data '!$A$6)</f>
        <v>Target Market (Core IQR)</v>
      </c>
      <c r="F8394" s="10">
        <f t="shared" si="1"/>
        <v>0.2352716935</v>
      </c>
    </row>
    <row r="8395" ht="14.25" customHeight="1">
      <c r="A8395" s="2" t="s">
        <v>331</v>
      </c>
      <c r="B8395" s="2" t="s">
        <v>332</v>
      </c>
      <c r="C8395" s="2">
        <v>2002.0</v>
      </c>
      <c r="D8395" s="9">
        <v>33950.277</v>
      </c>
      <c r="E8395" s="10" t="str">
        <f t="array" ref="E8395">IFS(D8395&lt;=$G$3,'calculated data '!$A$3,D8395&lt;=$G$4,'calculated data '!$A$4,D8395&lt;=$G$6,'calculated data '!$A$5,D8395&gt;=$G$6,'calculated data '!$A$6)</f>
        <v>Target Market (Core IQR)</v>
      </c>
      <c r="F8395" s="10">
        <f t="shared" si="1"/>
        <v>0.2354839015</v>
      </c>
    </row>
    <row r="8396" ht="14.25" customHeight="1">
      <c r="A8396" s="2" t="s">
        <v>411</v>
      </c>
      <c r="B8396" s="2" t="s">
        <v>412</v>
      </c>
      <c r="C8396" s="2">
        <v>1976.0</v>
      </c>
      <c r="D8396" s="9">
        <v>33967.277</v>
      </c>
      <c r="E8396" s="10" t="str">
        <f t="array" ref="E8396">IFS(D8396&lt;=$G$3,'calculated data '!$A$3,D8396&lt;=$G$4,'calculated data '!$A$4,D8396&lt;=$G$6,'calculated data '!$A$5,D8396&gt;=$G$6,'calculated data '!$A$6)</f>
        <v>Target Market (Core IQR)</v>
      </c>
      <c r="F8396" s="10">
        <f t="shared" si="1"/>
        <v>0.2359338873</v>
      </c>
    </row>
    <row r="8397" ht="14.25" customHeight="1">
      <c r="A8397" s="2" t="s">
        <v>401</v>
      </c>
      <c r="B8397" s="2" t="s">
        <v>402</v>
      </c>
      <c r="C8397" s="2">
        <v>2024.0</v>
      </c>
      <c r="D8397" s="9">
        <v>33975.75</v>
      </c>
      <c r="E8397" s="10" t="str">
        <f t="array" ref="E8397">IFS(D8397&lt;=$G$3,'calculated data '!$A$3,D8397&lt;=$G$4,'calculated data '!$A$4,D8397&lt;=$G$6,'calculated data '!$A$5,D8397&gt;=$G$6,'calculated data '!$A$6)</f>
        <v>Target Market (Core IQR)</v>
      </c>
      <c r="F8397" s="10">
        <f t="shared" si="1"/>
        <v>0.2361581655</v>
      </c>
    </row>
    <row r="8398" ht="14.25" customHeight="1">
      <c r="A8398" s="2" t="s">
        <v>379</v>
      </c>
      <c r="B8398" s="2" t="s">
        <v>380</v>
      </c>
      <c r="C8398" s="2">
        <v>2019.0</v>
      </c>
      <c r="D8398" s="9">
        <v>33978.363</v>
      </c>
      <c r="E8398" s="10" t="str">
        <f t="array" ref="E8398">IFS(D8398&lt;=$G$3,'calculated data '!$A$3,D8398&lt;=$G$4,'calculated data '!$A$4,D8398&lt;=$G$6,'calculated data '!$A$5,D8398&gt;=$G$6,'calculated data '!$A$6)</f>
        <v>Target Market (Core IQR)</v>
      </c>
      <c r="F8398" s="10">
        <f t="shared" si="1"/>
        <v>0.2362273309</v>
      </c>
    </row>
    <row r="8399" ht="14.25" customHeight="1">
      <c r="A8399" s="2" t="s">
        <v>419</v>
      </c>
      <c r="B8399" s="2" t="s">
        <v>420</v>
      </c>
      <c r="C8399" s="2">
        <v>2021.0</v>
      </c>
      <c r="D8399" s="9">
        <v>34019.86</v>
      </c>
      <c r="E8399" s="10" t="str">
        <f t="array" ref="E8399">IFS(D8399&lt;=$G$3,'calculated data '!$A$3,D8399&lt;=$G$4,'calculated data '!$A$4,D8399&lt;=$G$6,'calculated data '!$A$5,D8399&gt;=$G$6,'calculated data '!$A$6)</f>
        <v>Target Market (Core IQR)</v>
      </c>
      <c r="F8399" s="10">
        <f t="shared" si="1"/>
        <v>0.2373257462</v>
      </c>
    </row>
    <row r="8400" ht="14.25" customHeight="1">
      <c r="A8400" s="2" t="s">
        <v>425</v>
      </c>
      <c r="B8400" s="2" t="s">
        <v>426</v>
      </c>
      <c r="C8400" s="2">
        <v>2014.0</v>
      </c>
      <c r="D8400" s="9">
        <v>34023.996</v>
      </c>
      <c r="E8400" s="10" t="str">
        <f t="array" ref="E8400">IFS(D8400&lt;=$G$3,'calculated data '!$A$3,D8400&lt;=$G$4,'calculated data '!$A$4,D8400&lt;=$G$6,'calculated data '!$A$5,D8400&gt;=$G$6,'calculated data '!$A$6)</f>
        <v>Target Market (Core IQR)</v>
      </c>
      <c r="F8400" s="10">
        <f t="shared" si="1"/>
        <v>0.2374352251</v>
      </c>
    </row>
    <row r="8401" ht="14.25" customHeight="1">
      <c r="A8401" s="2" t="s">
        <v>445</v>
      </c>
      <c r="B8401" s="2" t="s">
        <v>446</v>
      </c>
      <c r="C8401" s="2">
        <v>1969.0</v>
      </c>
      <c r="D8401" s="9">
        <v>34053.02</v>
      </c>
      <c r="E8401" s="10" t="str">
        <f t="array" ref="E8401">IFS(D8401&lt;=$G$3,'calculated data '!$A$3,D8401&lt;=$G$4,'calculated data '!$A$4,D8401&lt;=$G$6,'calculated data '!$A$5,D8401&gt;=$G$6,'calculated data '!$A$6)</f>
        <v>Target Market (Core IQR)</v>
      </c>
      <c r="F8401" s="10">
        <f t="shared" si="1"/>
        <v>0.2382034831</v>
      </c>
    </row>
    <row r="8402" ht="14.25" customHeight="1">
      <c r="A8402" s="2" t="s">
        <v>267</v>
      </c>
      <c r="B8402" s="2" t="s">
        <v>268</v>
      </c>
      <c r="C8402" s="2">
        <v>1999.0</v>
      </c>
      <c r="D8402" s="9">
        <v>34064.734</v>
      </c>
      <c r="E8402" s="10" t="str">
        <f t="array" ref="E8402">IFS(D8402&lt;=$G$3,'calculated data '!$A$3,D8402&lt;=$G$4,'calculated data '!$A$4,D8402&lt;=$G$6,'calculated data '!$A$5,D8402&gt;=$G$6,'calculated data '!$A$6)</f>
        <v>Target Market (Core IQR)</v>
      </c>
      <c r="F8402" s="10">
        <f t="shared" si="1"/>
        <v>0.2385135498</v>
      </c>
    </row>
    <row r="8403" ht="14.25" customHeight="1">
      <c r="A8403" s="2" t="s">
        <v>369</v>
      </c>
      <c r="B8403" s="2" t="s">
        <v>370</v>
      </c>
      <c r="C8403" s="2">
        <v>1983.0</v>
      </c>
      <c r="D8403" s="9">
        <v>34067.45</v>
      </c>
      <c r="E8403" s="10" t="str">
        <f t="array" ref="E8403">IFS(D8403&lt;=$G$3,'calculated data '!$A$3,D8403&lt;=$G$4,'calculated data '!$A$4,D8403&lt;=$G$6,'calculated data '!$A$5,D8403&gt;=$G$6,'calculated data '!$A$6)</f>
        <v>Target Market (Core IQR)</v>
      </c>
      <c r="F8403" s="10">
        <f t="shared" si="1"/>
        <v>0.2385854416</v>
      </c>
    </row>
    <row r="8404" ht="14.25" customHeight="1">
      <c r="A8404" s="2" t="s">
        <v>413</v>
      </c>
      <c r="B8404" s="2" t="s">
        <v>414</v>
      </c>
      <c r="C8404" s="2">
        <v>1972.0</v>
      </c>
      <c r="D8404" s="9">
        <v>34075.63</v>
      </c>
      <c r="E8404" s="10" t="str">
        <f t="array" ref="E8404">IFS(D8404&lt;=$G$3,'calculated data '!$A$3,D8404&lt;=$G$4,'calculated data '!$A$4,D8404&lt;=$G$6,'calculated data '!$A$5,D8404&gt;=$G$6,'calculated data '!$A$6)</f>
        <v>Target Market (Core IQR)</v>
      </c>
      <c r="F8404" s="10">
        <f t="shared" si="1"/>
        <v>0.2388019642</v>
      </c>
    </row>
    <row r="8405" ht="14.25" customHeight="1">
      <c r="A8405" s="2" t="s">
        <v>409</v>
      </c>
      <c r="B8405" s="2" t="s">
        <v>410</v>
      </c>
      <c r="C8405" s="2">
        <v>1993.0</v>
      </c>
      <c r="D8405" s="9">
        <v>34106.816</v>
      </c>
      <c r="E8405" s="10" t="str">
        <f t="array" ref="E8405">IFS(D8405&lt;=$G$3,'calculated data '!$A$3,D8405&lt;=$G$4,'calculated data '!$A$4,D8405&lt;=$G$6,'calculated data '!$A$5,D8405&gt;=$G$6,'calculated data '!$A$6)</f>
        <v>Target Market (Core IQR)</v>
      </c>
      <c r="F8405" s="10">
        <f t="shared" si="1"/>
        <v>0.2396274499</v>
      </c>
    </row>
    <row r="8406" ht="14.25" customHeight="1">
      <c r="A8406" s="2" t="s">
        <v>447</v>
      </c>
      <c r="B8406" s="2" t="s">
        <v>448</v>
      </c>
      <c r="C8406" s="2">
        <v>2015.0</v>
      </c>
      <c r="D8406" s="9">
        <v>34113.125</v>
      </c>
      <c r="E8406" s="10" t="str">
        <f t="array" ref="E8406">IFS(D8406&lt;=$G$3,'calculated data '!$A$3,D8406&lt;=$G$4,'calculated data '!$A$4,D8406&lt;=$G$6,'calculated data '!$A$5,D8406&gt;=$G$6,'calculated data '!$A$6)</f>
        <v>Target Market (Core IQR)</v>
      </c>
      <c r="F8406" s="10">
        <f t="shared" si="1"/>
        <v>0.2397944475</v>
      </c>
    </row>
    <row r="8407" ht="14.25" customHeight="1">
      <c r="A8407" s="2" t="s">
        <v>463</v>
      </c>
      <c r="B8407" s="2" t="s">
        <v>464</v>
      </c>
      <c r="C8407" s="2">
        <v>1991.0</v>
      </c>
      <c r="D8407" s="9">
        <v>34128.01</v>
      </c>
      <c r="E8407" s="10" t="str">
        <f t="array" ref="E8407">IFS(D8407&lt;=$G$3,'calculated data '!$A$3,D8407&lt;=$G$4,'calculated data '!$A$4,D8407&lt;=$G$6,'calculated data '!$A$5,D8407&gt;=$G$6,'calculated data '!$A$6)</f>
        <v>Target Market (Core IQR)</v>
      </c>
      <c r="F8407" s="10">
        <f t="shared" si="1"/>
        <v>0.2401884498</v>
      </c>
    </row>
    <row r="8408" ht="14.25" customHeight="1">
      <c r="A8408" s="2" t="s">
        <v>331</v>
      </c>
      <c r="B8408" s="2" t="s">
        <v>332</v>
      </c>
      <c r="C8408" s="2">
        <v>2001.0</v>
      </c>
      <c r="D8408" s="9">
        <v>34167.504</v>
      </c>
      <c r="E8408" s="10" t="str">
        <f t="array" ref="E8408">IFS(D8408&lt;=$G$3,'calculated data '!$A$3,D8408&lt;=$G$4,'calculated data '!$A$4,D8408&lt;=$G$6,'calculated data '!$A$5,D8408&gt;=$G$6,'calculated data '!$A$6)</f>
        <v>Target Market (Core IQR)</v>
      </c>
      <c r="F8408" s="10">
        <f t="shared" si="1"/>
        <v>0.2412338461</v>
      </c>
    </row>
    <row r="8409" ht="14.25" customHeight="1">
      <c r="A8409" s="2" t="s">
        <v>349</v>
      </c>
      <c r="B8409" s="2" t="s">
        <v>350</v>
      </c>
      <c r="C8409" s="2">
        <v>1985.0</v>
      </c>
      <c r="D8409" s="9">
        <v>34174.688</v>
      </c>
      <c r="E8409" s="10" t="str">
        <f t="array" ref="E8409">IFS(D8409&lt;=$G$3,'calculated data '!$A$3,D8409&lt;=$G$4,'calculated data '!$A$4,D8409&lt;=$G$6,'calculated data '!$A$5,D8409&gt;=$G$6,'calculated data '!$A$6)</f>
        <v>Target Market (Core IQR)</v>
      </c>
      <c r="F8409" s="10">
        <f t="shared" si="1"/>
        <v>0.2414240048</v>
      </c>
    </row>
    <row r="8410" ht="14.25" customHeight="1">
      <c r="A8410" s="2" t="s">
        <v>437</v>
      </c>
      <c r="B8410" s="2" t="s">
        <v>438</v>
      </c>
      <c r="C8410" s="2">
        <v>1972.0</v>
      </c>
      <c r="D8410" s="9">
        <v>34195.56</v>
      </c>
      <c r="E8410" s="10" t="str">
        <f t="array" ref="E8410">IFS(D8410&lt;=$G$3,'calculated data '!$A$3,D8410&lt;=$G$4,'calculated data '!$A$4,D8410&lt;=$G$6,'calculated data '!$A$5,D8410&gt;=$G$6,'calculated data '!$A$6)</f>
        <v>Target Market (Core IQR)</v>
      </c>
      <c r="F8410" s="10">
        <f t="shared" si="1"/>
        <v>0.2419764814</v>
      </c>
    </row>
    <row r="8411" ht="14.25" customHeight="1">
      <c r="A8411" s="2" t="s">
        <v>431</v>
      </c>
      <c r="B8411" s="2" t="s">
        <v>432</v>
      </c>
      <c r="C8411" s="2">
        <v>1991.0</v>
      </c>
      <c r="D8411" s="9">
        <v>34203.9</v>
      </c>
      <c r="E8411" s="10" t="str">
        <f t="array" ref="E8411">IFS(D8411&lt;=$G$3,'calculated data '!$A$3,D8411&lt;=$G$4,'calculated data '!$A$4,D8411&lt;=$G$6,'calculated data '!$A$5,D8411&gt;=$G$6,'calculated data '!$A$6)</f>
        <v>Target Market (Core IQR)</v>
      </c>
      <c r="F8411" s="10">
        <f t="shared" si="1"/>
        <v>0.2421972392</v>
      </c>
    </row>
    <row r="8412" ht="14.25" customHeight="1">
      <c r="A8412" s="2" t="s">
        <v>387</v>
      </c>
      <c r="B8412" s="2" t="s">
        <v>388</v>
      </c>
      <c r="C8412" s="2">
        <v>2016.0</v>
      </c>
      <c r="D8412" s="9">
        <v>34220.047</v>
      </c>
      <c r="E8412" s="10" t="str">
        <f t="array" ref="E8412">IFS(D8412&lt;=$G$3,'calculated data '!$A$3,D8412&lt;=$G$4,'calculated data '!$A$4,D8412&lt;=$G$6,'calculated data '!$A$5,D8412&gt;=$G$6,'calculated data '!$A$6)</f>
        <v>Target Market (Core IQR)</v>
      </c>
      <c r="F8412" s="10">
        <f t="shared" si="1"/>
        <v>0.2426246462</v>
      </c>
    </row>
    <row r="8413" ht="14.25" customHeight="1">
      <c r="A8413" s="2" t="s">
        <v>307</v>
      </c>
      <c r="B8413" s="2" t="s">
        <v>308</v>
      </c>
      <c r="C8413" s="2">
        <v>1989.0</v>
      </c>
      <c r="D8413" s="9">
        <v>34220.816</v>
      </c>
      <c r="E8413" s="10" t="str">
        <f t="array" ref="E8413">IFS(D8413&lt;=$G$3,'calculated data '!$A$3,D8413&lt;=$G$4,'calculated data '!$A$4,D8413&lt;=$G$6,'calculated data '!$A$5,D8413&gt;=$G$6,'calculated data '!$A$6)</f>
        <v>Target Market (Core IQR)</v>
      </c>
      <c r="F8413" s="10">
        <f t="shared" si="1"/>
        <v>0.2426450015</v>
      </c>
    </row>
    <row r="8414" ht="14.25" customHeight="1">
      <c r="A8414" s="2" t="s">
        <v>447</v>
      </c>
      <c r="B8414" s="2" t="s">
        <v>448</v>
      </c>
      <c r="C8414" s="2">
        <v>2020.0</v>
      </c>
      <c r="D8414" s="9">
        <v>34229.527</v>
      </c>
      <c r="E8414" s="10" t="str">
        <f t="array" ref="E8414">IFS(D8414&lt;=$G$3,'calculated data '!$A$3,D8414&lt;=$G$4,'calculated data '!$A$4,D8414&lt;=$G$6,'calculated data '!$A$5,D8414&gt;=$G$6,'calculated data '!$A$6)</f>
        <v>Target Market (Core IQR)</v>
      </c>
      <c r="F8414" s="10">
        <f t="shared" si="1"/>
        <v>0.2428755795</v>
      </c>
    </row>
    <row r="8415" ht="14.25" customHeight="1">
      <c r="A8415" s="2" t="s">
        <v>415</v>
      </c>
      <c r="B8415" s="2" t="s">
        <v>416</v>
      </c>
      <c r="C8415" s="2">
        <v>2013.0</v>
      </c>
      <c r="D8415" s="9">
        <v>34256.445</v>
      </c>
      <c r="E8415" s="10" t="str">
        <f t="array" ref="E8415">IFS(D8415&lt;=$G$3,'calculated data '!$A$3,D8415&lt;=$G$4,'calculated data '!$A$4,D8415&lt;=$G$6,'calculated data '!$A$5,D8415&gt;=$G$6,'calculated data '!$A$6)</f>
        <v>Target Market (Core IQR)</v>
      </c>
      <c r="F8415" s="10">
        <f t="shared" si="1"/>
        <v>0.2435880922</v>
      </c>
    </row>
    <row r="8416" ht="14.25" customHeight="1">
      <c r="A8416" s="2" t="s">
        <v>401</v>
      </c>
      <c r="B8416" s="2" t="s">
        <v>402</v>
      </c>
      <c r="C8416" s="2">
        <v>1988.0</v>
      </c>
      <c r="D8416" s="9">
        <v>34259.844</v>
      </c>
      <c r="E8416" s="10" t="str">
        <f t="array" ref="E8416">IFS(D8416&lt;=$G$3,'calculated data '!$A$3,D8416&lt;=$G$4,'calculated data '!$A$4,D8416&lt;=$G$6,'calculated data '!$A$5,D8416&gt;=$G$6,'calculated data '!$A$6)</f>
        <v>Target Market (Core IQR)</v>
      </c>
      <c r="F8416" s="10">
        <f t="shared" si="1"/>
        <v>0.2436780629</v>
      </c>
    </row>
    <row r="8417" ht="14.25" customHeight="1">
      <c r="A8417" s="2" t="s">
        <v>353</v>
      </c>
      <c r="B8417" s="2" t="s">
        <v>354</v>
      </c>
      <c r="C8417" s="2">
        <v>1978.0</v>
      </c>
      <c r="D8417" s="9">
        <v>34272.46</v>
      </c>
      <c r="E8417" s="10" t="str">
        <f t="array" ref="E8417">IFS(D8417&lt;=$G$3,'calculated data '!$A$3,D8417&lt;=$G$4,'calculated data '!$A$4,D8417&lt;=$G$6,'calculated data '!$A$5,D8417&gt;=$G$6,'calculated data '!$A$6)</f>
        <v>Target Market (Core IQR)</v>
      </c>
      <c r="F8417" s="10">
        <f t="shared" si="1"/>
        <v>0.2440120053</v>
      </c>
    </row>
    <row r="8418" ht="14.25" customHeight="1">
      <c r="A8418" s="2" t="s">
        <v>407</v>
      </c>
      <c r="B8418" s="2" t="s">
        <v>408</v>
      </c>
      <c r="C8418" s="2">
        <v>2015.0</v>
      </c>
      <c r="D8418" s="9">
        <v>34279.48</v>
      </c>
      <c r="E8418" s="10" t="str">
        <f t="array" ref="E8418">IFS(D8418&lt;=$G$3,'calculated data '!$A$3,D8418&lt;=$G$4,'calculated data '!$A$4,D8418&lt;=$G$6,'calculated data '!$A$5,D8418&gt;=$G$6,'calculated data '!$A$6)</f>
        <v>Target Market (Core IQR)</v>
      </c>
      <c r="F8418" s="10">
        <f t="shared" si="1"/>
        <v>0.2441978229</v>
      </c>
    </row>
    <row r="8419" ht="14.25" customHeight="1">
      <c r="A8419" s="2" t="s">
        <v>371</v>
      </c>
      <c r="B8419" s="2" t="s">
        <v>372</v>
      </c>
      <c r="C8419" s="2">
        <v>1998.0</v>
      </c>
      <c r="D8419" s="9">
        <v>34294.13</v>
      </c>
      <c r="E8419" s="10" t="str">
        <f t="array" ref="E8419">IFS(D8419&lt;=$G$3,'calculated data '!$A$3,D8419&lt;=$G$4,'calculated data '!$A$4,D8419&lt;=$G$6,'calculated data '!$A$5,D8419&gt;=$G$6,'calculated data '!$A$6)</f>
        <v>Target Market (Core IQR)</v>
      </c>
      <c r="F8419" s="10">
        <f t="shared" si="1"/>
        <v>0.2445856048</v>
      </c>
    </row>
    <row r="8420" ht="14.25" customHeight="1">
      <c r="A8420" s="2" t="s">
        <v>369</v>
      </c>
      <c r="B8420" s="2" t="s">
        <v>370</v>
      </c>
      <c r="C8420" s="2">
        <v>1981.0</v>
      </c>
      <c r="D8420" s="9">
        <v>34320.69</v>
      </c>
      <c r="E8420" s="10" t="str">
        <f t="array" ref="E8420">IFS(D8420&lt;=$G$3,'calculated data '!$A$3,D8420&lt;=$G$4,'calculated data '!$A$4,D8420&lt;=$G$6,'calculated data '!$A$5,D8420&gt;=$G$6,'calculated data '!$A$6)</f>
        <v>Target Market (Core IQR)</v>
      </c>
      <c r="F8420" s="10">
        <f t="shared" si="1"/>
        <v>0.2452886414</v>
      </c>
    </row>
    <row r="8421" ht="14.25" customHeight="1">
      <c r="A8421" s="2" t="s">
        <v>279</v>
      </c>
      <c r="B8421" s="2" t="s">
        <v>280</v>
      </c>
      <c r="C8421" s="2">
        <v>1994.0</v>
      </c>
      <c r="D8421" s="9">
        <v>34332.203</v>
      </c>
      <c r="E8421" s="10" t="str">
        <f t="array" ref="E8421">IFS(D8421&lt;=$G$3,'calculated data '!$A$3,D8421&lt;=$G$4,'calculated data '!$A$4,D8421&lt;=$G$6,'calculated data '!$A$5,D8421&gt;=$G$6,'calculated data '!$A$6)</f>
        <v>Target Market (Core IQR)</v>
      </c>
      <c r="F8421" s="10">
        <f t="shared" si="1"/>
        <v>0.2455933876</v>
      </c>
    </row>
    <row r="8422" ht="14.25" customHeight="1">
      <c r="A8422" s="2" t="s">
        <v>409</v>
      </c>
      <c r="B8422" s="2" t="s">
        <v>410</v>
      </c>
      <c r="C8422" s="2">
        <v>2015.0</v>
      </c>
      <c r="D8422" s="9">
        <v>34333.402</v>
      </c>
      <c r="E8422" s="10" t="str">
        <f t="array" ref="E8422">IFS(D8422&lt;=$G$3,'calculated data '!$A$3,D8422&lt;=$G$4,'calculated data '!$A$4,D8422&lt;=$G$6,'calculated data '!$A$5,D8422&gt;=$G$6,'calculated data '!$A$6)</f>
        <v>Target Market (Core IQR)</v>
      </c>
      <c r="F8422" s="10">
        <f t="shared" si="1"/>
        <v>0.2456251248</v>
      </c>
    </row>
    <row r="8423" ht="14.25" customHeight="1">
      <c r="A8423" s="2" t="s">
        <v>409</v>
      </c>
      <c r="B8423" s="2" t="s">
        <v>410</v>
      </c>
      <c r="C8423" s="2">
        <v>2019.0</v>
      </c>
      <c r="D8423" s="9">
        <v>34334.816</v>
      </c>
      <c r="E8423" s="10" t="str">
        <f t="array" ref="E8423">IFS(D8423&lt;=$G$3,'calculated data '!$A$3,D8423&lt;=$G$4,'calculated data '!$A$4,D8423&lt;=$G$6,'calculated data '!$A$5,D8423&gt;=$G$6,'calculated data '!$A$6)</f>
        <v>Target Market (Core IQR)</v>
      </c>
      <c r="F8423" s="10">
        <f t="shared" si="1"/>
        <v>0.2456625531</v>
      </c>
    </row>
    <row r="8424" ht="14.25" customHeight="1">
      <c r="A8424" s="2" t="s">
        <v>439</v>
      </c>
      <c r="B8424" s="2" t="s">
        <v>440</v>
      </c>
      <c r="C8424" s="2">
        <v>1973.0</v>
      </c>
      <c r="D8424" s="9">
        <v>34352.305</v>
      </c>
      <c r="E8424" s="10" t="str">
        <f t="array" ref="E8424">IFS(D8424&lt;=$G$3,'calculated data '!$A$3,D8424&lt;=$G$4,'calculated data '!$A$4,D8424&lt;=$G$6,'calculated data '!$A$5,D8424&gt;=$G$6,'calculated data '!$A$6)</f>
        <v>Target Market (Core IQR)</v>
      </c>
      <c r="F8424" s="10">
        <f t="shared" si="1"/>
        <v>0.2461254825</v>
      </c>
    </row>
    <row r="8425" ht="14.25" customHeight="1">
      <c r="A8425" s="2" t="s">
        <v>419</v>
      </c>
      <c r="B8425" s="2" t="s">
        <v>420</v>
      </c>
      <c r="C8425" s="2">
        <v>2012.0</v>
      </c>
      <c r="D8425" s="9">
        <v>34353.004</v>
      </c>
      <c r="E8425" s="10" t="str">
        <f t="array" ref="E8425">IFS(D8425&lt;=$G$3,'calculated data '!$A$3,D8425&lt;=$G$4,'calculated data '!$A$4,D8425&lt;=$G$6,'calculated data '!$A$5,D8425&gt;=$G$6,'calculated data '!$A$6)</f>
        <v>Target Market (Core IQR)</v>
      </c>
      <c r="F8425" s="10">
        <f t="shared" si="1"/>
        <v>0.2461439849</v>
      </c>
    </row>
    <row r="8426" ht="14.25" customHeight="1">
      <c r="A8426" s="2" t="s">
        <v>379</v>
      </c>
      <c r="B8426" s="2" t="s">
        <v>380</v>
      </c>
      <c r="C8426" s="2">
        <v>2013.0</v>
      </c>
      <c r="D8426" s="9">
        <v>34361.727</v>
      </c>
      <c r="E8426" s="10" t="str">
        <f t="array" ref="E8426">IFS(D8426&lt;=$G$3,'calculated data '!$A$3,D8426&lt;=$G$4,'calculated data '!$A$4,D8426&lt;=$G$6,'calculated data '!$A$5,D8426&gt;=$G$6,'calculated data '!$A$6)</f>
        <v>Target Market (Core IQR)</v>
      </c>
      <c r="F8426" s="10">
        <f t="shared" si="1"/>
        <v>0.2463748805</v>
      </c>
    </row>
    <row r="8427" ht="14.25" customHeight="1">
      <c r="A8427" s="2" t="s">
        <v>335</v>
      </c>
      <c r="B8427" s="2" t="s">
        <v>336</v>
      </c>
      <c r="C8427" s="2">
        <v>1999.0</v>
      </c>
      <c r="D8427" s="9">
        <v>34366.484</v>
      </c>
      <c r="E8427" s="10" t="str">
        <f t="array" ref="E8427">IFS(D8427&lt;=$G$3,'calculated data '!$A$3,D8427&lt;=$G$4,'calculated data '!$A$4,D8427&lt;=$G$6,'calculated data '!$A$5,D8427&gt;=$G$6,'calculated data '!$A$6)</f>
        <v>Target Market (Core IQR)</v>
      </c>
      <c r="F8427" s="10">
        <f t="shared" si="1"/>
        <v>0.2465007971</v>
      </c>
    </row>
    <row r="8428" ht="14.25" customHeight="1">
      <c r="A8428" s="2" t="s">
        <v>431</v>
      </c>
      <c r="B8428" s="2" t="s">
        <v>432</v>
      </c>
      <c r="C8428" s="2">
        <v>1996.0</v>
      </c>
      <c r="D8428" s="9">
        <v>34375.734</v>
      </c>
      <c r="E8428" s="10" t="str">
        <f t="array" ref="E8428">IFS(D8428&lt;=$G$3,'calculated data '!$A$3,D8428&lt;=$G$4,'calculated data '!$A$4,D8428&lt;=$G$6,'calculated data '!$A$5,D8428&gt;=$G$6,'calculated data '!$A$6)</f>
        <v>Target Market (Core IQR)</v>
      </c>
      <c r="F8428" s="10">
        <f t="shared" si="1"/>
        <v>0.2467456423</v>
      </c>
    </row>
    <row r="8429" ht="14.25" customHeight="1">
      <c r="A8429" s="2" t="s">
        <v>431</v>
      </c>
      <c r="B8429" s="2" t="s">
        <v>432</v>
      </c>
      <c r="C8429" s="2">
        <v>1980.0</v>
      </c>
      <c r="D8429" s="9">
        <v>34383.223</v>
      </c>
      <c r="E8429" s="10" t="str">
        <f t="array" ref="E8429">IFS(D8429&lt;=$G$3,'calculated data '!$A$3,D8429&lt;=$G$4,'calculated data '!$A$4,D8429&lt;=$G$6,'calculated data '!$A$5,D8429&gt;=$G$6,'calculated data '!$A$6)</f>
        <v>Target Market (Core IQR)</v>
      </c>
      <c r="F8429" s="10">
        <f t="shared" si="1"/>
        <v>0.2469438743</v>
      </c>
    </row>
    <row r="8430" ht="14.25" customHeight="1">
      <c r="A8430" s="2" t="s">
        <v>401</v>
      </c>
      <c r="B8430" s="2" t="s">
        <v>402</v>
      </c>
      <c r="C8430" s="2">
        <v>1989.0</v>
      </c>
      <c r="D8430" s="9">
        <v>34399.547</v>
      </c>
      <c r="E8430" s="10" t="str">
        <f t="array" ref="E8430">IFS(D8430&lt;=$G$3,'calculated data '!$A$3,D8430&lt;=$G$4,'calculated data '!$A$4,D8430&lt;=$G$6,'calculated data '!$A$5,D8430&gt;=$G$6,'calculated data '!$A$6)</f>
        <v>Target Market (Core IQR)</v>
      </c>
      <c r="F8430" s="10">
        <f t="shared" si="1"/>
        <v>0.2473759665</v>
      </c>
    </row>
    <row r="8431" ht="14.25" customHeight="1">
      <c r="A8431" s="2" t="s">
        <v>331</v>
      </c>
      <c r="B8431" s="2" t="s">
        <v>332</v>
      </c>
      <c r="C8431" s="2">
        <v>2009.0</v>
      </c>
      <c r="D8431" s="9">
        <v>34405.72</v>
      </c>
      <c r="E8431" s="10" t="str">
        <f t="array" ref="E8431">IFS(D8431&lt;=$G$3,'calculated data '!$A$3,D8431&lt;=$G$4,'calculated data '!$A$4,D8431&lt;=$G$6,'calculated data '!$A$5,D8431&gt;=$G$6,'calculated data '!$A$6)</f>
        <v>Target Market (Core IQR)</v>
      </c>
      <c r="F8431" s="10">
        <f t="shared" si="1"/>
        <v>0.2475393643</v>
      </c>
    </row>
    <row r="8432" ht="14.25" customHeight="1">
      <c r="A8432" s="2" t="s">
        <v>457</v>
      </c>
      <c r="B8432" s="2" t="s">
        <v>458</v>
      </c>
      <c r="C8432" s="2">
        <v>1966.0</v>
      </c>
      <c r="D8432" s="9">
        <v>34411.543</v>
      </c>
      <c r="E8432" s="10" t="str">
        <f t="array" ref="E8432">IFS(D8432&lt;=$G$3,'calculated data '!$A$3,D8432&lt;=$G$4,'calculated data '!$A$4,D8432&lt;=$G$6,'calculated data '!$A$5,D8432&gt;=$G$6,'calculated data '!$A$6)</f>
        <v>Target Market (Core IQR)</v>
      </c>
      <c r="F8432" s="10">
        <f t="shared" si="1"/>
        <v>0.2476934977</v>
      </c>
    </row>
    <row r="8433" ht="14.25" customHeight="1">
      <c r="A8433" s="2" t="s">
        <v>443</v>
      </c>
      <c r="B8433" s="2" t="s">
        <v>444</v>
      </c>
      <c r="C8433" s="2">
        <v>1969.0</v>
      </c>
      <c r="D8433" s="9">
        <v>34423.188</v>
      </c>
      <c r="E8433" s="10" t="str">
        <f t="array" ref="E8433">IFS(D8433&lt;=$G$3,'calculated data '!$A$3,D8433&lt;=$G$4,'calculated data '!$A$4,D8433&lt;=$G$6,'calculated data '!$A$5,D8433&gt;=$G$6,'calculated data '!$A$6)</f>
        <v>Target Market (Core IQR)</v>
      </c>
      <c r="F8433" s="10">
        <f t="shared" si="1"/>
        <v>0.2480017379</v>
      </c>
    </row>
    <row r="8434" ht="14.25" customHeight="1">
      <c r="A8434" s="2" t="s">
        <v>367</v>
      </c>
      <c r="B8434" s="2" t="s">
        <v>368</v>
      </c>
      <c r="C8434" s="2">
        <v>2006.0</v>
      </c>
      <c r="D8434" s="9">
        <v>34426.543</v>
      </c>
      <c r="E8434" s="10" t="str">
        <f t="array" ref="E8434">IFS(D8434&lt;=$G$3,'calculated data '!$A$3,D8434&lt;=$G$4,'calculated data '!$A$4,D8434&lt;=$G$6,'calculated data '!$A$5,D8434&gt;=$G$6,'calculated data '!$A$6)</f>
        <v>Target Market (Core IQR)</v>
      </c>
      <c r="F8434" s="10">
        <f t="shared" si="1"/>
        <v>0.2480905439</v>
      </c>
    </row>
    <row r="8435" ht="14.25" customHeight="1">
      <c r="A8435" s="2" t="s">
        <v>349</v>
      </c>
      <c r="B8435" s="2" t="s">
        <v>350</v>
      </c>
      <c r="C8435" s="2">
        <v>1988.0</v>
      </c>
      <c r="D8435" s="9">
        <v>34433.54</v>
      </c>
      <c r="E8435" s="10" t="str">
        <f t="array" ref="E8435">IFS(D8435&lt;=$G$3,'calculated data '!$A$3,D8435&lt;=$G$4,'calculated data '!$A$4,D8435&lt;=$G$6,'calculated data '!$A$5,D8435&gt;=$G$6,'calculated data '!$A$6)</f>
        <v>Target Market (Core IQR)</v>
      </c>
      <c r="F8435" s="10">
        <f t="shared" si="1"/>
        <v>0.2482757528</v>
      </c>
    </row>
    <row r="8436" ht="14.25" customHeight="1">
      <c r="A8436" s="2" t="s">
        <v>449</v>
      </c>
      <c r="B8436" s="2" t="s">
        <v>450</v>
      </c>
      <c r="C8436" s="2">
        <v>1984.0</v>
      </c>
      <c r="D8436" s="9">
        <v>34449.605</v>
      </c>
      <c r="E8436" s="10" t="str">
        <f t="array" ref="E8436">IFS(D8436&lt;=$G$3,'calculated data '!$A$3,D8436&lt;=$G$4,'calculated data '!$A$4,D8436&lt;=$G$6,'calculated data '!$A$5,D8436&gt;=$G$6,'calculated data '!$A$6)</f>
        <v>Target Market (Core IQR)</v>
      </c>
      <c r="F8436" s="10">
        <f t="shared" si="1"/>
        <v>0.2487009893</v>
      </c>
    </row>
    <row r="8437" ht="14.25" customHeight="1">
      <c r="A8437" s="2" t="s">
        <v>309</v>
      </c>
      <c r="B8437" s="2" t="s">
        <v>310</v>
      </c>
      <c r="C8437" s="2">
        <v>2020.0</v>
      </c>
      <c r="D8437" s="9">
        <v>34450.656</v>
      </c>
      <c r="E8437" s="10" t="str">
        <f t="array" ref="E8437">IFS(D8437&lt;=$G$3,'calculated data '!$A$3,D8437&lt;=$G$4,'calculated data '!$A$4,D8437&lt;=$G$6,'calculated data '!$A$5,D8437&gt;=$G$6,'calculated data '!$A$6)</f>
        <v>Target Market (Core IQR)</v>
      </c>
      <c r="F8437" s="10">
        <f t="shared" si="1"/>
        <v>0.248728809</v>
      </c>
    </row>
    <row r="8438" ht="14.25" customHeight="1">
      <c r="A8438" s="2" t="s">
        <v>249</v>
      </c>
      <c r="B8438" s="2" t="s">
        <v>250</v>
      </c>
      <c r="C8438" s="2">
        <v>2012.0</v>
      </c>
      <c r="D8438" s="9">
        <v>34455.16</v>
      </c>
      <c r="E8438" s="10" t="str">
        <f t="array" ref="E8438">IFS(D8438&lt;=$G$3,'calculated data '!$A$3,D8438&lt;=$G$4,'calculated data '!$A$4,D8438&lt;=$G$6,'calculated data '!$A$5,D8438&gt;=$G$6,'calculated data '!$A$6)</f>
        <v>Target Market (Core IQR)</v>
      </c>
      <c r="F8438" s="10">
        <f t="shared" si="1"/>
        <v>0.2488480288</v>
      </c>
    </row>
    <row r="8439" ht="14.25" customHeight="1">
      <c r="A8439" s="2" t="s">
        <v>431</v>
      </c>
      <c r="B8439" s="2" t="s">
        <v>432</v>
      </c>
      <c r="C8439" s="2">
        <v>2007.0</v>
      </c>
      <c r="D8439" s="9">
        <v>34466.79</v>
      </c>
      <c r="E8439" s="10" t="str">
        <f t="array" ref="E8439">IFS(D8439&lt;=$G$3,'calculated data '!$A$3,D8439&lt;=$G$4,'calculated data '!$A$4,D8439&lt;=$G$6,'calculated data '!$A$5,D8439&gt;=$G$6,'calculated data '!$A$6)</f>
        <v>Target Market (Core IQR)</v>
      </c>
      <c r="F8439" s="10">
        <f t="shared" si="1"/>
        <v>0.249155872</v>
      </c>
    </row>
    <row r="8440" ht="14.25" customHeight="1">
      <c r="A8440" s="2" t="s">
        <v>439</v>
      </c>
      <c r="B8440" s="2" t="s">
        <v>440</v>
      </c>
      <c r="C8440" s="2">
        <v>1974.0</v>
      </c>
      <c r="D8440" s="9">
        <v>34542.598</v>
      </c>
      <c r="E8440" s="10" t="str">
        <f t="array" ref="E8440">IFS(D8440&lt;=$G$3,'calculated data '!$A$3,D8440&lt;=$G$4,'calculated data '!$A$4,D8440&lt;=$G$6,'calculated data '!$A$5,D8440&gt;=$G$6,'calculated data '!$A$6)</f>
        <v>Target Market (Core IQR)</v>
      </c>
      <c r="F8440" s="10">
        <f t="shared" si="1"/>
        <v>0.2511624909</v>
      </c>
    </row>
    <row r="8441" ht="14.25" customHeight="1">
      <c r="A8441" s="2" t="s">
        <v>257</v>
      </c>
      <c r="B8441" s="2" t="s">
        <v>258</v>
      </c>
      <c r="C8441" s="2">
        <v>2016.0</v>
      </c>
      <c r="D8441" s="9">
        <v>34569.035</v>
      </c>
      <c r="E8441" s="10" t="str">
        <f t="array" ref="E8441">IFS(D8441&lt;=$G$3,'calculated data '!$A$3,D8441&lt;=$G$4,'calculated data '!$A$4,D8441&lt;=$G$6,'calculated data '!$A$5,D8441&gt;=$G$6,'calculated data '!$A$6)</f>
        <v>Target Market (Core IQR)</v>
      </c>
      <c r="F8441" s="10">
        <f t="shared" si="1"/>
        <v>0.2518622717</v>
      </c>
    </row>
    <row r="8442" ht="14.25" customHeight="1">
      <c r="A8442" s="2" t="s">
        <v>409</v>
      </c>
      <c r="B8442" s="2" t="s">
        <v>410</v>
      </c>
      <c r="C8442" s="2">
        <v>2012.0</v>
      </c>
      <c r="D8442" s="9">
        <v>34583.246</v>
      </c>
      <c r="E8442" s="10" t="str">
        <f t="array" ref="E8442">IFS(D8442&lt;=$G$3,'calculated data '!$A$3,D8442&lt;=$G$4,'calculated data '!$A$4,D8442&lt;=$G$6,'calculated data '!$A$5,D8442&gt;=$G$6,'calculated data '!$A$6)</f>
        <v>Target Market (Core IQR)</v>
      </c>
      <c r="F8442" s="10">
        <f t="shared" si="1"/>
        <v>0.2522384333</v>
      </c>
      <c r="I8442" s="16"/>
    </row>
    <row r="8443" ht="14.25" customHeight="1">
      <c r="A8443" s="2" t="s">
        <v>423</v>
      </c>
      <c r="B8443" s="2" t="s">
        <v>424</v>
      </c>
      <c r="C8443" s="2">
        <v>1986.0</v>
      </c>
      <c r="D8443" s="9">
        <v>34600.04</v>
      </c>
      <c r="E8443" s="10" t="str">
        <f t="array" ref="E8443">IFS(D8443&lt;=$G$3,'calculated data '!$A$3,D8443&lt;=$G$4,'calculated data '!$A$4,D8443&lt;=$G$6,'calculated data '!$A$5,D8443&gt;=$G$6,'calculated data '!$A$6)</f>
        <v>Target Market (Core IQR)</v>
      </c>
      <c r="F8443" s="10">
        <f t="shared" si="1"/>
        <v>0.2526829663</v>
      </c>
    </row>
    <row r="8444" ht="14.25" customHeight="1">
      <c r="A8444" s="2" t="s">
        <v>367</v>
      </c>
      <c r="B8444" s="2" t="s">
        <v>368</v>
      </c>
      <c r="C8444" s="2">
        <v>2007.0</v>
      </c>
      <c r="D8444" s="9">
        <v>34603.668</v>
      </c>
      <c r="E8444" s="10" t="str">
        <f t="array" ref="E8444">IFS(D8444&lt;=$G$3,'calculated data '!$A$3,D8444&lt;=$G$4,'calculated data '!$A$4,D8444&lt;=$G$6,'calculated data '!$A$5,D8444&gt;=$G$6,'calculated data '!$A$6)</f>
        <v>Target Market (Core IQR)</v>
      </c>
      <c r="F8444" s="10">
        <f t="shared" si="1"/>
        <v>0.2527789985</v>
      </c>
    </row>
    <row r="8445" ht="14.25" customHeight="1">
      <c r="A8445" s="2" t="s">
        <v>405</v>
      </c>
      <c r="B8445" s="2" t="s">
        <v>406</v>
      </c>
      <c r="C8445" s="2">
        <v>2003.0</v>
      </c>
      <c r="D8445" s="9">
        <v>34617.867</v>
      </c>
      <c r="E8445" s="10" t="str">
        <f t="array" ref="E8445">IFS(D8445&lt;=$G$3,'calculated data '!$A$3,D8445&lt;=$G$4,'calculated data '!$A$4,D8445&lt;=$G$6,'calculated data '!$A$5,D8445&gt;=$G$6,'calculated data '!$A$6)</f>
        <v>Target Market (Core IQR)</v>
      </c>
      <c r="F8445" s="10">
        <f t="shared" si="1"/>
        <v>0.2531548425</v>
      </c>
    </row>
    <row r="8446" ht="14.25" customHeight="1">
      <c r="A8446" s="2" t="s">
        <v>433</v>
      </c>
      <c r="B8446" s="2" t="s">
        <v>434</v>
      </c>
      <c r="C8446" s="2">
        <v>2022.0</v>
      </c>
      <c r="D8446" s="9">
        <v>34637.86</v>
      </c>
      <c r="E8446" s="10" t="str">
        <f t="array" ref="E8446">IFS(D8446&lt;=$G$3,'calculated data '!$A$3,D8446&lt;=$G$4,'calculated data '!$A$4,D8446&lt;=$G$6,'calculated data '!$A$5,D8446&gt;=$G$6,'calculated data '!$A$6)</f>
        <v>Target Market (Core IQR)</v>
      </c>
      <c r="F8446" s="10">
        <f t="shared" si="1"/>
        <v>0.2536840523</v>
      </c>
    </row>
    <row r="8447" ht="14.25" customHeight="1">
      <c r="A8447" s="2" t="s">
        <v>435</v>
      </c>
      <c r="B8447" s="2" t="s">
        <v>436</v>
      </c>
      <c r="C8447" s="2">
        <v>2024.0</v>
      </c>
      <c r="D8447" s="9">
        <v>34643.33</v>
      </c>
      <c r="E8447" s="10" t="str">
        <f t="array" ref="E8447">IFS(D8447&lt;=$G$3,'calculated data '!$A$3,D8447&lt;=$G$4,'calculated data '!$A$4,D8447&lt;=$G$6,'calculated data '!$A$5,D8447&gt;=$G$6,'calculated data '!$A$6)</f>
        <v>Target Market (Core IQR)</v>
      </c>
      <c r="F8447" s="10">
        <f t="shared" si="1"/>
        <v>0.2538288418</v>
      </c>
    </row>
    <row r="8448" ht="14.25" customHeight="1">
      <c r="A8448" s="2" t="s">
        <v>417</v>
      </c>
      <c r="B8448" s="2" t="s">
        <v>418</v>
      </c>
      <c r="C8448" s="2">
        <v>1975.0</v>
      </c>
      <c r="D8448" s="9">
        <v>34645.633</v>
      </c>
      <c r="E8448" s="10" t="str">
        <f t="array" ref="E8448">IFS(D8448&lt;=$G$3,'calculated data '!$A$3,D8448&lt;=$G$4,'calculated data '!$A$4,D8448&lt;=$G$6,'calculated data '!$A$5,D8448&gt;=$G$6,'calculated data '!$A$6)</f>
        <v>Target Market (Core IQR)</v>
      </c>
      <c r="F8448" s="10">
        <f t="shared" si="1"/>
        <v>0.2538898016</v>
      </c>
    </row>
    <row r="8449" ht="14.25" customHeight="1">
      <c r="A8449" s="2" t="s">
        <v>457</v>
      </c>
      <c r="B8449" s="2" t="s">
        <v>458</v>
      </c>
      <c r="C8449" s="2">
        <v>1968.0</v>
      </c>
      <c r="D8449" s="9">
        <v>34687.5</v>
      </c>
      <c r="E8449" s="10" t="str">
        <f t="array" ref="E8449">IFS(D8449&lt;=$G$3,'calculated data '!$A$3,D8449&lt;=$G$4,'calculated data '!$A$4,D8449&lt;=$G$6,'calculated data '!$A$5,D8449&gt;=$G$6,'calculated data '!$A$6)</f>
        <v>Target Market (Core IQR)</v>
      </c>
      <c r="F8449" s="10">
        <f t="shared" si="1"/>
        <v>0.2549980107</v>
      </c>
    </row>
    <row r="8450" ht="14.25" customHeight="1">
      <c r="A8450" s="2" t="s">
        <v>349</v>
      </c>
      <c r="B8450" s="2" t="s">
        <v>350</v>
      </c>
      <c r="C8450" s="2">
        <v>1989.0</v>
      </c>
      <c r="D8450" s="9">
        <v>34695.844</v>
      </c>
      <c r="E8450" s="10" t="str">
        <f t="array" ref="E8450">IFS(D8450&lt;=$G$3,'calculated data '!$A$3,D8450&lt;=$G$4,'calculated data '!$A$4,D8450&lt;=$G$6,'calculated data '!$A$5,D8450&gt;=$G$6,'calculated data '!$A$6)</f>
        <v>Target Market (Core IQR)</v>
      </c>
      <c r="F8450" s="10">
        <f t="shared" si="1"/>
        <v>0.2552188743</v>
      </c>
    </row>
    <row r="8451" ht="14.25" customHeight="1">
      <c r="A8451" s="2" t="s">
        <v>435</v>
      </c>
      <c r="B8451" s="2" t="s">
        <v>436</v>
      </c>
      <c r="C8451" s="2">
        <v>2023.0</v>
      </c>
      <c r="D8451" s="9">
        <v>34733.97</v>
      </c>
      <c r="E8451" s="10" t="str">
        <f t="array" ref="E8451">IFS(D8451&lt;=$G$3,'calculated data '!$A$3,D8451&lt;=$G$4,'calculated data '!$A$4,D8451&lt;=$G$6,'calculated data '!$A$5,D8451&gt;=$G$6,'calculated data '!$A$6)</f>
        <v>Target Market (Core IQR)</v>
      </c>
      <c r="F8451" s="10">
        <f t="shared" si="1"/>
        <v>0.25622806</v>
      </c>
    </row>
    <row r="8452" ht="14.25" customHeight="1">
      <c r="A8452" s="2" t="s">
        <v>371</v>
      </c>
      <c r="B8452" s="2" t="s">
        <v>372</v>
      </c>
      <c r="C8452" s="2">
        <v>1999.0</v>
      </c>
      <c r="D8452" s="9">
        <v>34735.06</v>
      </c>
      <c r="E8452" s="10" t="str">
        <f t="array" ref="E8452">IFS(D8452&lt;=$G$3,'calculated data '!$A$3,D8452&lt;=$G$4,'calculated data '!$A$4,D8452&lt;=$G$6,'calculated data '!$A$5,D8452&gt;=$G$6,'calculated data '!$A$6)</f>
        <v>Target Market (Core IQR)</v>
      </c>
      <c r="F8452" s="10">
        <f t="shared" si="1"/>
        <v>0.2562569121</v>
      </c>
    </row>
    <row r="8453" ht="14.25" customHeight="1">
      <c r="A8453" s="2" t="s">
        <v>451</v>
      </c>
      <c r="B8453" s="2" t="s">
        <v>452</v>
      </c>
      <c r="C8453" s="2">
        <v>1968.0</v>
      </c>
      <c r="D8453" s="9">
        <v>34741.566</v>
      </c>
      <c r="E8453" s="10" t="str">
        <f t="array" ref="E8453">IFS(D8453&lt;=$G$3,'calculated data '!$A$3,D8453&lt;=$G$4,'calculated data '!$A$4,D8453&lt;=$G$6,'calculated data '!$A$5,D8453&gt;=$G$6,'calculated data '!$A$6)</f>
        <v>Target Market (Core IQR)</v>
      </c>
      <c r="F8453" s="10">
        <f t="shared" si="1"/>
        <v>0.2564291243</v>
      </c>
    </row>
    <row r="8454" ht="14.25" customHeight="1">
      <c r="A8454" s="2" t="s">
        <v>413</v>
      </c>
      <c r="B8454" s="2" t="s">
        <v>414</v>
      </c>
      <c r="C8454" s="2">
        <v>2012.0</v>
      </c>
      <c r="D8454" s="9">
        <v>34788.89</v>
      </c>
      <c r="E8454" s="10" t="str">
        <f t="array" ref="E8454">IFS(D8454&lt;=$G$3,'calculated data '!$A$3,D8454&lt;=$G$4,'calculated data '!$A$4,D8454&lt;=$G$6,'calculated data '!$A$5,D8454&gt;=$G$6,'calculated data '!$A$6)</f>
        <v>Target Market (Core IQR)</v>
      </c>
      <c r="F8454" s="10">
        <f t="shared" si="1"/>
        <v>0.2576817788</v>
      </c>
    </row>
    <row r="8455" ht="14.25" customHeight="1">
      <c r="A8455" s="2" t="s">
        <v>407</v>
      </c>
      <c r="B8455" s="2" t="s">
        <v>408</v>
      </c>
      <c r="C8455" s="2">
        <v>1995.0</v>
      </c>
      <c r="D8455" s="9">
        <v>34812.242</v>
      </c>
      <c r="E8455" s="10" t="str">
        <f t="array" ref="E8455">IFS(D8455&lt;=$G$3,'calculated data '!$A$3,D8455&lt;=$G$4,'calculated data '!$A$4,D8455&lt;=$G$6,'calculated data '!$A$5,D8455&gt;=$G$6,'calculated data '!$A$6)</f>
        <v>Target Market (Core IQR)</v>
      </c>
      <c r="F8455" s="10">
        <f t="shared" si="1"/>
        <v>0.2582999004</v>
      </c>
    </row>
    <row r="8456" ht="14.25" customHeight="1">
      <c r="A8456" s="2" t="s">
        <v>283</v>
      </c>
      <c r="B8456" s="2" t="s">
        <v>284</v>
      </c>
      <c r="C8456" s="2">
        <v>1968.0</v>
      </c>
      <c r="D8456" s="9">
        <v>34822.46</v>
      </c>
      <c r="E8456" s="10" t="str">
        <f t="array" ref="E8456">IFS(D8456&lt;=$G$3,'calculated data '!$A$3,D8456&lt;=$G$4,'calculated data '!$A$4,D8456&lt;=$G$6,'calculated data '!$A$5,D8456&gt;=$G$6,'calculated data '!$A$6)</f>
        <v>Target Market (Core IQR)</v>
      </c>
      <c r="F8456" s="10">
        <f t="shared" si="1"/>
        <v>0.2585703683</v>
      </c>
    </row>
    <row r="8457" ht="14.25" customHeight="1">
      <c r="A8457" s="2" t="s">
        <v>387</v>
      </c>
      <c r="B8457" s="2" t="s">
        <v>388</v>
      </c>
      <c r="C8457" s="2">
        <v>2009.0</v>
      </c>
      <c r="D8457" s="9">
        <v>34854.703</v>
      </c>
      <c r="E8457" s="10" t="str">
        <f t="array" ref="E8457">IFS(D8457&lt;=$G$3,'calculated data '!$A$3,D8457&lt;=$G$4,'calculated data '!$A$4,D8457&lt;=$G$6,'calculated data '!$A$5,D8457&gt;=$G$6,'calculated data '!$A$6)</f>
        <v>Target Market (Core IQR)</v>
      </c>
      <c r="F8457" s="10">
        <f t="shared" si="1"/>
        <v>0.2594238325</v>
      </c>
    </row>
    <row r="8458" ht="14.25" customHeight="1">
      <c r="A8458" s="2" t="s">
        <v>249</v>
      </c>
      <c r="B8458" s="2" t="s">
        <v>250</v>
      </c>
      <c r="C8458" s="2">
        <v>2021.0</v>
      </c>
      <c r="D8458" s="9">
        <v>34878.023</v>
      </c>
      <c r="E8458" s="10" t="str">
        <f t="array" ref="E8458">IFS(D8458&lt;=$G$3,'calculated data '!$A$3,D8458&lt;=$G$4,'calculated data '!$A$4,D8458&lt;=$G$6,'calculated data '!$A$5,D8458&gt;=$G$6,'calculated data '!$A$6)</f>
        <v>Target Market (Core IQR)</v>
      </c>
      <c r="F8458" s="10">
        <f t="shared" si="1"/>
        <v>0.2600411071</v>
      </c>
    </row>
    <row r="8459" ht="14.25" customHeight="1">
      <c r="A8459" s="2" t="s">
        <v>431</v>
      </c>
      <c r="B8459" s="2" t="s">
        <v>432</v>
      </c>
      <c r="C8459" s="2">
        <v>2012.0</v>
      </c>
      <c r="D8459" s="9">
        <v>34885.81</v>
      </c>
      <c r="E8459" s="10" t="str">
        <f t="array" ref="E8459">IFS(D8459&lt;=$G$3,'calculated data '!$A$3,D8459&lt;=$G$4,'calculated data '!$A$4,D8459&lt;=$G$6,'calculated data '!$A$5,D8459&gt;=$G$6,'calculated data '!$A$6)</f>
        <v>Target Market (Core IQR)</v>
      </c>
      <c r="F8459" s="10">
        <f t="shared" si="1"/>
        <v>0.260247227</v>
      </c>
    </row>
    <row r="8460" ht="14.25" customHeight="1">
      <c r="A8460" s="2" t="s">
        <v>349</v>
      </c>
      <c r="B8460" s="2" t="s">
        <v>350</v>
      </c>
      <c r="C8460" s="2">
        <v>1987.0</v>
      </c>
      <c r="D8460" s="9">
        <v>34889.746</v>
      </c>
      <c r="E8460" s="10" t="str">
        <f t="array" ref="E8460">IFS(D8460&lt;=$G$3,'calculated data '!$A$3,D8460&lt;=$G$4,'calculated data '!$A$4,D8460&lt;=$G$6,'calculated data '!$A$5,D8460&gt;=$G$6,'calculated data '!$A$6)</f>
        <v>Target Market (Core IQR)</v>
      </c>
      <c r="F8460" s="10">
        <f t="shared" si="1"/>
        <v>0.260351412</v>
      </c>
    </row>
    <row r="8461" ht="14.25" customHeight="1">
      <c r="A8461" s="2" t="s">
        <v>249</v>
      </c>
      <c r="B8461" s="2" t="s">
        <v>250</v>
      </c>
      <c r="C8461" s="2">
        <v>2015.0</v>
      </c>
      <c r="D8461" s="9">
        <v>34912.59</v>
      </c>
      <c r="E8461" s="10" t="str">
        <f t="array" ref="E8461">IFS(D8461&lt;=$G$3,'calculated data '!$A$3,D8461&lt;=$G$4,'calculated data '!$A$4,D8461&lt;=$G$6,'calculated data '!$A$5,D8461&gt;=$G$6,'calculated data '!$A$6)</f>
        <v>Target Market (Core IQR)</v>
      </c>
      <c r="F8461" s="10">
        <f t="shared" si="1"/>
        <v>0.2609560869</v>
      </c>
    </row>
    <row r="8462" ht="14.25" customHeight="1">
      <c r="A8462" s="2" t="s">
        <v>415</v>
      </c>
      <c r="B8462" s="2" t="s">
        <v>416</v>
      </c>
      <c r="C8462" s="2">
        <v>1965.0</v>
      </c>
      <c r="D8462" s="9">
        <v>34915.957</v>
      </c>
      <c r="E8462" s="10" t="str">
        <f t="array" ref="E8462">IFS(D8462&lt;=$G$3,'calculated data '!$A$3,D8462&lt;=$G$4,'calculated data '!$A$4,D8462&lt;=$G$6,'calculated data '!$A$5,D8462&gt;=$G$6,'calculated data '!$A$6)</f>
        <v>Target Market (Core IQR)</v>
      </c>
      <c r="F8462" s="10">
        <f t="shared" si="1"/>
        <v>0.2610452106</v>
      </c>
    </row>
    <row r="8463" ht="14.25" customHeight="1">
      <c r="A8463" s="2" t="s">
        <v>71</v>
      </c>
      <c r="B8463" s="2" t="s">
        <v>72</v>
      </c>
      <c r="C8463" s="2">
        <v>1999.0</v>
      </c>
      <c r="D8463" s="9">
        <v>34921.227</v>
      </c>
      <c r="E8463" s="10" t="str">
        <f t="array" ref="E8463">IFS(D8463&lt;=$G$3,'calculated data '!$A$3,D8463&lt;=$G$4,'calculated data '!$A$4,D8463&lt;=$G$6,'calculated data '!$A$5,D8463&gt;=$G$6,'calculated data '!$A$6)</f>
        <v>Target Market (Core IQR)</v>
      </c>
      <c r="F8463" s="10">
        <f t="shared" si="1"/>
        <v>0.2611847062</v>
      </c>
    </row>
    <row r="8464" ht="14.25" customHeight="1">
      <c r="A8464" s="2" t="s">
        <v>371</v>
      </c>
      <c r="B8464" s="2" t="s">
        <v>372</v>
      </c>
      <c r="C8464" s="2">
        <v>2008.0</v>
      </c>
      <c r="D8464" s="9">
        <v>34923.297</v>
      </c>
      <c r="E8464" s="10" t="str">
        <f t="array" ref="E8464">IFS(D8464&lt;=$G$3,'calculated data '!$A$3,D8464&lt;=$G$4,'calculated data '!$A$4,D8464&lt;=$G$6,'calculated data '!$A$5,D8464&gt;=$G$6,'calculated data '!$A$6)</f>
        <v>Target Market (Core IQR)</v>
      </c>
      <c r="F8464" s="10">
        <f t="shared" si="1"/>
        <v>0.2612394986</v>
      </c>
    </row>
    <row r="8465" ht="14.25" customHeight="1">
      <c r="A8465" s="2" t="s">
        <v>399</v>
      </c>
      <c r="B8465" s="2" t="s">
        <v>400</v>
      </c>
      <c r="C8465" s="2">
        <v>2022.0</v>
      </c>
      <c r="D8465" s="9">
        <v>34932.383</v>
      </c>
      <c r="E8465" s="10" t="str">
        <f t="array" ref="E8465">IFS(D8465&lt;=$G$3,'calculated data '!$A$3,D8465&lt;=$G$4,'calculated data '!$A$4,D8465&lt;=$G$6,'calculated data '!$A$5,D8465&gt;=$G$6,'calculated data '!$A$6)</f>
        <v>Target Market (Core IQR)</v>
      </c>
      <c r="F8465" s="10">
        <f t="shared" si="1"/>
        <v>0.2614800027</v>
      </c>
    </row>
    <row r="8466" ht="14.25" customHeight="1">
      <c r="A8466" s="2" t="s">
        <v>401</v>
      </c>
      <c r="B8466" s="2" t="s">
        <v>402</v>
      </c>
      <c r="C8466" s="2">
        <v>1987.0</v>
      </c>
      <c r="D8466" s="9">
        <v>34936.297</v>
      </c>
      <c r="E8466" s="10" t="str">
        <f t="array" ref="E8466">IFS(D8466&lt;=$G$3,'calculated data '!$A$3,D8466&lt;=$G$4,'calculated data '!$A$4,D8466&lt;=$G$6,'calculated data '!$A$5,D8466&gt;=$G$6,'calculated data '!$A$6)</f>
        <v>Target Market (Core IQR)</v>
      </c>
      <c r="F8466" s="10">
        <f t="shared" si="1"/>
        <v>0.2615836053</v>
      </c>
    </row>
    <row r="8467" ht="14.25" customHeight="1">
      <c r="A8467" s="2" t="s">
        <v>465</v>
      </c>
      <c r="B8467" s="2" t="s">
        <v>466</v>
      </c>
      <c r="C8467" s="2">
        <v>2014.0</v>
      </c>
      <c r="D8467" s="9">
        <v>34947.09</v>
      </c>
      <c r="E8467" s="10" t="str">
        <f t="array" ref="E8467">IFS(D8467&lt;=$G$3,'calculated data '!$A$3,D8467&lt;=$G$4,'calculated data '!$A$4,D8467&lt;=$G$6,'calculated data '!$A$5,D8467&gt;=$G$6,'calculated data '!$A$6)</f>
        <v>Target Market (Core IQR)</v>
      </c>
      <c r="F8467" s="10">
        <f t="shared" si="1"/>
        <v>0.2618692934</v>
      </c>
    </row>
    <row r="8468" ht="14.25" customHeight="1">
      <c r="A8468" s="2" t="s">
        <v>419</v>
      </c>
      <c r="B8468" s="2" t="s">
        <v>420</v>
      </c>
      <c r="C8468" s="2">
        <v>2025.0</v>
      </c>
      <c r="D8468" s="9">
        <v>34950.27</v>
      </c>
      <c r="E8468" s="10" t="str">
        <f t="array" ref="E8468">IFS(D8468&lt;=$G$3,'calculated data '!$A$3,D8468&lt;=$G$4,'calculated data '!$A$4,D8468&lt;=$G$6,'calculated data '!$A$5,D8468&gt;=$G$6,'calculated data '!$A$6)</f>
        <v>Target Market (Core IQR)</v>
      </c>
      <c r="F8468" s="10">
        <f t="shared" si="1"/>
        <v>0.2619534672</v>
      </c>
    </row>
    <row r="8469" ht="14.25" customHeight="1">
      <c r="A8469" s="2" t="s">
        <v>401</v>
      </c>
      <c r="B8469" s="2" t="s">
        <v>402</v>
      </c>
      <c r="C8469" s="2">
        <v>1980.0</v>
      </c>
      <c r="D8469" s="9">
        <v>34961.824</v>
      </c>
      <c r="E8469" s="10" t="str">
        <f t="array" ref="E8469">IFS(D8469&lt;=$G$3,'calculated data '!$A$3,D8469&lt;=$G$4,'calculated data '!$A$4,D8469&lt;=$G$6,'calculated data '!$A$5,D8469&gt;=$G$6,'calculated data '!$A$6)</f>
        <v>Target Market (Core IQR)</v>
      </c>
      <c r="F8469" s="10">
        <f t="shared" si="1"/>
        <v>0.2622592987</v>
      </c>
    </row>
    <row r="8470" ht="14.25" customHeight="1">
      <c r="A8470" s="2" t="s">
        <v>455</v>
      </c>
      <c r="B8470" s="2" t="s">
        <v>456</v>
      </c>
      <c r="C8470" s="2">
        <v>1967.0</v>
      </c>
      <c r="D8470" s="9">
        <v>34981.156</v>
      </c>
      <c r="E8470" s="10" t="str">
        <f t="array" ref="E8470">IFS(D8470&lt;=$G$3,'calculated data '!$A$3,D8470&lt;=$G$4,'calculated data '!$A$4,D8470&lt;=$G$6,'calculated data '!$A$5,D8470&gt;=$G$6,'calculated data '!$A$6)</f>
        <v>Target Market (Core IQR)</v>
      </c>
      <c r="F8470" s="10">
        <f t="shared" si="1"/>
        <v>0.2627710119</v>
      </c>
    </row>
    <row r="8471" ht="14.25" customHeight="1">
      <c r="A8471" s="2" t="s">
        <v>377</v>
      </c>
      <c r="B8471" s="2" t="s">
        <v>378</v>
      </c>
      <c r="C8471" s="2">
        <v>2007.0</v>
      </c>
      <c r="D8471" s="9">
        <v>34984.703</v>
      </c>
      <c r="E8471" s="10" t="str">
        <f t="array" ref="E8471">IFS(D8471&lt;=$G$3,'calculated data '!$A$3,D8471&lt;=$G$4,'calculated data '!$A$4,D8471&lt;=$G$6,'calculated data '!$A$5,D8471&gt;=$G$6,'calculated data '!$A$6)</f>
        <v>Target Market (Core IQR)</v>
      </c>
      <c r="F8471" s="10">
        <f t="shared" si="1"/>
        <v>0.2628649001</v>
      </c>
    </row>
    <row r="8472" ht="14.25" customHeight="1">
      <c r="A8472" s="2" t="s">
        <v>417</v>
      </c>
      <c r="B8472" s="2" t="s">
        <v>418</v>
      </c>
      <c r="C8472" s="2">
        <v>1974.0</v>
      </c>
      <c r="D8472" s="9">
        <v>34989.727</v>
      </c>
      <c r="E8472" s="10" t="str">
        <f t="array" ref="E8472">IFS(D8472&lt;=$G$3,'calculated data '!$A$3,D8472&lt;=$G$4,'calculated data '!$A$4,D8472&lt;=$G$6,'calculated data '!$A$5,D8472&gt;=$G$6,'calculated data '!$A$6)</f>
        <v>Target Market (Core IQR)</v>
      </c>
      <c r="F8472" s="10">
        <f t="shared" si="1"/>
        <v>0.2629978841</v>
      </c>
    </row>
    <row r="8473" ht="14.25" customHeight="1">
      <c r="A8473" s="2" t="s">
        <v>249</v>
      </c>
      <c r="B8473" s="2" t="s">
        <v>250</v>
      </c>
      <c r="C8473" s="2">
        <v>2014.0</v>
      </c>
      <c r="D8473" s="9">
        <v>34995.742</v>
      </c>
      <c r="E8473" s="10" t="str">
        <f t="array" ref="E8473">IFS(D8473&lt;=$G$3,'calculated data '!$A$3,D8473&lt;=$G$4,'calculated data '!$A$4,D8473&lt;=$G$6,'calculated data '!$A$5,D8473&gt;=$G$6,'calculated data '!$A$6)</f>
        <v>Target Market (Core IQR)</v>
      </c>
      <c r="F8473" s="10">
        <f t="shared" si="1"/>
        <v>0.2631570997</v>
      </c>
    </row>
    <row r="8474" ht="14.25" customHeight="1">
      <c r="A8474" s="2" t="s">
        <v>447</v>
      </c>
      <c r="B8474" s="2" t="s">
        <v>448</v>
      </c>
      <c r="C8474" s="2">
        <v>1995.0</v>
      </c>
      <c r="D8474" s="9">
        <v>35028.242</v>
      </c>
      <c r="E8474" s="10" t="str">
        <f t="array" ref="E8474">IFS(D8474&lt;=$G$3,'calculated data '!$A$3,D8474&lt;=$G$4,'calculated data '!$A$4,D8474&lt;=$G$6,'calculated data '!$A$5,D8474&gt;=$G$6,'calculated data '!$A$6)</f>
        <v>Target Market (Core IQR)</v>
      </c>
      <c r="F8474" s="10">
        <f t="shared" si="1"/>
        <v>0.2640173666</v>
      </c>
    </row>
    <row r="8475" ht="14.25" customHeight="1">
      <c r="A8475" s="2" t="s">
        <v>431</v>
      </c>
      <c r="B8475" s="2" t="s">
        <v>432</v>
      </c>
      <c r="C8475" s="2">
        <v>2008.0</v>
      </c>
      <c r="D8475" s="9">
        <v>35030.727</v>
      </c>
      <c r="E8475" s="10" t="str">
        <f t="array" ref="E8475">IFS(D8475&lt;=$G$3,'calculated data '!$A$3,D8475&lt;=$G$4,'calculated data '!$A$4,D8475&lt;=$G$6,'calculated data '!$A$5,D8475&gt;=$G$6,'calculated data '!$A$6)</f>
        <v>Target Market (Core IQR)</v>
      </c>
      <c r="F8475" s="10">
        <f t="shared" si="1"/>
        <v>0.2640831439</v>
      </c>
    </row>
    <row r="8476" ht="14.25" customHeight="1">
      <c r="A8476" s="2" t="s">
        <v>371</v>
      </c>
      <c r="B8476" s="2" t="s">
        <v>372</v>
      </c>
      <c r="C8476" s="2">
        <v>2001.0</v>
      </c>
      <c r="D8476" s="9">
        <v>35053.33</v>
      </c>
      <c r="E8476" s="10" t="str">
        <f t="array" ref="E8476">IFS(D8476&lt;=$G$3,'calculated data '!$A$3,D8476&lt;=$G$4,'calculated data '!$A$4,D8476&lt;=$G$6,'calculated data '!$A$5,D8476&gt;=$G$6,'calculated data '!$A$6)</f>
        <v>Target Market (Core IQR)</v>
      </c>
      <c r="F8476" s="10">
        <f t="shared" si="1"/>
        <v>0.2646814397</v>
      </c>
    </row>
    <row r="8477" ht="14.25" customHeight="1">
      <c r="A8477" s="2" t="s">
        <v>369</v>
      </c>
      <c r="B8477" s="2" t="s">
        <v>370</v>
      </c>
      <c r="C8477" s="2">
        <v>1980.0</v>
      </c>
      <c r="D8477" s="9">
        <v>35058.754</v>
      </c>
      <c r="E8477" s="10" t="str">
        <f t="array" ref="E8477">IFS(D8477&lt;=$G$3,'calculated data '!$A$3,D8477&lt;=$G$4,'calculated data '!$A$4,D8477&lt;=$G$6,'calculated data '!$A$5,D8477&gt;=$G$6,'calculated data '!$A$6)</f>
        <v>Target Market (Core IQR)</v>
      </c>
      <c r="F8477" s="10">
        <f t="shared" si="1"/>
        <v>0.2648250116</v>
      </c>
    </row>
    <row r="8478" ht="14.25" customHeight="1">
      <c r="A8478" s="2" t="s">
        <v>369</v>
      </c>
      <c r="B8478" s="2" t="s">
        <v>370</v>
      </c>
      <c r="C8478" s="2">
        <v>1975.0</v>
      </c>
      <c r="D8478" s="9">
        <v>35072.023</v>
      </c>
      <c r="E8478" s="10" t="str">
        <f t="array" ref="E8478">IFS(D8478&lt;=$G$3,'calculated data '!$A$3,D8478&lt;=$G$4,'calculated data '!$A$4,D8478&lt;=$G$6,'calculated data '!$A$5,D8478&gt;=$G$6,'calculated data '!$A$6)</f>
        <v>Target Market (Core IQR)</v>
      </c>
      <c r="F8478" s="10">
        <f t="shared" si="1"/>
        <v>0.2651762387</v>
      </c>
    </row>
    <row r="8479" ht="14.25" customHeight="1">
      <c r="A8479" s="2" t="s">
        <v>435</v>
      </c>
      <c r="B8479" s="2" t="s">
        <v>436</v>
      </c>
      <c r="C8479" s="2">
        <v>2009.0</v>
      </c>
      <c r="D8479" s="9">
        <v>35086.18</v>
      </c>
      <c r="E8479" s="10" t="str">
        <f t="array" ref="E8479">IFS(D8479&lt;=$G$3,'calculated data '!$A$3,D8479&lt;=$G$4,'calculated data '!$A$4,D8479&lt;=$G$6,'calculated data '!$A$5,D8479&gt;=$G$6,'calculated data '!$A$6)</f>
        <v>Target Market (Core IQR)</v>
      </c>
      <c r="F8479" s="10">
        <f t="shared" si="1"/>
        <v>0.265550971</v>
      </c>
    </row>
    <row r="8480" ht="14.25" customHeight="1">
      <c r="A8480" s="2" t="s">
        <v>409</v>
      </c>
      <c r="B8480" s="2" t="s">
        <v>410</v>
      </c>
      <c r="C8480" s="2">
        <v>2017.0</v>
      </c>
      <c r="D8480" s="9">
        <v>35105.85</v>
      </c>
      <c r="E8480" s="10" t="str">
        <f t="array" ref="E8480">IFS(D8480&lt;=$G$3,'calculated data '!$A$3,D8480&lt;=$G$4,'calculated data '!$A$4,D8480&lt;=$G$6,'calculated data '!$A$5,D8480&gt;=$G$6,'calculated data '!$A$6)</f>
        <v>Target Market (Core IQR)</v>
      </c>
      <c r="F8480" s="10">
        <f t="shared" si="1"/>
        <v>0.266071631</v>
      </c>
    </row>
    <row r="8481" ht="14.25" customHeight="1">
      <c r="A8481" s="2" t="s">
        <v>433</v>
      </c>
      <c r="B8481" s="2" t="s">
        <v>434</v>
      </c>
      <c r="C8481" s="2">
        <v>1971.0</v>
      </c>
      <c r="D8481" s="9">
        <v>35119.05</v>
      </c>
      <c r="E8481" s="10" t="str">
        <f t="array" ref="E8481">IFS(D8481&lt;=$G$3,'calculated data '!$A$3,D8481&lt;=$G$4,'calculated data '!$A$4,D8481&lt;=$G$6,'calculated data '!$A$5,D8481&gt;=$G$6,'calculated data '!$A$6)</f>
        <v>Target Market (Core IQR)</v>
      </c>
      <c r="F8481" s="10">
        <f t="shared" si="1"/>
        <v>0.2664210317</v>
      </c>
    </row>
    <row r="8482" ht="14.25" customHeight="1">
      <c r="A8482" s="2" t="s">
        <v>449</v>
      </c>
      <c r="B8482" s="2" t="s">
        <v>450</v>
      </c>
      <c r="C8482" s="2">
        <v>1996.0</v>
      </c>
      <c r="D8482" s="9">
        <v>35122.965</v>
      </c>
      <c r="E8482" s="10" t="str">
        <f t="array" ref="E8482">IFS(D8482&lt;=$G$3,'calculated data '!$A$3,D8482&lt;=$G$4,'calculated data '!$A$4,D8482&lt;=$G$6,'calculated data '!$A$5,D8482&gt;=$G$6,'calculated data '!$A$6)</f>
        <v>Target Market (Core IQR)</v>
      </c>
      <c r="F8482" s="10">
        <f t="shared" si="1"/>
        <v>0.2665246608</v>
      </c>
    </row>
    <row r="8483" ht="14.25" customHeight="1">
      <c r="A8483" s="2" t="s">
        <v>409</v>
      </c>
      <c r="B8483" s="2" t="s">
        <v>410</v>
      </c>
      <c r="C8483" s="2">
        <v>2018.0</v>
      </c>
      <c r="D8483" s="9">
        <v>35129.168</v>
      </c>
      <c r="E8483" s="10" t="str">
        <f t="array" ref="E8483">IFS(D8483&lt;=$G$3,'calculated data '!$A$3,D8483&lt;=$G$4,'calculated data '!$A$4,D8483&lt;=$G$6,'calculated data '!$A$5,D8483&gt;=$G$6,'calculated data '!$A$6)</f>
        <v>Target Market (Core IQR)</v>
      </c>
      <c r="F8483" s="10">
        <f t="shared" si="1"/>
        <v>0.2666888527</v>
      </c>
    </row>
    <row r="8484" ht="14.25" customHeight="1">
      <c r="A8484" s="2" t="s">
        <v>449</v>
      </c>
      <c r="B8484" s="2" t="s">
        <v>450</v>
      </c>
      <c r="C8484" s="2">
        <v>1985.0</v>
      </c>
      <c r="D8484" s="9">
        <v>35138.87</v>
      </c>
      <c r="E8484" s="10" t="str">
        <f t="array" ref="E8484">IFS(D8484&lt;=$G$3,'calculated data '!$A$3,D8484&lt;=$G$4,'calculated data '!$A$4,D8484&lt;=$G$6,'calculated data '!$A$5,D8484&gt;=$G$6,'calculated data '!$A$6)</f>
        <v>Target Market (Core IQR)</v>
      </c>
      <c r="F8484" s="10">
        <f t="shared" si="1"/>
        <v>0.2669456622</v>
      </c>
    </row>
    <row r="8485" ht="14.25" customHeight="1">
      <c r="A8485" s="2" t="s">
        <v>413</v>
      </c>
      <c r="B8485" s="2" t="s">
        <v>414</v>
      </c>
      <c r="C8485" s="2">
        <v>2009.0</v>
      </c>
      <c r="D8485" s="9">
        <v>35163.78</v>
      </c>
      <c r="E8485" s="10" t="str">
        <f t="array" ref="E8485">IFS(D8485&lt;=$G$3,'calculated data '!$A$3,D8485&lt;=$G$4,'calculated data '!$A$4,D8485&lt;=$G$6,'calculated data '!$A$5,D8485&gt;=$G$6,'calculated data '!$A$6)</f>
        <v>Target Market (Core IQR)</v>
      </c>
      <c r="F8485" s="10">
        <f t="shared" si="1"/>
        <v>0.2676050237</v>
      </c>
    </row>
    <row r="8486" ht="14.25" customHeight="1">
      <c r="A8486" s="2" t="s">
        <v>413</v>
      </c>
      <c r="B8486" s="2" t="s">
        <v>414</v>
      </c>
      <c r="C8486" s="2">
        <v>2018.0</v>
      </c>
      <c r="D8486" s="9">
        <v>35171.54</v>
      </c>
      <c r="E8486" s="10" t="str">
        <f t="array" ref="E8486">IFS(D8486&lt;=$G$3,'calculated data '!$A$3,D8486&lt;=$G$4,'calculated data '!$A$4,D8486&lt;=$G$6,'calculated data '!$A$5,D8486&gt;=$G$6,'calculated data '!$A$6)</f>
        <v>Target Market (Core IQR)</v>
      </c>
      <c r="F8486" s="10">
        <f t="shared" si="1"/>
        <v>0.267810429</v>
      </c>
    </row>
    <row r="8487" ht="14.25" customHeight="1">
      <c r="A8487" s="2" t="s">
        <v>371</v>
      </c>
      <c r="B8487" s="2" t="s">
        <v>372</v>
      </c>
      <c r="C8487" s="2">
        <v>2000.0</v>
      </c>
      <c r="D8487" s="9">
        <v>35174.75</v>
      </c>
      <c r="E8487" s="10" t="str">
        <f t="array" ref="E8487">IFS(D8487&lt;=$G$3,'calculated data '!$A$3,D8487&lt;=$G$4,'calculated data '!$A$4,D8487&lt;=$G$6,'calculated data '!$A$5,D8487&gt;=$G$6,'calculated data '!$A$6)</f>
        <v>Target Market (Core IQR)</v>
      </c>
      <c r="F8487" s="10">
        <f t="shared" si="1"/>
        <v>0.2678953969</v>
      </c>
    </row>
    <row r="8488" ht="14.25" customHeight="1">
      <c r="A8488" s="2" t="s">
        <v>417</v>
      </c>
      <c r="B8488" s="2" t="s">
        <v>418</v>
      </c>
      <c r="C8488" s="2">
        <v>2021.0</v>
      </c>
      <c r="D8488" s="9">
        <v>35181.82</v>
      </c>
      <c r="E8488" s="10" t="str">
        <f t="array" ref="E8488">IFS(D8488&lt;=$G$3,'calculated data '!$A$3,D8488&lt;=$G$4,'calculated data '!$A$4,D8488&lt;=$G$6,'calculated data '!$A$5,D8488&gt;=$G$6,'calculated data '!$A$6)</f>
        <v>Target Market (Core IQR)</v>
      </c>
      <c r="F8488" s="10">
        <f t="shared" si="1"/>
        <v>0.268082538</v>
      </c>
    </row>
    <row r="8489" ht="14.25" customHeight="1">
      <c r="A8489" s="2" t="s">
        <v>401</v>
      </c>
      <c r="B8489" s="2" t="s">
        <v>402</v>
      </c>
      <c r="C8489" s="2">
        <v>1994.0</v>
      </c>
      <c r="D8489" s="9">
        <v>35188.387</v>
      </c>
      <c r="E8489" s="10" t="str">
        <f t="array" ref="E8489">IFS(D8489&lt;=$G$3,'calculated data '!$A$3,D8489&lt;=$G$4,'calculated data '!$A$4,D8489&lt;=$G$6,'calculated data '!$A$5,D8489&gt;=$G$6,'calculated data '!$A$6)</f>
        <v>High Demand Tier</v>
      </c>
      <c r="F8489" s="10">
        <f t="shared" si="1"/>
        <v>0.2682563648</v>
      </c>
    </row>
    <row r="8490" ht="14.25" customHeight="1">
      <c r="A8490" s="2" t="s">
        <v>427</v>
      </c>
      <c r="B8490" s="2" t="s">
        <v>428</v>
      </c>
      <c r="C8490" s="2">
        <v>2006.0</v>
      </c>
      <c r="D8490" s="9">
        <v>35213.75</v>
      </c>
      <c r="E8490" s="10" t="str">
        <f t="array" ref="E8490">IFS(D8490&lt;=$G$3,'calculated data '!$A$3,D8490&lt;=$G$4,'calculated data '!$A$4,D8490&lt;=$G$6,'calculated data '!$A$5,D8490&gt;=$G$6,'calculated data '!$A$6)</f>
        <v>High Demand Tier</v>
      </c>
      <c r="F8490" s="10">
        <f t="shared" si="1"/>
        <v>0.2689277171</v>
      </c>
    </row>
    <row r="8491" ht="14.25" customHeight="1">
      <c r="A8491" s="2" t="s">
        <v>439</v>
      </c>
      <c r="B8491" s="2" t="s">
        <v>440</v>
      </c>
      <c r="C8491" s="2">
        <v>1976.0</v>
      </c>
      <c r="D8491" s="9">
        <v>35226.1</v>
      </c>
      <c r="E8491" s="10" t="str">
        <f t="array" ref="E8491">IFS(D8491&lt;=$G$3,'calculated data '!$A$3,D8491&lt;=$G$4,'calculated data '!$A$4,D8491&lt;=$G$6,'calculated data '!$A$5,D8491&gt;=$G$6,'calculated data '!$A$6)</f>
        <v>High Demand Tier</v>
      </c>
      <c r="F8491" s="10">
        <f t="shared" si="1"/>
        <v>0.2692546186</v>
      </c>
    </row>
    <row r="8492" ht="14.25" customHeight="1">
      <c r="A8492" s="2" t="s">
        <v>409</v>
      </c>
      <c r="B8492" s="2" t="s">
        <v>410</v>
      </c>
      <c r="C8492" s="2">
        <v>2011.0</v>
      </c>
      <c r="D8492" s="9">
        <v>35228.043</v>
      </c>
      <c r="E8492" s="10" t="str">
        <f t="array" ref="E8492">IFS(D8492&lt;=$G$3,'calculated data '!$A$3,D8492&lt;=$G$4,'calculated data '!$A$4,D8492&lt;=$G$6,'calculated data '!$A$5,D8492&gt;=$G$6,'calculated data '!$A$6)</f>
        <v>High Demand Tier</v>
      </c>
      <c r="F8492" s="10">
        <f t="shared" si="1"/>
        <v>0.2693060493</v>
      </c>
    </row>
    <row r="8493" ht="14.25" customHeight="1">
      <c r="A8493" s="2" t="s">
        <v>431</v>
      </c>
      <c r="B8493" s="2" t="s">
        <v>432</v>
      </c>
      <c r="C8493" s="2">
        <v>2014.0</v>
      </c>
      <c r="D8493" s="9">
        <v>35231.008</v>
      </c>
      <c r="E8493" s="10" t="str">
        <f t="array" ref="E8493">IFS(D8493&lt;=$G$3,'calculated data '!$A$3,D8493&lt;=$G$4,'calculated data '!$A$4,D8493&lt;=$G$6,'calculated data '!$A$5,D8493&gt;=$G$6,'calculated data '!$A$6)</f>
        <v>High Demand Tier</v>
      </c>
      <c r="F8493" s="10">
        <f t="shared" si="1"/>
        <v>0.2693845321</v>
      </c>
    </row>
    <row r="8494" ht="14.25" customHeight="1">
      <c r="A8494" s="2" t="s">
        <v>419</v>
      </c>
      <c r="B8494" s="2" t="s">
        <v>420</v>
      </c>
      <c r="C8494" s="2">
        <v>2024.0</v>
      </c>
      <c r="D8494" s="9">
        <v>35233.03</v>
      </c>
      <c r="E8494" s="10" t="str">
        <f t="array" ref="E8494">IFS(D8494&lt;=$G$3,'calculated data '!$A$3,D8494&lt;=$G$4,'calculated data '!$A$4,D8494&lt;=$G$6,'calculated data '!$A$5,D8494&gt;=$G$6,'calculated data '!$A$6)</f>
        <v>High Demand Tier</v>
      </c>
      <c r="F8494" s="10">
        <f t="shared" si="1"/>
        <v>0.2694380539</v>
      </c>
    </row>
    <row r="8495" ht="14.25" customHeight="1">
      <c r="A8495" s="2" t="s">
        <v>439</v>
      </c>
      <c r="B8495" s="2" t="s">
        <v>440</v>
      </c>
      <c r="C8495" s="2">
        <v>1982.0</v>
      </c>
      <c r="D8495" s="9">
        <v>35236.637</v>
      </c>
      <c r="E8495" s="10" t="str">
        <f t="array" ref="E8495">IFS(D8495&lt;=$G$3,'calculated data '!$A$3,D8495&lt;=$G$4,'calculated data '!$A$4,D8495&lt;=$G$6,'calculated data '!$A$5,D8495&gt;=$G$6,'calculated data '!$A$6)</f>
        <v>High Demand Tier</v>
      </c>
      <c r="F8495" s="10">
        <f t="shared" si="1"/>
        <v>0.2695335303</v>
      </c>
    </row>
    <row r="8496" ht="14.25" customHeight="1">
      <c r="A8496" s="2" t="s">
        <v>401</v>
      </c>
      <c r="B8496" s="2" t="s">
        <v>402</v>
      </c>
      <c r="C8496" s="2">
        <v>1992.0</v>
      </c>
      <c r="D8496" s="9">
        <v>35240.215</v>
      </c>
      <c r="E8496" s="10" t="str">
        <f t="array" ref="E8496">IFS(D8496&lt;=$G$3,'calculated data '!$A$3,D8496&lt;=$G$4,'calculated data '!$A$4,D8496&lt;=$G$6,'calculated data '!$A$5,D8496&gt;=$G$6,'calculated data '!$A$6)</f>
        <v>High Demand Tier</v>
      </c>
      <c r="F8496" s="10">
        <f t="shared" si="1"/>
        <v>0.2696282391</v>
      </c>
    </row>
    <row r="8497" ht="14.25" customHeight="1">
      <c r="A8497" s="2" t="s">
        <v>423</v>
      </c>
      <c r="B8497" s="2" t="s">
        <v>424</v>
      </c>
      <c r="C8497" s="2">
        <v>1985.0</v>
      </c>
      <c r="D8497" s="9">
        <v>35246.48</v>
      </c>
      <c r="E8497" s="10" t="str">
        <f t="array" ref="E8497">IFS(D8497&lt;=$G$3,'calculated data '!$A$3,D8497&lt;=$G$4,'calculated data '!$A$4,D8497&lt;=$G$6,'calculated data '!$A$5,D8497&gt;=$G$6,'calculated data '!$A$6)</f>
        <v>High Demand Tier</v>
      </c>
      <c r="F8497" s="10">
        <f t="shared" si="1"/>
        <v>0.2697940721</v>
      </c>
    </row>
    <row r="8498" ht="14.25" customHeight="1">
      <c r="A8498" s="2" t="s">
        <v>413</v>
      </c>
      <c r="B8498" s="2" t="s">
        <v>414</v>
      </c>
      <c r="C8498" s="2">
        <v>1973.0</v>
      </c>
      <c r="D8498" s="9">
        <v>35246.54</v>
      </c>
      <c r="E8498" s="10" t="str">
        <f t="array" ref="E8498">IFS(D8498&lt;=$G$3,'calculated data '!$A$3,D8498&lt;=$G$4,'calculated data '!$A$4,D8498&lt;=$G$6,'calculated data '!$A$5,D8498&gt;=$G$6,'calculated data '!$A$6)</f>
        <v>High Demand Tier</v>
      </c>
      <c r="F8498" s="10">
        <f t="shared" si="1"/>
        <v>0.2697956603</v>
      </c>
    </row>
    <row r="8499" ht="14.25" customHeight="1">
      <c r="A8499" s="2" t="s">
        <v>257</v>
      </c>
      <c r="B8499" s="2" t="s">
        <v>258</v>
      </c>
      <c r="C8499" s="2">
        <v>2017.0</v>
      </c>
      <c r="D8499" s="9">
        <v>35256.207</v>
      </c>
      <c r="E8499" s="10" t="str">
        <f t="array" ref="E8499">IFS(D8499&lt;=$G$3,'calculated data '!$A$3,D8499&lt;=$G$4,'calculated data '!$A$4,D8499&lt;=$G$6,'calculated data '!$A$5,D8499&gt;=$G$6,'calculated data '!$A$6)</f>
        <v>High Demand Tier</v>
      </c>
      <c r="F8499" s="10">
        <f t="shared" si="1"/>
        <v>0.2700515434</v>
      </c>
    </row>
    <row r="8500" ht="14.25" customHeight="1">
      <c r="A8500" s="2" t="s">
        <v>439</v>
      </c>
      <c r="B8500" s="2" t="s">
        <v>440</v>
      </c>
      <c r="C8500" s="2">
        <v>1978.0</v>
      </c>
      <c r="D8500" s="9">
        <v>35267.727</v>
      </c>
      <c r="E8500" s="10" t="str">
        <f t="array" ref="E8500">IFS(D8500&lt;=$G$3,'calculated data '!$A$3,D8500&lt;=$G$4,'calculated data '!$A$4,D8500&lt;=$G$6,'calculated data '!$A$5,D8500&gt;=$G$6,'calculated data '!$A$6)</f>
        <v>High Demand Tier</v>
      </c>
      <c r="F8500" s="10">
        <f t="shared" si="1"/>
        <v>0.2703564749</v>
      </c>
    </row>
    <row r="8501" ht="14.25" customHeight="1">
      <c r="A8501" s="2" t="s">
        <v>423</v>
      </c>
      <c r="B8501" s="2" t="s">
        <v>424</v>
      </c>
      <c r="C8501" s="2">
        <v>1990.0</v>
      </c>
      <c r="D8501" s="9">
        <v>35309.93</v>
      </c>
      <c r="E8501" s="10" t="str">
        <f t="array" ref="E8501">IFS(D8501&lt;=$G$3,'calculated data '!$A$3,D8501&lt;=$G$4,'calculated data '!$A$4,D8501&lt;=$G$6,'calculated data '!$A$5,D8501&gt;=$G$6,'calculated data '!$A$6)</f>
        <v>High Demand Tier</v>
      </c>
      <c r="F8501" s="10">
        <f t="shared" si="1"/>
        <v>0.2714735778</v>
      </c>
    </row>
    <row r="8502" ht="14.25" customHeight="1">
      <c r="A8502" s="2" t="s">
        <v>423</v>
      </c>
      <c r="B8502" s="2" t="s">
        <v>424</v>
      </c>
      <c r="C8502" s="2">
        <v>1987.0</v>
      </c>
      <c r="D8502" s="9">
        <v>35318.977</v>
      </c>
      <c r="E8502" s="10" t="str">
        <f t="array" ref="E8502">IFS(D8502&lt;=$G$3,'calculated data '!$A$3,D8502&lt;=$G$4,'calculated data '!$A$4,D8502&lt;=$G$6,'calculated data '!$A$5,D8502&gt;=$G$6,'calculated data '!$A$6)</f>
        <v>High Demand Tier</v>
      </c>
      <c r="F8502" s="10">
        <f t="shared" si="1"/>
        <v>0.2717130496</v>
      </c>
    </row>
    <row r="8503" ht="14.25" customHeight="1">
      <c r="A8503" s="2" t="s">
        <v>453</v>
      </c>
      <c r="B8503" s="2" t="s">
        <v>454</v>
      </c>
      <c r="C8503" s="2">
        <v>1994.0</v>
      </c>
      <c r="D8503" s="9">
        <v>35319.34</v>
      </c>
      <c r="E8503" s="10" t="str">
        <f t="array" ref="E8503">IFS(D8503&lt;=$G$3,'calculated data '!$A$3,D8503&lt;=$G$4,'calculated data '!$A$4,D8503&lt;=$G$6,'calculated data '!$A$5,D8503&gt;=$G$6,'calculated data '!$A$6)</f>
        <v>High Demand Tier</v>
      </c>
      <c r="F8503" s="10">
        <f t="shared" si="1"/>
        <v>0.2717226581</v>
      </c>
    </row>
    <row r="8504" ht="14.25" customHeight="1">
      <c r="A8504" s="2" t="s">
        <v>331</v>
      </c>
      <c r="B8504" s="2" t="s">
        <v>332</v>
      </c>
      <c r="C8504" s="2">
        <v>2005.0</v>
      </c>
      <c r="D8504" s="9">
        <v>35321.29</v>
      </c>
      <c r="E8504" s="10" t="str">
        <f t="array" ref="E8504">IFS(D8504&lt;=$G$3,'calculated data '!$A$3,D8504&lt;=$G$4,'calculated data '!$A$4,D8504&lt;=$G$6,'calculated data '!$A$5,D8504&gt;=$G$6,'calculated data '!$A$6)</f>
        <v>High Demand Tier</v>
      </c>
      <c r="F8504" s="10">
        <f t="shared" si="1"/>
        <v>0.2717742742</v>
      </c>
    </row>
    <row r="8505" ht="14.25" customHeight="1">
      <c r="A8505" s="2" t="s">
        <v>371</v>
      </c>
      <c r="B8505" s="2" t="s">
        <v>372</v>
      </c>
      <c r="C8505" s="2">
        <v>2002.0</v>
      </c>
      <c r="D8505" s="9">
        <v>35323.816</v>
      </c>
      <c r="E8505" s="10" t="str">
        <f t="array" ref="E8505">IFS(D8505&lt;=$G$3,'calculated data '!$A$3,D8505&lt;=$G$4,'calculated data '!$A$4,D8505&lt;=$G$6,'calculated data '!$A$5,D8505&gt;=$G$6,'calculated data '!$A$6)</f>
        <v>High Demand Tier</v>
      </c>
      <c r="F8505" s="10">
        <f t="shared" si="1"/>
        <v>0.2718411367</v>
      </c>
    </row>
    <row r="8506" ht="14.25" customHeight="1">
      <c r="A8506" s="2" t="s">
        <v>249</v>
      </c>
      <c r="B8506" s="2" t="s">
        <v>250</v>
      </c>
      <c r="C8506" s="2">
        <v>2013.0</v>
      </c>
      <c r="D8506" s="9">
        <v>35326.73</v>
      </c>
      <c r="E8506" s="10" t="str">
        <f t="array" ref="E8506">IFS(D8506&lt;=$G$3,'calculated data '!$A$3,D8506&lt;=$G$4,'calculated data '!$A$4,D8506&lt;=$G$6,'calculated data '!$A$5,D8506&gt;=$G$6,'calculated data '!$A$6)</f>
        <v>High Demand Tier</v>
      </c>
      <c r="F8506" s="10">
        <f t="shared" si="1"/>
        <v>0.2719182696</v>
      </c>
    </row>
    <row r="8507" ht="14.25" customHeight="1">
      <c r="A8507" s="2" t="s">
        <v>249</v>
      </c>
      <c r="B8507" s="2" t="s">
        <v>250</v>
      </c>
      <c r="C8507" s="2">
        <v>2017.0</v>
      </c>
      <c r="D8507" s="9">
        <v>35334.004</v>
      </c>
      <c r="E8507" s="10" t="str">
        <f t="array" ref="E8507">IFS(D8507&lt;=$G$3,'calculated data '!$A$3,D8507&lt;=$G$4,'calculated data '!$A$4,D8507&lt;=$G$6,'calculated data '!$A$5,D8507&gt;=$G$6,'calculated data '!$A$6)</f>
        <v>High Demand Tier</v>
      </c>
      <c r="F8507" s="10">
        <f t="shared" si="1"/>
        <v>0.2721108106</v>
      </c>
    </row>
    <row r="8508" ht="14.25" customHeight="1">
      <c r="A8508" s="2" t="s">
        <v>465</v>
      </c>
      <c r="B8508" s="2" t="s">
        <v>466</v>
      </c>
      <c r="C8508" s="2">
        <v>2015.0</v>
      </c>
      <c r="D8508" s="9">
        <v>35338.87</v>
      </c>
      <c r="E8508" s="10" t="str">
        <f t="array" ref="E8508">IFS(D8508&lt;=$G$3,'calculated data '!$A$3,D8508&lt;=$G$4,'calculated data '!$A$4,D8508&lt;=$G$6,'calculated data '!$A$5,D8508&gt;=$G$6,'calculated data '!$A$6)</f>
        <v>High Demand Tier</v>
      </c>
      <c r="F8508" s="10">
        <f t="shared" si="1"/>
        <v>0.2722396124</v>
      </c>
    </row>
    <row r="8509" ht="14.25" customHeight="1">
      <c r="A8509" s="2" t="s">
        <v>411</v>
      </c>
      <c r="B8509" s="2" t="s">
        <v>412</v>
      </c>
      <c r="C8509" s="2">
        <v>2014.0</v>
      </c>
      <c r="D8509" s="9">
        <v>35346.65</v>
      </c>
      <c r="E8509" s="10" t="str">
        <f t="array" ref="E8509">IFS(D8509&lt;=$G$3,'calculated data '!$A$3,D8509&lt;=$G$4,'calculated data '!$A$4,D8509&lt;=$G$6,'calculated data '!$A$5,D8509&gt;=$G$6,'calculated data '!$A$6)</f>
        <v>High Demand Tier</v>
      </c>
      <c r="F8509" s="10">
        <f t="shared" si="1"/>
        <v>0.272445547</v>
      </c>
    </row>
    <row r="8510" ht="14.25" customHeight="1">
      <c r="A8510" s="2" t="s">
        <v>379</v>
      </c>
      <c r="B8510" s="2" t="s">
        <v>380</v>
      </c>
      <c r="C8510" s="2">
        <v>2009.0</v>
      </c>
      <c r="D8510" s="9">
        <v>35365.527</v>
      </c>
      <c r="E8510" s="10" t="str">
        <f t="array" ref="E8510">IFS(D8510&lt;=$G$3,'calculated data '!$A$3,D8510&lt;=$G$4,'calculated data '!$A$4,D8510&lt;=$G$6,'calculated data '!$A$5,D8510&gt;=$G$6,'calculated data '!$A$6)</f>
        <v>High Demand Tier</v>
      </c>
      <c r="F8510" s="10">
        <f t="shared" si="1"/>
        <v>0.2729452165</v>
      </c>
    </row>
    <row r="8511" ht="14.25" customHeight="1">
      <c r="A8511" s="2" t="s">
        <v>127</v>
      </c>
      <c r="B8511" s="2" t="s">
        <v>128</v>
      </c>
      <c r="C8511" s="2">
        <v>2002.0</v>
      </c>
      <c r="D8511" s="9">
        <v>35377.777</v>
      </c>
      <c r="E8511" s="10" t="str">
        <f t="array" ref="E8511">IFS(D8511&lt;=$G$3,'calculated data '!$A$3,D8511&lt;=$G$4,'calculated data '!$A$4,D8511&lt;=$G$6,'calculated data '!$A$5,D8511&gt;=$G$6,'calculated data '!$A$6)</f>
        <v>High Demand Tier</v>
      </c>
      <c r="F8511" s="10">
        <f t="shared" si="1"/>
        <v>0.273269471</v>
      </c>
    </row>
    <row r="8512" ht="14.25" customHeight="1">
      <c r="A8512" s="2" t="s">
        <v>331</v>
      </c>
      <c r="B8512" s="2" t="s">
        <v>332</v>
      </c>
      <c r="C8512" s="2">
        <v>2004.0</v>
      </c>
      <c r="D8512" s="9">
        <v>35379.344</v>
      </c>
      <c r="E8512" s="10" t="str">
        <f t="array" ref="E8512">IFS(D8512&lt;=$G$3,'calculated data '!$A$3,D8512&lt;=$G$4,'calculated data '!$A$4,D8512&lt;=$G$6,'calculated data '!$A$5,D8512&gt;=$G$6,'calculated data '!$A$6)</f>
        <v>High Demand Tier</v>
      </c>
      <c r="F8512" s="10">
        <f t="shared" si="1"/>
        <v>0.2733109491</v>
      </c>
    </row>
    <row r="8513" ht="14.25" customHeight="1">
      <c r="A8513" s="2" t="s">
        <v>401</v>
      </c>
      <c r="B8513" s="2" t="s">
        <v>402</v>
      </c>
      <c r="C8513" s="2">
        <v>2020.0</v>
      </c>
      <c r="D8513" s="9">
        <v>35396.05</v>
      </c>
      <c r="E8513" s="10" t="str">
        <f t="array" ref="E8513">IFS(D8513&lt;=$G$3,'calculated data '!$A$3,D8513&lt;=$G$4,'calculated data '!$A$4,D8513&lt;=$G$6,'calculated data '!$A$5,D8513&gt;=$G$6,'calculated data '!$A$6)</f>
        <v>High Demand Tier</v>
      </c>
      <c r="F8513" s="10">
        <f t="shared" si="1"/>
        <v>0.2737531527</v>
      </c>
    </row>
    <row r="8514" ht="14.25" customHeight="1">
      <c r="A8514" s="2" t="s">
        <v>397</v>
      </c>
      <c r="B8514" s="2" t="s">
        <v>398</v>
      </c>
      <c r="C8514" s="2">
        <v>1970.0</v>
      </c>
      <c r="D8514" s="9">
        <v>35401.387</v>
      </c>
      <c r="E8514" s="10" t="str">
        <f t="array" ref="E8514">IFS(D8514&lt;=$G$3,'calculated data '!$A$3,D8514&lt;=$G$4,'calculated data '!$A$4,D8514&lt;=$G$6,'calculated data '!$A$5,D8514&gt;=$G$6,'calculated data '!$A$6)</f>
        <v>High Demand Tier</v>
      </c>
      <c r="F8514" s="10">
        <f t="shared" si="1"/>
        <v>0.2738944218</v>
      </c>
    </row>
    <row r="8515" ht="14.25" customHeight="1">
      <c r="A8515" s="2" t="s">
        <v>401</v>
      </c>
      <c r="B8515" s="2" t="s">
        <v>402</v>
      </c>
      <c r="C8515" s="2">
        <v>1979.0</v>
      </c>
      <c r="D8515" s="9">
        <v>35402.734</v>
      </c>
      <c r="E8515" s="10" t="str">
        <f t="array" ref="E8515">IFS(D8515&lt;=$G$3,'calculated data '!$A$3,D8515&lt;=$G$4,'calculated data '!$A$4,D8515&lt;=$G$6,'calculated data '!$A$5,D8515&gt;=$G$6,'calculated data '!$A$6)</f>
        <v>High Demand Tier</v>
      </c>
      <c r="F8515" s="10">
        <f t="shared" si="1"/>
        <v>0.2739300766</v>
      </c>
    </row>
    <row r="8516" ht="14.25" customHeight="1">
      <c r="A8516" s="2" t="s">
        <v>249</v>
      </c>
      <c r="B8516" s="2" t="s">
        <v>250</v>
      </c>
      <c r="C8516" s="2">
        <v>2018.0</v>
      </c>
      <c r="D8516" s="9">
        <v>35408.363</v>
      </c>
      <c r="E8516" s="10" t="str">
        <f t="array" ref="E8516">IFS(D8516&lt;=$G$3,'calculated data '!$A$3,D8516&lt;=$G$4,'calculated data '!$A$4,D8516&lt;=$G$6,'calculated data '!$A$5,D8516&gt;=$G$6,'calculated data '!$A$6)</f>
        <v>High Demand Tier</v>
      </c>
      <c r="F8516" s="10">
        <f t="shared" si="1"/>
        <v>0.2740790748</v>
      </c>
    </row>
    <row r="8517" ht="14.25" customHeight="1">
      <c r="A8517" s="2" t="s">
        <v>445</v>
      </c>
      <c r="B8517" s="2" t="s">
        <v>446</v>
      </c>
      <c r="C8517" s="2">
        <v>1970.0</v>
      </c>
      <c r="D8517" s="9">
        <v>35410.36</v>
      </c>
      <c r="E8517" s="10" t="str">
        <f t="array" ref="E8517">IFS(D8517&lt;=$G$3,'calculated data '!$A$3,D8517&lt;=$G$4,'calculated data '!$A$4,D8517&lt;=$G$6,'calculated data '!$A$5,D8517&gt;=$G$6,'calculated data '!$A$6)</f>
        <v>High Demand Tier</v>
      </c>
      <c r="F8517" s="10">
        <f t="shared" si="1"/>
        <v>0.2741319349</v>
      </c>
    </row>
    <row r="8518" ht="14.25" customHeight="1">
      <c r="A8518" s="2" t="s">
        <v>413</v>
      </c>
      <c r="B8518" s="2" t="s">
        <v>414</v>
      </c>
      <c r="C8518" s="2">
        <v>2013.0</v>
      </c>
      <c r="D8518" s="9">
        <v>35410.52</v>
      </c>
      <c r="E8518" s="10" t="str">
        <f t="array" ref="E8518">IFS(D8518&lt;=$G$3,'calculated data '!$A$3,D8518&lt;=$G$4,'calculated data '!$A$4,D8518&lt;=$G$6,'calculated data '!$A$5,D8518&gt;=$G$6,'calculated data '!$A$6)</f>
        <v>High Demand Tier</v>
      </c>
      <c r="F8518" s="10">
        <f t="shared" si="1"/>
        <v>0.27413617</v>
      </c>
    </row>
    <row r="8519" ht="14.25" customHeight="1">
      <c r="A8519" s="2" t="s">
        <v>401</v>
      </c>
      <c r="B8519" s="2" t="s">
        <v>402</v>
      </c>
      <c r="C8519" s="2">
        <v>1990.0</v>
      </c>
      <c r="D8519" s="9">
        <v>35415.305</v>
      </c>
      <c r="E8519" s="10" t="str">
        <f t="array" ref="E8519">IFS(D8519&lt;=$G$3,'calculated data '!$A$3,D8519&lt;=$G$4,'calculated data '!$A$4,D8519&lt;=$G$6,'calculated data '!$A$5,D8519&gt;=$G$6,'calculated data '!$A$6)</f>
        <v>High Demand Tier</v>
      </c>
      <c r="F8519" s="10">
        <f t="shared" si="1"/>
        <v>0.2742628278</v>
      </c>
    </row>
    <row r="8520" ht="14.25" customHeight="1">
      <c r="A8520" s="2" t="s">
        <v>431</v>
      </c>
      <c r="B8520" s="2" t="s">
        <v>432</v>
      </c>
      <c r="C8520" s="2">
        <v>2006.0</v>
      </c>
      <c r="D8520" s="9">
        <v>35416.367</v>
      </c>
      <c r="E8520" s="10" t="str">
        <f t="array" ref="E8520">IFS(D8520&lt;=$G$3,'calculated data '!$A$3,D8520&lt;=$G$4,'calculated data '!$A$4,D8520&lt;=$G$6,'calculated data '!$A$5,D8520&gt;=$G$6,'calculated data '!$A$6)</f>
        <v>High Demand Tier</v>
      </c>
      <c r="F8520" s="10">
        <f t="shared" si="1"/>
        <v>0.2742909387</v>
      </c>
    </row>
    <row r="8521" ht="14.25" customHeight="1">
      <c r="A8521" s="2" t="s">
        <v>369</v>
      </c>
      <c r="B8521" s="2" t="s">
        <v>370</v>
      </c>
      <c r="C8521" s="2">
        <v>1984.0</v>
      </c>
      <c r="D8521" s="9">
        <v>35427.95</v>
      </c>
      <c r="E8521" s="10" t="str">
        <f t="array" ref="E8521">IFS(D8521&lt;=$G$3,'calculated data '!$A$3,D8521&lt;=$G$4,'calculated data '!$A$4,D8521&lt;=$G$6,'calculated data '!$A$5,D8521&gt;=$G$6,'calculated data '!$A$6)</f>
        <v>High Demand Tier</v>
      </c>
      <c r="F8521" s="10">
        <f t="shared" si="1"/>
        <v>0.2745975378</v>
      </c>
    </row>
    <row r="8522" ht="14.25" customHeight="1">
      <c r="A8522" s="2" t="s">
        <v>409</v>
      </c>
      <c r="B8522" s="2" t="s">
        <v>410</v>
      </c>
      <c r="C8522" s="2">
        <v>1994.0</v>
      </c>
      <c r="D8522" s="9">
        <v>35436.766</v>
      </c>
      <c r="E8522" s="10" t="str">
        <f t="array" ref="E8522">IFS(D8522&lt;=$G$3,'calculated data '!$A$3,D8522&lt;=$G$4,'calculated data '!$A$4,D8522&lt;=$G$6,'calculated data '!$A$5,D8522&gt;=$G$6,'calculated data '!$A$6)</f>
        <v>High Demand Tier</v>
      </c>
      <c r="F8522" s="10">
        <f t="shared" si="1"/>
        <v>0.2748308951</v>
      </c>
    </row>
    <row r="8523" ht="14.25" customHeight="1">
      <c r="A8523" s="2" t="s">
        <v>423</v>
      </c>
      <c r="B8523" s="2" t="s">
        <v>424</v>
      </c>
      <c r="C8523" s="2">
        <v>1988.0</v>
      </c>
      <c r="D8523" s="9">
        <v>35449.94</v>
      </c>
      <c r="E8523" s="10" t="str">
        <f t="array" ref="E8523">IFS(D8523&lt;=$G$3,'calculated data '!$A$3,D8523&lt;=$G$4,'calculated data '!$A$4,D8523&lt;=$G$6,'calculated data '!$A$5,D8523&gt;=$G$6,'calculated data '!$A$6)</f>
        <v>High Demand Tier</v>
      </c>
      <c r="F8523" s="10">
        <f t="shared" si="1"/>
        <v>0.2751796076</v>
      </c>
    </row>
    <row r="8524" ht="14.25" customHeight="1">
      <c r="A8524" s="2" t="s">
        <v>399</v>
      </c>
      <c r="B8524" s="2" t="s">
        <v>400</v>
      </c>
      <c r="C8524" s="2">
        <v>1986.0</v>
      </c>
      <c r="D8524" s="9">
        <v>35454.39</v>
      </c>
      <c r="E8524" s="10" t="str">
        <f t="array" ref="E8524">IFS(D8524&lt;=$G$3,'calculated data '!$A$3,D8524&lt;=$G$4,'calculated data '!$A$4,D8524&lt;=$G$6,'calculated data '!$A$5,D8524&gt;=$G$6,'calculated data '!$A$6)</f>
        <v>High Demand Tier</v>
      </c>
      <c r="F8524" s="10">
        <f t="shared" si="1"/>
        <v>0.275297398</v>
      </c>
    </row>
    <row r="8525" ht="14.25" customHeight="1">
      <c r="A8525" s="2" t="s">
        <v>407</v>
      </c>
      <c r="B8525" s="2" t="s">
        <v>408</v>
      </c>
      <c r="C8525" s="2">
        <v>2010.0</v>
      </c>
      <c r="D8525" s="9">
        <v>35455.15</v>
      </c>
      <c r="E8525" s="10" t="str">
        <f t="array" ref="E8525">IFS(D8525&lt;=$G$3,'calculated data '!$A$3,D8525&lt;=$G$4,'calculated data '!$A$4,D8525&lt;=$G$6,'calculated data '!$A$5,D8525&gt;=$G$6,'calculated data '!$A$6)</f>
        <v>High Demand Tier</v>
      </c>
      <c r="F8525" s="10">
        <f t="shared" si="1"/>
        <v>0.275317515</v>
      </c>
    </row>
    <row r="8526" ht="14.25" customHeight="1">
      <c r="A8526" s="2" t="s">
        <v>401</v>
      </c>
      <c r="B8526" s="2" t="s">
        <v>402</v>
      </c>
      <c r="C8526" s="2">
        <v>1993.0</v>
      </c>
      <c r="D8526" s="9">
        <v>35458.594</v>
      </c>
      <c r="E8526" s="10" t="str">
        <f t="array" ref="E8526">IFS(D8526&lt;=$G$3,'calculated data '!$A$3,D8526&lt;=$G$4,'calculated data '!$A$4,D8526&lt;=$G$6,'calculated data '!$A$5,D8526&gt;=$G$6,'calculated data '!$A$6)</f>
        <v>High Demand Tier</v>
      </c>
      <c r="F8526" s="10">
        <f t="shared" si="1"/>
        <v>0.2754086768</v>
      </c>
    </row>
    <row r="8527" ht="14.25" customHeight="1">
      <c r="A8527" s="2" t="s">
        <v>449</v>
      </c>
      <c r="B8527" s="2" t="s">
        <v>450</v>
      </c>
      <c r="C8527" s="2">
        <v>1995.0</v>
      </c>
      <c r="D8527" s="9">
        <v>35459.2</v>
      </c>
      <c r="E8527" s="10" t="str">
        <f t="array" ref="E8527">IFS(D8527&lt;=$G$3,'calculated data '!$A$3,D8527&lt;=$G$4,'calculated data '!$A$4,D8527&lt;=$G$6,'calculated data '!$A$5,D8527&gt;=$G$6,'calculated data '!$A$6)</f>
        <v>High Demand Tier</v>
      </c>
      <c r="F8527" s="10">
        <f t="shared" si="1"/>
        <v>0.2754247175</v>
      </c>
    </row>
    <row r="8528" ht="14.25" customHeight="1">
      <c r="A8528" s="2" t="s">
        <v>353</v>
      </c>
      <c r="B8528" s="2" t="s">
        <v>354</v>
      </c>
      <c r="C8528" s="2">
        <v>1979.0</v>
      </c>
      <c r="D8528" s="9">
        <v>35463.547</v>
      </c>
      <c r="E8528" s="10" t="str">
        <f t="array" ref="E8528">IFS(D8528&lt;=$G$3,'calculated data '!$A$3,D8528&lt;=$G$4,'calculated data '!$A$4,D8528&lt;=$G$6,'calculated data '!$A$5,D8528&gt;=$G$6,'calculated data '!$A$6)</f>
        <v>High Demand Tier</v>
      </c>
      <c r="F8528" s="10">
        <f t="shared" si="1"/>
        <v>0.2755397815</v>
      </c>
    </row>
    <row r="8529" ht="14.25" customHeight="1">
      <c r="A8529" s="2" t="s">
        <v>331</v>
      </c>
      <c r="B8529" s="2" t="s">
        <v>332</v>
      </c>
      <c r="C8529" s="2">
        <v>2003.0</v>
      </c>
      <c r="D8529" s="9">
        <v>35472.293</v>
      </c>
      <c r="E8529" s="10" t="str">
        <f t="array" ref="E8529">IFS(D8529&lt;=$G$3,'calculated data '!$A$3,D8529&lt;=$G$4,'calculated data '!$A$4,D8529&lt;=$G$6,'calculated data '!$A$5,D8529&gt;=$G$6,'calculated data '!$A$6)</f>
        <v>High Demand Tier</v>
      </c>
      <c r="F8529" s="10">
        <f t="shared" si="1"/>
        <v>0.275771286</v>
      </c>
    </row>
    <row r="8530" ht="14.25" customHeight="1">
      <c r="A8530" s="2" t="s">
        <v>427</v>
      </c>
      <c r="B8530" s="2" t="s">
        <v>428</v>
      </c>
      <c r="C8530" s="2">
        <v>2005.0</v>
      </c>
      <c r="D8530" s="9">
        <v>35543.6</v>
      </c>
      <c r="E8530" s="10" t="str">
        <f t="array" ref="E8530">IFS(D8530&lt;=$G$3,'calculated data '!$A$3,D8530&lt;=$G$4,'calculated data '!$A$4,D8530&lt;=$G$6,'calculated data '!$A$5,D8530&gt;=$G$6,'calculated data '!$A$6)</f>
        <v>High Demand Tier</v>
      </c>
      <c r="F8530" s="10">
        <f t="shared" si="1"/>
        <v>0.2776587645</v>
      </c>
    </row>
    <row r="8531" ht="14.25" customHeight="1">
      <c r="A8531" s="2" t="s">
        <v>307</v>
      </c>
      <c r="B8531" s="2" t="s">
        <v>308</v>
      </c>
      <c r="C8531" s="2">
        <v>1990.0</v>
      </c>
      <c r="D8531" s="9">
        <v>35561.56</v>
      </c>
      <c r="E8531" s="10" t="str">
        <f t="array" ref="E8531">IFS(D8531&lt;=$G$3,'calculated data '!$A$3,D8531&lt;=$G$4,'calculated data '!$A$4,D8531&lt;=$G$6,'calculated data '!$A$5,D8531&gt;=$G$6,'calculated data '!$A$6)</f>
        <v>High Demand Tier</v>
      </c>
      <c r="F8531" s="10">
        <f t="shared" si="1"/>
        <v>0.2781341612</v>
      </c>
    </row>
    <row r="8532" ht="14.25" customHeight="1">
      <c r="A8532" s="2" t="s">
        <v>429</v>
      </c>
      <c r="B8532" s="2" t="s">
        <v>430</v>
      </c>
      <c r="C8532" s="2">
        <v>1971.0</v>
      </c>
      <c r="D8532" s="9">
        <v>35564.87</v>
      </c>
      <c r="E8532" s="10" t="str">
        <f t="array" ref="E8532">IFS(D8532&lt;=$G$3,'calculated data '!$A$3,D8532&lt;=$G$4,'calculated data '!$A$4,D8532&lt;=$G$6,'calculated data '!$A$5,D8532&gt;=$G$6,'calculated data '!$A$6)</f>
        <v>High Demand Tier</v>
      </c>
      <c r="F8532" s="10">
        <f t="shared" si="1"/>
        <v>0.2782217761</v>
      </c>
    </row>
    <row r="8533" ht="14.25" customHeight="1">
      <c r="A8533" s="2" t="s">
        <v>461</v>
      </c>
      <c r="B8533" s="2" t="s">
        <v>462</v>
      </c>
      <c r="C8533" s="2">
        <v>1966.0</v>
      </c>
      <c r="D8533" s="9">
        <v>35571.836</v>
      </c>
      <c r="E8533" s="10" t="str">
        <f t="array" ref="E8533">IFS(D8533&lt;=$G$3,'calculated data '!$A$3,D8533&lt;=$G$4,'calculated data '!$A$4,D8533&lt;=$G$6,'calculated data '!$A$5,D8533&gt;=$G$6,'calculated data '!$A$6)</f>
        <v>High Demand Tier</v>
      </c>
      <c r="F8533" s="10">
        <f t="shared" si="1"/>
        <v>0.2784061644</v>
      </c>
    </row>
    <row r="8534" ht="14.25" customHeight="1">
      <c r="A8534" s="2" t="s">
        <v>349</v>
      </c>
      <c r="B8534" s="2" t="s">
        <v>350</v>
      </c>
      <c r="C8534" s="2">
        <v>1990.0</v>
      </c>
      <c r="D8534" s="9">
        <v>35583.4</v>
      </c>
      <c r="E8534" s="10" t="str">
        <f t="array" ref="E8534">IFS(D8534&lt;=$G$3,'calculated data '!$A$3,D8534&lt;=$G$4,'calculated data '!$A$4,D8534&lt;=$G$6,'calculated data '!$A$5,D8534&gt;=$G$6,'calculated data '!$A$6)</f>
        <v>High Demand Tier</v>
      </c>
      <c r="F8534" s="10">
        <f t="shared" si="1"/>
        <v>0.2787122606</v>
      </c>
    </row>
    <row r="8535" ht="14.25" customHeight="1">
      <c r="A8535" s="2" t="s">
        <v>413</v>
      </c>
      <c r="B8535" s="2" t="s">
        <v>414</v>
      </c>
      <c r="C8535" s="2">
        <v>2017.0</v>
      </c>
      <c r="D8535" s="9">
        <v>35601.188</v>
      </c>
      <c r="E8535" s="10" t="str">
        <f t="array" ref="E8535">IFS(D8535&lt;=$G$3,'calculated data '!$A$3,D8535&lt;=$G$4,'calculated data '!$A$4,D8535&lt;=$G$6,'calculated data '!$A$5,D8535&gt;=$G$6,'calculated data '!$A$6)</f>
        <v>High Demand Tier</v>
      </c>
      <c r="F8535" s="10">
        <f t="shared" si="1"/>
        <v>0.2791831045</v>
      </c>
    </row>
    <row r="8536" ht="14.25" customHeight="1">
      <c r="A8536" s="2" t="s">
        <v>431</v>
      </c>
      <c r="B8536" s="2" t="s">
        <v>432</v>
      </c>
      <c r="C8536" s="2">
        <v>1997.0</v>
      </c>
      <c r="D8536" s="9">
        <v>35646.33</v>
      </c>
      <c r="E8536" s="10" t="str">
        <f t="array" ref="E8536">IFS(D8536&lt;=$G$3,'calculated data '!$A$3,D8536&lt;=$G$4,'calculated data '!$A$4,D8536&lt;=$G$6,'calculated data '!$A$5,D8536&gt;=$G$6,'calculated data '!$A$6)</f>
        <v>High Demand Tier</v>
      </c>
      <c r="F8536" s="10">
        <f t="shared" si="1"/>
        <v>0.280378002</v>
      </c>
    </row>
    <row r="8537" ht="14.25" customHeight="1">
      <c r="A8537" s="2" t="s">
        <v>435</v>
      </c>
      <c r="B8537" s="2" t="s">
        <v>436</v>
      </c>
      <c r="C8537" s="2">
        <v>1994.0</v>
      </c>
      <c r="D8537" s="9">
        <v>35661.32</v>
      </c>
      <c r="E8537" s="10" t="str">
        <f t="array" ref="E8537">IFS(D8537&lt;=$G$3,'calculated data '!$A$3,D8537&lt;=$G$4,'calculated data '!$A$4,D8537&lt;=$G$6,'calculated data '!$A$5,D8537&gt;=$G$6,'calculated data '!$A$6)</f>
        <v>High Demand Tier</v>
      </c>
      <c r="F8537" s="10">
        <f t="shared" si="1"/>
        <v>0.2807747836</v>
      </c>
    </row>
    <row r="8538" ht="14.25" customHeight="1">
      <c r="A8538" s="2" t="s">
        <v>417</v>
      </c>
      <c r="B8538" s="2" t="s">
        <v>418</v>
      </c>
      <c r="C8538" s="2">
        <v>1973.0</v>
      </c>
      <c r="D8538" s="9">
        <v>35666.285</v>
      </c>
      <c r="E8538" s="10" t="str">
        <f t="array" ref="E8538">IFS(D8538&lt;=$G$3,'calculated data '!$A$3,D8538&lt;=$G$4,'calculated data '!$A$4,D8538&lt;=$G$6,'calculated data '!$A$5,D8538&gt;=$G$6,'calculated data '!$A$6)</f>
        <v>High Demand Tier</v>
      </c>
      <c r="F8538" s="10">
        <f t="shared" si="1"/>
        <v>0.2809062059</v>
      </c>
    </row>
    <row r="8539" ht="14.25" customHeight="1">
      <c r="A8539" s="2" t="s">
        <v>309</v>
      </c>
      <c r="B8539" s="2" t="s">
        <v>310</v>
      </c>
      <c r="C8539" s="2">
        <v>2002.0</v>
      </c>
      <c r="D8539" s="9">
        <v>35686.53</v>
      </c>
      <c r="E8539" s="10" t="str">
        <f t="array" ref="E8539">IFS(D8539&lt;=$G$3,'calculated data '!$A$3,D8539&lt;=$G$4,'calculated data '!$A$4,D8539&lt;=$G$6,'calculated data '!$A$5,D8539&gt;=$G$6,'calculated data '!$A$6)</f>
        <v>High Demand Tier</v>
      </c>
      <c r="F8539" s="10">
        <f t="shared" si="1"/>
        <v>0.281442086</v>
      </c>
    </row>
    <row r="8540" ht="14.25" customHeight="1">
      <c r="A8540" s="2" t="s">
        <v>367</v>
      </c>
      <c r="B8540" s="2" t="s">
        <v>368</v>
      </c>
      <c r="C8540" s="2">
        <v>1995.0</v>
      </c>
      <c r="D8540" s="9">
        <v>35688.652</v>
      </c>
      <c r="E8540" s="10" t="str">
        <f t="array" ref="E8540">IFS(D8540&lt;=$G$3,'calculated data '!$A$3,D8540&lt;=$G$4,'calculated data '!$A$4,D8540&lt;=$G$6,'calculated data '!$A$5,D8540&gt;=$G$6,'calculated data '!$A$6)</f>
        <v>High Demand Tier</v>
      </c>
      <c r="F8540" s="10">
        <f t="shared" si="1"/>
        <v>0.2814982548</v>
      </c>
    </row>
    <row r="8541" ht="14.25" customHeight="1">
      <c r="A8541" s="2" t="s">
        <v>439</v>
      </c>
      <c r="B8541" s="2" t="s">
        <v>440</v>
      </c>
      <c r="C8541" s="2">
        <v>1983.0</v>
      </c>
      <c r="D8541" s="9">
        <v>35722.246</v>
      </c>
      <c r="E8541" s="10" t="str">
        <f t="array" ref="E8541">IFS(D8541&lt;=$G$3,'calculated data '!$A$3,D8541&lt;=$G$4,'calculated data '!$A$4,D8541&lt;=$G$6,'calculated data '!$A$5,D8541&gt;=$G$6,'calculated data '!$A$6)</f>
        <v>High Demand Tier</v>
      </c>
      <c r="F8541" s="10">
        <f t="shared" si="1"/>
        <v>0.2823874796</v>
      </c>
    </row>
    <row r="8542" ht="14.25" customHeight="1">
      <c r="A8542" s="2" t="s">
        <v>351</v>
      </c>
      <c r="B8542" s="2" t="s">
        <v>352</v>
      </c>
      <c r="C8542" s="2">
        <v>1986.0</v>
      </c>
      <c r="D8542" s="9">
        <v>35732.234</v>
      </c>
      <c r="E8542" s="10" t="str">
        <f t="array" ref="E8542">IFS(D8542&lt;=$G$3,'calculated data '!$A$3,D8542&lt;=$G$4,'calculated data '!$A$4,D8542&lt;=$G$6,'calculated data '!$A$5,D8542&gt;=$G$6,'calculated data '!$A$6)</f>
        <v>High Demand Tier</v>
      </c>
      <c r="F8542" s="10">
        <f t="shared" si="1"/>
        <v>0.2826518595</v>
      </c>
    </row>
    <row r="8543" ht="14.25" customHeight="1">
      <c r="A8543" s="2" t="s">
        <v>423</v>
      </c>
      <c r="B8543" s="2" t="s">
        <v>424</v>
      </c>
      <c r="C8543" s="2">
        <v>1989.0</v>
      </c>
      <c r="D8543" s="9">
        <v>35750.88</v>
      </c>
      <c r="E8543" s="10" t="str">
        <f t="array" ref="E8543">IFS(D8543&lt;=$G$3,'calculated data '!$A$3,D8543&lt;=$G$4,'calculated data '!$A$4,D8543&lt;=$G$6,'calculated data '!$A$5,D8543&gt;=$G$6,'calculated data '!$A$6)</f>
        <v>High Demand Tier</v>
      </c>
      <c r="F8543" s="10">
        <f t="shared" si="1"/>
        <v>0.2831454145</v>
      </c>
    </row>
    <row r="8544" ht="14.25" customHeight="1">
      <c r="A8544" s="2" t="s">
        <v>453</v>
      </c>
      <c r="B8544" s="2" t="s">
        <v>454</v>
      </c>
      <c r="C8544" s="2">
        <v>2021.0</v>
      </c>
      <c r="D8544" s="9">
        <v>35751.664</v>
      </c>
      <c r="E8544" s="10" t="str">
        <f t="array" ref="E8544">IFS(D8544&lt;=$G$3,'calculated data '!$A$3,D8544&lt;=$G$4,'calculated data '!$A$4,D8544&lt;=$G$6,'calculated data '!$A$5,D8544&gt;=$G$6,'calculated data '!$A$6)</f>
        <v>High Demand Tier</v>
      </c>
      <c r="F8544" s="10">
        <f t="shared" si="1"/>
        <v>0.2831661667</v>
      </c>
    </row>
    <row r="8545" ht="14.25" customHeight="1">
      <c r="A8545" s="2" t="s">
        <v>249</v>
      </c>
      <c r="B8545" s="2" t="s">
        <v>250</v>
      </c>
      <c r="C8545" s="2">
        <v>2019.0</v>
      </c>
      <c r="D8545" s="9">
        <v>35753.344</v>
      </c>
      <c r="E8545" s="10" t="str">
        <f t="array" ref="E8545">IFS(D8545&lt;=$G$3,'calculated data '!$A$3,D8545&lt;=$G$4,'calculated data '!$A$4,D8545&lt;=$G$6,'calculated data '!$A$5,D8545&gt;=$G$6,'calculated data '!$A$6)</f>
        <v>High Demand Tier</v>
      </c>
      <c r="F8545" s="10">
        <f t="shared" si="1"/>
        <v>0.2832106359</v>
      </c>
    </row>
    <row r="8546" ht="14.25" customHeight="1">
      <c r="A8546" s="2" t="s">
        <v>443</v>
      </c>
      <c r="B8546" s="2" t="s">
        <v>444</v>
      </c>
      <c r="C8546" s="2">
        <v>2023.0</v>
      </c>
      <c r="D8546" s="9">
        <v>35754.918</v>
      </c>
      <c r="E8546" s="10" t="str">
        <f t="array" ref="E8546">IFS(D8546&lt;=$G$3,'calculated data '!$A$3,D8546&lt;=$G$4,'calculated data '!$A$4,D8546&lt;=$G$6,'calculated data '!$A$5,D8546&gt;=$G$6,'calculated data '!$A$6)</f>
        <v>High Demand Tier</v>
      </c>
      <c r="F8546" s="10">
        <f t="shared" si="1"/>
        <v>0.2832522993</v>
      </c>
    </row>
    <row r="8547" ht="14.25" customHeight="1">
      <c r="A8547" s="2" t="s">
        <v>443</v>
      </c>
      <c r="B8547" s="2" t="s">
        <v>444</v>
      </c>
      <c r="C8547" s="2">
        <v>2020.0</v>
      </c>
      <c r="D8547" s="9">
        <v>35765.992</v>
      </c>
      <c r="E8547" s="10" t="str">
        <f t="array" ref="E8547">IFS(D8547&lt;=$G$3,'calculated data '!$A$3,D8547&lt;=$G$4,'calculated data '!$A$4,D8547&lt;=$G$6,'calculated data '!$A$5,D8547&gt;=$G$6,'calculated data '!$A$6)</f>
        <v>High Demand Tier</v>
      </c>
      <c r="F8547" s="10">
        <f t="shared" si="1"/>
        <v>0.2835454253</v>
      </c>
    </row>
    <row r="8548" ht="14.25" customHeight="1">
      <c r="A8548" s="2" t="s">
        <v>409</v>
      </c>
      <c r="B8548" s="2" t="s">
        <v>410</v>
      </c>
      <c r="C8548" s="2">
        <v>2016.0</v>
      </c>
      <c r="D8548" s="9">
        <v>35798.906</v>
      </c>
      <c r="E8548" s="10" t="str">
        <f t="array" ref="E8548">IFS(D8548&lt;=$G$3,'calculated data '!$A$3,D8548&lt;=$G$4,'calculated data '!$A$4,D8548&lt;=$G$6,'calculated data '!$A$5,D8548&gt;=$G$6,'calculated data '!$A$6)</f>
        <v>High Demand Tier</v>
      </c>
      <c r="F8548" s="10">
        <f t="shared" si="1"/>
        <v>0.2844166507</v>
      </c>
    </row>
    <row r="8549" ht="14.25" customHeight="1">
      <c r="A8549" s="2" t="s">
        <v>249</v>
      </c>
      <c r="B8549" s="2" t="s">
        <v>250</v>
      </c>
      <c r="C8549" s="2">
        <v>2016.0</v>
      </c>
      <c r="D8549" s="9">
        <v>35800.918</v>
      </c>
      <c r="E8549" s="10" t="str">
        <f t="array" ref="E8549">IFS(D8549&lt;=$G$3,'calculated data '!$A$3,D8549&lt;=$G$4,'calculated data '!$A$4,D8549&lt;=$G$6,'calculated data '!$A$5,D8549&gt;=$G$6,'calculated data '!$A$6)</f>
        <v>High Demand Tier</v>
      </c>
      <c r="F8549" s="10">
        <f t="shared" si="1"/>
        <v>0.2844699079</v>
      </c>
    </row>
    <row r="8550" ht="14.25" customHeight="1">
      <c r="A8550" s="2" t="s">
        <v>421</v>
      </c>
      <c r="B8550" s="2" t="s">
        <v>422</v>
      </c>
      <c r="C8550" s="2">
        <v>1975.0</v>
      </c>
      <c r="D8550" s="9">
        <v>35813.645</v>
      </c>
      <c r="E8550" s="10" t="str">
        <f t="array" ref="E8550">IFS(D8550&lt;=$G$3,'calculated data '!$A$3,D8550&lt;=$G$4,'calculated data '!$A$4,D8550&lt;=$G$6,'calculated data '!$A$5,D8550&gt;=$G$6,'calculated data '!$A$6)</f>
        <v>High Demand Tier</v>
      </c>
      <c r="F8550" s="10">
        <f t="shared" si="1"/>
        <v>0.2848067884</v>
      </c>
    </row>
    <row r="8551" ht="14.25" customHeight="1">
      <c r="A8551" s="2" t="s">
        <v>381</v>
      </c>
      <c r="B8551" s="2" t="s">
        <v>382</v>
      </c>
      <c r="C8551" s="2">
        <v>1992.0</v>
      </c>
      <c r="D8551" s="9">
        <v>35814.93</v>
      </c>
      <c r="E8551" s="10" t="str">
        <f t="array" ref="E8551">IFS(D8551&lt;=$G$3,'calculated data '!$A$3,D8551&lt;=$G$4,'calculated data '!$A$4,D8551&lt;=$G$6,'calculated data '!$A$5,D8551&gt;=$G$6,'calculated data '!$A$6)</f>
        <v>High Demand Tier</v>
      </c>
      <c r="F8551" s="10">
        <f t="shared" si="1"/>
        <v>0.284840802</v>
      </c>
    </row>
    <row r="8552" ht="14.25" customHeight="1">
      <c r="A8552" s="2" t="s">
        <v>437</v>
      </c>
      <c r="B8552" s="2" t="s">
        <v>438</v>
      </c>
      <c r="C8552" s="2">
        <v>1973.0</v>
      </c>
      <c r="D8552" s="9">
        <v>35827.902</v>
      </c>
      <c r="E8552" s="10" t="str">
        <f t="array" ref="E8552">IFS(D8552&lt;=$G$3,'calculated data '!$A$3,D8552&lt;=$G$4,'calculated data '!$A$4,D8552&lt;=$G$6,'calculated data '!$A$5,D8552&gt;=$G$6,'calculated data '!$A$6)</f>
        <v>High Demand Tier</v>
      </c>
      <c r="F8552" s="10">
        <f t="shared" si="1"/>
        <v>0.2851841676</v>
      </c>
    </row>
    <row r="8553" ht="14.25" customHeight="1">
      <c r="A8553" s="2" t="s">
        <v>335</v>
      </c>
      <c r="B8553" s="2" t="s">
        <v>336</v>
      </c>
      <c r="C8553" s="2">
        <v>2000.0</v>
      </c>
      <c r="D8553" s="9">
        <v>35835.035</v>
      </c>
      <c r="E8553" s="10" t="str">
        <f t="array" ref="E8553">IFS(D8553&lt;=$G$3,'calculated data '!$A$3,D8553&lt;=$G$4,'calculated data '!$A$4,D8553&lt;=$G$6,'calculated data '!$A$5,D8553&gt;=$G$6,'calculated data '!$A$6)</f>
        <v>High Demand Tier</v>
      </c>
      <c r="F8553" s="10">
        <f t="shared" si="1"/>
        <v>0.2853729764</v>
      </c>
    </row>
    <row r="8554" ht="14.25" customHeight="1">
      <c r="A8554" s="2" t="s">
        <v>369</v>
      </c>
      <c r="B8554" s="2" t="s">
        <v>370</v>
      </c>
      <c r="C8554" s="2">
        <v>1974.0</v>
      </c>
      <c r="D8554" s="9">
        <v>35845.57</v>
      </c>
      <c r="E8554" s="10" t="str">
        <f t="array" ref="E8554">IFS(D8554&lt;=$G$3,'calculated data '!$A$3,D8554&lt;=$G$4,'calculated data '!$A$4,D8554&lt;=$G$6,'calculated data '!$A$5,D8554&gt;=$G$6,'calculated data '!$A$6)</f>
        <v>High Demand Tier</v>
      </c>
      <c r="F8554" s="10">
        <f t="shared" si="1"/>
        <v>0.2856518352</v>
      </c>
    </row>
    <row r="8555" ht="14.25" customHeight="1">
      <c r="A8555" s="2" t="s">
        <v>433</v>
      </c>
      <c r="B8555" s="2" t="s">
        <v>434</v>
      </c>
      <c r="C8555" s="2">
        <v>2023.0</v>
      </c>
      <c r="D8555" s="9">
        <v>35845.73</v>
      </c>
      <c r="E8555" s="10" t="str">
        <f t="array" ref="E8555">IFS(D8555&lt;=$G$3,'calculated data '!$A$3,D8555&lt;=$G$4,'calculated data '!$A$4,D8555&lt;=$G$6,'calculated data '!$A$5,D8555&gt;=$G$6,'calculated data '!$A$6)</f>
        <v>High Demand Tier</v>
      </c>
      <c r="F8555" s="10">
        <f t="shared" si="1"/>
        <v>0.2856560703</v>
      </c>
    </row>
    <row r="8556" ht="14.25" customHeight="1">
      <c r="A8556" s="2" t="s">
        <v>413</v>
      </c>
      <c r="B8556" s="2" t="s">
        <v>414</v>
      </c>
      <c r="C8556" s="2">
        <v>2021.0</v>
      </c>
      <c r="D8556" s="9">
        <v>35848.926</v>
      </c>
      <c r="E8556" s="10" t="str">
        <f t="array" ref="E8556">IFS(D8556&lt;=$G$3,'calculated data '!$A$3,D8556&lt;=$G$4,'calculated data '!$A$4,D8556&lt;=$G$6,'calculated data '!$A$5,D8556&gt;=$G$6,'calculated data '!$A$6)</f>
        <v>High Demand Tier</v>
      </c>
      <c r="F8556" s="10">
        <f t="shared" si="1"/>
        <v>0.2857406677</v>
      </c>
    </row>
    <row r="8557" ht="14.25" customHeight="1">
      <c r="A8557" s="2" t="s">
        <v>449</v>
      </c>
      <c r="B8557" s="2" t="s">
        <v>450</v>
      </c>
      <c r="C8557" s="2">
        <v>1986.0</v>
      </c>
      <c r="D8557" s="9">
        <v>35853.625</v>
      </c>
      <c r="E8557" s="10" t="str">
        <f t="array" ref="E8557">IFS(D8557&lt;=$G$3,'calculated data '!$A$3,D8557&lt;=$G$4,'calculated data '!$A$4,D8557&lt;=$G$6,'calculated data '!$A$5,D8557&gt;=$G$6,'calculated data '!$A$6)</f>
        <v>High Demand Tier</v>
      </c>
      <c r="F8557" s="10">
        <f t="shared" si="1"/>
        <v>0.285865049</v>
      </c>
    </row>
    <row r="8558" ht="14.25" customHeight="1">
      <c r="A8558" s="2" t="s">
        <v>465</v>
      </c>
      <c r="B8558" s="2" t="s">
        <v>466</v>
      </c>
      <c r="C8558" s="2">
        <v>2016.0</v>
      </c>
      <c r="D8558" s="9">
        <v>35885.97</v>
      </c>
      <c r="E8558" s="10" t="str">
        <f t="array" ref="E8558">IFS(D8558&lt;=$G$3,'calculated data '!$A$3,D8558&lt;=$G$4,'calculated data '!$A$4,D8558&lt;=$G$6,'calculated data '!$A$5,D8558&gt;=$G$6,'calculated data '!$A$6)</f>
        <v>High Demand Tier</v>
      </c>
      <c r="F8558" s="10">
        <f t="shared" si="1"/>
        <v>0.2867212131</v>
      </c>
    </row>
    <row r="8559" ht="14.25" customHeight="1">
      <c r="A8559" s="2" t="s">
        <v>465</v>
      </c>
      <c r="B8559" s="2" t="s">
        <v>466</v>
      </c>
      <c r="C8559" s="2">
        <v>2011.0</v>
      </c>
      <c r="D8559" s="9">
        <v>35896.44</v>
      </c>
      <c r="E8559" s="10" t="str">
        <f t="array" ref="E8559">IFS(D8559&lt;=$G$3,'calculated data '!$A$3,D8559&lt;=$G$4,'calculated data '!$A$4,D8559&lt;=$G$6,'calculated data '!$A$5,D8559&gt;=$G$6,'calculated data '!$A$6)</f>
        <v>High Demand Tier</v>
      </c>
      <c r="F8559" s="10">
        <f t="shared" si="1"/>
        <v>0.2869983514</v>
      </c>
    </row>
    <row r="8560" ht="14.25" customHeight="1">
      <c r="A8560" s="2" t="s">
        <v>369</v>
      </c>
      <c r="B8560" s="2" t="s">
        <v>370</v>
      </c>
      <c r="C8560" s="2">
        <v>1986.0</v>
      </c>
      <c r="D8560" s="9">
        <v>35896.723</v>
      </c>
      <c r="E8560" s="10" t="str">
        <f t="array" ref="E8560">IFS(D8560&lt;=$G$3,'calculated data '!$A$3,D8560&lt;=$G$4,'calculated data '!$A$4,D8560&lt;=$G$6,'calculated data '!$A$5,D8560&gt;=$G$6,'calculated data '!$A$6)</f>
        <v>High Demand Tier</v>
      </c>
      <c r="F8560" s="10">
        <f t="shared" si="1"/>
        <v>0.2870058423</v>
      </c>
    </row>
    <row r="8561" ht="14.25" customHeight="1">
      <c r="A8561" s="2" t="s">
        <v>449</v>
      </c>
      <c r="B8561" s="2" t="s">
        <v>450</v>
      </c>
      <c r="C8561" s="2">
        <v>1988.0</v>
      </c>
      <c r="D8561" s="9">
        <v>35914.227</v>
      </c>
      <c r="E8561" s="10" t="str">
        <f t="array" ref="E8561">IFS(D8561&lt;=$G$3,'calculated data '!$A$3,D8561&lt;=$G$4,'calculated data '!$A$4,D8561&lt;=$G$6,'calculated data '!$A$5,D8561&gt;=$G$6,'calculated data '!$A$6)</f>
        <v>High Demand Tier</v>
      </c>
      <c r="F8561" s="10">
        <f t="shared" si="1"/>
        <v>0.2874691689</v>
      </c>
    </row>
    <row r="8562" ht="14.25" customHeight="1">
      <c r="A8562" s="2" t="s">
        <v>397</v>
      </c>
      <c r="B8562" s="2" t="s">
        <v>398</v>
      </c>
      <c r="C8562" s="2">
        <v>1971.0</v>
      </c>
      <c r="D8562" s="9">
        <v>35922.44</v>
      </c>
      <c r="E8562" s="10" t="str">
        <f t="array" ref="E8562">IFS(D8562&lt;=$G$3,'calculated data '!$A$3,D8562&lt;=$G$4,'calculated data '!$A$4,D8562&lt;=$G$6,'calculated data '!$A$5,D8562&gt;=$G$6,'calculated data '!$A$6)</f>
        <v>High Demand Tier</v>
      </c>
      <c r="F8562" s="10">
        <f t="shared" si="1"/>
        <v>0.2876865649</v>
      </c>
    </row>
    <row r="8563" ht="14.25" customHeight="1">
      <c r="A8563" s="2" t="s">
        <v>369</v>
      </c>
      <c r="B8563" s="2" t="s">
        <v>370</v>
      </c>
      <c r="C8563" s="2">
        <v>1977.0</v>
      </c>
      <c r="D8563" s="9">
        <v>35924.168</v>
      </c>
      <c r="E8563" s="10" t="str">
        <f t="array" ref="E8563">IFS(D8563&lt;=$G$3,'calculated data '!$A$3,D8563&lt;=$G$4,'calculated data '!$A$4,D8563&lt;=$G$6,'calculated data '!$A$5,D8563&gt;=$G$6,'calculated data '!$A$6)</f>
        <v>High Demand Tier</v>
      </c>
      <c r="F8563" s="10">
        <f t="shared" si="1"/>
        <v>0.2877323047</v>
      </c>
    </row>
    <row r="8564" ht="14.25" customHeight="1">
      <c r="A8564" s="2" t="s">
        <v>411</v>
      </c>
      <c r="B8564" s="2" t="s">
        <v>412</v>
      </c>
      <c r="C8564" s="2">
        <v>1977.0</v>
      </c>
      <c r="D8564" s="9">
        <v>35928.363</v>
      </c>
      <c r="E8564" s="10" t="str">
        <f t="array" ref="E8564">IFS(D8564&lt;=$G$3,'calculated data '!$A$3,D8564&lt;=$G$4,'calculated data '!$A$4,D8564&lt;=$G$6,'calculated data '!$A$5,D8564&gt;=$G$6,'calculated data '!$A$6)</f>
        <v>High Demand Tier</v>
      </c>
      <c r="F8564" s="10">
        <f t="shared" si="1"/>
        <v>0.2878433453</v>
      </c>
    </row>
    <row r="8565" ht="14.25" customHeight="1">
      <c r="A8565" s="2" t="s">
        <v>379</v>
      </c>
      <c r="B8565" s="2" t="s">
        <v>380</v>
      </c>
      <c r="C8565" s="2">
        <v>2006.0</v>
      </c>
      <c r="D8565" s="9">
        <v>35931.184</v>
      </c>
      <c r="E8565" s="10" t="str">
        <f t="array" ref="E8565">IFS(D8565&lt;=$G$3,'calculated data '!$A$3,D8565&lt;=$G$4,'calculated data '!$A$4,D8565&lt;=$G$6,'calculated data '!$A$5,D8565&gt;=$G$6,'calculated data '!$A$6)</f>
        <v>High Demand Tier</v>
      </c>
      <c r="F8565" s="10">
        <f t="shared" si="1"/>
        <v>0.2879180164</v>
      </c>
    </row>
    <row r="8566" ht="14.25" customHeight="1">
      <c r="A8566" s="2" t="s">
        <v>371</v>
      </c>
      <c r="B8566" s="2" t="s">
        <v>372</v>
      </c>
      <c r="C8566" s="2">
        <v>2007.0</v>
      </c>
      <c r="D8566" s="9">
        <v>35963.184</v>
      </c>
      <c r="E8566" s="10" t="str">
        <f t="array" ref="E8566">IFS(D8566&lt;=$G$3,'calculated data '!$A$3,D8566&lt;=$G$4,'calculated data '!$A$4,D8566&lt;=$G$6,'calculated data '!$A$5,D8566&gt;=$G$6,'calculated data '!$A$6)</f>
        <v>High Demand Tier</v>
      </c>
      <c r="F8566" s="10">
        <f t="shared" si="1"/>
        <v>0.2887650485</v>
      </c>
    </row>
    <row r="8567" ht="14.25" customHeight="1">
      <c r="A8567" s="2" t="s">
        <v>411</v>
      </c>
      <c r="B8567" s="2" t="s">
        <v>412</v>
      </c>
      <c r="C8567" s="2">
        <v>1973.0</v>
      </c>
      <c r="D8567" s="9">
        <v>35963.71</v>
      </c>
      <c r="E8567" s="10" t="str">
        <f t="array" ref="E8567">IFS(D8567&lt;=$G$3,'calculated data '!$A$3,D8567&lt;=$G$4,'calculated data '!$A$4,D8567&lt;=$G$6,'calculated data '!$A$5,D8567&gt;=$G$6,'calculated data '!$A$6)</f>
        <v>High Demand Tier</v>
      </c>
      <c r="F8567" s="10">
        <f t="shared" si="1"/>
        <v>0.2887789716</v>
      </c>
    </row>
    <row r="8568" ht="14.25" customHeight="1">
      <c r="A8568" s="2" t="s">
        <v>381</v>
      </c>
      <c r="B8568" s="2" t="s">
        <v>382</v>
      </c>
      <c r="C8568" s="2">
        <v>1989.0</v>
      </c>
      <c r="D8568" s="9">
        <v>35999.16</v>
      </c>
      <c r="E8568" s="10" t="str">
        <f t="array" ref="E8568">IFS(D8568&lt;=$G$3,'calculated data '!$A$3,D8568&lt;=$G$4,'calculated data '!$A$4,D8568&lt;=$G$6,'calculated data '!$A$5,D8568&gt;=$G$6,'calculated data '!$A$6)</f>
        <v>High Demand Tier</v>
      </c>
      <c r="F8568" s="10">
        <f t="shared" si="1"/>
        <v>0.2897173242</v>
      </c>
    </row>
    <row r="8569" ht="14.25" customHeight="1">
      <c r="A8569" s="2" t="s">
        <v>453</v>
      </c>
      <c r="B8569" s="2" t="s">
        <v>454</v>
      </c>
      <c r="C8569" s="2">
        <v>2012.0</v>
      </c>
      <c r="D8569" s="9">
        <v>36018.93</v>
      </c>
      <c r="E8569" s="10" t="str">
        <f t="array" ref="E8569">IFS(D8569&lt;=$G$3,'calculated data '!$A$3,D8569&lt;=$G$4,'calculated data '!$A$4,D8569&lt;=$G$6,'calculated data '!$A$5,D8569&gt;=$G$6,'calculated data '!$A$6)</f>
        <v>High Demand Tier</v>
      </c>
      <c r="F8569" s="10">
        <f t="shared" si="1"/>
        <v>0.2902406312</v>
      </c>
    </row>
    <row r="8570" ht="14.25" customHeight="1">
      <c r="A8570" s="2" t="s">
        <v>453</v>
      </c>
      <c r="B8570" s="2" t="s">
        <v>454</v>
      </c>
      <c r="C8570" s="2">
        <v>1995.0</v>
      </c>
      <c r="D8570" s="9">
        <v>36022.332</v>
      </c>
      <c r="E8570" s="10" t="str">
        <f t="array" ref="E8570">IFS(D8570&lt;=$G$3,'calculated data '!$A$3,D8570&lt;=$G$4,'calculated data '!$A$4,D8570&lt;=$G$6,'calculated data '!$A$5,D8570&gt;=$G$6,'calculated data '!$A$6)</f>
        <v>High Demand Tier</v>
      </c>
      <c r="F8570" s="10">
        <f t="shared" si="1"/>
        <v>0.2903306813</v>
      </c>
    </row>
    <row r="8571" ht="14.25" customHeight="1">
      <c r="A8571" s="2" t="s">
        <v>427</v>
      </c>
      <c r="B8571" s="2" t="s">
        <v>428</v>
      </c>
      <c r="C8571" s="2">
        <v>2004.0</v>
      </c>
      <c r="D8571" s="9">
        <v>36028.375</v>
      </c>
      <c r="E8571" s="10" t="str">
        <f t="array" ref="E8571">IFS(D8571&lt;=$G$3,'calculated data '!$A$3,D8571&lt;=$G$4,'calculated data '!$A$4,D8571&lt;=$G$6,'calculated data '!$A$5,D8571&gt;=$G$6,'calculated data '!$A$6)</f>
        <v>High Demand Tier</v>
      </c>
      <c r="F8571" s="10">
        <f t="shared" si="1"/>
        <v>0.290490638</v>
      </c>
    </row>
    <row r="8572" ht="14.25" customHeight="1">
      <c r="A8572" s="2" t="s">
        <v>435</v>
      </c>
      <c r="B8572" s="2" t="s">
        <v>436</v>
      </c>
      <c r="C8572" s="2">
        <v>2012.0</v>
      </c>
      <c r="D8572" s="9">
        <v>36040.82</v>
      </c>
      <c r="E8572" s="10" t="str">
        <f t="array" ref="E8572">IFS(D8572&lt;=$G$3,'calculated data '!$A$3,D8572&lt;=$G$4,'calculated data '!$A$4,D8572&lt;=$G$6,'calculated data '!$A$5,D8572&gt;=$G$6,'calculated data '!$A$6)</f>
        <v>High Demand Tier</v>
      </c>
      <c r="F8572" s="10">
        <f t="shared" si="1"/>
        <v>0.290820054</v>
      </c>
    </row>
    <row r="8573" ht="14.25" customHeight="1">
      <c r="A8573" s="2" t="s">
        <v>331</v>
      </c>
      <c r="B8573" s="2" t="s">
        <v>332</v>
      </c>
      <c r="C8573" s="2">
        <v>2006.0</v>
      </c>
      <c r="D8573" s="9">
        <v>36060.062</v>
      </c>
      <c r="E8573" s="10" t="str">
        <f t="array" ref="E8573">IFS(D8573&lt;=$G$3,'calculated data '!$A$3,D8573&lt;=$G$4,'calculated data '!$A$4,D8573&lt;=$G$6,'calculated data '!$A$5,D8573&gt;=$G$6,'calculated data '!$A$6)</f>
        <v>High Demand Tier</v>
      </c>
      <c r="F8573" s="10">
        <f t="shared" si="1"/>
        <v>0.291329385</v>
      </c>
    </row>
    <row r="8574" ht="14.25" customHeight="1">
      <c r="A8574" s="2" t="s">
        <v>369</v>
      </c>
      <c r="B8574" s="2" t="s">
        <v>370</v>
      </c>
      <c r="C8574" s="2">
        <v>1985.0</v>
      </c>
      <c r="D8574" s="9">
        <v>36071.13</v>
      </c>
      <c r="E8574" s="10" t="str">
        <f t="array" ref="E8574">IFS(D8574&lt;=$G$3,'calculated data '!$A$3,D8574&lt;=$G$4,'calculated data '!$A$4,D8574&lt;=$G$6,'calculated data '!$A$5,D8574&gt;=$G$6,'calculated data '!$A$6)</f>
        <v>High Demand Tier</v>
      </c>
      <c r="F8574" s="10">
        <f t="shared" si="1"/>
        <v>0.2916223522</v>
      </c>
    </row>
    <row r="8575" ht="14.25" customHeight="1">
      <c r="A8575" s="2" t="s">
        <v>127</v>
      </c>
      <c r="B8575" s="2" t="s">
        <v>128</v>
      </c>
      <c r="C8575" s="2">
        <v>2003.0</v>
      </c>
      <c r="D8575" s="9">
        <v>36078.625</v>
      </c>
      <c r="E8575" s="10" t="str">
        <f t="array" ref="E8575">IFS(D8575&lt;=$G$3,'calculated data '!$A$3,D8575&lt;=$G$4,'calculated data '!$A$4,D8575&lt;=$G$6,'calculated data '!$A$5,D8575&gt;=$G$6,'calculated data '!$A$6)</f>
        <v>High Demand Tier</v>
      </c>
      <c r="F8575" s="10">
        <f t="shared" si="1"/>
        <v>0.291820743</v>
      </c>
    </row>
    <row r="8576" ht="14.25" customHeight="1">
      <c r="A8576" s="2" t="s">
        <v>257</v>
      </c>
      <c r="B8576" s="2" t="s">
        <v>258</v>
      </c>
      <c r="C8576" s="2">
        <v>2018.0</v>
      </c>
      <c r="D8576" s="9">
        <v>36084.562</v>
      </c>
      <c r="E8576" s="10" t="str">
        <f t="array" ref="E8576">IFS(D8576&lt;=$G$3,'calculated data '!$A$3,D8576&lt;=$G$4,'calculated data '!$A$4,D8576&lt;=$G$6,'calculated data '!$A$5,D8576&gt;=$G$6,'calculated data '!$A$6)</f>
        <v>High Demand Tier</v>
      </c>
      <c r="F8576" s="10">
        <f t="shared" si="1"/>
        <v>0.2919778939</v>
      </c>
    </row>
    <row r="8577" ht="14.25" customHeight="1">
      <c r="A8577" s="2" t="s">
        <v>435</v>
      </c>
      <c r="B8577" s="2" t="s">
        <v>436</v>
      </c>
      <c r="C8577" s="2">
        <v>2010.0</v>
      </c>
      <c r="D8577" s="9">
        <v>36088.836</v>
      </c>
      <c r="E8577" s="10" t="str">
        <f t="array" ref="E8577">IFS(D8577&lt;=$G$3,'calculated data '!$A$3,D8577&lt;=$G$4,'calculated data '!$A$4,D8577&lt;=$G$6,'calculated data '!$A$5,D8577&gt;=$G$6,'calculated data '!$A$6)</f>
        <v>High Demand Tier</v>
      </c>
      <c r="F8577" s="10">
        <f t="shared" si="1"/>
        <v>0.2920910256</v>
      </c>
    </row>
    <row r="8578" ht="14.25" customHeight="1">
      <c r="A8578" s="2" t="s">
        <v>379</v>
      </c>
      <c r="B8578" s="2" t="s">
        <v>380</v>
      </c>
      <c r="C8578" s="2">
        <v>2011.0</v>
      </c>
      <c r="D8578" s="9">
        <v>36092.746</v>
      </c>
      <c r="E8578" s="10" t="str">
        <f t="array" ref="E8578">IFS(D8578&lt;=$G$3,'calculated data '!$A$3,D8578&lt;=$G$4,'calculated data '!$A$4,D8578&lt;=$G$6,'calculated data '!$A$5,D8578&gt;=$G$6,'calculated data '!$A$6)</f>
        <v>High Demand Tier</v>
      </c>
      <c r="F8578" s="10">
        <f t="shared" si="1"/>
        <v>0.2921945223</v>
      </c>
    </row>
    <row r="8579" ht="14.25" customHeight="1">
      <c r="A8579" s="2" t="s">
        <v>409</v>
      </c>
      <c r="B8579" s="2" t="s">
        <v>410</v>
      </c>
      <c r="C8579" s="2">
        <v>1995.0</v>
      </c>
      <c r="D8579" s="9">
        <v>36092.777</v>
      </c>
      <c r="E8579" s="10" t="str">
        <f t="array" ref="E8579">IFS(D8579&lt;=$G$3,'calculated data '!$A$3,D8579&lt;=$G$4,'calculated data '!$A$4,D8579&lt;=$G$6,'calculated data '!$A$5,D8579&gt;=$G$6,'calculated data '!$A$6)</f>
        <v>High Demand Tier</v>
      </c>
      <c r="F8579" s="10">
        <f t="shared" si="1"/>
        <v>0.2921953429</v>
      </c>
    </row>
    <row r="8580" ht="14.25" customHeight="1">
      <c r="A8580" s="2" t="s">
        <v>379</v>
      </c>
      <c r="B8580" s="2" t="s">
        <v>380</v>
      </c>
      <c r="C8580" s="2">
        <v>2010.0</v>
      </c>
      <c r="D8580" s="9">
        <v>36099.96</v>
      </c>
      <c r="E8580" s="10" t="str">
        <f t="array" ref="E8580">IFS(D8580&lt;=$G$3,'calculated data '!$A$3,D8580&lt;=$G$4,'calculated data '!$A$4,D8580&lt;=$G$6,'calculated data '!$A$5,D8580&gt;=$G$6,'calculated data '!$A$6)</f>
        <v>High Demand Tier</v>
      </c>
      <c r="F8580" s="10">
        <f t="shared" si="1"/>
        <v>0.2923854751</v>
      </c>
    </row>
    <row r="8581" ht="14.25" customHeight="1">
      <c r="A8581" s="2" t="s">
        <v>453</v>
      </c>
      <c r="B8581" s="2" t="s">
        <v>454</v>
      </c>
      <c r="C8581" s="2">
        <v>1999.0</v>
      </c>
      <c r="D8581" s="9">
        <v>36102.99</v>
      </c>
      <c r="E8581" s="10" t="str">
        <f t="array" ref="E8581">IFS(D8581&lt;=$G$3,'calculated data '!$A$3,D8581&lt;=$G$4,'calculated data '!$A$4,D8581&lt;=$G$6,'calculated data '!$A$5,D8581&gt;=$G$6,'calculated data '!$A$6)</f>
        <v>High Demand Tier</v>
      </c>
      <c r="F8581" s="10">
        <f t="shared" si="1"/>
        <v>0.2924656785</v>
      </c>
    </row>
    <row r="8582" ht="14.25" customHeight="1">
      <c r="A8582" s="2" t="s">
        <v>447</v>
      </c>
      <c r="B8582" s="2" t="s">
        <v>448</v>
      </c>
      <c r="C8582" s="2">
        <v>2016.0</v>
      </c>
      <c r="D8582" s="9">
        <v>36111.664</v>
      </c>
      <c r="E8582" s="10" t="str">
        <f t="array" ref="E8582">IFS(D8582&lt;=$G$3,'calculated data '!$A$3,D8582&lt;=$G$4,'calculated data '!$A$4,D8582&lt;=$G$6,'calculated data '!$A$5,D8582&gt;=$G$6,'calculated data '!$A$6)</f>
        <v>High Demand Tier</v>
      </c>
      <c r="F8582" s="10">
        <f t="shared" si="1"/>
        <v>0.2926952771</v>
      </c>
    </row>
    <row r="8583" ht="14.25" customHeight="1">
      <c r="A8583" s="2" t="s">
        <v>393</v>
      </c>
      <c r="B8583" s="2" t="s">
        <v>394</v>
      </c>
      <c r="C8583" s="2">
        <v>1992.0</v>
      </c>
      <c r="D8583" s="9">
        <v>36123.402</v>
      </c>
      <c r="E8583" s="10" t="str">
        <f t="array" ref="E8583">IFS(D8583&lt;=$G$3,'calculated data '!$A$3,D8583&lt;=$G$4,'calculated data '!$A$4,D8583&lt;=$G$6,'calculated data '!$A$5,D8583&gt;=$G$6,'calculated data '!$A$6)</f>
        <v>High Demand Tier</v>
      </c>
      <c r="F8583" s="10">
        <f t="shared" si="1"/>
        <v>0.293005979</v>
      </c>
    </row>
    <row r="8584" ht="14.25" customHeight="1">
      <c r="A8584" s="2" t="s">
        <v>377</v>
      </c>
      <c r="B8584" s="2" t="s">
        <v>378</v>
      </c>
      <c r="C8584" s="2">
        <v>2006.0</v>
      </c>
      <c r="D8584" s="9">
        <v>36137.74</v>
      </c>
      <c r="E8584" s="10" t="str">
        <f t="array" ref="E8584">IFS(D8584&lt;=$G$3,'calculated data '!$A$3,D8584&lt;=$G$4,'calculated data '!$A$4,D8584&lt;=$G$6,'calculated data '!$A$5,D8584&gt;=$G$6,'calculated data '!$A$6)</f>
        <v>High Demand Tier</v>
      </c>
      <c r="F8584" s="10">
        <f t="shared" si="1"/>
        <v>0.2933855023</v>
      </c>
    </row>
    <row r="8585" ht="14.25" customHeight="1">
      <c r="A8585" s="2" t="s">
        <v>467</v>
      </c>
      <c r="B8585" s="2" t="s">
        <v>468</v>
      </c>
      <c r="C8585" s="2">
        <v>1965.0</v>
      </c>
      <c r="D8585" s="9">
        <v>36157.97</v>
      </c>
      <c r="E8585" s="10" t="str">
        <f t="array" ref="E8585">IFS(D8585&lt;=$G$3,'calculated data '!$A$3,D8585&lt;=$G$4,'calculated data '!$A$4,D8585&lt;=$G$6,'calculated data '!$A$5,D8585&gt;=$G$6,'calculated data '!$A$6)</f>
        <v>High Demand Tier</v>
      </c>
      <c r="F8585" s="10">
        <f t="shared" si="1"/>
        <v>0.2939209854</v>
      </c>
    </row>
    <row r="8586" ht="14.25" customHeight="1">
      <c r="A8586" s="2" t="s">
        <v>427</v>
      </c>
      <c r="B8586" s="2" t="s">
        <v>428</v>
      </c>
      <c r="C8586" s="2">
        <v>1996.0</v>
      </c>
      <c r="D8586" s="9">
        <v>36159.645</v>
      </c>
      <c r="E8586" s="10" t="str">
        <f t="array" ref="E8586">IFS(D8586&lt;=$G$3,'calculated data '!$A$3,D8586&lt;=$G$4,'calculated data '!$A$4,D8586&lt;=$G$6,'calculated data '!$A$5,D8586&gt;=$G$6,'calculated data '!$A$6)</f>
        <v>High Demand Tier</v>
      </c>
      <c r="F8586" s="10">
        <f t="shared" si="1"/>
        <v>0.2939653222</v>
      </c>
    </row>
    <row r="8587" ht="14.25" customHeight="1">
      <c r="A8587" s="2" t="s">
        <v>453</v>
      </c>
      <c r="B8587" s="2" t="s">
        <v>454</v>
      </c>
      <c r="C8587" s="2">
        <v>1986.0</v>
      </c>
      <c r="D8587" s="9">
        <v>36165.15</v>
      </c>
      <c r="E8587" s="10" t="str">
        <f t="array" ref="E8587">IFS(D8587&lt;=$G$3,'calculated data '!$A$3,D8587&lt;=$G$4,'calculated data '!$A$4,D8587&lt;=$G$6,'calculated data '!$A$5,D8587&gt;=$G$6,'calculated data '!$A$6)</f>
        <v>High Demand Tier</v>
      </c>
      <c r="F8587" s="10">
        <f t="shared" si="1"/>
        <v>0.2941110382</v>
      </c>
    </row>
    <row r="8588" ht="14.25" customHeight="1">
      <c r="A8588" s="2" t="s">
        <v>407</v>
      </c>
      <c r="B8588" s="2" t="s">
        <v>408</v>
      </c>
      <c r="C8588" s="2">
        <v>2007.0</v>
      </c>
      <c r="D8588" s="9">
        <v>36165.71</v>
      </c>
      <c r="E8588" s="10" t="str">
        <f t="array" ref="E8588">IFS(D8588&lt;=$G$3,'calculated data '!$A$3,D8588&lt;=$G$4,'calculated data '!$A$4,D8588&lt;=$G$6,'calculated data '!$A$5,D8588&gt;=$G$6,'calculated data '!$A$6)</f>
        <v>High Demand Tier</v>
      </c>
      <c r="F8588" s="10">
        <f t="shared" si="1"/>
        <v>0.2941258612</v>
      </c>
    </row>
    <row r="8589" ht="14.25" customHeight="1">
      <c r="A8589" s="2" t="s">
        <v>443</v>
      </c>
      <c r="B8589" s="2" t="s">
        <v>444</v>
      </c>
      <c r="C8589" s="2">
        <v>2025.0</v>
      </c>
      <c r="D8589" s="9">
        <v>36179.566</v>
      </c>
      <c r="E8589" s="10" t="str">
        <f t="array" ref="E8589">IFS(D8589&lt;=$G$3,'calculated data '!$A$3,D8589&lt;=$G$4,'calculated data '!$A$4,D8589&lt;=$G$6,'calculated data '!$A$5,D8589&gt;=$G$6,'calculated data '!$A$6)</f>
        <v>High Demand Tier</v>
      </c>
      <c r="F8589" s="10">
        <f t="shared" si="1"/>
        <v>0.2944926261</v>
      </c>
    </row>
    <row r="8590" ht="14.25" customHeight="1">
      <c r="A8590" s="2" t="s">
        <v>447</v>
      </c>
      <c r="B8590" s="2" t="s">
        <v>448</v>
      </c>
      <c r="C8590" s="2">
        <v>2019.0</v>
      </c>
      <c r="D8590" s="9">
        <v>36181.887</v>
      </c>
      <c r="E8590" s="10" t="str">
        <f t="array" ref="E8590">IFS(D8590&lt;=$G$3,'calculated data '!$A$3,D8590&lt;=$G$4,'calculated data '!$A$4,D8590&lt;=$G$6,'calculated data '!$A$5,D8590&gt;=$G$6,'calculated data '!$A$6)</f>
        <v>High Demand Tier</v>
      </c>
      <c r="F8590" s="10">
        <f t="shared" si="1"/>
        <v>0.2945540624</v>
      </c>
    </row>
    <row r="8591" ht="14.25" customHeight="1">
      <c r="A8591" s="2" t="s">
        <v>367</v>
      </c>
      <c r="B8591" s="2" t="s">
        <v>368</v>
      </c>
      <c r="C8591" s="2">
        <v>1994.0</v>
      </c>
      <c r="D8591" s="9">
        <v>36204.97</v>
      </c>
      <c r="E8591" s="10" t="str">
        <f t="array" ref="E8591">IFS(D8591&lt;=$G$3,'calculated data '!$A$3,D8591&lt;=$G$4,'calculated data '!$A$4,D8591&lt;=$G$6,'calculated data '!$A$5,D8591&gt;=$G$6,'calculated data '!$A$6)</f>
        <v>High Demand Tier</v>
      </c>
      <c r="F8591" s="10">
        <f t="shared" si="1"/>
        <v>0.2951650637</v>
      </c>
    </row>
    <row r="8592" ht="14.25" customHeight="1">
      <c r="A8592" s="2" t="s">
        <v>279</v>
      </c>
      <c r="B8592" s="2" t="s">
        <v>280</v>
      </c>
      <c r="C8592" s="2">
        <v>1995.0</v>
      </c>
      <c r="D8592" s="9">
        <v>36211.484</v>
      </c>
      <c r="E8592" s="10" t="str">
        <f t="array" ref="E8592">IFS(D8592&lt;=$G$3,'calculated data '!$A$3,D8592&lt;=$G$4,'calculated data '!$A$4,D8592&lt;=$G$6,'calculated data '!$A$5,D8592&gt;=$G$6,'calculated data '!$A$6)</f>
        <v>High Demand Tier</v>
      </c>
      <c r="F8592" s="10">
        <f t="shared" si="1"/>
        <v>0.2953374876</v>
      </c>
    </row>
    <row r="8593" ht="14.25" customHeight="1">
      <c r="A8593" s="2" t="s">
        <v>443</v>
      </c>
      <c r="B8593" s="2" t="s">
        <v>444</v>
      </c>
      <c r="C8593" s="2">
        <v>2024.0</v>
      </c>
      <c r="D8593" s="9">
        <v>36214.22</v>
      </c>
      <c r="E8593" s="10" t="str">
        <f t="array" ref="E8593">IFS(D8593&lt;=$G$3,'calculated data '!$A$3,D8593&lt;=$G$4,'calculated data '!$A$4,D8593&lt;=$G$6,'calculated data '!$A$5,D8593&gt;=$G$6,'calculated data '!$A$6)</f>
        <v>High Demand Tier</v>
      </c>
      <c r="F8593" s="10">
        <f t="shared" si="1"/>
        <v>0.2954099089</v>
      </c>
    </row>
    <row r="8594" ht="14.25" customHeight="1">
      <c r="A8594" s="2" t="s">
        <v>435</v>
      </c>
      <c r="B8594" s="2" t="s">
        <v>436</v>
      </c>
      <c r="C8594" s="2">
        <v>2003.0</v>
      </c>
      <c r="D8594" s="9">
        <v>36216.246</v>
      </c>
      <c r="E8594" s="10" t="str">
        <f t="array" ref="E8594">IFS(D8594&lt;=$G$3,'calculated data '!$A$3,D8594&lt;=$G$4,'calculated data '!$A$4,D8594&lt;=$G$6,'calculated data '!$A$5,D8594&gt;=$G$6,'calculated data '!$A$6)</f>
        <v>High Demand Tier</v>
      </c>
      <c r="F8594" s="10">
        <f t="shared" si="1"/>
        <v>0.2954635366</v>
      </c>
    </row>
    <row r="8595" ht="14.25" customHeight="1">
      <c r="A8595" s="2" t="s">
        <v>469</v>
      </c>
      <c r="B8595" s="2" t="s">
        <v>470</v>
      </c>
      <c r="C8595" s="2">
        <v>1965.0</v>
      </c>
      <c r="D8595" s="9">
        <v>36217.64</v>
      </c>
      <c r="E8595" s="10" t="str">
        <f t="array" ref="E8595">IFS(D8595&lt;=$G$3,'calculated data '!$A$3,D8595&lt;=$G$4,'calculated data '!$A$4,D8595&lt;=$G$6,'calculated data '!$A$5,D8595&gt;=$G$6,'calculated data '!$A$6)</f>
        <v>High Demand Tier</v>
      </c>
      <c r="F8595" s="10">
        <f t="shared" si="1"/>
        <v>0.2955004354</v>
      </c>
    </row>
    <row r="8596" ht="14.25" customHeight="1">
      <c r="A8596" s="2" t="s">
        <v>453</v>
      </c>
      <c r="B8596" s="2" t="s">
        <v>454</v>
      </c>
      <c r="C8596" s="2">
        <v>2013.0</v>
      </c>
      <c r="D8596" s="9">
        <v>36220.793</v>
      </c>
      <c r="E8596" s="10" t="str">
        <f t="array" ref="E8596">IFS(D8596&lt;=$G$3,'calculated data '!$A$3,D8596&lt;=$G$4,'calculated data '!$A$4,D8596&lt;=$G$6,'calculated data '!$A$5,D8596&gt;=$G$6,'calculated data '!$A$6)</f>
        <v>High Demand Tier</v>
      </c>
      <c r="F8596" s="10">
        <f t="shared" si="1"/>
        <v>0.2955838945</v>
      </c>
    </row>
    <row r="8597" ht="14.25" customHeight="1">
      <c r="A8597" s="2" t="s">
        <v>369</v>
      </c>
      <c r="B8597" s="2" t="s">
        <v>370</v>
      </c>
      <c r="C8597" s="2">
        <v>1976.0</v>
      </c>
      <c r="D8597" s="9">
        <v>36243.11</v>
      </c>
      <c r="E8597" s="10" t="str">
        <f t="array" ref="E8597">IFS(D8597&lt;=$G$3,'calculated data '!$A$3,D8597&lt;=$G$4,'calculated data '!$A$4,D8597&lt;=$G$6,'calculated data '!$A$5,D8597&gt;=$G$6,'calculated data '!$A$6)</f>
        <v>High Demand Tier</v>
      </c>
      <c r="F8597" s="10">
        <f t="shared" si="1"/>
        <v>0.29617462</v>
      </c>
    </row>
    <row r="8598" ht="14.25" customHeight="1">
      <c r="A8598" s="2" t="s">
        <v>331</v>
      </c>
      <c r="B8598" s="2" t="s">
        <v>332</v>
      </c>
      <c r="C8598" s="2">
        <v>2008.0</v>
      </c>
      <c r="D8598" s="9">
        <v>36245.88</v>
      </c>
      <c r="E8598" s="10" t="str">
        <f t="array" ref="E8598">IFS(D8598&lt;=$G$3,'calculated data '!$A$3,D8598&lt;=$G$4,'calculated data '!$A$4,D8598&lt;=$G$6,'calculated data '!$A$5,D8598&gt;=$G$6,'calculated data '!$A$6)</f>
        <v>High Demand Tier</v>
      </c>
      <c r="F8598" s="10">
        <f t="shared" si="1"/>
        <v>0.2962479412</v>
      </c>
    </row>
    <row r="8599" ht="14.25" customHeight="1">
      <c r="A8599" s="2" t="s">
        <v>249</v>
      </c>
      <c r="B8599" s="2" t="s">
        <v>250</v>
      </c>
      <c r="C8599" s="2">
        <v>2023.0</v>
      </c>
      <c r="D8599" s="9">
        <v>36245.953</v>
      </c>
      <c r="E8599" s="10" t="str">
        <f t="array" ref="E8599">IFS(D8599&lt;=$G$3,'calculated data '!$A$3,D8599&lt;=$G$4,'calculated data '!$A$4,D8599&lt;=$G$6,'calculated data '!$A$5,D8599&gt;=$G$6,'calculated data '!$A$6)</f>
        <v>High Demand Tier</v>
      </c>
      <c r="F8599" s="10">
        <f t="shared" si="1"/>
        <v>0.2962498735</v>
      </c>
    </row>
    <row r="8600" ht="14.25" customHeight="1">
      <c r="A8600" s="2" t="s">
        <v>439</v>
      </c>
      <c r="B8600" s="2" t="s">
        <v>440</v>
      </c>
      <c r="C8600" s="2">
        <v>1977.0</v>
      </c>
      <c r="D8600" s="9">
        <v>36246.934</v>
      </c>
      <c r="E8600" s="10" t="str">
        <f t="array" ref="E8600">IFS(D8600&lt;=$G$3,'calculated data '!$A$3,D8600&lt;=$G$4,'calculated data '!$A$4,D8600&lt;=$G$6,'calculated data '!$A$5,D8600&gt;=$G$6,'calculated data '!$A$6)</f>
        <v>High Demand Tier</v>
      </c>
      <c r="F8600" s="10">
        <f t="shared" si="1"/>
        <v>0.2962758403</v>
      </c>
    </row>
    <row r="8601" ht="14.25" customHeight="1">
      <c r="A8601" s="2" t="s">
        <v>443</v>
      </c>
      <c r="B8601" s="2" t="s">
        <v>444</v>
      </c>
      <c r="C8601" s="2">
        <v>1970.0</v>
      </c>
      <c r="D8601" s="9">
        <v>36254.516</v>
      </c>
      <c r="E8601" s="10" t="str">
        <f t="array" ref="E8601">IFS(D8601&lt;=$G$3,'calculated data '!$A$3,D8601&lt;=$G$4,'calculated data '!$A$4,D8601&lt;=$G$6,'calculated data '!$A$5,D8601&gt;=$G$6,'calculated data '!$A$6)</f>
        <v>High Demand Tier</v>
      </c>
      <c r="F8601" s="10">
        <f t="shared" si="1"/>
        <v>0.2964765339</v>
      </c>
    </row>
    <row r="8602" ht="14.25" customHeight="1">
      <c r="A8602" s="2" t="s">
        <v>447</v>
      </c>
      <c r="B8602" s="2" t="s">
        <v>448</v>
      </c>
      <c r="C8602" s="2">
        <v>2013.0</v>
      </c>
      <c r="D8602" s="9">
        <v>36261.99</v>
      </c>
      <c r="E8602" s="10" t="str">
        <f t="array" ref="E8602">IFS(D8602&lt;=$G$3,'calculated data '!$A$3,D8602&lt;=$G$4,'calculated data '!$A$4,D8602&lt;=$G$6,'calculated data '!$A$5,D8602&gt;=$G$6,'calculated data '!$A$6)</f>
        <v>High Demand Tier</v>
      </c>
      <c r="F8602" s="10">
        <f t="shared" si="1"/>
        <v>0.2966743689</v>
      </c>
    </row>
    <row r="8603" ht="14.25" customHeight="1">
      <c r="A8603" s="2" t="s">
        <v>411</v>
      </c>
      <c r="B8603" s="2" t="s">
        <v>412</v>
      </c>
      <c r="C8603" s="2">
        <v>1978.0</v>
      </c>
      <c r="D8603" s="9">
        <v>36266.62</v>
      </c>
      <c r="E8603" s="10" t="str">
        <f t="array" ref="E8603">IFS(D8603&lt;=$G$3,'calculated data '!$A$3,D8603&lt;=$G$4,'calculated data '!$A$4,D8603&lt;=$G$6,'calculated data '!$A$5,D8603&gt;=$G$6,'calculated data '!$A$6)</f>
        <v>High Demand Tier</v>
      </c>
      <c r="F8603" s="10">
        <f t="shared" si="1"/>
        <v>0.2967969238</v>
      </c>
    </row>
    <row r="8604" ht="14.25" customHeight="1">
      <c r="A8604" s="2" t="s">
        <v>379</v>
      </c>
      <c r="B8604" s="2" t="s">
        <v>380</v>
      </c>
      <c r="C8604" s="2">
        <v>2002.0</v>
      </c>
      <c r="D8604" s="9">
        <v>36276.062</v>
      </c>
      <c r="E8604" s="10" t="str">
        <f t="array" ref="E8604">IFS(D8604&lt;=$G$3,'calculated data '!$A$3,D8604&lt;=$G$4,'calculated data '!$A$4,D8604&lt;=$G$6,'calculated data '!$A$5,D8604&gt;=$G$6,'calculated data '!$A$6)</f>
        <v>High Demand Tier</v>
      </c>
      <c r="F8604" s="10">
        <f t="shared" si="1"/>
        <v>0.2970468512</v>
      </c>
    </row>
    <row r="8605" ht="14.25" customHeight="1">
      <c r="A8605" s="2" t="s">
        <v>465</v>
      </c>
      <c r="B8605" s="2" t="s">
        <v>466</v>
      </c>
      <c r="C8605" s="2">
        <v>2017.0</v>
      </c>
      <c r="D8605" s="9">
        <v>36281.08</v>
      </c>
      <c r="E8605" s="10" t="str">
        <f t="array" ref="E8605">IFS(D8605&lt;=$G$3,'calculated data '!$A$3,D8605&lt;=$G$4,'calculated data '!$A$4,D8605&lt;=$G$6,'calculated data '!$A$5,D8605&gt;=$G$6,'calculated data '!$A$6)</f>
        <v>High Demand Tier</v>
      </c>
      <c r="F8605" s="10">
        <f t="shared" si="1"/>
        <v>0.2971796764</v>
      </c>
    </row>
    <row r="8606" ht="14.25" customHeight="1">
      <c r="A8606" s="2" t="s">
        <v>379</v>
      </c>
      <c r="B8606" s="2" t="s">
        <v>380</v>
      </c>
      <c r="C8606" s="2">
        <v>2001.0</v>
      </c>
      <c r="D8606" s="9">
        <v>36289.86</v>
      </c>
      <c r="E8606" s="10" t="str">
        <f t="array" ref="E8606">IFS(D8606&lt;=$G$3,'calculated data '!$A$3,D8606&lt;=$G$4,'calculated data '!$A$4,D8606&lt;=$G$6,'calculated data '!$A$5,D8606&gt;=$G$6,'calculated data '!$A$6)</f>
        <v>High Demand Tier</v>
      </c>
      <c r="F8606" s="10">
        <f t="shared" si="1"/>
        <v>0.2974120808</v>
      </c>
    </row>
    <row r="8607" ht="14.25" customHeight="1">
      <c r="A8607" s="2" t="s">
        <v>447</v>
      </c>
      <c r="B8607" s="2" t="s">
        <v>448</v>
      </c>
      <c r="C8607" s="2">
        <v>2014.0</v>
      </c>
      <c r="D8607" s="9">
        <v>36292.61</v>
      </c>
      <c r="E8607" s="10" t="str">
        <f t="array" ref="E8607">IFS(D8607&lt;=$G$3,'calculated data '!$A$3,D8607&lt;=$G$4,'calculated data '!$A$4,D8607&lt;=$G$6,'calculated data '!$A$5,D8607&gt;=$G$6,'calculated data '!$A$6)</f>
        <v>High Demand Tier</v>
      </c>
      <c r="F8607" s="10">
        <f t="shared" si="1"/>
        <v>0.2974848726</v>
      </c>
    </row>
    <row r="8608" ht="14.25" customHeight="1">
      <c r="A8608" s="2" t="s">
        <v>417</v>
      </c>
      <c r="B8608" s="2" t="s">
        <v>418</v>
      </c>
      <c r="C8608" s="2">
        <v>2014.0</v>
      </c>
      <c r="D8608" s="9">
        <v>36294.992</v>
      </c>
      <c r="E8608" s="10" t="str">
        <f t="array" ref="E8608">IFS(D8608&lt;=$G$3,'calculated data '!$A$3,D8608&lt;=$G$4,'calculated data '!$A$4,D8608&lt;=$G$6,'calculated data '!$A$5,D8608&gt;=$G$6,'calculated data '!$A$6)</f>
        <v>High Demand Tier</v>
      </c>
      <c r="F8608" s="10">
        <f t="shared" si="1"/>
        <v>0.2975479236</v>
      </c>
    </row>
    <row r="8609" ht="14.25" customHeight="1">
      <c r="A8609" s="2" t="s">
        <v>427</v>
      </c>
      <c r="B8609" s="2" t="s">
        <v>428</v>
      </c>
      <c r="C8609" s="2">
        <v>2003.0</v>
      </c>
      <c r="D8609" s="9">
        <v>36297.03</v>
      </c>
      <c r="E8609" s="10" t="str">
        <f t="array" ref="E8609">IFS(D8609&lt;=$G$3,'calculated data '!$A$3,D8609&lt;=$G$4,'calculated data '!$A$4,D8609&lt;=$G$6,'calculated data '!$A$5,D8609&gt;=$G$6,'calculated data '!$A$6)</f>
        <v>High Demand Tier</v>
      </c>
      <c r="F8609" s="10">
        <f t="shared" si="1"/>
        <v>0.2976018689</v>
      </c>
    </row>
    <row r="8610" ht="14.25" customHeight="1">
      <c r="A8610" s="2" t="s">
        <v>221</v>
      </c>
      <c r="B8610" s="2" t="s">
        <v>222</v>
      </c>
      <c r="C8610" s="2">
        <v>1994.0</v>
      </c>
      <c r="D8610" s="9">
        <v>36307.863</v>
      </c>
      <c r="E8610" s="10" t="str">
        <f t="array" ref="E8610">IFS(D8610&lt;=$G$3,'calculated data '!$A$3,D8610&lt;=$G$4,'calculated data '!$A$4,D8610&lt;=$G$6,'calculated data '!$A$5,D8610&gt;=$G$6,'calculated data '!$A$6)</f>
        <v>High Demand Tier</v>
      </c>
      <c r="F8610" s="10">
        <f t="shared" si="1"/>
        <v>0.2978886157</v>
      </c>
    </row>
    <row r="8611" ht="14.25" customHeight="1">
      <c r="A8611" s="2" t="s">
        <v>457</v>
      </c>
      <c r="B8611" s="2" t="s">
        <v>458</v>
      </c>
      <c r="C8611" s="2">
        <v>1970.0</v>
      </c>
      <c r="D8611" s="9">
        <v>36312.25</v>
      </c>
      <c r="E8611" s="10" t="str">
        <f t="array" ref="E8611">IFS(D8611&lt;=$G$3,'calculated data '!$A$3,D8611&lt;=$G$4,'calculated data '!$A$4,D8611&lt;=$G$6,'calculated data '!$A$5,D8611&gt;=$G$6,'calculated data '!$A$6)</f>
        <v>High Demand Tier</v>
      </c>
      <c r="F8611" s="10">
        <f t="shared" si="1"/>
        <v>0.2980047385</v>
      </c>
    </row>
    <row r="8612" ht="14.25" customHeight="1">
      <c r="A8612" s="2" t="s">
        <v>447</v>
      </c>
      <c r="B8612" s="2" t="s">
        <v>448</v>
      </c>
      <c r="C8612" s="2">
        <v>2000.0</v>
      </c>
      <c r="D8612" s="9">
        <v>36336.996</v>
      </c>
      <c r="E8612" s="10" t="str">
        <f t="array" ref="E8612">IFS(D8612&lt;=$G$3,'calculated data '!$A$3,D8612&lt;=$G$4,'calculated data '!$A$4,D8612&lt;=$G$6,'calculated data '!$A$5,D8612&gt;=$G$6,'calculated data '!$A$6)</f>
        <v>High Demand Tier</v>
      </c>
      <c r="F8612" s="10">
        <f t="shared" si="1"/>
        <v>0.298659759</v>
      </c>
    </row>
    <row r="8613" ht="14.25" customHeight="1">
      <c r="A8613" s="2" t="s">
        <v>411</v>
      </c>
      <c r="B8613" s="2" t="s">
        <v>412</v>
      </c>
      <c r="C8613" s="2">
        <v>2011.0</v>
      </c>
      <c r="D8613" s="9">
        <v>36341.39</v>
      </c>
      <c r="E8613" s="10" t="str">
        <f t="array" ref="E8613">IFS(D8613&lt;=$G$3,'calculated data '!$A$3,D8613&lt;=$G$4,'calculated data '!$A$4,D8613&lt;=$G$6,'calculated data '!$A$5,D8613&gt;=$G$6,'calculated data '!$A$6)</f>
        <v>High Demand Tier</v>
      </c>
      <c r="F8613" s="10">
        <f t="shared" si="1"/>
        <v>0.2987760671</v>
      </c>
    </row>
    <row r="8614" ht="14.25" customHeight="1">
      <c r="A8614" s="2" t="s">
        <v>413</v>
      </c>
      <c r="B8614" s="2" t="s">
        <v>414</v>
      </c>
      <c r="C8614" s="2">
        <v>2011.0</v>
      </c>
      <c r="D8614" s="9">
        <v>36346.555</v>
      </c>
      <c r="E8614" s="10" t="str">
        <f t="array" ref="E8614">IFS(D8614&lt;=$G$3,'calculated data '!$A$3,D8614&lt;=$G$4,'calculated data '!$A$4,D8614&lt;=$G$6,'calculated data '!$A$5,D8614&gt;=$G$6,'calculated data '!$A$6)</f>
        <v>High Demand Tier</v>
      </c>
      <c r="F8614" s="10">
        <f t="shared" si="1"/>
        <v>0.2989127833</v>
      </c>
    </row>
    <row r="8615" ht="14.25" customHeight="1">
      <c r="A8615" s="2" t="s">
        <v>379</v>
      </c>
      <c r="B8615" s="2" t="s">
        <v>380</v>
      </c>
      <c r="C8615" s="2">
        <v>2005.0</v>
      </c>
      <c r="D8615" s="9">
        <v>36351.062</v>
      </c>
      <c r="E8615" s="10" t="str">
        <f t="array" ref="E8615">IFS(D8615&lt;=$G$3,'calculated data '!$A$3,D8615&lt;=$G$4,'calculated data '!$A$4,D8615&lt;=$G$6,'calculated data '!$A$5,D8615&gt;=$G$6,'calculated data '!$A$6)</f>
        <v>High Demand Tier</v>
      </c>
      <c r="F8615" s="10">
        <f t="shared" si="1"/>
        <v>0.2990320825</v>
      </c>
    </row>
    <row r="8616" ht="14.25" customHeight="1">
      <c r="A8616" s="2" t="s">
        <v>465</v>
      </c>
      <c r="B8616" s="2" t="s">
        <v>466</v>
      </c>
      <c r="C8616" s="2">
        <v>2012.0</v>
      </c>
      <c r="D8616" s="9">
        <v>36376.434</v>
      </c>
      <c r="E8616" s="10" t="str">
        <f t="array" ref="E8616">IFS(D8616&lt;=$G$3,'calculated data '!$A$3,D8616&lt;=$G$4,'calculated data '!$A$4,D8616&lt;=$G$6,'calculated data '!$A$5,D8616&gt;=$G$6,'calculated data '!$A$6)</f>
        <v>High Demand Tier</v>
      </c>
      <c r="F8616" s="10">
        <f t="shared" si="1"/>
        <v>0.299703673</v>
      </c>
    </row>
    <row r="8617" ht="14.25" customHeight="1">
      <c r="A8617" s="2" t="s">
        <v>413</v>
      </c>
      <c r="B8617" s="2" t="s">
        <v>414</v>
      </c>
      <c r="C8617" s="2">
        <v>1974.0</v>
      </c>
      <c r="D8617" s="9">
        <v>36387.586</v>
      </c>
      <c r="E8617" s="10" t="str">
        <f t="array" ref="E8617">IFS(D8617&lt;=$G$3,'calculated data '!$A$3,D8617&lt;=$G$4,'calculated data '!$A$4,D8617&lt;=$G$6,'calculated data '!$A$5,D8617&gt;=$G$6,'calculated data '!$A$6)</f>
        <v>High Demand Tier</v>
      </c>
      <c r="F8617" s="10">
        <f t="shared" si="1"/>
        <v>0.2999988637</v>
      </c>
    </row>
    <row r="8618" ht="14.25" customHeight="1">
      <c r="A8618" s="2" t="s">
        <v>453</v>
      </c>
      <c r="B8618" s="2" t="s">
        <v>454</v>
      </c>
      <c r="C8618" s="2">
        <v>1998.0</v>
      </c>
      <c r="D8618" s="9">
        <v>36390.39</v>
      </c>
      <c r="E8618" s="10" t="str">
        <f t="array" ref="E8618">IFS(D8618&lt;=$G$3,'calculated data '!$A$3,D8618&lt;=$G$4,'calculated data '!$A$4,D8618&lt;=$G$6,'calculated data '!$A$5,D8618&gt;=$G$6,'calculated data '!$A$6)</f>
        <v>High Demand Tier</v>
      </c>
      <c r="F8618" s="10">
        <f t="shared" si="1"/>
        <v>0.3000730849</v>
      </c>
    </row>
    <row r="8619" ht="14.25" customHeight="1">
      <c r="A8619" s="2" t="s">
        <v>433</v>
      </c>
      <c r="B8619" s="2" t="s">
        <v>434</v>
      </c>
      <c r="C8619" s="2">
        <v>1975.0</v>
      </c>
      <c r="D8619" s="9">
        <v>36396.47</v>
      </c>
      <c r="E8619" s="10" t="str">
        <f t="array" ref="E8619">IFS(D8619&lt;=$G$3,'calculated data '!$A$3,D8619&lt;=$G$4,'calculated data '!$A$4,D8619&lt;=$G$6,'calculated data '!$A$5,D8619&gt;=$G$6,'calculated data '!$A$6)</f>
        <v>High Demand Tier</v>
      </c>
      <c r="F8619" s="10">
        <f t="shared" si="1"/>
        <v>0.300234021</v>
      </c>
    </row>
    <row r="8620" ht="14.25" customHeight="1">
      <c r="A8620" s="2" t="s">
        <v>267</v>
      </c>
      <c r="B8620" s="2" t="s">
        <v>268</v>
      </c>
      <c r="C8620" s="2">
        <v>2006.0</v>
      </c>
      <c r="D8620" s="9">
        <v>36398.527</v>
      </c>
      <c r="E8620" s="10" t="str">
        <f t="array" ref="E8620">IFS(D8620&lt;=$G$3,'calculated data '!$A$3,D8620&lt;=$G$4,'calculated data '!$A$4,D8620&lt;=$G$6,'calculated data '!$A$5,D8620&gt;=$G$6,'calculated data '!$A$6)</f>
        <v>High Demand Tier</v>
      </c>
      <c r="F8620" s="10">
        <f t="shared" si="1"/>
        <v>0.3002884692</v>
      </c>
    </row>
    <row r="8621" ht="14.25" customHeight="1">
      <c r="A8621" s="2" t="s">
        <v>425</v>
      </c>
      <c r="B8621" s="2" t="s">
        <v>426</v>
      </c>
      <c r="C8621" s="2">
        <v>2011.0</v>
      </c>
      <c r="D8621" s="9">
        <v>36405.977</v>
      </c>
      <c r="E8621" s="10" t="str">
        <f t="array" ref="E8621">IFS(D8621&lt;=$G$3,'calculated data '!$A$3,D8621&lt;=$G$4,'calculated data '!$A$4,D8621&lt;=$G$6,'calculated data '!$A$5,D8621&gt;=$G$6,'calculated data '!$A$6)</f>
        <v>High Demand Tier</v>
      </c>
      <c r="F8621" s="10">
        <f t="shared" si="1"/>
        <v>0.3004856689</v>
      </c>
    </row>
    <row r="8622" ht="14.25" customHeight="1">
      <c r="A8622" s="2" t="s">
        <v>415</v>
      </c>
      <c r="B8622" s="2" t="s">
        <v>416</v>
      </c>
      <c r="C8622" s="2">
        <v>2011.0</v>
      </c>
      <c r="D8622" s="9">
        <v>36425.477</v>
      </c>
      <c r="E8622" s="10" t="str">
        <f t="array" ref="E8622">IFS(D8622&lt;=$G$3,'calculated data '!$A$3,D8622&lt;=$G$4,'calculated data '!$A$4,D8622&lt;=$G$6,'calculated data '!$A$5,D8622&gt;=$G$6,'calculated data '!$A$6)</f>
        <v>High Demand Tier</v>
      </c>
      <c r="F8622" s="10">
        <f t="shared" si="1"/>
        <v>0.301001829</v>
      </c>
    </row>
    <row r="8623" ht="14.25" customHeight="1">
      <c r="A8623" s="2" t="s">
        <v>379</v>
      </c>
      <c r="B8623" s="2" t="s">
        <v>380</v>
      </c>
      <c r="C8623" s="2">
        <v>1995.0</v>
      </c>
      <c r="D8623" s="9">
        <v>36446.15</v>
      </c>
      <c r="E8623" s="10" t="str">
        <f t="array" ref="E8623">IFS(D8623&lt;=$G$3,'calculated data '!$A$3,D8623&lt;=$G$4,'calculated data '!$A$4,D8623&lt;=$G$6,'calculated data '!$A$5,D8623&gt;=$G$6,'calculated data '!$A$6)</f>
        <v>High Demand Tier</v>
      </c>
      <c r="F8623" s="10">
        <f t="shared" si="1"/>
        <v>0.3015490382</v>
      </c>
    </row>
    <row r="8624" ht="14.25" customHeight="1">
      <c r="A8624" s="2" t="s">
        <v>417</v>
      </c>
      <c r="B8624" s="2" t="s">
        <v>418</v>
      </c>
      <c r="C8624" s="2">
        <v>1982.0</v>
      </c>
      <c r="D8624" s="9">
        <v>36447.086</v>
      </c>
      <c r="E8624" s="10" t="str">
        <f t="array" ref="E8624">IFS(D8624&lt;=$G$3,'calculated data '!$A$3,D8624&lt;=$G$4,'calculated data '!$A$4,D8624&lt;=$G$6,'calculated data '!$A$5,D8624&gt;=$G$6,'calculated data '!$A$6)</f>
        <v>High Demand Tier</v>
      </c>
      <c r="F8624" s="10">
        <f t="shared" si="1"/>
        <v>0.3015738139</v>
      </c>
    </row>
    <row r="8625" ht="14.25" customHeight="1">
      <c r="A8625" s="2" t="s">
        <v>453</v>
      </c>
      <c r="B8625" s="2" t="s">
        <v>454</v>
      </c>
      <c r="C8625" s="2">
        <v>2022.0</v>
      </c>
      <c r="D8625" s="9">
        <v>36450.684</v>
      </c>
      <c r="E8625" s="10" t="str">
        <f t="array" ref="E8625">IFS(D8625&lt;=$G$3,'calculated data '!$A$3,D8625&lt;=$G$4,'calculated data '!$A$4,D8625&lt;=$G$6,'calculated data '!$A$5,D8625&gt;=$G$6,'calculated data '!$A$6)</f>
        <v>High Demand Tier</v>
      </c>
      <c r="F8625" s="10">
        <f t="shared" si="1"/>
        <v>0.301669052</v>
      </c>
    </row>
    <row r="8626" ht="14.25" customHeight="1">
      <c r="A8626" s="2" t="s">
        <v>349</v>
      </c>
      <c r="B8626" s="2" t="s">
        <v>350</v>
      </c>
      <c r="C8626" s="2">
        <v>1986.0</v>
      </c>
      <c r="D8626" s="9">
        <v>36460.254</v>
      </c>
      <c r="E8626" s="10" t="str">
        <f t="array" ref="E8626">IFS(D8626&lt;=$G$3,'calculated data '!$A$3,D8626&lt;=$G$4,'calculated data '!$A$4,D8626&lt;=$G$6,'calculated data '!$A$5,D8626&gt;=$G$6,'calculated data '!$A$6)</f>
        <v>High Demand Tier</v>
      </c>
      <c r="F8626" s="10">
        <f t="shared" si="1"/>
        <v>0.3019223676</v>
      </c>
    </row>
    <row r="8627" ht="14.25" customHeight="1">
      <c r="A8627" s="2" t="s">
        <v>427</v>
      </c>
      <c r="B8627" s="2" t="s">
        <v>428</v>
      </c>
      <c r="C8627" s="2">
        <v>1991.0</v>
      </c>
      <c r="D8627" s="9">
        <v>36464.625</v>
      </c>
      <c r="E8627" s="10" t="str">
        <f t="array" ref="E8627">IFS(D8627&lt;=$G$3,'calculated data '!$A$3,D8627&lt;=$G$4,'calculated data '!$A$4,D8627&lt;=$G$6,'calculated data '!$A$5,D8627&gt;=$G$6,'calculated data '!$A$6)</f>
        <v>High Demand Tier</v>
      </c>
      <c r="F8627" s="10">
        <f t="shared" si="1"/>
        <v>0.3020380668</v>
      </c>
    </row>
    <row r="8628" ht="14.25" customHeight="1">
      <c r="A8628" s="2" t="s">
        <v>417</v>
      </c>
      <c r="B8628" s="2" t="s">
        <v>418</v>
      </c>
      <c r="C8628" s="2">
        <v>2019.0</v>
      </c>
      <c r="D8628" s="9">
        <v>36475.098</v>
      </c>
      <c r="E8628" s="10" t="str">
        <f t="array" ref="E8628">IFS(D8628&lt;=$G$3,'calculated data '!$A$3,D8628&lt;=$G$4,'calculated data '!$A$4,D8628&lt;=$G$6,'calculated data '!$A$5,D8628&gt;=$G$6,'calculated data '!$A$6)</f>
        <v>High Demand Tier</v>
      </c>
      <c r="F8628" s="10">
        <f t="shared" si="1"/>
        <v>0.3023152845</v>
      </c>
    </row>
    <row r="8629" ht="14.25" customHeight="1">
      <c r="A8629" s="2" t="s">
        <v>411</v>
      </c>
      <c r="B8629" s="2" t="s">
        <v>412</v>
      </c>
      <c r="C8629" s="2">
        <v>1982.0</v>
      </c>
      <c r="D8629" s="9">
        <v>36484.32</v>
      </c>
      <c r="E8629" s="10" t="str">
        <f t="array" ref="E8629">IFS(D8629&lt;=$G$3,'calculated data '!$A$3,D8629&lt;=$G$4,'calculated data '!$A$4,D8629&lt;=$G$6,'calculated data '!$A$5,D8629&gt;=$G$6,'calculated data '!$A$6)</f>
        <v>High Demand Tier</v>
      </c>
      <c r="F8629" s="10">
        <f t="shared" si="1"/>
        <v>0.3025593886</v>
      </c>
    </row>
    <row r="8630" ht="14.25" customHeight="1">
      <c r="A8630" s="2" t="s">
        <v>335</v>
      </c>
      <c r="B8630" s="2" t="s">
        <v>336</v>
      </c>
      <c r="C8630" s="2">
        <v>2008.0</v>
      </c>
      <c r="D8630" s="9">
        <v>36484.36</v>
      </c>
      <c r="E8630" s="10" t="str">
        <f t="array" ref="E8630">IFS(D8630&lt;=$G$3,'calculated data '!$A$3,D8630&lt;=$G$4,'calculated data '!$A$4,D8630&lt;=$G$6,'calculated data '!$A$5,D8630&gt;=$G$6,'calculated data '!$A$6)</f>
        <v>High Demand Tier</v>
      </c>
      <c r="F8630" s="10">
        <f t="shared" si="1"/>
        <v>0.3025604474</v>
      </c>
    </row>
    <row r="8631" ht="14.25" customHeight="1">
      <c r="A8631" s="2" t="s">
        <v>371</v>
      </c>
      <c r="B8631" s="2" t="s">
        <v>372</v>
      </c>
      <c r="C8631" s="2">
        <v>2003.0</v>
      </c>
      <c r="D8631" s="9">
        <v>36496.332</v>
      </c>
      <c r="E8631" s="10" t="str">
        <f t="array" ref="E8631">IFS(D8631&lt;=$G$3,'calculated data '!$A$3,D8631&lt;=$G$4,'calculated data '!$A$4,D8631&lt;=$G$6,'calculated data '!$A$5,D8631&gt;=$G$6,'calculated data '!$A$6)</f>
        <v>High Demand Tier</v>
      </c>
      <c r="F8631" s="10">
        <f t="shared" si="1"/>
        <v>0.3028773432</v>
      </c>
    </row>
    <row r="8632" ht="14.25" customHeight="1">
      <c r="A8632" s="2" t="s">
        <v>417</v>
      </c>
      <c r="B8632" s="2" t="s">
        <v>418</v>
      </c>
      <c r="C8632" s="2">
        <v>1983.0</v>
      </c>
      <c r="D8632" s="9">
        <v>36500.91</v>
      </c>
      <c r="E8632" s="10" t="str">
        <f t="array" ref="E8632">IFS(D8632&lt;=$G$3,'calculated data '!$A$3,D8632&lt;=$G$4,'calculated data '!$A$4,D8632&lt;=$G$6,'calculated data '!$A$5,D8632&gt;=$G$6,'calculated data '!$A$6)</f>
        <v>High Demand Tier</v>
      </c>
      <c r="F8632" s="10">
        <f t="shared" si="1"/>
        <v>0.3029985218</v>
      </c>
    </row>
    <row r="8633" ht="14.25" customHeight="1">
      <c r="A8633" s="2" t="s">
        <v>465</v>
      </c>
      <c r="B8633" s="2" t="s">
        <v>466</v>
      </c>
      <c r="C8633" s="2">
        <v>2013.0</v>
      </c>
      <c r="D8633" s="9">
        <v>36501.895</v>
      </c>
      <c r="E8633" s="10" t="str">
        <f t="array" ref="E8633">IFS(D8633&lt;=$G$3,'calculated data '!$A$3,D8633&lt;=$G$4,'calculated data '!$A$4,D8633&lt;=$G$6,'calculated data '!$A$5,D8633&gt;=$G$6,'calculated data '!$A$6)</f>
        <v>High Demand Tier</v>
      </c>
      <c r="F8633" s="10">
        <f t="shared" si="1"/>
        <v>0.3030245945</v>
      </c>
    </row>
    <row r="8634" ht="14.25" customHeight="1">
      <c r="A8634" s="2" t="s">
        <v>401</v>
      </c>
      <c r="B8634" s="2" t="s">
        <v>402</v>
      </c>
      <c r="C8634" s="2">
        <v>2021.0</v>
      </c>
      <c r="D8634" s="9">
        <v>36506.6</v>
      </c>
      <c r="E8634" s="10" t="str">
        <f t="array" ref="E8634">IFS(D8634&lt;=$G$3,'calculated data '!$A$3,D8634&lt;=$G$4,'calculated data '!$A$4,D8634&lt;=$G$6,'calculated data '!$A$5,D8634&gt;=$G$6,'calculated data '!$A$6)</f>
        <v>High Demand Tier</v>
      </c>
      <c r="F8634" s="10">
        <f t="shared" si="1"/>
        <v>0.3031491346</v>
      </c>
    </row>
    <row r="8635" ht="14.25" customHeight="1">
      <c r="A8635" s="2" t="s">
        <v>369</v>
      </c>
      <c r="B8635" s="2" t="s">
        <v>370</v>
      </c>
      <c r="C8635" s="2">
        <v>1978.0</v>
      </c>
      <c r="D8635" s="9">
        <v>36523.035</v>
      </c>
      <c r="E8635" s="10" t="str">
        <f t="array" ref="E8635">IFS(D8635&lt;=$G$3,'calculated data '!$A$3,D8635&lt;=$G$4,'calculated data '!$A$4,D8635&lt;=$G$6,'calculated data '!$A$5,D8635&gt;=$G$6,'calculated data '!$A$6)</f>
        <v>High Demand Tier</v>
      </c>
      <c r="F8635" s="10">
        <f t="shared" si="1"/>
        <v>0.303584165</v>
      </c>
    </row>
    <row r="8636" ht="14.25" customHeight="1">
      <c r="A8636" s="2" t="s">
        <v>337</v>
      </c>
      <c r="B8636" s="2" t="s">
        <v>338</v>
      </c>
      <c r="C8636" s="2">
        <v>2013.0</v>
      </c>
      <c r="D8636" s="9">
        <v>36527.234</v>
      </c>
      <c r="E8636" s="10" t="str">
        <f t="array" ref="E8636">IFS(D8636&lt;=$G$3,'calculated data '!$A$3,D8636&lt;=$G$4,'calculated data '!$A$4,D8636&lt;=$G$6,'calculated data '!$A$5,D8636&gt;=$G$6,'calculated data '!$A$6)</f>
        <v>High Demand Tier</v>
      </c>
      <c r="F8636" s="10">
        <f t="shared" si="1"/>
        <v>0.3036953115</v>
      </c>
    </row>
    <row r="8637" ht="14.25" customHeight="1">
      <c r="A8637" s="2" t="s">
        <v>335</v>
      </c>
      <c r="B8637" s="2" t="s">
        <v>336</v>
      </c>
      <c r="C8637" s="2">
        <v>2001.0</v>
      </c>
      <c r="D8637" s="9">
        <v>36552.367</v>
      </c>
      <c r="E8637" s="10" t="str">
        <f t="array" ref="E8637">IFS(D8637&lt;=$G$3,'calculated data '!$A$3,D8637&lt;=$G$4,'calculated data '!$A$4,D8637&lt;=$G$6,'calculated data '!$A$5,D8637&gt;=$G$6,'calculated data '!$A$6)</f>
        <v>High Demand Tier</v>
      </c>
      <c r="F8637" s="10">
        <f t="shared" si="1"/>
        <v>0.3043605757</v>
      </c>
    </row>
    <row r="8638" ht="14.25" customHeight="1">
      <c r="A8638" s="2" t="s">
        <v>449</v>
      </c>
      <c r="B8638" s="2" t="s">
        <v>450</v>
      </c>
      <c r="C8638" s="2">
        <v>1987.0</v>
      </c>
      <c r="D8638" s="9">
        <v>36572.535</v>
      </c>
      <c r="E8638" s="10" t="str">
        <f t="array" ref="E8638">IFS(D8638&lt;=$G$3,'calculated data '!$A$3,D8638&lt;=$G$4,'calculated data '!$A$4,D8638&lt;=$G$6,'calculated data '!$A$5,D8638&gt;=$G$6,'calculated data '!$A$6)</f>
        <v>High Demand Tier</v>
      </c>
      <c r="F8638" s="10">
        <f t="shared" si="1"/>
        <v>0.3048944177</v>
      </c>
    </row>
    <row r="8639" ht="14.25" customHeight="1">
      <c r="A8639" s="2" t="s">
        <v>443</v>
      </c>
      <c r="B8639" s="2" t="s">
        <v>444</v>
      </c>
      <c r="C8639" s="2">
        <v>2022.0</v>
      </c>
      <c r="D8639" s="9">
        <v>36578.36</v>
      </c>
      <c r="E8639" s="10" t="str">
        <f t="array" ref="E8639">IFS(D8639&lt;=$G$3,'calculated data '!$A$3,D8639&lt;=$G$4,'calculated data '!$A$4,D8639&lt;=$G$6,'calculated data '!$A$5,D8639&gt;=$G$6,'calculated data '!$A$6)</f>
        <v>High Demand Tier</v>
      </c>
      <c r="F8639" s="10">
        <f t="shared" si="1"/>
        <v>0.305048604</v>
      </c>
    </row>
    <row r="8640" ht="14.25" customHeight="1">
      <c r="A8640" s="2" t="s">
        <v>425</v>
      </c>
      <c r="B8640" s="2" t="s">
        <v>426</v>
      </c>
      <c r="C8640" s="2">
        <v>2013.0</v>
      </c>
      <c r="D8640" s="9">
        <v>36600.387</v>
      </c>
      <c r="E8640" s="10" t="str">
        <f t="array" ref="E8640">IFS(D8640&lt;=$G$3,'calculated data '!$A$3,D8640&lt;=$G$4,'calculated data '!$A$4,D8640&lt;=$G$6,'calculated data '!$A$5,D8640&gt;=$G$6,'calculated data '!$A$6)</f>
        <v>High Demand Tier</v>
      </c>
      <c r="F8640" s="10">
        <f t="shared" si="1"/>
        <v>0.3056316532</v>
      </c>
    </row>
    <row r="8641" ht="14.25" customHeight="1">
      <c r="A8641" s="2" t="s">
        <v>381</v>
      </c>
      <c r="B8641" s="2" t="s">
        <v>382</v>
      </c>
      <c r="C8641" s="2">
        <v>1993.0</v>
      </c>
      <c r="D8641" s="9">
        <v>36614.438</v>
      </c>
      <c r="E8641" s="10" t="str">
        <f t="array" ref="E8641">IFS(D8641&lt;=$G$3,'calculated data '!$A$3,D8641&lt;=$G$4,'calculated data '!$A$4,D8641&lt;=$G$6,'calculated data '!$A$5,D8641&gt;=$G$6,'calculated data '!$A$6)</f>
        <v>High Demand Tier</v>
      </c>
      <c r="F8641" s="10">
        <f t="shared" si="1"/>
        <v>0.3060035796</v>
      </c>
    </row>
    <row r="8642" ht="14.25" customHeight="1">
      <c r="A8642" s="2" t="s">
        <v>417</v>
      </c>
      <c r="B8642" s="2" t="s">
        <v>418</v>
      </c>
      <c r="C8642" s="2">
        <v>2015.0</v>
      </c>
      <c r="D8642" s="9">
        <v>36620.902</v>
      </c>
      <c r="E8642" s="10" t="str">
        <f t="array" ref="E8642">IFS(D8642&lt;=$G$3,'calculated data '!$A$3,D8642&lt;=$G$4,'calculated data '!$A$4,D8642&lt;=$G$6,'calculated data '!$A$5,D8642&gt;=$G$6,'calculated data '!$A$6)</f>
        <v>High Demand Tier</v>
      </c>
      <c r="F8642" s="10">
        <f t="shared" si="1"/>
        <v>0.3061746801</v>
      </c>
    </row>
    <row r="8643" ht="14.25" customHeight="1">
      <c r="A8643" s="2" t="s">
        <v>465</v>
      </c>
      <c r="B8643" s="2" t="s">
        <v>466</v>
      </c>
      <c r="C8643" s="2">
        <v>2020.0</v>
      </c>
      <c r="D8643" s="9">
        <v>36622.69</v>
      </c>
      <c r="E8643" s="10" t="str">
        <f t="array" ref="E8643">IFS(D8643&lt;=$G$3,'calculated data '!$A$3,D8643&lt;=$G$4,'calculated data '!$A$4,D8643&lt;=$G$6,'calculated data '!$A$5,D8643&gt;=$G$6,'calculated data '!$A$6)</f>
        <v>High Demand Tier</v>
      </c>
      <c r="F8643" s="10">
        <f t="shared" si="1"/>
        <v>0.306222008</v>
      </c>
    </row>
    <row r="8644" ht="14.25" customHeight="1">
      <c r="A8644" s="2" t="s">
        <v>379</v>
      </c>
      <c r="B8644" s="2" t="s">
        <v>380</v>
      </c>
      <c r="C8644" s="2">
        <v>2007.0</v>
      </c>
      <c r="D8644" s="9">
        <v>36630.95</v>
      </c>
      <c r="E8644" s="10" t="str">
        <f t="array" ref="E8644">IFS(D8644&lt;=$G$3,'calculated data '!$A$3,D8644&lt;=$G$4,'calculated data '!$A$4,D8644&lt;=$G$6,'calculated data '!$A$5,D8644&gt;=$G$6,'calculated data '!$A$6)</f>
        <v>High Demand Tier</v>
      </c>
      <c r="F8644" s="10">
        <f t="shared" si="1"/>
        <v>0.3064406482</v>
      </c>
    </row>
    <row r="8645" ht="14.25" customHeight="1">
      <c r="A8645" s="2" t="s">
        <v>353</v>
      </c>
      <c r="B8645" s="2" t="s">
        <v>354</v>
      </c>
      <c r="C8645" s="2">
        <v>1981.0</v>
      </c>
      <c r="D8645" s="9">
        <v>36647.08</v>
      </c>
      <c r="E8645" s="10" t="str">
        <f t="array" ref="E8645">IFS(D8645&lt;=$G$3,'calculated data '!$A$3,D8645&lt;=$G$4,'calculated data '!$A$4,D8645&lt;=$G$6,'calculated data '!$A$5,D8645&gt;=$G$6,'calculated data '!$A$6)</f>
        <v>High Demand Tier</v>
      </c>
      <c r="F8645" s="10">
        <f t="shared" si="1"/>
        <v>0.3068676052</v>
      </c>
    </row>
    <row r="8646" ht="14.25" customHeight="1">
      <c r="A8646" s="2" t="s">
        <v>267</v>
      </c>
      <c r="B8646" s="2" t="s">
        <v>268</v>
      </c>
      <c r="C8646" s="2">
        <v>2005.0</v>
      </c>
      <c r="D8646" s="9">
        <v>36653.176</v>
      </c>
      <c r="E8646" s="10" t="str">
        <f t="array" ref="E8646">IFS(D8646&lt;=$G$3,'calculated data '!$A$3,D8646&lt;=$G$4,'calculated data '!$A$4,D8646&lt;=$G$6,'calculated data '!$A$5,D8646&gt;=$G$6,'calculated data '!$A$6)</f>
        <v>High Demand Tier</v>
      </c>
      <c r="F8646" s="10">
        <f t="shared" si="1"/>
        <v>0.3070289649</v>
      </c>
    </row>
    <row r="8647" ht="14.25" customHeight="1">
      <c r="A8647" s="2" t="s">
        <v>309</v>
      </c>
      <c r="B8647" s="2" t="s">
        <v>310</v>
      </c>
      <c r="C8647" s="2">
        <v>2003.0</v>
      </c>
      <c r="D8647" s="9">
        <v>36653.867</v>
      </c>
      <c r="E8647" s="10" t="str">
        <f t="array" ref="E8647">IFS(D8647&lt;=$G$3,'calculated data '!$A$3,D8647&lt;=$G$4,'calculated data '!$A$4,D8647&lt;=$G$6,'calculated data '!$A$5,D8647&gt;=$G$6,'calculated data '!$A$6)</f>
        <v>High Demand Tier</v>
      </c>
      <c r="F8647" s="10">
        <f t="shared" si="1"/>
        <v>0.3070472554</v>
      </c>
    </row>
    <row r="8648" ht="14.25" customHeight="1">
      <c r="A8648" s="2" t="s">
        <v>311</v>
      </c>
      <c r="B8648" s="2" t="s">
        <v>312</v>
      </c>
      <c r="C8648" s="2">
        <v>2024.0</v>
      </c>
      <c r="D8648" s="9">
        <v>36658.184</v>
      </c>
      <c r="E8648" s="10" t="str">
        <f t="array" ref="E8648">IFS(D8648&lt;=$G$3,'calculated data '!$A$3,D8648&lt;=$G$4,'calculated data '!$A$4,D8648&lt;=$G$6,'calculated data '!$A$5,D8648&gt;=$G$6,'calculated data '!$A$6)</f>
        <v>High Demand Tier</v>
      </c>
      <c r="F8648" s="10">
        <f t="shared" si="1"/>
        <v>0.3071615254</v>
      </c>
    </row>
    <row r="8649" ht="14.25" customHeight="1">
      <c r="A8649" s="2" t="s">
        <v>453</v>
      </c>
      <c r="B8649" s="2" t="s">
        <v>454</v>
      </c>
      <c r="C8649" s="2">
        <v>1997.0</v>
      </c>
      <c r="D8649" s="9">
        <v>36671.504</v>
      </c>
      <c r="E8649" s="10" t="str">
        <f t="array" ref="E8649">IFS(D8649&lt;=$G$3,'calculated data '!$A$3,D8649&lt;=$G$4,'calculated data '!$A$4,D8649&lt;=$G$6,'calculated data '!$A$5,D8649&gt;=$G$6,'calculated data '!$A$6)</f>
        <v>High Demand Tier</v>
      </c>
      <c r="F8649" s="10">
        <f t="shared" si="1"/>
        <v>0.3075141024</v>
      </c>
    </row>
    <row r="8650" ht="14.25" customHeight="1">
      <c r="A8650" s="2" t="s">
        <v>449</v>
      </c>
      <c r="B8650" s="2" t="s">
        <v>450</v>
      </c>
      <c r="C8650" s="2">
        <v>1994.0</v>
      </c>
      <c r="D8650" s="9">
        <v>36674.36</v>
      </c>
      <c r="E8650" s="10" t="str">
        <f t="array" ref="E8650">IFS(D8650&lt;=$G$3,'calculated data '!$A$3,D8650&lt;=$G$4,'calculated data '!$A$4,D8650&lt;=$G$6,'calculated data '!$A$5,D8650&gt;=$G$6,'calculated data '!$A$6)</f>
        <v>High Demand Tier</v>
      </c>
      <c r="F8650" s="10">
        <f t="shared" si="1"/>
        <v>0.3075897001</v>
      </c>
    </row>
    <row r="8651" ht="14.25" customHeight="1">
      <c r="A8651" s="2" t="s">
        <v>449</v>
      </c>
      <c r="B8651" s="2" t="s">
        <v>450</v>
      </c>
      <c r="C8651" s="2">
        <v>1993.0</v>
      </c>
      <c r="D8651" s="9">
        <v>36692.65</v>
      </c>
      <c r="E8651" s="10" t="str">
        <f t="array" ref="E8651">IFS(D8651&lt;=$G$3,'calculated data '!$A$3,D8651&lt;=$G$4,'calculated data '!$A$4,D8651&lt;=$G$6,'calculated data '!$A$5,D8651&gt;=$G$6,'calculated data '!$A$6)</f>
        <v>High Demand Tier</v>
      </c>
      <c r="F8651" s="10">
        <f t="shared" si="1"/>
        <v>0.3080738318</v>
      </c>
    </row>
    <row r="8652" ht="14.25" customHeight="1">
      <c r="A8652" s="2" t="s">
        <v>379</v>
      </c>
      <c r="B8652" s="2" t="s">
        <v>380</v>
      </c>
      <c r="C8652" s="2">
        <v>2003.0</v>
      </c>
      <c r="D8652" s="9">
        <v>36715.496</v>
      </c>
      <c r="E8652" s="10" t="str">
        <f t="array" ref="E8652">IFS(D8652&lt;=$G$3,'calculated data '!$A$3,D8652&lt;=$G$4,'calculated data '!$A$4,D8652&lt;=$G$6,'calculated data '!$A$5,D8652&gt;=$G$6,'calculated data '!$A$6)</f>
        <v>High Demand Tier</v>
      </c>
      <c r="F8652" s="10">
        <f t="shared" si="1"/>
        <v>0.3086785597</v>
      </c>
    </row>
    <row r="8653" ht="14.25" customHeight="1">
      <c r="A8653" s="2" t="s">
        <v>411</v>
      </c>
      <c r="B8653" s="2" t="s">
        <v>412</v>
      </c>
      <c r="C8653" s="2">
        <v>1979.0</v>
      </c>
      <c r="D8653" s="9">
        <v>36717.617</v>
      </c>
      <c r="E8653" s="10" t="str">
        <f t="array" ref="E8653">IFS(D8653&lt;=$G$3,'calculated data '!$A$3,D8653&lt;=$G$4,'calculated data '!$A$4,D8653&lt;=$G$6,'calculated data '!$A$5,D8653&gt;=$G$6,'calculated data '!$A$6)</f>
        <v>High Demand Tier</v>
      </c>
      <c r="F8653" s="10">
        <f t="shared" si="1"/>
        <v>0.3087347021</v>
      </c>
    </row>
    <row r="8654" ht="14.25" customHeight="1">
      <c r="A8654" s="2" t="s">
        <v>353</v>
      </c>
      <c r="B8654" s="2" t="s">
        <v>354</v>
      </c>
      <c r="C8654" s="2">
        <v>1990.0</v>
      </c>
      <c r="D8654" s="9">
        <v>36730.004</v>
      </c>
      <c r="E8654" s="10" t="str">
        <f t="array" ref="E8654">IFS(D8654&lt;=$G$3,'calculated data '!$A$3,D8654&lt;=$G$4,'calculated data '!$A$4,D8654&lt;=$G$6,'calculated data '!$A$5,D8654&gt;=$G$6,'calculated data '!$A$6)</f>
        <v>High Demand Tier</v>
      </c>
      <c r="F8654" s="10">
        <f t="shared" si="1"/>
        <v>0.3090625829</v>
      </c>
    </row>
    <row r="8655" ht="14.25" customHeight="1">
      <c r="A8655" s="2" t="s">
        <v>369</v>
      </c>
      <c r="B8655" s="2" t="s">
        <v>370</v>
      </c>
      <c r="C8655" s="2">
        <v>2020.0</v>
      </c>
      <c r="D8655" s="9">
        <v>36730.36</v>
      </c>
      <c r="E8655" s="10" t="str">
        <f t="array" ref="E8655">IFS(D8655&lt;=$G$3,'calculated data '!$A$3,D8655&lt;=$G$4,'calculated data '!$A$4,D8655&lt;=$G$6,'calculated data '!$A$5,D8655&gt;=$G$6,'calculated data '!$A$6)</f>
        <v>High Demand Tier</v>
      </c>
      <c r="F8655" s="10">
        <f t="shared" si="1"/>
        <v>0.3090720061</v>
      </c>
    </row>
    <row r="8656" ht="14.25" customHeight="1">
      <c r="A8656" s="2" t="s">
        <v>371</v>
      </c>
      <c r="B8656" s="2" t="s">
        <v>372</v>
      </c>
      <c r="C8656" s="2">
        <v>2006.0</v>
      </c>
      <c r="D8656" s="9">
        <v>36736.434</v>
      </c>
      <c r="E8656" s="10" t="str">
        <f t="array" ref="E8656">IFS(D8656&lt;=$G$3,'calculated data '!$A$3,D8656&lt;=$G$4,'calculated data '!$A$4,D8656&lt;=$G$6,'calculated data '!$A$5,D8656&gt;=$G$6,'calculated data '!$A$6)</f>
        <v>High Demand Tier</v>
      </c>
      <c r="F8656" s="10">
        <f t="shared" si="1"/>
        <v>0.3092327834</v>
      </c>
    </row>
    <row r="8657" ht="14.25" customHeight="1">
      <c r="A8657" s="2" t="s">
        <v>309</v>
      </c>
      <c r="B8657" s="2" t="s">
        <v>310</v>
      </c>
      <c r="C8657" s="2">
        <v>2024.0</v>
      </c>
      <c r="D8657" s="9">
        <v>36761.39</v>
      </c>
      <c r="E8657" s="10" t="str">
        <f t="array" ref="E8657">IFS(D8657&lt;=$G$3,'calculated data '!$A$3,D8657&lt;=$G$4,'calculated data '!$A$4,D8657&lt;=$G$6,'calculated data '!$A$5,D8657&gt;=$G$6,'calculated data '!$A$6)</f>
        <v>High Demand Tier</v>
      </c>
      <c r="F8657" s="10">
        <f t="shared" si="1"/>
        <v>0.3098933625</v>
      </c>
    </row>
    <row r="8658" ht="14.25" customHeight="1">
      <c r="A8658" s="2" t="s">
        <v>465</v>
      </c>
      <c r="B8658" s="2" t="s">
        <v>466</v>
      </c>
      <c r="C8658" s="2">
        <v>2018.0</v>
      </c>
      <c r="D8658" s="9">
        <v>36766.53</v>
      </c>
      <c r="E8658" s="10" t="str">
        <f t="array" ref="E8658">IFS(D8658&lt;=$G$3,'calculated data '!$A$3,D8658&lt;=$G$4,'calculated data '!$A$4,D8658&lt;=$G$6,'calculated data '!$A$5,D8658&gt;=$G$6,'calculated data '!$A$6)</f>
        <v>High Demand Tier</v>
      </c>
      <c r="F8658" s="10">
        <f t="shared" si="1"/>
        <v>0.310029417</v>
      </c>
    </row>
    <row r="8659" ht="14.25" customHeight="1">
      <c r="A8659" s="2" t="s">
        <v>451</v>
      </c>
      <c r="B8659" s="2" t="s">
        <v>452</v>
      </c>
      <c r="C8659" s="2">
        <v>1969.0</v>
      </c>
      <c r="D8659" s="9">
        <v>36772.08</v>
      </c>
      <c r="E8659" s="10" t="str">
        <f t="array" ref="E8659">IFS(D8659&lt;=$G$3,'calculated data '!$A$3,D8659&lt;=$G$4,'calculated data '!$A$4,D8659&lt;=$G$6,'calculated data '!$A$5,D8659&gt;=$G$6,'calculated data '!$A$6)</f>
        <v>High Demand Tier</v>
      </c>
      <c r="F8659" s="10">
        <f t="shared" si="1"/>
        <v>0.3101763241</v>
      </c>
    </row>
    <row r="8660" ht="14.25" customHeight="1">
      <c r="A8660" s="2" t="s">
        <v>431</v>
      </c>
      <c r="B8660" s="2" t="s">
        <v>432</v>
      </c>
      <c r="C8660" s="2">
        <v>2013.0</v>
      </c>
      <c r="D8660" s="9">
        <v>36775.57</v>
      </c>
      <c r="E8660" s="10" t="str">
        <f t="array" ref="E8660">IFS(D8660&lt;=$G$3,'calculated data '!$A$3,D8660&lt;=$G$4,'calculated data '!$A$4,D8660&lt;=$G$6,'calculated data '!$A$5,D8660&gt;=$G$6,'calculated data '!$A$6)</f>
        <v>High Demand Tier</v>
      </c>
      <c r="F8660" s="10">
        <f t="shared" si="1"/>
        <v>0.3102687035</v>
      </c>
    </row>
    <row r="8661" ht="14.25" customHeight="1">
      <c r="A8661" s="2" t="s">
        <v>379</v>
      </c>
      <c r="B8661" s="2" t="s">
        <v>380</v>
      </c>
      <c r="C8661" s="2">
        <v>1996.0</v>
      </c>
      <c r="D8661" s="9">
        <v>36775.688</v>
      </c>
      <c r="E8661" s="10" t="str">
        <f t="array" ref="E8661">IFS(D8661&lt;=$G$3,'calculated data '!$A$3,D8661&lt;=$G$4,'calculated data '!$A$4,D8661&lt;=$G$6,'calculated data '!$A$5,D8661&gt;=$G$6,'calculated data '!$A$6)</f>
        <v>High Demand Tier</v>
      </c>
      <c r="F8661" s="10">
        <f t="shared" si="1"/>
        <v>0.310271827</v>
      </c>
    </row>
    <row r="8662" ht="14.25" customHeight="1">
      <c r="A8662" s="2" t="s">
        <v>381</v>
      </c>
      <c r="B8662" s="2" t="s">
        <v>382</v>
      </c>
      <c r="C8662" s="2">
        <v>1995.0</v>
      </c>
      <c r="D8662" s="9">
        <v>36776.344</v>
      </c>
      <c r="E8662" s="10" t="str">
        <f t="array" ref="E8662">IFS(D8662&lt;=$G$3,'calculated data '!$A$3,D8662&lt;=$G$4,'calculated data '!$A$4,D8662&lt;=$G$6,'calculated data '!$A$5,D8662&gt;=$G$6,'calculated data '!$A$6)</f>
        <v>High Demand Tier</v>
      </c>
      <c r="F8662" s="10">
        <f t="shared" si="1"/>
        <v>0.3102891911</v>
      </c>
    </row>
    <row r="8663" ht="14.25" customHeight="1">
      <c r="A8663" s="2" t="s">
        <v>369</v>
      </c>
      <c r="B8663" s="2" t="s">
        <v>370</v>
      </c>
      <c r="C8663" s="2">
        <v>1979.0</v>
      </c>
      <c r="D8663" s="9">
        <v>36777.074</v>
      </c>
      <c r="E8663" s="10" t="str">
        <f t="array" ref="E8663">IFS(D8663&lt;=$G$3,'calculated data '!$A$3,D8663&lt;=$G$4,'calculated data '!$A$4,D8663&lt;=$G$6,'calculated data '!$A$5,D8663&gt;=$G$6,'calculated data '!$A$6)</f>
        <v>High Demand Tier</v>
      </c>
      <c r="F8663" s="10">
        <f t="shared" si="1"/>
        <v>0.3103085141</v>
      </c>
    </row>
    <row r="8664" ht="14.25" customHeight="1">
      <c r="A8664" s="2" t="s">
        <v>407</v>
      </c>
      <c r="B8664" s="2" t="s">
        <v>408</v>
      </c>
      <c r="C8664" s="2">
        <v>2020.0</v>
      </c>
      <c r="D8664" s="9">
        <v>36779.426</v>
      </c>
      <c r="E8664" s="10" t="str">
        <f t="array" ref="E8664">IFS(D8664&lt;=$G$3,'calculated data '!$A$3,D8664&lt;=$G$4,'calculated data '!$A$4,D8664&lt;=$G$6,'calculated data '!$A$5,D8664&gt;=$G$6,'calculated data '!$A$6)</f>
        <v>High Demand Tier</v>
      </c>
      <c r="F8664" s="10">
        <f t="shared" si="1"/>
        <v>0.3103707709</v>
      </c>
    </row>
    <row r="8665" ht="14.25" customHeight="1">
      <c r="A8665" s="2" t="s">
        <v>337</v>
      </c>
      <c r="B8665" s="2" t="s">
        <v>338</v>
      </c>
      <c r="C8665" s="2">
        <v>2018.0</v>
      </c>
      <c r="D8665" s="9">
        <v>36782.39</v>
      </c>
      <c r="E8665" s="10" t="str">
        <f t="array" ref="E8665">IFS(D8665&lt;=$G$3,'calculated data '!$A$3,D8665&lt;=$G$4,'calculated data '!$A$4,D8665&lt;=$G$6,'calculated data '!$A$5,D8665&gt;=$G$6,'calculated data '!$A$6)</f>
        <v>High Demand Tier</v>
      </c>
      <c r="F8665" s="10">
        <f t="shared" si="1"/>
        <v>0.3104492272</v>
      </c>
    </row>
    <row r="8666" ht="14.25" customHeight="1">
      <c r="A8666" s="2" t="s">
        <v>453</v>
      </c>
      <c r="B8666" s="2" t="s">
        <v>454</v>
      </c>
      <c r="C8666" s="2">
        <v>2023.0</v>
      </c>
      <c r="D8666" s="9">
        <v>36785.688</v>
      </c>
      <c r="E8666" s="10" t="str">
        <f t="array" ref="E8666">IFS(D8666&lt;=$G$3,'calculated data '!$A$3,D8666&lt;=$G$4,'calculated data '!$A$4,D8666&lt;=$G$6,'calculated data '!$A$5,D8666&gt;=$G$6,'calculated data '!$A$6)</f>
        <v>High Demand Tier</v>
      </c>
      <c r="F8666" s="10">
        <f t="shared" si="1"/>
        <v>0.3105365245</v>
      </c>
    </row>
    <row r="8667" ht="14.25" customHeight="1">
      <c r="A8667" s="2" t="s">
        <v>379</v>
      </c>
      <c r="B8667" s="2" t="s">
        <v>380</v>
      </c>
      <c r="C8667" s="2">
        <v>2004.0</v>
      </c>
      <c r="D8667" s="9">
        <v>36797.184</v>
      </c>
      <c r="E8667" s="10" t="str">
        <f t="array" ref="E8667">IFS(D8667&lt;=$G$3,'calculated data '!$A$3,D8667&lt;=$G$4,'calculated data '!$A$4,D8667&lt;=$G$6,'calculated data '!$A$5,D8667&gt;=$G$6,'calculated data '!$A$6)</f>
        <v>High Demand Tier</v>
      </c>
      <c r="F8667" s="10">
        <f t="shared" si="1"/>
        <v>0.3108408207</v>
      </c>
    </row>
    <row r="8668" ht="14.25" customHeight="1">
      <c r="A8668" s="2" t="s">
        <v>413</v>
      </c>
      <c r="B8668" s="2" t="s">
        <v>414</v>
      </c>
      <c r="C8668" s="2">
        <v>1998.0</v>
      </c>
      <c r="D8668" s="9">
        <v>36807.867</v>
      </c>
      <c r="E8668" s="10" t="str">
        <f t="array" ref="E8668">IFS(D8668&lt;=$G$3,'calculated data '!$A$3,D8668&lt;=$G$4,'calculated data '!$A$4,D8668&lt;=$G$6,'calculated data '!$A$5,D8668&gt;=$G$6,'calculated data '!$A$6)</f>
        <v>High Demand Tier</v>
      </c>
      <c r="F8668" s="10">
        <f t="shared" si="1"/>
        <v>0.3111235971</v>
      </c>
    </row>
    <row r="8669" ht="14.25" customHeight="1">
      <c r="A8669" s="2" t="s">
        <v>309</v>
      </c>
      <c r="B8669" s="2" t="s">
        <v>310</v>
      </c>
      <c r="C8669" s="2">
        <v>2001.0</v>
      </c>
      <c r="D8669" s="9">
        <v>36818.906</v>
      </c>
      <c r="E8669" s="10" t="str">
        <f t="array" ref="E8669">IFS(D8669&lt;=$G$3,'calculated data '!$A$3,D8669&lt;=$G$4,'calculated data '!$A$4,D8669&lt;=$G$6,'calculated data '!$A$5,D8669&gt;=$G$6,'calculated data '!$A$6)</f>
        <v>High Demand Tier</v>
      </c>
      <c r="F8669" s="10">
        <f t="shared" si="1"/>
        <v>0.3114157967</v>
      </c>
    </row>
    <row r="8670" ht="14.25" customHeight="1">
      <c r="A8670" s="2" t="s">
        <v>425</v>
      </c>
      <c r="B8670" s="2" t="s">
        <v>426</v>
      </c>
      <c r="C8670" s="2">
        <v>2012.0</v>
      </c>
      <c r="D8670" s="9">
        <v>36828.24</v>
      </c>
      <c r="E8670" s="10" t="str">
        <f t="array" ref="E8670">IFS(D8670&lt;=$G$3,'calculated data '!$A$3,D8670&lt;=$G$4,'calculated data '!$A$4,D8670&lt;=$G$6,'calculated data '!$A$5,D8670&gt;=$G$6,'calculated data '!$A$6)</f>
        <v>High Demand Tier</v>
      </c>
      <c r="F8670" s="10">
        <f t="shared" si="1"/>
        <v>0.3116628653</v>
      </c>
    </row>
    <row r="8671" ht="14.25" customHeight="1">
      <c r="A8671" s="2" t="s">
        <v>447</v>
      </c>
      <c r="B8671" s="2" t="s">
        <v>448</v>
      </c>
      <c r="C8671" s="2">
        <v>1996.0</v>
      </c>
      <c r="D8671" s="9">
        <v>36833.734</v>
      </c>
      <c r="E8671" s="10" t="str">
        <f t="array" ref="E8671">IFS(D8671&lt;=$G$3,'calculated data '!$A$3,D8671&lt;=$G$4,'calculated data '!$A$4,D8671&lt;=$G$6,'calculated data '!$A$5,D8671&gt;=$G$6,'calculated data '!$A$6)</f>
        <v>High Demand Tier</v>
      </c>
      <c r="F8671" s="10">
        <f t="shared" si="1"/>
        <v>0.3118082901</v>
      </c>
    </row>
    <row r="8672" ht="14.25" customHeight="1">
      <c r="A8672" s="2" t="s">
        <v>381</v>
      </c>
      <c r="B8672" s="2" t="s">
        <v>382</v>
      </c>
      <c r="C8672" s="2">
        <v>1994.0</v>
      </c>
      <c r="D8672" s="9">
        <v>36836.355</v>
      </c>
      <c r="E8672" s="10" t="str">
        <f t="array" ref="E8672">IFS(D8672&lt;=$G$3,'calculated data '!$A$3,D8672&lt;=$G$4,'calculated data '!$A$4,D8672&lt;=$G$6,'calculated data '!$A$5,D8672&gt;=$G$6,'calculated data '!$A$6)</f>
        <v>High Demand Tier</v>
      </c>
      <c r="F8672" s="10">
        <f t="shared" si="1"/>
        <v>0.3118776674</v>
      </c>
    </row>
    <row r="8673" ht="14.25" customHeight="1">
      <c r="A8673" s="2" t="s">
        <v>445</v>
      </c>
      <c r="B8673" s="2" t="s">
        <v>446</v>
      </c>
      <c r="C8673" s="2">
        <v>1971.0</v>
      </c>
      <c r="D8673" s="9">
        <v>36860.49</v>
      </c>
      <c r="E8673" s="10" t="str">
        <f t="array" ref="E8673">IFS(D8673&lt;=$G$3,'calculated data '!$A$3,D8673&lt;=$G$4,'calculated data '!$A$4,D8673&lt;=$G$6,'calculated data '!$A$5,D8673&gt;=$G$6,'calculated data '!$A$6)</f>
        <v>High Demand Tier</v>
      </c>
      <c r="F8673" s="10">
        <f t="shared" si="1"/>
        <v>0.3125165148</v>
      </c>
    </row>
    <row r="8674" ht="14.25" customHeight="1">
      <c r="A8674" s="2" t="s">
        <v>377</v>
      </c>
      <c r="B8674" s="2" t="s">
        <v>378</v>
      </c>
      <c r="C8674" s="2">
        <v>2001.0</v>
      </c>
      <c r="D8674" s="9">
        <v>36863.54</v>
      </c>
      <c r="E8674" s="10" t="str">
        <f t="array" ref="E8674">IFS(D8674&lt;=$G$3,'calculated data '!$A$3,D8674&lt;=$G$4,'calculated data '!$A$4,D8674&lt;=$G$6,'calculated data '!$A$5,D8674&gt;=$G$6,'calculated data '!$A$6)</f>
        <v>High Demand Tier</v>
      </c>
      <c r="F8674" s="10">
        <f t="shared" si="1"/>
        <v>0.3125972475</v>
      </c>
    </row>
    <row r="8675" ht="14.25" customHeight="1">
      <c r="A8675" s="2" t="s">
        <v>417</v>
      </c>
      <c r="B8675" s="2" t="s">
        <v>418</v>
      </c>
      <c r="C8675" s="2">
        <v>1976.0</v>
      </c>
      <c r="D8675" s="9">
        <v>36868.05</v>
      </c>
      <c r="E8675" s="10" t="str">
        <f t="array" ref="E8675">IFS(D8675&lt;=$G$3,'calculated data '!$A$3,D8675&lt;=$G$4,'calculated data '!$A$4,D8675&lt;=$G$6,'calculated data '!$A$5,D8675&gt;=$G$6,'calculated data '!$A$6)</f>
        <v>High Demand Tier</v>
      </c>
      <c r="F8675" s="10">
        <f t="shared" si="1"/>
        <v>0.3127166261</v>
      </c>
    </row>
    <row r="8676" ht="14.25" customHeight="1">
      <c r="A8676" s="2" t="s">
        <v>447</v>
      </c>
      <c r="B8676" s="2" t="s">
        <v>448</v>
      </c>
      <c r="C8676" s="2">
        <v>1999.0</v>
      </c>
      <c r="D8676" s="9">
        <v>36876.645</v>
      </c>
      <c r="E8676" s="10" t="str">
        <f t="array" ref="E8676">IFS(D8676&lt;=$G$3,'calculated data '!$A$3,D8676&lt;=$G$4,'calculated data '!$A$4,D8676&lt;=$G$6,'calculated data '!$A$5,D8676&gt;=$G$6,'calculated data '!$A$6)</f>
        <v>High Demand Tier</v>
      </c>
      <c r="F8676" s="10">
        <f t="shared" si="1"/>
        <v>0.3129441336</v>
      </c>
    </row>
    <row r="8677" ht="14.25" customHeight="1">
      <c r="A8677" s="2" t="s">
        <v>417</v>
      </c>
      <c r="B8677" s="2" t="s">
        <v>418</v>
      </c>
      <c r="C8677" s="2">
        <v>2016.0</v>
      </c>
      <c r="D8677" s="9">
        <v>36886.258</v>
      </c>
      <c r="E8677" s="10" t="str">
        <f t="array" ref="E8677">IFS(D8677&lt;=$G$3,'calculated data '!$A$3,D8677&lt;=$G$4,'calculated data '!$A$4,D8677&lt;=$G$6,'calculated data '!$A$5,D8677&gt;=$G$6,'calculated data '!$A$6)</f>
        <v>High Demand Tier</v>
      </c>
      <c r="F8677" s="10">
        <f t="shared" si="1"/>
        <v>0.3131985873</v>
      </c>
    </row>
    <row r="8678" ht="14.25" customHeight="1">
      <c r="A8678" s="2" t="s">
        <v>453</v>
      </c>
      <c r="B8678" s="2" t="s">
        <v>454</v>
      </c>
      <c r="C8678" s="2">
        <v>1993.0</v>
      </c>
      <c r="D8678" s="9">
        <v>36886.55</v>
      </c>
      <c r="E8678" s="10" t="str">
        <f t="array" ref="E8678">IFS(D8678&lt;=$G$3,'calculated data '!$A$3,D8678&lt;=$G$4,'calculated data '!$A$4,D8678&lt;=$G$6,'calculated data '!$A$5,D8678&gt;=$G$6,'calculated data '!$A$6)</f>
        <v>High Demand Tier</v>
      </c>
      <c r="F8678" s="10">
        <f t="shared" si="1"/>
        <v>0.3132063165</v>
      </c>
    </row>
    <row r="8679" ht="14.25" customHeight="1">
      <c r="A8679" s="2" t="s">
        <v>369</v>
      </c>
      <c r="B8679" s="2" t="s">
        <v>370</v>
      </c>
      <c r="C8679" s="2">
        <v>1973.0</v>
      </c>
      <c r="D8679" s="9">
        <v>36905.957</v>
      </c>
      <c r="E8679" s="10" t="str">
        <f t="array" ref="E8679">IFS(D8679&lt;=$G$3,'calculated data '!$A$3,D8679&lt;=$G$4,'calculated data '!$A$4,D8679&lt;=$G$6,'calculated data '!$A$5,D8679&gt;=$G$6,'calculated data '!$A$6)</f>
        <v>High Demand Tier</v>
      </c>
      <c r="F8679" s="10">
        <f t="shared" si="1"/>
        <v>0.313720015</v>
      </c>
    </row>
    <row r="8680" ht="14.25" customHeight="1">
      <c r="A8680" s="2" t="s">
        <v>435</v>
      </c>
      <c r="B8680" s="2" t="s">
        <v>436</v>
      </c>
      <c r="C8680" s="2">
        <v>1986.0</v>
      </c>
      <c r="D8680" s="9">
        <v>36911.367</v>
      </c>
      <c r="E8680" s="10" t="str">
        <f t="array" ref="E8680">IFS(D8680&lt;=$G$3,'calculated data '!$A$3,D8680&lt;=$G$4,'calculated data '!$A$4,D8680&lt;=$G$6,'calculated data '!$A$5,D8680&gt;=$G$6,'calculated data '!$A$6)</f>
        <v>High Demand Tier</v>
      </c>
      <c r="F8680" s="10">
        <f t="shared" si="1"/>
        <v>0.3138632163</v>
      </c>
    </row>
    <row r="8681" ht="14.25" customHeight="1">
      <c r="A8681" s="2" t="s">
        <v>267</v>
      </c>
      <c r="B8681" s="2" t="s">
        <v>268</v>
      </c>
      <c r="C8681" s="2">
        <v>2004.0</v>
      </c>
      <c r="D8681" s="9">
        <v>36919.54</v>
      </c>
      <c r="E8681" s="10" t="str">
        <f t="array" ref="E8681">IFS(D8681&lt;=$G$3,'calculated data '!$A$3,D8681&lt;=$G$4,'calculated data '!$A$4,D8681&lt;=$G$6,'calculated data '!$A$5,D8681&gt;=$G$6,'calculated data '!$A$6)</f>
        <v>High Demand Tier</v>
      </c>
      <c r="F8681" s="10">
        <f t="shared" si="1"/>
        <v>0.3140795536</v>
      </c>
    </row>
    <row r="8682" ht="14.25" customHeight="1">
      <c r="A8682" s="2" t="s">
        <v>417</v>
      </c>
      <c r="B8682" s="2" t="s">
        <v>418</v>
      </c>
      <c r="C8682" s="2">
        <v>1977.0</v>
      </c>
      <c r="D8682" s="9">
        <v>36926.4</v>
      </c>
      <c r="E8682" s="10" t="str">
        <f t="array" ref="E8682">IFS(D8682&lt;=$G$3,'calculated data '!$A$3,D8682&lt;=$G$4,'calculated data '!$A$4,D8682&lt;=$G$6,'calculated data '!$A$5,D8682&gt;=$G$6,'calculated data '!$A$6)</f>
        <v>High Demand Tier</v>
      </c>
      <c r="F8682" s="10">
        <f t="shared" si="1"/>
        <v>0.3142611361</v>
      </c>
    </row>
    <row r="8683" ht="14.25" customHeight="1">
      <c r="A8683" s="2" t="s">
        <v>371</v>
      </c>
      <c r="B8683" s="2" t="s">
        <v>372</v>
      </c>
      <c r="C8683" s="2">
        <v>2005.0</v>
      </c>
      <c r="D8683" s="9">
        <v>36935.016</v>
      </c>
      <c r="E8683" s="10" t="str">
        <f t="array" ref="E8683">IFS(D8683&lt;=$G$3,'calculated data '!$A$3,D8683&lt;=$G$4,'calculated data '!$A$4,D8683&lt;=$G$6,'calculated data '!$A$5,D8683&gt;=$G$6,'calculated data '!$A$6)</f>
        <v>High Demand Tier</v>
      </c>
      <c r="F8683" s="10">
        <f t="shared" si="1"/>
        <v>0.3144891995</v>
      </c>
    </row>
    <row r="8684" ht="14.25" customHeight="1">
      <c r="A8684" s="2" t="s">
        <v>433</v>
      </c>
      <c r="B8684" s="2" t="s">
        <v>434</v>
      </c>
      <c r="C8684" s="2">
        <v>2020.0</v>
      </c>
      <c r="D8684" s="9">
        <v>36957.543</v>
      </c>
      <c r="E8684" s="10" t="str">
        <f t="array" ref="E8684">IFS(D8684&lt;=$G$3,'calculated data '!$A$3,D8684&lt;=$G$4,'calculated data '!$A$4,D8684&lt;=$G$6,'calculated data '!$A$5,D8684&gt;=$G$6,'calculated data '!$A$6)</f>
        <v>High Demand Tier</v>
      </c>
      <c r="F8684" s="10">
        <f t="shared" si="1"/>
        <v>0.3150854835</v>
      </c>
    </row>
    <row r="8685" ht="14.25" customHeight="1">
      <c r="A8685" s="2" t="s">
        <v>403</v>
      </c>
      <c r="B8685" s="2" t="s">
        <v>404</v>
      </c>
      <c r="C8685" s="2">
        <v>2000.0</v>
      </c>
      <c r="D8685" s="9">
        <v>36974.605</v>
      </c>
      <c r="E8685" s="10" t="str">
        <f t="array" ref="E8685">IFS(D8685&lt;=$G$3,'calculated data '!$A$3,D8685&lt;=$G$4,'calculated data '!$A$4,D8685&lt;=$G$6,'calculated data '!$A$5,D8685&gt;=$G$6,'calculated data '!$A$6)</f>
        <v>High Demand Tier</v>
      </c>
      <c r="F8685" s="10">
        <f t="shared" si="1"/>
        <v>0.3155371104</v>
      </c>
    </row>
    <row r="8686" ht="14.25" customHeight="1">
      <c r="A8686" s="2" t="s">
        <v>413</v>
      </c>
      <c r="B8686" s="2" t="s">
        <v>414</v>
      </c>
      <c r="C8686" s="2">
        <v>1994.0</v>
      </c>
      <c r="D8686" s="9">
        <v>36976.312</v>
      </c>
      <c r="E8686" s="10" t="str">
        <f t="array" ref="E8686">IFS(D8686&lt;=$G$3,'calculated data '!$A$3,D8686&lt;=$G$4,'calculated data '!$A$4,D8686&lt;=$G$6,'calculated data '!$A$5,D8686&gt;=$G$6,'calculated data '!$A$6)</f>
        <v>High Demand Tier</v>
      </c>
      <c r="F8686" s="10">
        <f t="shared" si="1"/>
        <v>0.3155822943</v>
      </c>
    </row>
    <row r="8687" ht="14.25" customHeight="1">
      <c r="A8687" s="2" t="s">
        <v>401</v>
      </c>
      <c r="B8687" s="2" t="s">
        <v>402</v>
      </c>
      <c r="C8687" s="2">
        <v>2014.0</v>
      </c>
      <c r="D8687" s="9">
        <v>36986.47</v>
      </c>
      <c r="E8687" s="10" t="str">
        <f t="array" ref="E8687">IFS(D8687&lt;=$G$3,'calculated data '!$A$3,D8687&lt;=$G$4,'calculated data '!$A$4,D8687&lt;=$G$6,'calculated data '!$A$5,D8687&gt;=$G$6,'calculated data '!$A$6)</f>
        <v>High Demand Tier</v>
      </c>
      <c r="F8687" s="10">
        <f t="shared" si="1"/>
        <v>0.315851174</v>
      </c>
    </row>
    <row r="8688" ht="14.25" customHeight="1">
      <c r="A8688" s="2" t="s">
        <v>453</v>
      </c>
      <c r="B8688" s="2" t="s">
        <v>454</v>
      </c>
      <c r="C8688" s="2">
        <v>1996.0</v>
      </c>
      <c r="D8688" s="9">
        <v>36989.902</v>
      </c>
      <c r="E8688" s="10" t="str">
        <f t="array" ref="E8688">IFS(D8688&lt;=$G$3,'calculated data '!$A$3,D8688&lt;=$G$4,'calculated data '!$A$4,D8688&lt;=$G$6,'calculated data '!$A$5,D8688&gt;=$G$6,'calculated data '!$A$6)</f>
        <v>High Demand Tier</v>
      </c>
      <c r="F8688" s="10">
        <f t="shared" si="1"/>
        <v>0.3159420182</v>
      </c>
    </row>
    <row r="8689" ht="14.25" customHeight="1">
      <c r="A8689" s="2" t="s">
        <v>371</v>
      </c>
      <c r="B8689" s="2" t="s">
        <v>372</v>
      </c>
      <c r="C8689" s="2">
        <v>2004.0</v>
      </c>
      <c r="D8689" s="9">
        <v>37000.043</v>
      </c>
      <c r="E8689" s="10" t="str">
        <f t="array" ref="E8689">IFS(D8689&lt;=$G$3,'calculated data '!$A$3,D8689&lt;=$G$4,'calculated data '!$A$4,D8689&lt;=$G$6,'calculated data '!$A$5,D8689&gt;=$G$6,'calculated data '!$A$6)</f>
        <v>High Demand Tier</v>
      </c>
      <c r="F8689" s="10">
        <f t="shared" si="1"/>
        <v>0.3162104479</v>
      </c>
    </row>
    <row r="8690" ht="14.25" customHeight="1">
      <c r="A8690" s="2" t="s">
        <v>411</v>
      </c>
      <c r="B8690" s="2" t="s">
        <v>412</v>
      </c>
      <c r="C8690" s="2">
        <v>2012.0</v>
      </c>
      <c r="D8690" s="9">
        <v>37020.727</v>
      </c>
      <c r="E8690" s="10" t="str">
        <f t="array" ref="E8690">IFS(D8690&lt;=$G$3,'calculated data '!$A$3,D8690&lt;=$G$4,'calculated data '!$A$4,D8690&lt;=$G$6,'calculated data '!$A$5,D8690&gt;=$G$6,'calculated data '!$A$6)</f>
        <v>High Demand Tier</v>
      </c>
      <c r="F8690" s="10">
        <f t="shared" si="1"/>
        <v>0.3167579483</v>
      </c>
    </row>
    <row r="8691" ht="14.25" customHeight="1">
      <c r="A8691" s="2" t="s">
        <v>427</v>
      </c>
      <c r="B8691" s="2" t="s">
        <v>428</v>
      </c>
      <c r="C8691" s="2">
        <v>1992.0</v>
      </c>
      <c r="D8691" s="9">
        <v>37029.883</v>
      </c>
      <c r="E8691" s="10" t="str">
        <f t="array" ref="E8691">IFS(D8691&lt;=$G$3,'calculated data '!$A$3,D8691&lt;=$G$4,'calculated data '!$A$4,D8691&lt;=$G$6,'calculated data '!$A$5,D8691&gt;=$G$6,'calculated data '!$A$6)</f>
        <v>High Demand Tier</v>
      </c>
      <c r="F8691" s="10">
        <f t="shared" si="1"/>
        <v>0.3170003053</v>
      </c>
    </row>
    <row r="8692" ht="14.25" customHeight="1">
      <c r="A8692" s="2" t="s">
        <v>379</v>
      </c>
      <c r="B8692" s="2" t="s">
        <v>380</v>
      </c>
      <c r="C8692" s="2">
        <v>2008.0</v>
      </c>
      <c r="D8692" s="9">
        <v>37045.754</v>
      </c>
      <c r="E8692" s="10" t="str">
        <f t="array" ref="E8692">IFS(D8692&lt;=$G$3,'calculated data '!$A$3,D8692&lt;=$G$4,'calculated data '!$A$4,D8692&lt;=$G$6,'calculated data '!$A$5,D8692&gt;=$G$6,'calculated data '!$A$6)</f>
        <v>High Demand Tier</v>
      </c>
      <c r="F8692" s="10">
        <f t="shared" si="1"/>
        <v>0.3174204067</v>
      </c>
    </row>
    <row r="8693" ht="14.25" customHeight="1">
      <c r="A8693" s="2" t="s">
        <v>435</v>
      </c>
      <c r="B8693" s="2" t="s">
        <v>436</v>
      </c>
      <c r="C8693" s="2">
        <v>1988.0</v>
      </c>
      <c r="D8693" s="9">
        <v>37054.49</v>
      </c>
      <c r="E8693" s="10" t="str">
        <f t="array" ref="E8693">IFS(D8693&lt;=$G$3,'calculated data '!$A$3,D8693&lt;=$G$4,'calculated data '!$A$4,D8693&lt;=$G$6,'calculated data '!$A$5,D8693&gt;=$G$6,'calculated data '!$A$6)</f>
        <v>High Demand Tier</v>
      </c>
      <c r="F8693" s="10">
        <f t="shared" si="1"/>
        <v>0.3176516465</v>
      </c>
    </row>
    <row r="8694" ht="14.25" customHeight="1">
      <c r="A8694" s="2" t="s">
        <v>437</v>
      </c>
      <c r="B8694" s="2" t="s">
        <v>438</v>
      </c>
      <c r="C8694" s="2">
        <v>1975.0</v>
      </c>
      <c r="D8694" s="9">
        <v>37055.06</v>
      </c>
      <c r="E8694" s="10" t="str">
        <f t="array" ref="E8694">IFS(D8694&lt;=$G$3,'calculated data '!$A$3,D8694&lt;=$G$4,'calculated data '!$A$4,D8694&lt;=$G$6,'calculated data '!$A$5,D8694&gt;=$G$6,'calculated data '!$A$6)</f>
        <v>High Demand Tier</v>
      </c>
      <c r="F8694" s="10">
        <f t="shared" si="1"/>
        <v>0.3176667342</v>
      </c>
    </row>
    <row r="8695" ht="14.25" customHeight="1">
      <c r="A8695" s="2" t="s">
        <v>379</v>
      </c>
      <c r="B8695" s="2" t="s">
        <v>380</v>
      </c>
      <c r="C8695" s="2">
        <v>2012.0</v>
      </c>
      <c r="D8695" s="9">
        <v>37067.938</v>
      </c>
      <c r="E8695" s="10" t="str">
        <f t="array" ref="E8695">IFS(D8695&lt;=$G$3,'calculated data '!$A$3,D8695&lt;=$G$4,'calculated data '!$A$4,D8695&lt;=$G$6,'calculated data '!$A$5,D8695&gt;=$G$6,'calculated data '!$A$6)</f>
        <v>High Demand Tier</v>
      </c>
      <c r="F8695" s="10">
        <f t="shared" si="1"/>
        <v>0.3180076117</v>
      </c>
    </row>
    <row r="8696" ht="14.25" customHeight="1">
      <c r="A8696" s="2" t="s">
        <v>401</v>
      </c>
      <c r="B8696" s="2" t="s">
        <v>402</v>
      </c>
      <c r="C8696" s="2">
        <v>1995.0</v>
      </c>
      <c r="D8696" s="9">
        <v>37082.36</v>
      </c>
      <c r="E8696" s="10" t="str">
        <f t="array" ref="E8696">IFS(D8696&lt;=$G$3,'calculated data '!$A$3,D8696&lt;=$G$4,'calculated data '!$A$4,D8696&lt;=$G$6,'calculated data '!$A$5,D8696&gt;=$G$6,'calculated data '!$A$6)</f>
        <v>High Demand Tier</v>
      </c>
      <c r="F8696" s="10">
        <f t="shared" si="1"/>
        <v>0.3183893584</v>
      </c>
    </row>
    <row r="8697" ht="14.25" customHeight="1">
      <c r="A8697" s="2" t="s">
        <v>401</v>
      </c>
      <c r="B8697" s="2" t="s">
        <v>402</v>
      </c>
      <c r="C8697" s="2">
        <v>1991.0</v>
      </c>
      <c r="D8697" s="9">
        <v>37084.19</v>
      </c>
      <c r="E8697" s="10" t="str">
        <f t="array" ref="E8697">IFS(D8697&lt;=$G$3,'calculated data '!$A$3,D8697&lt;=$G$4,'calculated data '!$A$4,D8697&lt;=$G$6,'calculated data '!$A$5,D8697&gt;=$G$6,'calculated data '!$A$6)</f>
        <v>High Demand Tier</v>
      </c>
      <c r="F8697" s="10">
        <f t="shared" si="1"/>
        <v>0.3184377981</v>
      </c>
    </row>
    <row r="8698" ht="14.25" customHeight="1">
      <c r="A8698" s="2" t="s">
        <v>309</v>
      </c>
      <c r="B8698" s="2" t="s">
        <v>310</v>
      </c>
      <c r="C8698" s="2">
        <v>2025.0</v>
      </c>
      <c r="D8698" s="9">
        <v>37096.89</v>
      </c>
      <c r="E8698" s="10" t="str">
        <f t="array" ref="E8698">IFS(D8698&lt;=$G$3,'calculated data '!$A$3,D8698&lt;=$G$4,'calculated data '!$A$4,D8698&lt;=$G$6,'calculated data '!$A$5,D8698&gt;=$G$6,'calculated data '!$A$6)</f>
        <v>High Demand Tier</v>
      </c>
      <c r="F8698" s="10">
        <f t="shared" si="1"/>
        <v>0.3187739639</v>
      </c>
    </row>
    <row r="8699" ht="14.25" customHeight="1">
      <c r="A8699" s="2" t="s">
        <v>337</v>
      </c>
      <c r="B8699" s="2" t="s">
        <v>338</v>
      </c>
      <c r="C8699" s="2">
        <v>2011.0</v>
      </c>
      <c r="D8699" s="9">
        <v>37104.098</v>
      </c>
      <c r="E8699" s="10" t="str">
        <f t="array" ref="E8699">IFS(D8699&lt;=$G$3,'calculated data '!$A$3,D8699&lt;=$G$4,'calculated data '!$A$4,D8699&lt;=$G$6,'calculated data '!$A$5,D8699&gt;=$G$6,'calculated data '!$A$6)</f>
        <v>High Demand Tier</v>
      </c>
      <c r="F8699" s="10">
        <f t="shared" si="1"/>
        <v>0.3189647579</v>
      </c>
    </row>
    <row r="8700" ht="14.25" customHeight="1">
      <c r="A8700" s="2" t="s">
        <v>267</v>
      </c>
      <c r="B8700" s="2" t="s">
        <v>268</v>
      </c>
      <c r="C8700" s="2">
        <v>2003.0</v>
      </c>
      <c r="D8700" s="9">
        <v>37132.14</v>
      </c>
      <c r="E8700" s="10" t="str">
        <f t="array" ref="E8700">IFS(D8700&lt;=$G$3,'calculated data '!$A$3,D8700&lt;=$G$4,'calculated data '!$A$4,D8700&lt;=$G$6,'calculated data '!$A$5,D8700&gt;=$G$6,'calculated data '!$A$6)</f>
        <v>High Demand Tier</v>
      </c>
      <c r="F8700" s="10">
        <f t="shared" si="1"/>
        <v>0.3197070226</v>
      </c>
    </row>
    <row r="8701" ht="14.25" customHeight="1">
      <c r="A8701" s="2" t="s">
        <v>415</v>
      </c>
      <c r="B8701" s="2" t="s">
        <v>416</v>
      </c>
      <c r="C8701" s="2">
        <v>1983.0</v>
      </c>
      <c r="D8701" s="9">
        <v>37147.492</v>
      </c>
      <c r="E8701" s="10" t="str">
        <f t="array" ref="E8701">IFS(D8701&lt;=$G$3,'calculated data '!$A$3,D8701&lt;=$G$4,'calculated data '!$A$4,D8701&lt;=$G$6,'calculated data '!$A$5,D8701&gt;=$G$6,'calculated data '!$A$6)</f>
        <v>High Demand Tier</v>
      </c>
      <c r="F8701" s="10">
        <f t="shared" si="1"/>
        <v>0.3201133863</v>
      </c>
    </row>
    <row r="8702" ht="14.25" customHeight="1">
      <c r="A8702" s="2" t="s">
        <v>461</v>
      </c>
      <c r="B8702" s="2" t="s">
        <v>462</v>
      </c>
      <c r="C8702" s="2">
        <v>1967.0</v>
      </c>
      <c r="D8702" s="9">
        <v>37183.23</v>
      </c>
      <c r="E8702" s="10" t="str">
        <f t="array" ref="E8702">IFS(D8702&lt;=$G$3,'calculated data '!$A$3,D8702&lt;=$G$4,'calculated data '!$A$4,D8702&lt;=$G$6,'calculated data '!$A$5,D8702&gt;=$G$6,'calculated data '!$A$6)</f>
        <v>High Demand Tier</v>
      </c>
      <c r="F8702" s="10">
        <f t="shared" si="1"/>
        <v>0.3210593622</v>
      </c>
    </row>
    <row r="8703" ht="14.25" customHeight="1">
      <c r="A8703" s="2" t="s">
        <v>369</v>
      </c>
      <c r="B8703" s="2" t="s">
        <v>370</v>
      </c>
      <c r="C8703" s="2">
        <v>2025.0</v>
      </c>
      <c r="D8703" s="9">
        <v>37192.17</v>
      </c>
      <c r="E8703" s="10" t="str">
        <f t="array" ref="E8703">IFS(D8703&lt;=$G$3,'calculated data '!$A$3,D8703&lt;=$G$4,'calculated data '!$A$4,D8703&lt;=$G$6,'calculated data '!$A$5,D8703&gt;=$G$6,'calculated data '!$A$6)</f>
        <v>High Demand Tier</v>
      </c>
      <c r="F8703" s="10">
        <f t="shared" si="1"/>
        <v>0.3212960018</v>
      </c>
    </row>
    <row r="8704" ht="14.25" customHeight="1">
      <c r="A8704" s="2" t="s">
        <v>417</v>
      </c>
      <c r="B8704" s="2" t="s">
        <v>418</v>
      </c>
      <c r="C8704" s="2">
        <v>2018.0</v>
      </c>
      <c r="D8704" s="9">
        <v>37193.48</v>
      </c>
      <c r="E8704" s="10" t="str">
        <f t="array" ref="E8704">IFS(D8704&lt;=$G$3,'calculated data '!$A$3,D8704&lt;=$G$4,'calculated data '!$A$4,D8704&lt;=$G$6,'calculated data '!$A$5,D8704&gt;=$G$6,'calculated data '!$A$6)</f>
        <v>High Demand Tier</v>
      </c>
      <c r="F8704" s="10">
        <f t="shared" si="1"/>
        <v>0.3213306772</v>
      </c>
    </row>
    <row r="8705" ht="14.25" customHeight="1">
      <c r="A8705" s="2" t="s">
        <v>471</v>
      </c>
      <c r="B8705" s="2" t="s">
        <v>472</v>
      </c>
      <c r="C8705" s="2">
        <v>2025.0</v>
      </c>
      <c r="D8705" s="9">
        <v>37194.664</v>
      </c>
      <c r="E8705" s="10" t="str">
        <f t="array" ref="E8705">IFS(D8705&lt;=$G$3,'calculated data '!$A$3,D8705&lt;=$G$4,'calculated data '!$A$4,D8705&lt;=$G$6,'calculated data '!$A$5,D8705&gt;=$G$6,'calculated data '!$A$6)</f>
        <v>High Demand Tier</v>
      </c>
      <c r="F8705" s="10">
        <f t="shared" si="1"/>
        <v>0.3213620173</v>
      </c>
    </row>
    <row r="8706" ht="14.25" customHeight="1">
      <c r="A8706" s="2" t="s">
        <v>379</v>
      </c>
      <c r="B8706" s="2" t="s">
        <v>380</v>
      </c>
      <c r="C8706" s="2">
        <v>2000.0</v>
      </c>
      <c r="D8706" s="9">
        <v>37195.754</v>
      </c>
      <c r="E8706" s="10" t="str">
        <f t="array" ref="E8706">IFS(D8706&lt;=$G$3,'calculated data '!$A$3,D8706&lt;=$G$4,'calculated data '!$A$4,D8706&lt;=$G$6,'calculated data '!$A$5,D8706&gt;=$G$6,'calculated data '!$A$6)</f>
        <v>High Demand Tier</v>
      </c>
      <c r="F8706" s="10">
        <f t="shared" si="1"/>
        <v>0.3213908694</v>
      </c>
    </row>
    <row r="8707" ht="14.25" customHeight="1">
      <c r="A8707" s="2" t="s">
        <v>437</v>
      </c>
      <c r="B8707" s="2" t="s">
        <v>438</v>
      </c>
      <c r="C8707" s="2">
        <v>1974.0</v>
      </c>
      <c r="D8707" s="9">
        <v>37201.918</v>
      </c>
      <c r="E8707" s="10" t="str">
        <f t="array" ref="E8707">IFS(D8707&lt;=$G$3,'calculated data '!$A$3,D8707&lt;=$G$4,'calculated data '!$A$4,D8707&lt;=$G$6,'calculated data '!$A$5,D8707&gt;=$G$6,'calculated data '!$A$6)</f>
        <v>High Demand Tier</v>
      </c>
      <c r="F8707" s="10">
        <f t="shared" si="1"/>
        <v>0.3215540289</v>
      </c>
    </row>
    <row r="8708" ht="14.25" customHeight="1">
      <c r="A8708" s="2" t="s">
        <v>433</v>
      </c>
      <c r="B8708" s="2" t="s">
        <v>434</v>
      </c>
      <c r="C8708" s="2">
        <v>1972.0</v>
      </c>
      <c r="D8708" s="9">
        <v>37202.26</v>
      </c>
      <c r="E8708" s="10" t="str">
        <f t="array" ref="E8708">IFS(D8708&lt;=$G$3,'calculated data '!$A$3,D8708&lt;=$G$4,'calculated data '!$A$4,D8708&lt;=$G$6,'calculated data '!$A$5,D8708&gt;=$G$6,'calculated data '!$A$6)</f>
        <v>High Demand Tier</v>
      </c>
      <c r="F8708" s="10">
        <f t="shared" si="1"/>
        <v>0.3215630816</v>
      </c>
    </row>
    <row r="8709" ht="14.25" customHeight="1">
      <c r="A8709" s="2" t="s">
        <v>447</v>
      </c>
      <c r="B8709" s="2" t="s">
        <v>448</v>
      </c>
      <c r="C8709" s="2">
        <v>2017.0</v>
      </c>
      <c r="D8709" s="9">
        <v>37219.074</v>
      </c>
      <c r="E8709" s="10" t="str">
        <f t="array" ref="E8709">IFS(D8709&lt;=$G$3,'calculated data '!$A$3,D8709&lt;=$G$4,'calculated data '!$A$4,D8709&lt;=$G$6,'calculated data '!$A$5,D8709&gt;=$G$6,'calculated data '!$A$6)</f>
        <v>High Demand Tier</v>
      </c>
      <c r="F8709" s="10">
        <f t="shared" si="1"/>
        <v>0.322008144</v>
      </c>
    </row>
    <row r="8710" ht="14.25" customHeight="1">
      <c r="A8710" s="2" t="s">
        <v>331</v>
      </c>
      <c r="B8710" s="2" t="s">
        <v>332</v>
      </c>
      <c r="C8710" s="2">
        <v>2007.0</v>
      </c>
      <c r="D8710" s="9">
        <v>37232.4</v>
      </c>
      <c r="E8710" s="10" t="str">
        <f t="array" ref="E8710">IFS(D8710&lt;=$G$3,'calculated data '!$A$3,D8710&lt;=$G$4,'calculated data '!$A$4,D8710&lt;=$G$6,'calculated data '!$A$5,D8710&gt;=$G$6,'calculated data '!$A$6)</f>
        <v>High Demand Tier</v>
      </c>
      <c r="F8710" s="10">
        <f t="shared" si="1"/>
        <v>0.3223608799</v>
      </c>
    </row>
    <row r="8711" ht="14.25" customHeight="1">
      <c r="A8711" s="2" t="s">
        <v>467</v>
      </c>
      <c r="B8711" s="2" t="s">
        <v>468</v>
      </c>
      <c r="C8711" s="2">
        <v>1966.0</v>
      </c>
      <c r="D8711" s="9">
        <v>37238.035</v>
      </c>
      <c r="E8711" s="10" t="str">
        <f t="array" ref="E8711">IFS(D8711&lt;=$G$3,'calculated data '!$A$3,D8711&lt;=$G$4,'calculated data '!$A$4,D8711&lt;=$G$6,'calculated data '!$A$5,D8711&gt;=$G$6,'calculated data '!$A$6)</f>
        <v>High Demand Tier</v>
      </c>
      <c r="F8711" s="10">
        <f t="shared" si="1"/>
        <v>0.3225100369</v>
      </c>
    </row>
    <row r="8712" ht="14.25" customHeight="1">
      <c r="A8712" s="2" t="s">
        <v>353</v>
      </c>
      <c r="B8712" s="2" t="s">
        <v>354</v>
      </c>
      <c r="C8712" s="2">
        <v>1980.0</v>
      </c>
      <c r="D8712" s="9">
        <v>37238.3</v>
      </c>
      <c r="E8712" s="10" t="str">
        <f t="array" ref="E8712">IFS(D8712&lt;=$G$3,'calculated data '!$A$3,D8712&lt;=$G$4,'calculated data '!$A$4,D8712&lt;=$G$6,'calculated data '!$A$5,D8712&gt;=$G$6,'calculated data '!$A$6)</f>
        <v>High Demand Tier</v>
      </c>
      <c r="F8712" s="10">
        <f t="shared" si="1"/>
        <v>0.3225170514</v>
      </c>
    </row>
    <row r="8713" ht="14.25" customHeight="1">
      <c r="A8713" s="2" t="s">
        <v>249</v>
      </c>
      <c r="B8713" s="2" t="s">
        <v>250</v>
      </c>
      <c r="C8713" s="2">
        <v>2024.0</v>
      </c>
      <c r="D8713" s="9">
        <v>37247.047</v>
      </c>
      <c r="E8713" s="10" t="str">
        <f t="array" ref="E8713">IFS(D8713&lt;=$G$3,'calculated data '!$A$3,D8713&lt;=$G$4,'calculated data '!$A$4,D8713&lt;=$G$6,'calculated data '!$A$5,D8713&gt;=$G$6,'calculated data '!$A$6)</f>
        <v>High Demand Tier</v>
      </c>
      <c r="F8713" s="10">
        <f t="shared" si="1"/>
        <v>0.3227485823</v>
      </c>
    </row>
    <row r="8714" ht="14.25" customHeight="1">
      <c r="A8714" s="2" t="s">
        <v>257</v>
      </c>
      <c r="B8714" s="2" t="s">
        <v>258</v>
      </c>
      <c r="C8714" s="2">
        <v>2019.0</v>
      </c>
      <c r="D8714" s="9">
        <v>37252.508</v>
      </c>
      <c r="E8714" s="10" t="str">
        <f t="array" ref="E8714">IFS(D8714&lt;=$G$3,'calculated data '!$A$3,D8714&lt;=$G$4,'calculated data '!$A$4,D8714&lt;=$G$6,'calculated data '!$A$5,D8714&gt;=$G$6,'calculated data '!$A$6)</f>
        <v>High Demand Tier</v>
      </c>
      <c r="F8714" s="10">
        <f t="shared" si="1"/>
        <v>0.3228931336</v>
      </c>
    </row>
    <row r="8715" ht="14.25" customHeight="1">
      <c r="A8715" s="2" t="s">
        <v>413</v>
      </c>
      <c r="B8715" s="2" t="s">
        <v>414</v>
      </c>
      <c r="C8715" s="2">
        <v>1999.0</v>
      </c>
      <c r="D8715" s="9">
        <v>37253.01</v>
      </c>
      <c r="E8715" s="10" t="str">
        <f t="array" ref="E8715">IFS(D8715&lt;=$G$3,'calculated data '!$A$3,D8715&lt;=$G$4,'calculated data '!$A$4,D8715&lt;=$G$6,'calculated data '!$A$5,D8715&gt;=$G$6,'calculated data '!$A$6)</f>
        <v>High Demand Tier</v>
      </c>
      <c r="F8715" s="10">
        <f t="shared" si="1"/>
        <v>0.3229064214</v>
      </c>
    </row>
    <row r="8716" ht="14.25" customHeight="1">
      <c r="A8716" s="2" t="s">
        <v>267</v>
      </c>
      <c r="B8716" s="2" t="s">
        <v>268</v>
      </c>
      <c r="C8716" s="2">
        <v>2002.0</v>
      </c>
      <c r="D8716" s="9">
        <v>37255.918</v>
      </c>
      <c r="E8716" s="10" t="str">
        <f t="array" ref="E8716">IFS(D8716&lt;=$G$3,'calculated data '!$A$3,D8716&lt;=$G$4,'calculated data '!$A$4,D8716&lt;=$G$6,'calculated data '!$A$5,D8716&gt;=$G$6,'calculated data '!$A$6)</f>
        <v>High Demand Tier</v>
      </c>
      <c r="F8716" s="10">
        <f t="shared" si="1"/>
        <v>0.3229833955</v>
      </c>
    </row>
    <row r="8717" ht="14.25" customHeight="1">
      <c r="A8717" s="2" t="s">
        <v>449</v>
      </c>
      <c r="B8717" s="2" t="s">
        <v>450</v>
      </c>
      <c r="C8717" s="2">
        <v>1990.0</v>
      </c>
      <c r="D8717" s="9">
        <v>37261.715</v>
      </c>
      <c r="E8717" s="10" t="str">
        <f t="array" ref="E8717">IFS(D8717&lt;=$G$3,'calculated data '!$A$3,D8717&lt;=$G$4,'calculated data '!$A$4,D8717&lt;=$G$6,'calculated data '!$A$5,D8717&gt;=$G$6,'calculated data '!$A$6)</f>
        <v>High Demand Tier</v>
      </c>
      <c r="F8717" s="10">
        <f t="shared" si="1"/>
        <v>0.3231368406</v>
      </c>
    </row>
    <row r="8718" ht="14.25" customHeight="1">
      <c r="A8718" s="2" t="s">
        <v>369</v>
      </c>
      <c r="B8718" s="2" t="s">
        <v>370</v>
      </c>
      <c r="C8718" s="2">
        <v>2024.0</v>
      </c>
      <c r="D8718" s="9">
        <v>37277.832</v>
      </c>
      <c r="E8718" s="10" t="str">
        <f t="array" ref="E8718">IFS(D8718&lt;=$G$3,'calculated data '!$A$3,D8718&lt;=$G$4,'calculated data '!$A$4,D8718&lt;=$G$6,'calculated data '!$A$5,D8718&gt;=$G$6,'calculated data '!$A$6)</f>
        <v>High Demand Tier</v>
      </c>
      <c r="F8718" s="10">
        <f t="shared" si="1"/>
        <v>0.3235634536</v>
      </c>
    </row>
    <row r="8719" ht="14.25" customHeight="1">
      <c r="A8719" s="2" t="s">
        <v>453</v>
      </c>
      <c r="B8719" s="2" t="s">
        <v>454</v>
      </c>
      <c r="C8719" s="2">
        <v>2024.0</v>
      </c>
      <c r="D8719" s="9">
        <v>37280.26</v>
      </c>
      <c r="E8719" s="10" t="str">
        <f t="array" ref="E8719">IFS(D8719&lt;=$G$3,'calculated data '!$A$3,D8719&lt;=$G$4,'calculated data '!$A$4,D8719&lt;=$G$6,'calculated data '!$A$5,D8719&gt;=$G$6,'calculated data '!$A$6)</f>
        <v>High Demand Tier</v>
      </c>
      <c r="F8719" s="10">
        <f t="shared" si="1"/>
        <v>0.3236277221</v>
      </c>
    </row>
    <row r="8720" ht="14.25" customHeight="1">
      <c r="A8720" s="2" t="s">
        <v>391</v>
      </c>
      <c r="B8720" s="2" t="s">
        <v>392</v>
      </c>
      <c r="C8720" s="2">
        <v>1999.0</v>
      </c>
      <c r="D8720" s="9">
        <v>37284.54</v>
      </c>
      <c r="E8720" s="10" t="str">
        <f t="array" ref="E8720">IFS(D8720&lt;=$G$3,'calculated data '!$A$3,D8720&lt;=$G$4,'calculated data '!$A$4,D8720&lt;=$G$6,'calculated data '!$A$5,D8720&gt;=$G$6,'calculated data '!$A$6)</f>
        <v>High Demand Tier</v>
      </c>
      <c r="F8720" s="10">
        <f t="shared" si="1"/>
        <v>0.3237410127</v>
      </c>
    </row>
    <row r="8721" ht="14.25" customHeight="1">
      <c r="A8721" s="2" t="s">
        <v>443</v>
      </c>
      <c r="B8721" s="2" t="s">
        <v>444</v>
      </c>
      <c r="C8721" s="2">
        <v>1971.0</v>
      </c>
      <c r="D8721" s="9">
        <v>37293.91</v>
      </c>
      <c r="E8721" s="10" t="str">
        <f t="array" ref="E8721">IFS(D8721&lt;=$G$3,'calculated data '!$A$3,D8721&lt;=$G$4,'calculated data '!$A$4,D8721&lt;=$G$6,'calculated data '!$A$5,D8721&gt;=$G$6,'calculated data '!$A$6)</f>
        <v>High Demand Tier</v>
      </c>
      <c r="F8721" s="10">
        <f t="shared" si="1"/>
        <v>0.3239890342</v>
      </c>
    </row>
    <row r="8722" ht="14.25" customHeight="1">
      <c r="A8722" s="2" t="s">
        <v>435</v>
      </c>
      <c r="B8722" s="2" t="s">
        <v>436</v>
      </c>
      <c r="C8722" s="2">
        <v>1985.0</v>
      </c>
      <c r="D8722" s="9">
        <v>37300.992</v>
      </c>
      <c r="E8722" s="10" t="str">
        <f t="array" ref="E8722">IFS(D8722&lt;=$G$3,'calculated data '!$A$3,D8722&lt;=$G$4,'calculated data '!$A$4,D8722&lt;=$G$6,'calculated data '!$A$5,D8722&gt;=$G$6,'calculated data '!$A$6)</f>
        <v>High Demand Tier</v>
      </c>
      <c r="F8722" s="10">
        <f t="shared" si="1"/>
        <v>0.324176493</v>
      </c>
    </row>
    <row r="8723" ht="14.25" customHeight="1">
      <c r="A8723" s="2" t="s">
        <v>249</v>
      </c>
      <c r="B8723" s="2" t="s">
        <v>250</v>
      </c>
      <c r="C8723" s="2">
        <v>2022.0</v>
      </c>
      <c r="D8723" s="9">
        <v>37321.54</v>
      </c>
      <c r="E8723" s="10" t="str">
        <f t="array" ref="E8723">IFS(D8723&lt;=$G$3,'calculated data '!$A$3,D8723&lt;=$G$4,'calculated data '!$A$4,D8723&lt;=$G$6,'calculated data '!$A$5,D8723&gt;=$G$6,'calculated data '!$A$6)</f>
        <v>High Demand Tier</v>
      </c>
      <c r="F8723" s="10">
        <f t="shared" si="1"/>
        <v>0.3247203935</v>
      </c>
    </row>
    <row r="8724" ht="14.25" customHeight="1">
      <c r="A8724" s="2" t="s">
        <v>447</v>
      </c>
      <c r="B8724" s="2" t="s">
        <v>448</v>
      </c>
      <c r="C8724" s="2">
        <v>2018.0</v>
      </c>
      <c r="D8724" s="9">
        <v>37327.215</v>
      </c>
      <c r="E8724" s="10" t="str">
        <f t="array" ref="E8724">IFS(D8724&lt;=$G$3,'calculated data '!$A$3,D8724&lt;=$G$4,'calculated data '!$A$4,D8724&lt;=$G$6,'calculated data '!$A$5,D8724&gt;=$G$6,'calculated data '!$A$6)</f>
        <v>High Demand Tier</v>
      </c>
      <c r="F8724" s="10">
        <f t="shared" si="1"/>
        <v>0.3248706093</v>
      </c>
    </row>
    <row r="8725" ht="14.25" customHeight="1">
      <c r="A8725" s="2" t="s">
        <v>413</v>
      </c>
      <c r="B8725" s="2" t="s">
        <v>414</v>
      </c>
      <c r="C8725" s="2">
        <v>2010.0</v>
      </c>
      <c r="D8725" s="9">
        <v>37349.246</v>
      </c>
      <c r="E8725" s="10" t="str">
        <f t="array" ref="E8725">IFS(D8725&lt;=$G$3,'calculated data '!$A$3,D8725&lt;=$G$4,'calculated data '!$A$4,D8725&lt;=$G$6,'calculated data '!$A$5,D8725&gt;=$G$6,'calculated data '!$A$6)</f>
        <v>High Demand Tier</v>
      </c>
      <c r="F8725" s="10">
        <f t="shared" si="1"/>
        <v>0.3254537644</v>
      </c>
    </row>
    <row r="8726" ht="14.25" customHeight="1">
      <c r="A8726" s="2" t="s">
        <v>401</v>
      </c>
      <c r="B8726" s="2" t="s">
        <v>402</v>
      </c>
      <c r="C8726" s="2">
        <v>2015.0</v>
      </c>
      <c r="D8726" s="9">
        <v>37360.113</v>
      </c>
      <c r="E8726" s="10" t="str">
        <f t="array" ref="E8726">IFS(D8726&lt;=$G$3,'calculated data '!$A$3,D8726&lt;=$G$4,'calculated data '!$A$4,D8726&lt;=$G$6,'calculated data '!$A$5,D8726&gt;=$G$6,'calculated data '!$A$6)</f>
        <v>High Demand Tier</v>
      </c>
      <c r="F8726" s="10">
        <f t="shared" si="1"/>
        <v>0.3257414112</v>
      </c>
    </row>
    <row r="8727" ht="14.25" customHeight="1">
      <c r="A8727" s="2" t="s">
        <v>411</v>
      </c>
      <c r="B8727" s="2" t="s">
        <v>412</v>
      </c>
      <c r="C8727" s="2">
        <v>2013.0</v>
      </c>
      <c r="D8727" s="9">
        <v>37369.605</v>
      </c>
      <c r="E8727" s="10" t="str">
        <f t="array" ref="E8727">IFS(D8727&lt;=$G$3,'calculated data '!$A$3,D8727&lt;=$G$4,'calculated data '!$A$4,D8727&lt;=$G$6,'calculated data '!$A$5,D8727&gt;=$G$6,'calculated data '!$A$6)</f>
        <v>High Demand Tier</v>
      </c>
      <c r="F8727" s="10">
        <f t="shared" si="1"/>
        <v>0.325992662</v>
      </c>
    </row>
    <row r="8728" ht="14.25" customHeight="1">
      <c r="A8728" s="2" t="s">
        <v>447</v>
      </c>
      <c r="B8728" s="2" t="s">
        <v>448</v>
      </c>
      <c r="C8728" s="2">
        <v>2012.0</v>
      </c>
      <c r="D8728" s="9">
        <v>37376.78</v>
      </c>
      <c r="E8728" s="10" t="str">
        <f t="array" ref="E8728">IFS(D8728&lt;=$G$3,'calculated data '!$A$3,D8728&lt;=$G$4,'calculated data '!$A$4,D8728&lt;=$G$6,'calculated data '!$A$5,D8728&gt;=$G$6,'calculated data '!$A$6)</f>
        <v>High Demand Tier</v>
      </c>
      <c r="F8728" s="10">
        <f t="shared" si="1"/>
        <v>0.3261825825</v>
      </c>
    </row>
    <row r="8729" ht="14.25" customHeight="1">
      <c r="A8729" s="2" t="s">
        <v>459</v>
      </c>
      <c r="B8729" s="2" t="s">
        <v>460</v>
      </c>
      <c r="C8729" s="2">
        <v>2022.0</v>
      </c>
      <c r="D8729" s="9">
        <v>37378.684</v>
      </c>
      <c r="E8729" s="10" t="str">
        <f t="array" ref="E8729">IFS(D8729&lt;=$G$3,'calculated data '!$A$3,D8729&lt;=$G$4,'calculated data '!$A$4,D8729&lt;=$G$6,'calculated data '!$A$5,D8729&gt;=$G$6,'calculated data '!$A$6)</f>
        <v>High Demand Tier</v>
      </c>
      <c r="F8729" s="10">
        <f t="shared" si="1"/>
        <v>0.3262329809</v>
      </c>
    </row>
    <row r="8730" ht="14.25" customHeight="1">
      <c r="A8730" s="2" t="s">
        <v>421</v>
      </c>
      <c r="B8730" s="2" t="s">
        <v>422</v>
      </c>
      <c r="C8730" s="2">
        <v>1976.0</v>
      </c>
      <c r="D8730" s="9">
        <v>37387.742</v>
      </c>
      <c r="E8730" s="10" t="str">
        <f t="array" ref="E8730">IFS(D8730&lt;=$G$3,'calculated data '!$A$3,D8730&lt;=$G$4,'calculated data '!$A$4,D8730&lt;=$G$6,'calculated data '!$A$5,D8730&gt;=$G$6,'calculated data '!$A$6)</f>
        <v>High Demand Tier</v>
      </c>
      <c r="F8730" s="10">
        <f t="shared" si="1"/>
        <v>0.3264727439</v>
      </c>
    </row>
    <row r="8731" ht="14.25" customHeight="1">
      <c r="A8731" s="2" t="s">
        <v>353</v>
      </c>
      <c r="B8731" s="2" t="s">
        <v>354</v>
      </c>
      <c r="C8731" s="2">
        <v>1985.0</v>
      </c>
      <c r="D8731" s="9">
        <v>37396.785</v>
      </c>
      <c r="E8731" s="10" t="str">
        <f t="array" ref="E8731">IFS(D8731&lt;=$G$3,'calculated data '!$A$3,D8731&lt;=$G$4,'calculated data '!$A$4,D8731&lt;=$G$6,'calculated data '!$A$5,D8731&gt;=$G$6,'calculated data '!$A$6)</f>
        <v>High Demand Tier</v>
      </c>
      <c r="F8731" s="10">
        <f t="shared" si="1"/>
        <v>0.3267121099</v>
      </c>
    </row>
    <row r="8732" ht="14.25" customHeight="1">
      <c r="A8732" s="2" t="s">
        <v>249</v>
      </c>
      <c r="B8732" s="2" t="s">
        <v>250</v>
      </c>
      <c r="C8732" s="2">
        <v>2025.0</v>
      </c>
      <c r="D8732" s="9">
        <v>37409.918</v>
      </c>
      <c r="E8732" s="10" t="str">
        <f t="array" ref="E8732">IFS(D8732&lt;=$G$3,'calculated data '!$A$3,D8732&lt;=$G$4,'calculated data '!$A$4,D8732&lt;=$G$6,'calculated data '!$A$5,D8732&gt;=$G$6,'calculated data '!$A$6)</f>
        <v>High Demand Tier</v>
      </c>
      <c r="F8732" s="10">
        <f t="shared" si="1"/>
        <v>0.3270597371</v>
      </c>
    </row>
    <row r="8733" ht="14.25" customHeight="1">
      <c r="A8733" s="2" t="s">
        <v>465</v>
      </c>
      <c r="B8733" s="2" t="s">
        <v>466</v>
      </c>
      <c r="C8733" s="2">
        <v>2019.0</v>
      </c>
      <c r="D8733" s="9">
        <v>37428.832</v>
      </c>
      <c r="E8733" s="10" t="str">
        <f t="array" ref="E8733">IFS(D8733&lt;=$G$3,'calculated data '!$A$3,D8733&lt;=$G$4,'calculated data '!$A$4,D8733&lt;=$G$6,'calculated data '!$A$5,D8733&gt;=$G$6,'calculated data '!$A$6)</f>
        <v>High Demand Tier</v>
      </c>
      <c r="F8733" s="10">
        <f t="shared" si="1"/>
        <v>0.327560386</v>
      </c>
    </row>
    <row r="8734" ht="14.25" customHeight="1">
      <c r="A8734" s="2" t="s">
        <v>279</v>
      </c>
      <c r="B8734" s="2" t="s">
        <v>280</v>
      </c>
      <c r="C8734" s="2">
        <v>1996.0</v>
      </c>
      <c r="D8734" s="9">
        <v>37433.594</v>
      </c>
      <c r="E8734" s="10" t="str">
        <f t="array" ref="E8734">IFS(D8734&lt;=$G$3,'calculated data '!$A$3,D8734&lt;=$G$4,'calculated data '!$A$4,D8734&lt;=$G$6,'calculated data '!$A$5,D8734&gt;=$G$6,'calculated data '!$A$6)</f>
        <v>High Demand Tier</v>
      </c>
      <c r="F8734" s="10">
        <f t="shared" si="1"/>
        <v>0.3276864349</v>
      </c>
    </row>
    <row r="8735" ht="14.25" customHeight="1">
      <c r="A8735" s="2" t="s">
        <v>421</v>
      </c>
      <c r="B8735" s="2" t="s">
        <v>422</v>
      </c>
      <c r="C8735" s="2">
        <v>1981.0</v>
      </c>
      <c r="D8735" s="9">
        <v>37443.254</v>
      </c>
      <c r="E8735" s="10" t="str">
        <f t="array" ref="E8735">IFS(D8735&lt;=$G$3,'calculated data '!$A$3,D8735&lt;=$G$4,'calculated data '!$A$4,D8735&lt;=$G$6,'calculated data '!$A$5,D8735&gt;=$G$6,'calculated data '!$A$6)</f>
        <v>High Demand Tier</v>
      </c>
      <c r="F8735" s="10">
        <f t="shared" si="1"/>
        <v>0.3279421327</v>
      </c>
    </row>
    <row r="8736" ht="14.25" customHeight="1">
      <c r="A8736" s="2" t="s">
        <v>417</v>
      </c>
      <c r="B8736" s="2" t="s">
        <v>418</v>
      </c>
      <c r="C8736" s="2">
        <v>1981.0</v>
      </c>
      <c r="D8736" s="9">
        <v>37444.445</v>
      </c>
      <c r="E8736" s="10" t="str">
        <f t="array" ref="E8736">IFS(D8736&lt;=$G$3,'calculated data '!$A$3,D8736&lt;=$G$4,'calculated data '!$A$4,D8736&lt;=$G$6,'calculated data '!$A$5,D8736&gt;=$G$6,'calculated data '!$A$6)</f>
        <v>High Demand Tier</v>
      </c>
      <c r="F8736" s="10">
        <f t="shared" si="1"/>
        <v>0.3279736582</v>
      </c>
    </row>
    <row r="8737" ht="14.25" customHeight="1">
      <c r="A8737" s="2" t="s">
        <v>369</v>
      </c>
      <c r="B8737" s="2" t="s">
        <v>370</v>
      </c>
      <c r="C8737" s="2">
        <v>1987.0</v>
      </c>
      <c r="D8737" s="9">
        <v>37459.332</v>
      </c>
      <c r="E8737" s="10" t="str">
        <f t="array" ref="E8737">IFS(D8737&lt;=$G$3,'calculated data '!$A$3,D8737&lt;=$G$4,'calculated data '!$A$4,D8737&lt;=$G$6,'calculated data '!$A$5,D8737&gt;=$G$6,'calculated data '!$A$6)</f>
        <v>High Demand Tier</v>
      </c>
      <c r="F8737" s="10">
        <f t="shared" si="1"/>
        <v>0.3283677134</v>
      </c>
    </row>
    <row r="8738" ht="14.25" customHeight="1">
      <c r="A8738" s="2" t="s">
        <v>443</v>
      </c>
      <c r="B8738" s="2" t="s">
        <v>444</v>
      </c>
      <c r="C8738" s="2">
        <v>2021.0</v>
      </c>
      <c r="D8738" s="9">
        <v>37473.402</v>
      </c>
      <c r="E8738" s="10" t="str">
        <f t="array" ref="E8738">IFS(D8738&lt;=$G$3,'calculated data '!$A$3,D8738&lt;=$G$4,'calculated data '!$A$4,D8738&lt;=$G$6,'calculated data '!$A$5,D8738&gt;=$G$6,'calculated data '!$A$6)</f>
        <v>High Demand Tier</v>
      </c>
      <c r="F8738" s="10">
        <f t="shared" si="1"/>
        <v>0.3287401428</v>
      </c>
    </row>
    <row r="8739" ht="14.25" customHeight="1">
      <c r="A8739" s="2" t="s">
        <v>353</v>
      </c>
      <c r="B8739" s="2" t="s">
        <v>354</v>
      </c>
      <c r="C8739" s="2">
        <v>1984.0</v>
      </c>
      <c r="D8739" s="9">
        <v>37477.805</v>
      </c>
      <c r="E8739" s="10" t="str">
        <f t="array" ref="E8739">IFS(D8739&lt;=$G$3,'calculated data '!$A$3,D8739&lt;=$G$4,'calculated data '!$A$4,D8739&lt;=$G$6,'calculated data '!$A$5,D8739&gt;=$G$6,'calculated data '!$A$6)</f>
        <v>High Demand Tier</v>
      </c>
      <c r="F8739" s="10">
        <f t="shared" si="1"/>
        <v>0.3288566891</v>
      </c>
    </row>
    <row r="8740" ht="14.25" customHeight="1">
      <c r="A8740" s="2" t="s">
        <v>453</v>
      </c>
      <c r="B8740" s="2" t="s">
        <v>454</v>
      </c>
      <c r="C8740" s="2">
        <v>1981.0</v>
      </c>
      <c r="D8740" s="9">
        <v>37481.38</v>
      </c>
      <c r="E8740" s="10" t="str">
        <f t="array" ref="E8740">IFS(D8740&lt;=$G$3,'calculated data '!$A$3,D8740&lt;=$G$4,'calculated data '!$A$4,D8740&lt;=$G$6,'calculated data '!$A$5,D8740&gt;=$G$6,'calculated data '!$A$6)</f>
        <v>High Demand Tier</v>
      </c>
      <c r="F8740" s="10">
        <f t="shared" si="1"/>
        <v>0.3289513185</v>
      </c>
    </row>
    <row r="8741" ht="14.25" customHeight="1">
      <c r="A8741" s="2" t="s">
        <v>369</v>
      </c>
      <c r="B8741" s="2" t="s">
        <v>370</v>
      </c>
      <c r="C8741" s="2">
        <v>2023.0</v>
      </c>
      <c r="D8741" s="9">
        <v>37515.918</v>
      </c>
      <c r="E8741" s="10" t="str">
        <f t="array" ref="E8741">IFS(D8741&lt;=$G$3,'calculated data '!$A$3,D8741&lt;=$G$4,'calculated data '!$A$4,D8741&lt;=$G$6,'calculated data '!$A$5,D8741&gt;=$G$6,'calculated data '!$A$6)</f>
        <v>High Demand Tier</v>
      </c>
      <c r="F8741" s="10">
        <f t="shared" si="1"/>
        <v>0.3298655307</v>
      </c>
    </row>
    <row r="8742" ht="14.25" customHeight="1">
      <c r="A8742" s="2" t="s">
        <v>335</v>
      </c>
      <c r="B8742" s="2" t="s">
        <v>336</v>
      </c>
      <c r="C8742" s="2">
        <v>2002.0</v>
      </c>
      <c r="D8742" s="9">
        <v>37520.63</v>
      </c>
      <c r="E8742" s="10" t="str">
        <f t="array" ref="E8742">IFS(D8742&lt;=$G$3,'calculated data '!$A$3,D8742&lt;=$G$4,'calculated data '!$A$4,D8742&lt;=$G$6,'calculated data '!$A$5,D8742&gt;=$G$6,'calculated data '!$A$6)</f>
        <v>High Demand Tier</v>
      </c>
      <c r="F8742" s="10">
        <f t="shared" si="1"/>
        <v>0.3299902562</v>
      </c>
    </row>
    <row r="8743" ht="14.25" customHeight="1">
      <c r="A8743" s="2" t="s">
        <v>307</v>
      </c>
      <c r="B8743" s="2" t="s">
        <v>308</v>
      </c>
      <c r="C8743" s="2">
        <v>1991.0</v>
      </c>
      <c r="D8743" s="9">
        <v>37562.035</v>
      </c>
      <c r="E8743" s="10" t="str">
        <f t="array" ref="E8743">IFS(D8743&lt;=$G$3,'calculated data '!$A$3,D8743&lt;=$G$4,'calculated data '!$A$4,D8743&lt;=$G$6,'calculated data '!$A$5,D8743&gt;=$G$6,'calculated data '!$A$6)</f>
        <v>High Demand Tier</v>
      </c>
      <c r="F8743" s="10">
        <f t="shared" si="1"/>
        <v>0.3310862362</v>
      </c>
    </row>
    <row r="8744" ht="14.25" customHeight="1">
      <c r="A8744" s="2" t="s">
        <v>417</v>
      </c>
      <c r="B8744" s="2" t="s">
        <v>418</v>
      </c>
      <c r="C8744" s="2">
        <v>2017.0</v>
      </c>
      <c r="D8744" s="9">
        <v>37566.76</v>
      </c>
      <c r="E8744" s="10" t="str">
        <f t="array" ref="E8744">IFS(D8744&lt;=$G$3,'calculated data '!$A$3,D8744&lt;=$G$4,'calculated data '!$A$4,D8744&lt;=$G$6,'calculated data '!$A$5,D8744&gt;=$G$6,'calculated data '!$A$6)</f>
        <v>High Demand Tier</v>
      </c>
      <c r="F8744" s="10">
        <f t="shared" si="1"/>
        <v>0.3312113058</v>
      </c>
    </row>
    <row r="8745" ht="14.25" customHeight="1">
      <c r="A8745" s="2" t="s">
        <v>409</v>
      </c>
      <c r="B8745" s="2" t="s">
        <v>410</v>
      </c>
      <c r="C8745" s="2">
        <v>1996.0</v>
      </c>
      <c r="D8745" s="9">
        <v>37572.71</v>
      </c>
      <c r="E8745" s="10" t="str">
        <f t="array" ref="E8745">IFS(D8745&lt;=$G$3,'calculated data '!$A$3,D8745&lt;=$G$4,'calculated data '!$A$4,D8745&lt;=$G$6,'calculated data '!$A$5,D8745&gt;=$G$6,'calculated data '!$A$6)</f>
        <v>High Demand Tier</v>
      </c>
      <c r="F8745" s="10">
        <f t="shared" si="1"/>
        <v>0.3313688008</v>
      </c>
    </row>
    <row r="8746" ht="14.25" customHeight="1">
      <c r="A8746" s="2" t="s">
        <v>433</v>
      </c>
      <c r="B8746" s="2" t="s">
        <v>434</v>
      </c>
      <c r="C8746" s="2">
        <v>2024.0</v>
      </c>
      <c r="D8746" s="9">
        <v>37575.758</v>
      </c>
      <c r="E8746" s="10" t="str">
        <f t="array" ref="E8746">IFS(D8746&lt;=$G$3,'calculated data '!$A$3,D8746&lt;=$G$4,'calculated data '!$A$4,D8746&lt;=$G$6,'calculated data '!$A$5,D8746&gt;=$G$6,'calculated data '!$A$6)</f>
        <v>High Demand Tier</v>
      </c>
      <c r="F8746" s="10">
        <f t="shared" si="1"/>
        <v>0.3314494806</v>
      </c>
    </row>
    <row r="8747" ht="14.25" customHeight="1">
      <c r="A8747" s="2" t="s">
        <v>413</v>
      </c>
      <c r="B8747" s="2" t="s">
        <v>414</v>
      </c>
      <c r="C8747" s="2">
        <v>1993.0</v>
      </c>
      <c r="D8747" s="9">
        <v>37578.53</v>
      </c>
      <c r="E8747" s="10" t="str">
        <f t="array" ref="E8747">IFS(D8747&lt;=$G$3,'calculated data '!$A$3,D8747&lt;=$G$4,'calculated data '!$A$4,D8747&lt;=$G$6,'calculated data '!$A$5,D8747&gt;=$G$6,'calculated data '!$A$6)</f>
        <v>High Demand Tier</v>
      </c>
      <c r="F8747" s="10">
        <f t="shared" si="1"/>
        <v>0.3315228548</v>
      </c>
    </row>
    <row r="8748" ht="14.25" customHeight="1">
      <c r="A8748" s="2" t="s">
        <v>447</v>
      </c>
      <c r="B8748" s="2" t="s">
        <v>448</v>
      </c>
      <c r="C8748" s="2">
        <v>1998.0</v>
      </c>
      <c r="D8748" s="9">
        <v>37585.836</v>
      </c>
      <c r="E8748" s="10" t="str">
        <f t="array" ref="E8748">IFS(D8748&lt;=$G$3,'calculated data '!$A$3,D8748&lt;=$G$4,'calculated data '!$A$4,D8748&lt;=$G$6,'calculated data '!$A$5,D8748&gt;=$G$6,'calculated data '!$A$6)</f>
        <v>High Demand Tier</v>
      </c>
      <c r="F8748" s="10">
        <f t="shared" si="1"/>
        <v>0.3317162428</v>
      </c>
    </row>
    <row r="8749" ht="14.25" customHeight="1">
      <c r="A8749" s="2" t="s">
        <v>417</v>
      </c>
      <c r="B8749" s="2" t="s">
        <v>418</v>
      </c>
      <c r="C8749" s="2">
        <v>1984.0</v>
      </c>
      <c r="D8749" s="9">
        <v>37591.023</v>
      </c>
      <c r="E8749" s="10" t="str">
        <f t="array" ref="E8749">IFS(D8749&lt;=$G$3,'calculated data '!$A$3,D8749&lt;=$G$4,'calculated data '!$A$4,D8749&lt;=$G$6,'calculated data '!$A$5,D8749&gt;=$G$6,'calculated data '!$A$6)</f>
        <v>High Demand Tier</v>
      </c>
      <c r="F8749" s="10">
        <f t="shared" si="1"/>
        <v>0.3318535414</v>
      </c>
    </row>
    <row r="8750" ht="14.25" customHeight="1">
      <c r="A8750" s="2" t="s">
        <v>267</v>
      </c>
      <c r="B8750" s="2" t="s">
        <v>268</v>
      </c>
      <c r="C8750" s="2">
        <v>2012.0</v>
      </c>
      <c r="D8750" s="9">
        <v>37594.273</v>
      </c>
      <c r="E8750" s="10" t="str">
        <f t="array" ref="E8750">IFS(D8750&lt;=$G$3,'calculated data '!$A$3,D8750&lt;=$G$4,'calculated data '!$A$4,D8750&lt;=$G$6,'calculated data '!$A$5,D8750&gt;=$G$6,'calculated data '!$A$6)</f>
        <v>High Demand Tier</v>
      </c>
      <c r="F8750" s="10">
        <f t="shared" si="1"/>
        <v>0.331939568</v>
      </c>
    </row>
    <row r="8751" ht="14.25" customHeight="1">
      <c r="A8751" s="2" t="s">
        <v>465</v>
      </c>
      <c r="B8751" s="2" t="s">
        <v>466</v>
      </c>
      <c r="C8751" s="2">
        <v>2021.0</v>
      </c>
      <c r="D8751" s="9">
        <v>37611.906</v>
      </c>
      <c r="E8751" s="10" t="str">
        <f t="array" ref="E8751">IFS(D8751&lt;=$G$3,'calculated data '!$A$3,D8751&lt;=$G$4,'calculated data '!$A$4,D8751&lt;=$G$6,'calculated data '!$A$5,D8751&gt;=$G$6,'calculated data '!$A$6)</f>
        <v>High Demand Tier</v>
      </c>
      <c r="F8751" s="10">
        <f t="shared" si="1"/>
        <v>0.3324063092</v>
      </c>
    </row>
    <row r="8752" ht="14.25" customHeight="1">
      <c r="A8752" s="2" t="s">
        <v>353</v>
      </c>
      <c r="B8752" s="2" t="s">
        <v>354</v>
      </c>
      <c r="C8752" s="2">
        <v>1982.0</v>
      </c>
      <c r="D8752" s="9">
        <v>37612.31</v>
      </c>
      <c r="E8752" s="10" t="str">
        <f t="array" ref="E8752">IFS(D8752&lt;=$G$3,'calculated data '!$A$3,D8752&lt;=$G$4,'calculated data '!$A$4,D8752&lt;=$G$6,'calculated data '!$A$5,D8752&gt;=$G$6,'calculated data '!$A$6)</f>
        <v>High Demand Tier</v>
      </c>
      <c r="F8752" s="10">
        <f t="shared" si="1"/>
        <v>0.3324170029</v>
      </c>
    </row>
    <row r="8753" ht="14.25" customHeight="1">
      <c r="A8753" s="2" t="s">
        <v>433</v>
      </c>
      <c r="B8753" s="2" t="s">
        <v>434</v>
      </c>
      <c r="C8753" s="2">
        <v>2025.0</v>
      </c>
      <c r="D8753" s="9">
        <v>37612.65</v>
      </c>
      <c r="E8753" s="10" t="str">
        <f t="array" ref="E8753">IFS(D8753&lt;=$G$3,'calculated data '!$A$3,D8753&lt;=$G$4,'calculated data '!$A$4,D8753&lt;=$G$6,'calculated data '!$A$5,D8753&gt;=$G$6,'calculated data '!$A$6)</f>
        <v>High Demand Tier</v>
      </c>
      <c r="F8753" s="10">
        <f t="shared" si="1"/>
        <v>0.3324260027</v>
      </c>
    </row>
    <row r="8754" ht="14.25" customHeight="1">
      <c r="A8754" s="2" t="s">
        <v>413</v>
      </c>
      <c r="B8754" s="2" t="s">
        <v>414</v>
      </c>
      <c r="C8754" s="2">
        <v>1997.0</v>
      </c>
      <c r="D8754" s="9">
        <v>37617.895</v>
      </c>
      <c r="E8754" s="10" t="str">
        <f t="array" ref="E8754">IFS(D8754&lt;=$G$3,'calculated data '!$A$3,D8754&lt;=$G$4,'calculated data '!$A$4,D8754&lt;=$G$6,'calculated data '!$A$5,D8754&gt;=$G$6,'calculated data '!$A$6)</f>
        <v>High Demand Tier</v>
      </c>
      <c r="F8754" s="10">
        <f t="shared" si="1"/>
        <v>0.3325648365</v>
      </c>
    </row>
    <row r="8755" ht="14.25" customHeight="1">
      <c r="A8755" s="2" t="s">
        <v>421</v>
      </c>
      <c r="B8755" s="2" t="s">
        <v>422</v>
      </c>
      <c r="C8755" s="2">
        <v>1983.0</v>
      </c>
      <c r="D8755" s="9">
        <v>37623.69</v>
      </c>
      <c r="E8755" s="10" t="str">
        <f t="array" ref="E8755">IFS(D8755&lt;=$G$3,'calculated data '!$A$3,D8755&lt;=$G$4,'calculated data '!$A$4,D8755&lt;=$G$6,'calculated data '!$A$5,D8755&gt;=$G$6,'calculated data '!$A$6)</f>
        <v>High Demand Tier</v>
      </c>
      <c r="F8755" s="10">
        <f t="shared" si="1"/>
        <v>0.3327182287</v>
      </c>
    </row>
    <row r="8756" ht="14.25" customHeight="1">
      <c r="A8756" s="2" t="s">
        <v>407</v>
      </c>
      <c r="B8756" s="2" t="s">
        <v>408</v>
      </c>
      <c r="C8756" s="2">
        <v>2016.0</v>
      </c>
      <c r="D8756" s="9">
        <v>37641.227</v>
      </c>
      <c r="E8756" s="10" t="str">
        <f t="array" ref="E8756">IFS(D8756&lt;=$G$3,'calculated data '!$A$3,D8756&lt;=$G$4,'calculated data '!$A$4,D8756&lt;=$G$6,'calculated data '!$A$5,D8756&gt;=$G$6,'calculated data '!$A$6)</f>
        <v>High Demand Tier</v>
      </c>
      <c r="F8756" s="10">
        <f t="shared" si="1"/>
        <v>0.3331824287</v>
      </c>
    </row>
    <row r="8757" ht="14.25" customHeight="1">
      <c r="A8757" s="2" t="s">
        <v>417</v>
      </c>
      <c r="B8757" s="2" t="s">
        <v>418</v>
      </c>
      <c r="C8757" s="2">
        <v>2013.0</v>
      </c>
      <c r="D8757" s="9">
        <v>37647.293</v>
      </c>
      <c r="E8757" s="10" t="str">
        <f t="array" ref="E8757">IFS(D8757&lt;=$G$3,'calculated data '!$A$3,D8757&lt;=$G$4,'calculated data '!$A$4,D8757&lt;=$G$6,'calculated data '!$A$5,D8757&gt;=$G$6,'calculated data '!$A$6)</f>
        <v>High Demand Tier</v>
      </c>
      <c r="F8757" s="10">
        <f t="shared" si="1"/>
        <v>0.3333429942</v>
      </c>
    </row>
    <row r="8758" ht="14.25" customHeight="1">
      <c r="A8758" s="2" t="s">
        <v>435</v>
      </c>
      <c r="B8758" s="2" t="s">
        <v>436</v>
      </c>
      <c r="C8758" s="2">
        <v>2005.0</v>
      </c>
      <c r="D8758" s="9">
        <v>37668.086</v>
      </c>
      <c r="E8758" s="10" t="str">
        <f t="array" ref="E8758">IFS(D8758&lt;=$G$3,'calculated data '!$A$3,D8758&lt;=$G$4,'calculated data '!$A$4,D8758&lt;=$G$6,'calculated data '!$A$5,D8758&gt;=$G$6,'calculated data '!$A$6)</f>
        <v>High Demand Tier</v>
      </c>
      <c r="F8758" s="10">
        <f t="shared" si="1"/>
        <v>0.3338933798</v>
      </c>
    </row>
    <row r="8759" ht="14.25" customHeight="1">
      <c r="A8759" s="2" t="s">
        <v>401</v>
      </c>
      <c r="B8759" s="2" t="s">
        <v>402</v>
      </c>
      <c r="C8759" s="2">
        <v>2018.0</v>
      </c>
      <c r="D8759" s="9">
        <v>37701.4</v>
      </c>
      <c r="E8759" s="10" t="str">
        <f t="array" ref="E8759">IFS(D8759&lt;=$G$3,'calculated data '!$A$3,D8759&lt;=$G$4,'calculated data '!$A$4,D8759&lt;=$G$6,'calculated data '!$A$5,D8759&gt;=$G$6,'calculated data '!$A$6)</f>
        <v>High Demand Tier</v>
      </c>
      <c r="F8759" s="10">
        <f t="shared" si="1"/>
        <v>0.3347751931</v>
      </c>
    </row>
    <row r="8760" ht="14.25" customHeight="1">
      <c r="A8760" s="2" t="s">
        <v>403</v>
      </c>
      <c r="B8760" s="2" t="s">
        <v>404</v>
      </c>
      <c r="C8760" s="2">
        <v>1988.0</v>
      </c>
      <c r="D8760" s="9">
        <v>37704.32</v>
      </c>
      <c r="E8760" s="10" t="str">
        <f t="array" ref="E8760">IFS(D8760&lt;=$G$3,'calculated data '!$A$3,D8760&lt;=$G$4,'calculated data '!$A$4,D8760&lt;=$G$6,'calculated data '!$A$5,D8760&gt;=$G$6,'calculated data '!$A$6)</f>
        <v>High Demand Tier</v>
      </c>
      <c r="F8760" s="10">
        <f t="shared" si="1"/>
        <v>0.3348524847</v>
      </c>
    </row>
    <row r="8761" ht="14.25" customHeight="1">
      <c r="A8761" s="2" t="s">
        <v>415</v>
      </c>
      <c r="B8761" s="2" t="s">
        <v>416</v>
      </c>
      <c r="C8761" s="2">
        <v>2009.0</v>
      </c>
      <c r="D8761" s="9">
        <v>37748.99</v>
      </c>
      <c r="E8761" s="10" t="str">
        <f t="array" ref="E8761">IFS(D8761&lt;=$G$3,'calculated data '!$A$3,D8761&lt;=$G$4,'calculated data '!$A$4,D8761&lt;=$G$6,'calculated data '!$A$5,D8761&gt;=$G$6,'calculated data '!$A$6)</f>
        <v>High Demand Tier</v>
      </c>
      <c r="F8761" s="10">
        <f t="shared" si="1"/>
        <v>0.3360348885</v>
      </c>
    </row>
    <row r="8762" ht="14.25" customHeight="1">
      <c r="A8762" s="2" t="s">
        <v>353</v>
      </c>
      <c r="B8762" s="2" t="s">
        <v>354</v>
      </c>
      <c r="C8762" s="2">
        <v>1983.0</v>
      </c>
      <c r="D8762" s="9">
        <v>37750.84</v>
      </c>
      <c r="E8762" s="10" t="str">
        <f t="array" ref="E8762">IFS(D8762&lt;=$G$3,'calculated data '!$A$3,D8762&lt;=$G$4,'calculated data '!$A$4,D8762&lt;=$G$6,'calculated data '!$A$5,D8762&gt;=$G$6,'calculated data '!$A$6)</f>
        <v>High Demand Tier</v>
      </c>
      <c r="F8762" s="10">
        <f t="shared" si="1"/>
        <v>0.3360838575</v>
      </c>
    </row>
    <row r="8763" ht="14.25" customHeight="1">
      <c r="A8763" s="2" t="s">
        <v>435</v>
      </c>
      <c r="B8763" s="2" t="s">
        <v>436</v>
      </c>
      <c r="C8763" s="2">
        <v>2017.0</v>
      </c>
      <c r="D8763" s="9">
        <v>37776.19</v>
      </c>
      <c r="E8763" s="10" t="str">
        <f t="array" ref="E8763">IFS(D8763&lt;=$G$3,'calculated data '!$A$3,D8763&lt;=$G$4,'calculated data '!$A$4,D8763&lt;=$G$6,'calculated data '!$A$5,D8763&gt;=$G$6,'calculated data '!$A$6)</f>
        <v>High Demand Tier</v>
      </c>
      <c r="F8763" s="10">
        <f t="shared" si="1"/>
        <v>0.3367548657</v>
      </c>
    </row>
    <row r="8764" ht="14.25" customHeight="1">
      <c r="A8764" s="2" t="s">
        <v>415</v>
      </c>
      <c r="B8764" s="2" t="s">
        <v>416</v>
      </c>
      <c r="C8764" s="2">
        <v>1984.0</v>
      </c>
      <c r="D8764" s="9">
        <v>37787.492</v>
      </c>
      <c r="E8764" s="10" t="str">
        <f t="array" ref="E8764">IFS(D8764&lt;=$G$3,'calculated data '!$A$3,D8764&lt;=$G$4,'calculated data '!$A$4,D8764&lt;=$G$6,'calculated data '!$A$5,D8764&gt;=$G$6,'calculated data '!$A$6)</f>
        <v>High Demand Tier</v>
      </c>
      <c r="F8764" s="10">
        <f t="shared" si="1"/>
        <v>0.3370540269</v>
      </c>
    </row>
    <row r="8765" ht="14.25" customHeight="1">
      <c r="A8765" s="2" t="s">
        <v>421</v>
      </c>
      <c r="B8765" s="2" t="s">
        <v>422</v>
      </c>
      <c r="C8765" s="2">
        <v>1982.0</v>
      </c>
      <c r="D8765" s="9">
        <v>37810.215</v>
      </c>
      <c r="E8765" s="10" t="str">
        <f t="array" ref="E8765">IFS(D8765&lt;=$G$3,'calculated data '!$A$3,D8765&lt;=$G$4,'calculated data '!$A$4,D8765&lt;=$G$6,'calculated data '!$A$5,D8765&gt;=$G$6,'calculated data '!$A$6)</f>
        <v>High Demand Tier</v>
      </c>
      <c r="F8765" s="10">
        <f t="shared" si="1"/>
        <v>0.337655499</v>
      </c>
    </row>
    <row r="8766" ht="14.25" customHeight="1">
      <c r="A8766" s="2" t="s">
        <v>413</v>
      </c>
      <c r="B8766" s="2" t="s">
        <v>414</v>
      </c>
      <c r="C8766" s="2">
        <v>1975.0</v>
      </c>
      <c r="D8766" s="9">
        <v>37813.266</v>
      </c>
      <c r="E8766" s="10" t="str">
        <f t="array" ref="E8766">IFS(D8766&lt;=$G$3,'calculated data '!$A$3,D8766&lt;=$G$4,'calculated data '!$A$4,D8766&lt;=$G$6,'calculated data '!$A$5,D8766&gt;=$G$6,'calculated data '!$A$6)</f>
        <v>High Demand Tier</v>
      </c>
      <c r="F8766" s="10">
        <f t="shared" si="1"/>
        <v>0.3377362582</v>
      </c>
    </row>
    <row r="8767" ht="14.25" customHeight="1">
      <c r="A8767" s="2" t="s">
        <v>335</v>
      </c>
      <c r="B8767" s="2" t="s">
        <v>336</v>
      </c>
      <c r="C8767" s="2">
        <v>2003.0</v>
      </c>
      <c r="D8767" s="9">
        <v>37842.2</v>
      </c>
      <c r="E8767" s="10" t="str">
        <f t="array" ref="E8767">IFS(D8767&lt;=$G$3,'calculated data '!$A$3,D8767&lt;=$G$4,'calculated data '!$A$4,D8767&lt;=$G$6,'calculated data '!$A$5,D8767&gt;=$G$6,'calculated data '!$A$6)</f>
        <v>High Demand Tier</v>
      </c>
      <c r="F8767" s="10">
        <f t="shared" si="1"/>
        <v>0.338502134</v>
      </c>
    </row>
    <row r="8768" ht="14.25" customHeight="1">
      <c r="A8768" s="2" t="s">
        <v>407</v>
      </c>
      <c r="B8768" s="2" t="s">
        <v>408</v>
      </c>
      <c r="C8768" s="2">
        <v>2008.0</v>
      </c>
      <c r="D8768" s="9">
        <v>37861.305</v>
      </c>
      <c r="E8768" s="10" t="str">
        <f t="array" ref="E8768">IFS(D8768&lt;=$G$3,'calculated data '!$A$3,D8768&lt;=$G$4,'calculated data '!$A$4,D8768&lt;=$G$6,'calculated data '!$A$5,D8768&gt;=$G$6,'calculated data '!$A$6)</f>
        <v>High Demand Tier</v>
      </c>
      <c r="F8768" s="10">
        <f t="shared" si="1"/>
        <v>0.3390078386</v>
      </c>
    </row>
    <row r="8769" ht="14.25" customHeight="1">
      <c r="A8769" s="2" t="s">
        <v>409</v>
      </c>
      <c r="B8769" s="2" t="s">
        <v>410</v>
      </c>
      <c r="C8769" s="2">
        <v>2009.0</v>
      </c>
      <c r="D8769" s="9">
        <v>37863.15</v>
      </c>
      <c r="E8769" s="10" t="str">
        <f t="array" ref="E8769">IFS(D8769&lt;=$G$3,'calculated data '!$A$3,D8769&lt;=$G$4,'calculated data '!$A$4,D8769&lt;=$G$6,'calculated data '!$A$5,D8769&gt;=$G$6,'calculated data '!$A$6)</f>
        <v>High Demand Tier</v>
      </c>
      <c r="F8769" s="10">
        <f t="shared" si="1"/>
        <v>0.3390566753</v>
      </c>
    </row>
    <row r="8770" ht="14.25" customHeight="1">
      <c r="A8770" s="2" t="s">
        <v>377</v>
      </c>
      <c r="B8770" s="2" t="s">
        <v>378</v>
      </c>
      <c r="C8770" s="2">
        <v>2002.0</v>
      </c>
      <c r="D8770" s="9">
        <v>37881.766</v>
      </c>
      <c r="E8770" s="10" t="str">
        <f t="array" ref="E8770">IFS(D8770&lt;=$G$3,'calculated data '!$A$3,D8770&lt;=$G$4,'calculated data '!$A$4,D8770&lt;=$G$6,'calculated data '!$A$5,D8770&gt;=$G$6,'calculated data '!$A$6)</f>
        <v>High Demand Tier</v>
      </c>
      <c r="F8770" s="10">
        <f t="shared" si="1"/>
        <v>0.3395494362</v>
      </c>
    </row>
    <row r="8771" ht="14.25" customHeight="1">
      <c r="A8771" s="2" t="s">
        <v>257</v>
      </c>
      <c r="B8771" s="2" t="s">
        <v>258</v>
      </c>
      <c r="C8771" s="2">
        <v>2021.0</v>
      </c>
      <c r="D8771" s="9">
        <v>37893.945</v>
      </c>
      <c r="E8771" s="10" t="str">
        <f t="array" ref="E8771">IFS(D8771&lt;=$G$3,'calculated data '!$A$3,D8771&lt;=$G$4,'calculated data '!$A$4,D8771&lt;=$G$6,'calculated data '!$A$5,D8771&gt;=$G$6,'calculated data '!$A$6)</f>
        <v>High Demand Tier</v>
      </c>
      <c r="F8771" s="10">
        <f t="shared" si="1"/>
        <v>0.3398718113</v>
      </c>
    </row>
    <row r="8772" ht="14.25" customHeight="1">
      <c r="A8772" s="2" t="s">
        <v>429</v>
      </c>
      <c r="B8772" s="2" t="s">
        <v>430</v>
      </c>
      <c r="C8772" s="2">
        <v>1975.0</v>
      </c>
      <c r="D8772" s="9">
        <v>37903.793</v>
      </c>
      <c r="E8772" s="10" t="str">
        <f t="array" ref="E8772">IFS(D8772&lt;=$G$3,'calculated data '!$A$3,D8772&lt;=$G$4,'calculated data '!$A$4,D8772&lt;=$G$6,'calculated data '!$A$5,D8772&gt;=$G$6,'calculated data '!$A$6)</f>
        <v>High Demand Tier</v>
      </c>
      <c r="F8772" s="10">
        <f t="shared" si="1"/>
        <v>0.3401324854</v>
      </c>
    </row>
    <row r="8773" ht="14.25" customHeight="1">
      <c r="A8773" s="2" t="s">
        <v>401</v>
      </c>
      <c r="B8773" s="2" t="s">
        <v>402</v>
      </c>
      <c r="C8773" s="2">
        <v>2016.0</v>
      </c>
      <c r="D8773" s="9">
        <v>37906.543</v>
      </c>
      <c r="E8773" s="10" t="str">
        <f t="array" ref="E8773">IFS(D8773&lt;=$G$3,'calculated data '!$A$3,D8773&lt;=$G$4,'calculated data '!$A$4,D8773&lt;=$G$6,'calculated data '!$A$5,D8773&gt;=$G$6,'calculated data '!$A$6)</f>
        <v>High Demand Tier</v>
      </c>
      <c r="F8773" s="10">
        <f t="shared" si="1"/>
        <v>0.3402052772</v>
      </c>
    </row>
    <row r="8774" ht="14.25" customHeight="1">
      <c r="A8774" s="2" t="s">
        <v>413</v>
      </c>
      <c r="B8774" s="2" t="s">
        <v>414</v>
      </c>
      <c r="C8774" s="2">
        <v>1996.0</v>
      </c>
      <c r="D8774" s="9">
        <v>37923.05</v>
      </c>
      <c r="E8774" s="10" t="str">
        <f t="array" ref="E8774">IFS(D8774&lt;=$G$3,'calculated data '!$A$3,D8774&lt;=$G$4,'calculated data '!$A$4,D8774&lt;=$G$6,'calculated data '!$A$5,D8774&gt;=$G$6,'calculated data '!$A$6)</f>
        <v>High Demand Tier</v>
      </c>
      <c r="F8774" s="10">
        <f t="shared" si="1"/>
        <v>0.3406422134</v>
      </c>
    </row>
    <row r="8775" ht="14.25" customHeight="1">
      <c r="A8775" s="2" t="s">
        <v>411</v>
      </c>
      <c r="B8775" s="2" t="s">
        <v>412</v>
      </c>
      <c r="C8775" s="2">
        <v>1981.0</v>
      </c>
      <c r="D8775" s="9">
        <v>37938.92</v>
      </c>
      <c r="E8775" s="10" t="str">
        <f t="array" ref="E8775">IFS(D8775&lt;=$G$3,'calculated data '!$A$3,D8775&lt;=$G$4,'calculated data '!$A$4,D8775&lt;=$G$6,'calculated data '!$A$5,D8775&gt;=$G$6,'calculated data '!$A$6)</f>
        <v>High Demand Tier</v>
      </c>
      <c r="F8775" s="10">
        <f t="shared" si="1"/>
        <v>0.3410622883</v>
      </c>
    </row>
    <row r="8776" ht="14.25" customHeight="1">
      <c r="A8776" s="2" t="s">
        <v>469</v>
      </c>
      <c r="B8776" s="2" t="s">
        <v>470</v>
      </c>
      <c r="C8776" s="2">
        <v>1966.0</v>
      </c>
      <c r="D8776" s="9">
        <v>37942.094</v>
      </c>
      <c r="E8776" s="10" t="str">
        <f t="array" ref="E8776">IFS(D8776&lt;=$G$3,'calculated data '!$A$3,D8776&lt;=$G$4,'calculated data '!$A$4,D8776&lt;=$G$6,'calculated data '!$A$5,D8776&gt;=$G$6,'calculated data '!$A$6)</f>
        <v>High Demand Tier</v>
      </c>
      <c r="F8776" s="10">
        <f t="shared" si="1"/>
        <v>0.3411463033</v>
      </c>
    </row>
    <row r="8777" ht="14.25" customHeight="1">
      <c r="A8777" s="2" t="s">
        <v>413</v>
      </c>
      <c r="B8777" s="2" t="s">
        <v>414</v>
      </c>
      <c r="C8777" s="2">
        <v>1995.0</v>
      </c>
      <c r="D8777" s="9">
        <v>37946.16</v>
      </c>
      <c r="E8777" s="10" t="str">
        <f t="array" ref="E8777">IFS(D8777&lt;=$G$3,'calculated data '!$A$3,D8777&lt;=$G$4,'calculated data '!$A$4,D8777&lt;=$G$6,'calculated data '!$A$5,D8777&gt;=$G$6,'calculated data '!$A$6)</f>
        <v>High Demand Tier</v>
      </c>
      <c r="F8777" s="10">
        <f t="shared" si="1"/>
        <v>0.3412539293</v>
      </c>
    </row>
    <row r="8778" ht="14.25" customHeight="1">
      <c r="A8778" s="2" t="s">
        <v>435</v>
      </c>
      <c r="B8778" s="2" t="s">
        <v>436</v>
      </c>
      <c r="C8778" s="2">
        <v>1991.0</v>
      </c>
      <c r="D8778" s="9">
        <v>37950.65</v>
      </c>
      <c r="E8778" s="10" t="str">
        <f t="array" ref="E8778">IFS(D8778&lt;=$G$3,'calculated data '!$A$3,D8778&lt;=$G$4,'calculated data '!$A$4,D8778&lt;=$G$6,'calculated data '!$A$5,D8778&gt;=$G$6,'calculated data '!$A$6)</f>
        <v>High Demand Tier</v>
      </c>
      <c r="F8778" s="10">
        <f t="shared" si="1"/>
        <v>0.3413727785</v>
      </c>
    </row>
    <row r="8779" ht="14.25" customHeight="1">
      <c r="A8779" s="2" t="s">
        <v>439</v>
      </c>
      <c r="B8779" s="2" t="s">
        <v>440</v>
      </c>
      <c r="C8779" s="2">
        <v>1984.0</v>
      </c>
      <c r="D8779" s="9">
        <v>37956.14</v>
      </c>
      <c r="E8779" s="10" t="str">
        <f t="array" ref="E8779">IFS(D8779&lt;=$G$3,'calculated data '!$A$3,D8779&lt;=$G$4,'calculated data '!$A$4,D8779&lt;=$G$6,'calculated data '!$A$5,D8779&gt;=$G$6,'calculated data '!$A$6)</f>
        <v>High Demand Tier</v>
      </c>
      <c r="F8779" s="10">
        <f t="shared" si="1"/>
        <v>0.3415180974</v>
      </c>
    </row>
    <row r="8780" ht="14.25" customHeight="1">
      <c r="A8780" s="2" t="s">
        <v>449</v>
      </c>
      <c r="B8780" s="2" t="s">
        <v>450</v>
      </c>
      <c r="C8780" s="2">
        <v>1991.0</v>
      </c>
      <c r="D8780" s="9">
        <v>37957.8</v>
      </c>
      <c r="E8780" s="10" t="str">
        <f t="array" ref="E8780">IFS(D8780&lt;=$G$3,'calculated data '!$A$3,D8780&lt;=$G$4,'calculated data '!$A$4,D8780&lt;=$G$6,'calculated data '!$A$5,D8780&gt;=$G$6,'calculated data '!$A$6)</f>
        <v>High Demand Tier</v>
      </c>
      <c r="F8780" s="10">
        <f t="shared" si="1"/>
        <v>0.3415620372</v>
      </c>
    </row>
    <row r="8781" ht="14.25" customHeight="1">
      <c r="A8781" s="2" t="s">
        <v>413</v>
      </c>
      <c r="B8781" s="2" t="s">
        <v>414</v>
      </c>
      <c r="C8781" s="2">
        <v>2007.0</v>
      </c>
      <c r="D8781" s="9">
        <v>37970.355</v>
      </c>
      <c r="E8781" s="10" t="str">
        <f t="array" ref="E8781">IFS(D8781&lt;=$G$3,'calculated data '!$A$3,D8781&lt;=$G$4,'calculated data '!$A$4,D8781&lt;=$G$6,'calculated data '!$A$5,D8781&gt;=$G$6,'calculated data '!$A$6)</f>
        <v>High Demand Tier</v>
      </c>
      <c r="F8781" s="10">
        <f t="shared" si="1"/>
        <v>0.3418943649</v>
      </c>
    </row>
    <row r="8782" ht="14.25" customHeight="1">
      <c r="A8782" s="2" t="s">
        <v>415</v>
      </c>
      <c r="B8782" s="2" t="s">
        <v>416</v>
      </c>
      <c r="C8782" s="2">
        <v>1989.0</v>
      </c>
      <c r="D8782" s="9">
        <v>37974.227</v>
      </c>
      <c r="E8782" s="10" t="str">
        <f t="array" ref="E8782">IFS(D8782&lt;=$G$3,'calculated data '!$A$3,D8782&lt;=$G$4,'calculated data '!$A$4,D8782&lt;=$G$6,'calculated data '!$A$5,D8782&gt;=$G$6,'calculated data '!$A$6)</f>
        <v>High Demand Tier</v>
      </c>
      <c r="F8782" s="10">
        <f t="shared" si="1"/>
        <v>0.3419968558</v>
      </c>
    </row>
    <row r="8783" ht="14.25" customHeight="1">
      <c r="A8783" s="2" t="s">
        <v>397</v>
      </c>
      <c r="B8783" s="2" t="s">
        <v>398</v>
      </c>
      <c r="C8783" s="2">
        <v>1972.0</v>
      </c>
      <c r="D8783" s="9">
        <v>38020.406</v>
      </c>
      <c r="E8783" s="10" t="str">
        <f t="array" ref="E8783">IFS(D8783&lt;=$G$3,'calculated data '!$A$3,D8783&lt;=$G$4,'calculated data '!$A$4,D8783&lt;=$G$6,'calculated data '!$A$5,D8783&gt;=$G$6,'calculated data '!$A$6)</f>
        <v>High Demand Tier</v>
      </c>
      <c r="F8783" s="10">
        <f t="shared" si="1"/>
        <v>0.3432192024</v>
      </c>
    </row>
    <row r="8784" ht="14.25" customHeight="1">
      <c r="A8784" s="2" t="s">
        <v>407</v>
      </c>
      <c r="B8784" s="2" t="s">
        <v>408</v>
      </c>
      <c r="C8784" s="2">
        <v>1994.0</v>
      </c>
      <c r="D8784" s="9">
        <v>38050.914</v>
      </c>
      <c r="E8784" s="10" t="str">
        <f t="array" ref="E8784">IFS(D8784&lt;=$G$3,'calculated data '!$A$3,D8784&lt;=$G$4,'calculated data '!$A$4,D8784&lt;=$G$6,'calculated data '!$A$5,D8784&gt;=$G$6,'calculated data '!$A$6)</f>
        <v>High Demand Tier</v>
      </c>
      <c r="F8784" s="10">
        <f t="shared" si="1"/>
        <v>0.3440267416</v>
      </c>
    </row>
    <row r="8785" ht="14.25" customHeight="1">
      <c r="A8785" s="2" t="s">
        <v>437</v>
      </c>
      <c r="B8785" s="2" t="s">
        <v>438</v>
      </c>
      <c r="C8785" s="2">
        <v>1976.0</v>
      </c>
      <c r="D8785" s="9">
        <v>38065.703</v>
      </c>
      <c r="E8785" s="10" t="str">
        <f t="array" ref="E8785">IFS(D8785&lt;=$G$3,'calculated data '!$A$3,D8785&lt;=$G$4,'calculated data '!$A$4,D8785&lt;=$G$6,'calculated data '!$A$5,D8785&gt;=$G$6,'calculated data '!$A$6)</f>
        <v>High Demand Tier</v>
      </c>
      <c r="F8785" s="10">
        <f t="shared" si="1"/>
        <v>0.3444182027</v>
      </c>
    </row>
    <row r="8786" ht="14.25" customHeight="1">
      <c r="A8786" s="2" t="s">
        <v>447</v>
      </c>
      <c r="B8786" s="2" t="s">
        <v>448</v>
      </c>
      <c r="C8786" s="2">
        <v>2003.0</v>
      </c>
      <c r="D8786" s="9">
        <v>38086.293</v>
      </c>
      <c r="E8786" s="10" t="str">
        <f t="array" ref="E8786">IFS(D8786&lt;=$G$3,'calculated data '!$A$3,D8786&lt;=$G$4,'calculated data '!$A$4,D8786&lt;=$G$6,'calculated data '!$A$5,D8786&gt;=$G$6,'calculated data '!$A$6)</f>
        <v>High Demand Tier</v>
      </c>
      <c r="F8786" s="10">
        <f t="shared" si="1"/>
        <v>0.3449632149</v>
      </c>
    </row>
    <row r="8787" ht="14.25" customHeight="1">
      <c r="A8787" s="2" t="s">
        <v>353</v>
      </c>
      <c r="B8787" s="2" t="s">
        <v>354</v>
      </c>
      <c r="C8787" s="2">
        <v>1986.0</v>
      </c>
      <c r="D8787" s="9">
        <v>38088.965</v>
      </c>
      <c r="E8787" s="10" t="str">
        <f t="array" ref="E8787">IFS(D8787&lt;=$G$3,'calculated data '!$A$3,D8787&lt;=$G$4,'calculated data '!$A$4,D8787&lt;=$G$6,'calculated data '!$A$5,D8787&gt;=$G$6,'calculated data '!$A$6)</f>
        <v>High Demand Tier</v>
      </c>
      <c r="F8787" s="10">
        <f t="shared" si="1"/>
        <v>0.3450339421</v>
      </c>
    </row>
    <row r="8788" ht="14.25" customHeight="1">
      <c r="A8788" s="2" t="s">
        <v>473</v>
      </c>
      <c r="B8788" s="2" t="s">
        <v>474</v>
      </c>
      <c r="C8788" s="2">
        <v>2024.0</v>
      </c>
      <c r="D8788" s="9">
        <v>38116.48</v>
      </c>
      <c r="E8788" s="10" t="str">
        <f t="array" ref="E8788">IFS(D8788&lt;=$G$3,'calculated data '!$A$3,D8788&lt;=$G$4,'calculated data '!$A$4,D8788&lt;=$G$6,'calculated data '!$A$5,D8788&gt;=$G$6,'calculated data '!$A$6)</f>
        <v>High Demand Tier</v>
      </c>
      <c r="F8788" s="10">
        <f t="shared" si="1"/>
        <v>0.3457622573</v>
      </c>
    </row>
    <row r="8789" ht="14.25" customHeight="1">
      <c r="A8789" s="2" t="s">
        <v>459</v>
      </c>
      <c r="B8789" s="2" t="s">
        <v>460</v>
      </c>
      <c r="C8789" s="2">
        <v>1967.0</v>
      </c>
      <c r="D8789" s="9">
        <v>38158.36</v>
      </c>
      <c r="E8789" s="10" t="str">
        <f t="array" ref="E8789">IFS(D8789&lt;=$G$3,'calculated data '!$A$3,D8789&lt;=$G$4,'calculated data '!$A$4,D8789&lt;=$G$6,'calculated data '!$A$5,D8789&gt;=$G$6,'calculated data '!$A$6)</f>
        <v>High Demand Tier</v>
      </c>
      <c r="F8789" s="10">
        <f t="shared" si="1"/>
        <v>0.3468708104</v>
      </c>
    </row>
    <row r="8790" ht="14.25" customHeight="1">
      <c r="A8790" s="2" t="s">
        <v>447</v>
      </c>
      <c r="B8790" s="2" t="s">
        <v>448</v>
      </c>
      <c r="C8790" s="2">
        <v>1997.0</v>
      </c>
      <c r="D8790" s="9">
        <v>38169.426</v>
      </c>
      <c r="E8790" s="10" t="str">
        <f t="array" ref="E8790">IFS(D8790&lt;=$G$3,'calculated data '!$A$3,D8790&lt;=$G$4,'calculated data '!$A$4,D8790&lt;=$G$6,'calculated data '!$A$5,D8790&gt;=$G$6,'calculated data '!$A$6)</f>
        <v>High Demand Tier</v>
      </c>
      <c r="F8790" s="10">
        <f t="shared" si="1"/>
        <v>0.3471637247</v>
      </c>
    </row>
    <row r="8791" ht="14.25" customHeight="1">
      <c r="A8791" s="2" t="s">
        <v>447</v>
      </c>
      <c r="B8791" s="2" t="s">
        <v>448</v>
      </c>
      <c r="C8791" s="2">
        <v>2001.0</v>
      </c>
      <c r="D8791" s="9">
        <v>38183.387</v>
      </c>
      <c r="E8791" s="10" t="str">
        <f t="array" ref="E8791">IFS(D8791&lt;=$G$3,'calculated data '!$A$3,D8791&lt;=$G$4,'calculated data '!$A$4,D8791&lt;=$G$6,'calculated data '!$A$5,D8791&gt;=$G$6,'calculated data '!$A$6)</f>
        <v>High Demand Tier</v>
      </c>
      <c r="F8791" s="10">
        <f t="shared" si="1"/>
        <v>0.3475332689</v>
      </c>
    </row>
    <row r="8792" ht="14.25" customHeight="1">
      <c r="A8792" s="2" t="s">
        <v>449</v>
      </c>
      <c r="B8792" s="2" t="s">
        <v>450</v>
      </c>
      <c r="C8792" s="2">
        <v>1992.0</v>
      </c>
      <c r="D8792" s="9">
        <v>38198.36</v>
      </c>
      <c r="E8792" s="10" t="str">
        <f t="array" ref="E8792">IFS(D8792&lt;=$G$3,'calculated data '!$A$3,D8792&lt;=$G$4,'calculated data '!$A$4,D8792&lt;=$G$6,'calculated data '!$A$5,D8792&gt;=$G$6,'calculated data '!$A$6)</f>
        <v>High Demand Tier</v>
      </c>
      <c r="F8792" s="10">
        <f t="shared" si="1"/>
        <v>0.3479296005</v>
      </c>
    </row>
    <row r="8793" ht="14.25" customHeight="1">
      <c r="A8793" s="2" t="s">
        <v>417</v>
      </c>
      <c r="B8793" s="2" t="s">
        <v>418</v>
      </c>
      <c r="C8793" s="2">
        <v>2012.0</v>
      </c>
      <c r="D8793" s="9">
        <v>38198.465</v>
      </c>
      <c r="E8793" s="10" t="str">
        <f t="array" ref="E8793">IFS(D8793&lt;=$G$3,'calculated data '!$A$3,D8793&lt;=$G$4,'calculated data '!$A$4,D8793&lt;=$G$6,'calculated data '!$A$5,D8793&gt;=$G$6,'calculated data '!$A$6)</f>
        <v>High Demand Tier</v>
      </c>
      <c r="F8793" s="10">
        <f t="shared" si="1"/>
        <v>0.3479323798</v>
      </c>
    </row>
    <row r="8794" ht="14.25" customHeight="1">
      <c r="A8794" s="2" t="s">
        <v>413</v>
      </c>
      <c r="B8794" s="2" t="s">
        <v>414</v>
      </c>
      <c r="C8794" s="2">
        <v>2000.0</v>
      </c>
      <c r="D8794" s="9">
        <v>38217.324</v>
      </c>
      <c r="E8794" s="10" t="str">
        <f t="array" ref="E8794">IFS(D8794&lt;=$G$3,'calculated data '!$A$3,D8794&lt;=$G$4,'calculated data '!$A$4,D8794&lt;=$G$6,'calculated data '!$A$5,D8794&gt;=$G$6,'calculated data '!$A$6)</f>
        <v>High Demand Tier</v>
      </c>
      <c r="F8794" s="10">
        <f t="shared" si="1"/>
        <v>0.3484315728</v>
      </c>
    </row>
    <row r="8795" ht="14.25" customHeight="1">
      <c r="A8795" s="2" t="s">
        <v>439</v>
      </c>
      <c r="B8795" s="2" t="s">
        <v>440</v>
      </c>
      <c r="C8795" s="2">
        <v>1985.0</v>
      </c>
      <c r="D8795" s="9">
        <v>38239.113</v>
      </c>
      <c r="E8795" s="10" t="str">
        <f t="array" ref="E8795">IFS(D8795&lt;=$G$3,'calculated data '!$A$3,D8795&lt;=$G$4,'calculated data '!$A$4,D8795&lt;=$G$6,'calculated data '!$A$5,D8795&gt;=$G$6,'calculated data '!$A$6)</f>
        <v>High Demand Tier</v>
      </c>
      <c r="F8795" s="10">
        <f t="shared" si="1"/>
        <v>0.3490083222</v>
      </c>
    </row>
    <row r="8796" ht="14.25" customHeight="1">
      <c r="A8796" s="2" t="s">
        <v>335</v>
      </c>
      <c r="B8796" s="2" t="s">
        <v>336</v>
      </c>
      <c r="C8796" s="2">
        <v>2006.0</v>
      </c>
      <c r="D8796" s="9">
        <v>38251.27</v>
      </c>
      <c r="E8796" s="10" t="str">
        <f t="array" ref="E8796">IFS(D8796&lt;=$G$3,'calculated data '!$A$3,D8796&lt;=$G$4,'calculated data '!$A$4,D8796&lt;=$G$6,'calculated data '!$A$5,D8796&gt;=$G$6,'calculated data '!$A$6)</f>
        <v>High Demand Tier</v>
      </c>
      <c r="F8796" s="10">
        <f t="shared" si="1"/>
        <v>0.349330115</v>
      </c>
    </row>
    <row r="8797" ht="14.25" customHeight="1">
      <c r="A8797" s="2" t="s">
        <v>471</v>
      </c>
      <c r="B8797" s="2" t="s">
        <v>472</v>
      </c>
      <c r="C8797" s="2">
        <v>1999.0</v>
      </c>
      <c r="D8797" s="9">
        <v>38264.707</v>
      </c>
      <c r="E8797" s="10" t="str">
        <f t="array" ref="E8797">IFS(D8797&lt;=$G$3,'calculated data '!$A$3,D8797&lt;=$G$4,'calculated data '!$A$4,D8797&lt;=$G$6,'calculated data '!$A$5,D8797&gt;=$G$6,'calculated data '!$A$6)</f>
        <v>High Demand Tier</v>
      </c>
      <c r="F8797" s="10">
        <f t="shared" si="1"/>
        <v>0.349685789</v>
      </c>
    </row>
    <row r="8798" ht="14.25" customHeight="1">
      <c r="A8798" s="2" t="s">
        <v>353</v>
      </c>
      <c r="B8798" s="2" t="s">
        <v>354</v>
      </c>
      <c r="C8798" s="2">
        <v>1987.0</v>
      </c>
      <c r="D8798" s="9">
        <v>38293.16</v>
      </c>
      <c r="E8798" s="10" t="str">
        <f t="array" ref="E8798">IFS(D8798&lt;=$G$3,'calculated data '!$A$3,D8798&lt;=$G$4,'calculated data '!$A$4,D8798&lt;=$G$6,'calculated data '!$A$5,D8798&gt;=$G$6,'calculated data '!$A$6)</f>
        <v>High Demand Tier</v>
      </c>
      <c r="F8798" s="10">
        <f t="shared" si="1"/>
        <v>0.3504389329</v>
      </c>
    </row>
    <row r="8799" ht="14.25" customHeight="1">
      <c r="A8799" s="2" t="s">
        <v>465</v>
      </c>
      <c r="B8799" s="2" t="s">
        <v>466</v>
      </c>
      <c r="C8799" s="2">
        <v>2022.0</v>
      </c>
      <c r="D8799" s="9">
        <v>38300.086</v>
      </c>
      <c r="E8799" s="10" t="str">
        <f t="array" ref="E8799">IFS(D8799&lt;=$G$3,'calculated data '!$A$3,D8799&lt;=$G$4,'calculated data '!$A$4,D8799&lt;=$G$6,'calculated data '!$A$5,D8799&gt;=$G$6,'calculated data '!$A$6)</f>
        <v>High Demand Tier</v>
      </c>
      <c r="F8799" s="10">
        <f t="shared" si="1"/>
        <v>0.3506222624</v>
      </c>
    </row>
    <row r="8800" ht="14.25" customHeight="1">
      <c r="A8800" s="2" t="s">
        <v>417</v>
      </c>
      <c r="B8800" s="2" t="s">
        <v>418</v>
      </c>
      <c r="C8800" s="2">
        <v>1978.0</v>
      </c>
      <c r="D8800" s="9">
        <v>38321.95</v>
      </c>
      <c r="E8800" s="10" t="str">
        <f t="array" ref="E8800">IFS(D8800&lt;=$G$3,'calculated data '!$A$3,D8800&lt;=$G$4,'calculated data '!$A$4,D8800&lt;=$G$6,'calculated data '!$A$5,D8800&gt;=$G$6,'calculated data '!$A$6)</f>
        <v>High Demand Tier</v>
      </c>
      <c r="F8800" s="10">
        <f t="shared" si="1"/>
        <v>0.351200997</v>
      </c>
    </row>
    <row r="8801" ht="14.25" customHeight="1">
      <c r="A8801" s="2" t="s">
        <v>335</v>
      </c>
      <c r="B8801" s="2" t="s">
        <v>336</v>
      </c>
      <c r="C8801" s="2">
        <v>2007.0</v>
      </c>
      <c r="D8801" s="9">
        <v>38322.78</v>
      </c>
      <c r="E8801" s="10" t="str">
        <f t="array" ref="E8801">IFS(D8801&lt;=$G$3,'calculated data '!$A$3,D8801&lt;=$G$4,'calculated data '!$A$4,D8801&lt;=$G$6,'calculated data '!$A$5,D8801&gt;=$G$6,'calculated data '!$A$6)</f>
        <v>High Demand Tier</v>
      </c>
      <c r="F8801" s="10">
        <f t="shared" si="1"/>
        <v>0.3512229669</v>
      </c>
    </row>
    <row r="8802" ht="14.25" customHeight="1">
      <c r="A8802" s="2" t="s">
        <v>459</v>
      </c>
      <c r="B8802" s="2" t="s">
        <v>460</v>
      </c>
      <c r="C8802" s="2">
        <v>2020.0</v>
      </c>
      <c r="D8802" s="9">
        <v>38345.117</v>
      </c>
      <c r="E8802" s="10" t="str">
        <f t="array" ref="E8802">IFS(D8802&lt;=$G$3,'calculated data '!$A$3,D8802&lt;=$G$4,'calculated data '!$A$4,D8802&lt;=$G$6,'calculated data '!$A$5,D8802&gt;=$G$6,'calculated data '!$A$6)</f>
        <v>High Demand Tier</v>
      </c>
      <c r="F8802" s="10">
        <f t="shared" si="1"/>
        <v>0.3518142217</v>
      </c>
    </row>
    <row r="8803" ht="14.25" customHeight="1">
      <c r="A8803" s="2" t="s">
        <v>433</v>
      </c>
      <c r="B8803" s="2" t="s">
        <v>434</v>
      </c>
      <c r="C8803" s="2">
        <v>1982.0</v>
      </c>
      <c r="D8803" s="9">
        <v>38348.258</v>
      </c>
      <c r="E8803" s="10" t="str">
        <f t="array" ref="E8803">IFS(D8803&lt;=$G$3,'calculated data '!$A$3,D8803&lt;=$G$4,'calculated data '!$A$4,D8803&lt;=$G$6,'calculated data '!$A$5,D8803&gt;=$G$6,'calculated data '!$A$6)</f>
        <v>High Demand Tier</v>
      </c>
      <c r="F8803" s="10">
        <f t="shared" si="1"/>
        <v>0.3518973632</v>
      </c>
    </row>
    <row r="8804" ht="14.25" customHeight="1">
      <c r="A8804" s="2" t="s">
        <v>443</v>
      </c>
      <c r="B8804" s="2" t="s">
        <v>444</v>
      </c>
      <c r="C8804" s="2">
        <v>2015.0</v>
      </c>
      <c r="D8804" s="9">
        <v>38350.656</v>
      </c>
      <c r="E8804" s="10" t="str">
        <f t="array" ref="E8804">IFS(D8804&lt;=$G$3,'calculated data '!$A$3,D8804&lt;=$G$4,'calculated data '!$A$4,D8804&lt;=$G$6,'calculated data '!$A$5,D8804&gt;=$G$6,'calculated data '!$A$6)</f>
        <v>High Demand Tier</v>
      </c>
      <c r="F8804" s="10">
        <f t="shared" si="1"/>
        <v>0.3519608377</v>
      </c>
    </row>
    <row r="8805" ht="14.25" customHeight="1">
      <c r="A8805" s="2" t="s">
        <v>369</v>
      </c>
      <c r="B8805" s="2" t="s">
        <v>370</v>
      </c>
      <c r="C8805" s="2">
        <v>2022.0</v>
      </c>
      <c r="D8805" s="9">
        <v>38353.25</v>
      </c>
      <c r="E8805" s="10" t="str">
        <f t="array" ref="E8805">IFS(D8805&lt;=$G$3,'calculated data '!$A$3,D8805&lt;=$G$4,'calculated data '!$A$4,D8805&lt;=$G$6,'calculated data '!$A$5,D8805&gt;=$G$6,'calculated data '!$A$6)</f>
        <v>High Demand Tier</v>
      </c>
      <c r="F8805" s="10">
        <f t="shared" si="1"/>
        <v>0.3520295002</v>
      </c>
    </row>
    <row r="8806" ht="14.25" customHeight="1">
      <c r="A8806" s="2" t="s">
        <v>459</v>
      </c>
      <c r="B8806" s="2" t="s">
        <v>460</v>
      </c>
      <c r="C8806" s="2">
        <v>1966.0</v>
      </c>
      <c r="D8806" s="9">
        <v>38411.42</v>
      </c>
      <c r="E8806" s="10" t="str">
        <f t="array" ref="E8806">IFS(D8806&lt;=$G$3,'calculated data '!$A$3,D8806&lt;=$G$4,'calculated data '!$A$4,D8806&lt;=$G$6,'calculated data '!$A$5,D8806&gt;=$G$6,'calculated data '!$A$6)</f>
        <v>High Demand Tier</v>
      </c>
      <c r="F8806" s="10">
        <f t="shared" si="1"/>
        <v>0.3535692456</v>
      </c>
    </row>
    <row r="8807" ht="14.25" customHeight="1">
      <c r="A8807" s="2" t="s">
        <v>445</v>
      </c>
      <c r="B8807" s="2" t="s">
        <v>446</v>
      </c>
      <c r="C8807" s="2">
        <v>1972.0</v>
      </c>
      <c r="D8807" s="9">
        <v>38452.055</v>
      </c>
      <c r="E8807" s="10" t="str">
        <f t="array" ref="E8807">IFS(D8807&lt;=$G$3,'calculated data '!$A$3,D8807&lt;=$G$4,'calculated data '!$A$4,D8807&lt;=$G$6,'calculated data '!$A$5,D8807&gt;=$G$6,'calculated data '!$A$6)</f>
        <v>High Demand Tier</v>
      </c>
      <c r="F8807" s="10">
        <f t="shared" si="1"/>
        <v>0.3546448439</v>
      </c>
    </row>
    <row r="8808" ht="14.25" customHeight="1">
      <c r="A8808" s="2" t="s">
        <v>411</v>
      </c>
      <c r="B8808" s="2" t="s">
        <v>412</v>
      </c>
      <c r="C8808" s="2">
        <v>1983.0</v>
      </c>
      <c r="D8808" s="9">
        <v>38493.57</v>
      </c>
      <c r="E8808" s="10" t="str">
        <f t="array" ref="E8808">IFS(D8808&lt;=$G$3,'calculated data '!$A$3,D8808&lt;=$G$4,'calculated data '!$A$4,D8808&lt;=$G$6,'calculated data '!$A$5,D8808&gt;=$G$6,'calculated data '!$A$6)</f>
        <v>High Demand Tier</v>
      </c>
      <c r="F8808" s="10">
        <f t="shared" si="1"/>
        <v>0.3557437357</v>
      </c>
    </row>
    <row r="8809" ht="14.25" customHeight="1">
      <c r="A8809" s="2" t="s">
        <v>411</v>
      </c>
      <c r="B8809" s="2" t="s">
        <v>412</v>
      </c>
      <c r="C8809" s="2">
        <v>1984.0</v>
      </c>
      <c r="D8809" s="9">
        <v>38497.87</v>
      </c>
      <c r="E8809" s="10" t="str">
        <f t="array" ref="E8809">IFS(D8809&lt;=$G$3,'calculated data '!$A$3,D8809&lt;=$G$4,'calculated data '!$A$4,D8809&lt;=$G$6,'calculated data '!$A$5,D8809&gt;=$G$6,'calculated data '!$A$6)</f>
        <v>High Demand Tier</v>
      </c>
      <c r="F8809" s="10">
        <f t="shared" si="1"/>
        <v>0.3558575556</v>
      </c>
    </row>
    <row r="8810" ht="14.25" customHeight="1">
      <c r="A8810" s="2" t="s">
        <v>447</v>
      </c>
      <c r="B8810" s="2" t="s">
        <v>448</v>
      </c>
      <c r="C8810" s="2">
        <v>2002.0</v>
      </c>
      <c r="D8810" s="9">
        <v>38509.516</v>
      </c>
      <c r="E8810" s="10" t="str">
        <f t="array" ref="E8810">IFS(D8810&lt;=$G$3,'calculated data '!$A$3,D8810&lt;=$G$4,'calculated data '!$A$4,D8810&lt;=$G$6,'calculated data '!$A$5,D8810&gt;=$G$6,'calculated data '!$A$6)</f>
        <v>High Demand Tier</v>
      </c>
      <c r="F8810" s="10">
        <f t="shared" si="1"/>
        <v>0.3561658223</v>
      </c>
    </row>
    <row r="8811" ht="14.25" customHeight="1">
      <c r="A8811" s="2" t="s">
        <v>391</v>
      </c>
      <c r="B8811" s="2" t="s">
        <v>392</v>
      </c>
      <c r="C8811" s="2">
        <v>1993.0</v>
      </c>
      <c r="D8811" s="9">
        <v>38511.812</v>
      </c>
      <c r="E8811" s="10" t="str">
        <f t="array" ref="E8811">IFS(D8811&lt;=$G$3,'calculated data '!$A$3,D8811&lt;=$G$4,'calculated data '!$A$4,D8811&lt;=$G$6,'calculated data '!$A$5,D8811&gt;=$G$6,'calculated data '!$A$6)</f>
        <v>High Demand Tier</v>
      </c>
      <c r="F8811" s="10">
        <f t="shared" si="1"/>
        <v>0.3562265969</v>
      </c>
    </row>
    <row r="8812" ht="14.25" customHeight="1">
      <c r="A8812" s="2" t="s">
        <v>405</v>
      </c>
      <c r="B8812" s="2" t="s">
        <v>406</v>
      </c>
      <c r="C8812" s="2">
        <v>2002.0</v>
      </c>
      <c r="D8812" s="9">
        <v>38541.9</v>
      </c>
      <c r="E8812" s="10" t="str">
        <f t="array" ref="E8812">IFS(D8812&lt;=$G$3,'calculated data '!$A$3,D8812&lt;=$G$4,'calculated data '!$A$4,D8812&lt;=$G$6,'calculated data '!$A$5,D8812&gt;=$G$6,'calculated data '!$A$6)</f>
        <v>High Demand Tier</v>
      </c>
      <c r="F8812" s="10">
        <f t="shared" si="1"/>
        <v>0.3570230187</v>
      </c>
    </row>
    <row r="8813" ht="14.25" customHeight="1">
      <c r="A8813" s="2" t="s">
        <v>437</v>
      </c>
      <c r="B8813" s="2" t="s">
        <v>438</v>
      </c>
      <c r="C8813" s="2">
        <v>2025.0</v>
      </c>
      <c r="D8813" s="9">
        <v>38546.594</v>
      </c>
      <c r="E8813" s="10" t="str">
        <f t="array" ref="E8813">IFS(D8813&lt;=$G$3,'calculated data '!$A$3,D8813&lt;=$G$4,'calculated data '!$A$4,D8813&lt;=$G$6,'calculated data '!$A$5,D8813&gt;=$G$6,'calculated data '!$A$6)</f>
        <v>High Demand Tier</v>
      </c>
      <c r="F8813" s="10">
        <f t="shared" si="1"/>
        <v>0.3571472677</v>
      </c>
    </row>
    <row r="8814" ht="14.25" customHeight="1">
      <c r="A8814" s="2" t="s">
        <v>267</v>
      </c>
      <c r="B8814" s="2" t="s">
        <v>268</v>
      </c>
      <c r="C8814" s="2">
        <v>2011.0</v>
      </c>
      <c r="D8814" s="9">
        <v>38559.43</v>
      </c>
      <c r="E8814" s="10" t="str">
        <f t="array" ref="E8814">IFS(D8814&lt;=$G$3,'calculated data '!$A$3,D8814&lt;=$G$4,'calculated data '!$A$4,D8814&lt;=$G$6,'calculated data '!$A$5,D8814&gt;=$G$6,'calculated data '!$A$6)</f>
        <v>High Demand Tier</v>
      </c>
      <c r="F8814" s="10">
        <f t="shared" si="1"/>
        <v>0.3574870335</v>
      </c>
    </row>
    <row r="8815" ht="14.25" customHeight="1">
      <c r="A8815" s="2" t="s">
        <v>451</v>
      </c>
      <c r="B8815" s="2" t="s">
        <v>452</v>
      </c>
      <c r="C8815" s="2">
        <v>1970.0</v>
      </c>
      <c r="D8815" s="9">
        <v>38562.156</v>
      </c>
      <c r="E8815" s="10" t="str">
        <f t="array" ref="E8815">IFS(D8815&lt;=$G$3,'calculated data '!$A$3,D8815&lt;=$G$4,'calculated data '!$A$4,D8815&lt;=$G$6,'calculated data '!$A$5,D8815&gt;=$G$6,'calculated data '!$A$6)</f>
        <v>High Demand Tier</v>
      </c>
      <c r="F8815" s="10">
        <f t="shared" si="1"/>
        <v>0.35755919</v>
      </c>
    </row>
    <row r="8816" ht="14.25" customHeight="1">
      <c r="A8816" s="2" t="s">
        <v>433</v>
      </c>
      <c r="B8816" s="2" t="s">
        <v>434</v>
      </c>
      <c r="C8816" s="2">
        <v>1977.0</v>
      </c>
      <c r="D8816" s="9">
        <v>38564.035</v>
      </c>
      <c r="E8816" s="10" t="str">
        <f t="array" ref="E8816">IFS(D8816&lt;=$G$3,'calculated data '!$A$3,D8816&lt;=$G$4,'calculated data '!$A$4,D8816&lt;=$G$6,'calculated data '!$A$5,D8816&gt;=$G$6,'calculated data '!$A$6)</f>
        <v>High Demand Tier</v>
      </c>
      <c r="F8816" s="10">
        <f t="shared" si="1"/>
        <v>0.3576089267</v>
      </c>
    </row>
    <row r="8817" ht="14.25" customHeight="1">
      <c r="A8817" s="2" t="s">
        <v>369</v>
      </c>
      <c r="B8817" s="2" t="s">
        <v>370</v>
      </c>
      <c r="C8817" s="2">
        <v>2021.0</v>
      </c>
      <c r="D8817" s="9">
        <v>38572.348</v>
      </c>
      <c r="E8817" s="10" t="str">
        <f t="array" ref="E8817">IFS(D8817&lt;=$G$3,'calculated data '!$A$3,D8817&lt;=$G$4,'calculated data '!$A$4,D8817&lt;=$G$6,'calculated data '!$A$5,D8817&gt;=$G$6,'calculated data '!$A$6)</f>
        <v>High Demand Tier</v>
      </c>
      <c r="F8817" s="10">
        <f t="shared" si="1"/>
        <v>0.3578289697</v>
      </c>
    </row>
    <row r="8818" ht="14.25" customHeight="1">
      <c r="A8818" s="2" t="s">
        <v>257</v>
      </c>
      <c r="B8818" s="2" t="s">
        <v>258</v>
      </c>
      <c r="C8818" s="2">
        <v>2020.0</v>
      </c>
      <c r="D8818" s="9">
        <v>38576.715</v>
      </c>
      <c r="E8818" s="10" t="str">
        <f t="array" ref="E8818">IFS(D8818&lt;=$G$3,'calculated data '!$A$3,D8818&lt;=$G$4,'calculated data '!$A$4,D8818&lt;=$G$6,'calculated data '!$A$5,D8818&gt;=$G$6,'calculated data '!$A$6)</f>
        <v>High Demand Tier</v>
      </c>
      <c r="F8818" s="10">
        <f t="shared" si="1"/>
        <v>0.3579445631</v>
      </c>
    </row>
    <row r="8819" ht="14.25" customHeight="1">
      <c r="A8819" s="2" t="s">
        <v>443</v>
      </c>
      <c r="B8819" s="2" t="s">
        <v>444</v>
      </c>
      <c r="C8819" s="2">
        <v>2019.0</v>
      </c>
      <c r="D8819" s="9">
        <v>38578.582</v>
      </c>
      <c r="E8819" s="10" t="str">
        <f t="array" ref="E8819">IFS(D8819&lt;=$G$3,'calculated data '!$A$3,D8819&lt;=$G$4,'calculated data '!$A$4,D8819&lt;=$G$6,'calculated data '!$A$5,D8819&gt;=$G$6,'calculated data '!$A$6)</f>
        <v>High Demand Tier</v>
      </c>
      <c r="F8819" s="10">
        <f t="shared" si="1"/>
        <v>0.3579939821</v>
      </c>
    </row>
    <row r="8820" ht="14.25" customHeight="1">
      <c r="A8820" s="2" t="s">
        <v>421</v>
      </c>
      <c r="B8820" s="2" t="s">
        <v>422</v>
      </c>
      <c r="C8820" s="2">
        <v>1977.0</v>
      </c>
      <c r="D8820" s="9">
        <v>38596.594</v>
      </c>
      <c r="E8820" s="10" t="str">
        <f t="array" ref="E8820">IFS(D8820&lt;=$G$3,'calculated data '!$A$3,D8820&lt;=$G$4,'calculated data '!$A$4,D8820&lt;=$G$6,'calculated data '!$A$5,D8820&gt;=$G$6,'calculated data '!$A$6)</f>
        <v>High Demand Tier</v>
      </c>
      <c r="F8820" s="10">
        <f t="shared" si="1"/>
        <v>0.3584707553</v>
      </c>
    </row>
    <row r="8821" ht="14.25" customHeight="1">
      <c r="A8821" s="2" t="s">
        <v>425</v>
      </c>
      <c r="B8821" s="2" t="s">
        <v>426</v>
      </c>
      <c r="C8821" s="2">
        <v>2009.0</v>
      </c>
      <c r="D8821" s="9">
        <v>38600.117</v>
      </c>
      <c r="E8821" s="10" t="str">
        <f t="array" ref="E8821">IFS(D8821&lt;=$G$3,'calculated data '!$A$3,D8821&lt;=$G$4,'calculated data '!$A$4,D8821&lt;=$G$6,'calculated data '!$A$5,D8821&gt;=$G$6,'calculated data '!$A$6)</f>
        <v>High Demand Tier</v>
      </c>
      <c r="F8821" s="10">
        <f t="shared" si="1"/>
        <v>0.3585640082</v>
      </c>
    </row>
    <row r="8822" ht="14.25" customHeight="1">
      <c r="A8822" s="2" t="s">
        <v>443</v>
      </c>
      <c r="B8822" s="2" t="s">
        <v>444</v>
      </c>
      <c r="C8822" s="2">
        <v>2014.0</v>
      </c>
      <c r="D8822" s="9">
        <v>38600.34</v>
      </c>
      <c r="E8822" s="10" t="str">
        <f t="array" ref="E8822">IFS(D8822&lt;=$G$3,'calculated data '!$A$3,D8822&lt;=$G$4,'calculated data '!$A$4,D8822&lt;=$G$6,'calculated data '!$A$5,D8822&gt;=$G$6,'calculated data '!$A$6)</f>
        <v>High Demand Tier</v>
      </c>
      <c r="F8822" s="10">
        <f t="shared" si="1"/>
        <v>0.358569911</v>
      </c>
    </row>
    <row r="8823" ht="14.25" customHeight="1">
      <c r="A8823" s="2" t="s">
        <v>455</v>
      </c>
      <c r="B8823" s="2" t="s">
        <v>456</v>
      </c>
      <c r="C8823" s="2">
        <v>1968.0</v>
      </c>
      <c r="D8823" s="9">
        <v>38611.793</v>
      </c>
      <c r="E8823" s="10" t="str">
        <f t="array" ref="E8823">IFS(D8823&lt;=$G$3,'calculated data '!$A$3,D8823&lt;=$G$4,'calculated data '!$A$4,D8823&lt;=$G$6,'calculated data '!$A$5,D8823&gt;=$G$6,'calculated data '!$A$6)</f>
        <v>High Demand Tier</v>
      </c>
      <c r="F8823" s="10">
        <f t="shared" si="1"/>
        <v>0.358873069</v>
      </c>
    </row>
    <row r="8824" ht="14.25" customHeight="1">
      <c r="A8824" s="2" t="s">
        <v>409</v>
      </c>
      <c r="B8824" s="2" t="s">
        <v>410</v>
      </c>
      <c r="C8824" s="2">
        <v>2010.0</v>
      </c>
      <c r="D8824" s="9">
        <v>38634.5</v>
      </c>
      <c r="E8824" s="10" t="str">
        <f t="array" ref="E8824">IFS(D8824&lt;=$G$3,'calculated data '!$A$3,D8824&lt;=$G$4,'calculated data '!$A$4,D8824&lt;=$G$6,'calculated data '!$A$5,D8824&gt;=$G$6,'calculated data '!$A$6)</f>
        <v>High Demand Tier</v>
      </c>
      <c r="F8824" s="10">
        <f t="shared" si="1"/>
        <v>0.3594741177</v>
      </c>
    </row>
    <row r="8825" ht="14.25" customHeight="1">
      <c r="A8825" s="2" t="s">
        <v>453</v>
      </c>
      <c r="B8825" s="2" t="s">
        <v>454</v>
      </c>
      <c r="C8825" s="2">
        <v>1985.0</v>
      </c>
      <c r="D8825" s="9">
        <v>38644.855</v>
      </c>
      <c r="E8825" s="10" t="str">
        <f t="array" ref="E8825">IFS(D8825&lt;=$G$3,'calculated data '!$A$3,D8825&lt;=$G$4,'calculated data '!$A$4,D8825&lt;=$G$6,'calculated data '!$A$5,D8825&gt;=$G$6,'calculated data '!$A$6)</f>
        <v>High Demand Tier</v>
      </c>
      <c r="F8825" s="10">
        <f t="shared" si="1"/>
        <v>0.3597482119</v>
      </c>
    </row>
    <row r="8826" ht="14.25" customHeight="1">
      <c r="A8826" s="2" t="s">
        <v>421</v>
      </c>
      <c r="B8826" s="2" t="s">
        <v>422</v>
      </c>
      <c r="C8826" s="2">
        <v>1989.0</v>
      </c>
      <c r="D8826" s="9">
        <v>38651.34</v>
      </c>
      <c r="E8826" s="10" t="str">
        <f t="array" ref="E8826">IFS(D8826&lt;=$G$3,'calculated data '!$A$3,D8826&lt;=$G$4,'calculated data '!$A$4,D8826&lt;=$G$6,'calculated data '!$A$5,D8826&gt;=$G$6,'calculated data '!$A$6)</f>
        <v>High Demand Tier</v>
      </c>
      <c r="F8826" s="10">
        <f t="shared" si="1"/>
        <v>0.3599198683</v>
      </c>
    </row>
    <row r="8827" ht="14.25" customHeight="1">
      <c r="A8827" s="2" t="s">
        <v>391</v>
      </c>
      <c r="B8827" s="2" t="s">
        <v>392</v>
      </c>
      <c r="C8827" s="2">
        <v>1998.0</v>
      </c>
      <c r="D8827" s="9">
        <v>38652.69</v>
      </c>
      <c r="E8827" s="10" t="str">
        <f t="array" ref="E8827">IFS(D8827&lt;=$G$3,'calculated data '!$A$3,D8827&lt;=$G$4,'calculated data '!$A$4,D8827&lt;=$G$6,'calculated data '!$A$5,D8827&gt;=$G$6,'calculated data '!$A$6)</f>
        <v>High Demand Tier</v>
      </c>
      <c r="F8827" s="10">
        <f t="shared" si="1"/>
        <v>0.3599556024</v>
      </c>
    </row>
    <row r="8828" ht="14.25" customHeight="1">
      <c r="A8828" s="2" t="s">
        <v>401</v>
      </c>
      <c r="B8828" s="2" t="s">
        <v>402</v>
      </c>
      <c r="C8828" s="2">
        <v>2017.0</v>
      </c>
      <c r="D8828" s="9">
        <v>38656.3</v>
      </c>
      <c r="E8828" s="10" t="str">
        <f t="array" ref="E8828">IFS(D8828&lt;=$G$3,'calculated data '!$A$3,D8828&lt;=$G$4,'calculated data '!$A$4,D8828&lt;=$G$6,'calculated data '!$A$5,D8828&gt;=$G$6,'calculated data '!$A$6)</f>
        <v>High Demand Tier</v>
      </c>
      <c r="F8828" s="10">
        <f t="shared" si="1"/>
        <v>0.3600511582</v>
      </c>
    </row>
    <row r="8829" ht="14.25" customHeight="1">
      <c r="A8829" s="2" t="s">
        <v>335</v>
      </c>
      <c r="B8829" s="2" t="s">
        <v>336</v>
      </c>
      <c r="C8829" s="2">
        <v>2004.0</v>
      </c>
      <c r="D8829" s="9">
        <v>38661.902</v>
      </c>
      <c r="E8829" s="10" t="str">
        <f t="array" ref="E8829">IFS(D8829&lt;=$G$3,'calculated data '!$A$3,D8829&lt;=$G$4,'calculated data '!$A$4,D8829&lt;=$G$6,'calculated data '!$A$5,D8829&gt;=$G$6,'calculated data '!$A$6)</f>
        <v>High Demand Tier</v>
      </c>
      <c r="F8829" s="10">
        <f t="shared" si="1"/>
        <v>0.3601994418</v>
      </c>
    </row>
    <row r="8830" ht="14.25" customHeight="1">
      <c r="A8830" s="2" t="s">
        <v>459</v>
      </c>
      <c r="B8830" s="2" t="s">
        <v>460</v>
      </c>
      <c r="C8830" s="2">
        <v>1965.0</v>
      </c>
      <c r="D8830" s="9">
        <v>38669.29</v>
      </c>
      <c r="E8830" s="10" t="str">
        <f t="array" ref="E8830">IFS(D8830&lt;=$G$3,'calculated data '!$A$3,D8830&lt;=$G$4,'calculated data '!$A$4,D8830&lt;=$G$6,'calculated data '!$A$5,D8830&gt;=$G$6,'calculated data '!$A$6)</f>
        <v>High Demand Tier</v>
      </c>
      <c r="F8830" s="10">
        <f t="shared" si="1"/>
        <v>0.3603950003</v>
      </c>
    </row>
    <row r="8831" ht="14.25" customHeight="1">
      <c r="A8831" s="2" t="s">
        <v>443</v>
      </c>
      <c r="B8831" s="2" t="s">
        <v>444</v>
      </c>
      <c r="C8831" s="2">
        <v>2016.0</v>
      </c>
      <c r="D8831" s="9">
        <v>38683.055</v>
      </c>
      <c r="E8831" s="10" t="str">
        <f t="array" ref="E8831">IFS(D8831&lt;=$G$3,'calculated data '!$A$3,D8831&lt;=$G$4,'calculated data '!$A$4,D8831&lt;=$G$6,'calculated data '!$A$5,D8831&gt;=$G$6,'calculated data '!$A$6)</f>
        <v>High Demand Tier</v>
      </c>
      <c r="F8831" s="10">
        <f t="shared" si="1"/>
        <v>0.3607593564</v>
      </c>
    </row>
    <row r="8832" ht="14.25" customHeight="1">
      <c r="A8832" s="2" t="s">
        <v>437</v>
      </c>
      <c r="B8832" s="2" t="s">
        <v>438</v>
      </c>
      <c r="C8832" s="2">
        <v>2021.0</v>
      </c>
      <c r="D8832" s="9">
        <v>38685.773</v>
      </c>
      <c r="E8832" s="10" t="str">
        <f t="array" ref="E8832">IFS(D8832&lt;=$G$3,'calculated data '!$A$3,D8832&lt;=$G$4,'calculated data '!$A$4,D8832&lt;=$G$6,'calculated data '!$A$5,D8832&gt;=$G$6,'calculated data '!$A$6)</f>
        <v>High Demand Tier</v>
      </c>
      <c r="F8832" s="10">
        <f t="shared" si="1"/>
        <v>0.3608313012</v>
      </c>
    </row>
    <row r="8833" ht="14.25" customHeight="1">
      <c r="A8833" s="2" t="s">
        <v>411</v>
      </c>
      <c r="B8833" s="2" t="s">
        <v>412</v>
      </c>
      <c r="C8833" s="2">
        <v>1980.0</v>
      </c>
      <c r="D8833" s="9">
        <v>38688.754</v>
      </c>
      <c r="E8833" s="10" t="str">
        <f t="array" ref="E8833">IFS(D8833&lt;=$G$3,'calculated data '!$A$3,D8833&lt;=$G$4,'calculated data '!$A$4,D8833&lt;=$G$6,'calculated data '!$A$5,D8833&gt;=$G$6,'calculated data '!$A$6)</f>
        <v>High Demand Tier</v>
      </c>
      <c r="F8833" s="10">
        <f t="shared" si="1"/>
        <v>0.3609102075</v>
      </c>
    </row>
    <row r="8834" ht="14.25" customHeight="1">
      <c r="A8834" s="2" t="s">
        <v>437</v>
      </c>
      <c r="B8834" s="2" t="s">
        <v>438</v>
      </c>
      <c r="C8834" s="2">
        <v>2023.0</v>
      </c>
      <c r="D8834" s="9">
        <v>38690.38</v>
      </c>
      <c r="E8834" s="10" t="str">
        <f t="array" ref="E8834">IFS(D8834&lt;=$G$3,'calculated data '!$A$3,D8834&lt;=$G$4,'calculated data '!$A$4,D8834&lt;=$G$6,'calculated data '!$A$5,D8834&gt;=$G$6,'calculated data '!$A$6)</f>
        <v>High Demand Tier</v>
      </c>
      <c r="F8834" s="10">
        <f t="shared" si="1"/>
        <v>0.3609532473</v>
      </c>
    </row>
    <row r="8835" ht="14.25" customHeight="1">
      <c r="A8835" s="2" t="s">
        <v>417</v>
      </c>
      <c r="B8835" s="2" t="s">
        <v>418</v>
      </c>
      <c r="C8835" s="2">
        <v>1994.0</v>
      </c>
      <c r="D8835" s="9">
        <v>38735.586</v>
      </c>
      <c r="E8835" s="10" t="str">
        <f t="array" ref="E8835">IFS(D8835&lt;=$G$3,'calculated data '!$A$3,D8835&lt;=$G$4,'calculated data '!$A$4,D8835&lt;=$G$6,'calculated data '!$A$5,D8835&gt;=$G$6,'calculated data '!$A$6)</f>
        <v>High Demand Tier</v>
      </c>
      <c r="F8835" s="10">
        <f t="shared" si="1"/>
        <v>0.3621498389</v>
      </c>
    </row>
    <row r="8836" ht="14.25" customHeight="1">
      <c r="A8836" s="2" t="s">
        <v>417</v>
      </c>
      <c r="B8836" s="2" t="s">
        <v>418</v>
      </c>
      <c r="C8836" s="2">
        <v>1980.0</v>
      </c>
      <c r="D8836" s="9">
        <v>38741.65</v>
      </c>
      <c r="E8836" s="10" t="str">
        <f t="array" ref="E8836">IFS(D8836&lt;=$G$3,'calculated data '!$A$3,D8836&lt;=$G$4,'calculated data '!$A$4,D8836&lt;=$G$6,'calculated data '!$A$5,D8836&gt;=$G$6,'calculated data '!$A$6)</f>
        <v>High Demand Tier</v>
      </c>
      <c r="F8836" s="10">
        <f t="shared" si="1"/>
        <v>0.3623103515</v>
      </c>
    </row>
    <row r="8837" ht="14.25" customHeight="1">
      <c r="A8837" s="2" t="s">
        <v>401</v>
      </c>
      <c r="B8837" s="2" t="s">
        <v>402</v>
      </c>
      <c r="C8837" s="2">
        <v>1996.0</v>
      </c>
      <c r="D8837" s="9">
        <v>38747.652</v>
      </c>
      <c r="E8837" s="10" t="str">
        <f t="array" ref="E8837">IFS(D8837&lt;=$G$3,'calculated data '!$A$3,D8837&lt;=$G$4,'calculated data '!$A$4,D8837&lt;=$G$6,'calculated data '!$A$5,D8837&gt;=$G$6,'calculated data '!$A$6)</f>
        <v>High Demand Tier</v>
      </c>
      <c r="F8837" s="10">
        <f t="shared" si="1"/>
        <v>0.3624692229</v>
      </c>
    </row>
    <row r="8838" ht="14.25" customHeight="1">
      <c r="A8838" s="2" t="s">
        <v>437</v>
      </c>
      <c r="B8838" s="2" t="s">
        <v>438</v>
      </c>
      <c r="C8838" s="2">
        <v>1983.0</v>
      </c>
      <c r="D8838" s="9">
        <v>38761.496</v>
      </c>
      <c r="E8838" s="10" t="str">
        <f t="array" ref="E8838">IFS(D8838&lt;=$G$3,'calculated data '!$A$3,D8838&lt;=$G$4,'calculated data '!$A$4,D8838&lt;=$G$6,'calculated data '!$A$5,D8838&gt;=$G$6,'calculated data '!$A$6)</f>
        <v>High Demand Tier</v>
      </c>
      <c r="F8838" s="10">
        <f t="shared" si="1"/>
        <v>0.3628356701</v>
      </c>
    </row>
    <row r="8839" ht="14.25" customHeight="1">
      <c r="A8839" s="2" t="s">
        <v>421</v>
      </c>
      <c r="B8839" s="2" t="s">
        <v>422</v>
      </c>
      <c r="C8839" s="2">
        <v>1984.0</v>
      </c>
      <c r="D8839" s="9">
        <v>38777.258</v>
      </c>
      <c r="E8839" s="10" t="str">
        <f t="array" ref="E8839">IFS(D8839&lt;=$G$3,'calculated data '!$A$3,D8839&lt;=$G$4,'calculated data '!$A$4,D8839&lt;=$G$6,'calculated data '!$A$5,D8839&gt;=$G$6,'calculated data '!$A$6)</f>
        <v>High Demand Tier</v>
      </c>
      <c r="F8839" s="10">
        <f t="shared" si="1"/>
        <v>0.3632528864</v>
      </c>
    </row>
    <row r="8840" ht="14.25" customHeight="1">
      <c r="A8840" s="2" t="s">
        <v>467</v>
      </c>
      <c r="B8840" s="2" t="s">
        <v>468</v>
      </c>
      <c r="C8840" s="2">
        <v>1967.0</v>
      </c>
      <c r="D8840" s="9">
        <v>38792.668</v>
      </c>
      <c r="E8840" s="10" t="str">
        <f t="array" ref="E8840">IFS(D8840&lt;=$G$3,'calculated data '!$A$3,D8840&lt;=$G$4,'calculated data '!$A$4,D8840&lt;=$G$6,'calculated data '!$A$5,D8840&gt;=$G$6,'calculated data '!$A$6)</f>
        <v>High Demand Tier</v>
      </c>
      <c r="F8840" s="10">
        <f t="shared" si="1"/>
        <v>0.3636607852</v>
      </c>
    </row>
    <row r="8841" ht="14.25" customHeight="1">
      <c r="A8841" s="2" t="s">
        <v>431</v>
      </c>
      <c r="B8841" s="2" t="s">
        <v>432</v>
      </c>
      <c r="C8841" s="2">
        <v>2003.0</v>
      </c>
      <c r="D8841" s="9">
        <v>38797.04</v>
      </c>
      <c r="E8841" s="10" t="str">
        <f t="array" ref="E8841">IFS(D8841&lt;=$G$3,'calculated data '!$A$3,D8841&lt;=$G$4,'calculated data '!$A$4,D8841&lt;=$G$6,'calculated data '!$A$5,D8841&gt;=$G$6,'calculated data '!$A$6)</f>
        <v>High Demand Tier</v>
      </c>
      <c r="F8841" s="10">
        <f t="shared" si="1"/>
        <v>0.363776511</v>
      </c>
    </row>
    <row r="8842" ht="14.25" customHeight="1">
      <c r="A8842" s="2" t="s">
        <v>411</v>
      </c>
      <c r="B8842" s="2" t="s">
        <v>412</v>
      </c>
      <c r="C8842" s="2">
        <v>2009.0</v>
      </c>
      <c r="D8842" s="9">
        <v>38804.473</v>
      </c>
      <c r="E8842" s="10" t="str">
        <f t="array" ref="E8842">IFS(D8842&lt;=$G$3,'calculated data '!$A$3,D8842&lt;=$G$4,'calculated data '!$A$4,D8842&lt;=$G$6,'calculated data '!$A$5,D8842&gt;=$G$6,'calculated data '!$A$6)</f>
        <v>High Demand Tier</v>
      </c>
      <c r="F8842" s="10">
        <f t="shared" si="1"/>
        <v>0.3639732606</v>
      </c>
    </row>
    <row r="8843" ht="14.25" customHeight="1">
      <c r="A8843" s="2" t="s">
        <v>449</v>
      </c>
      <c r="B8843" s="2" t="s">
        <v>450</v>
      </c>
      <c r="C8843" s="2">
        <v>2001.0</v>
      </c>
      <c r="D8843" s="9">
        <v>38821.22</v>
      </c>
      <c r="E8843" s="10" t="str">
        <f t="array" ref="E8843">IFS(D8843&lt;=$G$3,'calculated data '!$A$3,D8843&lt;=$G$4,'calculated data '!$A$4,D8843&lt;=$G$6,'calculated data '!$A$5,D8843&gt;=$G$6,'calculated data '!$A$6)</f>
        <v>High Demand Tier</v>
      </c>
      <c r="F8843" s="10">
        <f t="shared" si="1"/>
        <v>0.3644165496</v>
      </c>
    </row>
    <row r="8844" ht="14.25" customHeight="1">
      <c r="A8844" s="2" t="s">
        <v>401</v>
      </c>
      <c r="B8844" s="2" t="s">
        <v>402</v>
      </c>
      <c r="C8844" s="2">
        <v>1997.0</v>
      </c>
      <c r="D8844" s="9">
        <v>38845.47</v>
      </c>
      <c r="E8844" s="10" t="str">
        <f t="array" ref="E8844">IFS(D8844&lt;=$G$3,'calculated data '!$A$3,D8844&lt;=$G$4,'calculated data '!$A$4,D8844&lt;=$G$6,'calculated data '!$A$5,D8844&gt;=$G$6,'calculated data '!$A$6)</f>
        <v>High Demand Tier</v>
      </c>
      <c r="F8844" s="10">
        <f t="shared" si="1"/>
        <v>0.365058441</v>
      </c>
    </row>
    <row r="8845" ht="14.25" customHeight="1">
      <c r="A8845" s="2" t="s">
        <v>413</v>
      </c>
      <c r="B8845" s="2" t="s">
        <v>414</v>
      </c>
      <c r="C8845" s="2">
        <v>1976.0</v>
      </c>
      <c r="D8845" s="9">
        <v>38857.957</v>
      </c>
      <c r="E8845" s="10" t="str">
        <f t="array" ref="E8845">IFS(D8845&lt;=$G$3,'calculated data '!$A$3,D8845&lt;=$G$4,'calculated data '!$A$4,D8845&lt;=$G$6,'calculated data '!$A$5,D8845&gt;=$G$6,'calculated data '!$A$6)</f>
        <v>High Demand Tier</v>
      </c>
      <c r="F8845" s="10">
        <f t="shared" si="1"/>
        <v>0.3653889688</v>
      </c>
    </row>
    <row r="8846" ht="14.25" customHeight="1">
      <c r="A8846" s="2" t="s">
        <v>417</v>
      </c>
      <c r="B8846" s="2" t="s">
        <v>418</v>
      </c>
      <c r="C8846" s="2">
        <v>2009.0</v>
      </c>
      <c r="D8846" s="9">
        <v>38858.06</v>
      </c>
      <c r="E8846" s="10" t="str">
        <f t="array" ref="E8846">IFS(D8846&lt;=$G$3,'calculated data '!$A$3,D8846&lt;=$G$4,'calculated data '!$A$4,D8846&lt;=$G$6,'calculated data '!$A$5,D8846&gt;=$G$6,'calculated data '!$A$6)</f>
        <v>High Demand Tier</v>
      </c>
      <c r="F8846" s="10">
        <f t="shared" si="1"/>
        <v>0.3653916952</v>
      </c>
    </row>
    <row r="8847" ht="14.25" customHeight="1">
      <c r="A8847" s="2" t="s">
        <v>381</v>
      </c>
      <c r="B8847" s="2" t="s">
        <v>382</v>
      </c>
      <c r="C8847" s="2">
        <v>1996.0</v>
      </c>
      <c r="D8847" s="9">
        <v>38861.27</v>
      </c>
      <c r="E8847" s="10" t="str">
        <f t="array" ref="E8847">IFS(D8847&lt;=$G$3,'calculated data '!$A$3,D8847&lt;=$G$4,'calculated data '!$A$4,D8847&lt;=$G$6,'calculated data '!$A$5,D8847&gt;=$G$6,'calculated data '!$A$6)</f>
        <v>High Demand Tier</v>
      </c>
      <c r="F8847" s="10">
        <f t="shared" si="1"/>
        <v>0.3654766631</v>
      </c>
    </row>
    <row r="8848" ht="14.25" customHeight="1">
      <c r="A8848" s="2" t="s">
        <v>443</v>
      </c>
      <c r="B8848" s="2" t="s">
        <v>444</v>
      </c>
      <c r="C8848" s="2">
        <v>1972.0</v>
      </c>
      <c r="D8848" s="9">
        <v>38861.484</v>
      </c>
      <c r="E8848" s="10" t="str">
        <f t="array" ref="E8848">IFS(D8848&lt;=$G$3,'calculated data '!$A$3,D8848&lt;=$G$4,'calculated data '!$A$4,D8848&lt;=$G$6,'calculated data '!$A$5,D8848&gt;=$G$6,'calculated data '!$A$6)</f>
        <v>High Demand Tier</v>
      </c>
      <c r="F8848" s="10">
        <f t="shared" si="1"/>
        <v>0.3654823276</v>
      </c>
    </row>
    <row r="8849" ht="14.25" customHeight="1">
      <c r="A8849" s="2" t="s">
        <v>411</v>
      </c>
      <c r="B8849" s="2" t="s">
        <v>412</v>
      </c>
      <c r="C8849" s="2">
        <v>2005.0</v>
      </c>
      <c r="D8849" s="9">
        <v>38875.934</v>
      </c>
      <c r="E8849" s="10" t="str">
        <f t="array" ref="E8849">IFS(D8849&lt;=$G$3,'calculated data '!$A$3,D8849&lt;=$G$4,'calculated data '!$A$4,D8849&lt;=$G$6,'calculated data '!$A$5,D8849&gt;=$G$6,'calculated data '!$A$6)</f>
        <v>High Demand Tier</v>
      </c>
      <c r="F8849" s="10">
        <f t="shared" si="1"/>
        <v>0.3658648155</v>
      </c>
    </row>
    <row r="8850" ht="14.25" customHeight="1">
      <c r="A8850" s="2" t="s">
        <v>401</v>
      </c>
      <c r="B8850" s="2" t="s">
        <v>402</v>
      </c>
      <c r="C8850" s="2">
        <v>2019.0</v>
      </c>
      <c r="D8850" s="9">
        <v>38897.434</v>
      </c>
      <c r="E8850" s="10" t="str">
        <f t="array" ref="E8850">IFS(D8850&lt;=$G$3,'calculated data '!$A$3,D8850&lt;=$G$4,'calculated data '!$A$4,D8850&lt;=$G$6,'calculated data '!$A$5,D8850&gt;=$G$6,'calculated data '!$A$6)</f>
        <v>High Demand Tier</v>
      </c>
      <c r="F8850" s="10">
        <f t="shared" si="1"/>
        <v>0.3664339151</v>
      </c>
    </row>
    <row r="8851" ht="14.25" customHeight="1">
      <c r="A8851" s="2" t="s">
        <v>257</v>
      </c>
      <c r="B8851" s="2" t="s">
        <v>258</v>
      </c>
      <c r="C8851" s="2">
        <v>2022.0</v>
      </c>
      <c r="D8851" s="9">
        <v>38918.59</v>
      </c>
      <c r="E8851" s="10" t="str">
        <f t="array" ref="E8851">IFS(D8851&lt;=$G$3,'calculated data '!$A$3,D8851&lt;=$G$4,'calculated data '!$A$4,D8851&lt;=$G$6,'calculated data '!$A$5,D8851&gt;=$G$6,'calculated data '!$A$6)</f>
        <v>High Demand Tier</v>
      </c>
      <c r="F8851" s="10">
        <f t="shared" si="1"/>
        <v>0.3669939092</v>
      </c>
    </row>
    <row r="8852" ht="14.25" customHeight="1">
      <c r="A8852" s="2" t="s">
        <v>471</v>
      </c>
      <c r="B8852" s="2" t="s">
        <v>472</v>
      </c>
      <c r="C8852" s="2">
        <v>2024.0</v>
      </c>
      <c r="D8852" s="9">
        <v>38919.92</v>
      </c>
      <c r="E8852" s="10" t="str">
        <f t="array" ref="E8852">IFS(D8852&lt;=$G$3,'calculated data '!$A$3,D8852&lt;=$G$4,'calculated data '!$A$4,D8852&lt;=$G$6,'calculated data '!$A$5,D8852&gt;=$G$6,'calculated data '!$A$6)</f>
        <v>High Demand Tier</v>
      </c>
      <c r="F8852" s="10">
        <f t="shared" si="1"/>
        <v>0.367029114</v>
      </c>
    </row>
    <row r="8853" ht="14.25" customHeight="1">
      <c r="A8853" s="2" t="s">
        <v>433</v>
      </c>
      <c r="B8853" s="2" t="s">
        <v>434</v>
      </c>
      <c r="C8853" s="2">
        <v>1974.0</v>
      </c>
      <c r="D8853" s="9">
        <v>38928.273</v>
      </c>
      <c r="E8853" s="10" t="str">
        <f t="array" ref="E8853">IFS(D8853&lt;=$G$3,'calculated data '!$A$3,D8853&lt;=$G$4,'calculated data '!$A$4,D8853&lt;=$G$6,'calculated data '!$A$5,D8853&gt;=$G$6,'calculated data '!$A$6)</f>
        <v>High Demand Tier</v>
      </c>
      <c r="F8853" s="10">
        <f t="shared" si="1"/>
        <v>0.3672502158</v>
      </c>
    </row>
    <row r="8854" ht="14.25" customHeight="1">
      <c r="A8854" s="2" t="s">
        <v>431</v>
      </c>
      <c r="B8854" s="2" t="s">
        <v>432</v>
      </c>
      <c r="C8854" s="2">
        <v>2004.0</v>
      </c>
      <c r="D8854" s="9">
        <v>38933.094</v>
      </c>
      <c r="E8854" s="10" t="str">
        <f t="array" ref="E8854">IFS(D8854&lt;=$G$3,'calculated data '!$A$3,D8854&lt;=$G$4,'calculated data '!$A$4,D8854&lt;=$G$6,'calculated data '!$A$5,D8854&gt;=$G$6,'calculated data '!$A$6)</f>
        <v>High Demand Tier</v>
      </c>
      <c r="F8854" s="10">
        <f t="shared" si="1"/>
        <v>0.3673778265</v>
      </c>
    </row>
    <row r="8855" ht="14.25" customHeight="1">
      <c r="A8855" s="2" t="s">
        <v>433</v>
      </c>
      <c r="B8855" s="2" t="s">
        <v>434</v>
      </c>
      <c r="C8855" s="2">
        <v>1976.0</v>
      </c>
      <c r="D8855" s="9">
        <v>38937.31</v>
      </c>
      <c r="E8855" s="10" t="str">
        <f t="array" ref="E8855">IFS(D8855&lt;=$G$3,'calculated data '!$A$3,D8855&lt;=$G$4,'calculated data '!$A$4,D8855&lt;=$G$6,'calculated data '!$A$5,D8855&gt;=$G$6,'calculated data '!$A$6)</f>
        <v>High Demand Tier</v>
      </c>
      <c r="F8855" s="10">
        <f t="shared" si="1"/>
        <v>0.3674894229</v>
      </c>
    </row>
    <row r="8856" ht="14.25" customHeight="1">
      <c r="A8856" s="2" t="s">
        <v>411</v>
      </c>
      <c r="B8856" s="2" t="s">
        <v>412</v>
      </c>
      <c r="C8856" s="2">
        <v>2010.0</v>
      </c>
      <c r="D8856" s="9">
        <v>38940.348</v>
      </c>
      <c r="E8856" s="10" t="str">
        <f t="array" ref="E8856">IFS(D8856&lt;=$G$3,'calculated data '!$A$3,D8856&lt;=$G$4,'calculated data '!$A$4,D8856&lt;=$G$6,'calculated data '!$A$5,D8856&gt;=$G$6,'calculated data '!$A$6)</f>
        <v>High Demand Tier</v>
      </c>
      <c r="F8856" s="10">
        <f t="shared" si="1"/>
        <v>0.367569838</v>
      </c>
    </row>
    <row r="8857" ht="14.25" customHeight="1">
      <c r="A8857" s="2" t="s">
        <v>351</v>
      </c>
      <c r="B8857" s="2" t="s">
        <v>352</v>
      </c>
      <c r="C8857" s="2">
        <v>1985.0</v>
      </c>
      <c r="D8857" s="9">
        <v>38949.273</v>
      </c>
      <c r="E8857" s="10" t="str">
        <f t="array" ref="E8857">IFS(D8857&lt;=$G$3,'calculated data '!$A$3,D8857&lt;=$G$4,'calculated data '!$A$4,D8857&lt;=$G$6,'calculated data '!$A$5,D8857&gt;=$G$6,'calculated data '!$A$6)</f>
        <v>High Demand Tier</v>
      </c>
      <c r="F8857" s="10">
        <f t="shared" si="1"/>
        <v>0.3678060806</v>
      </c>
    </row>
    <row r="8858" ht="14.25" customHeight="1">
      <c r="A8858" s="2" t="s">
        <v>449</v>
      </c>
      <c r="B8858" s="2" t="s">
        <v>450</v>
      </c>
      <c r="C8858" s="2">
        <v>1989.0</v>
      </c>
      <c r="D8858" s="9">
        <v>38952.156</v>
      </c>
      <c r="E8858" s="10" t="str">
        <f t="array" ref="E8858">IFS(D8858&lt;=$G$3,'calculated data '!$A$3,D8858&lt;=$G$4,'calculated data '!$A$4,D8858&lt;=$G$6,'calculated data '!$A$5,D8858&gt;=$G$6,'calculated data '!$A$6)</f>
        <v>High Demand Tier</v>
      </c>
      <c r="F8858" s="10">
        <f t="shared" si="1"/>
        <v>0.3678823929</v>
      </c>
    </row>
    <row r="8859" ht="14.25" customHeight="1">
      <c r="A8859" s="2" t="s">
        <v>431</v>
      </c>
      <c r="B8859" s="2" t="s">
        <v>432</v>
      </c>
      <c r="C8859" s="2">
        <v>2018.0</v>
      </c>
      <c r="D8859" s="9">
        <v>38953.395</v>
      </c>
      <c r="E8859" s="10" t="str">
        <f t="array" ref="E8859">IFS(D8859&lt;=$G$3,'calculated data '!$A$3,D8859&lt;=$G$4,'calculated data '!$A$4,D8859&lt;=$G$6,'calculated data '!$A$5,D8859&gt;=$G$6,'calculated data '!$A$6)</f>
        <v>High Demand Tier</v>
      </c>
      <c r="F8859" s="10">
        <f t="shared" si="1"/>
        <v>0.3679151889</v>
      </c>
    </row>
    <row r="8860" ht="14.25" customHeight="1">
      <c r="A8860" s="2" t="s">
        <v>417</v>
      </c>
      <c r="B8860" s="2" t="s">
        <v>418</v>
      </c>
      <c r="C8860" s="2">
        <v>2011.0</v>
      </c>
      <c r="D8860" s="9">
        <v>38956.645</v>
      </c>
      <c r="E8860" s="10" t="str">
        <f t="array" ref="E8860">IFS(D8860&lt;=$G$3,'calculated data '!$A$3,D8860&lt;=$G$4,'calculated data '!$A$4,D8860&lt;=$G$6,'calculated data '!$A$5,D8860&gt;=$G$6,'calculated data '!$A$6)</f>
        <v>High Demand Tier</v>
      </c>
      <c r="F8860" s="10">
        <f t="shared" si="1"/>
        <v>0.3680012156</v>
      </c>
    </row>
    <row r="8861" ht="14.25" customHeight="1">
      <c r="A8861" s="2" t="s">
        <v>417</v>
      </c>
      <c r="B8861" s="2" t="s">
        <v>418</v>
      </c>
      <c r="C8861" s="2">
        <v>1993.0</v>
      </c>
      <c r="D8861" s="9">
        <v>38968.65</v>
      </c>
      <c r="E8861" s="10" t="str">
        <f t="array" ref="E8861">IFS(D8861&lt;=$G$3,'calculated data '!$A$3,D8861&lt;=$G$4,'calculated data '!$A$4,D8861&lt;=$G$6,'calculated data '!$A$5,D8861&gt;=$G$6,'calculated data '!$A$6)</f>
        <v>High Demand Tier</v>
      </c>
      <c r="F8861" s="10">
        <f t="shared" si="1"/>
        <v>0.3683189849</v>
      </c>
    </row>
    <row r="8862" ht="14.25" customHeight="1">
      <c r="A8862" s="2" t="s">
        <v>335</v>
      </c>
      <c r="B8862" s="2" t="s">
        <v>336</v>
      </c>
      <c r="C8862" s="2">
        <v>2005.0</v>
      </c>
      <c r="D8862" s="9">
        <v>38975.535</v>
      </c>
      <c r="E8862" s="10" t="str">
        <f t="array" ref="E8862">IFS(D8862&lt;=$G$3,'calculated data '!$A$3,D8862&lt;=$G$4,'calculated data '!$A$4,D8862&lt;=$G$6,'calculated data '!$A$5,D8862&gt;=$G$6,'calculated data '!$A$6)</f>
        <v>High Demand Tier</v>
      </c>
      <c r="F8862" s="10">
        <f t="shared" si="1"/>
        <v>0.3685012292</v>
      </c>
    </row>
    <row r="8863" ht="14.25" customHeight="1">
      <c r="A8863" s="2" t="s">
        <v>441</v>
      </c>
      <c r="B8863" s="2" t="s">
        <v>442</v>
      </c>
      <c r="C8863" s="2">
        <v>1998.0</v>
      </c>
      <c r="D8863" s="9">
        <v>38992.85</v>
      </c>
      <c r="E8863" s="10" t="str">
        <f t="array" ref="E8863">IFS(D8863&lt;=$G$3,'calculated data '!$A$3,D8863&lt;=$G$4,'calculated data '!$A$4,D8863&lt;=$G$6,'calculated data '!$A$5,D8863&gt;=$G$6,'calculated data '!$A$6)</f>
        <v>High Demand Tier</v>
      </c>
      <c r="F8863" s="10">
        <f t="shared" si="1"/>
        <v>0.3689595529</v>
      </c>
    </row>
    <row r="8864" ht="14.25" customHeight="1">
      <c r="A8864" s="2" t="s">
        <v>397</v>
      </c>
      <c r="B8864" s="2" t="s">
        <v>398</v>
      </c>
      <c r="C8864" s="2">
        <v>1974.0</v>
      </c>
      <c r="D8864" s="9">
        <v>39033.12</v>
      </c>
      <c r="E8864" s="10" t="str">
        <f t="array" ref="E8864">IFS(D8864&lt;=$G$3,'calculated data '!$A$3,D8864&lt;=$G$4,'calculated data '!$A$4,D8864&lt;=$G$6,'calculated data '!$A$5,D8864&gt;=$G$6,'calculated data '!$A$6)</f>
        <v>High Demand Tier</v>
      </c>
      <c r="F8864" s="10">
        <f t="shared" si="1"/>
        <v>0.3700254898</v>
      </c>
    </row>
    <row r="8865" ht="14.25" customHeight="1">
      <c r="A8865" s="2" t="s">
        <v>353</v>
      </c>
      <c r="B8865" s="2" t="s">
        <v>354</v>
      </c>
      <c r="C8865" s="2">
        <v>1989.0</v>
      </c>
      <c r="D8865" s="9">
        <v>39034.79</v>
      </c>
      <c r="E8865" s="10" t="str">
        <f t="array" ref="E8865">IFS(D8865&lt;=$G$3,'calculated data '!$A$3,D8865&lt;=$G$4,'calculated data '!$A$4,D8865&lt;=$G$6,'calculated data '!$A$5,D8865&gt;=$G$6,'calculated data '!$A$6)</f>
        <v>High Demand Tier</v>
      </c>
      <c r="F8865" s="10">
        <f t="shared" si="1"/>
        <v>0.3700696943</v>
      </c>
    </row>
    <row r="8866" ht="14.25" customHeight="1">
      <c r="A8866" s="2" t="s">
        <v>443</v>
      </c>
      <c r="B8866" s="2" t="s">
        <v>444</v>
      </c>
      <c r="C8866" s="2">
        <v>2017.0</v>
      </c>
      <c r="D8866" s="9">
        <v>39034.945</v>
      </c>
      <c r="E8866" s="10" t="str">
        <f t="array" ref="E8866">IFS(D8866&lt;=$G$3,'calculated data '!$A$3,D8866&lt;=$G$4,'calculated data '!$A$4,D8866&lt;=$G$6,'calculated data '!$A$5,D8866&gt;=$G$6,'calculated data '!$A$6)</f>
        <v>High Demand Tier</v>
      </c>
      <c r="F8866" s="10">
        <f t="shared" si="1"/>
        <v>0.3700737971</v>
      </c>
    </row>
    <row r="8867" ht="14.25" customHeight="1">
      <c r="A8867" s="2" t="s">
        <v>401</v>
      </c>
      <c r="B8867" s="2" t="s">
        <v>402</v>
      </c>
      <c r="C8867" s="2">
        <v>2013.0</v>
      </c>
      <c r="D8867" s="9">
        <v>39035.363</v>
      </c>
      <c r="E8867" s="10" t="str">
        <f t="array" ref="E8867">IFS(D8867&lt;=$G$3,'calculated data '!$A$3,D8867&lt;=$G$4,'calculated data '!$A$4,D8867&lt;=$G$6,'calculated data '!$A$5,D8867&gt;=$G$6,'calculated data '!$A$6)</f>
        <v>High Demand Tier</v>
      </c>
      <c r="F8867" s="10">
        <f t="shared" si="1"/>
        <v>0.3700848614</v>
      </c>
    </row>
    <row r="8868" ht="14.25" customHeight="1">
      <c r="A8868" s="2" t="s">
        <v>447</v>
      </c>
      <c r="B8868" s="2" t="s">
        <v>448</v>
      </c>
      <c r="C8868" s="2">
        <v>2011.0</v>
      </c>
      <c r="D8868" s="9">
        <v>39046.566</v>
      </c>
      <c r="E8868" s="10" t="str">
        <f t="array" ref="E8868">IFS(D8868&lt;=$G$3,'calculated data '!$A$3,D8868&lt;=$G$4,'calculated data '!$A$4,D8868&lt;=$G$6,'calculated data '!$A$5,D8868&gt;=$G$6,'calculated data '!$A$6)</f>
        <v>High Demand Tier</v>
      </c>
      <c r="F8868" s="10">
        <f t="shared" si="1"/>
        <v>0.370381402</v>
      </c>
    </row>
    <row r="8869" ht="14.25" customHeight="1">
      <c r="A8869" s="2" t="s">
        <v>401</v>
      </c>
      <c r="B8869" s="2" t="s">
        <v>402</v>
      </c>
      <c r="C8869" s="2">
        <v>2000.0</v>
      </c>
      <c r="D8869" s="9">
        <v>39051.188</v>
      </c>
      <c r="E8869" s="10" t="str">
        <f t="array" ref="E8869">IFS(D8869&lt;=$G$3,'calculated data '!$A$3,D8869&lt;=$G$4,'calculated data '!$A$4,D8869&lt;=$G$6,'calculated data '!$A$5,D8869&gt;=$G$6,'calculated data '!$A$6)</f>
        <v>High Demand Tier</v>
      </c>
      <c r="F8869" s="10">
        <f t="shared" si="1"/>
        <v>0.3705037452</v>
      </c>
    </row>
    <row r="8870" ht="14.25" customHeight="1">
      <c r="A8870" s="2" t="s">
        <v>437</v>
      </c>
      <c r="B8870" s="2" t="s">
        <v>438</v>
      </c>
      <c r="C8870" s="2">
        <v>2024.0</v>
      </c>
      <c r="D8870" s="9">
        <v>39057.082</v>
      </c>
      <c r="E8870" s="10" t="str">
        <f t="array" ref="E8870">IFS(D8870&lt;=$G$3,'calculated data '!$A$3,D8870&lt;=$G$4,'calculated data '!$A$4,D8870&lt;=$G$6,'calculated data '!$A$5,D8870&gt;=$G$6,'calculated data '!$A$6)</f>
        <v>High Demand Tier</v>
      </c>
      <c r="F8870" s="10">
        <f t="shared" si="1"/>
        <v>0.3706597579</v>
      </c>
    </row>
    <row r="8871" ht="14.25" customHeight="1">
      <c r="A8871" s="2" t="s">
        <v>415</v>
      </c>
      <c r="B8871" s="2" t="s">
        <v>416</v>
      </c>
      <c r="C8871" s="2">
        <v>1982.0</v>
      </c>
      <c r="D8871" s="9">
        <v>39058.793</v>
      </c>
      <c r="E8871" s="10" t="str">
        <f t="array" ref="E8871">IFS(D8871&lt;=$G$3,'calculated data '!$A$3,D8871&lt;=$G$4,'calculated data '!$A$4,D8871&lt;=$G$6,'calculated data '!$A$5,D8871&gt;=$G$6,'calculated data '!$A$6)</f>
        <v>High Demand Tier</v>
      </c>
      <c r="F8871" s="10">
        <f t="shared" si="1"/>
        <v>0.3707050477</v>
      </c>
    </row>
    <row r="8872" ht="14.25" customHeight="1">
      <c r="A8872" s="2" t="s">
        <v>475</v>
      </c>
      <c r="B8872" s="2" t="s">
        <v>476</v>
      </c>
      <c r="C8872" s="2">
        <v>1965.0</v>
      </c>
      <c r="D8872" s="9">
        <v>39067.293</v>
      </c>
      <c r="E8872" s="10" t="str">
        <f t="array" ref="E8872">IFS(D8872&lt;=$G$3,'calculated data '!$A$3,D8872&lt;=$G$4,'calculated data '!$A$4,D8872&lt;=$G$6,'calculated data '!$A$5,D8872&gt;=$G$6,'calculated data '!$A$6)</f>
        <v>High Demand Tier</v>
      </c>
      <c r="F8872" s="10">
        <f t="shared" si="1"/>
        <v>0.3709300406</v>
      </c>
    </row>
    <row r="8873" ht="14.25" customHeight="1">
      <c r="A8873" s="2" t="s">
        <v>415</v>
      </c>
      <c r="B8873" s="2" t="s">
        <v>416</v>
      </c>
      <c r="C8873" s="2">
        <v>1990.0</v>
      </c>
      <c r="D8873" s="9">
        <v>39084.9</v>
      </c>
      <c r="E8873" s="10" t="str">
        <f t="array" ref="E8873">IFS(D8873&lt;=$G$3,'calculated data '!$A$3,D8873&lt;=$G$4,'calculated data '!$A$4,D8873&lt;=$G$6,'calculated data '!$A$5,D8873&gt;=$G$6,'calculated data '!$A$6)</f>
        <v>High Demand Tier</v>
      </c>
      <c r="F8873" s="10">
        <f t="shared" si="1"/>
        <v>0.3713960935</v>
      </c>
    </row>
    <row r="8874" ht="14.25" customHeight="1">
      <c r="A8874" s="2" t="s">
        <v>309</v>
      </c>
      <c r="B8874" s="2" t="s">
        <v>310</v>
      </c>
      <c r="C8874" s="2">
        <v>2005.0</v>
      </c>
      <c r="D8874" s="9">
        <v>39095.484</v>
      </c>
      <c r="E8874" s="10" t="str">
        <f t="array" ref="E8874">IFS(D8874&lt;=$G$3,'calculated data '!$A$3,D8874&lt;=$G$4,'calculated data '!$A$4,D8874&lt;=$G$6,'calculated data '!$A$5,D8874&gt;=$G$6,'calculated data '!$A$6)</f>
        <v>High Demand Tier</v>
      </c>
      <c r="F8874" s="10">
        <f t="shared" si="1"/>
        <v>0.3716762493</v>
      </c>
    </row>
    <row r="8875" ht="14.25" customHeight="1">
      <c r="A8875" s="2" t="s">
        <v>369</v>
      </c>
      <c r="B8875" s="2" t="s">
        <v>370</v>
      </c>
      <c r="C8875" s="2">
        <v>1988.0</v>
      </c>
      <c r="D8875" s="9">
        <v>39121.863</v>
      </c>
      <c r="E8875" s="10" t="str">
        <f t="array" ref="E8875">IFS(D8875&lt;=$G$3,'calculated data '!$A$3,D8875&lt;=$G$4,'calculated data '!$A$4,D8875&lt;=$G$6,'calculated data '!$A$5,D8875&gt;=$G$6,'calculated data '!$A$6)</f>
        <v>High Demand Tier</v>
      </c>
      <c r="F8875" s="10">
        <f t="shared" si="1"/>
        <v>0.3723744949</v>
      </c>
    </row>
    <row r="8876" ht="14.25" customHeight="1">
      <c r="A8876" s="2" t="s">
        <v>425</v>
      </c>
      <c r="B8876" s="2" t="s">
        <v>426</v>
      </c>
      <c r="C8876" s="2">
        <v>2010.0</v>
      </c>
      <c r="D8876" s="9">
        <v>39123.223</v>
      </c>
      <c r="E8876" s="10" t="str">
        <f t="array" ref="E8876">IFS(D8876&lt;=$G$3,'calculated data '!$A$3,D8876&lt;=$G$4,'calculated data '!$A$4,D8876&lt;=$G$6,'calculated data '!$A$5,D8876&gt;=$G$6,'calculated data '!$A$6)</f>
        <v>High Demand Tier</v>
      </c>
      <c r="F8876" s="10">
        <f t="shared" si="1"/>
        <v>0.3724104937</v>
      </c>
    </row>
    <row r="8877" ht="14.25" customHeight="1">
      <c r="A8877" s="2" t="s">
        <v>401</v>
      </c>
      <c r="B8877" s="2" t="s">
        <v>402</v>
      </c>
      <c r="C8877" s="2">
        <v>1999.0</v>
      </c>
      <c r="D8877" s="9">
        <v>39129.082</v>
      </c>
      <c r="E8877" s="10" t="str">
        <f t="array" ref="E8877">IFS(D8877&lt;=$G$3,'calculated data '!$A$3,D8877&lt;=$G$4,'calculated data '!$A$4,D8877&lt;=$G$6,'calculated data '!$A$5,D8877&gt;=$G$6,'calculated data '!$A$6)</f>
        <v>High Demand Tier</v>
      </c>
      <c r="F8877" s="10">
        <f t="shared" si="1"/>
        <v>0.37256558</v>
      </c>
    </row>
    <row r="8878" ht="14.25" customHeight="1">
      <c r="A8878" s="2" t="s">
        <v>429</v>
      </c>
      <c r="B8878" s="2" t="s">
        <v>430</v>
      </c>
      <c r="C8878" s="2">
        <v>1969.0</v>
      </c>
      <c r="D8878" s="9">
        <v>39138.47</v>
      </c>
      <c r="E8878" s="10" t="str">
        <f t="array" ref="E8878">IFS(D8878&lt;=$G$3,'calculated data '!$A$3,D8878&lt;=$G$4,'calculated data '!$A$4,D8878&lt;=$G$6,'calculated data '!$A$5,D8878&gt;=$G$6,'calculated data '!$A$6)</f>
        <v>High Demand Tier</v>
      </c>
      <c r="F8878" s="10">
        <f t="shared" si="1"/>
        <v>0.372814078</v>
      </c>
    </row>
    <row r="8879" ht="14.25" customHeight="1">
      <c r="A8879" s="2" t="s">
        <v>457</v>
      </c>
      <c r="B8879" s="2" t="s">
        <v>458</v>
      </c>
      <c r="C8879" s="2">
        <v>1971.0</v>
      </c>
      <c r="D8879" s="9">
        <v>39145.316</v>
      </c>
      <c r="E8879" s="10" t="str">
        <f t="array" ref="E8879">IFS(D8879&lt;=$G$3,'calculated data '!$A$3,D8879&lt;=$G$4,'calculated data '!$A$4,D8879&lt;=$G$6,'calculated data '!$A$5,D8879&gt;=$G$6,'calculated data '!$A$6)</f>
        <v>High Demand Tier</v>
      </c>
      <c r="F8879" s="10">
        <f t="shared" si="1"/>
        <v>0.3729952899</v>
      </c>
    </row>
    <row r="8880" ht="14.25" customHeight="1">
      <c r="A8880" s="2" t="s">
        <v>451</v>
      </c>
      <c r="B8880" s="2" t="s">
        <v>452</v>
      </c>
      <c r="C8880" s="2">
        <v>1971.0</v>
      </c>
      <c r="D8880" s="9">
        <v>39155.457</v>
      </c>
      <c r="E8880" s="10" t="str">
        <f t="array" ref="E8880">IFS(D8880&lt;=$G$3,'calculated data '!$A$3,D8880&lt;=$G$4,'calculated data '!$A$4,D8880&lt;=$G$6,'calculated data '!$A$5,D8880&gt;=$G$6,'calculated data '!$A$6)</f>
        <v>High Demand Tier</v>
      </c>
      <c r="F8880" s="10">
        <f t="shared" si="1"/>
        <v>0.3732637197</v>
      </c>
    </row>
    <row r="8881" ht="14.25" customHeight="1">
      <c r="A8881" s="2" t="s">
        <v>471</v>
      </c>
      <c r="B8881" s="2" t="s">
        <v>472</v>
      </c>
      <c r="C8881" s="2">
        <v>2000.0</v>
      </c>
      <c r="D8881" s="9">
        <v>39162.28</v>
      </c>
      <c r="E8881" s="10" t="str">
        <f t="array" ref="E8881">IFS(D8881&lt;=$G$3,'calculated data '!$A$3,D8881&lt;=$G$4,'calculated data '!$A$4,D8881&lt;=$G$6,'calculated data '!$A$5,D8881&gt;=$G$6,'calculated data '!$A$6)</f>
        <v>High Demand Tier</v>
      </c>
      <c r="F8881" s="10">
        <f t="shared" si="1"/>
        <v>0.3734443228</v>
      </c>
    </row>
    <row r="8882" ht="14.25" customHeight="1">
      <c r="A8882" s="2" t="s">
        <v>379</v>
      </c>
      <c r="B8882" s="2" t="s">
        <v>380</v>
      </c>
      <c r="C8882" s="2">
        <v>1997.0</v>
      </c>
      <c r="D8882" s="9">
        <v>39168.496</v>
      </c>
      <c r="E8882" s="10" t="str">
        <f t="array" ref="E8882">IFS(D8882&lt;=$G$3,'calculated data '!$A$3,D8882&lt;=$G$4,'calculated data '!$A$4,D8882&lt;=$G$6,'calculated data '!$A$5,D8882&gt;=$G$6,'calculated data '!$A$6)</f>
        <v>High Demand Tier</v>
      </c>
      <c r="F8882" s="10">
        <f t="shared" si="1"/>
        <v>0.3736088588</v>
      </c>
    </row>
    <row r="8883" ht="14.25" customHeight="1">
      <c r="A8883" s="2" t="s">
        <v>433</v>
      </c>
      <c r="B8883" s="2" t="s">
        <v>434</v>
      </c>
      <c r="C8883" s="2">
        <v>1983.0</v>
      </c>
      <c r="D8883" s="9">
        <v>39198.074</v>
      </c>
      <c r="E8883" s="10" t="str">
        <f t="array" ref="E8883">IFS(D8883&lt;=$G$3,'calculated data '!$A$3,D8883&lt;=$G$4,'calculated data '!$A$4,D8883&lt;=$G$6,'calculated data '!$A$5,D8883&gt;=$G$6,'calculated data '!$A$6)</f>
        <v>High Demand Tier</v>
      </c>
      <c r="F8883" s="10">
        <f t="shared" si="1"/>
        <v>0.3743917811</v>
      </c>
    </row>
    <row r="8884" ht="14.25" customHeight="1">
      <c r="A8884" s="2" t="s">
        <v>353</v>
      </c>
      <c r="B8884" s="2" t="s">
        <v>354</v>
      </c>
      <c r="C8884" s="2">
        <v>1988.0</v>
      </c>
      <c r="D8884" s="9">
        <v>39215.395</v>
      </c>
      <c r="E8884" s="10" t="str">
        <f t="array" ref="E8884">IFS(D8884&lt;=$G$3,'calculated data '!$A$3,D8884&lt;=$G$4,'calculated data '!$A$4,D8884&lt;=$G$6,'calculated data '!$A$5,D8884&gt;=$G$6,'calculated data '!$A$6)</f>
        <v>High Demand Tier</v>
      </c>
      <c r="F8884" s="10">
        <f t="shared" si="1"/>
        <v>0.3748502636</v>
      </c>
    </row>
    <row r="8885" ht="14.25" customHeight="1">
      <c r="A8885" s="2" t="s">
        <v>413</v>
      </c>
      <c r="B8885" s="2" t="s">
        <v>414</v>
      </c>
      <c r="C8885" s="2">
        <v>2008.0</v>
      </c>
      <c r="D8885" s="9">
        <v>39227.902</v>
      </c>
      <c r="E8885" s="10" t="str">
        <f t="array" ref="E8885">IFS(D8885&lt;=$G$3,'calculated data '!$A$3,D8885&lt;=$G$4,'calculated data '!$A$4,D8885&lt;=$G$6,'calculated data '!$A$5,D8885&gt;=$G$6,'calculated data '!$A$6)</f>
        <v>High Demand Tier</v>
      </c>
      <c r="F8885" s="10">
        <f t="shared" si="1"/>
        <v>0.3751813208</v>
      </c>
    </row>
    <row r="8886" ht="14.25" customHeight="1">
      <c r="A8886" s="2" t="s">
        <v>279</v>
      </c>
      <c r="B8886" s="2" t="s">
        <v>280</v>
      </c>
      <c r="C8886" s="2">
        <v>1997.0</v>
      </c>
      <c r="D8886" s="9">
        <v>39245.22</v>
      </c>
      <c r="E8886" s="10" t="str">
        <f t="array" ref="E8886">IFS(D8886&lt;=$G$3,'calculated data '!$A$3,D8886&lt;=$G$4,'calculated data '!$A$4,D8886&lt;=$G$6,'calculated data '!$A$5,D8886&gt;=$G$6,'calculated data '!$A$6)</f>
        <v>High Demand Tier</v>
      </c>
      <c r="F8886" s="10">
        <f t="shared" si="1"/>
        <v>0.3756397239</v>
      </c>
    </row>
    <row r="8887" ht="14.25" customHeight="1">
      <c r="A8887" s="2" t="s">
        <v>307</v>
      </c>
      <c r="B8887" s="2" t="s">
        <v>308</v>
      </c>
      <c r="C8887" s="2">
        <v>1993.0</v>
      </c>
      <c r="D8887" s="9">
        <v>39250.816</v>
      </c>
      <c r="E8887" s="10" t="str">
        <f t="array" ref="E8887">IFS(D8887&lt;=$G$3,'calculated data '!$A$3,D8887&lt;=$G$4,'calculated data '!$A$4,D8887&lt;=$G$6,'calculated data '!$A$5,D8887&gt;=$G$6,'calculated data '!$A$6)</f>
        <v>High Demand Tier</v>
      </c>
      <c r="F8887" s="10">
        <f t="shared" si="1"/>
        <v>0.3757878487</v>
      </c>
    </row>
    <row r="8888" ht="14.25" customHeight="1">
      <c r="A8888" s="2" t="s">
        <v>443</v>
      </c>
      <c r="B8888" s="2" t="s">
        <v>444</v>
      </c>
      <c r="C8888" s="2">
        <v>2018.0</v>
      </c>
      <c r="D8888" s="9">
        <v>39257.79</v>
      </c>
      <c r="E8888" s="10" t="str">
        <f t="array" ref="E8888">IFS(D8888&lt;=$G$3,'calculated data '!$A$3,D8888&lt;=$G$4,'calculated data '!$A$4,D8888&lt;=$G$6,'calculated data '!$A$5,D8888&gt;=$G$6,'calculated data '!$A$6)</f>
        <v>High Demand Tier</v>
      </c>
      <c r="F8888" s="10">
        <f t="shared" si="1"/>
        <v>0.3759724487</v>
      </c>
    </row>
    <row r="8889" ht="14.25" customHeight="1">
      <c r="A8889" s="2" t="s">
        <v>431</v>
      </c>
      <c r="B8889" s="2" t="s">
        <v>432</v>
      </c>
      <c r="C8889" s="2">
        <v>2009.0</v>
      </c>
      <c r="D8889" s="9">
        <v>39264.84</v>
      </c>
      <c r="E8889" s="10" t="str">
        <f t="array" ref="E8889">IFS(D8889&lt;=$G$3,'calculated data '!$A$3,D8889&lt;=$G$4,'calculated data '!$A$4,D8889&lt;=$G$6,'calculated data '!$A$5,D8889&gt;=$G$6,'calculated data '!$A$6)</f>
        <v>High Demand Tier</v>
      </c>
      <c r="F8889" s="10">
        <f t="shared" si="1"/>
        <v>0.3761590605</v>
      </c>
    </row>
    <row r="8890" ht="14.25" customHeight="1">
      <c r="A8890" s="2" t="s">
        <v>447</v>
      </c>
      <c r="B8890" s="2" t="s">
        <v>448</v>
      </c>
      <c r="C8890" s="2">
        <v>2009.0</v>
      </c>
      <c r="D8890" s="9">
        <v>39266.613</v>
      </c>
      <c r="E8890" s="10" t="str">
        <f t="array" ref="E8890">IFS(D8890&lt;=$G$3,'calculated data '!$A$3,D8890&lt;=$G$4,'calculated data '!$A$4,D8890&lt;=$G$6,'calculated data '!$A$5,D8890&gt;=$G$6,'calculated data '!$A$6)</f>
        <v>High Demand Tier</v>
      </c>
      <c r="F8890" s="10">
        <f t="shared" si="1"/>
        <v>0.3762059913</v>
      </c>
    </row>
    <row r="8891" ht="14.25" customHeight="1">
      <c r="A8891" s="2" t="s">
        <v>413</v>
      </c>
      <c r="B8891" s="2" t="s">
        <v>414</v>
      </c>
      <c r="C8891" s="2">
        <v>1992.0</v>
      </c>
      <c r="D8891" s="9">
        <v>39267.465</v>
      </c>
      <c r="E8891" s="10" t="str">
        <f t="array" ref="E8891">IFS(D8891&lt;=$G$3,'calculated data '!$A$3,D8891&lt;=$G$4,'calculated data '!$A$4,D8891&lt;=$G$6,'calculated data '!$A$5,D8891&gt;=$G$6,'calculated data '!$A$6)</f>
        <v>High Demand Tier</v>
      </c>
      <c r="F8891" s="10">
        <f t="shared" si="1"/>
        <v>0.3762285436</v>
      </c>
    </row>
    <row r="8892" ht="14.25" customHeight="1">
      <c r="A8892" s="2" t="s">
        <v>473</v>
      </c>
      <c r="B8892" s="2" t="s">
        <v>474</v>
      </c>
      <c r="C8892" s="2">
        <v>2023.0</v>
      </c>
      <c r="D8892" s="9">
        <v>39267.58</v>
      </c>
      <c r="E8892" s="10" t="str">
        <f t="array" ref="E8892">IFS(D8892&lt;=$G$3,'calculated data '!$A$3,D8892&lt;=$G$4,'calculated data '!$A$4,D8892&lt;=$G$6,'calculated data '!$A$5,D8892&gt;=$G$6,'calculated data '!$A$6)</f>
        <v>High Demand Tier</v>
      </c>
      <c r="F8892" s="10">
        <f t="shared" si="1"/>
        <v>0.3762315876</v>
      </c>
    </row>
    <row r="8893" ht="14.25" customHeight="1">
      <c r="A8893" s="2" t="s">
        <v>409</v>
      </c>
      <c r="B8893" s="2" t="s">
        <v>410</v>
      </c>
      <c r="C8893" s="2">
        <v>1997.0</v>
      </c>
      <c r="D8893" s="9">
        <v>39275.113</v>
      </c>
      <c r="E8893" s="10" t="str">
        <f t="array" ref="E8893">IFS(D8893&lt;=$G$3,'calculated data '!$A$3,D8893&lt;=$G$4,'calculated data '!$A$4,D8893&lt;=$G$6,'calculated data '!$A$5,D8893&gt;=$G$6,'calculated data '!$A$6)</f>
        <v>High Demand Tier</v>
      </c>
      <c r="F8893" s="10">
        <f t="shared" si="1"/>
        <v>0.3764309842</v>
      </c>
    </row>
    <row r="8894" ht="14.25" customHeight="1">
      <c r="A8894" s="2" t="s">
        <v>415</v>
      </c>
      <c r="B8894" s="2" t="s">
        <v>416</v>
      </c>
      <c r="C8894" s="2">
        <v>1967.0</v>
      </c>
      <c r="D8894" s="9">
        <v>39310.402</v>
      </c>
      <c r="E8894" s="10" t="str">
        <f t="array" ref="E8894">IFS(D8894&lt;=$G$3,'calculated data '!$A$3,D8894&lt;=$G$4,'calculated data '!$A$4,D8894&lt;=$G$6,'calculated data '!$A$5,D8894&gt;=$G$6,'calculated data '!$A$6)</f>
        <v>High Demand Tier</v>
      </c>
      <c r="F8894" s="10">
        <f t="shared" si="1"/>
        <v>0.3773650753</v>
      </c>
    </row>
    <row r="8895" ht="14.25" customHeight="1">
      <c r="A8895" s="2" t="s">
        <v>421</v>
      </c>
      <c r="B8895" s="2" t="s">
        <v>422</v>
      </c>
      <c r="C8895" s="2">
        <v>1985.0</v>
      </c>
      <c r="D8895" s="9">
        <v>39320.44</v>
      </c>
      <c r="E8895" s="10" t="str">
        <f t="array" ref="E8895">IFS(D8895&lt;=$G$3,'calculated data '!$A$3,D8895&lt;=$G$4,'calculated data '!$A$4,D8895&lt;=$G$6,'calculated data '!$A$5,D8895&gt;=$G$6,'calculated data '!$A$6)</f>
        <v>High Demand Tier</v>
      </c>
      <c r="F8895" s="10">
        <f t="shared" si="1"/>
        <v>0.3776307786</v>
      </c>
    </row>
    <row r="8896" ht="14.25" customHeight="1">
      <c r="A8896" s="2" t="s">
        <v>441</v>
      </c>
      <c r="B8896" s="2" t="s">
        <v>442</v>
      </c>
      <c r="C8896" s="2">
        <v>1999.0</v>
      </c>
      <c r="D8896" s="9">
        <v>39325.07</v>
      </c>
      <c r="E8896" s="10" t="str">
        <f t="array" ref="E8896">IFS(D8896&lt;=$G$3,'calculated data '!$A$3,D8896&lt;=$G$4,'calculated data '!$A$4,D8896&lt;=$G$6,'calculated data '!$A$5,D8896&gt;=$G$6,'calculated data '!$A$6)</f>
        <v>High Demand Tier</v>
      </c>
      <c r="F8896" s="10">
        <f t="shared" si="1"/>
        <v>0.3777533336</v>
      </c>
    </row>
    <row r="8897" ht="14.25" customHeight="1">
      <c r="A8897" s="2" t="s">
        <v>417</v>
      </c>
      <c r="B8897" s="2" t="s">
        <v>418</v>
      </c>
      <c r="C8897" s="2">
        <v>1992.0</v>
      </c>
      <c r="D8897" s="9">
        <v>39355.83</v>
      </c>
      <c r="E8897" s="10" t="str">
        <f t="array" ref="E8897">IFS(D8897&lt;=$G$3,'calculated data '!$A$3,D8897&lt;=$G$4,'calculated data '!$A$4,D8897&lt;=$G$6,'calculated data '!$A$5,D8897&gt;=$G$6,'calculated data '!$A$6)</f>
        <v>High Demand Tier</v>
      </c>
      <c r="F8897" s="10">
        <f t="shared" si="1"/>
        <v>0.3785675431</v>
      </c>
    </row>
    <row r="8898" ht="14.25" customHeight="1">
      <c r="A8898" s="2" t="s">
        <v>437</v>
      </c>
      <c r="B8898" s="2" t="s">
        <v>438</v>
      </c>
      <c r="C8898" s="2">
        <v>2022.0</v>
      </c>
      <c r="D8898" s="9">
        <v>39361.668</v>
      </c>
      <c r="E8898" s="10" t="str">
        <f t="array" ref="E8898">IFS(D8898&lt;=$G$3,'calculated data '!$A$3,D8898&lt;=$G$4,'calculated data '!$A$4,D8898&lt;=$G$6,'calculated data '!$A$5,D8898&gt;=$G$6,'calculated data '!$A$6)</f>
        <v>High Demand Tier</v>
      </c>
      <c r="F8898" s="10">
        <f t="shared" si="1"/>
        <v>0.3787220735</v>
      </c>
    </row>
    <row r="8899" ht="14.25" customHeight="1">
      <c r="A8899" s="2" t="s">
        <v>471</v>
      </c>
      <c r="B8899" s="2" t="s">
        <v>472</v>
      </c>
      <c r="C8899" s="2">
        <v>2023.0</v>
      </c>
      <c r="D8899" s="9">
        <v>39388.066</v>
      </c>
      <c r="E8899" s="10" t="str">
        <f t="array" ref="E8899">IFS(D8899&lt;=$G$3,'calculated data '!$A$3,D8899&lt;=$G$4,'calculated data '!$A$4,D8899&lt;=$G$6,'calculated data '!$A$5,D8899&gt;=$G$6,'calculated data '!$A$6)</f>
        <v>High Demand Tier</v>
      </c>
      <c r="F8899" s="10">
        <f t="shared" si="1"/>
        <v>0.379420822</v>
      </c>
    </row>
    <row r="8900" ht="14.25" customHeight="1">
      <c r="A8900" s="2" t="s">
        <v>429</v>
      </c>
      <c r="B8900" s="2" t="s">
        <v>430</v>
      </c>
      <c r="C8900" s="2">
        <v>1974.0</v>
      </c>
      <c r="D8900" s="9">
        <v>39398.39</v>
      </c>
      <c r="E8900" s="10" t="str">
        <f t="array" ref="E8900">IFS(D8900&lt;=$G$3,'calculated data '!$A$3,D8900&lt;=$G$4,'calculated data '!$A$4,D8900&lt;=$G$6,'calculated data '!$A$5,D8900&gt;=$G$6,'calculated data '!$A$6)</f>
        <v>High Demand Tier</v>
      </c>
      <c r="F8900" s="10">
        <f t="shared" si="1"/>
        <v>0.3796940957</v>
      </c>
    </row>
    <row r="8901" ht="14.25" customHeight="1">
      <c r="A8901" s="2" t="s">
        <v>415</v>
      </c>
      <c r="B8901" s="2" t="s">
        <v>416</v>
      </c>
      <c r="C8901" s="2">
        <v>1966.0</v>
      </c>
      <c r="D8901" s="9">
        <v>39399.77</v>
      </c>
      <c r="E8901" s="10" t="str">
        <f t="array" ref="E8901">IFS(D8901&lt;=$G$3,'calculated data '!$A$3,D8901&lt;=$G$4,'calculated data '!$A$4,D8901&lt;=$G$6,'calculated data '!$A$5,D8901&gt;=$G$6,'calculated data '!$A$6)</f>
        <v>High Demand Tier</v>
      </c>
      <c r="F8901" s="10">
        <f t="shared" si="1"/>
        <v>0.379730624</v>
      </c>
    </row>
    <row r="8902" ht="14.25" customHeight="1">
      <c r="A8902" s="2" t="s">
        <v>447</v>
      </c>
      <c r="B8902" s="2" t="s">
        <v>448</v>
      </c>
      <c r="C8902" s="2">
        <v>2010.0</v>
      </c>
      <c r="D8902" s="9">
        <v>39401.684</v>
      </c>
      <c r="E8902" s="10" t="str">
        <f t="array" ref="E8902">IFS(D8902&lt;=$G$3,'calculated data '!$A$3,D8902&lt;=$G$4,'calculated data '!$A$4,D8902&lt;=$G$6,'calculated data '!$A$5,D8902&gt;=$G$6,'calculated data '!$A$6)</f>
        <v>High Demand Tier</v>
      </c>
      <c r="F8902" s="10">
        <f t="shared" si="1"/>
        <v>0.3797812871</v>
      </c>
    </row>
    <row r="8903" ht="14.25" customHeight="1">
      <c r="A8903" s="2" t="s">
        <v>221</v>
      </c>
      <c r="B8903" s="2" t="s">
        <v>222</v>
      </c>
      <c r="C8903" s="2">
        <v>1995.0</v>
      </c>
      <c r="D8903" s="9">
        <v>39408.137</v>
      </c>
      <c r="E8903" s="10" t="str">
        <f t="array" ref="E8903">IFS(D8903&lt;=$G$3,'calculated data '!$A$3,D8903&lt;=$G$4,'calculated data '!$A$4,D8903&lt;=$G$6,'calculated data '!$A$5,D8903&gt;=$G$6,'calculated data '!$A$6)</f>
        <v>High Demand Tier</v>
      </c>
      <c r="F8903" s="10">
        <f t="shared" si="1"/>
        <v>0.3799520964</v>
      </c>
    </row>
    <row r="8904" ht="14.25" customHeight="1">
      <c r="A8904" s="2" t="s">
        <v>401</v>
      </c>
      <c r="B8904" s="2" t="s">
        <v>402</v>
      </c>
      <c r="C8904" s="2">
        <v>2012.0</v>
      </c>
      <c r="D8904" s="9">
        <v>39422.113</v>
      </c>
      <c r="E8904" s="10" t="str">
        <f t="array" ref="E8904">IFS(D8904&lt;=$G$3,'calculated data '!$A$3,D8904&lt;=$G$4,'calculated data '!$A$4,D8904&lt;=$G$6,'calculated data '!$A$5,D8904&gt;=$G$6,'calculated data '!$A$6)</f>
        <v>High Demand Tier</v>
      </c>
      <c r="F8904" s="10">
        <f t="shared" si="1"/>
        <v>0.3803220376</v>
      </c>
    </row>
    <row r="8905" ht="14.25" customHeight="1">
      <c r="A8905" s="2" t="s">
        <v>431</v>
      </c>
      <c r="B8905" s="2" t="s">
        <v>432</v>
      </c>
      <c r="C8905" s="2">
        <v>2005.0</v>
      </c>
      <c r="D8905" s="9">
        <v>39424.71</v>
      </c>
      <c r="E8905" s="10" t="str">
        <f t="array" ref="E8905">IFS(D8905&lt;=$G$3,'calculated data '!$A$3,D8905&lt;=$G$4,'calculated data '!$A$4,D8905&lt;=$G$6,'calculated data '!$A$5,D8905&gt;=$G$6,'calculated data '!$A$6)</f>
        <v>High Demand Tier</v>
      </c>
      <c r="F8905" s="10">
        <f t="shared" si="1"/>
        <v>0.3803907795</v>
      </c>
    </row>
    <row r="8906" ht="14.25" customHeight="1">
      <c r="A8906" s="2" t="s">
        <v>381</v>
      </c>
      <c r="B8906" s="2" t="s">
        <v>382</v>
      </c>
      <c r="C8906" s="2">
        <v>1985.0</v>
      </c>
      <c r="D8906" s="9">
        <v>39438.207</v>
      </c>
      <c r="E8906" s="10" t="str">
        <f t="array" ref="E8906">IFS(D8906&lt;=$G$3,'calculated data '!$A$3,D8906&lt;=$G$4,'calculated data '!$A$4,D8906&lt;=$G$6,'calculated data '!$A$5,D8906&gt;=$G$6,'calculated data '!$A$6)</f>
        <v>High Demand Tier</v>
      </c>
      <c r="F8906" s="10">
        <f t="shared" si="1"/>
        <v>0.3807480418</v>
      </c>
    </row>
    <row r="8907" ht="14.25" customHeight="1">
      <c r="A8907" s="2" t="s">
        <v>401</v>
      </c>
      <c r="B8907" s="2" t="s">
        <v>402</v>
      </c>
      <c r="C8907" s="2">
        <v>2011.0</v>
      </c>
      <c r="D8907" s="9">
        <v>39461.824</v>
      </c>
      <c r="E8907" s="10" t="str">
        <f t="array" ref="E8907">IFS(D8907&lt;=$G$3,'calculated data '!$A$3,D8907&lt;=$G$4,'calculated data '!$A$4,D8907&lt;=$G$6,'calculated data '!$A$5,D8907&gt;=$G$6,'calculated data '!$A$6)</f>
        <v>High Demand Tier</v>
      </c>
      <c r="F8907" s="10">
        <f t="shared" si="1"/>
        <v>0.3813731779</v>
      </c>
    </row>
    <row r="8908" ht="14.25" customHeight="1">
      <c r="A8908" s="2" t="s">
        <v>453</v>
      </c>
      <c r="B8908" s="2" t="s">
        <v>454</v>
      </c>
      <c r="C8908" s="2">
        <v>1982.0</v>
      </c>
      <c r="D8908" s="9">
        <v>39470.215</v>
      </c>
      <c r="E8908" s="10" t="str">
        <f t="array" ref="E8908">IFS(D8908&lt;=$G$3,'calculated data '!$A$3,D8908&lt;=$G$4,'calculated data '!$A$4,D8908&lt;=$G$6,'calculated data '!$A$5,D8908&gt;=$G$6,'calculated data '!$A$6)</f>
        <v>High Demand Tier</v>
      </c>
      <c r="F8908" s="10">
        <f t="shared" si="1"/>
        <v>0.3815952856</v>
      </c>
    </row>
    <row r="8909" ht="14.25" customHeight="1">
      <c r="A8909" s="2" t="s">
        <v>437</v>
      </c>
      <c r="B8909" s="2" t="s">
        <v>438</v>
      </c>
      <c r="C8909" s="2">
        <v>1977.0</v>
      </c>
      <c r="D8909" s="9">
        <v>39485.816</v>
      </c>
      <c r="E8909" s="10" t="str">
        <f t="array" ref="E8909">IFS(D8909&lt;=$G$3,'calculated data '!$A$3,D8909&lt;=$G$4,'calculated data '!$A$4,D8909&lt;=$G$6,'calculated data '!$A$5,D8909&gt;=$G$6,'calculated data '!$A$6)</f>
        <v>High Demand Tier</v>
      </c>
      <c r="F8909" s="10">
        <f t="shared" si="1"/>
        <v>0.3820082401</v>
      </c>
    </row>
    <row r="8910" ht="14.25" customHeight="1">
      <c r="A8910" s="2" t="s">
        <v>453</v>
      </c>
      <c r="B8910" s="2" t="s">
        <v>454</v>
      </c>
      <c r="C8910" s="2">
        <v>2015.0</v>
      </c>
      <c r="D8910" s="9">
        <v>39486.44</v>
      </c>
      <c r="E8910" s="10" t="str">
        <f t="array" ref="E8910">IFS(D8910&lt;=$G$3,'calculated data '!$A$3,D8910&lt;=$G$4,'calculated data '!$A$4,D8910&lt;=$G$6,'calculated data '!$A$5,D8910&gt;=$G$6,'calculated data '!$A$6)</f>
        <v>High Demand Tier</v>
      </c>
      <c r="F8910" s="10">
        <f t="shared" si="1"/>
        <v>0.3820247573</v>
      </c>
    </row>
    <row r="8911" ht="14.25" customHeight="1">
      <c r="A8911" s="2" t="s">
        <v>377</v>
      </c>
      <c r="B8911" s="2" t="s">
        <v>378</v>
      </c>
      <c r="C8911" s="2">
        <v>2003.0</v>
      </c>
      <c r="D8911" s="9">
        <v>39487.387</v>
      </c>
      <c r="E8911" s="10" t="str">
        <f t="array" ref="E8911">IFS(D8911&lt;=$G$3,'calculated data '!$A$3,D8911&lt;=$G$4,'calculated data '!$A$4,D8911&lt;=$G$6,'calculated data '!$A$5,D8911&gt;=$G$6,'calculated data '!$A$6)</f>
        <v>High Demand Tier</v>
      </c>
      <c r="F8911" s="10">
        <f t="shared" si="1"/>
        <v>0.3820498241</v>
      </c>
    </row>
    <row r="8912" ht="14.25" customHeight="1">
      <c r="A8912" s="2" t="s">
        <v>257</v>
      </c>
      <c r="B8912" s="2" t="s">
        <v>258</v>
      </c>
      <c r="C8912" s="2">
        <v>2023.0</v>
      </c>
      <c r="D8912" s="9">
        <v>39491.758</v>
      </c>
      <c r="E8912" s="10" t="str">
        <f t="array" ref="E8912">IFS(D8912&lt;=$G$3,'calculated data '!$A$3,D8912&lt;=$G$4,'calculated data '!$A$4,D8912&lt;=$G$6,'calculated data '!$A$5,D8912&gt;=$G$6,'calculated data '!$A$6)</f>
        <v>High Demand Tier</v>
      </c>
      <c r="F8912" s="10">
        <f t="shared" si="1"/>
        <v>0.3821655234</v>
      </c>
    </row>
    <row r="8913" ht="14.25" customHeight="1">
      <c r="A8913" s="2" t="s">
        <v>417</v>
      </c>
      <c r="B8913" s="2" t="s">
        <v>418</v>
      </c>
      <c r="C8913" s="2">
        <v>1985.0</v>
      </c>
      <c r="D8913" s="9">
        <v>39494.203</v>
      </c>
      <c r="E8913" s="10" t="str">
        <f t="array" ref="E8913">IFS(D8913&lt;=$G$3,'calculated data '!$A$3,D8913&lt;=$G$4,'calculated data '!$A$4,D8913&lt;=$G$6,'calculated data '!$A$5,D8913&gt;=$G$6,'calculated data '!$A$6)</f>
        <v>High Demand Tier</v>
      </c>
      <c r="F8913" s="10">
        <f t="shared" si="1"/>
        <v>0.3822302419</v>
      </c>
    </row>
    <row r="8914" ht="14.25" customHeight="1">
      <c r="A8914" s="2" t="s">
        <v>453</v>
      </c>
      <c r="B8914" s="2" t="s">
        <v>454</v>
      </c>
      <c r="C8914" s="2">
        <v>2000.0</v>
      </c>
      <c r="D8914" s="9">
        <v>39499.26</v>
      </c>
      <c r="E8914" s="10" t="str">
        <f t="array" ref="E8914">IFS(D8914&lt;=$G$3,'calculated data '!$A$3,D8914&lt;=$G$4,'calculated data '!$A$4,D8914&lt;=$G$6,'calculated data '!$A$5,D8914&gt;=$G$6,'calculated data '!$A$6)</f>
        <v>High Demand Tier</v>
      </c>
      <c r="F8914" s="10">
        <f t="shared" si="1"/>
        <v>0.3823640995</v>
      </c>
    </row>
    <row r="8915" ht="14.25" customHeight="1">
      <c r="A8915" s="2" t="s">
        <v>417</v>
      </c>
      <c r="B8915" s="2" t="s">
        <v>418</v>
      </c>
      <c r="C8915" s="2">
        <v>1979.0</v>
      </c>
      <c r="D8915" s="9">
        <v>39507.6</v>
      </c>
      <c r="E8915" s="10" t="str">
        <f t="array" ref="E8915">IFS(D8915&lt;=$G$3,'calculated data '!$A$3,D8915&lt;=$G$4,'calculated data '!$A$4,D8915&lt;=$G$6,'calculated data '!$A$5,D8915&gt;=$G$6,'calculated data '!$A$6)</f>
        <v>High Demand Tier</v>
      </c>
      <c r="F8915" s="10">
        <f t="shared" si="1"/>
        <v>0.3825848572</v>
      </c>
    </row>
    <row r="8916" ht="14.25" customHeight="1">
      <c r="A8916" s="2" t="s">
        <v>437</v>
      </c>
      <c r="B8916" s="2" t="s">
        <v>438</v>
      </c>
      <c r="C8916" s="2">
        <v>2020.0</v>
      </c>
      <c r="D8916" s="9">
        <v>39541.797</v>
      </c>
      <c r="E8916" s="10" t="str">
        <f t="array" ref="E8916">IFS(D8916&lt;=$G$3,'calculated data '!$A$3,D8916&lt;=$G$4,'calculated data '!$A$4,D8916&lt;=$G$6,'calculated data '!$A$5,D8916&gt;=$G$6,'calculated data '!$A$6)</f>
        <v>High Demand Tier</v>
      </c>
      <c r="F8916" s="10">
        <f t="shared" si="1"/>
        <v>0.3834900433</v>
      </c>
    </row>
    <row r="8917" ht="14.25" customHeight="1">
      <c r="A8917" s="2" t="s">
        <v>433</v>
      </c>
      <c r="B8917" s="2" t="s">
        <v>434</v>
      </c>
      <c r="C8917" s="2">
        <v>2021.0</v>
      </c>
      <c r="D8917" s="9">
        <v>39543.992</v>
      </c>
      <c r="E8917" s="10" t="str">
        <f t="array" ref="E8917">IFS(D8917&lt;=$G$3,'calculated data '!$A$3,D8917&lt;=$G$4,'calculated data '!$A$4,D8917&lt;=$G$6,'calculated data '!$A$5,D8917&gt;=$G$6,'calculated data '!$A$6)</f>
        <v>High Demand Tier</v>
      </c>
      <c r="F8917" s="10">
        <f t="shared" si="1"/>
        <v>0.3835481444</v>
      </c>
    </row>
    <row r="8918" ht="14.25" customHeight="1">
      <c r="A8918" s="2" t="s">
        <v>437</v>
      </c>
      <c r="B8918" s="2" t="s">
        <v>438</v>
      </c>
      <c r="C8918" s="2">
        <v>1982.0</v>
      </c>
      <c r="D8918" s="9">
        <v>39554.68</v>
      </c>
      <c r="E8918" s="10" t="str">
        <f t="array" ref="E8918">IFS(D8918&lt;=$G$3,'calculated data '!$A$3,D8918&lt;=$G$4,'calculated data '!$A$4,D8918&lt;=$G$6,'calculated data '!$A$5,D8918&gt;=$G$6,'calculated data '!$A$6)</f>
        <v>High Demand Tier</v>
      </c>
      <c r="F8918" s="10">
        <f t="shared" si="1"/>
        <v>0.3838310531</v>
      </c>
    </row>
    <row r="8919" ht="14.25" customHeight="1">
      <c r="A8919" s="2" t="s">
        <v>447</v>
      </c>
      <c r="B8919" s="2" t="s">
        <v>448</v>
      </c>
      <c r="C8919" s="2">
        <v>2004.0</v>
      </c>
      <c r="D8919" s="9">
        <v>39560.27</v>
      </c>
      <c r="E8919" s="10" t="str">
        <f t="array" ref="E8919">IFS(D8919&lt;=$G$3,'calculated data '!$A$3,D8919&lt;=$G$4,'calculated data '!$A$4,D8919&lt;=$G$6,'calculated data '!$A$5,D8919&gt;=$G$6,'calculated data '!$A$6)</f>
        <v>High Demand Tier</v>
      </c>
      <c r="F8919" s="10">
        <f t="shared" si="1"/>
        <v>0.383979019</v>
      </c>
    </row>
    <row r="8920" ht="14.25" customHeight="1">
      <c r="A8920" s="2" t="s">
        <v>415</v>
      </c>
      <c r="B8920" s="2" t="s">
        <v>416</v>
      </c>
      <c r="C8920" s="2">
        <v>2010.0</v>
      </c>
      <c r="D8920" s="9">
        <v>39589.605</v>
      </c>
      <c r="E8920" s="10" t="str">
        <f t="array" ref="E8920">IFS(D8920&lt;=$G$3,'calculated data '!$A$3,D8920&lt;=$G$4,'calculated data '!$A$4,D8920&lt;=$G$6,'calculated data '!$A$5,D8920&gt;=$G$6,'calculated data '!$A$6)</f>
        <v>High Demand Tier</v>
      </c>
      <c r="F8920" s="10">
        <f t="shared" si="1"/>
        <v>0.3847555091</v>
      </c>
    </row>
    <row r="8921" ht="14.25" customHeight="1">
      <c r="A8921" s="2" t="s">
        <v>401</v>
      </c>
      <c r="B8921" s="2" t="s">
        <v>402</v>
      </c>
      <c r="C8921" s="2">
        <v>1998.0</v>
      </c>
      <c r="D8921" s="9">
        <v>39622.746</v>
      </c>
      <c r="E8921" s="10" t="str">
        <f t="array" ref="E8921">IFS(D8921&lt;=$G$3,'calculated data '!$A$3,D8921&lt;=$G$4,'calculated data '!$A$4,D8921&lt;=$G$6,'calculated data '!$A$5,D8921&gt;=$G$6,'calculated data '!$A$6)</f>
        <v>High Demand Tier</v>
      </c>
      <c r="F8921" s="10">
        <f t="shared" si="1"/>
        <v>0.3856327431</v>
      </c>
    </row>
    <row r="8922" ht="14.25" customHeight="1">
      <c r="A8922" s="2" t="s">
        <v>411</v>
      </c>
      <c r="B8922" s="2" t="s">
        <v>412</v>
      </c>
      <c r="C8922" s="2">
        <v>2007.0</v>
      </c>
      <c r="D8922" s="9">
        <v>39624.03</v>
      </c>
      <c r="E8922" s="10" t="str">
        <f t="array" ref="E8922">IFS(D8922&lt;=$G$3,'calculated data '!$A$3,D8922&lt;=$G$4,'calculated data '!$A$4,D8922&lt;=$G$6,'calculated data '!$A$5,D8922&gt;=$G$6,'calculated data '!$A$6)</f>
        <v>High Demand Tier</v>
      </c>
      <c r="F8922" s="10">
        <f t="shared" si="1"/>
        <v>0.3856667303</v>
      </c>
    </row>
    <row r="8923" ht="14.25" customHeight="1">
      <c r="A8923" s="2" t="s">
        <v>419</v>
      </c>
      <c r="B8923" s="2" t="s">
        <v>420</v>
      </c>
      <c r="C8923" s="2">
        <v>1992.0</v>
      </c>
      <c r="D8923" s="9">
        <v>39629.805</v>
      </c>
      <c r="E8923" s="10" t="str">
        <f t="array" ref="E8923">IFS(D8923&lt;=$G$3,'calculated data '!$A$3,D8923&lt;=$G$4,'calculated data '!$A$4,D8923&lt;=$G$6,'calculated data '!$A$5,D8923&gt;=$G$6,'calculated data '!$A$6)</f>
        <v>High Demand Tier</v>
      </c>
      <c r="F8923" s="10">
        <f t="shared" si="1"/>
        <v>0.3858195931</v>
      </c>
    </row>
    <row r="8924" ht="14.25" customHeight="1">
      <c r="A8924" s="2" t="s">
        <v>399</v>
      </c>
      <c r="B8924" s="2" t="s">
        <v>400</v>
      </c>
      <c r="C8924" s="2">
        <v>2010.0</v>
      </c>
      <c r="D8924" s="9">
        <v>39643.49</v>
      </c>
      <c r="E8924" s="10" t="str">
        <f t="array" ref="E8924">IFS(D8924&lt;=$G$3,'calculated data '!$A$3,D8924&lt;=$G$4,'calculated data '!$A$4,D8924&lt;=$G$6,'calculated data '!$A$5,D8924&gt;=$G$6,'calculated data '!$A$6)</f>
        <v>High Demand Tier</v>
      </c>
      <c r="F8924" s="10">
        <f t="shared" si="1"/>
        <v>0.3861818317</v>
      </c>
    </row>
    <row r="8925" ht="14.25" customHeight="1">
      <c r="A8925" s="2" t="s">
        <v>435</v>
      </c>
      <c r="B8925" s="2" t="s">
        <v>436</v>
      </c>
      <c r="C8925" s="2">
        <v>2004.0</v>
      </c>
      <c r="D8925" s="9">
        <v>39649.17</v>
      </c>
      <c r="E8925" s="10" t="str">
        <f t="array" ref="E8925">IFS(D8925&lt;=$G$3,'calculated data '!$A$3,D8925&lt;=$G$4,'calculated data '!$A$4,D8925&lt;=$G$6,'calculated data '!$A$5,D8925&gt;=$G$6,'calculated data '!$A$6)</f>
        <v>High Demand Tier</v>
      </c>
      <c r="F8925" s="10">
        <f t="shared" si="1"/>
        <v>0.3863321798</v>
      </c>
    </row>
    <row r="8926" ht="14.25" customHeight="1">
      <c r="A8926" s="2" t="s">
        <v>417</v>
      </c>
      <c r="B8926" s="2" t="s">
        <v>418</v>
      </c>
      <c r="C8926" s="2">
        <v>1995.0</v>
      </c>
      <c r="D8926" s="9">
        <v>39654.637</v>
      </c>
      <c r="E8926" s="10" t="str">
        <f t="array" ref="E8926">IFS(D8926&lt;=$G$3,'calculated data '!$A$3,D8926&lt;=$G$4,'calculated data '!$A$4,D8926&lt;=$G$6,'calculated data '!$A$5,D8926&gt;=$G$6,'calculated data '!$A$6)</f>
        <v>High Demand Tier</v>
      </c>
      <c r="F8926" s="10">
        <f t="shared" si="1"/>
        <v>0.38647689</v>
      </c>
    </row>
    <row r="8927" ht="14.25" customHeight="1">
      <c r="A8927" s="2" t="s">
        <v>465</v>
      </c>
      <c r="B8927" s="2" t="s">
        <v>466</v>
      </c>
      <c r="C8927" s="2">
        <v>2023.0</v>
      </c>
      <c r="D8927" s="9">
        <v>39668.953</v>
      </c>
      <c r="E8927" s="10" t="str">
        <f t="array" ref="E8927">IFS(D8927&lt;=$G$3,'calculated data '!$A$3,D8927&lt;=$G$4,'calculated data '!$A$4,D8927&lt;=$G$6,'calculated data '!$A$5,D8927&gt;=$G$6,'calculated data '!$A$6)</f>
        <v>High Demand Tier</v>
      </c>
      <c r="F8927" s="10">
        <f t="shared" si="1"/>
        <v>0.3868558309</v>
      </c>
    </row>
    <row r="8928" ht="14.25" customHeight="1">
      <c r="A8928" s="2" t="s">
        <v>473</v>
      </c>
      <c r="B8928" s="2" t="s">
        <v>474</v>
      </c>
      <c r="C8928" s="2">
        <v>2025.0</v>
      </c>
      <c r="D8928" s="9">
        <v>39669.12</v>
      </c>
      <c r="E8928" s="10" t="str">
        <f t="array" ref="E8928">IFS(D8928&lt;=$G$3,'calculated data '!$A$3,D8928&lt;=$G$4,'calculated data '!$A$4,D8928&lt;=$G$6,'calculated data '!$A$5,D8928&gt;=$G$6,'calculated data '!$A$6)</f>
        <v>High Demand Tier</v>
      </c>
      <c r="F8928" s="10">
        <f t="shared" si="1"/>
        <v>0.3868602514</v>
      </c>
    </row>
    <row r="8929" ht="14.25" customHeight="1">
      <c r="A8929" s="2" t="s">
        <v>377</v>
      </c>
      <c r="B8929" s="2" t="s">
        <v>378</v>
      </c>
      <c r="C8929" s="2">
        <v>2005.0</v>
      </c>
      <c r="D8929" s="9">
        <v>39673.113</v>
      </c>
      <c r="E8929" s="10" t="str">
        <f t="array" ref="E8929">IFS(D8929&lt;=$G$3,'calculated data '!$A$3,D8929&lt;=$G$4,'calculated data '!$A$4,D8929&lt;=$G$6,'calculated data '!$A$5,D8929&gt;=$G$6,'calculated data '!$A$6)</f>
        <v>High Demand Tier</v>
      </c>
      <c r="F8929" s="10">
        <f t="shared" si="1"/>
        <v>0.3869659451</v>
      </c>
    </row>
    <row r="8930" ht="14.25" customHeight="1">
      <c r="A8930" s="2" t="s">
        <v>437</v>
      </c>
      <c r="B8930" s="2" t="s">
        <v>438</v>
      </c>
      <c r="C8930" s="2">
        <v>1984.0</v>
      </c>
      <c r="D8930" s="9">
        <v>39676.652</v>
      </c>
      <c r="E8930" s="10" t="str">
        <f t="array" ref="E8930">IFS(D8930&lt;=$G$3,'calculated data '!$A$3,D8930&lt;=$G$4,'calculated data '!$A$4,D8930&lt;=$G$6,'calculated data '!$A$5,D8930&gt;=$G$6,'calculated data '!$A$6)</f>
        <v>High Demand Tier</v>
      </c>
      <c r="F8930" s="10">
        <f t="shared" si="1"/>
        <v>0.3870596215</v>
      </c>
    </row>
    <row r="8931" ht="14.25" customHeight="1">
      <c r="A8931" s="2" t="s">
        <v>411</v>
      </c>
      <c r="B8931" s="2" t="s">
        <v>412</v>
      </c>
      <c r="C8931" s="2">
        <v>1996.0</v>
      </c>
      <c r="D8931" s="9">
        <v>39696.61</v>
      </c>
      <c r="E8931" s="10" t="str">
        <f t="array" ref="E8931">IFS(D8931&lt;=$G$3,'calculated data '!$A$3,D8931&lt;=$G$4,'calculated data '!$A$4,D8931&lt;=$G$6,'calculated data '!$A$5,D8931&gt;=$G$6,'calculated data '!$A$6)</f>
        <v>High Demand Tier</v>
      </c>
      <c r="F8931" s="10">
        <f t="shared" si="1"/>
        <v>0.3875879048</v>
      </c>
    </row>
    <row r="8932" ht="14.25" customHeight="1">
      <c r="A8932" s="2" t="s">
        <v>369</v>
      </c>
      <c r="B8932" s="2" t="s">
        <v>370</v>
      </c>
      <c r="C8932" s="2">
        <v>2019.0</v>
      </c>
      <c r="D8932" s="9">
        <v>39707.734</v>
      </c>
      <c r="E8932" s="10" t="str">
        <f t="array" ref="E8932">IFS(D8932&lt;=$G$3,'calculated data '!$A$3,D8932&lt;=$G$4,'calculated data '!$A$4,D8932&lt;=$G$6,'calculated data '!$A$5,D8932&gt;=$G$6,'calculated data '!$A$6)</f>
        <v>High Demand Tier</v>
      </c>
      <c r="F8932" s="10">
        <f t="shared" si="1"/>
        <v>0.3878823543</v>
      </c>
    </row>
    <row r="8933" ht="14.25" customHeight="1">
      <c r="A8933" s="2" t="s">
        <v>431</v>
      </c>
      <c r="B8933" s="2" t="s">
        <v>432</v>
      </c>
      <c r="C8933" s="2">
        <v>2001.0</v>
      </c>
      <c r="D8933" s="9">
        <v>39725.164</v>
      </c>
      <c r="E8933" s="10" t="str">
        <f t="array" ref="E8933">IFS(D8933&lt;=$G$3,'calculated data '!$A$3,D8933&lt;=$G$4,'calculated data '!$A$4,D8933&lt;=$G$6,'calculated data '!$A$5,D8933&gt;=$G$6,'calculated data '!$A$6)</f>
        <v>High Demand Tier</v>
      </c>
      <c r="F8933" s="10">
        <f t="shared" si="1"/>
        <v>0.3883437221</v>
      </c>
    </row>
    <row r="8934" ht="14.25" customHeight="1">
      <c r="A8934" s="2" t="s">
        <v>411</v>
      </c>
      <c r="B8934" s="2" t="s">
        <v>412</v>
      </c>
      <c r="C8934" s="2">
        <v>1989.0</v>
      </c>
      <c r="D8934" s="9">
        <v>39739.52</v>
      </c>
      <c r="E8934" s="10" t="str">
        <f t="array" ref="E8934">IFS(D8934&lt;=$G$3,'calculated data '!$A$3,D8934&lt;=$G$4,'calculated data '!$A$4,D8934&lt;=$G$6,'calculated data '!$A$5,D8934&gt;=$G$6,'calculated data '!$A$6)</f>
        <v>High Demand Tier</v>
      </c>
      <c r="F8934" s="10">
        <f t="shared" si="1"/>
        <v>0.3887237218</v>
      </c>
    </row>
    <row r="8935" ht="14.25" customHeight="1">
      <c r="A8935" s="2" t="s">
        <v>411</v>
      </c>
      <c r="B8935" s="2" t="s">
        <v>412</v>
      </c>
      <c r="C8935" s="2">
        <v>1995.0</v>
      </c>
      <c r="D8935" s="9">
        <v>39745.355</v>
      </c>
      <c r="E8935" s="10" t="str">
        <f t="array" ref="E8935">IFS(D8935&lt;=$G$3,'calculated data '!$A$3,D8935&lt;=$G$4,'calculated data '!$A$4,D8935&lt;=$G$6,'calculated data '!$A$5,D8935&gt;=$G$6,'calculated data '!$A$6)</f>
        <v>High Demand Tier</v>
      </c>
      <c r="F8935" s="10">
        <f t="shared" si="1"/>
        <v>0.3888781728</v>
      </c>
    </row>
    <row r="8936" ht="14.25" customHeight="1">
      <c r="A8936" s="2" t="s">
        <v>381</v>
      </c>
      <c r="B8936" s="2" t="s">
        <v>382</v>
      </c>
      <c r="C8936" s="2">
        <v>1998.0</v>
      </c>
      <c r="D8936" s="9">
        <v>39757.934</v>
      </c>
      <c r="E8936" s="10" t="str">
        <f t="array" ref="E8936">IFS(D8936&lt;=$G$3,'calculated data '!$A$3,D8936&lt;=$G$4,'calculated data '!$A$4,D8936&lt;=$G$6,'calculated data '!$A$5,D8936&gt;=$G$6,'calculated data '!$A$6)</f>
        <v>High Demand Tier</v>
      </c>
      <c r="F8936" s="10">
        <f t="shared" si="1"/>
        <v>0.3892111358</v>
      </c>
    </row>
    <row r="8937" ht="14.25" customHeight="1">
      <c r="A8937" s="2" t="s">
        <v>397</v>
      </c>
      <c r="B8937" s="2" t="s">
        <v>398</v>
      </c>
      <c r="C8937" s="2">
        <v>1975.0</v>
      </c>
      <c r="D8937" s="9">
        <v>39768.926</v>
      </c>
      <c r="E8937" s="10" t="str">
        <f t="array" ref="E8937">IFS(D8937&lt;=$G$3,'calculated data '!$A$3,D8937&lt;=$G$4,'calculated data '!$A$4,D8937&lt;=$G$6,'calculated data '!$A$5,D8937&gt;=$G$6,'calculated data '!$A$6)</f>
        <v>High Demand Tier</v>
      </c>
      <c r="F8937" s="10">
        <f t="shared" si="1"/>
        <v>0.3895020913</v>
      </c>
    </row>
    <row r="8938" ht="14.25" customHeight="1">
      <c r="A8938" s="2" t="s">
        <v>381</v>
      </c>
      <c r="B8938" s="2" t="s">
        <v>382</v>
      </c>
      <c r="C8938" s="2">
        <v>1997.0</v>
      </c>
      <c r="D8938" s="9">
        <v>39799.895</v>
      </c>
      <c r="E8938" s="10" t="str">
        <f t="array" ref="E8938">IFS(D8938&lt;=$G$3,'calculated data '!$A$3,D8938&lt;=$G$4,'calculated data '!$A$4,D8938&lt;=$G$6,'calculated data '!$A$5,D8938&gt;=$G$6,'calculated data '!$A$6)</f>
        <v>High Demand Tier</v>
      </c>
      <c r="F8938" s="10">
        <f t="shared" si="1"/>
        <v>0.390321833</v>
      </c>
    </row>
    <row r="8939" ht="14.25" customHeight="1">
      <c r="A8939" s="2" t="s">
        <v>401</v>
      </c>
      <c r="B8939" s="2" t="s">
        <v>402</v>
      </c>
      <c r="C8939" s="2">
        <v>2009.0</v>
      </c>
      <c r="D8939" s="9">
        <v>39805.81</v>
      </c>
      <c r="E8939" s="10" t="str">
        <f t="array" ref="E8939">IFS(D8939&lt;=$G$3,'calculated data '!$A$3,D8939&lt;=$G$4,'calculated data '!$A$4,D8939&lt;=$G$6,'calculated data '!$A$5,D8939&gt;=$G$6,'calculated data '!$A$6)</f>
        <v>High Demand Tier</v>
      </c>
      <c r="F8939" s="10">
        <f t="shared" si="1"/>
        <v>0.3904784016</v>
      </c>
    </row>
    <row r="8940" ht="14.25" customHeight="1">
      <c r="A8940" s="2" t="s">
        <v>407</v>
      </c>
      <c r="B8940" s="2" t="s">
        <v>408</v>
      </c>
      <c r="C8940" s="2">
        <v>2022.0</v>
      </c>
      <c r="D8940" s="9">
        <v>39827.613</v>
      </c>
      <c r="E8940" s="10" t="str">
        <f t="array" ref="E8940">IFS(D8940&lt;=$G$3,'calculated data '!$A$3,D8940&lt;=$G$4,'calculated data '!$A$4,D8940&lt;=$G$6,'calculated data '!$A$5,D8940&gt;=$G$6,'calculated data '!$A$6)</f>
        <v>High Demand Tier</v>
      </c>
      <c r="F8940" s="10">
        <f t="shared" si="1"/>
        <v>0.3910555216</v>
      </c>
    </row>
    <row r="8941" ht="14.25" customHeight="1">
      <c r="A8941" s="2" t="s">
        <v>443</v>
      </c>
      <c r="B8941" s="2" t="s">
        <v>444</v>
      </c>
      <c r="C8941" s="2">
        <v>2013.0</v>
      </c>
      <c r="D8941" s="9">
        <v>39838.105</v>
      </c>
      <c r="E8941" s="10" t="str">
        <f t="array" ref="E8941">IFS(D8941&lt;=$G$3,'calculated data '!$A$3,D8941&lt;=$G$4,'calculated data '!$A$4,D8941&lt;=$G$6,'calculated data '!$A$5,D8941&gt;=$G$6,'calculated data '!$A$6)</f>
        <v>High Demand Tier</v>
      </c>
      <c r="F8941" s="10">
        <f t="shared" si="1"/>
        <v>0.3913332422</v>
      </c>
    </row>
    <row r="8942" ht="14.25" customHeight="1">
      <c r="A8942" s="2" t="s">
        <v>455</v>
      </c>
      <c r="B8942" s="2" t="s">
        <v>456</v>
      </c>
      <c r="C8942" s="2">
        <v>1969.0</v>
      </c>
      <c r="D8942" s="9">
        <v>39844.023</v>
      </c>
      <c r="E8942" s="10" t="str">
        <f t="array" ref="E8942">IFS(D8942&lt;=$G$3,'calculated data '!$A$3,D8942&lt;=$G$4,'calculated data '!$A$4,D8942&lt;=$G$6,'calculated data '!$A$5,D8942&gt;=$G$6,'calculated data '!$A$6)</f>
        <v>High Demand Tier</v>
      </c>
      <c r="F8942" s="10">
        <f t="shared" si="1"/>
        <v>0.3914898902</v>
      </c>
    </row>
    <row r="8943" ht="14.25" customHeight="1">
      <c r="A8943" s="2" t="s">
        <v>407</v>
      </c>
      <c r="B8943" s="2" t="s">
        <v>408</v>
      </c>
      <c r="C8943" s="2">
        <v>2011.0</v>
      </c>
      <c r="D8943" s="9">
        <v>39854.184</v>
      </c>
      <c r="E8943" s="10" t="str">
        <f t="array" ref="E8943">IFS(D8943&lt;=$G$3,'calculated data '!$A$3,D8943&lt;=$G$4,'calculated data '!$A$4,D8943&lt;=$G$6,'calculated data '!$A$5,D8943&gt;=$G$6,'calculated data '!$A$6)</f>
        <v>High Demand Tier</v>
      </c>
      <c r="F8943" s="10">
        <f t="shared" si="1"/>
        <v>0.3917588494</v>
      </c>
    </row>
    <row r="8944" ht="14.25" customHeight="1">
      <c r="A8944" s="2" t="s">
        <v>307</v>
      </c>
      <c r="B8944" s="2" t="s">
        <v>308</v>
      </c>
      <c r="C8944" s="2">
        <v>1992.0</v>
      </c>
      <c r="D8944" s="9">
        <v>39866.64</v>
      </c>
      <c r="E8944" s="10" t="str">
        <f t="array" ref="E8944">IFS(D8944&lt;=$G$3,'calculated data '!$A$3,D8944&lt;=$G$4,'calculated data '!$A$4,D8944&lt;=$G$6,'calculated data '!$A$5,D8944&gt;=$G$6,'calculated data '!$A$6)</f>
        <v>High Demand Tier</v>
      </c>
      <c r="F8944" s="10">
        <f t="shared" si="1"/>
        <v>0.3920885566</v>
      </c>
    </row>
    <row r="8945" ht="14.25" customHeight="1">
      <c r="A8945" s="2" t="s">
        <v>469</v>
      </c>
      <c r="B8945" s="2" t="s">
        <v>470</v>
      </c>
      <c r="C8945" s="2">
        <v>1967.0</v>
      </c>
      <c r="D8945" s="9">
        <v>39875.24</v>
      </c>
      <c r="E8945" s="10" t="str">
        <f t="array" ref="E8945">IFS(D8945&lt;=$G$3,'calculated data '!$A$3,D8945&lt;=$G$4,'calculated data '!$A$4,D8945&lt;=$G$6,'calculated data '!$A$5,D8945&gt;=$G$6,'calculated data '!$A$6)</f>
        <v>High Demand Tier</v>
      </c>
      <c r="F8945" s="10">
        <f t="shared" si="1"/>
        <v>0.3923161964</v>
      </c>
    </row>
    <row r="8946" ht="14.25" customHeight="1">
      <c r="A8946" s="2" t="s">
        <v>471</v>
      </c>
      <c r="B8946" s="2" t="s">
        <v>472</v>
      </c>
      <c r="C8946" s="2">
        <v>2002.0</v>
      </c>
      <c r="D8946" s="9">
        <v>39889.203</v>
      </c>
      <c r="E8946" s="10" t="str">
        <f t="array" ref="E8946">IFS(D8946&lt;=$G$3,'calculated data '!$A$3,D8946&lt;=$G$4,'calculated data '!$A$4,D8946&lt;=$G$6,'calculated data '!$A$5,D8946&gt;=$G$6,'calculated data '!$A$6)</f>
        <v>High Demand Tier</v>
      </c>
      <c r="F8946" s="10">
        <f t="shared" si="1"/>
        <v>0.3926857936</v>
      </c>
    </row>
    <row r="8947" ht="14.25" customHeight="1">
      <c r="A8947" s="2" t="s">
        <v>257</v>
      </c>
      <c r="B8947" s="2" t="s">
        <v>258</v>
      </c>
      <c r="C8947" s="2">
        <v>2025.0</v>
      </c>
      <c r="D8947" s="9">
        <v>39906.066</v>
      </c>
      <c r="E8947" s="10" t="str">
        <f t="array" ref="E8947">IFS(D8947&lt;=$G$3,'calculated data '!$A$3,D8947&lt;=$G$4,'calculated data '!$A$4,D8947&lt;=$G$6,'calculated data '!$A$5,D8947&gt;=$G$6,'calculated data '!$A$6)</f>
        <v>High Demand Tier</v>
      </c>
      <c r="F8947" s="10">
        <f t="shared" si="1"/>
        <v>0.393132153</v>
      </c>
    </row>
    <row r="8948" ht="14.25" customHeight="1">
      <c r="A8948" s="2" t="s">
        <v>453</v>
      </c>
      <c r="B8948" s="2" t="s">
        <v>454</v>
      </c>
      <c r="C8948" s="2">
        <v>2001.0</v>
      </c>
      <c r="D8948" s="9">
        <v>39906.67</v>
      </c>
      <c r="E8948" s="10" t="str">
        <f t="array" ref="E8948">IFS(D8948&lt;=$G$3,'calculated data '!$A$3,D8948&lt;=$G$4,'calculated data '!$A$4,D8948&lt;=$G$6,'calculated data '!$A$5,D8948&gt;=$G$6,'calculated data '!$A$6)</f>
        <v>High Demand Tier</v>
      </c>
      <c r="F8948" s="10">
        <f t="shared" si="1"/>
        <v>0.3931481407</v>
      </c>
    </row>
    <row r="8949" ht="14.25" customHeight="1">
      <c r="A8949" s="2" t="s">
        <v>437</v>
      </c>
      <c r="B8949" s="2" t="s">
        <v>438</v>
      </c>
      <c r="C8949" s="2">
        <v>1978.0</v>
      </c>
      <c r="D8949" s="9">
        <v>39906.902</v>
      </c>
      <c r="E8949" s="10" t="str">
        <f t="array" ref="E8949">IFS(D8949&lt;=$G$3,'calculated data '!$A$3,D8949&lt;=$G$4,'calculated data '!$A$4,D8949&lt;=$G$6,'calculated data '!$A$5,D8949&gt;=$G$6,'calculated data '!$A$6)</f>
        <v>High Demand Tier</v>
      </c>
      <c r="F8949" s="10">
        <f t="shared" si="1"/>
        <v>0.3931542817</v>
      </c>
    </row>
    <row r="8950" ht="14.25" customHeight="1">
      <c r="A8950" s="2" t="s">
        <v>443</v>
      </c>
      <c r="B8950" s="2" t="s">
        <v>444</v>
      </c>
      <c r="C8950" s="2">
        <v>2009.0</v>
      </c>
      <c r="D8950" s="9">
        <v>39930.348</v>
      </c>
      <c r="E8950" s="10" t="str">
        <f t="array" ref="E8950">IFS(D8950&lt;=$G$3,'calculated data '!$A$3,D8950&lt;=$G$4,'calculated data '!$A$4,D8950&lt;=$G$6,'calculated data '!$A$5,D8950&gt;=$G$6,'calculated data '!$A$6)</f>
        <v>High Demand Tier</v>
      </c>
      <c r="F8950" s="10">
        <f t="shared" si="1"/>
        <v>0.3937748915</v>
      </c>
    </row>
    <row r="8951" ht="14.25" customHeight="1">
      <c r="A8951" s="2" t="s">
        <v>459</v>
      </c>
      <c r="B8951" s="2" t="s">
        <v>460</v>
      </c>
      <c r="C8951" s="2">
        <v>2021.0</v>
      </c>
      <c r="D8951" s="9">
        <v>39936.883</v>
      </c>
      <c r="E8951" s="10" t="str">
        <f t="array" ref="E8951">IFS(D8951&lt;=$G$3,'calculated data '!$A$3,D8951&lt;=$G$4,'calculated data '!$A$4,D8951&lt;=$G$6,'calculated data '!$A$5,D8951&gt;=$G$6,'calculated data '!$A$6)</f>
        <v>High Demand Tier</v>
      </c>
      <c r="F8951" s="10">
        <f t="shared" si="1"/>
        <v>0.3939478713</v>
      </c>
    </row>
    <row r="8952" ht="14.25" customHeight="1">
      <c r="A8952" s="2" t="s">
        <v>413</v>
      </c>
      <c r="B8952" s="2" t="s">
        <v>414</v>
      </c>
      <c r="C8952" s="2">
        <v>2004.0</v>
      </c>
      <c r="D8952" s="9">
        <v>39970.918</v>
      </c>
      <c r="E8952" s="10" t="str">
        <f t="array" ref="E8952">IFS(D8952&lt;=$G$3,'calculated data '!$A$3,D8952&lt;=$G$4,'calculated data '!$A$4,D8952&lt;=$G$6,'calculated data '!$A$5,D8952&gt;=$G$6,'calculated data '!$A$6)</f>
        <v>High Demand Tier</v>
      </c>
      <c r="F8952" s="10">
        <f t="shared" si="1"/>
        <v>0.3948487693</v>
      </c>
    </row>
    <row r="8953" ht="14.25" customHeight="1">
      <c r="A8953" s="2" t="s">
        <v>407</v>
      </c>
      <c r="B8953" s="2" t="s">
        <v>408</v>
      </c>
      <c r="C8953" s="2">
        <v>2017.0</v>
      </c>
      <c r="D8953" s="9">
        <v>39973.543</v>
      </c>
      <c r="E8953" s="10" t="str">
        <f t="array" ref="E8953">IFS(D8953&lt;=$G$3,'calculated data '!$A$3,D8953&lt;=$G$4,'calculated data '!$A$4,D8953&lt;=$G$6,'calculated data '!$A$5,D8953&gt;=$G$6,'calculated data '!$A$6)</f>
        <v>High Demand Tier</v>
      </c>
      <c r="F8953" s="10">
        <f t="shared" si="1"/>
        <v>0.3949182524</v>
      </c>
    </row>
    <row r="8954" ht="14.25" customHeight="1">
      <c r="A8954" s="2" t="s">
        <v>433</v>
      </c>
      <c r="B8954" s="2" t="s">
        <v>434</v>
      </c>
      <c r="C8954" s="2">
        <v>1981.0</v>
      </c>
      <c r="D8954" s="9">
        <v>40032.35</v>
      </c>
      <c r="E8954" s="10" t="str">
        <f t="array" ref="E8954">IFS(D8954&lt;=$G$3,'calculated data '!$A$3,D8954&lt;=$G$4,'calculated data '!$A$4,D8954&lt;=$G$6,'calculated data '!$A$5,D8954&gt;=$G$6,'calculated data '!$A$6)</f>
        <v>High Demand Tier</v>
      </c>
      <c r="F8954" s="10">
        <f t="shared" si="1"/>
        <v>0.396474859</v>
      </c>
    </row>
    <row r="8955" ht="14.25" customHeight="1">
      <c r="A8955" s="2" t="s">
        <v>257</v>
      </c>
      <c r="B8955" s="2" t="s">
        <v>258</v>
      </c>
      <c r="C8955" s="2">
        <v>2024.0</v>
      </c>
      <c r="D8955" s="9">
        <v>40045.57</v>
      </c>
      <c r="E8955" s="10" t="str">
        <f t="array" ref="E8955">IFS(D8955&lt;=$G$3,'calculated data '!$A$3,D8955&lt;=$G$4,'calculated data '!$A$4,D8955&lt;=$G$6,'calculated data '!$A$5,D8955&gt;=$G$6,'calculated data '!$A$6)</f>
        <v>High Demand Tier</v>
      </c>
      <c r="F8955" s="10">
        <f t="shared" si="1"/>
        <v>0.3968247891</v>
      </c>
    </row>
    <row r="8956" ht="14.25" customHeight="1">
      <c r="A8956" s="2" t="s">
        <v>417</v>
      </c>
      <c r="B8956" s="2" t="s">
        <v>418</v>
      </c>
      <c r="C8956" s="2">
        <v>1986.0</v>
      </c>
      <c r="D8956" s="9">
        <v>40067.316</v>
      </c>
      <c r="E8956" s="10" t="str">
        <f t="array" ref="E8956">IFS(D8956&lt;=$G$3,'calculated data '!$A$3,D8956&lt;=$G$4,'calculated data '!$A$4,D8956&lt;=$G$6,'calculated data '!$A$5,D8956&gt;=$G$6,'calculated data '!$A$6)</f>
        <v>High Demand Tier</v>
      </c>
      <c r="F8956" s="10">
        <f t="shared" si="1"/>
        <v>0.3974004003</v>
      </c>
    </row>
    <row r="8957" ht="14.25" customHeight="1">
      <c r="A8957" s="2" t="s">
        <v>411</v>
      </c>
      <c r="B8957" s="2" t="s">
        <v>412</v>
      </c>
      <c r="C8957" s="2">
        <v>2008.0</v>
      </c>
      <c r="D8957" s="9">
        <v>40068.062</v>
      </c>
      <c r="E8957" s="10" t="str">
        <f t="array" ref="E8957">IFS(D8957&lt;=$G$3,'calculated data '!$A$3,D8957&lt;=$G$4,'calculated data '!$A$4,D8957&lt;=$G$6,'calculated data '!$A$5,D8957&gt;=$G$6,'calculated data '!$A$6)</f>
        <v>High Demand Tier</v>
      </c>
      <c r="F8957" s="10">
        <f t="shared" si="1"/>
        <v>0.3974201467</v>
      </c>
    </row>
    <row r="8958" ht="14.25" customHeight="1">
      <c r="A8958" s="2" t="s">
        <v>267</v>
      </c>
      <c r="B8958" s="2" t="s">
        <v>268</v>
      </c>
      <c r="C8958" s="2">
        <v>2007.0</v>
      </c>
      <c r="D8958" s="9">
        <v>40085.457</v>
      </c>
      <c r="E8958" s="10" t="str">
        <f t="array" ref="E8958">IFS(D8958&lt;=$G$3,'calculated data '!$A$3,D8958&lt;=$G$4,'calculated data '!$A$4,D8958&lt;=$G$6,'calculated data '!$A$5,D8958&gt;=$G$6,'calculated data '!$A$6)</f>
        <v>High Demand Tier</v>
      </c>
      <c r="F8958" s="10">
        <f t="shared" si="1"/>
        <v>0.3978805881</v>
      </c>
    </row>
    <row r="8959" ht="14.25" customHeight="1">
      <c r="A8959" s="2" t="s">
        <v>445</v>
      </c>
      <c r="B8959" s="2" t="s">
        <v>446</v>
      </c>
      <c r="C8959" s="2">
        <v>1973.0</v>
      </c>
      <c r="D8959" s="9">
        <v>40108.766</v>
      </c>
      <c r="E8959" s="10" t="str">
        <f t="array" ref="E8959">IFS(D8959&lt;=$G$3,'calculated data '!$A$3,D8959&lt;=$G$4,'calculated data '!$A$4,D8959&lt;=$G$6,'calculated data '!$A$5,D8959&gt;=$G$6,'calculated data '!$A$6)</f>
        <v>High Demand Tier</v>
      </c>
      <c r="F8959" s="10">
        <f t="shared" si="1"/>
        <v>0.3984975715</v>
      </c>
    </row>
    <row r="8960" ht="14.25" customHeight="1">
      <c r="A8960" s="2" t="s">
        <v>437</v>
      </c>
      <c r="B8960" s="2" t="s">
        <v>438</v>
      </c>
      <c r="C8960" s="2">
        <v>1985.0</v>
      </c>
      <c r="D8960" s="9">
        <v>40113.01</v>
      </c>
      <c r="E8960" s="10" t="str">
        <f t="array" ref="E8960">IFS(D8960&lt;=$G$3,'calculated data '!$A$3,D8960&lt;=$G$4,'calculated data '!$A$4,D8960&lt;=$G$6,'calculated data '!$A$5,D8960&gt;=$G$6,'calculated data '!$A$6)</f>
        <v>High Demand Tier</v>
      </c>
      <c r="F8960" s="10">
        <f t="shared" si="1"/>
        <v>0.3986099091</v>
      </c>
    </row>
    <row r="8961" ht="14.25" customHeight="1">
      <c r="A8961" s="2" t="s">
        <v>307</v>
      </c>
      <c r="B8961" s="2" t="s">
        <v>308</v>
      </c>
      <c r="C8961" s="2">
        <v>2011.0</v>
      </c>
      <c r="D8961" s="9">
        <v>40128.707</v>
      </c>
      <c r="E8961" s="10" t="str">
        <f t="array" ref="E8961">IFS(D8961&lt;=$G$3,'calculated data '!$A$3,D8961&lt;=$G$4,'calculated data '!$A$4,D8961&lt;=$G$6,'calculated data '!$A$5,D8961&gt;=$G$6,'calculated data '!$A$6)</f>
        <v>High Demand Tier</v>
      </c>
      <c r="F8961" s="10">
        <f t="shared" si="1"/>
        <v>0.3990254048</v>
      </c>
    </row>
    <row r="8962" ht="14.25" customHeight="1">
      <c r="A8962" s="2" t="s">
        <v>453</v>
      </c>
      <c r="B8962" s="2" t="s">
        <v>454</v>
      </c>
      <c r="C8962" s="2">
        <v>1984.0</v>
      </c>
      <c r="D8962" s="9">
        <v>40132.332</v>
      </c>
      <c r="E8962" s="10" t="str">
        <f t="array" ref="E8962">IFS(D8962&lt;=$G$3,'calculated data '!$A$3,D8962&lt;=$G$4,'calculated data '!$A$4,D8962&lt;=$G$6,'calculated data '!$A$5,D8962&gt;=$G$6,'calculated data '!$A$6)</f>
        <v>High Demand Tier</v>
      </c>
      <c r="F8962" s="10">
        <f t="shared" si="1"/>
        <v>0.3991213576</v>
      </c>
    </row>
    <row r="8963" ht="14.25" customHeight="1">
      <c r="A8963" s="2" t="s">
        <v>437</v>
      </c>
      <c r="B8963" s="2" t="s">
        <v>438</v>
      </c>
      <c r="C8963" s="2">
        <v>1981.0</v>
      </c>
      <c r="D8963" s="9">
        <v>40138.832</v>
      </c>
      <c r="E8963" s="10" t="str">
        <f t="array" ref="E8963">IFS(D8963&lt;=$G$3,'calculated data '!$A$3,D8963&lt;=$G$4,'calculated data '!$A$4,D8963&lt;=$G$6,'calculated data '!$A$5,D8963&gt;=$G$6,'calculated data '!$A$6)</f>
        <v>High Demand Tier</v>
      </c>
      <c r="F8963" s="10">
        <f t="shared" si="1"/>
        <v>0.399293411</v>
      </c>
    </row>
    <row r="8964" ht="14.25" customHeight="1">
      <c r="A8964" s="2" t="s">
        <v>431</v>
      </c>
      <c r="B8964" s="2" t="s">
        <v>432</v>
      </c>
      <c r="C8964" s="2">
        <v>2000.0</v>
      </c>
      <c r="D8964" s="9">
        <v>40140.523</v>
      </c>
      <c r="E8964" s="10" t="str">
        <f t="array" ref="E8964">IFS(D8964&lt;=$G$3,'calculated data '!$A$3,D8964&lt;=$G$4,'calculated data '!$A$4,D8964&lt;=$G$6,'calculated data '!$A$5,D8964&gt;=$G$6,'calculated data '!$A$6)</f>
        <v>High Demand Tier</v>
      </c>
      <c r="F8964" s="10">
        <f t="shared" si="1"/>
        <v>0.3993381714</v>
      </c>
    </row>
    <row r="8965" ht="14.25" customHeight="1">
      <c r="A8965" s="2" t="s">
        <v>391</v>
      </c>
      <c r="B8965" s="2" t="s">
        <v>392</v>
      </c>
      <c r="C8965" s="2">
        <v>1997.0</v>
      </c>
      <c r="D8965" s="9">
        <v>40153.46</v>
      </c>
      <c r="E8965" s="10" t="str">
        <f t="array" ref="E8965">IFS(D8965&lt;=$G$3,'calculated data '!$A$3,D8965&lt;=$G$4,'calculated data '!$A$4,D8965&lt;=$G$6,'calculated data '!$A$5,D8965&gt;=$G$6,'calculated data '!$A$6)</f>
        <v>High Demand Tier</v>
      </c>
      <c r="F8965" s="10">
        <f t="shared" si="1"/>
        <v>0.3996806105</v>
      </c>
    </row>
    <row r="8966" ht="14.25" customHeight="1">
      <c r="A8966" s="2" t="s">
        <v>431</v>
      </c>
      <c r="B8966" s="2" t="s">
        <v>432</v>
      </c>
      <c r="C8966" s="2">
        <v>2002.0</v>
      </c>
      <c r="D8966" s="9">
        <v>40171.86</v>
      </c>
      <c r="E8966" s="10" t="str">
        <f t="array" ref="E8966">IFS(D8966&lt;=$G$3,'calculated data '!$A$3,D8966&lt;=$G$4,'calculated data '!$A$4,D8966&lt;=$G$6,'calculated data '!$A$5,D8966&gt;=$G$6,'calculated data '!$A$6)</f>
        <v>High Demand Tier</v>
      </c>
      <c r="F8966" s="10">
        <f t="shared" si="1"/>
        <v>0.400167654</v>
      </c>
    </row>
    <row r="8967" ht="14.25" customHeight="1">
      <c r="A8967" s="2" t="s">
        <v>421</v>
      </c>
      <c r="B8967" s="2" t="s">
        <v>422</v>
      </c>
      <c r="C8967" s="2">
        <v>1986.0</v>
      </c>
      <c r="D8967" s="9">
        <v>40175.277</v>
      </c>
      <c r="E8967" s="10" t="str">
        <f t="array" ref="E8967">IFS(D8967&lt;=$G$3,'calculated data '!$A$3,D8967&lt;=$G$4,'calculated data '!$A$4,D8967&lt;=$G$6,'calculated data '!$A$5,D8967&gt;=$G$6,'calculated data '!$A$6)</f>
        <v>High Demand Tier</v>
      </c>
      <c r="F8967" s="10">
        <f t="shared" si="1"/>
        <v>0.4002581011</v>
      </c>
    </row>
    <row r="8968" ht="14.25" customHeight="1">
      <c r="A8968" s="2" t="s">
        <v>421</v>
      </c>
      <c r="B8968" s="2" t="s">
        <v>422</v>
      </c>
      <c r="C8968" s="2">
        <v>1978.0</v>
      </c>
      <c r="D8968" s="9">
        <v>40175.562</v>
      </c>
      <c r="E8968" s="10" t="str">
        <f t="array" ref="E8968">IFS(D8968&lt;=$G$3,'calculated data '!$A$3,D8968&lt;=$G$4,'calculated data '!$A$4,D8968&lt;=$G$6,'calculated data '!$A$5,D8968&gt;=$G$6,'calculated data '!$A$6)</f>
        <v>High Demand Tier</v>
      </c>
      <c r="F8968" s="10">
        <f t="shared" si="1"/>
        <v>0.400265645</v>
      </c>
    </row>
    <row r="8969" ht="14.25" customHeight="1">
      <c r="A8969" s="2" t="s">
        <v>417</v>
      </c>
      <c r="B8969" s="2" t="s">
        <v>418</v>
      </c>
      <c r="C8969" s="2">
        <v>2010.0</v>
      </c>
      <c r="D8969" s="9">
        <v>40185.99</v>
      </c>
      <c r="E8969" s="10" t="str">
        <f t="array" ref="E8969">IFS(D8969&lt;=$G$3,'calculated data '!$A$3,D8969&lt;=$G$4,'calculated data '!$A$4,D8969&lt;=$G$6,'calculated data '!$A$5,D8969&gt;=$G$6,'calculated data '!$A$6)</f>
        <v>High Demand Tier</v>
      </c>
      <c r="F8969" s="10">
        <f t="shared" si="1"/>
        <v>0.4005416715</v>
      </c>
    </row>
    <row r="8970" ht="14.25" customHeight="1">
      <c r="A8970" s="2" t="s">
        <v>379</v>
      </c>
      <c r="B8970" s="2" t="s">
        <v>380</v>
      </c>
      <c r="C8970" s="2">
        <v>1998.0</v>
      </c>
      <c r="D8970" s="9">
        <v>40196.703</v>
      </c>
      <c r="E8970" s="10" t="str">
        <f t="array" ref="E8970">IFS(D8970&lt;=$G$3,'calculated data '!$A$3,D8970&lt;=$G$4,'calculated data '!$A$4,D8970&lt;=$G$6,'calculated data '!$A$5,D8970&gt;=$G$6,'calculated data '!$A$6)</f>
        <v>High Demand Tier</v>
      </c>
      <c r="F8970" s="10">
        <f t="shared" si="1"/>
        <v>0.400825242</v>
      </c>
    </row>
    <row r="8971" ht="14.25" customHeight="1">
      <c r="A8971" s="2" t="s">
        <v>437</v>
      </c>
      <c r="B8971" s="2" t="s">
        <v>438</v>
      </c>
      <c r="C8971" s="2">
        <v>1980.0</v>
      </c>
      <c r="D8971" s="9">
        <v>40227.395</v>
      </c>
      <c r="E8971" s="10" t="str">
        <f t="array" ref="E8971">IFS(D8971&lt;=$G$3,'calculated data '!$A$3,D8971&lt;=$G$4,'calculated data '!$A$4,D8971&lt;=$G$6,'calculated data '!$A$5,D8971&gt;=$G$6,'calculated data '!$A$6)</f>
        <v>High Demand Tier</v>
      </c>
      <c r="F8971" s="10">
        <f t="shared" si="1"/>
        <v>0.4016376516</v>
      </c>
    </row>
    <row r="8972" ht="14.25" customHeight="1">
      <c r="A8972" s="2" t="s">
        <v>433</v>
      </c>
      <c r="B8972" s="2" t="s">
        <v>434</v>
      </c>
      <c r="C8972" s="2">
        <v>1978.0</v>
      </c>
      <c r="D8972" s="9">
        <v>40242.43</v>
      </c>
      <c r="E8972" s="10" t="str">
        <f t="array" ref="E8972">IFS(D8972&lt;=$G$3,'calculated data '!$A$3,D8972&lt;=$G$4,'calculated data '!$A$4,D8972&lt;=$G$6,'calculated data '!$A$5,D8972&gt;=$G$6,'calculated data '!$A$6)</f>
        <v>High Demand Tier</v>
      </c>
      <c r="F8972" s="10">
        <f t="shared" si="1"/>
        <v>0.4020356243</v>
      </c>
    </row>
    <row r="8973" ht="14.25" customHeight="1">
      <c r="A8973" s="2" t="s">
        <v>465</v>
      </c>
      <c r="B8973" s="2" t="s">
        <v>466</v>
      </c>
      <c r="C8973" s="2">
        <v>2001.0</v>
      </c>
      <c r="D8973" s="9">
        <v>40244.395</v>
      </c>
      <c r="E8973" s="10" t="str">
        <f t="array" ref="E8973">IFS(D8973&lt;=$G$3,'calculated data '!$A$3,D8973&lt;=$G$4,'calculated data '!$A$4,D8973&lt;=$G$6,'calculated data '!$A$5,D8973&gt;=$G$6,'calculated data '!$A$6)</f>
        <v>High Demand Tier</v>
      </c>
      <c r="F8973" s="10">
        <f t="shared" si="1"/>
        <v>0.4020876373</v>
      </c>
    </row>
    <row r="8974" ht="14.25" customHeight="1">
      <c r="A8974" s="2" t="s">
        <v>411</v>
      </c>
      <c r="B8974" s="2" t="s">
        <v>412</v>
      </c>
      <c r="C8974" s="2">
        <v>2006.0</v>
      </c>
      <c r="D8974" s="9">
        <v>40246.543</v>
      </c>
      <c r="E8974" s="10" t="str">
        <f t="array" ref="E8974">IFS(D8974&lt;=$G$3,'calculated data '!$A$3,D8974&lt;=$G$4,'calculated data '!$A$4,D8974&lt;=$G$6,'calculated data '!$A$5,D8974&gt;=$G$6,'calculated data '!$A$6)</f>
        <v>High Demand Tier</v>
      </c>
      <c r="F8974" s="10">
        <f t="shared" si="1"/>
        <v>0.4021444944</v>
      </c>
    </row>
    <row r="8975" ht="14.25" customHeight="1">
      <c r="A8975" s="2" t="s">
        <v>433</v>
      </c>
      <c r="B8975" s="2" t="s">
        <v>434</v>
      </c>
      <c r="C8975" s="2">
        <v>1973.0</v>
      </c>
      <c r="D8975" s="9">
        <v>40276.62</v>
      </c>
      <c r="E8975" s="10" t="str">
        <f t="array" ref="E8975">IFS(D8975&lt;=$G$3,'calculated data '!$A$3,D8975&lt;=$G$4,'calculated data '!$A$4,D8975&lt;=$G$6,'calculated data '!$A$5,D8975&gt;=$G$6,'calculated data '!$A$6)</f>
        <v>High Demand Tier</v>
      </c>
      <c r="F8975" s="10">
        <f t="shared" si="1"/>
        <v>0.4029406251</v>
      </c>
    </row>
    <row r="8976" ht="14.25" customHeight="1">
      <c r="A8976" s="2" t="s">
        <v>391</v>
      </c>
      <c r="B8976" s="2" t="s">
        <v>392</v>
      </c>
      <c r="C8976" s="2">
        <v>2021.0</v>
      </c>
      <c r="D8976" s="9">
        <v>40276.633</v>
      </c>
      <c r="E8976" s="10" t="str">
        <f t="array" ref="E8976">IFS(D8976&lt;=$G$3,'calculated data '!$A$3,D8976&lt;=$G$4,'calculated data '!$A$4,D8976&lt;=$G$6,'calculated data '!$A$5,D8976&gt;=$G$6,'calculated data '!$A$6)</f>
        <v>High Demand Tier</v>
      </c>
      <c r="F8976" s="10">
        <f t="shared" si="1"/>
        <v>0.4029409692</v>
      </c>
    </row>
    <row r="8977" ht="14.25" customHeight="1">
      <c r="A8977" s="2" t="s">
        <v>421</v>
      </c>
      <c r="B8977" s="2" t="s">
        <v>422</v>
      </c>
      <c r="C8977" s="2">
        <v>1988.0</v>
      </c>
      <c r="D8977" s="9">
        <v>40282.055</v>
      </c>
      <c r="E8977" s="10" t="str">
        <f t="array" ref="E8977">IFS(D8977&lt;=$G$3,'calculated data '!$A$3,D8977&lt;=$G$4,'calculated data '!$A$4,D8977&lt;=$G$6,'calculated data '!$A$5,D8977&gt;=$G$6,'calculated data '!$A$6)</f>
        <v>High Demand Tier</v>
      </c>
      <c r="F8977" s="10">
        <f t="shared" si="1"/>
        <v>0.4030844882</v>
      </c>
    </row>
    <row r="8978" ht="14.25" customHeight="1">
      <c r="A8978" s="2" t="s">
        <v>417</v>
      </c>
      <c r="B8978" s="2" t="s">
        <v>418</v>
      </c>
      <c r="C8978" s="2">
        <v>1991.0</v>
      </c>
      <c r="D8978" s="9">
        <v>40288.312</v>
      </c>
      <c r="E8978" s="10" t="str">
        <f t="array" ref="E8978">IFS(D8978&lt;=$G$3,'calculated data '!$A$3,D8978&lt;=$G$4,'calculated data '!$A$4,D8978&lt;=$G$6,'calculated data '!$A$5,D8978&gt;=$G$6,'calculated data '!$A$6)</f>
        <v>High Demand Tier</v>
      </c>
      <c r="F8978" s="10">
        <f t="shared" si="1"/>
        <v>0.4032501094</v>
      </c>
    </row>
    <row r="8979" ht="14.25" customHeight="1">
      <c r="A8979" s="2" t="s">
        <v>309</v>
      </c>
      <c r="B8979" s="2" t="s">
        <v>310</v>
      </c>
      <c r="C8979" s="2">
        <v>2008.0</v>
      </c>
      <c r="D8979" s="9">
        <v>40288.324</v>
      </c>
      <c r="E8979" s="10" t="str">
        <f t="array" ref="E8979">IFS(D8979&lt;=$G$3,'calculated data '!$A$3,D8979&lt;=$G$4,'calculated data '!$A$4,D8979&lt;=$G$6,'calculated data '!$A$5,D8979&gt;=$G$6,'calculated data '!$A$6)</f>
        <v>High Demand Tier</v>
      </c>
      <c r="F8979" s="10">
        <f t="shared" si="1"/>
        <v>0.403250427</v>
      </c>
    </row>
    <row r="8980" ht="14.25" customHeight="1">
      <c r="A8980" s="2" t="s">
        <v>369</v>
      </c>
      <c r="B8980" s="2" t="s">
        <v>370</v>
      </c>
      <c r="C8980" s="2">
        <v>1989.0</v>
      </c>
      <c r="D8980" s="9">
        <v>40290.66</v>
      </c>
      <c r="E8980" s="10" t="str">
        <f t="array" ref="E8980">IFS(D8980&lt;=$G$3,'calculated data '!$A$3,D8980&lt;=$G$4,'calculated data '!$A$4,D8980&lt;=$G$6,'calculated data '!$A$5,D8980&gt;=$G$6,'calculated data '!$A$6)</f>
        <v>High Demand Tier</v>
      </c>
      <c r="F8980" s="10">
        <f t="shared" si="1"/>
        <v>0.4033122604</v>
      </c>
    </row>
    <row r="8981" ht="14.25" customHeight="1">
      <c r="A8981" s="2" t="s">
        <v>413</v>
      </c>
      <c r="B8981" s="2" t="s">
        <v>414</v>
      </c>
      <c r="C8981" s="2">
        <v>1977.0</v>
      </c>
      <c r="D8981" s="9">
        <v>40297.832</v>
      </c>
      <c r="E8981" s="10" t="str">
        <f t="array" ref="E8981">IFS(D8981&lt;=$G$3,'calculated data '!$A$3,D8981&lt;=$G$4,'calculated data '!$A$4,D8981&lt;=$G$6,'calculated data '!$A$5,D8981&gt;=$G$6,'calculated data '!$A$6)</f>
        <v>High Demand Tier</v>
      </c>
      <c r="F8981" s="10">
        <f t="shared" si="1"/>
        <v>0.4035021014</v>
      </c>
    </row>
    <row r="8982" ht="14.25" customHeight="1">
      <c r="A8982" s="2" t="s">
        <v>391</v>
      </c>
      <c r="B8982" s="2" t="s">
        <v>392</v>
      </c>
      <c r="C8982" s="2">
        <v>2016.0</v>
      </c>
      <c r="D8982" s="9">
        <v>40308.766</v>
      </c>
      <c r="E8982" s="10" t="str">
        <f t="array" ref="E8982">IFS(D8982&lt;=$G$3,'calculated data '!$A$3,D8982&lt;=$G$4,'calculated data '!$A$4,D8982&lt;=$G$6,'calculated data '!$A$5,D8982&gt;=$G$6,'calculated data '!$A$6)</f>
        <v>High Demand Tier</v>
      </c>
      <c r="F8982" s="10">
        <f t="shared" si="1"/>
        <v>0.4037915217</v>
      </c>
    </row>
    <row r="8983" ht="14.25" customHeight="1">
      <c r="A8983" s="2" t="s">
        <v>447</v>
      </c>
      <c r="B8983" s="2" t="s">
        <v>448</v>
      </c>
      <c r="C8983" s="2">
        <v>2007.0</v>
      </c>
      <c r="D8983" s="9">
        <v>40313.715</v>
      </c>
      <c r="E8983" s="10" t="str">
        <f t="array" ref="E8983">IFS(D8983&lt;=$G$3,'calculated data '!$A$3,D8983&lt;=$G$4,'calculated data '!$A$4,D8983&lt;=$G$6,'calculated data '!$A$5,D8983&gt;=$G$6,'calculated data '!$A$6)</f>
        <v>High Demand Tier</v>
      </c>
      <c r="F8983" s="10">
        <f t="shared" si="1"/>
        <v>0.4039225205</v>
      </c>
    </row>
    <row r="8984" ht="14.25" customHeight="1">
      <c r="A8984" s="2" t="s">
        <v>447</v>
      </c>
      <c r="B8984" s="2" t="s">
        <v>448</v>
      </c>
      <c r="C8984" s="2">
        <v>2005.0</v>
      </c>
      <c r="D8984" s="9">
        <v>40314.324</v>
      </c>
      <c r="E8984" s="10" t="str">
        <f t="array" ref="E8984">IFS(D8984&lt;=$G$3,'calculated data '!$A$3,D8984&lt;=$G$4,'calculated data '!$A$4,D8984&lt;=$G$6,'calculated data '!$A$5,D8984&gt;=$G$6,'calculated data '!$A$6)</f>
        <v>High Demand Tier</v>
      </c>
      <c r="F8984" s="10">
        <f t="shared" si="1"/>
        <v>0.4039386406</v>
      </c>
    </row>
    <row r="8985" ht="14.25" customHeight="1">
      <c r="A8985" s="2" t="s">
        <v>381</v>
      </c>
      <c r="B8985" s="2" t="s">
        <v>382</v>
      </c>
      <c r="C8985" s="2">
        <v>1991.0</v>
      </c>
      <c r="D8985" s="9">
        <v>40317.59</v>
      </c>
      <c r="E8985" s="10" t="str">
        <f t="array" ref="E8985">IFS(D8985&lt;=$G$3,'calculated data '!$A$3,D8985&lt;=$G$4,'calculated data '!$A$4,D8985&lt;=$G$6,'calculated data '!$A$5,D8985&gt;=$G$6,'calculated data '!$A$6)</f>
        <v>High Demand Tier</v>
      </c>
      <c r="F8985" s="10">
        <f t="shared" si="1"/>
        <v>0.4040250908</v>
      </c>
    </row>
    <row r="8986" ht="14.25" customHeight="1">
      <c r="A8986" s="2" t="s">
        <v>411</v>
      </c>
      <c r="B8986" s="2" t="s">
        <v>412</v>
      </c>
      <c r="C8986" s="2">
        <v>1993.0</v>
      </c>
      <c r="D8986" s="9">
        <v>40332.867</v>
      </c>
      <c r="E8986" s="10" t="str">
        <f t="array" ref="E8986">IFS(D8986&lt;=$G$3,'calculated data '!$A$3,D8986&lt;=$G$4,'calculated data '!$A$4,D8986&lt;=$G$6,'calculated data '!$A$5,D8986&gt;=$G$6,'calculated data '!$A$6)</f>
        <v>High Demand Tier</v>
      </c>
      <c r="F8986" s="10">
        <f t="shared" si="1"/>
        <v>0.4044294691</v>
      </c>
    </row>
    <row r="8987" ht="14.25" customHeight="1">
      <c r="A8987" s="2" t="s">
        <v>447</v>
      </c>
      <c r="B8987" s="2" t="s">
        <v>448</v>
      </c>
      <c r="C8987" s="2">
        <v>2006.0</v>
      </c>
      <c r="D8987" s="9">
        <v>40362.766</v>
      </c>
      <c r="E8987" s="10" t="str">
        <f t="array" ref="E8987">IFS(D8987&lt;=$G$3,'calculated data '!$A$3,D8987&lt;=$G$4,'calculated data '!$A$4,D8987&lt;=$G$6,'calculated data '!$A$5,D8987&gt;=$G$6,'calculated data '!$A$6)</f>
        <v>High Demand Tier</v>
      </c>
      <c r="F8987" s="10">
        <f t="shared" si="1"/>
        <v>0.4052208882</v>
      </c>
    </row>
    <row r="8988" ht="14.25" customHeight="1">
      <c r="A8988" s="2" t="s">
        <v>337</v>
      </c>
      <c r="B8988" s="2" t="s">
        <v>338</v>
      </c>
      <c r="C8988" s="2">
        <v>2003.0</v>
      </c>
      <c r="D8988" s="9">
        <v>40367.582</v>
      </c>
      <c r="E8988" s="10" t="str">
        <f t="array" ref="E8988">IFS(D8988&lt;=$G$3,'calculated data '!$A$3,D8988&lt;=$G$4,'calculated data '!$A$4,D8988&lt;=$G$6,'calculated data '!$A$5,D8988&gt;=$G$6,'calculated data '!$A$6)</f>
        <v>High Demand Tier</v>
      </c>
      <c r="F8988" s="10">
        <f t="shared" si="1"/>
        <v>0.4053483665</v>
      </c>
    </row>
    <row r="8989" ht="14.25" customHeight="1">
      <c r="A8989" s="2" t="s">
        <v>465</v>
      </c>
      <c r="B8989" s="2" t="s">
        <v>466</v>
      </c>
      <c r="C8989" s="2">
        <v>2000.0</v>
      </c>
      <c r="D8989" s="9">
        <v>40382.37</v>
      </c>
      <c r="E8989" s="10" t="str">
        <f t="array" ref="E8989">IFS(D8989&lt;=$G$3,'calculated data '!$A$3,D8989&lt;=$G$4,'calculated data '!$A$4,D8989&lt;=$G$6,'calculated data '!$A$5,D8989&gt;=$G$6,'calculated data '!$A$6)</f>
        <v>High Demand Tier</v>
      </c>
      <c r="F8989" s="10">
        <f t="shared" si="1"/>
        <v>0.4057398012</v>
      </c>
    </row>
    <row r="8990" ht="14.25" customHeight="1">
      <c r="A8990" s="2" t="s">
        <v>467</v>
      </c>
      <c r="B8990" s="2" t="s">
        <v>468</v>
      </c>
      <c r="C8990" s="2">
        <v>1968.0</v>
      </c>
      <c r="D8990" s="9">
        <v>40406.375</v>
      </c>
      <c r="E8990" s="10" t="str">
        <f t="array" ref="E8990">IFS(D8990&lt;=$G$3,'calculated data '!$A$3,D8990&lt;=$G$4,'calculated data '!$A$4,D8990&lt;=$G$6,'calculated data '!$A$5,D8990&gt;=$G$6,'calculated data '!$A$6)</f>
        <v>High Demand Tier</v>
      </c>
      <c r="F8990" s="10">
        <f t="shared" si="1"/>
        <v>0.4063752076</v>
      </c>
    </row>
    <row r="8991" ht="14.25" customHeight="1">
      <c r="A8991" s="2" t="s">
        <v>369</v>
      </c>
      <c r="B8991" s="2" t="s">
        <v>370</v>
      </c>
      <c r="C8991" s="2">
        <v>2016.0</v>
      </c>
      <c r="D8991" s="9">
        <v>40416.85</v>
      </c>
      <c r="E8991" s="10" t="str">
        <f t="array" ref="E8991">IFS(D8991&lt;=$G$3,'calculated data '!$A$3,D8991&lt;=$G$4,'calculated data '!$A$4,D8991&lt;=$G$6,'calculated data '!$A$5,D8991&gt;=$G$6,'calculated data '!$A$6)</f>
        <v>High Demand Tier</v>
      </c>
      <c r="F8991" s="10">
        <f t="shared" si="1"/>
        <v>0.4066524782</v>
      </c>
    </row>
    <row r="8992" ht="14.25" customHeight="1">
      <c r="A8992" s="2" t="s">
        <v>421</v>
      </c>
      <c r="B8992" s="2" t="s">
        <v>422</v>
      </c>
      <c r="C8992" s="2">
        <v>1979.0</v>
      </c>
      <c r="D8992" s="9">
        <v>40418.234</v>
      </c>
      <c r="E8992" s="10" t="str">
        <f t="array" ref="E8992">IFS(D8992&lt;=$G$3,'calculated data '!$A$3,D8992&lt;=$G$4,'calculated data '!$A$4,D8992&lt;=$G$6,'calculated data '!$A$5,D8992&gt;=$G$6,'calculated data '!$A$6)</f>
        <v>High Demand Tier</v>
      </c>
      <c r="F8992" s="10">
        <f t="shared" si="1"/>
        <v>0.4066891124</v>
      </c>
    </row>
    <row r="8993" ht="14.25" customHeight="1">
      <c r="A8993" s="2" t="s">
        <v>403</v>
      </c>
      <c r="B8993" s="2" t="s">
        <v>404</v>
      </c>
      <c r="C8993" s="2">
        <v>2001.0</v>
      </c>
      <c r="D8993" s="9">
        <v>40435.44</v>
      </c>
      <c r="E8993" s="10" t="str">
        <f t="array" ref="E8993">IFS(D8993&lt;=$G$3,'calculated data '!$A$3,D8993&lt;=$G$4,'calculated data '!$A$4,D8993&lt;=$G$6,'calculated data '!$A$5,D8993&gt;=$G$6,'calculated data '!$A$6)</f>
        <v>High Demand Tier</v>
      </c>
      <c r="F8993" s="10">
        <f t="shared" si="1"/>
        <v>0.4071445509</v>
      </c>
    </row>
    <row r="8994" ht="14.25" customHeight="1">
      <c r="A8994" s="2" t="s">
        <v>443</v>
      </c>
      <c r="B8994" s="2" t="s">
        <v>444</v>
      </c>
      <c r="C8994" s="2">
        <v>1997.0</v>
      </c>
      <c r="D8994" s="9">
        <v>40446.62</v>
      </c>
      <c r="E8994" s="10" t="str">
        <f t="array" ref="E8994">IFS(D8994&lt;=$G$3,'calculated data '!$A$3,D8994&lt;=$G$4,'calculated data '!$A$4,D8994&lt;=$G$6,'calculated data '!$A$5,D8994&gt;=$G$6,'calculated data '!$A$6)</f>
        <v>High Demand Tier</v>
      </c>
      <c r="F8994" s="10">
        <f t="shared" si="1"/>
        <v>0.4074404827</v>
      </c>
    </row>
    <row r="8995" ht="14.25" customHeight="1">
      <c r="A8995" s="2" t="s">
        <v>437</v>
      </c>
      <c r="B8995" s="2" t="s">
        <v>438</v>
      </c>
      <c r="C8995" s="2">
        <v>1986.0</v>
      </c>
      <c r="D8995" s="9">
        <v>40467.684</v>
      </c>
      <c r="E8995" s="10" t="str">
        <f t="array" ref="E8995">IFS(D8995&lt;=$G$3,'calculated data '!$A$3,D8995&lt;=$G$4,'calculated data '!$A$4,D8995&lt;=$G$6,'calculated data '!$A$5,D8995&gt;=$G$6,'calculated data '!$A$6)</f>
        <v>High Demand Tier</v>
      </c>
      <c r="F8995" s="10">
        <f t="shared" si="1"/>
        <v>0.4079980416</v>
      </c>
    </row>
    <row r="8996" ht="14.25" customHeight="1">
      <c r="A8996" s="2" t="s">
        <v>407</v>
      </c>
      <c r="B8996" s="2" t="s">
        <v>408</v>
      </c>
      <c r="C8996" s="2">
        <v>2023.0</v>
      </c>
      <c r="D8996" s="9">
        <v>40488.043</v>
      </c>
      <c r="E8996" s="10" t="str">
        <f t="array" ref="E8996">IFS(D8996&lt;=$G$3,'calculated data '!$A$3,D8996&lt;=$G$4,'calculated data '!$A$4,D8996&lt;=$G$6,'calculated data '!$A$5,D8996&gt;=$G$6,'calculated data '!$A$6)</f>
        <v>High Demand Tier</v>
      </c>
      <c r="F8996" s="10">
        <f t="shared" si="1"/>
        <v>0.4085369392</v>
      </c>
    </row>
    <row r="8997" ht="14.25" customHeight="1">
      <c r="A8997" s="2" t="s">
        <v>439</v>
      </c>
      <c r="B8997" s="2" t="s">
        <v>440</v>
      </c>
      <c r="C8997" s="2">
        <v>1986.0</v>
      </c>
      <c r="D8997" s="9">
        <v>40490.062</v>
      </c>
      <c r="E8997" s="10" t="str">
        <f t="array" ref="E8997">IFS(D8997&lt;=$G$3,'calculated data '!$A$3,D8997&lt;=$G$4,'calculated data '!$A$4,D8997&lt;=$G$6,'calculated data '!$A$5,D8997&gt;=$G$6,'calculated data '!$A$6)</f>
        <v>High Demand Tier</v>
      </c>
      <c r="F8997" s="10">
        <f t="shared" si="1"/>
        <v>0.4085903816</v>
      </c>
    </row>
    <row r="8998" ht="14.25" customHeight="1">
      <c r="A8998" s="2" t="s">
        <v>443</v>
      </c>
      <c r="B8998" s="2" t="s">
        <v>444</v>
      </c>
      <c r="C8998" s="2">
        <v>1999.0</v>
      </c>
      <c r="D8998" s="9">
        <v>40491.035</v>
      </c>
      <c r="E8998" s="10" t="str">
        <f t="array" ref="E8998">IFS(D8998&lt;=$G$3,'calculated data '!$A$3,D8998&lt;=$G$4,'calculated data '!$A$4,D8998&lt;=$G$6,'calculated data '!$A$5,D8998&gt;=$G$6,'calculated data '!$A$6)</f>
        <v>High Demand Tier</v>
      </c>
      <c r="F8998" s="10">
        <f t="shared" si="1"/>
        <v>0.4086161367</v>
      </c>
    </row>
    <row r="8999" ht="14.25" customHeight="1">
      <c r="A8999" s="2" t="s">
        <v>435</v>
      </c>
      <c r="B8999" s="2" t="s">
        <v>436</v>
      </c>
      <c r="C8999" s="2">
        <v>1987.0</v>
      </c>
      <c r="D8999" s="9">
        <v>40494.855</v>
      </c>
      <c r="E8999" s="10" t="str">
        <f t="array" ref="E8999">IFS(D8999&lt;=$G$3,'calculated data '!$A$3,D8999&lt;=$G$4,'calculated data '!$A$4,D8999&lt;=$G$6,'calculated data '!$A$5,D8999&gt;=$G$6,'calculated data '!$A$6)</f>
        <v>High Demand Tier</v>
      </c>
      <c r="F8999" s="10">
        <f t="shared" si="1"/>
        <v>0.4087172512</v>
      </c>
    </row>
    <row r="9000" ht="14.25" customHeight="1">
      <c r="A9000" s="2" t="s">
        <v>369</v>
      </c>
      <c r="B9000" s="2" t="s">
        <v>370</v>
      </c>
      <c r="C9000" s="2">
        <v>2018.0</v>
      </c>
      <c r="D9000" s="9">
        <v>40498.77</v>
      </c>
      <c r="E9000" s="10" t="str">
        <f t="array" ref="E9000">IFS(D9000&lt;=$G$3,'calculated data '!$A$3,D9000&lt;=$G$4,'calculated data '!$A$4,D9000&lt;=$G$6,'calculated data '!$A$5,D9000&gt;=$G$6,'calculated data '!$A$6)</f>
        <v>High Demand Tier</v>
      </c>
      <c r="F9000" s="10">
        <f t="shared" si="1"/>
        <v>0.4088208802</v>
      </c>
    </row>
    <row r="9001" ht="14.25" customHeight="1">
      <c r="A9001" s="2" t="s">
        <v>443</v>
      </c>
      <c r="B9001" s="2" t="s">
        <v>444</v>
      </c>
      <c r="C9001" s="2">
        <v>2012.0</v>
      </c>
      <c r="D9001" s="9">
        <v>40505.324</v>
      </c>
      <c r="E9001" s="10" t="str">
        <f t="array" ref="E9001">IFS(D9001&lt;=$G$3,'calculated data '!$A$3,D9001&lt;=$G$4,'calculated data '!$A$4,D9001&lt;=$G$6,'calculated data '!$A$5,D9001&gt;=$G$6,'calculated data '!$A$6)</f>
        <v>High Demand Tier</v>
      </c>
      <c r="F9001" s="10">
        <f t="shared" si="1"/>
        <v>0.408994363</v>
      </c>
    </row>
    <row r="9002" ht="14.25" customHeight="1">
      <c r="A9002" s="2" t="s">
        <v>417</v>
      </c>
      <c r="B9002" s="2" t="s">
        <v>418</v>
      </c>
      <c r="C9002" s="2">
        <v>1990.0</v>
      </c>
      <c r="D9002" s="9">
        <v>40512.63</v>
      </c>
      <c r="E9002" s="10" t="str">
        <f t="array" ref="E9002">IFS(D9002&lt;=$G$3,'calculated data '!$A$3,D9002&lt;=$G$4,'calculated data '!$A$4,D9002&lt;=$G$6,'calculated data '!$A$5,D9002&gt;=$G$6,'calculated data '!$A$6)</f>
        <v>High Demand Tier</v>
      </c>
      <c r="F9002" s="10">
        <f t="shared" si="1"/>
        <v>0.409187751</v>
      </c>
    </row>
    <row r="9003" ht="14.25" customHeight="1">
      <c r="A9003" s="2" t="s">
        <v>451</v>
      </c>
      <c r="B9003" s="2" t="s">
        <v>452</v>
      </c>
      <c r="C9003" s="2">
        <v>1975.0</v>
      </c>
      <c r="D9003" s="9">
        <v>40526.77</v>
      </c>
      <c r="E9003" s="10" t="str">
        <f t="array" ref="E9003">IFS(D9003&lt;=$G$3,'calculated data '!$A$3,D9003&lt;=$G$4,'calculated data '!$A$4,D9003&lt;=$G$6,'calculated data '!$A$5,D9003&gt;=$G$6,'calculated data '!$A$6)</f>
        <v>High Demand Tier</v>
      </c>
      <c r="F9003" s="10">
        <f t="shared" si="1"/>
        <v>0.4095620333</v>
      </c>
    </row>
    <row r="9004" ht="14.25" customHeight="1">
      <c r="A9004" s="2" t="s">
        <v>415</v>
      </c>
      <c r="B9004" s="2" t="s">
        <v>416</v>
      </c>
      <c r="C9004" s="2">
        <v>2008.0</v>
      </c>
      <c r="D9004" s="9">
        <v>40537.27</v>
      </c>
      <c r="E9004" s="10" t="str">
        <f t="array" ref="E9004">IFS(D9004&lt;=$G$3,'calculated data '!$A$3,D9004&lt;=$G$4,'calculated data '!$A$4,D9004&lt;=$G$6,'calculated data '!$A$5,D9004&gt;=$G$6,'calculated data '!$A$6)</f>
        <v>High Demand Tier</v>
      </c>
      <c r="F9004" s="10">
        <f t="shared" si="1"/>
        <v>0.4098399656</v>
      </c>
    </row>
    <row r="9005" ht="14.25" customHeight="1">
      <c r="A9005" s="2" t="s">
        <v>451</v>
      </c>
      <c r="B9005" s="2" t="s">
        <v>452</v>
      </c>
      <c r="C9005" s="2">
        <v>1983.0</v>
      </c>
      <c r="D9005" s="9">
        <v>40541.914</v>
      </c>
      <c r="E9005" s="10" t="str">
        <f t="array" ref="E9005">IFS(D9005&lt;=$G$3,'calculated data '!$A$3,D9005&lt;=$G$4,'calculated data '!$A$4,D9005&lt;=$G$6,'calculated data '!$A$5,D9005&gt;=$G$6,'calculated data '!$A$6)</f>
        <v>High Demand Tier</v>
      </c>
      <c r="F9005" s="10">
        <f t="shared" si="1"/>
        <v>0.4099628912</v>
      </c>
    </row>
    <row r="9006" ht="14.25" customHeight="1">
      <c r="A9006" s="2" t="s">
        <v>443</v>
      </c>
      <c r="B9006" s="2" t="s">
        <v>444</v>
      </c>
      <c r="C9006" s="2">
        <v>1998.0</v>
      </c>
      <c r="D9006" s="9">
        <v>40558.383</v>
      </c>
      <c r="E9006" s="10" t="str">
        <f t="array" ref="E9006">IFS(D9006&lt;=$G$3,'calculated data '!$A$3,D9006&lt;=$G$4,'calculated data '!$A$4,D9006&lt;=$G$6,'calculated data '!$A$5,D9006&gt;=$G$6,'calculated data '!$A$6)</f>
        <v>High Demand Tier</v>
      </c>
      <c r="F9006" s="10">
        <f t="shared" si="1"/>
        <v>0.4103988215</v>
      </c>
    </row>
    <row r="9007" ht="14.25" customHeight="1">
      <c r="A9007" s="2" t="s">
        <v>379</v>
      </c>
      <c r="B9007" s="2" t="s">
        <v>380</v>
      </c>
      <c r="C9007" s="2">
        <v>1999.0</v>
      </c>
      <c r="D9007" s="9">
        <v>40565.746</v>
      </c>
      <c r="E9007" s="10" t="str">
        <f t="array" ref="E9007">IFS(D9007&lt;=$G$3,'calculated data '!$A$3,D9007&lt;=$G$4,'calculated data '!$A$4,D9007&lt;=$G$6,'calculated data '!$A$5,D9007&gt;=$G$6,'calculated data '!$A$6)</f>
        <v>High Demand Tier</v>
      </c>
      <c r="F9007" s="10">
        <f t="shared" si="1"/>
        <v>0.4105937183</v>
      </c>
    </row>
    <row r="9008" ht="14.25" customHeight="1">
      <c r="A9008" s="2" t="s">
        <v>431</v>
      </c>
      <c r="B9008" s="2" t="s">
        <v>432</v>
      </c>
      <c r="C9008" s="2">
        <v>2010.0</v>
      </c>
      <c r="D9008" s="9">
        <v>40569.05</v>
      </c>
      <c r="E9008" s="10" t="str">
        <f t="array" ref="E9008">IFS(D9008&lt;=$G$3,'calculated data '!$A$3,D9008&lt;=$G$4,'calculated data '!$A$4,D9008&lt;=$G$6,'calculated data '!$A$5,D9008&gt;=$G$6,'calculated data '!$A$6)</f>
        <v>High Demand Tier</v>
      </c>
      <c r="F9008" s="10">
        <f t="shared" si="1"/>
        <v>0.4106811743</v>
      </c>
    </row>
    <row r="9009" ht="14.25" customHeight="1">
      <c r="A9009" s="2" t="s">
        <v>391</v>
      </c>
      <c r="B9009" s="2" t="s">
        <v>392</v>
      </c>
      <c r="C9009" s="2">
        <v>2014.0</v>
      </c>
      <c r="D9009" s="9">
        <v>40569.42</v>
      </c>
      <c r="E9009" s="10" t="str">
        <f t="array" ref="E9009">IFS(D9009&lt;=$G$3,'calculated data '!$A$3,D9009&lt;=$G$4,'calculated data '!$A$4,D9009&lt;=$G$6,'calculated data '!$A$5,D9009&gt;=$G$6,'calculated data '!$A$6)</f>
        <v>High Demand Tier</v>
      </c>
      <c r="F9009" s="10">
        <f t="shared" si="1"/>
        <v>0.4106909681</v>
      </c>
    </row>
    <row r="9010" ht="14.25" customHeight="1">
      <c r="A9010" s="2" t="s">
        <v>469</v>
      </c>
      <c r="B9010" s="2" t="s">
        <v>470</v>
      </c>
      <c r="C9010" s="2">
        <v>1968.0</v>
      </c>
      <c r="D9010" s="9">
        <v>40571.77</v>
      </c>
      <c r="E9010" s="10" t="str">
        <f t="array" ref="E9010">IFS(D9010&lt;=$G$3,'calculated data '!$A$3,D9010&lt;=$G$4,'calculated data '!$A$4,D9010&lt;=$G$6,'calculated data '!$A$5,D9010&gt;=$G$6,'calculated data '!$A$6)</f>
        <v>High Demand Tier</v>
      </c>
      <c r="F9010" s="10">
        <f t="shared" si="1"/>
        <v>0.4107531721</v>
      </c>
    </row>
    <row r="9011" ht="14.25" customHeight="1">
      <c r="A9011" s="2" t="s">
        <v>459</v>
      </c>
      <c r="B9011" s="2" t="s">
        <v>460</v>
      </c>
      <c r="C9011" s="2">
        <v>1968.0</v>
      </c>
      <c r="D9011" s="9">
        <v>40579.8</v>
      </c>
      <c r="E9011" s="10" t="str">
        <f t="array" ref="E9011">IFS(D9011&lt;=$G$3,'calculated data '!$A$3,D9011&lt;=$G$4,'calculated data '!$A$4,D9011&lt;=$G$6,'calculated data '!$A$5,D9011&gt;=$G$6,'calculated data '!$A$6)</f>
        <v>High Demand Tier</v>
      </c>
      <c r="F9011" s="10">
        <f t="shared" si="1"/>
        <v>0.4109657242</v>
      </c>
    </row>
    <row r="9012" ht="14.25" customHeight="1">
      <c r="A9012" s="2" t="s">
        <v>425</v>
      </c>
      <c r="B9012" s="2" t="s">
        <v>426</v>
      </c>
      <c r="C9012" s="2">
        <v>1982.0</v>
      </c>
      <c r="D9012" s="9">
        <v>40587.27</v>
      </c>
      <c r="E9012" s="10" t="str">
        <f t="array" ref="E9012">IFS(D9012&lt;=$G$3,'calculated data '!$A$3,D9012&lt;=$G$4,'calculated data '!$A$4,D9012&lt;=$G$6,'calculated data '!$A$5,D9012&gt;=$G$6,'calculated data '!$A$6)</f>
        <v>High Demand Tier</v>
      </c>
      <c r="F9012" s="10">
        <f t="shared" si="1"/>
        <v>0.4111634532</v>
      </c>
    </row>
    <row r="9013" ht="14.25" customHeight="1">
      <c r="A9013" s="2" t="s">
        <v>413</v>
      </c>
      <c r="B9013" s="2" t="s">
        <v>414</v>
      </c>
      <c r="C9013" s="2">
        <v>2006.0</v>
      </c>
      <c r="D9013" s="9">
        <v>40593.008</v>
      </c>
      <c r="E9013" s="10" t="str">
        <f t="array" ref="E9013">IFS(D9013&lt;=$G$3,'calculated data '!$A$3,D9013&lt;=$G$4,'calculated data '!$A$4,D9013&lt;=$G$6,'calculated data '!$A$5,D9013&gt;=$G$6,'calculated data '!$A$6)</f>
        <v>High Demand Tier</v>
      </c>
      <c r="F9013" s="10">
        <f t="shared" si="1"/>
        <v>0.4113153366</v>
      </c>
    </row>
    <row r="9014" ht="14.25" customHeight="1">
      <c r="A9014" s="2" t="s">
        <v>429</v>
      </c>
      <c r="B9014" s="2" t="s">
        <v>430</v>
      </c>
      <c r="C9014" s="2">
        <v>1973.0</v>
      </c>
      <c r="D9014" s="9">
        <v>40600.336</v>
      </c>
      <c r="E9014" s="10" t="str">
        <f t="array" ref="E9014">IFS(D9014&lt;=$G$3,'calculated data '!$A$3,D9014&lt;=$G$4,'calculated data '!$A$4,D9014&lt;=$G$6,'calculated data '!$A$5,D9014&gt;=$G$6,'calculated data '!$A$6)</f>
        <v>High Demand Tier</v>
      </c>
      <c r="F9014" s="10">
        <f t="shared" si="1"/>
        <v>0.411509307</v>
      </c>
    </row>
    <row r="9015" ht="14.25" customHeight="1">
      <c r="A9015" s="2" t="s">
        <v>437</v>
      </c>
      <c r="B9015" s="2" t="s">
        <v>438</v>
      </c>
      <c r="C9015" s="2">
        <v>1979.0</v>
      </c>
      <c r="D9015" s="9">
        <v>40602.01</v>
      </c>
      <c r="E9015" s="10" t="str">
        <f t="array" ref="E9015">IFS(D9015&lt;=$G$3,'calculated data '!$A$3,D9015&lt;=$G$4,'calculated data '!$A$4,D9015&lt;=$G$6,'calculated data '!$A$5,D9015&gt;=$G$6,'calculated data '!$A$6)</f>
        <v>High Demand Tier</v>
      </c>
      <c r="F9015" s="10">
        <f t="shared" si="1"/>
        <v>0.4115536173</v>
      </c>
    </row>
    <row r="9016" ht="14.25" customHeight="1">
      <c r="A9016" s="2" t="s">
        <v>407</v>
      </c>
      <c r="B9016" s="2" t="s">
        <v>408</v>
      </c>
      <c r="C9016" s="2">
        <v>2021.0</v>
      </c>
      <c r="D9016" s="9">
        <v>40613.668</v>
      </c>
      <c r="E9016" s="10" t="str">
        <f t="array" ref="E9016">IFS(D9016&lt;=$G$3,'calculated data '!$A$3,D9016&lt;=$G$4,'calculated data '!$A$4,D9016&lt;=$G$6,'calculated data '!$A$5,D9016&gt;=$G$6,'calculated data '!$A$6)</f>
        <v>High Demand Tier</v>
      </c>
      <c r="F9016" s="10">
        <f t="shared" si="1"/>
        <v>0.4118622017</v>
      </c>
    </row>
    <row r="9017" ht="14.25" customHeight="1">
      <c r="A9017" s="2" t="s">
        <v>451</v>
      </c>
      <c r="B9017" s="2" t="s">
        <v>452</v>
      </c>
      <c r="C9017" s="2">
        <v>1982.0</v>
      </c>
      <c r="D9017" s="9">
        <v>40619.4</v>
      </c>
      <c r="E9017" s="10" t="str">
        <f t="array" ref="E9017">IFS(D9017&lt;=$G$3,'calculated data '!$A$3,D9017&lt;=$G$4,'calculated data '!$A$4,D9017&lt;=$G$6,'calculated data '!$A$5,D9017&gt;=$G$6,'calculated data '!$A$6)</f>
        <v>High Demand Tier</v>
      </c>
      <c r="F9017" s="10">
        <f t="shared" si="1"/>
        <v>0.4120139263</v>
      </c>
    </row>
    <row r="9018" ht="14.25" customHeight="1">
      <c r="A9018" s="2" t="s">
        <v>417</v>
      </c>
      <c r="B9018" s="2" t="s">
        <v>418</v>
      </c>
      <c r="C9018" s="2">
        <v>1997.0</v>
      </c>
      <c r="D9018" s="9">
        <v>40626.375</v>
      </c>
      <c r="E9018" s="10" t="str">
        <f t="array" ref="E9018">IFS(D9018&lt;=$G$3,'calculated data '!$A$3,D9018&lt;=$G$4,'calculated data '!$A$4,D9018&lt;=$G$6,'calculated data '!$A$5,D9018&gt;=$G$6,'calculated data '!$A$6)</f>
        <v>High Demand Tier</v>
      </c>
      <c r="F9018" s="10">
        <f t="shared" si="1"/>
        <v>0.4121985528</v>
      </c>
    </row>
    <row r="9019" ht="14.25" customHeight="1">
      <c r="A9019" s="2" t="s">
        <v>417</v>
      </c>
      <c r="B9019" s="2" t="s">
        <v>418</v>
      </c>
      <c r="C9019" s="2">
        <v>1999.0</v>
      </c>
      <c r="D9019" s="9">
        <v>40633.074</v>
      </c>
      <c r="E9019" s="10" t="str">
        <f t="array" ref="E9019">IFS(D9019&lt;=$G$3,'calculated data '!$A$3,D9019&lt;=$G$4,'calculated data '!$A$4,D9019&lt;=$G$6,'calculated data '!$A$5,D9019&gt;=$G$6,'calculated data '!$A$6)</f>
        <v>High Demand Tier</v>
      </c>
      <c r="F9019" s="10">
        <f t="shared" si="1"/>
        <v>0.4123758737</v>
      </c>
    </row>
    <row r="9020" ht="14.25" customHeight="1">
      <c r="A9020" s="2" t="s">
        <v>407</v>
      </c>
      <c r="B9020" s="2" t="s">
        <v>408</v>
      </c>
      <c r="C9020" s="2">
        <v>2019.0</v>
      </c>
      <c r="D9020" s="9">
        <v>40634.203</v>
      </c>
      <c r="E9020" s="10" t="str">
        <f t="array" ref="E9020">IFS(D9020&lt;=$G$3,'calculated data '!$A$3,D9020&lt;=$G$4,'calculated data '!$A$4,D9020&lt;=$G$6,'calculated data '!$A$5,D9020&gt;=$G$6,'calculated data '!$A$6)</f>
        <v>High Demand Tier</v>
      </c>
      <c r="F9020" s="10">
        <f t="shared" si="1"/>
        <v>0.412405758</v>
      </c>
    </row>
    <row r="9021" ht="14.25" customHeight="1">
      <c r="A9021" s="2" t="s">
        <v>415</v>
      </c>
      <c r="B9021" s="2" t="s">
        <v>416</v>
      </c>
      <c r="C9021" s="2">
        <v>2005.0</v>
      </c>
      <c r="D9021" s="9">
        <v>40640.184</v>
      </c>
      <c r="E9021" s="10" t="str">
        <f t="array" ref="E9021">IFS(D9021&lt;=$G$3,'calculated data '!$A$3,D9021&lt;=$G$4,'calculated data '!$A$4,D9021&lt;=$G$6,'calculated data '!$A$5,D9021&gt;=$G$6,'calculated data '!$A$6)</f>
        <v>High Demand Tier</v>
      </c>
      <c r="F9021" s="10">
        <f t="shared" si="1"/>
        <v>0.4125640736</v>
      </c>
    </row>
    <row r="9022" ht="14.25" customHeight="1">
      <c r="A9022" s="2" t="s">
        <v>283</v>
      </c>
      <c r="B9022" s="2" t="s">
        <v>284</v>
      </c>
      <c r="C9022" s="2">
        <v>1972.0</v>
      </c>
      <c r="D9022" s="9">
        <v>40647.1</v>
      </c>
      <c r="E9022" s="10" t="str">
        <f t="array" ref="E9022">IFS(D9022&lt;=$G$3,'calculated data '!$A$3,D9022&lt;=$G$4,'calculated data '!$A$4,D9022&lt;=$G$6,'calculated data '!$A$5,D9022&gt;=$G$6,'calculated data '!$A$6)</f>
        <v>High Demand Tier</v>
      </c>
      <c r="F9022" s="10">
        <f t="shared" si="1"/>
        <v>0.4127471384</v>
      </c>
    </row>
    <row r="9023" ht="14.25" customHeight="1">
      <c r="A9023" s="2" t="s">
        <v>425</v>
      </c>
      <c r="B9023" s="2" t="s">
        <v>426</v>
      </c>
      <c r="C9023" s="2">
        <v>1984.0</v>
      </c>
      <c r="D9023" s="9">
        <v>40653.51</v>
      </c>
      <c r="E9023" s="10" t="str">
        <f t="array" ref="E9023">IFS(D9023&lt;=$G$3,'calculated data '!$A$3,D9023&lt;=$G$4,'calculated data '!$A$4,D9023&lt;=$G$6,'calculated data '!$A$5,D9023&gt;=$G$6,'calculated data '!$A$6)</f>
        <v>High Demand Tier</v>
      </c>
      <c r="F9023" s="10">
        <f t="shared" si="1"/>
        <v>0.4129168095</v>
      </c>
    </row>
    <row r="9024" ht="14.25" customHeight="1">
      <c r="A9024" s="2" t="s">
        <v>429</v>
      </c>
      <c r="B9024" s="2" t="s">
        <v>430</v>
      </c>
      <c r="C9024" s="2">
        <v>1968.0</v>
      </c>
      <c r="D9024" s="9">
        <v>40661.887</v>
      </c>
      <c r="E9024" s="10" t="str">
        <f t="array" ref="E9024">IFS(D9024&lt;=$G$3,'calculated data '!$A$3,D9024&lt;=$G$4,'calculated data '!$A$4,D9024&lt;=$G$6,'calculated data '!$A$5,D9024&gt;=$G$6,'calculated data '!$A$6)</f>
        <v>High Demand Tier</v>
      </c>
      <c r="F9024" s="10">
        <f t="shared" si="1"/>
        <v>0.4131385466</v>
      </c>
    </row>
    <row r="9025" ht="14.25" customHeight="1">
      <c r="A9025" s="2" t="s">
        <v>369</v>
      </c>
      <c r="B9025" s="2" t="s">
        <v>370</v>
      </c>
      <c r="C9025" s="2">
        <v>2017.0</v>
      </c>
      <c r="D9025" s="9">
        <v>40699.29</v>
      </c>
      <c r="E9025" s="10" t="str">
        <f t="array" ref="E9025">IFS(D9025&lt;=$G$3,'calculated data '!$A$3,D9025&lt;=$G$4,'calculated data '!$A$4,D9025&lt;=$G$6,'calculated data '!$A$5,D9025&gt;=$G$6,'calculated data '!$A$6)</f>
        <v>High Demand Tier</v>
      </c>
      <c r="F9025" s="10">
        <f t="shared" si="1"/>
        <v>0.4141285947</v>
      </c>
    </row>
    <row r="9026" ht="14.25" customHeight="1">
      <c r="A9026" s="2" t="s">
        <v>411</v>
      </c>
      <c r="B9026" s="2" t="s">
        <v>412</v>
      </c>
      <c r="C9026" s="2">
        <v>2004.0</v>
      </c>
      <c r="D9026" s="9">
        <v>40700.93</v>
      </c>
      <c r="E9026" s="10" t="str">
        <f t="array" ref="E9026">IFS(D9026&lt;=$G$3,'calculated data '!$A$3,D9026&lt;=$G$4,'calculated data '!$A$4,D9026&lt;=$G$6,'calculated data '!$A$5,D9026&gt;=$G$6,'calculated data '!$A$6)</f>
        <v>High Demand Tier</v>
      </c>
      <c r="F9026" s="10">
        <f t="shared" si="1"/>
        <v>0.4141720051</v>
      </c>
    </row>
    <row r="9027" ht="14.25" customHeight="1">
      <c r="A9027" s="2" t="s">
        <v>401</v>
      </c>
      <c r="B9027" s="2" t="s">
        <v>402</v>
      </c>
      <c r="C9027" s="2">
        <v>2002.0</v>
      </c>
      <c r="D9027" s="9">
        <v>40710.586</v>
      </c>
      <c r="E9027" s="10" t="str">
        <f t="array" ref="E9027">IFS(D9027&lt;=$G$3,'calculated data '!$A$3,D9027&lt;=$G$4,'calculated data '!$A$4,D9027&lt;=$G$6,'calculated data '!$A$5,D9027&gt;=$G$6,'calculated data '!$A$6)</f>
        <v>High Demand Tier</v>
      </c>
      <c r="F9027" s="10">
        <f t="shared" si="1"/>
        <v>0.414427597</v>
      </c>
    </row>
    <row r="9028" ht="14.25" customHeight="1">
      <c r="A9028" s="2" t="s">
        <v>417</v>
      </c>
      <c r="B9028" s="2" t="s">
        <v>418</v>
      </c>
      <c r="C9028" s="2">
        <v>1987.0</v>
      </c>
      <c r="D9028" s="9">
        <v>40711.01</v>
      </c>
      <c r="E9028" s="10" t="str">
        <f t="array" ref="E9028">IFS(D9028&lt;=$G$3,'calculated data '!$A$3,D9028&lt;=$G$4,'calculated data '!$A$4,D9028&lt;=$G$6,'calculated data '!$A$5,D9028&gt;=$G$6,'calculated data '!$A$6)</f>
        <v>High Demand Tier</v>
      </c>
      <c r="F9028" s="10">
        <f t="shared" si="1"/>
        <v>0.4144388202</v>
      </c>
    </row>
    <row r="9029" ht="14.25" customHeight="1">
      <c r="A9029" s="2" t="s">
        <v>433</v>
      </c>
      <c r="B9029" s="2" t="s">
        <v>434</v>
      </c>
      <c r="C9029" s="2">
        <v>1984.0</v>
      </c>
      <c r="D9029" s="9">
        <v>40716.95</v>
      </c>
      <c r="E9029" s="10" t="str">
        <f t="array" ref="E9029">IFS(D9029&lt;=$G$3,'calculated data '!$A$3,D9029&lt;=$G$4,'calculated data '!$A$4,D9029&lt;=$G$6,'calculated data '!$A$5,D9029&gt;=$G$6,'calculated data '!$A$6)</f>
        <v>High Demand Tier</v>
      </c>
      <c r="F9029" s="10">
        <f t="shared" si="1"/>
        <v>0.4145960505</v>
      </c>
    </row>
    <row r="9030" ht="14.25" customHeight="1">
      <c r="A9030" s="2" t="s">
        <v>401</v>
      </c>
      <c r="B9030" s="2" t="s">
        <v>402</v>
      </c>
      <c r="C9030" s="2">
        <v>2001.0</v>
      </c>
      <c r="D9030" s="9">
        <v>40733.254</v>
      </c>
      <c r="E9030" s="10" t="str">
        <f t="array" ref="E9030">IFS(D9030&lt;=$G$3,'calculated data '!$A$3,D9030&lt;=$G$4,'calculated data '!$A$4,D9030&lt;=$G$6,'calculated data '!$A$5,D9030&gt;=$G$6,'calculated data '!$A$6)</f>
        <v>High Demand Tier</v>
      </c>
      <c r="F9030" s="10">
        <f t="shared" si="1"/>
        <v>0.4150276133</v>
      </c>
    </row>
    <row r="9031" ht="14.25" customHeight="1">
      <c r="A9031" s="2" t="s">
        <v>407</v>
      </c>
      <c r="B9031" s="2" t="s">
        <v>408</v>
      </c>
      <c r="C9031" s="2">
        <v>2018.0</v>
      </c>
      <c r="D9031" s="9">
        <v>40736.55</v>
      </c>
      <c r="E9031" s="10" t="str">
        <f t="array" ref="E9031">IFS(D9031&lt;=$G$3,'calculated data '!$A$3,D9031&lt;=$G$4,'calculated data '!$A$4,D9031&lt;=$G$6,'calculated data '!$A$5,D9031&gt;=$G$6,'calculated data '!$A$6)</f>
        <v>High Demand Tier</v>
      </c>
      <c r="F9031" s="10">
        <f t="shared" si="1"/>
        <v>0.4151148576</v>
      </c>
    </row>
    <row r="9032" ht="14.25" customHeight="1">
      <c r="A9032" s="2" t="s">
        <v>425</v>
      </c>
      <c r="B9032" s="2" t="s">
        <v>426</v>
      </c>
      <c r="C9032" s="2">
        <v>1983.0</v>
      </c>
      <c r="D9032" s="9">
        <v>40743.367</v>
      </c>
      <c r="E9032" s="10" t="str">
        <f t="array" ref="E9032">IFS(D9032&lt;=$G$3,'calculated data '!$A$3,D9032&lt;=$G$4,'calculated data '!$A$4,D9032&lt;=$G$6,'calculated data '!$A$5,D9032&gt;=$G$6,'calculated data '!$A$6)</f>
        <v>High Demand Tier</v>
      </c>
      <c r="F9032" s="10">
        <f t="shared" si="1"/>
        <v>0.4152953019</v>
      </c>
    </row>
    <row r="9033" ht="14.25" customHeight="1">
      <c r="A9033" s="2" t="s">
        <v>471</v>
      </c>
      <c r="B9033" s="2" t="s">
        <v>472</v>
      </c>
      <c r="C9033" s="2">
        <v>2001.0</v>
      </c>
      <c r="D9033" s="9">
        <v>40745.57</v>
      </c>
      <c r="E9033" s="10" t="str">
        <f t="array" ref="E9033">IFS(D9033&lt;=$G$3,'calculated data '!$A$3,D9033&lt;=$G$4,'calculated data '!$A$4,D9033&lt;=$G$6,'calculated data '!$A$5,D9033&gt;=$G$6,'calculated data '!$A$6)</f>
        <v>High Demand Tier</v>
      </c>
      <c r="F9033" s="10">
        <f t="shared" si="1"/>
        <v>0.4153536148</v>
      </c>
    </row>
    <row r="9034" ht="14.25" customHeight="1">
      <c r="A9034" s="2" t="s">
        <v>411</v>
      </c>
      <c r="B9034" s="2" t="s">
        <v>412</v>
      </c>
      <c r="C9034" s="2">
        <v>2003.0</v>
      </c>
      <c r="D9034" s="9">
        <v>40752.285</v>
      </c>
      <c r="E9034" s="10" t="str">
        <f t="array" ref="E9034">IFS(D9034&lt;=$G$3,'calculated data '!$A$3,D9034&lt;=$G$4,'calculated data '!$A$4,D9034&lt;=$G$6,'calculated data '!$A$5,D9034&gt;=$G$6,'calculated data '!$A$6)</f>
        <v>High Demand Tier</v>
      </c>
      <c r="F9034" s="10">
        <f t="shared" si="1"/>
        <v>0.4155313591</v>
      </c>
    </row>
    <row r="9035" ht="14.25" customHeight="1">
      <c r="A9035" s="2" t="s">
        <v>443</v>
      </c>
      <c r="B9035" s="2" t="s">
        <v>444</v>
      </c>
      <c r="C9035" s="2">
        <v>1995.0</v>
      </c>
      <c r="D9035" s="9">
        <v>40767.02</v>
      </c>
      <c r="E9035" s="10" t="str">
        <f t="array" ref="E9035">IFS(D9035&lt;=$G$3,'calculated data '!$A$3,D9035&lt;=$G$4,'calculated data '!$A$4,D9035&lt;=$G$6,'calculated data '!$A$5,D9035&gt;=$G$6,'calculated data '!$A$6)</f>
        <v>High Demand Tier</v>
      </c>
      <c r="F9035" s="10">
        <f t="shared" si="1"/>
        <v>0.4159213909</v>
      </c>
    </row>
    <row r="9036" ht="14.25" customHeight="1">
      <c r="A9036" s="2" t="s">
        <v>443</v>
      </c>
      <c r="B9036" s="2" t="s">
        <v>444</v>
      </c>
      <c r="C9036" s="2">
        <v>1973.0</v>
      </c>
      <c r="D9036" s="9">
        <v>40786.207</v>
      </c>
      <c r="E9036" s="10" t="str">
        <f t="array" ref="E9036">IFS(D9036&lt;=$G$3,'calculated data '!$A$3,D9036&lt;=$G$4,'calculated data '!$A$4,D9036&lt;=$G$6,'calculated data '!$A$5,D9036&gt;=$G$6,'calculated data '!$A$6)</f>
        <v>High Demand Tier</v>
      </c>
      <c r="F9036" s="10">
        <f t="shared" si="1"/>
        <v>0.416429266</v>
      </c>
    </row>
    <row r="9037" ht="14.25" customHeight="1">
      <c r="A9037" s="2" t="s">
        <v>451</v>
      </c>
      <c r="B9037" s="2" t="s">
        <v>452</v>
      </c>
      <c r="C9037" s="2">
        <v>1972.0</v>
      </c>
      <c r="D9037" s="9">
        <v>40822.902</v>
      </c>
      <c r="E9037" s="10" t="str">
        <f t="array" ref="E9037">IFS(D9037&lt;=$G$3,'calculated data '!$A$3,D9037&lt;=$G$4,'calculated data '!$A$4,D9037&lt;=$G$6,'calculated data '!$A$5,D9037&gt;=$G$6,'calculated data '!$A$6)</f>
        <v>High Demand Tier</v>
      </c>
      <c r="F9037" s="10">
        <f t="shared" si="1"/>
        <v>0.4174005735</v>
      </c>
    </row>
    <row r="9038" ht="14.25" customHeight="1">
      <c r="A9038" s="2" t="s">
        <v>415</v>
      </c>
      <c r="B9038" s="2" t="s">
        <v>416</v>
      </c>
      <c r="C9038" s="2">
        <v>1968.0</v>
      </c>
      <c r="D9038" s="9">
        <v>40829.164</v>
      </c>
      <c r="E9038" s="10" t="str">
        <f t="array" ref="E9038">IFS(D9038&lt;=$G$3,'calculated data '!$A$3,D9038&lt;=$G$4,'calculated data '!$A$4,D9038&lt;=$G$6,'calculated data '!$A$5,D9038&gt;=$G$6,'calculated data '!$A$6)</f>
        <v>High Demand Tier</v>
      </c>
      <c r="F9038" s="10">
        <f t="shared" si="1"/>
        <v>0.4175663271</v>
      </c>
    </row>
    <row r="9039" ht="14.25" customHeight="1">
      <c r="A9039" s="2" t="s">
        <v>415</v>
      </c>
      <c r="B9039" s="2" t="s">
        <v>416</v>
      </c>
      <c r="C9039" s="2">
        <v>1981.0</v>
      </c>
      <c r="D9039" s="9">
        <v>40838.06</v>
      </c>
      <c r="E9039" s="10" t="str">
        <f t="array" ref="E9039">IFS(D9039&lt;=$G$3,'calculated data '!$A$3,D9039&lt;=$G$4,'calculated data '!$A$4,D9039&lt;=$G$6,'calculated data '!$A$5,D9039&gt;=$G$6,'calculated data '!$A$6)</f>
        <v>High Demand Tier</v>
      </c>
      <c r="F9039" s="10">
        <f t="shared" si="1"/>
        <v>0.417801802</v>
      </c>
    </row>
    <row r="9040" ht="14.25" customHeight="1">
      <c r="A9040" s="2" t="s">
        <v>433</v>
      </c>
      <c r="B9040" s="2" t="s">
        <v>434</v>
      </c>
      <c r="C9040" s="2">
        <v>1980.0</v>
      </c>
      <c r="D9040" s="9">
        <v>40838.32</v>
      </c>
      <c r="E9040" s="10" t="str">
        <f t="array" ref="E9040">IFS(D9040&lt;=$G$3,'calculated data '!$A$3,D9040&lt;=$G$4,'calculated data '!$A$4,D9040&lt;=$G$6,'calculated data '!$A$5,D9040&gt;=$G$6,'calculated data '!$A$6)</f>
        <v>High Demand Tier</v>
      </c>
      <c r="F9040" s="10">
        <f t="shared" si="1"/>
        <v>0.4178086842</v>
      </c>
    </row>
    <row r="9041" ht="14.25" customHeight="1">
      <c r="A9041" s="2" t="s">
        <v>377</v>
      </c>
      <c r="B9041" s="2" t="s">
        <v>378</v>
      </c>
      <c r="C9041" s="2">
        <v>2004.0</v>
      </c>
      <c r="D9041" s="9">
        <v>40848.758</v>
      </c>
      <c r="E9041" s="10" t="str">
        <f t="array" ref="E9041">IFS(D9041&lt;=$G$3,'calculated data '!$A$3,D9041&lt;=$G$4,'calculated data '!$A$4,D9041&lt;=$G$6,'calculated data '!$A$5,D9041&gt;=$G$6,'calculated data '!$A$6)</f>
        <v>High Demand Tier</v>
      </c>
      <c r="F9041" s="10">
        <f t="shared" si="1"/>
        <v>0.4180849754</v>
      </c>
    </row>
    <row r="9042" ht="14.25" customHeight="1">
      <c r="A9042" s="2" t="s">
        <v>417</v>
      </c>
      <c r="B9042" s="2" t="s">
        <v>418</v>
      </c>
      <c r="C9042" s="2">
        <v>2000.0</v>
      </c>
      <c r="D9042" s="9">
        <v>40861.297</v>
      </c>
      <c r="E9042" s="10" t="str">
        <f t="array" ref="E9042">IFS(D9042&lt;=$G$3,'calculated data '!$A$3,D9042&lt;=$G$4,'calculated data '!$A$4,D9042&lt;=$G$6,'calculated data '!$A$5,D9042&gt;=$G$6,'calculated data '!$A$6)</f>
        <v>High Demand Tier</v>
      </c>
      <c r="F9042" s="10">
        <f t="shared" si="1"/>
        <v>0.4184168796</v>
      </c>
    </row>
    <row r="9043" ht="14.25" customHeight="1">
      <c r="A9043" s="2" t="s">
        <v>443</v>
      </c>
      <c r="B9043" s="2" t="s">
        <v>444</v>
      </c>
      <c r="C9043" s="2">
        <v>2011.0</v>
      </c>
      <c r="D9043" s="9">
        <v>40862.688</v>
      </c>
      <c r="E9043" s="10" t="str">
        <f t="array" ref="E9043">IFS(D9043&lt;=$G$3,'calculated data '!$A$3,D9043&lt;=$G$4,'calculated data '!$A$4,D9043&lt;=$G$6,'calculated data '!$A$5,D9043&gt;=$G$6,'calculated data '!$A$6)</f>
        <v>High Demand Tier</v>
      </c>
      <c r="F9043" s="10">
        <f t="shared" si="1"/>
        <v>0.4184536991</v>
      </c>
    </row>
    <row r="9044" ht="14.25" customHeight="1">
      <c r="A9044" s="2" t="s">
        <v>417</v>
      </c>
      <c r="B9044" s="2" t="s">
        <v>418</v>
      </c>
      <c r="C9044" s="2">
        <v>1988.0</v>
      </c>
      <c r="D9044" s="9">
        <v>40870.594</v>
      </c>
      <c r="E9044" s="10" t="str">
        <f t="array" ref="E9044">IFS(D9044&lt;=$G$3,'calculated data '!$A$3,D9044&lt;=$G$4,'calculated data '!$A$4,D9044&lt;=$G$6,'calculated data '!$A$5,D9044&gt;=$G$6,'calculated data '!$A$6)</f>
        <v>High Demand Tier</v>
      </c>
      <c r="F9044" s="10">
        <f t="shared" si="1"/>
        <v>0.4186629689</v>
      </c>
    </row>
    <row r="9045" ht="14.25" customHeight="1">
      <c r="A9045" s="2" t="s">
        <v>309</v>
      </c>
      <c r="B9045" s="2" t="s">
        <v>310</v>
      </c>
      <c r="C9045" s="2">
        <v>2004.0</v>
      </c>
      <c r="D9045" s="9">
        <v>40871.117</v>
      </c>
      <c r="E9045" s="10" t="str">
        <f t="array" ref="E9045">IFS(D9045&lt;=$G$3,'calculated data '!$A$3,D9045&lt;=$G$4,'calculated data '!$A$4,D9045&lt;=$G$6,'calculated data '!$A$5,D9045&gt;=$G$6,'calculated data '!$A$6)</f>
        <v>High Demand Tier</v>
      </c>
      <c r="F9045" s="10">
        <f t="shared" si="1"/>
        <v>0.4186768126</v>
      </c>
    </row>
    <row r="9046" ht="14.25" customHeight="1">
      <c r="A9046" s="2" t="s">
        <v>417</v>
      </c>
      <c r="B9046" s="2" t="s">
        <v>418</v>
      </c>
      <c r="C9046" s="2">
        <v>1998.0</v>
      </c>
      <c r="D9046" s="9">
        <v>40877.906</v>
      </c>
      <c r="E9046" s="10" t="str">
        <f t="array" ref="E9046">IFS(D9046&lt;=$G$3,'calculated data '!$A$3,D9046&lt;=$G$4,'calculated data '!$A$4,D9046&lt;=$G$6,'calculated data '!$A$5,D9046&gt;=$G$6,'calculated data '!$A$6)</f>
        <v>High Demand Tier</v>
      </c>
      <c r="F9046" s="10">
        <f t="shared" si="1"/>
        <v>0.4188565157</v>
      </c>
    </row>
    <row r="9047" ht="14.25" customHeight="1">
      <c r="A9047" s="2" t="s">
        <v>381</v>
      </c>
      <c r="B9047" s="2" t="s">
        <v>382</v>
      </c>
      <c r="C9047" s="2">
        <v>1982.0</v>
      </c>
      <c r="D9047" s="9">
        <v>40881.984</v>
      </c>
      <c r="E9047" s="10" t="str">
        <f t="array" ref="E9047">IFS(D9047&lt;=$G$3,'calculated data '!$A$3,D9047&lt;=$G$4,'calculated data '!$A$4,D9047&lt;=$G$6,'calculated data '!$A$5,D9047&gt;=$G$6,'calculated data '!$A$6)</f>
        <v>High Demand Tier</v>
      </c>
      <c r="F9047" s="10">
        <f t="shared" si="1"/>
        <v>0.4189644594</v>
      </c>
    </row>
    <row r="9048" ht="14.25" customHeight="1">
      <c r="A9048" s="2" t="s">
        <v>381</v>
      </c>
      <c r="B9048" s="2" t="s">
        <v>382</v>
      </c>
      <c r="C9048" s="2">
        <v>1990.0</v>
      </c>
      <c r="D9048" s="9">
        <v>40886.168</v>
      </c>
      <c r="E9048" s="10" t="str">
        <f t="array" ref="E9048">IFS(D9048&lt;=$G$3,'calculated data '!$A$3,D9048&lt;=$G$4,'calculated data '!$A$4,D9048&lt;=$G$6,'calculated data '!$A$5,D9048&gt;=$G$6,'calculated data '!$A$6)</f>
        <v>High Demand Tier</v>
      </c>
      <c r="F9048" s="10">
        <f t="shared" si="1"/>
        <v>0.4190752088</v>
      </c>
    </row>
    <row r="9049" ht="14.25" customHeight="1">
      <c r="A9049" s="2" t="s">
        <v>405</v>
      </c>
      <c r="B9049" s="2" t="s">
        <v>406</v>
      </c>
      <c r="C9049" s="2">
        <v>2001.0</v>
      </c>
      <c r="D9049" s="9">
        <v>40890.367</v>
      </c>
      <c r="E9049" s="10" t="str">
        <f t="array" ref="E9049">IFS(D9049&lt;=$G$3,'calculated data '!$A$3,D9049&lt;=$G$4,'calculated data '!$A$4,D9049&lt;=$G$6,'calculated data '!$A$5,D9049&gt;=$G$6,'calculated data '!$A$6)</f>
        <v>High Demand Tier</v>
      </c>
      <c r="F9049" s="10">
        <f t="shared" si="1"/>
        <v>0.4191863553</v>
      </c>
    </row>
    <row r="9050" ht="14.25" customHeight="1">
      <c r="A9050" s="2" t="s">
        <v>439</v>
      </c>
      <c r="B9050" s="2" t="s">
        <v>440</v>
      </c>
      <c r="C9050" s="2">
        <v>1987.0</v>
      </c>
      <c r="D9050" s="9">
        <v>40893.14</v>
      </c>
      <c r="E9050" s="10" t="str">
        <f t="array" ref="E9050">IFS(D9050&lt;=$G$3,'calculated data '!$A$3,D9050&lt;=$G$4,'calculated data '!$A$4,D9050&lt;=$G$6,'calculated data '!$A$5,D9050&gt;=$G$6,'calculated data '!$A$6)</f>
        <v>High Demand Tier</v>
      </c>
      <c r="F9050" s="10">
        <f t="shared" si="1"/>
        <v>0.4192597559</v>
      </c>
    </row>
    <row r="9051" ht="14.25" customHeight="1">
      <c r="A9051" s="2" t="s">
        <v>443</v>
      </c>
      <c r="B9051" s="2" t="s">
        <v>444</v>
      </c>
      <c r="C9051" s="2">
        <v>1994.0</v>
      </c>
      <c r="D9051" s="9">
        <v>40896.49</v>
      </c>
      <c r="E9051" s="10" t="str">
        <f t="array" ref="E9051">IFS(D9051&lt;=$G$3,'calculated data '!$A$3,D9051&lt;=$G$4,'calculated data '!$A$4,D9051&lt;=$G$6,'calculated data '!$A$5,D9051&gt;=$G$6,'calculated data '!$A$6)</f>
        <v>High Demand Tier</v>
      </c>
      <c r="F9051" s="10">
        <f t="shared" si="1"/>
        <v>0.4193484296</v>
      </c>
    </row>
    <row r="9052" ht="14.25" customHeight="1">
      <c r="A9052" s="2" t="s">
        <v>443</v>
      </c>
      <c r="B9052" s="2" t="s">
        <v>444</v>
      </c>
      <c r="C9052" s="2">
        <v>1974.0</v>
      </c>
      <c r="D9052" s="9">
        <v>40905.85</v>
      </c>
      <c r="E9052" s="10" t="str">
        <f t="array" ref="E9052">IFS(D9052&lt;=$G$3,'calculated data '!$A$3,D9052&lt;=$G$4,'calculated data '!$A$4,D9052&lt;=$G$6,'calculated data '!$A$5,D9052&gt;=$G$6,'calculated data '!$A$6)</f>
        <v>High Demand Tier</v>
      </c>
      <c r="F9052" s="10">
        <f t="shared" si="1"/>
        <v>0.4195961864</v>
      </c>
    </row>
    <row r="9053" ht="14.25" customHeight="1">
      <c r="A9053" s="2" t="s">
        <v>465</v>
      </c>
      <c r="B9053" s="2" t="s">
        <v>466</v>
      </c>
      <c r="C9053" s="2">
        <v>2002.0</v>
      </c>
      <c r="D9053" s="9">
        <v>40906.582</v>
      </c>
      <c r="E9053" s="10" t="str">
        <f t="array" ref="E9053">IFS(D9053&lt;=$G$3,'calculated data '!$A$3,D9053&lt;=$G$4,'calculated data '!$A$4,D9053&lt;=$G$6,'calculated data '!$A$5,D9053&gt;=$G$6,'calculated data '!$A$6)</f>
        <v>High Demand Tier</v>
      </c>
      <c r="F9053" s="10">
        <f t="shared" si="1"/>
        <v>0.4196155623</v>
      </c>
    </row>
    <row r="9054" ht="14.25" customHeight="1">
      <c r="A9054" s="2" t="s">
        <v>407</v>
      </c>
      <c r="B9054" s="2" t="s">
        <v>408</v>
      </c>
      <c r="C9054" s="2">
        <v>2013.0</v>
      </c>
      <c r="D9054" s="9">
        <v>40911.195</v>
      </c>
      <c r="E9054" s="10" t="str">
        <f t="array" ref="E9054">IFS(D9054&lt;=$G$3,'calculated data '!$A$3,D9054&lt;=$G$4,'calculated data '!$A$4,D9054&lt;=$G$6,'calculated data '!$A$5,D9054&gt;=$G$6,'calculated data '!$A$6)</f>
        <v>High Demand Tier</v>
      </c>
      <c r="F9054" s="10">
        <f t="shared" si="1"/>
        <v>0.4197376673</v>
      </c>
    </row>
    <row r="9055" ht="14.25" customHeight="1">
      <c r="A9055" s="2" t="s">
        <v>391</v>
      </c>
      <c r="B9055" s="2" t="s">
        <v>392</v>
      </c>
      <c r="C9055" s="2">
        <v>2013.0</v>
      </c>
      <c r="D9055" s="9">
        <v>40917.316</v>
      </c>
      <c r="E9055" s="10" t="str">
        <f t="array" ref="E9055">IFS(D9055&lt;=$G$3,'calculated data '!$A$3,D9055&lt;=$G$4,'calculated data '!$A$4,D9055&lt;=$G$6,'calculated data '!$A$5,D9055&gt;=$G$6,'calculated data '!$A$6)</f>
        <v>High Demand Tier</v>
      </c>
      <c r="F9055" s="10">
        <f t="shared" si="1"/>
        <v>0.4198996886</v>
      </c>
    </row>
    <row r="9056" ht="14.25" customHeight="1">
      <c r="A9056" s="2" t="s">
        <v>369</v>
      </c>
      <c r="B9056" s="2" t="s">
        <v>370</v>
      </c>
      <c r="C9056" s="2">
        <v>2015.0</v>
      </c>
      <c r="D9056" s="9">
        <v>40932.58</v>
      </c>
      <c r="E9056" s="10" t="str">
        <f t="array" ref="E9056">IFS(D9056&lt;=$G$3,'calculated data '!$A$3,D9056&lt;=$G$4,'calculated data '!$A$4,D9056&lt;=$G$6,'calculated data '!$A$5,D9056&gt;=$G$6,'calculated data '!$A$6)</f>
        <v>High Demand Tier</v>
      </c>
      <c r="F9056" s="10">
        <f t="shared" si="1"/>
        <v>0.4203037229</v>
      </c>
    </row>
    <row r="9057" ht="14.25" customHeight="1">
      <c r="A9057" s="2" t="s">
        <v>413</v>
      </c>
      <c r="B9057" s="2" t="s">
        <v>414</v>
      </c>
      <c r="C9057" s="2">
        <v>2001.0</v>
      </c>
      <c r="D9057" s="9">
        <v>40934.473</v>
      </c>
      <c r="E9057" s="10" t="str">
        <f t="array" ref="E9057">IFS(D9057&lt;=$G$3,'calculated data '!$A$3,D9057&lt;=$G$4,'calculated data '!$A$4,D9057&lt;=$G$6,'calculated data '!$A$5,D9057&gt;=$G$6,'calculated data '!$A$6)</f>
        <v>High Demand Tier</v>
      </c>
      <c r="F9057" s="10">
        <f t="shared" si="1"/>
        <v>0.4203538301</v>
      </c>
    </row>
    <row r="9058" ht="14.25" customHeight="1">
      <c r="A9058" s="2" t="s">
        <v>437</v>
      </c>
      <c r="B9058" s="2" t="s">
        <v>438</v>
      </c>
      <c r="C9058" s="2">
        <v>1987.0</v>
      </c>
      <c r="D9058" s="9">
        <v>40938.0</v>
      </c>
      <c r="E9058" s="10" t="str">
        <f t="array" ref="E9058">IFS(D9058&lt;=$G$3,'calculated data '!$A$3,D9058&lt;=$G$4,'calculated data '!$A$4,D9058&lt;=$G$6,'calculated data '!$A$5,D9058&gt;=$G$6,'calculated data '!$A$6)</f>
        <v>High Demand Tier</v>
      </c>
      <c r="F9058" s="10">
        <f t="shared" si="1"/>
        <v>0.4204471889</v>
      </c>
    </row>
    <row r="9059" ht="14.25" customHeight="1">
      <c r="A9059" s="2" t="s">
        <v>413</v>
      </c>
      <c r="B9059" s="2" t="s">
        <v>414</v>
      </c>
      <c r="C9059" s="2">
        <v>2003.0</v>
      </c>
      <c r="D9059" s="9">
        <v>40944.324</v>
      </c>
      <c r="E9059" s="10" t="str">
        <f t="array" ref="E9059">IFS(D9059&lt;=$G$3,'calculated data '!$A$3,D9059&lt;=$G$4,'calculated data '!$A$4,D9059&lt;=$G$6,'calculated data '!$A$5,D9059&gt;=$G$6,'calculated data '!$A$6)</f>
        <v>High Demand Tier</v>
      </c>
      <c r="F9059" s="10">
        <f t="shared" si="1"/>
        <v>0.4206145836</v>
      </c>
    </row>
    <row r="9060" ht="14.25" customHeight="1">
      <c r="A9060" s="2" t="s">
        <v>417</v>
      </c>
      <c r="B9060" s="2" t="s">
        <v>418</v>
      </c>
      <c r="C9060" s="2">
        <v>1996.0</v>
      </c>
      <c r="D9060" s="9">
        <v>40944.523</v>
      </c>
      <c r="E9060" s="10" t="str">
        <f t="array" ref="E9060">IFS(D9060&lt;=$G$3,'calculated data '!$A$3,D9060&lt;=$G$4,'calculated data '!$A$4,D9060&lt;=$G$6,'calculated data '!$A$5,D9060&gt;=$G$6,'calculated data '!$A$6)</f>
        <v>High Demand Tier</v>
      </c>
      <c r="F9060" s="10">
        <f t="shared" si="1"/>
        <v>0.4206198511</v>
      </c>
    </row>
    <row r="9061" ht="14.25" customHeight="1">
      <c r="A9061" s="2" t="s">
        <v>443</v>
      </c>
      <c r="B9061" s="2" t="s">
        <v>444</v>
      </c>
      <c r="C9061" s="2">
        <v>2000.0</v>
      </c>
      <c r="D9061" s="9">
        <v>40944.824</v>
      </c>
      <c r="E9061" s="10" t="str">
        <f t="array" ref="E9061">IFS(D9061&lt;=$G$3,'calculated data '!$A$3,D9061&lt;=$G$4,'calculated data '!$A$4,D9061&lt;=$G$6,'calculated data '!$A$5,D9061&gt;=$G$6,'calculated data '!$A$6)</f>
        <v>High Demand Tier</v>
      </c>
      <c r="F9061" s="10">
        <f t="shared" si="1"/>
        <v>0.4206278185</v>
      </c>
    </row>
    <row r="9062" ht="14.25" customHeight="1">
      <c r="A9062" s="2" t="s">
        <v>47</v>
      </c>
      <c r="B9062" s="2" t="s">
        <v>48</v>
      </c>
      <c r="C9062" s="2">
        <v>2024.0</v>
      </c>
      <c r="D9062" s="9">
        <v>40965.793</v>
      </c>
      <c r="E9062" s="10" t="str">
        <f t="array" ref="E9062">IFS(D9062&lt;=$G$3,'calculated data '!$A$3,D9062&lt;=$G$4,'calculated data '!$A$4,D9062&lt;=$G$6,'calculated data '!$A$5,D9062&gt;=$G$6,'calculated data '!$A$6)</f>
        <v>High Demand Tier</v>
      </c>
      <c r="F9062" s="10">
        <f t="shared" si="1"/>
        <v>0.4211828627</v>
      </c>
    </row>
    <row r="9063" ht="14.25" customHeight="1">
      <c r="A9063" s="2" t="s">
        <v>465</v>
      </c>
      <c r="B9063" s="2" t="s">
        <v>466</v>
      </c>
      <c r="C9063" s="2">
        <v>2003.0</v>
      </c>
      <c r="D9063" s="9">
        <v>40973.34</v>
      </c>
      <c r="E9063" s="10" t="str">
        <f t="array" ref="E9063">IFS(D9063&lt;=$G$3,'calculated data '!$A$3,D9063&lt;=$G$4,'calculated data '!$A$4,D9063&lt;=$G$6,'calculated data '!$A$5,D9063&gt;=$G$6,'calculated data '!$A$6)</f>
        <v>High Demand Tier</v>
      </c>
      <c r="F9063" s="10">
        <f t="shared" si="1"/>
        <v>0.4213826299</v>
      </c>
    </row>
    <row r="9064" ht="14.25" customHeight="1">
      <c r="A9064" s="2" t="s">
        <v>449</v>
      </c>
      <c r="B9064" s="2" t="s">
        <v>450</v>
      </c>
      <c r="C9064" s="2">
        <v>2000.0</v>
      </c>
      <c r="D9064" s="9">
        <v>40982.81</v>
      </c>
      <c r="E9064" s="10" t="str">
        <f t="array" ref="E9064">IFS(D9064&lt;=$G$3,'calculated data '!$A$3,D9064&lt;=$G$4,'calculated data '!$A$4,D9064&lt;=$G$6,'calculated data '!$A$5,D9064&gt;=$G$6,'calculated data '!$A$6)</f>
        <v>High Demand Tier</v>
      </c>
      <c r="F9064" s="10">
        <f t="shared" si="1"/>
        <v>0.4216332985</v>
      </c>
    </row>
    <row r="9065" ht="14.25" customHeight="1">
      <c r="A9065" s="2" t="s">
        <v>413</v>
      </c>
      <c r="B9065" s="2" t="s">
        <v>414</v>
      </c>
      <c r="C9065" s="2">
        <v>2005.0</v>
      </c>
      <c r="D9065" s="9">
        <v>40988.562</v>
      </c>
      <c r="E9065" s="10" t="str">
        <f t="array" ref="E9065">IFS(D9065&lt;=$G$3,'calculated data '!$A$3,D9065&lt;=$G$4,'calculated data '!$A$4,D9065&lt;=$G$6,'calculated data '!$A$5,D9065&gt;=$G$6,'calculated data '!$A$6)</f>
        <v>High Demand Tier</v>
      </c>
      <c r="F9065" s="10">
        <f t="shared" si="1"/>
        <v>0.4217855525</v>
      </c>
    </row>
    <row r="9066" ht="14.25" customHeight="1">
      <c r="A9066" s="2" t="s">
        <v>411</v>
      </c>
      <c r="B9066" s="2" t="s">
        <v>412</v>
      </c>
      <c r="C9066" s="2">
        <v>1985.0</v>
      </c>
      <c r="D9066" s="9">
        <v>41000.2</v>
      </c>
      <c r="E9066" s="10" t="str">
        <f t="array" ref="E9066">IFS(D9066&lt;=$G$3,'calculated data '!$A$3,D9066&lt;=$G$4,'calculated data '!$A$4,D9066&lt;=$G$6,'calculated data '!$A$5,D9066&gt;=$G$6,'calculated data '!$A$6)</f>
        <v>High Demand Tier</v>
      </c>
      <c r="F9066" s="10">
        <f t="shared" si="1"/>
        <v>0.4220936074</v>
      </c>
    </row>
    <row r="9067" ht="14.25" customHeight="1">
      <c r="A9067" s="2" t="s">
        <v>337</v>
      </c>
      <c r="B9067" s="2" t="s">
        <v>338</v>
      </c>
      <c r="C9067" s="2">
        <v>2002.0</v>
      </c>
      <c r="D9067" s="9">
        <v>41022.24</v>
      </c>
      <c r="E9067" s="10" t="str">
        <f t="array" ref="E9067">IFS(D9067&lt;=$G$3,'calculated data '!$A$3,D9067&lt;=$G$4,'calculated data '!$A$4,D9067&lt;=$G$6,'calculated data '!$A$5,D9067&gt;=$G$6,'calculated data '!$A$6)</f>
        <v>High Demand Tier</v>
      </c>
      <c r="F9067" s="10">
        <f t="shared" si="1"/>
        <v>0.4226770008</v>
      </c>
    </row>
    <row r="9068" ht="14.25" customHeight="1">
      <c r="A9068" s="2" t="s">
        <v>419</v>
      </c>
      <c r="B9068" s="2" t="s">
        <v>420</v>
      </c>
      <c r="C9068" s="2">
        <v>1985.0</v>
      </c>
      <c r="D9068" s="9">
        <v>41029.465</v>
      </c>
      <c r="E9068" s="10" t="str">
        <f t="array" ref="E9068">IFS(D9068&lt;=$G$3,'calculated data '!$A$3,D9068&lt;=$G$4,'calculated data '!$A$4,D9068&lt;=$G$6,'calculated data '!$A$5,D9068&gt;=$G$6,'calculated data '!$A$6)</f>
        <v>High Demand Tier</v>
      </c>
      <c r="F9068" s="10">
        <f t="shared" si="1"/>
        <v>0.4228682447</v>
      </c>
    </row>
    <row r="9069" ht="14.25" customHeight="1">
      <c r="A9069" s="2" t="s">
        <v>47</v>
      </c>
      <c r="B9069" s="2" t="s">
        <v>48</v>
      </c>
      <c r="C9069" s="2">
        <v>2023.0</v>
      </c>
      <c r="D9069" s="9">
        <v>41046.25</v>
      </c>
      <c r="E9069" s="10" t="str">
        <f t="array" ref="E9069">IFS(D9069&lt;=$G$3,'calculated data '!$A$3,D9069&lt;=$G$4,'calculated data '!$A$4,D9069&lt;=$G$6,'calculated data '!$A$5,D9069&gt;=$G$6,'calculated data '!$A$6)</f>
        <v>High Demand Tier</v>
      </c>
      <c r="F9069" s="10">
        <f t="shared" si="1"/>
        <v>0.4233125395</v>
      </c>
    </row>
    <row r="9070" ht="14.25" customHeight="1">
      <c r="A9070" s="2" t="s">
        <v>465</v>
      </c>
      <c r="B9070" s="2" t="s">
        <v>466</v>
      </c>
      <c r="C9070" s="2">
        <v>2004.0</v>
      </c>
      <c r="D9070" s="9">
        <v>41079.3</v>
      </c>
      <c r="E9070" s="10" t="str">
        <f t="array" ref="E9070">IFS(D9070&lt;=$G$3,'calculated data '!$A$3,D9070&lt;=$G$4,'calculated data '!$A$4,D9070&lt;=$G$6,'calculated data '!$A$5,D9070&gt;=$G$6,'calculated data '!$A$6)</f>
        <v>High Demand Tier</v>
      </c>
      <c r="F9070" s="10">
        <f t="shared" si="1"/>
        <v>0.4241873647</v>
      </c>
    </row>
    <row r="9071" ht="14.25" customHeight="1">
      <c r="A9071" s="2" t="s">
        <v>425</v>
      </c>
      <c r="B9071" s="2" t="s">
        <v>426</v>
      </c>
      <c r="C9071" s="2">
        <v>1981.0</v>
      </c>
      <c r="D9071" s="9">
        <v>41095.473</v>
      </c>
      <c r="E9071" s="10" t="str">
        <f t="array" ref="E9071">IFS(D9071&lt;=$G$3,'calculated data '!$A$3,D9071&lt;=$G$4,'calculated data '!$A$4,D9071&lt;=$G$6,'calculated data '!$A$5,D9071&gt;=$G$6,'calculated data '!$A$6)</f>
        <v>High Demand Tier</v>
      </c>
      <c r="F9071" s="10">
        <f t="shared" si="1"/>
        <v>0.42461546</v>
      </c>
    </row>
    <row r="9072" ht="14.25" customHeight="1">
      <c r="A9072" s="2" t="s">
        <v>417</v>
      </c>
      <c r="B9072" s="2" t="s">
        <v>418</v>
      </c>
      <c r="C9072" s="2">
        <v>1989.0</v>
      </c>
      <c r="D9072" s="9">
        <v>41132.574</v>
      </c>
      <c r="E9072" s="10" t="str">
        <f t="array" ref="E9072">IFS(D9072&lt;=$G$3,'calculated data '!$A$3,D9072&lt;=$G$4,'calculated data '!$A$4,D9072&lt;=$G$6,'calculated data '!$A$5,D9072&gt;=$G$6,'calculated data '!$A$6)</f>
        <v>High Demand Tier</v>
      </c>
      <c r="F9072" s="10">
        <f t="shared" si="1"/>
        <v>0.4255975143</v>
      </c>
    </row>
    <row r="9073" ht="14.25" customHeight="1">
      <c r="A9073" s="2" t="s">
        <v>47</v>
      </c>
      <c r="B9073" s="2" t="s">
        <v>48</v>
      </c>
      <c r="C9073" s="2">
        <v>2022.0</v>
      </c>
      <c r="D9073" s="9">
        <v>41151.16</v>
      </c>
      <c r="E9073" s="10" t="str">
        <f t="array" ref="E9073">IFS(D9073&lt;=$G$3,'calculated data '!$A$3,D9073&lt;=$G$4,'calculated data '!$A$4,D9073&lt;=$G$6,'calculated data '!$A$5,D9073&gt;=$G$6,'calculated data '!$A$6)</f>
        <v>High Demand Tier</v>
      </c>
      <c r="F9073" s="10">
        <f t="shared" si="1"/>
        <v>0.426089481</v>
      </c>
    </row>
    <row r="9074" ht="14.25" customHeight="1">
      <c r="A9074" s="2" t="s">
        <v>425</v>
      </c>
      <c r="B9074" s="2" t="s">
        <v>426</v>
      </c>
      <c r="C9074" s="2">
        <v>2008.0</v>
      </c>
      <c r="D9074" s="9">
        <v>41152.676</v>
      </c>
      <c r="E9074" s="10" t="str">
        <f t="array" ref="E9074">IFS(D9074&lt;=$G$3,'calculated data '!$A$3,D9074&lt;=$G$4,'calculated data '!$A$4,D9074&lt;=$G$6,'calculated data '!$A$5,D9074&gt;=$G$6,'calculated data '!$A$6)</f>
        <v>High Demand Tier</v>
      </c>
      <c r="F9074" s="10">
        <f t="shared" si="1"/>
        <v>0.4261296092</v>
      </c>
    </row>
    <row r="9075" ht="14.25" customHeight="1">
      <c r="A9075" s="2" t="s">
        <v>461</v>
      </c>
      <c r="B9075" s="2" t="s">
        <v>462</v>
      </c>
      <c r="C9075" s="2">
        <v>1968.0</v>
      </c>
      <c r="D9075" s="9">
        <v>41158.83</v>
      </c>
      <c r="E9075" s="10" t="str">
        <f t="array" ref="E9075">IFS(D9075&lt;=$G$3,'calculated data '!$A$3,D9075&lt;=$G$4,'calculated data '!$A$4,D9075&lt;=$G$6,'calculated data '!$A$5,D9075&gt;=$G$6,'calculated data '!$A$6)</f>
        <v>High Demand Tier</v>
      </c>
      <c r="F9075" s="10">
        <f t="shared" si="1"/>
        <v>0.426292504</v>
      </c>
    </row>
    <row r="9076" ht="14.25" customHeight="1">
      <c r="A9076" s="2" t="s">
        <v>279</v>
      </c>
      <c r="B9076" s="2" t="s">
        <v>280</v>
      </c>
      <c r="C9076" s="2">
        <v>1998.0</v>
      </c>
      <c r="D9076" s="9">
        <v>41163.492</v>
      </c>
      <c r="E9076" s="10" t="str">
        <f t="array" ref="E9076">IFS(D9076&lt;=$G$3,'calculated data '!$A$3,D9076&lt;=$G$4,'calculated data '!$A$4,D9076&lt;=$G$6,'calculated data '!$A$5,D9076&gt;=$G$6,'calculated data '!$A$6)</f>
        <v>High Demand Tier</v>
      </c>
      <c r="F9076" s="10">
        <f t="shared" si="1"/>
        <v>0.426415906</v>
      </c>
    </row>
    <row r="9077" ht="14.25" customHeight="1">
      <c r="A9077" s="2" t="s">
        <v>431</v>
      </c>
      <c r="B9077" s="2" t="s">
        <v>432</v>
      </c>
      <c r="C9077" s="2">
        <v>2017.0</v>
      </c>
      <c r="D9077" s="9">
        <v>41165.113</v>
      </c>
      <c r="E9077" s="10" t="str">
        <f t="array" ref="E9077">IFS(D9077&lt;=$G$3,'calculated data '!$A$3,D9077&lt;=$G$4,'calculated data '!$A$4,D9077&lt;=$G$6,'calculated data '!$A$5,D9077&gt;=$G$6,'calculated data '!$A$6)</f>
        <v>High Demand Tier</v>
      </c>
      <c r="F9077" s="10">
        <f t="shared" si="1"/>
        <v>0.4264588135</v>
      </c>
    </row>
    <row r="9078" ht="14.25" customHeight="1">
      <c r="A9078" s="2" t="s">
        <v>467</v>
      </c>
      <c r="B9078" s="2" t="s">
        <v>468</v>
      </c>
      <c r="C9078" s="2">
        <v>1969.0</v>
      </c>
      <c r="D9078" s="9">
        <v>41180.91</v>
      </c>
      <c r="E9078" s="10" t="str">
        <f t="array" ref="E9078">IFS(D9078&lt;=$G$3,'calculated data '!$A$3,D9078&lt;=$G$4,'calculated data '!$A$4,D9078&lt;=$G$6,'calculated data '!$A$5,D9078&gt;=$G$6,'calculated data '!$A$6)</f>
        <v>High Demand Tier</v>
      </c>
      <c r="F9078" s="10">
        <f t="shared" si="1"/>
        <v>0.4268769561</v>
      </c>
    </row>
    <row r="9079" ht="14.25" customHeight="1">
      <c r="A9079" s="2" t="s">
        <v>381</v>
      </c>
      <c r="B9079" s="2" t="s">
        <v>382</v>
      </c>
      <c r="C9079" s="2">
        <v>2002.0</v>
      </c>
      <c r="D9079" s="9">
        <v>41181.516</v>
      </c>
      <c r="E9079" s="10" t="str">
        <f t="array" ref="E9079">IFS(D9079&lt;=$G$3,'calculated data '!$A$3,D9079&lt;=$G$4,'calculated data '!$A$4,D9079&lt;=$G$6,'calculated data '!$A$5,D9079&gt;=$G$6,'calculated data '!$A$6)</f>
        <v>High Demand Tier</v>
      </c>
      <c r="F9079" s="10">
        <f t="shared" si="1"/>
        <v>0.4268929968</v>
      </c>
    </row>
    <row r="9080" ht="14.25" customHeight="1">
      <c r="A9080" s="2" t="s">
        <v>443</v>
      </c>
      <c r="B9080" s="2" t="s">
        <v>444</v>
      </c>
      <c r="C9080" s="2">
        <v>1975.0</v>
      </c>
      <c r="D9080" s="9">
        <v>41200.246</v>
      </c>
      <c r="E9080" s="10" t="str">
        <f t="array" ref="E9080">IFS(D9080&lt;=$G$3,'calculated data '!$A$3,D9080&lt;=$G$4,'calculated data '!$A$4,D9080&lt;=$G$6,'calculated data '!$A$5,D9080&gt;=$G$6,'calculated data '!$A$6)</f>
        <v>High Demand Tier</v>
      </c>
      <c r="F9080" s="10">
        <f t="shared" si="1"/>
        <v>0.4273887752</v>
      </c>
    </row>
    <row r="9081" ht="14.25" customHeight="1">
      <c r="A9081" s="2" t="s">
        <v>453</v>
      </c>
      <c r="B9081" s="2" t="s">
        <v>454</v>
      </c>
      <c r="C9081" s="2">
        <v>1991.0</v>
      </c>
      <c r="D9081" s="9">
        <v>41212.223</v>
      </c>
      <c r="E9081" s="10" t="str">
        <f t="array" ref="E9081">IFS(D9081&lt;=$G$3,'calculated data '!$A$3,D9081&lt;=$G$4,'calculated data '!$A$4,D9081&lt;=$G$6,'calculated data '!$A$5,D9081&gt;=$G$6,'calculated data '!$A$6)</f>
        <v>High Demand Tier</v>
      </c>
      <c r="F9081" s="10">
        <f t="shared" si="1"/>
        <v>0.4277058034</v>
      </c>
    </row>
    <row r="9082" ht="14.25" customHeight="1">
      <c r="A9082" s="2" t="s">
        <v>381</v>
      </c>
      <c r="B9082" s="2" t="s">
        <v>382</v>
      </c>
      <c r="C9082" s="2">
        <v>1988.0</v>
      </c>
      <c r="D9082" s="9">
        <v>41212.996</v>
      </c>
      <c r="E9082" s="10" t="str">
        <f t="array" ref="E9082">IFS(D9082&lt;=$G$3,'calculated data '!$A$3,D9082&lt;=$G$4,'calculated data '!$A$4,D9082&lt;=$G$6,'calculated data '!$A$5,D9082&gt;=$G$6,'calculated data '!$A$6)</f>
        <v>High Demand Tier</v>
      </c>
      <c r="F9082" s="10">
        <f t="shared" si="1"/>
        <v>0.4277262646</v>
      </c>
    </row>
    <row r="9083" ht="14.25" customHeight="1">
      <c r="A9083" s="2" t="s">
        <v>309</v>
      </c>
      <c r="B9083" s="2" t="s">
        <v>310</v>
      </c>
      <c r="C9083" s="2">
        <v>2006.0</v>
      </c>
      <c r="D9083" s="9">
        <v>41227.46</v>
      </c>
      <c r="E9083" s="10" t="str">
        <f t="array" ref="E9083">IFS(D9083&lt;=$G$3,'calculated data '!$A$3,D9083&lt;=$G$4,'calculated data '!$A$4,D9083&lt;=$G$6,'calculated data '!$A$5,D9083&gt;=$G$6,'calculated data '!$A$6)</f>
        <v>High Demand Tier</v>
      </c>
      <c r="F9083" s="10">
        <f t="shared" si="1"/>
        <v>0.428109123</v>
      </c>
    </row>
    <row r="9084" ht="14.25" customHeight="1">
      <c r="A9084" s="2" t="s">
        <v>421</v>
      </c>
      <c r="B9084" s="2" t="s">
        <v>422</v>
      </c>
      <c r="C9084" s="2">
        <v>1987.0</v>
      </c>
      <c r="D9084" s="9">
        <v>41240.5</v>
      </c>
      <c r="E9084" s="10" t="str">
        <f t="array" ref="E9084">IFS(D9084&lt;=$G$3,'calculated data '!$A$3,D9084&lt;=$G$4,'calculated data '!$A$4,D9084&lt;=$G$6,'calculated data '!$A$5,D9084&gt;=$G$6,'calculated data '!$A$6)</f>
        <v>High Demand Tier</v>
      </c>
      <c r="F9084" s="10">
        <f t="shared" si="1"/>
        <v>0.4284542886</v>
      </c>
    </row>
    <row r="9085" ht="14.25" customHeight="1">
      <c r="A9085" s="2" t="s">
        <v>443</v>
      </c>
      <c r="B9085" s="2" t="s">
        <v>444</v>
      </c>
      <c r="C9085" s="2">
        <v>1996.0</v>
      </c>
      <c r="D9085" s="9">
        <v>41247.5</v>
      </c>
      <c r="E9085" s="10" t="str">
        <f t="array" ref="E9085">IFS(D9085&lt;=$G$3,'calculated data '!$A$3,D9085&lt;=$G$4,'calculated data '!$A$4,D9085&lt;=$G$6,'calculated data '!$A$5,D9085&gt;=$G$6,'calculated data '!$A$6)</f>
        <v>High Demand Tier</v>
      </c>
      <c r="F9085" s="10">
        <f t="shared" si="1"/>
        <v>0.4286395769</v>
      </c>
    </row>
    <row r="9086" ht="14.25" customHeight="1">
      <c r="A9086" s="2" t="s">
        <v>415</v>
      </c>
      <c r="B9086" s="2" t="s">
        <v>416</v>
      </c>
      <c r="C9086" s="2">
        <v>1988.0</v>
      </c>
      <c r="D9086" s="9">
        <v>41261.734</v>
      </c>
      <c r="E9086" s="10" t="str">
        <f t="array" ref="E9086">IFS(D9086&lt;=$G$3,'calculated data '!$A$3,D9086&lt;=$G$4,'calculated data '!$A$4,D9086&lt;=$G$6,'calculated data '!$A$5,D9086&gt;=$G$6,'calculated data '!$A$6)</f>
        <v>High Demand Tier</v>
      </c>
      <c r="F9086" s="10">
        <f t="shared" si="1"/>
        <v>0.4290163473</v>
      </c>
    </row>
    <row r="9087" ht="14.25" customHeight="1">
      <c r="A9087" s="2" t="s">
        <v>411</v>
      </c>
      <c r="B9087" s="2" t="s">
        <v>412</v>
      </c>
      <c r="C9087" s="2">
        <v>2002.0</v>
      </c>
      <c r="D9087" s="9">
        <v>41322.23</v>
      </c>
      <c r="E9087" s="10" t="str">
        <f t="array" ref="E9087">IFS(D9087&lt;=$G$3,'calculated data '!$A$3,D9087&lt;=$G$4,'calculated data '!$A$4,D9087&lt;=$G$6,'calculated data '!$A$5,D9087&gt;=$G$6,'calculated data '!$A$6)</f>
        <v>High Demand Tier</v>
      </c>
      <c r="F9087" s="10">
        <f t="shared" si="1"/>
        <v>0.4306176613</v>
      </c>
    </row>
    <row r="9088" ht="14.25" customHeight="1">
      <c r="A9088" s="2" t="s">
        <v>469</v>
      </c>
      <c r="B9088" s="2" t="s">
        <v>470</v>
      </c>
      <c r="C9088" s="2">
        <v>1969.0</v>
      </c>
      <c r="D9088" s="9">
        <v>41339.6</v>
      </c>
      <c r="E9088" s="10" t="str">
        <f t="array" ref="E9088">IFS(D9088&lt;=$G$3,'calculated data '!$A$3,D9088&lt;=$G$4,'calculated data '!$A$4,D9088&lt;=$G$6,'calculated data '!$A$5,D9088&gt;=$G$6,'calculated data '!$A$6)</f>
        <v>High Demand Tier</v>
      </c>
      <c r="F9088" s="10">
        <f t="shared" si="1"/>
        <v>0.4310774409</v>
      </c>
    </row>
    <row r="9089" ht="14.25" customHeight="1">
      <c r="A9089" s="2" t="s">
        <v>471</v>
      </c>
      <c r="B9089" s="2" t="s">
        <v>472</v>
      </c>
      <c r="C9089" s="2">
        <v>1998.0</v>
      </c>
      <c r="D9089" s="9">
        <v>41343.586</v>
      </c>
      <c r="E9089" s="10" t="str">
        <f t="array" ref="E9089">IFS(D9089&lt;=$G$3,'calculated data '!$A$3,D9089&lt;=$G$4,'calculated data '!$A$4,D9089&lt;=$G$6,'calculated data '!$A$5,D9089&gt;=$G$6,'calculated data '!$A$6)</f>
        <v>High Demand Tier</v>
      </c>
      <c r="F9089" s="10">
        <f t="shared" si="1"/>
        <v>0.4311829493</v>
      </c>
    </row>
    <row r="9090" ht="14.25" customHeight="1">
      <c r="A9090" s="2" t="s">
        <v>411</v>
      </c>
      <c r="B9090" s="2" t="s">
        <v>412</v>
      </c>
      <c r="C9090" s="2">
        <v>2000.0</v>
      </c>
      <c r="D9090" s="9">
        <v>41362.28</v>
      </c>
      <c r="E9090" s="10" t="str">
        <f t="array" ref="E9090">IFS(D9090&lt;=$G$3,'calculated data '!$A$3,D9090&lt;=$G$4,'calculated data '!$A$4,D9090&lt;=$G$6,'calculated data '!$A$5,D9090&gt;=$G$6,'calculated data '!$A$6)</f>
        <v>High Demand Tier</v>
      </c>
      <c r="F9090" s="10">
        <f t="shared" si="1"/>
        <v>0.4316777749</v>
      </c>
    </row>
    <row r="9091" ht="14.25" customHeight="1">
      <c r="A9091" s="2" t="s">
        <v>433</v>
      </c>
      <c r="B9091" s="2" t="s">
        <v>434</v>
      </c>
      <c r="C9091" s="2">
        <v>1979.0</v>
      </c>
      <c r="D9091" s="9">
        <v>41373.97</v>
      </c>
      <c r="E9091" s="10" t="str">
        <f t="array" ref="E9091">IFS(D9091&lt;=$G$3,'calculated data '!$A$3,D9091&lt;=$G$4,'calculated data '!$A$4,D9091&lt;=$G$6,'calculated data '!$A$5,D9091&gt;=$G$6,'calculated data '!$A$6)</f>
        <v>High Demand Tier</v>
      </c>
      <c r="F9091" s="10">
        <f t="shared" si="1"/>
        <v>0.4319872063</v>
      </c>
    </row>
    <row r="9092" ht="14.25" customHeight="1">
      <c r="A9092" s="2" t="s">
        <v>411</v>
      </c>
      <c r="B9092" s="2" t="s">
        <v>412</v>
      </c>
      <c r="C9092" s="2">
        <v>1990.0</v>
      </c>
      <c r="D9092" s="9">
        <v>41375.918</v>
      </c>
      <c r="E9092" s="10" t="str">
        <f t="array" ref="E9092">IFS(D9092&lt;=$G$3,'calculated data '!$A$3,D9092&lt;=$G$4,'calculated data '!$A$4,D9092&lt;=$G$6,'calculated data '!$A$5,D9092&gt;=$G$6,'calculated data '!$A$6)</f>
        <v>High Demand Tier</v>
      </c>
      <c r="F9092" s="10">
        <f t="shared" si="1"/>
        <v>0.4320387693</v>
      </c>
    </row>
    <row r="9093" ht="14.25" customHeight="1">
      <c r="A9093" s="2" t="s">
        <v>443</v>
      </c>
      <c r="B9093" s="2" t="s">
        <v>444</v>
      </c>
      <c r="C9093" s="2">
        <v>2010.0</v>
      </c>
      <c r="D9093" s="9">
        <v>41376.33</v>
      </c>
      <c r="E9093" s="10" t="str">
        <f t="array" ref="E9093">IFS(D9093&lt;=$G$3,'calculated data '!$A$3,D9093&lt;=$G$4,'calculated data '!$A$4,D9093&lt;=$G$6,'calculated data '!$A$5,D9093&gt;=$G$6,'calculated data '!$A$6)</f>
        <v>High Demand Tier</v>
      </c>
      <c r="F9093" s="10">
        <f t="shared" si="1"/>
        <v>0.4320496749</v>
      </c>
    </row>
    <row r="9094" ht="14.25" customHeight="1">
      <c r="A9094" s="2" t="s">
        <v>411</v>
      </c>
      <c r="B9094" s="2" t="s">
        <v>412</v>
      </c>
      <c r="C9094" s="2">
        <v>1997.0</v>
      </c>
      <c r="D9094" s="9">
        <v>41391.09</v>
      </c>
      <c r="E9094" s="10" t="str">
        <f t="array" ref="E9094">IFS(D9094&lt;=$G$3,'calculated data '!$A$3,D9094&lt;=$G$4,'calculated data '!$A$4,D9094&lt;=$G$6,'calculated data '!$A$5,D9094&gt;=$G$6,'calculated data '!$A$6)</f>
        <v>High Demand Tier</v>
      </c>
      <c r="F9094" s="10">
        <f t="shared" si="1"/>
        <v>0.4324403684</v>
      </c>
    </row>
    <row r="9095" ht="14.25" customHeight="1">
      <c r="A9095" s="2" t="s">
        <v>407</v>
      </c>
      <c r="B9095" s="2" t="s">
        <v>408</v>
      </c>
      <c r="C9095" s="2">
        <v>2012.0</v>
      </c>
      <c r="D9095" s="9">
        <v>41404.152</v>
      </c>
      <c r="E9095" s="10" t="str">
        <f t="array" ref="E9095">IFS(D9095&lt;=$G$3,'calculated data '!$A$3,D9095&lt;=$G$4,'calculated data '!$A$4,D9095&lt;=$G$6,'calculated data '!$A$5,D9095&gt;=$G$6,'calculated data '!$A$6)</f>
        <v>High Demand Tier</v>
      </c>
      <c r="F9095" s="10">
        <f t="shared" si="1"/>
        <v>0.4327861163</v>
      </c>
    </row>
    <row r="9096" ht="14.25" customHeight="1">
      <c r="A9096" s="2" t="s">
        <v>453</v>
      </c>
      <c r="B9096" s="2" t="s">
        <v>454</v>
      </c>
      <c r="C9096" s="2">
        <v>1983.0</v>
      </c>
      <c r="D9096" s="9">
        <v>41424.902</v>
      </c>
      <c r="E9096" s="10" t="str">
        <f t="array" ref="E9096">IFS(D9096&lt;=$G$3,'calculated data '!$A$3,D9096&lt;=$G$4,'calculated data '!$A$4,D9096&lt;=$G$6,'calculated data '!$A$5,D9096&gt;=$G$6,'calculated data '!$A$6)</f>
        <v>High Demand Tier</v>
      </c>
      <c r="F9096" s="10">
        <f t="shared" si="1"/>
        <v>0.4333353636</v>
      </c>
    </row>
    <row r="9097" ht="14.25" customHeight="1">
      <c r="A9097" s="2" t="s">
        <v>409</v>
      </c>
      <c r="B9097" s="2" t="s">
        <v>410</v>
      </c>
      <c r="C9097" s="2">
        <v>1998.0</v>
      </c>
      <c r="D9097" s="9">
        <v>41450.77</v>
      </c>
      <c r="E9097" s="10" t="str">
        <f t="array" ref="E9097">IFS(D9097&lt;=$G$3,'calculated data '!$A$3,D9097&lt;=$G$4,'calculated data '!$A$4,D9097&lt;=$G$6,'calculated data '!$A$5,D9097&gt;=$G$6,'calculated data '!$A$6)</f>
        <v>High Demand Tier</v>
      </c>
      <c r="F9097" s="10">
        <f t="shared" si="1"/>
        <v>0.4340200831</v>
      </c>
    </row>
    <row r="9098" ht="14.25" customHeight="1">
      <c r="A9098" s="2" t="s">
        <v>369</v>
      </c>
      <c r="B9098" s="2" t="s">
        <v>370</v>
      </c>
      <c r="C9098" s="2">
        <v>2014.0</v>
      </c>
      <c r="D9098" s="9">
        <v>41481.746</v>
      </c>
      <c r="E9098" s="10" t="str">
        <f t="array" ref="E9098">IFS(D9098&lt;=$G$3,'calculated data '!$A$3,D9098&lt;=$G$4,'calculated data '!$A$4,D9098&lt;=$G$6,'calculated data '!$A$5,D9098&gt;=$G$6,'calculated data '!$A$6)</f>
        <v>High Demand Tier</v>
      </c>
      <c r="F9098" s="10">
        <f t="shared" si="1"/>
        <v>0.4348400101</v>
      </c>
    </row>
    <row r="9099" ht="14.25" customHeight="1">
      <c r="A9099" s="2" t="s">
        <v>411</v>
      </c>
      <c r="B9099" s="2" t="s">
        <v>412</v>
      </c>
      <c r="C9099" s="2">
        <v>1991.0</v>
      </c>
      <c r="D9099" s="9">
        <v>41505.652</v>
      </c>
      <c r="E9099" s="10" t="str">
        <f t="array" ref="E9099">IFS(D9099&lt;=$G$3,'calculated data '!$A$3,D9099&lt;=$G$4,'calculated data '!$A$4,D9099&lt;=$G$6,'calculated data '!$A$5,D9099&gt;=$G$6,'calculated data '!$A$6)</f>
        <v>High Demand Tier</v>
      </c>
      <c r="F9099" s="10">
        <f t="shared" si="1"/>
        <v>0.435472796</v>
      </c>
    </row>
    <row r="9100" ht="14.25" customHeight="1">
      <c r="A9100" s="2" t="s">
        <v>369</v>
      </c>
      <c r="B9100" s="2" t="s">
        <v>370</v>
      </c>
      <c r="C9100" s="2">
        <v>1990.0</v>
      </c>
      <c r="D9100" s="9">
        <v>41523.0</v>
      </c>
      <c r="E9100" s="10" t="str">
        <f t="array" ref="E9100">IFS(D9100&lt;=$G$3,'calculated data '!$A$3,D9100&lt;=$G$4,'calculated data '!$A$4,D9100&lt;=$G$6,'calculated data '!$A$5,D9100&gt;=$G$6,'calculated data '!$A$6)</f>
        <v>High Demand Tier</v>
      </c>
      <c r="F9100" s="10">
        <f t="shared" si="1"/>
        <v>0.4359319932</v>
      </c>
    </row>
    <row r="9101" ht="14.25" customHeight="1">
      <c r="A9101" s="2" t="s">
        <v>443</v>
      </c>
      <c r="B9101" s="2" t="s">
        <v>444</v>
      </c>
      <c r="C9101" s="2">
        <v>2002.0</v>
      </c>
      <c r="D9101" s="9">
        <v>41526.76</v>
      </c>
      <c r="E9101" s="10" t="str">
        <f t="array" ref="E9101">IFS(D9101&lt;=$G$3,'calculated data '!$A$3,D9101&lt;=$G$4,'calculated data '!$A$4,D9101&lt;=$G$6,'calculated data '!$A$5,D9101&gt;=$G$6,'calculated data '!$A$6)</f>
        <v>High Demand Tier</v>
      </c>
      <c r="F9101" s="10">
        <f t="shared" si="1"/>
        <v>0.4360315195</v>
      </c>
    </row>
    <row r="9102" ht="14.25" customHeight="1">
      <c r="A9102" s="2" t="s">
        <v>453</v>
      </c>
      <c r="B9102" s="2" t="s">
        <v>454</v>
      </c>
      <c r="C9102" s="2">
        <v>2003.0</v>
      </c>
      <c r="D9102" s="9">
        <v>41527.418</v>
      </c>
      <c r="E9102" s="10" t="str">
        <f t="array" ref="E9102">IFS(D9102&lt;=$G$3,'calculated data '!$A$3,D9102&lt;=$G$4,'calculated data '!$A$4,D9102&lt;=$G$6,'calculated data '!$A$5,D9102&gt;=$G$6,'calculated data '!$A$6)</f>
        <v>High Demand Tier</v>
      </c>
      <c r="F9102" s="10">
        <f t="shared" si="1"/>
        <v>0.4360489366</v>
      </c>
    </row>
    <row r="9103" ht="14.25" customHeight="1">
      <c r="A9103" s="2" t="s">
        <v>415</v>
      </c>
      <c r="B9103" s="2" t="s">
        <v>416</v>
      </c>
      <c r="C9103" s="2">
        <v>1975.0</v>
      </c>
      <c r="D9103" s="9">
        <v>41537.875</v>
      </c>
      <c r="E9103" s="10" t="str">
        <f t="array" ref="E9103">IFS(D9103&lt;=$G$3,'calculated data '!$A$3,D9103&lt;=$G$4,'calculated data '!$A$4,D9103&lt;=$G$6,'calculated data '!$A$5,D9103&gt;=$G$6,'calculated data '!$A$6)</f>
        <v>High Demand Tier</v>
      </c>
      <c r="F9103" s="10">
        <f t="shared" si="1"/>
        <v>0.4363257308</v>
      </c>
    </row>
    <row r="9104" ht="14.25" customHeight="1">
      <c r="A9104" s="2" t="s">
        <v>417</v>
      </c>
      <c r="B9104" s="2" t="s">
        <v>418</v>
      </c>
      <c r="C9104" s="2">
        <v>2002.0</v>
      </c>
      <c r="D9104" s="9">
        <v>41548.863</v>
      </c>
      <c r="E9104" s="10" t="str">
        <f t="array" ref="E9104">IFS(D9104&lt;=$G$3,'calculated data '!$A$3,D9104&lt;=$G$4,'calculated data '!$A$4,D9104&lt;=$G$6,'calculated data '!$A$5,D9104&gt;=$G$6,'calculated data '!$A$6)</f>
        <v>High Demand Tier</v>
      </c>
      <c r="F9104" s="10">
        <f t="shared" si="1"/>
        <v>0.4366165804</v>
      </c>
    </row>
    <row r="9105" ht="14.25" customHeight="1">
      <c r="A9105" s="2" t="s">
        <v>417</v>
      </c>
      <c r="B9105" s="2" t="s">
        <v>418</v>
      </c>
      <c r="C9105" s="2">
        <v>2001.0</v>
      </c>
      <c r="D9105" s="9">
        <v>41562.395</v>
      </c>
      <c r="E9105" s="10" t="str">
        <f t="array" ref="E9105">IFS(D9105&lt;=$G$3,'calculated data '!$A$3,D9105&lt;=$G$4,'calculated data '!$A$4,D9105&lt;=$G$6,'calculated data '!$A$5,D9105&gt;=$G$6,'calculated data '!$A$6)</f>
        <v>High Demand Tier</v>
      </c>
      <c r="F9105" s="10">
        <f t="shared" si="1"/>
        <v>0.4369747691</v>
      </c>
    </row>
    <row r="9106" ht="14.25" customHeight="1">
      <c r="A9106" s="2" t="s">
        <v>443</v>
      </c>
      <c r="B9106" s="2" t="s">
        <v>444</v>
      </c>
      <c r="C9106" s="2">
        <v>2001.0</v>
      </c>
      <c r="D9106" s="9">
        <v>41572.895</v>
      </c>
      <c r="E9106" s="10" t="str">
        <f t="array" ref="E9106">IFS(D9106&lt;=$G$3,'calculated data '!$A$3,D9106&lt;=$G$4,'calculated data '!$A$4,D9106&lt;=$G$6,'calculated data '!$A$5,D9106&gt;=$G$6,'calculated data '!$A$6)</f>
        <v>High Demand Tier</v>
      </c>
      <c r="F9106" s="10">
        <f t="shared" si="1"/>
        <v>0.4372527015</v>
      </c>
    </row>
    <row r="9107" ht="14.25" customHeight="1">
      <c r="A9107" s="2" t="s">
        <v>413</v>
      </c>
      <c r="B9107" s="2" t="s">
        <v>414</v>
      </c>
      <c r="C9107" s="2">
        <v>2002.0</v>
      </c>
      <c r="D9107" s="9">
        <v>41581.305</v>
      </c>
      <c r="E9107" s="10" t="str">
        <f t="array" ref="E9107">IFS(D9107&lt;=$G$3,'calculated data '!$A$3,D9107&lt;=$G$4,'calculated data '!$A$4,D9107&lt;=$G$6,'calculated data '!$A$5,D9107&gt;=$G$6,'calculated data '!$A$6)</f>
        <v>High Demand Tier</v>
      </c>
      <c r="F9107" s="10">
        <f t="shared" si="1"/>
        <v>0.4374753121</v>
      </c>
    </row>
    <row r="9108" ht="14.25" customHeight="1">
      <c r="A9108" s="2" t="s">
        <v>337</v>
      </c>
      <c r="B9108" s="2" t="s">
        <v>338</v>
      </c>
      <c r="C9108" s="2">
        <v>2012.0</v>
      </c>
      <c r="D9108" s="9">
        <v>41611.43</v>
      </c>
      <c r="E9108" s="10" t="str">
        <f t="array" ref="E9108">IFS(D9108&lt;=$G$3,'calculated data '!$A$3,D9108&lt;=$G$4,'calculated data '!$A$4,D9108&lt;=$G$6,'calculated data '!$A$5,D9108&gt;=$G$6,'calculated data '!$A$6)</f>
        <v>High Demand Tier</v>
      </c>
      <c r="F9108" s="10">
        <f t="shared" si="1"/>
        <v>0.4382727133</v>
      </c>
    </row>
    <row r="9109" ht="14.25" customHeight="1">
      <c r="A9109" s="2" t="s">
        <v>413</v>
      </c>
      <c r="B9109" s="2" t="s">
        <v>414</v>
      </c>
      <c r="C9109" s="2">
        <v>1991.0</v>
      </c>
      <c r="D9109" s="9">
        <v>41617.918</v>
      </c>
      <c r="E9109" s="10" t="str">
        <f t="array" ref="E9109">IFS(D9109&lt;=$G$3,'calculated data '!$A$3,D9109&lt;=$G$4,'calculated data '!$A$4,D9109&lt;=$G$6,'calculated data '!$A$5,D9109&gt;=$G$6,'calculated data '!$A$6)</f>
        <v>High Demand Tier</v>
      </c>
      <c r="F9109" s="10">
        <f t="shared" si="1"/>
        <v>0.4384444491</v>
      </c>
    </row>
    <row r="9110" ht="14.25" customHeight="1">
      <c r="A9110" s="2" t="s">
        <v>411</v>
      </c>
      <c r="B9110" s="2" t="s">
        <v>412</v>
      </c>
      <c r="C9110" s="2">
        <v>1994.0</v>
      </c>
      <c r="D9110" s="9">
        <v>41620.438</v>
      </c>
      <c r="E9110" s="10" t="str">
        <f t="array" ref="E9110">IFS(D9110&lt;=$G$3,'calculated data '!$A$3,D9110&lt;=$G$4,'calculated data '!$A$4,D9110&lt;=$G$6,'calculated data '!$A$5,D9110&gt;=$G$6,'calculated data '!$A$6)</f>
        <v>High Demand Tier</v>
      </c>
      <c r="F9110" s="10">
        <f t="shared" si="1"/>
        <v>0.4385111528</v>
      </c>
    </row>
    <row r="9111" ht="14.25" customHeight="1">
      <c r="A9111" s="2" t="s">
        <v>451</v>
      </c>
      <c r="B9111" s="2" t="s">
        <v>452</v>
      </c>
      <c r="C9111" s="2">
        <v>1974.0</v>
      </c>
      <c r="D9111" s="9">
        <v>41629.426</v>
      </c>
      <c r="E9111" s="10" t="str">
        <f t="array" ref="E9111">IFS(D9111&lt;=$G$3,'calculated data '!$A$3,D9111&lt;=$G$4,'calculated data '!$A$4,D9111&lt;=$G$6,'calculated data '!$A$5,D9111&gt;=$G$6,'calculated data '!$A$6)</f>
        <v>High Demand Tier</v>
      </c>
      <c r="F9111" s="10">
        <f t="shared" si="1"/>
        <v>0.4387490629</v>
      </c>
    </row>
    <row r="9112" ht="14.25" customHeight="1">
      <c r="A9112" s="2" t="s">
        <v>435</v>
      </c>
      <c r="B9112" s="2" t="s">
        <v>436</v>
      </c>
      <c r="C9112" s="2">
        <v>1989.0</v>
      </c>
      <c r="D9112" s="9">
        <v>41633.875</v>
      </c>
      <c r="E9112" s="10" t="str">
        <f t="array" ref="E9112">IFS(D9112&lt;=$G$3,'calculated data '!$A$3,D9112&lt;=$G$4,'calculated data '!$A$4,D9112&lt;=$G$6,'calculated data '!$A$5,D9112&gt;=$G$6,'calculated data '!$A$6)</f>
        <v>High Demand Tier</v>
      </c>
      <c r="F9112" s="10">
        <f t="shared" si="1"/>
        <v>0.4388668269</v>
      </c>
    </row>
    <row r="9113" ht="14.25" customHeight="1">
      <c r="A9113" s="2" t="s">
        <v>459</v>
      </c>
      <c r="B9113" s="2" t="s">
        <v>460</v>
      </c>
      <c r="C9113" s="2">
        <v>2019.0</v>
      </c>
      <c r="D9113" s="9">
        <v>41634.766</v>
      </c>
      <c r="E9113" s="10" t="str">
        <f t="array" ref="E9113">IFS(D9113&lt;=$G$3,'calculated data '!$A$3,D9113&lt;=$G$4,'calculated data '!$A$4,D9113&lt;=$G$6,'calculated data '!$A$5,D9113&gt;=$G$6,'calculated data '!$A$6)</f>
        <v>High Demand Tier</v>
      </c>
      <c r="F9113" s="10">
        <f t="shared" si="1"/>
        <v>0.4388904114</v>
      </c>
    </row>
    <row r="9114" ht="14.25" customHeight="1">
      <c r="A9114" s="2" t="s">
        <v>411</v>
      </c>
      <c r="B9114" s="2" t="s">
        <v>412</v>
      </c>
      <c r="C9114" s="2">
        <v>1988.0</v>
      </c>
      <c r="D9114" s="9">
        <v>41653.242</v>
      </c>
      <c r="E9114" s="10" t="str">
        <f t="array" ref="E9114">IFS(D9114&lt;=$G$3,'calculated data '!$A$3,D9114&lt;=$G$4,'calculated data '!$A$4,D9114&lt;=$G$6,'calculated data '!$A$5,D9114&gt;=$G$6,'calculated data '!$A$6)</f>
        <v>High Demand Tier</v>
      </c>
      <c r="F9114" s="10">
        <f t="shared" si="1"/>
        <v>0.4393794665</v>
      </c>
    </row>
    <row r="9115" ht="14.25" customHeight="1">
      <c r="A9115" s="2" t="s">
        <v>407</v>
      </c>
      <c r="B9115" s="2" t="s">
        <v>408</v>
      </c>
      <c r="C9115" s="2">
        <v>2024.0</v>
      </c>
      <c r="D9115" s="9">
        <v>41660.82</v>
      </c>
      <c r="E9115" s="10" t="str">
        <f t="array" ref="E9115">IFS(D9115&lt;=$G$3,'calculated data '!$A$3,D9115&lt;=$G$4,'calculated data '!$A$4,D9115&lt;=$G$6,'calculated data '!$A$5,D9115&gt;=$G$6,'calculated data '!$A$6)</f>
        <v>High Demand Tier</v>
      </c>
      <c r="F9115" s="10">
        <f t="shared" si="1"/>
        <v>0.4395800543</v>
      </c>
    </row>
    <row r="9116" ht="14.25" customHeight="1">
      <c r="A9116" s="2" t="s">
        <v>417</v>
      </c>
      <c r="B9116" s="2" t="s">
        <v>418</v>
      </c>
      <c r="C9116" s="2">
        <v>2008.0</v>
      </c>
      <c r="D9116" s="9">
        <v>41661.57</v>
      </c>
      <c r="E9116" s="10" t="str">
        <f t="array" ref="E9116">IFS(D9116&lt;=$G$3,'calculated data '!$A$3,D9116&lt;=$G$4,'calculated data '!$A$4,D9116&lt;=$G$6,'calculated data '!$A$5,D9116&gt;=$G$6,'calculated data '!$A$6)</f>
        <v>High Demand Tier</v>
      </c>
      <c r="F9116" s="10">
        <f t="shared" si="1"/>
        <v>0.4395999066</v>
      </c>
    </row>
    <row r="9117" ht="14.25" customHeight="1">
      <c r="A9117" s="2" t="s">
        <v>411</v>
      </c>
      <c r="B9117" s="2" t="s">
        <v>412</v>
      </c>
      <c r="C9117" s="2">
        <v>1992.0</v>
      </c>
      <c r="D9117" s="9">
        <v>41666.492</v>
      </c>
      <c r="E9117" s="10" t="str">
        <f t="array" ref="E9117">IFS(D9117&lt;=$G$3,'calculated data '!$A$3,D9117&lt;=$G$4,'calculated data '!$A$4,D9117&lt;=$G$6,'calculated data '!$A$5,D9117&gt;=$G$6,'calculated data '!$A$6)</f>
        <v>High Demand Tier</v>
      </c>
      <c r="F9117" s="10">
        <f t="shared" si="1"/>
        <v>0.4397301907</v>
      </c>
    </row>
    <row r="9118" ht="14.25" customHeight="1">
      <c r="A9118" s="2" t="s">
        <v>307</v>
      </c>
      <c r="B9118" s="2" t="s">
        <v>308</v>
      </c>
      <c r="C9118" s="2">
        <v>1994.0</v>
      </c>
      <c r="D9118" s="9">
        <v>41668.492</v>
      </c>
      <c r="E9118" s="10" t="str">
        <f t="array" ref="E9118">IFS(D9118&lt;=$G$3,'calculated data '!$A$3,D9118&lt;=$G$4,'calculated data '!$A$4,D9118&lt;=$G$6,'calculated data '!$A$5,D9118&gt;=$G$6,'calculated data '!$A$6)</f>
        <v>High Demand Tier</v>
      </c>
      <c r="F9118" s="10">
        <f t="shared" si="1"/>
        <v>0.4397831302</v>
      </c>
    </row>
    <row r="9119" ht="14.25" customHeight="1">
      <c r="A9119" s="2" t="s">
        <v>337</v>
      </c>
      <c r="B9119" s="2" t="s">
        <v>338</v>
      </c>
      <c r="C9119" s="2">
        <v>2014.0</v>
      </c>
      <c r="D9119" s="9">
        <v>41677.82</v>
      </c>
      <c r="E9119" s="10" t="str">
        <f t="array" ref="E9119">IFS(D9119&lt;=$G$3,'calculated data '!$A$3,D9119&lt;=$G$4,'calculated data '!$A$4,D9119&lt;=$G$6,'calculated data '!$A$5,D9119&gt;=$G$6,'calculated data '!$A$6)</f>
        <v>High Demand Tier</v>
      </c>
      <c r="F9119" s="10">
        <f t="shared" si="1"/>
        <v>0.4400300401</v>
      </c>
    </row>
    <row r="9120" ht="14.25" customHeight="1">
      <c r="A9120" s="2" t="s">
        <v>465</v>
      </c>
      <c r="B9120" s="2" t="s">
        <v>466</v>
      </c>
      <c r="C9120" s="2">
        <v>1999.0</v>
      </c>
      <c r="D9120" s="9">
        <v>41687.344</v>
      </c>
      <c r="E9120" s="10" t="str">
        <f t="array" ref="E9120">IFS(D9120&lt;=$G$3,'calculated data '!$A$3,D9120&lt;=$G$4,'calculated data '!$A$4,D9120&lt;=$G$6,'calculated data '!$A$5,D9120&gt;=$G$6,'calculated data '!$A$6)</f>
        <v>High Demand Tier</v>
      </c>
      <c r="F9120" s="10">
        <f t="shared" si="1"/>
        <v>0.440282138</v>
      </c>
    </row>
    <row r="9121" ht="14.25" customHeight="1">
      <c r="A9121" s="2" t="s">
        <v>429</v>
      </c>
      <c r="B9121" s="2" t="s">
        <v>430</v>
      </c>
      <c r="C9121" s="2">
        <v>1970.0</v>
      </c>
      <c r="D9121" s="9">
        <v>41693.777</v>
      </c>
      <c r="E9121" s="10" t="str">
        <f t="array" ref="E9121">IFS(D9121&lt;=$G$3,'calculated data '!$A$3,D9121&lt;=$G$4,'calculated data '!$A$4,D9121&lt;=$G$6,'calculated data '!$A$5,D9121&gt;=$G$6,'calculated data '!$A$6)</f>
        <v>High Demand Tier</v>
      </c>
      <c r="F9121" s="10">
        <f t="shared" si="1"/>
        <v>0.4404524179</v>
      </c>
    </row>
    <row r="9122" ht="14.25" customHeight="1">
      <c r="A9122" s="2" t="s">
        <v>47</v>
      </c>
      <c r="B9122" s="2" t="s">
        <v>48</v>
      </c>
      <c r="C9122" s="2">
        <v>2020.0</v>
      </c>
      <c r="D9122" s="9">
        <v>41699.66</v>
      </c>
      <c r="E9122" s="10" t="str">
        <f t="array" ref="E9122">IFS(D9122&lt;=$G$3,'calculated data '!$A$3,D9122&lt;=$G$4,'calculated data '!$A$4,D9122&lt;=$G$6,'calculated data '!$A$5,D9122&gt;=$G$6,'calculated data '!$A$6)</f>
        <v>High Demand Tier</v>
      </c>
      <c r="F9122" s="10">
        <f t="shared" si="1"/>
        <v>0.4406081394</v>
      </c>
    </row>
    <row r="9123" ht="14.25" customHeight="1">
      <c r="A9123" s="2" t="s">
        <v>401</v>
      </c>
      <c r="B9123" s="2" t="s">
        <v>402</v>
      </c>
      <c r="C9123" s="2">
        <v>2010.0</v>
      </c>
      <c r="D9123" s="9">
        <v>41709.145</v>
      </c>
      <c r="E9123" s="10" t="str">
        <f t="array" ref="E9123">IFS(D9123&lt;=$G$3,'calculated data '!$A$3,D9123&lt;=$G$4,'calculated data '!$A$4,D9123&lt;=$G$6,'calculated data '!$A$5,D9123&gt;=$G$6,'calculated data '!$A$6)</f>
        <v>High Demand Tier</v>
      </c>
      <c r="F9123" s="10">
        <f t="shared" si="1"/>
        <v>0.440859205</v>
      </c>
    </row>
    <row r="9124" ht="14.25" customHeight="1">
      <c r="A9124" s="2" t="s">
        <v>411</v>
      </c>
      <c r="B9124" s="2" t="s">
        <v>412</v>
      </c>
      <c r="C9124" s="2">
        <v>1998.0</v>
      </c>
      <c r="D9124" s="9">
        <v>41717.91</v>
      </c>
      <c r="E9124" s="10" t="str">
        <f t="array" ref="E9124">IFS(D9124&lt;=$G$3,'calculated data '!$A$3,D9124&lt;=$G$4,'calculated data '!$A$4,D9124&lt;=$G$6,'calculated data '!$A$5,D9124&gt;=$G$6,'calculated data '!$A$6)</f>
        <v>High Demand Tier</v>
      </c>
      <c r="F9124" s="10">
        <f t="shared" si="1"/>
        <v>0.4410912124</v>
      </c>
    </row>
    <row r="9125" ht="14.25" customHeight="1">
      <c r="A9125" s="2" t="s">
        <v>427</v>
      </c>
      <c r="B9125" s="2" t="s">
        <v>428</v>
      </c>
      <c r="C9125" s="2">
        <v>1990.0</v>
      </c>
      <c r="D9125" s="9">
        <v>41724.023</v>
      </c>
      <c r="E9125" s="10" t="str">
        <f t="array" ref="E9125">IFS(D9125&lt;=$G$3,'calculated data '!$A$3,D9125&lt;=$G$4,'calculated data '!$A$4,D9125&lt;=$G$6,'calculated data '!$A$5,D9125&gt;=$G$6,'calculated data '!$A$6)</f>
        <v>High Demand Tier</v>
      </c>
      <c r="F9125" s="10">
        <f t="shared" si="1"/>
        <v>0.441253022</v>
      </c>
    </row>
    <row r="9126" ht="14.25" customHeight="1">
      <c r="A9126" s="2" t="s">
        <v>415</v>
      </c>
      <c r="B9126" s="2" t="s">
        <v>416</v>
      </c>
      <c r="C9126" s="2">
        <v>1992.0</v>
      </c>
      <c r="D9126" s="9">
        <v>41783.918</v>
      </c>
      <c r="E9126" s="10" t="str">
        <f t="array" ref="E9126">IFS(D9126&lt;=$G$3,'calculated data '!$A$3,D9126&lt;=$G$4,'calculated data '!$A$4,D9126&lt;=$G$6,'calculated data '!$A$5,D9126&gt;=$G$6,'calculated data '!$A$6)</f>
        <v>High Demand Tier</v>
      </c>
      <c r="F9126" s="10">
        <f t="shared" si="1"/>
        <v>0.4428384277</v>
      </c>
    </row>
    <row r="9127" ht="14.25" customHeight="1">
      <c r="A9127" s="2" t="s">
        <v>415</v>
      </c>
      <c r="B9127" s="2" t="s">
        <v>416</v>
      </c>
      <c r="C9127" s="2">
        <v>1987.0</v>
      </c>
      <c r="D9127" s="9">
        <v>41784.203</v>
      </c>
      <c r="E9127" s="10" t="str">
        <f t="array" ref="E9127">IFS(D9127&lt;=$G$3,'calculated data '!$A$3,D9127&lt;=$G$4,'calculated data '!$A$4,D9127&lt;=$G$6,'calculated data '!$A$5,D9127&gt;=$G$6,'calculated data '!$A$6)</f>
        <v>High Demand Tier</v>
      </c>
      <c r="F9127" s="10">
        <f t="shared" si="1"/>
        <v>0.4428459716</v>
      </c>
    </row>
    <row r="9128" ht="14.25" customHeight="1">
      <c r="A9128" s="2" t="s">
        <v>453</v>
      </c>
      <c r="B9128" s="2" t="s">
        <v>454</v>
      </c>
      <c r="C9128" s="2">
        <v>2002.0</v>
      </c>
      <c r="D9128" s="9">
        <v>41784.938</v>
      </c>
      <c r="E9128" s="10" t="str">
        <f t="array" ref="E9128">IFS(D9128&lt;=$G$3,'calculated data '!$A$3,D9128&lt;=$G$4,'calculated data '!$A$4,D9128&lt;=$G$6,'calculated data '!$A$5,D9128&gt;=$G$6,'calculated data '!$A$6)</f>
        <v>High Demand Tier</v>
      </c>
      <c r="F9128" s="10">
        <f t="shared" si="1"/>
        <v>0.4428654269</v>
      </c>
    </row>
    <row r="9129" ht="14.25" customHeight="1">
      <c r="A9129" s="2" t="s">
        <v>453</v>
      </c>
      <c r="B9129" s="2" t="s">
        <v>454</v>
      </c>
      <c r="C9129" s="2">
        <v>2019.0</v>
      </c>
      <c r="D9129" s="9">
        <v>41815.137</v>
      </c>
      <c r="E9129" s="10" t="str">
        <f t="array" ref="E9129">IFS(D9129&lt;=$G$3,'calculated data '!$A$3,D9129&lt;=$G$4,'calculated data '!$A$4,D9129&lt;=$G$6,'calculated data '!$A$5,D9129&gt;=$G$6,'calculated data '!$A$6)</f>
        <v>High Demand Tier</v>
      </c>
      <c r="F9129" s="10">
        <f t="shared" si="1"/>
        <v>0.4436647869</v>
      </c>
    </row>
    <row r="9130" ht="14.25" customHeight="1">
      <c r="A9130" s="2" t="s">
        <v>391</v>
      </c>
      <c r="B9130" s="2" t="s">
        <v>392</v>
      </c>
      <c r="C9130" s="2">
        <v>2015.0</v>
      </c>
      <c r="D9130" s="9">
        <v>41878.97</v>
      </c>
      <c r="E9130" s="10" t="str">
        <f t="array" ref="E9130">IFS(D9130&lt;=$G$3,'calculated data '!$A$3,D9130&lt;=$G$4,'calculated data '!$A$4,D9130&lt;=$G$6,'calculated data '!$A$5,D9130&gt;=$G$6,'calculated data '!$A$6)</f>
        <v>High Demand Tier</v>
      </c>
      <c r="F9130" s="10">
        <f t="shared" si="1"/>
        <v>0.4453544305</v>
      </c>
    </row>
    <row r="9131" ht="14.25" customHeight="1">
      <c r="A9131" s="2" t="s">
        <v>449</v>
      </c>
      <c r="B9131" s="2" t="s">
        <v>450</v>
      </c>
      <c r="C9131" s="2">
        <v>2002.0</v>
      </c>
      <c r="D9131" s="9">
        <v>41888.996</v>
      </c>
      <c r="E9131" s="10" t="str">
        <f t="array" ref="E9131">IFS(D9131&lt;=$G$3,'calculated data '!$A$3,D9131&lt;=$G$4,'calculated data '!$A$4,D9131&lt;=$G$6,'calculated data '!$A$5,D9131&gt;=$G$6,'calculated data '!$A$6)</f>
        <v>High Demand Tier</v>
      </c>
      <c r="F9131" s="10">
        <f t="shared" si="1"/>
        <v>0.4456198162</v>
      </c>
    </row>
    <row r="9132" ht="14.25" customHeight="1">
      <c r="A9132" s="2" t="s">
        <v>47</v>
      </c>
      <c r="B9132" s="2" t="s">
        <v>48</v>
      </c>
      <c r="C9132" s="2">
        <v>2021.0</v>
      </c>
      <c r="D9132" s="9">
        <v>41892.797</v>
      </c>
      <c r="E9132" s="10" t="str">
        <f t="array" ref="E9132">IFS(D9132&lt;=$G$3,'calculated data '!$A$3,D9132&lt;=$G$4,'calculated data '!$A$4,D9132&lt;=$G$6,'calculated data '!$A$5,D9132&gt;=$G$6,'calculated data '!$A$6)</f>
        <v>High Demand Tier</v>
      </c>
      <c r="F9132" s="10">
        <f t="shared" si="1"/>
        <v>0.4457204277</v>
      </c>
    </row>
    <row r="9133" ht="14.25" customHeight="1">
      <c r="A9133" s="2" t="s">
        <v>391</v>
      </c>
      <c r="B9133" s="2" t="s">
        <v>392</v>
      </c>
      <c r="C9133" s="2">
        <v>1996.0</v>
      </c>
      <c r="D9133" s="9">
        <v>41905.664</v>
      </c>
      <c r="E9133" s="10" t="str">
        <f t="array" ref="E9133">IFS(D9133&lt;=$G$3,'calculated data '!$A$3,D9133&lt;=$G$4,'calculated data '!$A$4,D9133&lt;=$G$6,'calculated data '!$A$5,D9133&gt;=$G$6,'calculated data '!$A$6)</f>
        <v>High Demand Tier</v>
      </c>
      <c r="F9133" s="10">
        <f t="shared" si="1"/>
        <v>0.446061014</v>
      </c>
    </row>
    <row r="9134" ht="14.25" customHeight="1">
      <c r="A9134" s="2" t="s">
        <v>411</v>
      </c>
      <c r="B9134" s="2" t="s">
        <v>412</v>
      </c>
      <c r="C9134" s="2">
        <v>1987.0</v>
      </c>
      <c r="D9134" s="9">
        <v>41908.63</v>
      </c>
      <c r="E9134" s="10" t="str">
        <f t="array" ref="E9134">IFS(D9134&lt;=$G$3,'calculated data '!$A$3,D9134&lt;=$G$4,'calculated data '!$A$4,D9134&lt;=$G$6,'calculated data '!$A$5,D9134&gt;=$G$6,'calculated data '!$A$6)</f>
        <v>High Demand Tier</v>
      </c>
      <c r="F9134" s="10">
        <f t="shared" si="1"/>
        <v>0.4461395233</v>
      </c>
    </row>
    <row r="9135" ht="14.25" customHeight="1">
      <c r="A9135" s="2" t="s">
        <v>421</v>
      </c>
      <c r="B9135" s="2" t="s">
        <v>422</v>
      </c>
      <c r="C9135" s="2">
        <v>1980.0</v>
      </c>
      <c r="D9135" s="9">
        <v>41909.47</v>
      </c>
      <c r="E9135" s="10" t="str">
        <f t="array" ref="E9135">IFS(D9135&lt;=$G$3,'calculated data '!$A$3,D9135&lt;=$G$4,'calculated data '!$A$4,D9135&lt;=$G$6,'calculated data '!$A$5,D9135&gt;=$G$6,'calculated data '!$A$6)</f>
        <v>High Demand Tier</v>
      </c>
      <c r="F9135" s="10">
        <f t="shared" si="1"/>
        <v>0.4461617579</v>
      </c>
    </row>
    <row r="9136" ht="14.25" customHeight="1">
      <c r="A9136" s="2" t="s">
        <v>435</v>
      </c>
      <c r="B9136" s="2" t="s">
        <v>436</v>
      </c>
      <c r="C9136" s="2">
        <v>1995.0</v>
      </c>
      <c r="D9136" s="9">
        <v>41918.047</v>
      </c>
      <c r="E9136" s="10" t="str">
        <f t="array" ref="E9136">IFS(D9136&lt;=$G$3,'calculated data '!$A$3,D9136&lt;=$G$4,'calculated data '!$A$4,D9136&lt;=$G$6,'calculated data '!$A$5,D9136&gt;=$G$6,'calculated data '!$A$6)</f>
        <v>High Demand Tier</v>
      </c>
      <c r="F9136" s="10">
        <f t="shared" si="1"/>
        <v>0.4463887889</v>
      </c>
    </row>
    <row r="9137" ht="14.25" customHeight="1">
      <c r="A9137" s="2" t="s">
        <v>445</v>
      </c>
      <c r="B9137" s="2" t="s">
        <v>446</v>
      </c>
      <c r="C9137" s="2">
        <v>1974.0</v>
      </c>
      <c r="D9137" s="9">
        <v>41922.6</v>
      </c>
      <c r="E9137" s="10" t="str">
        <f t="array" ref="E9137">IFS(D9137&lt;=$G$3,'calculated data '!$A$3,D9137&lt;=$G$4,'calculated data '!$A$4,D9137&lt;=$G$6,'calculated data '!$A$5,D9137&gt;=$G$6,'calculated data '!$A$6)</f>
        <v>High Demand Tier</v>
      </c>
      <c r="F9137" s="10">
        <f t="shared" si="1"/>
        <v>0.4465093057</v>
      </c>
    </row>
    <row r="9138" ht="14.25" customHeight="1">
      <c r="A9138" s="2" t="s">
        <v>413</v>
      </c>
      <c r="B9138" s="2" t="s">
        <v>414</v>
      </c>
      <c r="C9138" s="2">
        <v>1983.0</v>
      </c>
      <c r="D9138" s="9">
        <v>41923.18</v>
      </c>
      <c r="E9138" s="10" t="str">
        <f t="array" ref="E9138">IFS(D9138&lt;=$G$3,'calculated data '!$A$3,D9138&lt;=$G$4,'calculated data '!$A$4,D9138&lt;=$G$6,'calculated data '!$A$5,D9138&gt;=$G$6,'calculated data '!$A$6)</f>
        <v>High Demand Tier</v>
      </c>
      <c r="F9138" s="10">
        <f t="shared" si="1"/>
        <v>0.4465246582</v>
      </c>
    </row>
    <row r="9139" ht="14.25" customHeight="1">
      <c r="A9139" s="2" t="s">
        <v>401</v>
      </c>
      <c r="B9139" s="2" t="s">
        <v>402</v>
      </c>
      <c r="C9139" s="2">
        <v>2007.0</v>
      </c>
      <c r="D9139" s="9">
        <v>41935.2</v>
      </c>
      <c r="E9139" s="10" t="str">
        <f t="array" ref="E9139">IFS(D9139&lt;=$G$3,'calculated data '!$A$3,D9139&lt;=$G$4,'calculated data '!$A$4,D9139&lt;=$G$6,'calculated data '!$A$5,D9139&gt;=$G$6,'calculated data '!$A$6)</f>
        <v>High Demand Tier</v>
      </c>
      <c r="F9139" s="10">
        <f t="shared" si="1"/>
        <v>0.4468428246</v>
      </c>
    </row>
    <row r="9140" ht="14.25" customHeight="1">
      <c r="A9140" s="2" t="s">
        <v>411</v>
      </c>
      <c r="B9140" s="2" t="s">
        <v>412</v>
      </c>
      <c r="C9140" s="2">
        <v>1999.0</v>
      </c>
      <c r="D9140" s="9">
        <v>41958.58</v>
      </c>
      <c r="E9140" s="10" t="str">
        <f t="array" ref="E9140">IFS(D9140&lt;=$G$3,'calculated data '!$A$3,D9140&lt;=$G$4,'calculated data '!$A$4,D9140&lt;=$G$6,'calculated data '!$A$5,D9140&gt;=$G$6,'calculated data '!$A$6)</f>
        <v>High Demand Tier</v>
      </c>
      <c r="F9140" s="10">
        <f t="shared" si="1"/>
        <v>0.4474616873</v>
      </c>
    </row>
    <row r="9141" ht="14.25" customHeight="1">
      <c r="A9141" s="2" t="s">
        <v>413</v>
      </c>
      <c r="B9141" s="2" t="s">
        <v>414</v>
      </c>
      <c r="C9141" s="2">
        <v>1978.0</v>
      </c>
      <c r="D9141" s="9">
        <v>41965.723</v>
      </c>
      <c r="E9141" s="10" t="str">
        <f t="array" ref="E9141">IFS(D9141&lt;=$G$3,'calculated data '!$A$3,D9141&lt;=$G$4,'calculated data '!$A$4,D9141&lt;=$G$6,'calculated data '!$A$5,D9141&gt;=$G$6,'calculated data '!$A$6)</f>
        <v>High Demand Tier</v>
      </c>
      <c r="F9141" s="10">
        <f t="shared" si="1"/>
        <v>0.4476507608</v>
      </c>
    </row>
    <row r="9142" ht="14.25" customHeight="1">
      <c r="A9142" s="2" t="s">
        <v>457</v>
      </c>
      <c r="B9142" s="2" t="s">
        <v>458</v>
      </c>
      <c r="C9142" s="2">
        <v>1972.0</v>
      </c>
      <c r="D9142" s="9">
        <v>41987.242</v>
      </c>
      <c r="E9142" s="10" t="str">
        <f t="array" ref="E9142">IFS(D9142&lt;=$G$3,'calculated data '!$A$3,D9142&lt;=$G$4,'calculated data '!$A$4,D9142&lt;=$G$6,'calculated data '!$A$5,D9142&gt;=$G$6,'calculated data '!$A$6)</f>
        <v>High Demand Tier</v>
      </c>
      <c r="F9142" s="10">
        <f t="shared" si="1"/>
        <v>0.4482203633</v>
      </c>
    </row>
    <row r="9143" ht="14.25" customHeight="1">
      <c r="A9143" s="2" t="s">
        <v>433</v>
      </c>
      <c r="B9143" s="2" t="s">
        <v>434</v>
      </c>
      <c r="C9143" s="2">
        <v>2019.0</v>
      </c>
      <c r="D9143" s="9">
        <v>41993.977</v>
      </c>
      <c r="E9143" s="10" t="str">
        <f t="array" ref="E9143">IFS(D9143&lt;=$G$3,'calculated data '!$A$3,D9143&lt;=$G$4,'calculated data '!$A$4,D9143&lt;=$G$6,'calculated data '!$A$5,D9143&gt;=$G$6,'calculated data '!$A$6)</f>
        <v>High Demand Tier</v>
      </c>
      <c r="F9143" s="10">
        <f t="shared" si="1"/>
        <v>0.4483986371</v>
      </c>
    </row>
    <row r="9144" ht="14.25" customHeight="1">
      <c r="A9144" s="2" t="s">
        <v>477</v>
      </c>
      <c r="B9144" s="2" t="s">
        <v>478</v>
      </c>
      <c r="C9144" s="2">
        <v>1966.0</v>
      </c>
      <c r="D9144" s="9">
        <v>42017.45</v>
      </c>
      <c r="E9144" s="10" t="str">
        <f t="array" ref="E9144">IFS(D9144&lt;=$G$3,'calculated data '!$A$3,D9144&lt;=$G$4,'calculated data '!$A$4,D9144&lt;=$G$6,'calculated data '!$A$5,D9144&gt;=$G$6,'calculated data '!$A$6)</f>
        <v>High Demand Tier</v>
      </c>
      <c r="F9144" s="10">
        <f t="shared" si="1"/>
        <v>0.4490199616</v>
      </c>
    </row>
    <row r="9145" ht="14.25" customHeight="1">
      <c r="A9145" s="2" t="s">
        <v>397</v>
      </c>
      <c r="B9145" s="2" t="s">
        <v>398</v>
      </c>
      <c r="C9145" s="2">
        <v>1973.0</v>
      </c>
      <c r="D9145" s="9">
        <v>42022.68</v>
      </c>
      <c r="E9145" s="10" t="str">
        <f t="array" ref="E9145">IFS(D9145&lt;=$G$3,'calculated data '!$A$3,D9145&lt;=$G$4,'calculated data '!$A$4,D9145&lt;=$G$6,'calculated data '!$A$5,D9145&gt;=$G$6,'calculated data '!$A$6)</f>
        <v>High Demand Tier</v>
      </c>
      <c r="F9145" s="10">
        <f t="shared" si="1"/>
        <v>0.4491583984</v>
      </c>
    </row>
    <row r="9146" ht="14.25" customHeight="1">
      <c r="A9146" s="2" t="s">
        <v>417</v>
      </c>
      <c r="B9146" s="2" t="s">
        <v>418</v>
      </c>
      <c r="C9146" s="2">
        <v>2007.0</v>
      </c>
      <c r="D9146" s="9">
        <v>42042.97</v>
      </c>
      <c r="E9146" s="10" t="str">
        <f t="array" ref="E9146">IFS(D9146&lt;=$G$3,'calculated data '!$A$3,D9146&lt;=$G$4,'calculated data '!$A$4,D9146&lt;=$G$6,'calculated data '!$A$5,D9146&gt;=$G$6,'calculated data '!$A$6)</f>
        <v>High Demand Tier</v>
      </c>
      <c r="F9146" s="10">
        <f t="shared" si="1"/>
        <v>0.4496954696</v>
      </c>
    </row>
    <row r="9147" ht="14.25" customHeight="1">
      <c r="A9147" s="2" t="s">
        <v>403</v>
      </c>
      <c r="B9147" s="2" t="s">
        <v>404</v>
      </c>
      <c r="C9147" s="2">
        <v>2018.0</v>
      </c>
      <c r="D9147" s="9">
        <v>42047.38</v>
      </c>
      <c r="E9147" s="10" t="str">
        <f t="array" ref="E9147">IFS(D9147&lt;=$G$3,'calculated data '!$A$3,D9147&lt;=$G$4,'calculated data '!$A$4,D9147&lt;=$G$6,'calculated data '!$A$5,D9147&gt;=$G$6,'calculated data '!$A$6)</f>
        <v>High Demand Tier</v>
      </c>
      <c r="F9147" s="10">
        <f t="shared" si="1"/>
        <v>0.4498122012</v>
      </c>
    </row>
    <row r="9148" ht="14.25" customHeight="1">
      <c r="A9148" s="2" t="s">
        <v>439</v>
      </c>
      <c r="B9148" s="2" t="s">
        <v>440</v>
      </c>
      <c r="C9148" s="2">
        <v>1988.0</v>
      </c>
      <c r="D9148" s="9">
        <v>42092.3</v>
      </c>
      <c r="E9148" s="10" t="str">
        <f t="array" ref="E9148">IFS(D9148&lt;=$G$3,'calculated data '!$A$3,D9148&lt;=$G$4,'calculated data '!$A$4,D9148&lt;=$G$6,'calculated data '!$A$5,D9148&gt;=$G$6,'calculated data '!$A$6)</f>
        <v>High Demand Tier</v>
      </c>
      <c r="F9148" s="10">
        <f t="shared" si="1"/>
        <v>0.4510012224</v>
      </c>
    </row>
    <row r="9149" ht="14.25" customHeight="1">
      <c r="A9149" s="2" t="s">
        <v>437</v>
      </c>
      <c r="B9149" s="2" t="s">
        <v>438</v>
      </c>
      <c r="C9149" s="2">
        <v>1988.0</v>
      </c>
      <c r="D9149" s="9">
        <v>42098.297</v>
      </c>
      <c r="E9149" s="10" t="str">
        <f t="array" ref="E9149">IFS(D9149&lt;=$G$3,'calculated data '!$A$3,D9149&lt;=$G$4,'calculated data '!$A$4,D9149&lt;=$G$6,'calculated data '!$A$5,D9149&gt;=$G$6,'calculated data '!$A$6)</f>
        <v>High Demand Tier</v>
      </c>
      <c r="F9149" s="10">
        <f t="shared" si="1"/>
        <v>0.4511599615</v>
      </c>
    </row>
    <row r="9150" ht="14.25" customHeight="1">
      <c r="A9150" s="2" t="s">
        <v>413</v>
      </c>
      <c r="B9150" s="2" t="s">
        <v>414</v>
      </c>
      <c r="C9150" s="2">
        <v>1982.0</v>
      </c>
      <c r="D9150" s="9">
        <v>42116.79</v>
      </c>
      <c r="E9150" s="10" t="str">
        <f t="array" ref="E9150">IFS(D9150&lt;=$G$3,'calculated data '!$A$3,D9150&lt;=$G$4,'calculated data '!$A$4,D9150&lt;=$G$6,'calculated data '!$A$5,D9150&gt;=$G$6,'calculated data '!$A$6)</f>
        <v>High Demand Tier</v>
      </c>
      <c r="F9150" s="10">
        <f t="shared" si="1"/>
        <v>0.4516494666</v>
      </c>
    </row>
    <row r="9151" ht="14.25" customHeight="1">
      <c r="A9151" s="2" t="s">
        <v>451</v>
      </c>
      <c r="B9151" s="2" t="s">
        <v>452</v>
      </c>
      <c r="C9151" s="2">
        <v>1984.0</v>
      </c>
      <c r="D9151" s="9">
        <v>42121.133</v>
      </c>
      <c r="E9151" s="10" t="str">
        <f t="array" ref="E9151">IFS(D9151&lt;=$G$3,'calculated data '!$A$3,D9151&lt;=$G$4,'calculated data '!$A$4,D9151&lt;=$G$6,'calculated data '!$A$5,D9151&gt;=$G$6,'calculated data '!$A$6)</f>
        <v>High Demand Tier</v>
      </c>
      <c r="F9151" s="10">
        <f t="shared" si="1"/>
        <v>0.4517644248</v>
      </c>
    </row>
    <row r="9152" ht="14.25" customHeight="1">
      <c r="A9152" s="2" t="s">
        <v>433</v>
      </c>
      <c r="B9152" s="2" t="s">
        <v>434</v>
      </c>
      <c r="C9152" s="2">
        <v>1985.0</v>
      </c>
      <c r="D9152" s="9">
        <v>42136.883</v>
      </c>
      <c r="E9152" s="10" t="str">
        <f t="array" ref="E9152">IFS(D9152&lt;=$G$3,'calculated data '!$A$3,D9152&lt;=$G$4,'calculated data '!$A$4,D9152&lt;=$G$6,'calculated data '!$A$5,D9152&gt;=$G$6,'calculated data '!$A$6)</f>
        <v>High Demand Tier</v>
      </c>
      <c r="F9152" s="10">
        <f t="shared" si="1"/>
        <v>0.4521813233</v>
      </c>
    </row>
    <row r="9153" ht="14.25" customHeight="1">
      <c r="A9153" s="2" t="s">
        <v>337</v>
      </c>
      <c r="B9153" s="2" t="s">
        <v>338</v>
      </c>
      <c r="C9153" s="2">
        <v>2015.0</v>
      </c>
      <c r="D9153" s="9">
        <v>42146.875</v>
      </c>
      <c r="E9153" s="10" t="str">
        <f t="array" ref="E9153">IFS(D9153&lt;=$G$3,'calculated data '!$A$3,D9153&lt;=$G$4,'calculated data '!$A$4,D9153&lt;=$G$6,'calculated data '!$A$5,D9153&gt;=$G$6,'calculated data '!$A$6)</f>
        <v>High Demand Tier</v>
      </c>
      <c r="F9153" s="10">
        <f t="shared" si="1"/>
        <v>0.4524458091</v>
      </c>
    </row>
    <row r="9154" ht="14.25" customHeight="1">
      <c r="A9154" s="2" t="s">
        <v>401</v>
      </c>
      <c r="B9154" s="2" t="s">
        <v>402</v>
      </c>
      <c r="C9154" s="2">
        <v>2008.0</v>
      </c>
      <c r="D9154" s="9">
        <v>42149.668</v>
      </c>
      <c r="E9154" s="10" t="str">
        <f t="array" ref="E9154">IFS(D9154&lt;=$G$3,'calculated data '!$A$3,D9154&lt;=$G$4,'calculated data '!$A$4,D9154&lt;=$G$6,'calculated data '!$A$5,D9154&gt;=$G$6,'calculated data '!$A$6)</f>
        <v>High Demand Tier</v>
      </c>
      <c r="F9154" s="10">
        <f t="shared" si="1"/>
        <v>0.4525197391</v>
      </c>
    </row>
    <row r="9155" ht="14.25" customHeight="1">
      <c r="A9155" s="2" t="s">
        <v>451</v>
      </c>
      <c r="B9155" s="2" t="s">
        <v>452</v>
      </c>
      <c r="C9155" s="2">
        <v>1981.0</v>
      </c>
      <c r="D9155" s="9">
        <v>42151.33</v>
      </c>
      <c r="E9155" s="10" t="str">
        <f t="array" ref="E9155">IFS(D9155&lt;=$G$3,'calculated data '!$A$3,D9155&lt;=$G$4,'calculated data '!$A$4,D9155&lt;=$G$6,'calculated data '!$A$5,D9155&gt;=$G$6,'calculated data '!$A$6)</f>
        <v>High Demand Tier</v>
      </c>
      <c r="F9155" s="10">
        <f t="shared" si="1"/>
        <v>0.4525637318</v>
      </c>
    </row>
    <row r="9156" ht="14.25" customHeight="1">
      <c r="A9156" s="2" t="s">
        <v>367</v>
      </c>
      <c r="B9156" s="2" t="s">
        <v>368</v>
      </c>
      <c r="C9156" s="2">
        <v>1993.0</v>
      </c>
      <c r="D9156" s="9">
        <v>42238.32</v>
      </c>
      <c r="E9156" s="10" t="str">
        <f t="array" ref="E9156">IFS(D9156&lt;=$G$3,'calculated data '!$A$3,D9156&lt;=$G$4,'calculated data '!$A$4,D9156&lt;=$G$6,'calculated data '!$A$5,D9156&gt;=$G$6,'calculated data '!$A$6)</f>
        <v>High Demand Tier</v>
      </c>
      <c r="F9156" s="10">
        <f t="shared" si="1"/>
        <v>0.4548663355</v>
      </c>
    </row>
    <row r="9157" ht="14.25" customHeight="1">
      <c r="A9157" s="2" t="s">
        <v>425</v>
      </c>
      <c r="B9157" s="2" t="s">
        <v>426</v>
      </c>
      <c r="C9157" s="2">
        <v>1967.0</v>
      </c>
      <c r="D9157" s="9">
        <v>42259.18</v>
      </c>
      <c r="E9157" s="10" t="str">
        <f t="array" ref="E9157">IFS(D9157&lt;=$G$3,'calculated data '!$A$3,D9157&lt;=$G$4,'calculated data '!$A$4,D9157&lt;=$G$6,'calculated data '!$A$5,D9157&gt;=$G$6,'calculated data '!$A$6)</f>
        <v>High Demand Tier</v>
      </c>
      <c r="F9157" s="10">
        <f t="shared" si="1"/>
        <v>0.4554184945</v>
      </c>
    </row>
    <row r="9158" ht="14.25" customHeight="1">
      <c r="A9158" s="2" t="s">
        <v>415</v>
      </c>
      <c r="B9158" s="2" t="s">
        <v>416</v>
      </c>
      <c r="C9158" s="2">
        <v>1974.0</v>
      </c>
      <c r="D9158" s="9">
        <v>42267.58</v>
      </c>
      <c r="E9158" s="10" t="str">
        <f t="array" ref="E9158">IFS(D9158&lt;=$G$3,'calculated data '!$A$3,D9158&lt;=$G$4,'calculated data '!$A$4,D9158&lt;=$G$6,'calculated data '!$A$5,D9158&gt;=$G$6,'calculated data '!$A$6)</f>
        <v>High Demand Tier</v>
      </c>
      <c r="F9158" s="10">
        <f t="shared" si="1"/>
        <v>0.4556408404</v>
      </c>
    </row>
    <row r="9159" ht="14.25" customHeight="1">
      <c r="A9159" s="2" t="s">
        <v>475</v>
      </c>
      <c r="B9159" s="2" t="s">
        <v>476</v>
      </c>
      <c r="C9159" s="2">
        <v>1966.0</v>
      </c>
      <c r="D9159" s="9">
        <v>42280.293</v>
      </c>
      <c r="E9159" s="10" t="str">
        <f t="array" ref="E9159">IFS(D9159&lt;=$G$3,'calculated data '!$A$3,D9159&lt;=$G$4,'calculated data '!$A$4,D9159&lt;=$G$6,'calculated data '!$A$5,D9159&gt;=$G$6,'calculated data '!$A$6)</f>
        <v>High Demand Tier</v>
      </c>
      <c r="F9159" s="10">
        <f t="shared" si="1"/>
        <v>0.4559773503</v>
      </c>
    </row>
    <row r="9160" ht="14.25" customHeight="1">
      <c r="A9160" s="2" t="s">
        <v>425</v>
      </c>
      <c r="B9160" s="2" t="s">
        <v>426</v>
      </c>
      <c r="C9160" s="2">
        <v>1980.0</v>
      </c>
      <c r="D9160" s="9">
        <v>42296.312</v>
      </c>
      <c r="E9160" s="10" t="str">
        <f t="array" ref="E9160">IFS(D9160&lt;=$G$3,'calculated data '!$A$3,D9160&lt;=$G$4,'calculated data '!$A$4,D9160&lt;=$G$6,'calculated data '!$A$5,D9160&gt;=$G$6,'calculated data '!$A$6)</f>
        <v>High Demand Tier</v>
      </c>
      <c r="F9160" s="10">
        <f t="shared" si="1"/>
        <v>0.4564013693</v>
      </c>
    </row>
    <row r="9161" ht="14.25" customHeight="1">
      <c r="A9161" s="2" t="s">
        <v>415</v>
      </c>
      <c r="B9161" s="2" t="s">
        <v>416</v>
      </c>
      <c r="C9161" s="2">
        <v>2002.0</v>
      </c>
      <c r="D9161" s="9">
        <v>42297.9</v>
      </c>
      <c r="E9161" s="10" t="str">
        <f t="array" ref="E9161">IFS(D9161&lt;=$G$3,'calculated data '!$A$3,D9161&lt;=$G$4,'calculated data '!$A$4,D9161&lt;=$G$6,'calculated data '!$A$5,D9161&gt;=$G$6,'calculated data '!$A$6)</f>
        <v>High Demand Tier</v>
      </c>
      <c r="F9161" s="10">
        <f t="shared" si="1"/>
        <v>0.4564434032</v>
      </c>
    </row>
    <row r="9162" ht="14.25" customHeight="1">
      <c r="A9162" s="2" t="s">
        <v>417</v>
      </c>
      <c r="B9162" s="2" t="s">
        <v>418</v>
      </c>
      <c r="C9162" s="2">
        <v>2003.0</v>
      </c>
      <c r="D9162" s="9">
        <v>42299.574</v>
      </c>
      <c r="E9162" s="10" t="str">
        <f t="array" ref="E9162">IFS(D9162&lt;=$G$3,'calculated data '!$A$3,D9162&lt;=$G$4,'calculated data '!$A$4,D9162&lt;=$G$6,'calculated data '!$A$5,D9162&gt;=$G$6,'calculated data '!$A$6)</f>
        <v>High Demand Tier</v>
      </c>
      <c r="F9162" s="10">
        <f t="shared" si="1"/>
        <v>0.4564877136</v>
      </c>
    </row>
    <row r="9163" ht="14.25" customHeight="1">
      <c r="A9163" s="2" t="s">
        <v>401</v>
      </c>
      <c r="B9163" s="2" t="s">
        <v>402</v>
      </c>
      <c r="C9163" s="2">
        <v>2003.0</v>
      </c>
      <c r="D9163" s="9">
        <v>42303.184</v>
      </c>
      <c r="E9163" s="10" t="str">
        <f t="array" ref="E9163">IFS(D9163&lt;=$G$3,'calculated data '!$A$3,D9163&lt;=$G$4,'calculated data '!$A$4,D9163&lt;=$G$6,'calculated data '!$A$5,D9163&gt;=$G$6,'calculated data '!$A$6)</f>
        <v>High Demand Tier</v>
      </c>
      <c r="F9163" s="10">
        <f t="shared" si="1"/>
        <v>0.4565832694</v>
      </c>
    </row>
    <row r="9164" ht="14.25" customHeight="1">
      <c r="A9164" s="2" t="s">
        <v>475</v>
      </c>
      <c r="B9164" s="2" t="s">
        <v>476</v>
      </c>
      <c r="C9164" s="2">
        <v>1967.0</v>
      </c>
      <c r="D9164" s="9">
        <v>42303.285</v>
      </c>
      <c r="E9164" s="10" t="str">
        <f t="array" ref="E9164">IFS(D9164&lt;=$G$3,'calculated data '!$A$3,D9164&lt;=$G$4,'calculated data '!$A$4,D9164&lt;=$G$6,'calculated data '!$A$5,D9164&gt;=$G$6,'calculated data '!$A$6)</f>
        <v>High Demand Tier</v>
      </c>
      <c r="F9164" s="10">
        <f t="shared" si="1"/>
        <v>0.4565859428</v>
      </c>
    </row>
    <row r="9165" ht="14.25" customHeight="1">
      <c r="A9165" s="2" t="s">
        <v>425</v>
      </c>
      <c r="B9165" s="2" t="s">
        <v>426</v>
      </c>
      <c r="C9165" s="2">
        <v>1985.0</v>
      </c>
      <c r="D9165" s="9">
        <v>42305.535</v>
      </c>
      <c r="E9165" s="10" t="str">
        <f t="array" ref="E9165">IFS(D9165&lt;=$G$3,'calculated data '!$A$3,D9165&lt;=$G$4,'calculated data '!$A$4,D9165&lt;=$G$6,'calculated data '!$A$5,D9165&gt;=$G$6,'calculated data '!$A$6)</f>
        <v>High Demand Tier</v>
      </c>
      <c r="F9165" s="10">
        <f t="shared" si="1"/>
        <v>0.4566454998</v>
      </c>
    </row>
    <row r="9166" ht="14.25" customHeight="1">
      <c r="A9166" s="2" t="s">
        <v>415</v>
      </c>
      <c r="B9166" s="2" t="s">
        <v>416</v>
      </c>
      <c r="C9166" s="2">
        <v>2004.0</v>
      </c>
      <c r="D9166" s="9">
        <v>42308.01</v>
      </c>
      <c r="E9166" s="10" t="str">
        <f t="array" ref="E9166">IFS(D9166&lt;=$G$3,'calculated data '!$A$3,D9166&lt;=$G$4,'calculated data '!$A$4,D9166&lt;=$G$6,'calculated data '!$A$5,D9166&gt;=$G$6,'calculated data '!$A$6)</f>
        <v>High Demand Tier</v>
      </c>
      <c r="F9166" s="10">
        <f t="shared" si="1"/>
        <v>0.4567110124</v>
      </c>
    </row>
    <row r="9167" ht="14.25" customHeight="1">
      <c r="A9167" s="2" t="s">
        <v>425</v>
      </c>
      <c r="B9167" s="2" t="s">
        <v>426</v>
      </c>
      <c r="C9167" s="2">
        <v>2007.0</v>
      </c>
      <c r="D9167" s="9">
        <v>42312.145</v>
      </c>
      <c r="E9167" s="10" t="str">
        <f t="array" ref="E9167">IFS(D9167&lt;=$G$3,'calculated data '!$A$3,D9167&lt;=$G$4,'calculated data '!$A$4,D9167&lt;=$G$6,'calculated data '!$A$5,D9167&gt;=$G$6,'calculated data '!$A$6)</f>
        <v>High Demand Tier</v>
      </c>
      <c r="F9167" s="10">
        <f t="shared" si="1"/>
        <v>0.4568204648</v>
      </c>
    </row>
    <row r="9168" ht="14.25" customHeight="1">
      <c r="A9168" s="2" t="s">
        <v>443</v>
      </c>
      <c r="B9168" s="2" t="s">
        <v>444</v>
      </c>
      <c r="C9168" s="2">
        <v>2003.0</v>
      </c>
      <c r="D9168" s="9">
        <v>42341.715</v>
      </c>
      <c r="E9168" s="10" t="str">
        <f t="array" ref="E9168">IFS(D9168&lt;=$G$3,'calculated data '!$A$3,D9168&lt;=$G$4,'calculated data '!$A$4,D9168&lt;=$G$6,'calculated data '!$A$5,D9168&gt;=$G$6,'calculated data '!$A$6)</f>
        <v>High Demand Tier</v>
      </c>
      <c r="F9168" s="10">
        <f t="shared" si="1"/>
        <v>0.4576031754</v>
      </c>
    </row>
    <row r="9169" ht="14.25" customHeight="1">
      <c r="A9169" s="2" t="s">
        <v>369</v>
      </c>
      <c r="B9169" s="2" t="s">
        <v>370</v>
      </c>
      <c r="C9169" s="2">
        <v>1991.0</v>
      </c>
      <c r="D9169" s="9">
        <v>42369.223</v>
      </c>
      <c r="E9169" s="10" t="str">
        <f t="array" ref="E9169">IFS(D9169&lt;=$G$3,'calculated data '!$A$3,D9169&lt;=$G$4,'calculated data '!$A$4,D9169&lt;=$G$6,'calculated data '!$A$5,D9169&gt;=$G$6,'calculated data '!$A$6)</f>
        <v>High Demand Tier</v>
      </c>
      <c r="F9169" s="10">
        <f t="shared" si="1"/>
        <v>0.4583313053</v>
      </c>
    </row>
    <row r="9170" ht="14.25" customHeight="1">
      <c r="A9170" s="2" t="s">
        <v>415</v>
      </c>
      <c r="B9170" s="2" t="s">
        <v>416</v>
      </c>
      <c r="C9170" s="2">
        <v>2007.0</v>
      </c>
      <c r="D9170" s="9">
        <v>42370.7</v>
      </c>
      <c r="E9170" s="10" t="str">
        <f t="array" ref="E9170">IFS(D9170&lt;=$G$3,'calculated data '!$A$3,D9170&lt;=$G$4,'calculated data '!$A$4,D9170&lt;=$G$6,'calculated data '!$A$5,D9170&gt;=$G$6,'calculated data '!$A$6)</f>
        <v>High Demand Tier</v>
      </c>
      <c r="F9170" s="10">
        <f t="shared" si="1"/>
        <v>0.4583704011</v>
      </c>
    </row>
    <row r="9171" ht="14.25" customHeight="1">
      <c r="A9171" s="2" t="s">
        <v>465</v>
      </c>
      <c r="B9171" s="2" t="s">
        <v>466</v>
      </c>
      <c r="C9171" s="2">
        <v>1998.0</v>
      </c>
      <c r="D9171" s="9">
        <v>42374.875</v>
      </c>
      <c r="E9171" s="10" t="str">
        <f t="array" ref="E9171">IFS(D9171&lt;=$G$3,'calculated data '!$A$3,D9171&lt;=$G$4,'calculated data '!$A$4,D9171&lt;=$G$6,'calculated data '!$A$5,D9171&gt;=$G$6,'calculated data '!$A$6)</f>
        <v>High Demand Tier</v>
      </c>
      <c r="F9171" s="10">
        <f t="shared" si="1"/>
        <v>0.4584809123</v>
      </c>
    </row>
    <row r="9172" ht="14.25" customHeight="1">
      <c r="A9172" s="2" t="s">
        <v>407</v>
      </c>
      <c r="B9172" s="2" t="s">
        <v>408</v>
      </c>
      <c r="C9172" s="2">
        <v>2014.0</v>
      </c>
      <c r="D9172" s="9">
        <v>42374.95</v>
      </c>
      <c r="E9172" s="10" t="str">
        <f t="array" ref="E9172">IFS(D9172&lt;=$G$3,'calculated data '!$A$3,D9172&lt;=$G$4,'calculated data '!$A$4,D9172&lt;=$G$6,'calculated data '!$A$5,D9172&gt;=$G$6,'calculated data '!$A$6)</f>
        <v>High Demand Tier</v>
      </c>
      <c r="F9172" s="10">
        <f t="shared" si="1"/>
        <v>0.4584828975</v>
      </c>
    </row>
    <row r="9173" ht="14.25" customHeight="1">
      <c r="A9173" s="2" t="s">
        <v>407</v>
      </c>
      <c r="B9173" s="2" t="s">
        <v>408</v>
      </c>
      <c r="C9173" s="2">
        <v>1993.0</v>
      </c>
      <c r="D9173" s="9">
        <v>42450.457</v>
      </c>
      <c r="E9173" s="10" t="str">
        <f t="array" ref="E9173">IFS(D9173&lt;=$G$3,'calculated data '!$A$3,D9173&lt;=$G$4,'calculated data '!$A$4,D9173&lt;=$G$6,'calculated data '!$A$5,D9173&gt;=$G$6,'calculated data '!$A$6)</f>
        <v>High Demand Tier</v>
      </c>
      <c r="F9173" s="10">
        <f t="shared" si="1"/>
        <v>0.460481549</v>
      </c>
    </row>
    <row r="9174" ht="14.25" customHeight="1">
      <c r="A9174" s="2" t="s">
        <v>425</v>
      </c>
      <c r="B9174" s="2" t="s">
        <v>426</v>
      </c>
      <c r="C9174" s="2">
        <v>1975.0</v>
      </c>
      <c r="D9174" s="9">
        <v>42450.75</v>
      </c>
      <c r="E9174" s="10" t="str">
        <f t="array" ref="E9174">IFS(D9174&lt;=$G$3,'calculated data '!$A$3,D9174&lt;=$G$4,'calculated data '!$A$4,D9174&lt;=$G$6,'calculated data '!$A$5,D9174&gt;=$G$6,'calculated data '!$A$6)</f>
        <v>High Demand Tier</v>
      </c>
      <c r="F9174" s="10">
        <f t="shared" si="1"/>
        <v>0.4604893047</v>
      </c>
    </row>
    <row r="9175" ht="14.25" customHeight="1">
      <c r="A9175" s="2" t="s">
        <v>391</v>
      </c>
      <c r="B9175" s="2" t="s">
        <v>392</v>
      </c>
      <c r="C9175" s="2">
        <v>1994.0</v>
      </c>
      <c r="D9175" s="9">
        <v>42474.67</v>
      </c>
      <c r="E9175" s="10" t="str">
        <f t="array" ref="E9175">IFS(D9175&lt;=$G$3,'calculated data '!$A$3,D9175&lt;=$G$4,'calculated data '!$A$4,D9175&lt;=$G$6,'calculated data '!$A$5,D9175&gt;=$G$6,'calculated data '!$A$6)</f>
        <v>High Demand Tier</v>
      </c>
      <c r="F9175" s="10">
        <f t="shared" si="1"/>
        <v>0.4611224611</v>
      </c>
    </row>
    <row r="9176" ht="14.25" customHeight="1">
      <c r="A9176" s="2" t="s">
        <v>425</v>
      </c>
      <c r="B9176" s="2" t="s">
        <v>426</v>
      </c>
      <c r="C9176" s="2">
        <v>1966.0</v>
      </c>
      <c r="D9176" s="9">
        <v>42477.613</v>
      </c>
      <c r="E9176" s="10" t="str">
        <f t="array" ref="E9176">IFS(D9176&lt;=$G$3,'calculated data '!$A$3,D9176&lt;=$G$4,'calculated data '!$A$4,D9176&lt;=$G$6,'calculated data '!$A$5,D9176&gt;=$G$6,'calculated data '!$A$6)</f>
        <v>High Demand Tier</v>
      </c>
      <c r="F9176" s="10">
        <f t="shared" si="1"/>
        <v>0.4612003616</v>
      </c>
    </row>
    <row r="9177" ht="14.25" customHeight="1">
      <c r="A9177" s="2" t="s">
        <v>425</v>
      </c>
      <c r="B9177" s="2" t="s">
        <v>426</v>
      </c>
      <c r="C9177" s="2">
        <v>1965.0</v>
      </c>
      <c r="D9177" s="9">
        <v>42497.395</v>
      </c>
      <c r="E9177" s="10" t="str">
        <f t="array" ref="E9177">IFS(D9177&lt;=$G$3,'calculated data '!$A$3,D9177&lt;=$G$4,'calculated data '!$A$4,D9177&lt;=$G$6,'calculated data '!$A$5,D9177&gt;=$G$6,'calculated data '!$A$6)</f>
        <v>High Demand Tier</v>
      </c>
      <c r="F9177" s="10">
        <f t="shared" si="1"/>
        <v>0.4617239862</v>
      </c>
    </row>
    <row r="9178" ht="14.25" customHeight="1">
      <c r="A9178" s="2" t="s">
        <v>449</v>
      </c>
      <c r="B9178" s="2" t="s">
        <v>450</v>
      </c>
      <c r="C9178" s="2">
        <v>2004.0</v>
      </c>
      <c r="D9178" s="9">
        <v>42506.266</v>
      </c>
      <c r="E9178" s="10" t="str">
        <f t="array" ref="E9178">IFS(D9178&lt;=$G$3,'calculated data '!$A$3,D9178&lt;=$G$4,'calculated data '!$A$4,D9178&lt;=$G$6,'calculated data '!$A$5,D9178&gt;=$G$6,'calculated data '!$A$6)</f>
        <v>High Demand Tier</v>
      </c>
      <c r="F9178" s="10">
        <f t="shared" si="1"/>
        <v>0.4619587994</v>
      </c>
    </row>
    <row r="9179" ht="14.25" customHeight="1">
      <c r="A9179" s="2" t="s">
        <v>267</v>
      </c>
      <c r="B9179" s="2" t="s">
        <v>268</v>
      </c>
      <c r="C9179" s="2">
        <v>2009.0</v>
      </c>
      <c r="D9179" s="9">
        <v>42509.035</v>
      </c>
      <c r="E9179" s="10" t="str">
        <f t="array" ref="E9179">IFS(D9179&lt;=$G$3,'calculated data '!$A$3,D9179&lt;=$G$4,'calculated data '!$A$4,D9179&lt;=$G$6,'calculated data '!$A$5,D9179&gt;=$G$6,'calculated data '!$A$6)</f>
        <v>High Demand Tier</v>
      </c>
      <c r="F9179" s="10">
        <f t="shared" si="1"/>
        <v>0.4620320941</v>
      </c>
    </row>
    <row r="9180" ht="14.25" customHeight="1">
      <c r="A9180" s="2" t="s">
        <v>267</v>
      </c>
      <c r="B9180" s="2" t="s">
        <v>268</v>
      </c>
      <c r="C9180" s="2">
        <v>2024.0</v>
      </c>
      <c r="D9180" s="9">
        <v>42512.26</v>
      </c>
      <c r="E9180" s="10" t="str">
        <f t="array" ref="E9180">IFS(D9180&lt;=$G$3,'calculated data '!$A$3,D9180&lt;=$G$4,'calculated data '!$A$4,D9180&lt;=$G$6,'calculated data '!$A$5,D9180&gt;=$G$6,'calculated data '!$A$6)</f>
        <v>High Demand Tier</v>
      </c>
      <c r="F9180" s="10">
        <f t="shared" si="1"/>
        <v>0.462117459</v>
      </c>
    </row>
    <row r="9181" ht="14.25" customHeight="1">
      <c r="A9181" s="2" t="s">
        <v>455</v>
      </c>
      <c r="B9181" s="2" t="s">
        <v>456</v>
      </c>
      <c r="C9181" s="2">
        <v>1970.0</v>
      </c>
      <c r="D9181" s="9">
        <v>42517.96</v>
      </c>
      <c r="E9181" s="10" t="str">
        <f t="array" ref="E9181">IFS(D9181&lt;=$G$3,'calculated data '!$A$3,D9181&lt;=$G$4,'calculated data '!$A$4,D9181&lt;=$G$6,'calculated data '!$A$5,D9181&gt;=$G$6,'calculated data '!$A$6)</f>
        <v>High Demand Tier</v>
      </c>
      <c r="F9181" s="10">
        <f t="shared" si="1"/>
        <v>0.4622683366</v>
      </c>
    </row>
    <row r="9182" ht="14.25" customHeight="1">
      <c r="A9182" s="2" t="s">
        <v>417</v>
      </c>
      <c r="B9182" s="2" t="s">
        <v>418</v>
      </c>
      <c r="C9182" s="2">
        <v>2005.0</v>
      </c>
      <c r="D9182" s="9">
        <v>42528.773</v>
      </c>
      <c r="E9182" s="10" t="str">
        <f t="array" ref="E9182">IFS(D9182&lt;=$G$3,'calculated data '!$A$3,D9182&lt;=$G$4,'calculated data '!$A$4,D9182&lt;=$G$6,'calculated data '!$A$5,D9182&gt;=$G$6,'calculated data '!$A$6)</f>
        <v>High Demand Tier</v>
      </c>
      <c r="F9182" s="10">
        <f t="shared" si="1"/>
        <v>0.462554554</v>
      </c>
    </row>
    <row r="9183" ht="14.25" customHeight="1">
      <c r="A9183" s="2" t="s">
        <v>307</v>
      </c>
      <c r="B9183" s="2" t="s">
        <v>308</v>
      </c>
      <c r="C9183" s="2">
        <v>2020.0</v>
      </c>
      <c r="D9183" s="9">
        <v>42530.234</v>
      </c>
      <c r="E9183" s="10" t="str">
        <f t="array" ref="E9183">IFS(D9183&lt;=$G$3,'calculated data '!$A$3,D9183&lt;=$G$4,'calculated data '!$A$4,D9183&lt;=$G$6,'calculated data '!$A$5,D9183&gt;=$G$6,'calculated data '!$A$6)</f>
        <v>High Demand Tier</v>
      </c>
      <c r="F9183" s="10">
        <f t="shared" si="1"/>
        <v>0.4625932263</v>
      </c>
    </row>
    <row r="9184" ht="14.25" customHeight="1">
      <c r="A9184" s="2" t="s">
        <v>473</v>
      </c>
      <c r="B9184" s="2" t="s">
        <v>474</v>
      </c>
      <c r="C9184" s="2">
        <v>2020.0</v>
      </c>
      <c r="D9184" s="9">
        <v>42543.945</v>
      </c>
      <c r="E9184" s="10" t="str">
        <f t="array" ref="E9184">IFS(D9184&lt;=$G$3,'calculated data '!$A$3,D9184&lt;=$G$4,'calculated data '!$A$4,D9184&lt;=$G$6,'calculated data '!$A$5,D9184&gt;=$G$6,'calculated data '!$A$6)</f>
        <v>High Demand Tier</v>
      </c>
      <c r="F9184" s="10">
        <f t="shared" si="1"/>
        <v>0.4629561531</v>
      </c>
    </row>
    <row r="9185" ht="14.25" customHeight="1">
      <c r="A9185" s="2" t="s">
        <v>437</v>
      </c>
      <c r="B9185" s="2" t="s">
        <v>438</v>
      </c>
      <c r="C9185" s="2">
        <v>2018.0</v>
      </c>
      <c r="D9185" s="9">
        <v>42547.63</v>
      </c>
      <c r="E9185" s="10" t="str">
        <f t="array" ref="E9185">IFS(D9185&lt;=$G$3,'calculated data '!$A$3,D9185&lt;=$G$4,'calculated data '!$A$4,D9185&lt;=$G$6,'calculated data '!$A$5,D9185&gt;=$G$6,'calculated data '!$A$6)</f>
        <v>High Demand Tier</v>
      </c>
      <c r="F9185" s="10">
        <f t="shared" si="1"/>
        <v>0.4630536941</v>
      </c>
    </row>
    <row r="9186" ht="14.25" customHeight="1">
      <c r="A9186" s="2" t="s">
        <v>391</v>
      </c>
      <c r="B9186" s="2" t="s">
        <v>392</v>
      </c>
      <c r="C9186" s="2">
        <v>2012.0</v>
      </c>
      <c r="D9186" s="9">
        <v>42555.242</v>
      </c>
      <c r="E9186" s="10" t="str">
        <f t="array" ref="E9186">IFS(D9186&lt;=$G$3,'calculated data '!$A$3,D9186&lt;=$G$4,'calculated data '!$A$4,D9186&lt;=$G$6,'calculated data '!$A$5,D9186&gt;=$G$6,'calculated data '!$A$6)</f>
        <v>High Demand Tier</v>
      </c>
      <c r="F9186" s="10">
        <f t="shared" si="1"/>
        <v>0.4632551819</v>
      </c>
    </row>
    <row r="9187" ht="14.25" customHeight="1">
      <c r="A9187" s="2" t="s">
        <v>415</v>
      </c>
      <c r="B9187" s="2" t="s">
        <v>416</v>
      </c>
      <c r="C9187" s="2">
        <v>1985.0</v>
      </c>
      <c r="D9187" s="9">
        <v>42560.887</v>
      </c>
      <c r="E9187" s="10" t="str">
        <f t="array" ref="E9187">IFS(D9187&lt;=$G$3,'calculated data '!$A$3,D9187&lt;=$G$4,'calculated data '!$A$4,D9187&lt;=$G$6,'calculated data '!$A$5,D9187&gt;=$G$6,'calculated data '!$A$6)</f>
        <v>High Demand Tier</v>
      </c>
      <c r="F9187" s="10">
        <f t="shared" si="1"/>
        <v>0.4634046036</v>
      </c>
    </row>
    <row r="9188" ht="14.25" customHeight="1">
      <c r="A9188" s="2" t="s">
        <v>391</v>
      </c>
      <c r="B9188" s="2" t="s">
        <v>392</v>
      </c>
      <c r="C9188" s="2">
        <v>1992.0</v>
      </c>
      <c r="D9188" s="9">
        <v>42564.152</v>
      </c>
      <c r="E9188" s="10" t="str">
        <f t="array" ref="E9188">IFS(D9188&lt;=$G$3,'calculated data '!$A$3,D9188&lt;=$G$4,'calculated data '!$A$4,D9188&lt;=$G$6,'calculated data '!$A$5,D9188&gt;=$G$6,'calculated data '!$A$6)</f>
        <v>High Demand Tier</v>
      </c>
      <c r="F9188" s="10">
        <f t="shared" si="1"/>
        <v>0.4634910274</v>
      </c>
    </row>
    <row r="9189" ht="14.25" customHeight="1">
      <c r="A9189" s="2" t="s">
        <v>381</v>
      </c>
      <c r="B9189" s="2" t="s">
        <v>382</v>
      </c>
      <c r="C9189" s="2">
        <v>1981.0</v>
      </c>
      <c r="D9189" s="9">
        <v>42600.375</v>
      </c>
      <c r="E9189" s="10" t="str">
        <f t="array" ref="E9189">IFS(D9189&lt;=$G$3,'calculated data '!$A$3,D9189&lt;=$G$4,'calculated data '!$A$4,D9189&lt;=$G$6,'calculated data '!$A$5,D9189&gt;=$G$6,'calculated data '!$A$6)</f>
        <v>High Demand Tier</v>
      </c>
      <c r="F9189" s="10">
        <f t="shared" si="1"/>
        <v>0.4644498411</v>
      </c>
    </row>
    <row r="9190" ht="14.25" customHeight="1">
      <c r="A9190" s="2" t="s">
        <v>451</v>
      </c>
      <c r="B9190" s="2" t="s">
        <v>452</v>
      </c>
      <c r="C9190" s="2">
        <v>1976.0</v>
      </c>
      <c r="D9190" s="9">
        <v>42604.03</v>
      </c>
      <c r="E9190" s="10" t="str">
        <f t="array" ref="E9190">IFS(D9190&lt;=$G$3,'calculated data '!$A$3,D9190&lt;=$G$4,'calculated data '!$A$4,D9190&lt;=$G$6,'calculated data '!$A$5,D9190&gt;=$G$6,'calculated data '!$A$6)</f>
        <v>High Demand Tier</v>
      </c>
      <c r="F9190" s="10">
        <f t="shared" si="1"/>
        <v>0.4645465881</v>
      </c>
    </row>
    <row r="9191" ht="14.25" customHeight="1">
      <c r="A9191" s="2" t="s">
        <v>471</v>
      </c>
      <c r="B9191" s="2" t="s">
        <v>472</v>
      </c>
      <c r="C9191" s="2">
        <v>2020.0</v>
      </c>
      <c r="D9191" s="9">
        <v>42614.066</v>
      </c>
      <c r="E9191" s="10" t="str">
        <f t="array" ref="E9191">IFS(D9191&lt;=$G$3,'calculated data '!$A$3,D9191&lt;=$G$4,'calculated data '!$A$4,D9191&lt;=$G$6,'calculated data '!$A$5,D9191&gt;=$G$6,'calculated data '!$A$6)</f>
        <v>High Demand Tier</v>
      </c>
      <c r="F9191" s="10">
        <f t="shared" si="1"/>
        <v>0.4648122385</v>
      </c>
    </row>
    <row r="9192" ht="14.25" customHeight="1">
      <c r="A9192" s="2" t="s">
        <v>337</v>
      </c>
      <c r="B9192" s="2" t="s">
        <v>338</v>
      </c>
      <c r="C9192" s="2">
        <v>2007.0</v>
      </c>
      <c r="D9192" s="9">
        <v>42657.594</v>
      </c>
      <c r="E9192" s="10" t="str">
        <f t="array" ref="E9192">IFS(D9192&lt;=$G$3,'calculated data '!$A$3,D9192&lt;=$G$4,'calculated data '!$A$4,D9192&lt;=$G$6,'calculated data '!$A$5,D9192&gt;=$G$6,'calculated data '!$A$6)</f>
        <v>High Demand Tier</v>
      </c>
      <c r="F9192" s="10">
        <f t="shared" si="1"/>
        <v>0.4659644138</v>
      </c>
    </row>
    <row r="9193" ht="14.25" customHeight="1">
      <c r="A9193" s="2" t="s">
        <v>417</v>
      </c>
      <c r="B9193" s="2" t="s">
        <v>418</v>
      </c>
      <c r="C9193" s="2">
        <v>2004.0</v>
      </c>
      <c r="D9193" s="9">
        <v>42661.625</v>
      </c>
      <c r="E9193" s="10" t="str">
        <f t="array" ref="E9193">IFS(D9193&lt;=$G$3,'calculated data '!$A$3,D9193&lt;=$G$4,'calculated data '!$A$4,D9193&lt;=$G$6,'calculated data '!$A$5,D9193&gt;=$G$6,'calculated data '!$A$6)</f>
        <v>High Demand Tier</v>
      </c>
      <c r="F9193" s="10">
        <f t="shared" si="1"/>
        <v>0.4660711134</v>
      </c>
    </row>
    <row r="9194" ht="14.25" customHeight="1">
      <c r="A9194" s="2" t="s">
        <v>391</v>
      </c>
      <c r="B9194" s="2" t="s">
        <v>392</v>
      </c>
      <c r="C9194" s="2">
        <v>2020.0</v>
      </c>
      <c r="D9194" s="9">
        <v>42662.51</v>
      </c>
      <c r="E9194" s="10" t="str">
        <f t="array" ref="E9194">IFS(D9194&lt;=$G$3,'calculated data '!$A$3,D9194&lt;=$G$4,'calculated data '!$A$4,D9194&lt;=$G$6,'calculated data '!$A$5,D9194&gt;=$G$6,'calculated data '!$A$6)</f>
        <v>High Demand Tier</v>
      </c>
      <c r="F9194" s="10">
        <f t="shared" si="1"/>
        <v>0.4660945391</v>
      </c>
    </row>
    <row r="9195" ht="14.25" customHeight="1">
      <c r="A9195" s="2" t="s">
        <v>221</v>
      </c>
      <c r="B9195" s="2" t="s">
        <v>222</v>
      </c>
      <c r="C9195" s="2">
        <v>1998.0</v>
      </c>
      <c r="D9195" s="9">
        <v>42686.902</v>
      </c>
      <c r="E9195" s="10" t="str">
        <f t="array" ref="E9195">IFS(D9195&lt;=$G$3,'calculated data '!$A$3,D9195&lt;=$G$4,'calculated data '!$A$4,D9195&lt;=$G$6,'calculated data '!$A$5,D9195&gt;=$G$6,'calculated data '!$A$6)</f>
        <v>High Demand Tier</v>
      </c>
      <c r="F9195" s="10">
        <f t="shared" si="1"/>
        <v>0.4667401893</v>
      </c>
    </row>
    <row r="9196" ht="14.25" customHeight="1">
      <c r="A9196" s="2" t="s">
        <v>307</v>
      </c>
      <c r="B9196" s="2" t="s">
        <v>308</v>
      </c>
      <c r="C9196" s="2">
        <v>1999.0</v>
      </c>
      <c r="D9196" s="9">
        <v>42706.535</v>
      </c>
      <c r="E9196" s="10" t="str">
        <f t="array" ref="E9196">IFS(D9196&lt;=$G$3,'calculated data '!$A$3,D9196&lt;=$G$4,'calculated data '!$A$4,D9196&lt;=$G$6,'calculated data '!$A$5,D9196&gt;=$G$6,'calculated data '!$A$6)</f>
        <v>High Demand Tier</v>
      </c>
      <c r="F9196" s="10">
        <f t="shared" si="1"/>
        <v>0.4672598699</v>
      </c>
    </row>
    <row r="9197" ht="14.25" customHeight="1">
      <c r="A9197" s="2" t="s">
        <v>443</v>
      </c>
      <c r="B9197" s="2" t="s">
        <v>444</v>
      </c>
      <c r="C9197" s="2">
        <v>2008.0</v>
      </c>
      <c r="D9197" s="9">
        <v>42723.047</v>
      </c>
      <c r="E9197" s="10" t="str">
        <f t="array" ref="E9197">IFS(D9197&lt;=$G$3,'calculated data '!$A$3,D9197&lt;=$G$4,'calculated data '!$A$4,D9197&lt;=$G$6,'calculated data '!$A$5,D9197&gt;=$G$6,'calculated data '!$A$6)</f>
        <v>High Demand Tier</v>
      </c>
      <c r="F9197" s="10">
        <f t="shared" si="1"/>
        <v>0.4676969384</v>
      </c>
    </row>
    <row r="9198" ht="14.25" customHeight="1">
      <c r="A9198" s="2" t="s">
        <v>415</v>
      </c>
      <c r="B9198" s="2" t="s">
        <v>416</v>
      </c>
      <c r="C9198" s="2">
        <v>2000.0</v>
      </c>
      <c r="D9198" s="9">
        <v>42738.79</v>
      </c>
      <c r="E9198" s="10" t="str">
        <f t="array" ref="E9198">IFS(D9198&lt;=$G$3,'calculated data '!$A$3,D9198&lt;=$G$4,'calculated data '!$A$4,D9198&lt;=$G$6,'calculated data '!$A$5,D9198&gt;=$G$6,'calculated data '!$A$6)</f>
        <v>High Demand Tier</v>
      </c>
      <c r="F9198" s="10">
        <f t="shared" si="1"/>
        <v>0.4681136517</v>
      </c>
    </row>
    <row r="9199" ht="14.25" customHeight="1">
      <c r="A9199" s="2" t="s">
        <v>443</v>
      </c>
      <c r="B9199" s="2" t="s">
        <v>444</v>
      </c>
      <c r="C9199" s="2">
        <v>1993.0</v>
      </c>
      <c r="D9199" s="9">
        <v>42739.688</v>
      </c>
      <c r="E9199" s="10" t="str">
        <f t="array" ref="E9199">IFS(D9199&lt;=$G$3,'calculated data '!$A$3,D9199&lt;=$G$4,'calculated data '!$A$4,D9199&lt;=$G$6,'calculated data '!$A$5,D9199&gt;=$G$6,'calculated data '!$A$6)</f>
        <v>High Demand Tier</v>
      </c>
      <c r="F9199" s="10">
        <f t="shared" si="1"/>
        <v>0.4681374216</v>
      </c>
    </row>
    <row r="9200" ht="14.25" customHeight="1">
      <c r="A9200" s="2" t="s">
        <v>443</v>
      </c>
      <c r="B9200" s="2" t="s">
        <v>444</v>
      </c>
      <c r="C9200" s="2">
        <v>2004.0</v>
      </c>
      <c r="D9200" s="9">
        <v>42740.266</v>
      </c>
      <c r="E9200" s="10" t="str">
        <f t="array" ref="E9200">IFS(D9200&lt;=$G$3,'calculated data '!$A$3,D9200&lt;=$G$4,'calculated data '!$A$4,D9200&lt;=$G$6,'calculated data '!$A$5,D9200&gt;=$G$6,'calculated data '!$A$6)</f>
        <v>High Demand Tier</v>
      </c>
      <c r="F9200" s="10">
        <f t="shared" si="1"/>
        <v>0.4681527211</v>
      </c>
    </row>
    <row r="9201" ht="14.25" customHeight="1">
      <c r="A9201" s="2" t="s">
        <v>469</v>
      </c>
      <c r="B9201" s="2" t="s">
        <v>470</v>
      </c>
      <c r="C9201" s="2">
        <v>1980.0</v>
      </c>
      <c r="D9201" s="9">
        <v>42742.18</v>
      </c>
      <c r="E9201" s="10" t="str">
        <f t="array" ref="E9201">IFS(D9201&lt;=$G$3,'calculated data '!$A$3,D9201&lt;=$G$4,'calculated data '!$A$4,D9201&lt;=$G$6,'calculated data '!$A$5,D9201&gt;=$G$6,'calculated data '!$A$6)</f>
        <v>High Demand Tier</v>
      </c>
      <c r="F9201" s="10">
        <f t="shared" si="1"/>
        <v>0.4682033842</v>
      </c>
    </row>
    <row r="9202" ht="14.25" customHeight="1">
      <c r="A9202" s="2" t="s">
        <v>369</v>
      </c>
      <c r="B9202" s="2" t="s">
        <v>370</v>
      </c>
      <c r="C9202" s="2">
        <v>2013.0</v>
      </c>
      <c r="D9202" s="9">
        <v>42752.766</v>
      </c>
      <c r="E9202" s="10" t="str">
        <f t="array" ref="E9202">IFS(D9202&lt;=$G$3,'calculated data '!$A$3,D9202&lt;=$G$4,'calculated data '!$A$4,D9202&lt;=$G$6,'calculated data '!$A$5,D9202&gt;=$G$6,'calculated data '!$A$6)</f>
        <v>High Demand Tier</v>
      </c>
      <c r="F9202" s="10">
        <f t="shared" si="1"/>
        <v>0.468483593</v>
      </c>
    </row>
    <row r="9203" ht="14.25" customHeight="1">
      <c r="A9203" s="2" t="s">
        <v>413</v>
      </c>
      <c r="B9203" s="2" t="s">
        <v>414</v>
      </c>
      <c r="C9203" s="2">
        <v>1981.0</v>
      </c>
      <c r="D9203" s="9">
        <v>42768.973</v>
      </c>
      <c r="E9203" s="10" t="str">
        <f t="array" ref="E9203">IFS(D9203&lt;=$G$3,'calculated data '!$A$3,D9203&lt;=$G$4,'calculated data '!$A$4,D9203&lt;=$G$6,'calculated data '!$A$5,D9203&gt;=$G$6,'calculated data '!$A$6)</f>
        <v>High Demand Tier</v>
      </c>
      <c r="F9203" s="10">
        <f t="shared" si="1"/>
        <v>0.4689125882</v>
      </c>
    </row>
    <row r="9204" ht="14.25" customHeight="1">
      <c r="A9204" s="2" t="s">
        <v>417</v>
      </c>
      <c r="B9204" s="2" t="s">
        <v>418</v>
      </c>
      <c r="C9204" s="2">
        <v>2006.0</v>
      </c>
      <c r="D9204" s="9">
        <v>42773.22</v>
      </c>
      <c r="E9204" s="10" t="str">
        <f t="array" ref="E9204">IFS(D9204&lt;=$G$3,'calculated data '!$A$3,D9204&lt;=$G$4,'calculated data '!$A$4,D9204&lt;=$G$6,'calculated data '!$A$5,D9204&gt;=$G$6,'calculated data '!$A$6)</f>
        <v>High Demand Tier</v>
      </c>
      <c r="F9204" s="10">
        <f t="shared" si="1"/>
        <v>0.4690250053</v>
      </c>
    </row>
    <row r="9205" ht="14.25" customHeight="1">
      <c r="A9205" s="2" t="s">
        <v>443</v>
      </c>
      <c r="B9205" s="2" t="s">
        <v>444</v>
      </c>
      <c r="C9205" s="2">
        <v>2005.0</v>
      </c>
      <c r="D9205" s="9">
        <v>42776.59</v>
      </c>
      <c r="E9205" s="10" t="str">
        <f t="array" ref="E9205">IFS(D9205&lt;=$G$3,'calculated data '!$A$3,D9205&lt;=$G$4,'calculated data '!$A$4,D9205&lt;=$G$6,'calculated data '!$A$5,D9205&gt;=$G$6,'calculated data '!$A$6)</f>
        <v>High Demand Tier</v>
      </c>
      <c r="F9205" s="10">
        <f t="shared" si="1"/>
        <v>0.4691142083</v>
      </c>
    </row>
    <row r="9206" ht="14.25" customHeight="1">
      <c r="A9206" s="2" t="s">
        <v>451</v>
      </c>
      <c r="B9206" s="2" t="s">
        <v>452</v>
      </c>
      <c r="C9206" s="2">
        <v>1973.0</v>
      </c>
      <c r="D9206" s="9">
        <v>42815.438</v>
      </c>
      <c r="E9206" s="10" t="str">
        <f t="array" ref="E9206">IFS(D9206&lt;=$G$3,'calculated data '!$A$3,D9206&lt;=$G$4,'calculated data '!$A$4,D9206&lt;=$G$6,'calculated data '!$A$5,D9206&gt;=$G$6,'calculated data '!$A$6)</f>
        <v>High Demand Tier</v>
      </c>
      <c r="F9206" s="10">
        <f t="shared" si="1"/>
        <v>0.4701425052</v>
      </c>
    </row>
    <row r="9207" ht="14.25" customHeight="1">
      <c r="A9207" s="2" t="s">
        <v>381</v>
      </c>
      <c r="B9207" s="2" t="s">
        <v>382</v>
      </c>
      <c r="C9207" s="2">
        <v>1999.0</v>
      </c>
      <c r="D9207" s="9">
        <v>42822.664</v>
      </c>
      <c r="E9207" s="10" t="str">
        <f t="array" ref="E9207">IFS(D9207&lt;=$G$3,'calculated data '!$A$3,D9207&lt;=$G$4,'calculated data '!$A$4,D9207&lt;=$G$6,'calculated data '!$A$5,D9207&gt;=$G$6,'calculated data '!$A$6)</f>
        <v>High Demand Tier</v>
      </c>
      <c r="F9207" s="10">
        <f t="shared" si="1"/>
        <v>0.4703337756</v>
      </c>
    </row>
    <row r="9208" ht="14.25" customHeight="1">
      <c r="A9208" s="2" t="s">
        <v>409</v>
      </c>
      <c r="B9208" s="2" t="s">
        <v>410</v>
      </c>
      <c r="C9208" s="2">
        <v>2008.0</v>
      </c>
      <c r="D9208" s="9">
        <v>42854.02</v>
      </c>
      <c r="E9208" s="10" t="str">
        <f t="array" ref="E9208">IFS(D9208&lt;=$G$3,'calculated data '!$A$3,D9208&lt;=$G$4,'calculated data '!$A$4,D9208&lt;=$G$6,'calculated data '!$A$5,D9208&gt;=$G$6,'calculated data '!$A$6)</f>
        <v>High Demand Tier</v>
      </c>
      <c r="F9208" s="10">
        <f t="shared" si="1"/>
        <v>0.4711637611</v>
      </c>
    </row>
    <row r="9209" ht="14.25" customHeight="1">
      <c r="A9209" s="2" t="s">
        <v>453</v>
      </c>
      <c r="B9209" s="2" t="s">
        <v>454</v>
      </c>
      <c r="C9209" s="2">
        <v>2004.0</v>
      </c>
      <c r="D9209" s="9">
        <v>42865.84</v>
      </c>
      <c r="E9209" s="10" t="str">
        <f t="array" ref="E9209">IFS(D9209&lt;=$G$3,'calculated data '!$A$3,D9209&lt;=$G$4,'calculated data '!$A$4,D9209&lt;=$G$6,'calculated data '!$A$5,D9209&gt;=$G$6,'calculated data '!$A$6)</f>
        <v>High Demand Tier</v>
      </c>
      <c r="F9209" s="10">
        <f t="shared" si="1"/>
        <v>0.4714766336</v>
      </c>
    </row>
    <row r="9210" ht="14.25" customHeight="1">
      <c r="A9210" s="2" t="s">
        <v>465</v>
      </c>
      <c r="B9210" s="2" t="s">
        <v>466</v>
      </c>
      <c r="C9210" s="2">
        <v>1996.0</v>
      </c>
      <c r="D9210" s="9">
        <v>42889.504</v>
      </c>
      <c r="E9210" s="10" t="str">
        <f t="array" ref="E9210">IFS(D9210&lt;=$G$3,'calculated data '!$A$3,D9210&lt;=$G$4,'calculated data '!$A$4,D9210&lt;=$G$6,'calculated data '!$A$5,D9210&gt;=$G$6,'calculated data '!$A$6)</f>
        <v>High Demand Tier</v>
      </c>
      <c r="F9210" s="10">
        <f t="shared" si="1"/>
        <v>0.4721030138</v>
      </c>
    </row>
    <row r="9211" ht="14.25" customHeight="1">
      <c r="A9211" s="2" t="s">
        <v>457</v>
      </c>
      <c r="B9211" s="2" t="s">
        <v>458</v>
      </c>
      <c r="C9211" s="2">
        <v>1975.0</v>
      </c>
      <c r="D9211" s="9">
        <v>42894.234</v>
      </c>
      <c r="E9211" s="10" t="str">
        <f t="array" ref="E9211">IFS(D9211&lt;=$G$3,'calculated data '!$A$3,D9211&lt;=$G$4,'calculated data '!$A$4,D9211&lt;=$G$6,'calculated data '!$A$5,D9211&gt;=$G$6,'calculated data '!$A$6)</f>
        <v>High Demand Tier</v>
      </c>
      <c r="F9211" s="10">
        <f t="shared" si="1"/>
        <v>0.4722282157</v>
      </c>
    </row>
    <row r="9212" ht="14.25" customHeight="1">
      <c r="A9212" s="2" t="s">
        <v>471</v>
      </c>
      <c r="B9212" s="2" t="s">
        <v>472</v>
      </c>
      <c r="C9212" s="2">
        <v>1995.0</v>
      </c>
      <c r="D9212" s="9">
        <v>42895.004</v>
      </c>
      <c r="E9212" s="10" t="str">
        <f t="array" ref="E9212">IFS(D9212&lt;=$G$3,'calculated data '!$A$3,D9212&lt;=$G$4,'calculated data '!$A$4,D9212&lt;=$G$6,'calculated data '!$A$5,D9212&gt;=$G$6,'calculated data '!$A$6)</f>
        <v>High Demand Tier</v>
      </c>
      <c r="F9212" s="10">
        <f t="shared" si="1"/>
        <v>0.4722485974</v>
      </c>
    </row>
    <row r="9213" ht="14.25" customHeight="1">
      <c r="A9213" s="2" t="s">
        <v>279</v>
      </c>
      <c r="B9213" s="2" t="s">
        <v>280</v>
      </c>
      <c r="C9213" s="2">
        <v>1999.0</v>
      </c>
      <c r="D9213" s="9">
        <v>42903.656</v>
      </c>
      <c r="E9213" s="10" t="str">
        <f t="array" ref="E9213">IFS(D9213&lt;=$G$3,'calculated data '!$A$3,D9213&lt;=$G$4,'calculated data '!$A$4,D9213&lt;=$G$6,'calculated data '!$A$5,D9213&gt;=$G$6,'calculated data '!$A$6)</f>
        <v>High Demand Tier</v>
      </c>
      <c r="F9213" s="10">
        <f t="shared" si="1"/>
        <v>0.4724776137</v>
      </c>
    </row>
    <row r="9214" ht="14.25" customHeight="1">
      <c r="A9214" s="2" t="s">
        <v>427</v>
      </c>
      <c r="B9214" s="2" t="s">
        <v>428</v>
      </c>
      <c r="C9214" s="2">
        <v>2009.0</v>
      </c>
      <c r="D9214" s="9">
        <v>42906.047</v>
      </c>
      <c r="E9214" s="10" t="str">
        <f t="array" ref="E9214">IFS(D9214&lt;=$G$3,'calculated data '!$A$3,D9214&lt;=$G$4,'calculated data '!$A$4,D9214&lt;=$G$6,'calculated data '!$A$5,D9214&gt;=$G$6,'calculated data '!$A$6)</f>
        <v>High Demand Tier</v>
      </c>
      <c r="F9214" s="10">
        <f t="shared" si="1"/>
        <v>0.4725409029</v>
      </c>
    </row>
    <row r="9215" ht="14.25" customHeight="1">
      <c r="A9215" s="2" t="s">
        <v>465</v>
      </c>
      <c r="B9215" s="2" t="s">
        <v>466</v>
      </c>
      <c r="C9215" s="2">
        <v>2010.0</v>
      </c>
      <c r="D9215" s="9">
        <v>42914.273</v>
      </c>
      <c r="E9215" s="10" t="str">
        <f t="array" ref="E9215">IFS(D9215&lt;=$G$3,'calculated data '!$A$3,D9215&lt;=$G$4,'calculated data '!$A$4,D9215&lt;=$G$6,'calculated data '!$A$5,D9215&gt;=$G$6,'calculated data '!$A$6)</f>
        <v>High Demand Tier</v>
      </c>
      <c r="F9215" s="10">
        <f t="shared" si="1"/>
        <v>0.472758643</v>
      </c>
    </row>
    <row r="9216" ht="14.25" customHeight="1">
      <c r="A9216" s="2" t="s">
        <v>369</v>
      </c>
      <c r="B9216" s="2" t="s">
        <v>370</v>
      </c>
      <c r="C9216" s="2">
        <v>1992.0</v>
      </c>
      <c r="D9216" s="9">
        <v>42950.47</v>
      </c>
      <c r="E9216" s="10" t="str">
        <f t="array" ref="E9216">IFS(D9216&lt;=$G$3,'calculated data '!$A$3,D9216&lt;=$G$4,'calculated data '!$A$4,D9216&lt;=$G$6,'calculated data '!$A$5,D9216&gt;=$G$6,'calculated data '!$A$6)</f>
        <v>High Demand Tier</v>
      </c>
      <c r="F9216" s="10">
        <f t="shared" si="1"/>
        <v>0.4737167686</v>
      </c>
    </row>
    <row r="9217" ht="14.25" customHeight="1">
      <c r="A9217" s="2" t="s">
        <v>401</v>
      </c>
      <c r="B9217" s="2" t="s">
        <v>402</v>
      </c>
      <c r="C9217" s="2">
        <v>2004.0</v>
      </c>
      <c r="D9217" s="9">
        <v>42967.223</v>
      </c>
      <c r="E9217" s="10" t="str">
        <f t="array" ref="E9217">IFS(D9217&lt;=$G$3,'calculated data '!$A$3,D9217&lt;=$G$4,'calculated data '!$A$4,D9217&lt;=$G$6,'calculated data '!$A$5,D9217&gt;=$G$6,'calculated data '!$A$6)</f>
        <v>High Demand Tier</v>
      </c>
      <c r="F9217" s="10">
        <f t="shared" si="1"/>
        <v>0.4741602163</v>
      </c>
    </row>
    <row r="9218" ht="14.25" customHeight="1">
      <c r="A9218" s="2" t="s">
        <v>443</v>
      </c>
      <c r="B9218" s="2" t="s">
        <v>444</v>
      </c>
      <c r="C9218" s="2">
        <v>2007.0</v>
      </c>
      <c r="D9218" s="9">
        <v>42981.844</v>
      </c>
      <c r="E9218" s="10" t="str">
        <f t="array" ref="E9218">IFS(D9218&lt;=$G$3,'calculated data '!$A$3,D9218&lt;=$G$4,'calculated data '!$A$4,D9218&lt;=$G$6,'calculated data '!$A$5,D9218&gt;=$G$6,'calculated data '!$A$6)</f>
        <v>High Demand Tier</v>
      </c>
      <c r="F9218" s="10">
        <f t="shared" si="1"/>
        <v>0.4745472306</v>
      </c>
    </row>
    <row r="9219" ht="14.25" customHeight="1">
      <c r="A9219" s="2" t="s">
        <v>433</v>
      </c>
      <c r="B9219" s="2" t="s">
        <v>434</v>
      </c>
      <c r="C9219" s="2">
        <v>2017.0</v>
      </c>
      <c r="D9219" s="9">
        <v>42990.832</v>
      </c>
      <c r="E9219" s="10" t="str">
        <f t="array" ref="E9219">IFS(D9219&lt;=$G$3,'calculated data '!$A$3,D9219&lt;=$G$4,'calculated data '!$A$4,D9219&lt;=$G$6,'calculated data '!$A$5,D9219&gt;=$G$6,'calculated data '!$A$6)</f>
        <v>High Demand Tier</v>
      </c>
      <c r="F9219" s="10">
        <f t="shared" si="1"/>
        <v>0.4747851407</v>
      </c>
    </row>
    <row r="9220" ht="14.25" customHeight="1">
      <c r="A9220" s="2" t="s">
        <v>411</v>
      </c>
      <c r="B9220" s="2" t="s">
        <v>412</v>
      </c>
      <c r="C9220" s="2">
        <v>1986.0</v>
      </c>
      <c r="D9220" s="9">
        <v>43001.99</v>
      </c>
      <c r="E9220" s="10" t="str">
        <f t="array" ref="E9220">IFS(D9220&lt;=$G$3,'calculated data '!$A$3,D9220&lt;=$G$4,'calculated data '!$A$4,D9220&lt;=$G$6,'calculated data '!$A$5,D9220&gt;=$G$6,'calculated data '!$A$6)</f>
        <v>High Demand Tier</v>
      </c>
      <c r="F9220" s="10">
        <f t="shared" si="1"/>
        <v>0.4750804902</v>
      </c>
    </row>
    <row r="9221" ht="14.25" customHeight="1">
      <c r="A9221" s="2" t="s">
        <v>437</v>
      </c>
      <c r="B9221" s="2" t="s">
        <v>438</v>
      </c>
      <c r="C9221" s="2">
        <v>1991.0</v>
      </c>
      <c r="D9221" s="9">
        <v>43004.95</v>
      </c>
      <c r="E9221" s="10" t="str">
        <f t="array" ref="E9221">IFS(D9221&lt;=$G$3,'calculated data '!$A$3,D9221&lt;=$G$4,'calculated data '!$A$4,D9221&lt;=$G$6,'calculated data '!$A$5,D9221&gt;=$G$6,'calculated data '!$A$6)</f>
        <v>High Demand Tier</v>
      </c>
      <c r="F9221" s="10">
        <f t="shared" si="1"/>
        <v>0.4751588406</v>
      </c>
    </row>
    <row r="9222" ht="14.25" customHeight="1">
      <c r="A9222" s="2" t="s">
        <v>413</v>
      </c>
      <c r="B9222" s="2" t="s">
        <v>414</v>
      </c>
      <c r="C9222" s="2">
        <v>1979.0</v>
      </c>
      <c r="D9222" s="9">
        <v>43016.152</v>
      </c>
      <c r="E9222" s="10" t="str">
        <f t="array" ref="E9222">IFS(D9222&lt;=$G$3,'calculated data '!$A$3,D9222&lt;=$G$4,'calculated data '!$A$4,D9222&lt;=$G$6,'calculated data '!$A$5,D9222&gt;=$G$6,'calculated data '!$A$6)</f>
        <v>High Demand Tier</v>
      </c>
      <c r="F9222" s="10">
        <f t="shared" si="1"/>
        <v>0.4754553548</v>
      </c>
    </row>
    <row r="9223" ht="14.25" customHeight="1">
      <c r="A9223" s="2" t="s">
        <v>433</v>
      </c>
      <c r="B9223" s="2" t="s">
        <v>434</v>
      </c>
      <c r="C9223" s="2">
        <v>1986.0</v>
      </c>
      <c r="D9223" s="9">
        <v>43022.285</v>
      </c>
      <c r="E9223" s="10" t="str">
        <f t="array" ref="E9223">IFS(D9223&lt;=$G$3,'calculated data '!$A$3,D9223&lt;=$G$4,'calculated data '!$A$4,D9223&lt;=$G$6,'calculated data '!$A$5,D9223&gt;=$G$6,'calculated data '!$A$6)</f>
        <v>High Demand Tier</v>
      </c>
      <c r="F9223" s="10">
        <f t="shared" si="1"/>
        <v>0.4756176938</v>
      </c>
    </row>
    <row r="9224" ht="14.25" customHeight="1">
      <c r="A9224" s="2" t="s">
        <v>441</v>
      </c>
      <c r="B9224" s="2" t="s">
        <v>442</v>
      </c>
      <c r="C9224" s="2">
        <v>2022.0</v>
      </c>
      <c r="D9224" s="9">
        <v>43032.6</v>
      </c>
      <c r="E9224" s="10" t="str">
        <f t="array" ref="E9224">IFS(D9224&lt;=$G$3,'calculated data '!$A$3,D9224&lt;=$G$4,'calculated data '!$A$4,D9224&lt;=$G$6,'calculated data '!$A$5,D9224&gt;=$G$6,'calculated data '!$A$6)</f>
        <v>High Demand Tier</v>
      </c>
      <c r="F9224" s="10">
        <f t="shared" si="1"/>
        <v>0.4758907292</v>
      </c>
    </row>
    <row r="9225" ht="14.25" customHeight="1">
      <c r="A9225" s="2" t="s">
        <v>433</v>
      </c>
      <c r="B9225" s="2" t="s">
        <v>434</v>
      </c>
      <c r="C9225" s="2">
        <v>2016.0</v>
      </c>
      <c r="D9225" s="9">
        <v>43038.45</v>
      </c>
      <c r="E9225" s="10" t="str">
        <f t="array" ref="E9225">IFS(D9225&lt;=$G$3,'calculated data '!$A$3,D9225&lt;=$G$4,'calculated data '!$A$4,D9225&lt;=$G$6,'calculated data '!$A$5,D9225&gt;=$G$6,'calculated data '!$A$6)</f>
        <v>High Demand Tier</v>
      </c>
      <c r="F9225" s="10">
        <f t="shared" si="1"/>
        <v>0.4760455773</v>
      </c>
    </row>
    <row r="9226" ht="14.25" customHeight="1">
      <c r="A9226" s="2" t="s">
        <v>437</v>
      </c>
      <c r="B9226" s="2" t="s">
        <v>438</v>
      </c>
      <c r="C9226" s="2">
        <v>1992.0</v>
      </c>
      <c r="D9226" s="9">
        <v>43041.066</v>
      </c>
      <c r="E9226" s="10" t="str">
        <f t="array" ref="E9226">IFS(D9226&lt;=$G$3,'calculated data '!$A$3,D9226&lt;=$G$4,'calculated data '!$A$4,D9226&lt;=$G$6,'calculated data '!$A$5,D9226&gt;=$G$6,'calculated data '!$A$6)</f>
        <v>High Demand Tier</v>
      </c>
      <c r="F9226" s="10">
        <f t="shared" si="1"/>
        <v>0.4761148222</v>
      </c>
    </row>
    <row r="9227" ht="14.25" customHeight="1">
      <c r="A9227" s="2" t="s">
        <v>433</v>
      </c>
      <c r="B9227" s="2" t="s">
        <v>434</v>
      </c>
      <c r="C9227" s="2">
        <v>2018.0</v>
      </c>
      <c r="D9227" s="9">
        <v>43063.93</v>
      </c>
      <c r="E9227" s="10" t="str">
        <f t="array" ref="E9227">IFS(D9227&lt;=$G$3,'calculated data '!$A$3,D9227&lt;=$G$4,'calculated data '!$A$4,D9227&lt;=$G$6,'calculated data '!$A$5,D9227&gt;=$G$6,'calculated data '!$A$6)</f>
        <v>High Demand Tier</v>
      </c>
      <c r="F9227" s="10">
        <f t="shared" si="1"/>
        <v>0.4767200265</v>
      </c>
    </row>
    <row r="9228" ht="14.25" customHeight="1">
      <c r="A9228" s="2" t="s">
        <v>437</v>
      </c>
      <c r="B9228" s="2" t="s">
        <v>438</v>
      </c>
      <c r="C9228" s="2">
        <v>2019.0</v>
      </c>
      <c r="D9228" s="9">
        <v>43069.918</v>
      </c>
      <c r="E9228" s="10" t="str">
        <f t="array" ref="E9228">IFS(D9228&lt;=$G$3,'calculated data '!$A$3,D9228&lt;=$G$4,'calculated data '!$A$4,D9228&lt;=$G$6,'calculated data '!$A$5,D9228&gt;=$G$6,'calculated data '!$A$6)</f>
        <v>High Demand Tier</v>
      </c>
      <c r="F9228" s="10">
        <f t="shared" si="1"/>
        <v>0.4768785274</v>
      </c>
    </row>
    <row r="9229" ht="14.25" customHeight="1">
      <c r="A9229" s="2" t="s">
        <v>401</v>
      </c>
      <c r="B9229" s="2" t="s">
        <v>402</v>
      </c>
      <c r="C9229" s="2">
        <v>2006.0</v>
      </c>
      <c r="D9229" s="9">
        <v>43082.098</v>
      </c>
      <c r="E9229" s="10" t="str">
        <f t="array" ref="E9229">IFS(D9229&lt;=$G$3,'calculated data '!$A$3,D9229&lt;=$G$4,'calculated data '!$A$4,D9229&lt;=$G$6,'calculated data '!$A$5,D9229&gt;=$G$6,'calculated data '!$A$6)</f>
        <v>High Demand Tier</v>
      </c>
      <c r="F9229" s="10">
        <f t="shared" si="1"/>
        <v>0.477200929</v>
      </c>
    </row>
    <row r="9230" ht="14.25" customHeight="1">
      <c r="A9230" s="2" t="s">
        <v>471</v>
      </c>
      <c r="B9230" s="2" t="s">
        <v>472</v>
      </c>
      <c r="C9230" s="2">
        <v>2009.0</v>
      </c>
      <c r="D9230" s="9">
        <v>43105.79</v>
      </c>
      <c r="E9230" s="10" t="str">
        <f t="array" ref="E9230">IFS(D9230&lt;=$G$3,'calculated data '!$A$3,D9230&lt;=$G$4,'calculated data '!$A$4,D9230&lt;=$G$6,'calculated data '!$A$5,D9230&gt;=$G$6,'calculated data '!$A$6)</f>
        <v>High Demand Tier</v>
      </c>
      <c r="F9230" s="10">
        <f t="shared" si="1"/>
        <v>0.4778280503</v>
      </c>
    </row>
    <row r="9231" ht="14.25" customHeight="1">
      <c r="A9231" s="2" t="s">
        <v>435</v>
      </c>
      <c r="B9231" s="2" t="s">
        <v>436</v>
      </c>
      <c r="C9231" s="2">
        <v>1984.0</v>
      </c>
      <c r="D9231" s="9">
        <v>43120.97</v>
      </c>
      <c r="E9231" s="10" t="str">
        <f t="array" ref="E9231">IFS(D9231&lt;=$G$3,'calculated data '!$A$3,D9231&lt;=$G$4,'calculated data '!$A$4,D9231&lt;=$G$6,'calculated data '!$A$5,D9231&gt;=$G$6,'calculated data '!$A$6)</f>
        <v>High Demand Tier</v>
      </c>
      <c r="F9231" s="10">
        <f t="shared" si="1"/>
        <v>0.4782298611</v>
      </c>
    </row>
    <row r="9232" ht="14.25" customHeight="1">
      <c r="A9232" s="2" t="s">
        <v>475</v>
      </c>
      <c r="B9232" s="2" t="s">
        <v>476</v>
      </c>
      <c r="C9232" s="2">
        <v>2025.0</v>
      </c>
      <c r="D9232" s="9">
        <v>43126.727</v>
      </c>
      <c r="E9232" s="10" t="str">
        <f t="array" ref="E9232">IFS(D9232&lt;=$G$3,'calculated data '!$A$3,D9232&lt;=$G$4,'calculated data '!$A$4,D9232&lt;=$G$6,'calculated data '!$A$5,D9232&gt;=$G$6,'calculated data '!$A$6)</f>
        <v>High Demand Tier</v>
      </c>
      <c r="F9232" s="10">
        <f t="shared" si="1"/>
        <v>0.4783822475</v>
      </c>
    </row>
    <row r="9233" ht="14.25" customHeight="1">
      <c r="A9233" s="2" t="s">
        <v>465</v>
      </c>
      <c r="B9233" s="2" t="s">
        <v>466</v>
      </c>
      <c r="C9233" s="2">
        <v>1997.0</v>
      </c>
      <c r="D9233" s="9">
        <v>43129.883</v>
      </c>
      <c r="E9233" s="10" t="str">
        <f t="array" ref="E9233">IFS(D9233&lt;=$G$3,'calculated data '!$A$3,D9233&lt;=$G$4,'calculated data '!$A$4,D9233&lt;=$G$6,'calculated data '!$A$5,D9233&gt;=$G$6,'calculated data '!$A$6)</f>
        <v>High Demand Tier</v>
      </c>
      <c r="F9233" s="10">
        <f t="shared" si="1"/>
        <v>0.478465786</v>
      </c>
    </row>
    <row r="9234" ht="14.25" customHeight="1">
      <c r="A9234" s="2" t="s">
        <v>443</v>
      </c>
      <c r="B9234" s="2" t="s">
        <v>444</v>
      </c>
      <c r="C9234" s="2">
        <v>1976.0</v>
      </c>
      <c r="D9234" s="9">
        <v>43138.73</v>
      </c>
      <c r="E9234" s="10" t="str">
        <f t="array" ref="E9234">IFS(D9234&lt;=$G$3,'calculated data '!$A$3,D9234&lt;=$G$4,'calculated data '!$A$4,D9234&lt;=$G$6,'calculated data '!$A$5,D9234&gt;=$G$6,'calculated data '!$A$6)</f>
        <v>High Demand Tier</v>
      </c>
      <c r="F9234" s="10">
        <f t="shared" si="1"/>
        <v>0.4786999639</v>
      </c>
    </row>
    <row r="9235" ht="14.25" customHeight="1">
      <c r="A9235" s="2" t="s">
        <v>425</v>
      </c>
      <c r="B9235" s="2" t="s">
        <v>426</v>
      </c>
      <c r="C9235" s="2">
        <v>1987.0</v>
      </c>
      <c r="D9235" s="9">
        <v>43163.355</v>
      </c>
      <c r="E9235" s="10" t="str">
        <f t="array" ref="E9235">IFS(D9235&lt;=$G$3,'calculated data '!$A$3,D9235&lt;=$G$4,'calculated data '!$A$4,D9235&lt;=$G$6,'calculated data '!$A$5,D9235&gt;=$G$6,'calculated data '!$A$6)</f>
        <v>High Demand Tier</v>
      </c>
      <c r="F9235" s="10">
        <f t="shared" si="1"/>
        <v>0.4793517815</v>
      </c>
    </row>
    <row r="9236" ht="14.25" customHeight="1">
      <c r="A9236" s="2" t="s">
        <v>437</v>
      </c>
      <c r="B9236" s="2" t="s">
        <v>438</v>
      </c>
      <c r="C9236" s="2">
        <v>2017.0</v>
      </c>
      <c r="D9236" s="9">
        <v>43169.88</v>
      </c>
      <c r="E9236" s="10" t="str">
        <f t="array" ref="E9236">IFS(D9236&lt;=$G$3,'calculated data '!$A$3,D9236&lt;=$G$4,'calculated data '!$A$4,D9236&lt;=$G$6,'calculated data '!$A$5,D9236&gt;=$G$6,'calculated data '!$A$6)</f>
        <v>High Demand Tier</v>
      </c>
      <c r="F9236" s="10">
        <f t="shared" si="1"/>
        <v>0.4795244967</v>
      </c>
    </row>
    <row r="9237" ht="14.25" customHeight="1">
      <c r="A9237" s="2" t="s">
        <v>459</v>
      </c>
      <c r="B9237" s="2" t="s">
        <v>460</v>
      </c>
      <c r="C9237" s="2">
        <v>2018.0</v>
      </c>
      <c r="D9237" s="9">
        <v>43171.746</v>
      </c>
      <c r="E9237" s="10" t="str">
        <f t="array" ref="E9237">IFS(D9237&lt;=$G$3,'calculated data '!$A$3,D9237&lt;=$G$4,'calculated data '!$A$4,D9237&lt;=$G$6,'calculated data '!$A$5,D9237&gt;=$G$6,'calculated data '!$A$6)</f>
        <v>High Demand Tier</v>
      </c>
      <c r="F9237" s="10">
        <f t="shared" si="1"/>
        <v>0.4795738892</v>
      </c>
    </row>
    <row r="9238" ht="14.25" customHeight="1">
      <c r="A9238" s="2" t="s">
        <v>435</v>
      </c>
      <c r="B9238" s="2" t="s">
        <v>436</v>
      </c>
      <c r="C9238" s="2">
        <v>2006.0</v>
      </c>
      <c r="D9238" s="9">
        <v>43188.395</v>
      </c>
      <c r="E9238" s="10" t="str">
        <f t="array" ref="E9238">IFS(D9238&lt;=$G$3,'calculated data '!$A$3,D9238&lt;=$G$4,'calculated data '!$A$4,D9238&lt;=$G$6,'calculated data '!$A$5,D9238&gt;=$G$6,'calculated data '!$A$6)</f>
        <v>High Demand Tier</v>
      </c>
      <c r="F9238" s="10">
        <f t="shared" si="1"/>
        <v>0.4800145841</v>
      </c>
    </row>
    <row r="9239" ht="14.25" customHeight="1">
      <c r="A9239" s="2" t="s">
        <v>455</v>
      </c>
      <c r="B9239" s="2" t="s">
        <v>456</v>
      </c>
      <c r="C9239" s="2">
        <v>1971.0</v>
      </c>
      <c r="D9239" s="9">
        <v>43198.684</v>
      </c>
      <c r="E9239" s="10" t="str">
        <f t="array" ref="E9239">IFS(D9239&lt;=$G$3,'calculated data '!$A$3,D9239&lt;=$G$4,'calculated data '!$A$4,D9239&lt;=$G$6,'calculated data '!$A$5,D9239&gt;=$G$6,'calculated data '!$A$6)</f>
        <v>High Demand Tier</v>
      </c>
      <c r="F9239" s="10">
        <f t="shared" si="1"/>
        <v>0.4802869314</v>
      </c>
    </row>
    <row r="9240" ht="14.25" customHeight="1">
      <c r="A9240" s="2" t="s">
        <v>415</v>
      </c>
      <c r="B9240" s="2" t="s">
        <v>416</v>
      </c>
      <c r="C9240" s="2">
        <v>2001.0</v>
      </c>
      <c r="D9240" s="9">
        <v>43203.016</v>
      </c>
      <c r="E9240" s="10" t="str">
        <f t="array" ref="E9240">IFS(D9240&lt;=$G$3,'calculated data '!$A$3,D9240&lt;=$G$4,'calculated data '!$A$4,D9240&lt;=$G$6,'calculated data '!$A$5,D9240&gt;=$G$6,'calculated data '!$A$6)</f>
        <v>High Demand Tier</v>
      </c>
      <c r="F9240" s="10">
        <f t="shared" si="1"/>
        <v>0.4804015983</v>
      </c>
    </row>
    <row r="9241" ht="14.25" customHeight="1">
      <c r="A9241" s="2" t="s">
        <v>369</v>
      </c>
      <c r="B9241" s="2" t="s">
        <v>370</v>
      </c>
      <c r="C9241" s="2">
        <v>2012.0</v>
      </c>
      <c r="D9241" s="9">
        <v>43233.996</v>
      </c>
      <c r="E9241" s="10" t="str">
        <f t="array" ref="E9241">IFS(D9241&lt;=$G$3,'calculated data '!$A$3,D9241&lt;=$G$4,'calculated data '!$A$4,D9241&lt;=$G$6,'calculated data '!$A$5,D9241&gt;=$G$6,'calculated data '!$A$6)</f>
        <v>High Demand Tier</v>
      </c>
      <c r="F9241" s="10">
        <f t="shared" si="1"/>
        <v>0.4812216312</v>
      </c>
    </row>
    <row r="9242" ht="14.25" customHeight="1">
      <c r="A9242" s="2" t="s">
        <v>221</v>
      </c>
      <c r="B9242" s="2" t="s">
        <v>222</v>
      </c>
      <c r="C9242" s="2">
        <v>1996.0</v>
      </c>
      <c r="D9242" s="9">
        <v>43273.637</v>
      </c>
      <c r="E9242" s="10" t="str">
        <f t="array" ref="E9242">IFS(D9242&lt;=$G$3,'calculated data '!$A$3,D9242&lt;=$G$4,'calculated data '!$A$4,D9242&lt;=$G$6,'calculated data '!$A$5,D9242&gt;=$G$6,'calculated data '!$A$6)</f>
        <v>High Demand Tier</v>
      </c>
      <c r="F9242" s="10">
        <f t="shared" si="1"/>
        <v>0.4822709186</v>
      </c>
    </row>
    <row r="9243" ht="14.25" customHeight="1">
      <c r="A9243" s="2" t="s">
        <v>409</v>
      </c>
      <c r="B9243" s="2" t="s">
        <v>410</v>
      </c>
      <c r="C9243" s="2">
        <v>1999.0</v>
      </c>
      <c r="D9243" s="9">
        <v>43275.71</v>
      </c>
      <c r="E9243" s="10" t="str">
        <f t="array" ref="E9243">IFS(D9243&lt;=$G$3,'calculated data '!$A$3,D9243&lt;=$G$4,'calculated data '!$A$4,D9243&lt;=$G$6,'calculated data '!$A$5,D9243&gt;=$G$6,'calculated data '!$A$6)</f>
        <v>High Demand Tier</v>
      </c>
      <c r="F9243" s="10">
        <f t="shared" si="1"/>
        <v>0.4823257904</v>
      </c>
    </row>
    <row r="9244" ht="14.25" customHeight="1">
      <c r="A9244" s="2" t="s">
        <v>413</v>
      </c>
      <c r="B9244" s="2" t="s">
        <v>414</v>
      </c>
      <c r="C9244" s="2">
        <v>1980.0</v>
      </c>
      <c r="D9244" s="9">
        <v>43303.38</v>
      </c>
      <c r="E9244" s="10" t="str">
        <f t="array" ref="E9244">IFS(D9244&lt;=$G$3,'calculated data '!$A$3,D9244&lt;=$G$4,'calculated data '!$A$4,D9244&lt;=$G$6,'calculated data '!$A$5,D9244&gt;=$G$6,'calculated data '!$A$6)</f>
        <v>High Demand Tier</v>
      </c>
      <c r="F9244" s="10">
        <f t="shared" si="1"/>
        <v>0.4830582084</v>
      </c>
    </row>
    <row r="9245" ht="14.25" customHeight="1">
      <c r="A9245" s="2" t="s">
        <v>457</v>
      </c>
      <c r="B9245" s="2" t="s">
        <v>458</v>
      </c>
      <c r="C9245" s="2">
        <v>1976.0</v>
      </c>
      <c r="D9245" s="9">
        <v>43304.38</v>
      </c>
      <c r="E9245" s="10" t="str">
        <f t="array" ref="E9245">IFS(D9245&lt;=$G$3,'calculated data '!$A$3,D9245&lt;=$G$4,'calculated data '!$A$4,D9245&lt;=$G$6,'calculated data '!$A$5,D9245&gt;=$G$6,'calculated data '!$A$6)</f>
        <v>High Demand Tier</v>
      </c>
      <c r="F9245" s="10">
        <f t="shared" si="1"/>
        <v>0.4830846782</v>
      </c>
    </row>
    <row r="9246" ht="14.25" customHeight="1">
      <c r="A9246" s="2" t="s">
        <v>437</v>
      </c>
      <c r="B9246" s="2" t="s">
        <v>438</v>
      </c>
      <c r="C9246" s="2">
        <v>1993.0</v>
      </c>
      <c r="D9246" s="9">
        <v>43307.805</v>
      </c>
      <c r="E9246" s="10" t="str">
        <f t="array" ref="E9246">IFS(D9246&lt;=$G$3,'calculated data '!$A$3,D9246&lt;=$G$4,'calculated data '!$A$4,D9246&lt;=$G$6,'calculated data '!$A$5,D9246&gt;=$G$6,'calculated data '!$A$6)</f>
        <v>High Demand Tier</v>
      </c>
      <c r="F9246" s="10">
        <f t="shared" si="1"/>
        <v>0.4831753371</v>
      </c>
    </row>
    <row r="9247" ht="14.25" customHeight="1">
      <c r="A9247" s="2" t="s">
        <v>451</v>
      </c>
      <c r="B9247" s="2" t="s">
        <v>452</v>
      </c>
      <c r="C9247" s="2">
        <v>1977.0</v>
      </c>
      <c r="D9247" s="9">
        <v>43319.06</v>
      </c>
      <c r="E9247" s="10" t="str">
        <f t="array" ref="E9247">IFS(D9247&lt;=$G$3,'calculated data '!$A$3,D9247&lt;=$G$4,'calculated data '!$A$4,D9247&lt;=$G$6,'calculated data '!$A$5,D9247&gt;=$G$6,'calculated data '!$A$6)</f>
        <v>High Demand Tier</v>
      </c>
      <c r="F9247" s="10">
        <f t="shared" si="1"/>
        <v>0.4834732541</v>
      </c>
    </row>
    <row r="9248" ht="14.25" customHeight="1">
      <c r="A9248" s="2" t="s">
        <v>425</v>
      </c>
      <c r="B9248" s="2" t="s">
        <v>426</v>
      </c>
      <c r="C9248" s="2">
        <v>1986.0</v>
      </c>
      <c r="D9248" s="9">
        <v>43330.895</v>
      </c>
      <c r="E9248" s="10" t="str">
        <f t="array" ref="E9248">IFS(D9248&lt;=$G$3,'calculated data '!$A$3,D9248&lt;=$G$4,'calculated data '!$A$4,D9248&lt;=$G$6,'calculated data '!$A$5,D9248&gt;=$G$6,'calculated data '!$A$6)</f>
        <v>High Demand Tier</v>
      </c>
      <c r="F9248" s="10">
        <f t="shared" si="1"/>
        <v>0.4837865236</v>
      </c>
    </row>
    <row r="9249" ht="14.25" customHeight="1">
      <c r="A9249" s="2" t="s">
        <v>425</v>
      </c>
      <c r="B9249" s="2" t="s">
        <v>426</v>
      </c>
      <c r="C9249" s="2">
        <v>1976.0</v>
      </c>
      <c r="D9249" s="9">
        <v>43334.562</v>
      </c>
      <c r="E9249" s="10" t="str">
        <f t="array" ref="E9249">IFS(D9249&lt;=$G$3,'calculated data '!$A$3,D9249&lt;=$G$4,'calculated data '!$A$4,D9249&lt;=$G$6,'calculated data '!$A$5,D9249&gt;=$G$6,'calculated data '!$A$6)</f>
        <v>High Demand Tier</v>
      </c>
      <c r="F9249" s="10">
        <f t="shared" si="1"/>
        <v>0.4838835882</v>
      </c>
    </row>
    <row r="9250" ht="14.25" customHeight="1">
      <c r="A9250" s="2" t="s">
        <v>309</v>
      </c>
      <c r="B9250" s="2" t="s">
        <v>310</v>
      </c>
      <c r="C9250" s="2">
        <v>2014.0</v>
      </c>
      <c r="D9250" s="9">
        <v>43335.48</v>
      </c>
      <c r="E9250" s="10" t="str">
        <f t="array" ref="E9250">IFS(D9250&lt;=$G$3,'calculated data '!$A$3,D9250&lt;=$G$4,'calculated data '!$A$4,D9250&lt;=$G$6,'calculated data '!$A$5,D9250&gt;=$G$6,'calculated data '!$A$6)</f>
        <v>High Demand Tier</v>
      </c>
      <c r="F9250" s="10">
        <f t="shared" si="1"/>
        <v>0.4839078874</v>
      </c>
    </row>
    <row r="9251" ht="14.25" customHeight="1">
      <c r="A9251" s="2" t="s">
        <v>435</v>
      </c>
      <c r="B9251" s="2" t="s">
        <v>436</v>
      </c>
      <c r="C9251" s="2">
        <v>1999.0</v>
      </c>
      <c r="D9251" s="9">
        <v>43393.105</v>
      </c>
      <c r="E9251" s="10" t="str">
        <f t="array" ref="E9251">IFS(D9251&lt;=$G$3,'calculated data '!$A$3,D9251&lt;=$G$4,'calculated data '!$A$4,D9251&lt;=$G$6,'calculated data '!$A$5,D9251&gt;=$G$6,'calculated data '!$A$6)</f>
        <v>High Demand Tier</v>
      </c>
      <c r="F9251" s="10">
        <f t="shared" si="1"/>
        <v>0.4854332068</v>
      </c>
    </row>
    <row r="9252" ht="14.25" customHeight="1">
      <c r="A9252" s="2" t="s">
        <v>473</v>
      </c>
      <c r="B9252" s="2" t="s">
        <v>474</v>
      </c>
      <c r="C9252" s="2">
        <v>2022.0</v>
      </c>
      <c r="D9252" s="9">
        <v>43394.902</v>
      </c>
      <c r="E9252" s="10" t="str">
        <f t="array" ref="E9252">IFS(D9252&lt;=$G$3,'calculated data '!$A$3,D9252&lt;=$G$4,'calculated data '!$A$4,D9252&lt;=$G$6,'calculated data '!$A$5,D9252&gt;=$G$6,'calculated data '!$A$6)</f>
        <v>High Demand Tier</v>
      </c>
      <c r="F9252" s="10">
        <f t="shared" si="1"/>
        <v>0.485480773</v>
      </c>
    </row>
    <row r="9253" ht="14.25" customHeight="1">
      <c r="A9253" s="2" t="s">
        <v>369</v>
      </c>
      <c r="B9253" s="2" t="s">
        <v>370</v>
      </c>
      <c r="C9253" s="2">
        <v>1993.0</v>
      </c>
      <c r="D9253" s="9">
        <v>43398.934</v>
      </c>
      <c r="E9253" s="10" t="str">
        <f t="array" ref="E9253">IFS(D9253&lt;=$G$3,'calculated data '!$A$3,D9253&lt;=$G$4,'calculated data '!$A$4,D9253&lt;=$G$6,'calculated data '!$A$5,D9253&gt;=$G$6,'calculated data '!$A$6)</f>
        <v>High Demand Tier</v>
      </c>
      <c r="F9253" s="10">
        <f t="shared" si="1"/>
        <v>0.485587499</v>
      </c>
    </row>
    <row r="9254" ht="14.25" customHeight="1">
      <c r="A9254" s="2" t="s">
        <v>415</v>
      </c>
      <c r="B9254" s="2" t="s">
        <v>416</v>
      </c>
      <c r="C9254" s="2">
        <v>1986.0</v>
      </c>
      <c r="D9254" s="9">
        <v>43418.645</v>
      </c>
      <c r="E9254" s="10" t="str">
        <f t="array" ref="E9254">IFS(D9254&lt;=$G$3,'calculated data '!$A$3,D9254&lt;=$G$4,'calculated data '!$A$4,D9254&lt;=$G$6,'calculated data '!$A$5,D9254&gt;=$G$6,'calculated data '!$A$6)</f>
        <v>High Demand Tier</v>
      </c>
      <c r="F9254" s="10">
        <f t="shared" si="1"/>
        <v>0.4861092442</v>
      </c>
    </row>
    <row r="9255" ht="14.25" customHeight="1">
      <c r="A9255" s="2" t="s">
        <v>451</v>
      </c>
      <c r="B9255" s="2" t="s">
        <v>452</v>
      </c>
      <c r="C9255" s="2">
        <v>1980.0</v>
      </c>
      <c r="D9255" s="9">
        <v>43422.59</v>
      </c>
      <c r="E9255" s="10" t="str">
        <f t="array" ref="E9255">IFS(D9255&lt;=$G$3,'calculated data '!$A$3,D9255&lt;=$G$4,'calculated data '!$A$4,D9255&lt;=$G$6,'calculated data '!$A$5,D9255&gt;=$G$6,'calculated data '!$A$6)</f>
        <v>High Demand Tier</v>
      </c>
      <c r="F9255" s="10">
        <f t="shared" si="1"/>
        <v>0.4862136674</v>
      </c>
    </row>
    <row r="9256" ht="14.25" customHeight="1">
      <c r="A9256" s="2" t="s">
        <v>443</v>
      </c>
      <c r="B9256" s="2" t="s">
        <v>444</v>
      </c>
      <c r="C9256" s="2">
        <v>2006.0</v>
      </c>
      <c r="D9256" s="9">
        <v>43446.066</v>
      </c>
      <c r="E9256" s="10" t="str">
        <f t="array" ref="E9256">IFS(D9256&lt;=$G$3,'calculated data '!$A$3,D9256&lt;=$G$4,'calculated data '!$A$4,D9256&lt;=$G$6,'calculated data '!$A$5,D9256&gt;=$G$6,'calculated data '!$A$6)</f>
        <v>High Demand Tier</v>
      </c>
      <c r="F9256" s="10">
        <f t="shared" si="1"/>
        <v>0.4868350713</v>
      </c>
    </row>
    <row r="9257" ht="14.25" customHeight="1">
      <c r="A9257" s="2" t="s">
        <v>399</v>
      </c>
      <c r="B9257" s="2" t="s">
        <v>400</v>
      </c>
      <c r="C9257" s="2">
        <v>1984.0</v>
      </c>
      <c r="D9257" s="9">
        <v>43447.81</v>
      </c>
      <c r="E9257" s="10" t="str">
        <f t="array" ref="E9257">IFS(D9257&lt;=$G$3,'calculated data '!$A$3,D9257&lt;=$G$4,'calculated data '!$A$4,D9257&lt;=$G$6,'calculated data '!$A$5,D9257&gt;=$G$6,'calculated data '!$A$6)</f>
        <v>High Demand Tier</v>
      </c>
      <c r="F9257" s="10">
        <f t="shared" si="1"/>
        <v>0.4868812345</v>
      </c>
    </row>
    <row r="9258" ht="14.25" customHeight="1">
      <c r="A9258" s="2" t="s">
        <v>391</v>
      </c>
      <c r="B9258" s="2" t="s">
        <v>392</v>
      </c>
      <c r="C9258" s="2">
        <v>2022.0</v>
      </c>
      <c r="D9258" s="9">
        <v>43462.996</v>
      </c>
      <c r="E9258" s="10" t="str">
        <f t="array" ref="E9258">IFS(D9258&lt;=$G$3,'calculated data '!$A$3,D9258&lt;=$G$4,'calculated data '!$A$4,D9258&lt;=$G$6,'calculated data '!$A$5,D9258&gt;=$G$6,'calculated data '!$A$6)</f>
        <v>High Demand Tier</v>
      </c>
      <c r="F9258" s="10">
        <f t="shared" si="1"/>
        <v>0.4872832042</v>
      </c>
    </row>
    <row r="9259" ht="14.25" customHeight="1">
      <c r="A9259" s="2" t="s">
        <v>381</v>
      </c>
      <c r="B9259" s="2" t="s">
        <v>382</v>
      </c>
      <c r="C9259" s="2">
        <v>2004.0</v>
      </c>
      <c r="D9259" s="9">
        <v>43469.78</v>
      </c>
      <c r="E9259" s="10" t="str">
        <f t="array" ref="E9259">IFS(D9259&lt;=$G$3,'calculated data '!$A$3,D9259&lt;=$G$4,'calculated data '!$A$4,D9259&lt;=$G$6,'calculated data '!$A$5,D9259&gt;=$G$6,'calculated data '!$A$6)</f>
        <v>High Demand Tier</v>
      </c>
      <c r="F9259" s="10">
        <f t="shared" si="1"/>
        <v>0.487462775</v>
      </c>
    </row>
    <row r="9260" ht="14.25" customHeight="1">
      <c r="A9260" s="2" t="s">
        <v>397</v>
      </c>
      <c r="B9260" s="2" t="s">
        <v>398</v>
      </c>
      <c r="C9260" s="2">
        <v>1976.0</v>
      </c>
      <c r="D9260" s="9">
        <v>43485.562</v>
      </c>
      <c r="E9260" s="10" t="str">
        <f t="array" ref="E9260">IFS(D9260&lt;=$G$3,'calculated data '!$A$3,D9260&lt;=$G$4,'calculated data '!$A$4,D9260&lt;=$G$6,'calculated data '!$A$5,D9260&gt;=$G$6,'calculated data '!$A$6)</f>
        <v>High Demand Tier</v>
      </c>
      <c r="F9260" s="10">
        <f t="shared" si="1"/>
        <v>0.4878805206</v>
      </c>
    </row>
    <row r="9261" ht="14.25" customHeight="1">
      <c r="A9261" s="2" t="s">
        <v>411</v>
      </c>
      <c r="B9261" s="2" t="s">
        <v>412</v>
      </c>
      <c r="C9261" s="2">
        <v>2001.0</v>
      </c>
      <c r="D9261" s="9">
        <v>43521.062</v>
      </c>
      <c r="E9261" s="10" t="str">
        <f t="array" ref="E9261">IFS(D9261&lt;=$G$3,'calculated data '!$A$3,D9261&lt;=$G$4,'calculated data '!$A$4,D9261&lt;=$G$6,'calculated data '!$A$5,D9261&gt;=$G$6,'calculated data '!$A$6)</f>
        <v>High Demand Tier</v>
      </c>
      <c r="F9261" s="10">
        <f t="shared" si="1"/>
        <v>0.4888201967</v>
      </c>
    </row>
    <row r="9262" ht="14.25" customHeight="1">
      <c r="A9262" s="2" t="s">
        <v>435</v>
      </c>
      <c r="B9262" s="2" t="s">
        <v>436</v>
      </c>
      <c r="C9262" s="2">
        <v>1990.0</v>
      </c>
      <c r="D9262" s="9">
        <v>43528.78</v>
      </c>
      <c r="E9262" s="10" t="str">
        <f t="array" ref="E9262">IFS(D9262&lt;=$G$3,'calculated data '!$A$3,D9262&lt;=$G$4,'calculated data '!$A$4,D9262&lt;=$G$6,'calculated data '!$A$5,D9262&gt;=$G$6,'calculated data '!$A$6)</f>
        <v>High Demand Tier</v>
      </c>
      <c r="F9262" s="10">
        <f t="shared" si="1"/>
        <v>0.4890244903</v>
      </c>
    </row>
    <row r="9263" ht="14.25" customHeight="1">
      <c r="A9263" s="2" t="s">
        <v>453</v>
      </c>
      <c r="B9263" s="2" t="s">
        <v>454</v>
      </c>
      <c r="C9263" s="2">
        <v>1980.0</v>
      </c>
      <c r="D9263" s="9">
        <v>43542.195</v>
      </c>
      <c r="E9263" s="10" t="str">
        <f t="array" ref="E9263">IFS(D9263&lt;=$G$3,'calculated data '!$A$3,D9263&lt;=$G$4,'calculated data '!$A$4,D9263&lt;=$G$6,'calculated data '!$A$5,D9263&gt;=$G$6,'calculated data '!$A$6)</f>
        <v>High Demand Tier</v>
      </c>
      <c r="F9263" s="10">
        <f t="shared" si="1"/>
        <v>0.489379582</v>
      </c>
    </row>
    <row r="9264" ht="14.25" customHeight="1">
      <c r="A9264" s="2" t="s">
        <v>459</v>
      </c>
      <c r="B9264" s="2" t="s">
        <v>460</v>
      </c>
      <c r="C9264" s="2">
        <v>1969.0</v>
      </c>
      <c r="D9264" s="9">
        <v>43542.695</v>
      </c>
      <c r="E9264" s="10" t="str">
        <f t="array" ref="E9264">IFS(D9264&lt;=$G$3,'calculated data '!$A$3,D9264&lt;=$G$4,'calculated data '!$A$4,D9264&lt;=$G$6,'calculated data '!$A$5,D9264&gt;=$G$6,'calculated data '!$A$6)</f>
        <v>High Demand Tier</v>
      </c>
      <c r="F9264" s="10">
        <f t="shared" si="1"/>
        <v>0.4893928169</v>
      </c>
    </row>
    <row r="9265" ht="14.25" customHeight="1">
      <c r="A9265" s="2" t="s">
        <v>433</v>
      </c>
      <c r="B9265" s="2" t="s">
        <v>434</v>
      </c>
      <c r="C9265" s="2">
        <v>1987.0</v>
      </c>
      <c r="D9265" s="9">
        <v>43551.215</v>
      </c>
      <c r="E9265" s="10" t="str">
        <f t="array" ref="E9265">IFS(D9265&lt;=$G$3,'calculated data '!$A$3,D9265&lt;=$G$4,'calculated data '!$A$4,D9265&lt;=$G$6,'calculated data '!$A$5,D9265&gt;=$G$6,'calculated data '!$A$6)</f>
        <v>High Demand Tier</v>
      </c>
      <c r="F9265" s="10">
        <f t="shared" si="1"/>
        <v>0.4896183391</v>
      </c>
    </row>
    <row r="9266" ht="14.25" customHeight="1">
      <c r="A9266" s="2" t="s">
        <v>437</v>
      </c>
      <c r="B9266" s="2" t="s">
        <v>438</v>
      </c>
      <c r="C9266" s="2">
        <v>1989.0</v>
      </c>
      <c r="D9266" s="9">
        <v>43580.18</v>
      </c>
      <c r="E9266" s="10" t="str">
        <f t="array" ref="E9266">IFS(D9266&lt;=$G$3,'calculated data '!$A$3,D9266&lt;=$G$4,'calculated data '!$A$4,D9266&lt;=$G$6,'calculated data '!$A$5,D9266&gt;=$G$6,'calculated data '!$A$6)</f>
        <v>High Demand Tier</v>
      </c>
      <c r="F9266" s="10">
        <f t="shared" si="1"/>
        <v>0.4903850355</v>
      </c>
    </row>
    <row r="9267" ht="14.25" customHeight="1">
      <c r="A9267" s="2" t="s">
        <v>391</v>
      </c>
      <c r="B9267" s="2" t="s">
        <v>392</v>
      </c>
      <c r="C9267" s="2">
        <v>1995.0</v>
      </c>
      <c r="D9267" s="9">
        <v>43582.0</v>
      </c>
      <c r="E9267" s="10" t="str">
        <f t="array" ref="E9267">IFS(D9267&lt;=$G$3,'calculated data '!$A$3,D9267&lt;=$G$4,'calculated data '!$A$4,D9267&lt;=$G$6,'calculated data '!$A$5,D9267&gt;=$G$6,'calculated data '!$A$6)</f>
        <v>High Demand Tier</v>
      </c>
      <c r="F9267" s="10">
        <f t="shared" si="1"/>
        <v>0.4904332104</v>
      </c>
    </row>
    <row r="9268" ht="14.25" customHeight="1">
      <c r="A9268" s="2" t="s">
        <v>409</v>
      </c>
      <c r="B9268" s="2" t="s">
        <v>410</v>
      </c>
      <c r="C9268" s="2">
        <v>2007.0</v>
      </c>
      <c r="D9268" s="9">
        <v>43583.34</v>
      </c>
      <c r="E9268" s="10" t="str">
        <f t="array" ref="E9268">IFS(D9268&lt;=$G$3,'calculated data '!$A$3,D9268&lt;=$G$4,'calculated data '!$A$4,D9268&lt;=$G$6,'calculated data '!$A$5,D9268&gt;=$G$6,'calculated data '!$A$6)</f>
        <v>High Demand Tier</v>
      </c>
      <c r="F9268" s="10">
        <f t="shared" si="1"/>
        <v>0.4904686799</v>
      </c>
    </row>
    <row r="9269" ht="14.25" customHeight="1">
      <c r="A9269" s="2" t="s">
        <v>47</v>
      </c>
      <c r="B9269" s="2" t="s">
        <v>48</v>
      </c>
      <c r="C9269" s="2">
        <v>2019.0</v>
      </c>
      <c r="D9269" s="9">
        <v>43592.02</v>
      </c>
      <c r="E9269" s="10" t="str">
        <f t="array" ref="E9269">IFS(D9269&lt;=$G$3,'calculated data '!$A$3,D9269&lt;=$G$4,'calculated data '!$A$4,D9269&lt;=$G$6,'calculated data '!$A$5,D9269&gt;=$G$6,'calculated data '!$A$6)</f>
        <v>High Demand Tier</v>
      </c>
      <c r="F9269" s="10">
        <f t="shared" si="1"/>
        <v>0.4906984373</v>
      </c>
    </row>
    <row r="9270" ht="14.25" customHeight="1">
      <c r="A9270" s="2" t="s">
        <v>425</v>
      </c>
      <c r="B9270" s="2" t="s">
        <v>426</v>
      </c>
      <c r="C9270" s="2">
        <v>1989.0</v>
      </c>
      <c r="D9270" s="9">
        <v>43600.555</v>
      </c>
      <c r="E9270" s="10" t="str">
        <f t="array" ref="E9270">IFS(D9270&lt;=$G$3,'calculated data '!$A$3,D9270&lt;=$G$4,'calculated data '!$A$4,D9270&lt;=$G$6,'calculated data '!$A$5,D9270&gt;=$G$6,'calculated data '!$A$6)</f>
        <v>High Demand Tier</v>
      </c>
      <c r="F9270" s="10">
        <f t="shared" si="1"/>
        <v>0.4909243566</v>
      </c>
    </row>
    <row r="9271" ht="14.25" customHeight="1">
      <c r="A9271" s="2" t="s">
        <v>381</v>
      </c>
      <c r="B9271" s="2" t="s">
        <v>382</v>
      </c>
      <c r="C9271" s="2">
        <v>2001.0</v>
      </c>
      <c r="D9271" s="9">
        <v>43604.746</v>
      </c>
      <c r="E9271" s="10" t="str">
        <f t="array" ref="E9271">IFS(D9271&lt;=$G$3,'calculated data '!$A$3,D9271&lt;=$G$4,'calculated data '!$A$4,D9271&lt;=$G$6,'calculated data '!$A$5,D9271&gt;=$G$6,'calculated data '!$A$6)</f>
        <v>High Demand Tier</v>
      </c>
      <c r="F9271" s="10">
        <f t="shared" si="1"/>
        <v>0.4910352914</v>
      </c>
    </row>
    <row r="9272" ht="14.25" customHeight="1">
      <c r="A9272" s="2" t="s">
        <v>309</v>
      </c>
      <c r="B9272" s="2" t="s">
        <v>310</v>
      </c>
      <c r="C9272" s="2">
        <v>2007.0</v>
      </c>
      <c r="D9272" s="9">
        <v>43608.938</v>
      </c>
      <c r="E9272" s="10" t="str">
        <f t="array" ref="E9272">IFS(D9272&lt;=$G$3,'calculated data '!$A$3,D9272&lt;=$G$4,'calculated data '!$A$4,D9272&lt;=$G$6,'calculated data '!$A$5,D9272&gt;=$G$6,'calculated data '!$A$6)</f>
        <v>High Demand Tier</v>
      </c>
      <c r="F9272" s="10">
        <f t="shared" si="1"/>
        <v>0.4911462526</v>
      </c>
    </row>
    <row r="9273" ht="14.25" customHeight="1">
      <c r="A9273" s="2" t="s">
        <v>425</v>
      </c>
      <c r="B9273" s="2" t="s">
        <v>426</v>
      </c>
      <c r="C9273" s="2">
        <v>1968.0</v>
      </c>
      <c r="D9273" s="9">
        <v>43612.617</v>
      </c>
      <c r="E9273" s="10" t="str">
        <f t="array" ref="E9273">IFS(D9273&lt;=$G$3,'calculated data '!$A$3,D9273&lt;=$G$4,'calculated data '!$A$4,D9273&lt;=$G$6,'calculated data '!$A$5,D9273&gt;=$G$6,'calculated data '!$A$6)</f>
        <v>High Demand Tier</v>
      </c>
      <c r="F9273" s="10">
        <f t="shared" si="1"/>
        <v>0.4912436348</v>
      </c>
    </row>
    <row r="9274" ht="14.25" customHeight="1">
      <c r="A9274" s="2" t="s">
        <v>465</v>
      </c>
      <c r="B9274" s="2" t="s">
        <v>466</v>
      </c>
      <c r="C9274" s="2">
        <v>1995.0</v>
      </c>
      <c r="D9274" s="9">
        <v>43625.367</v>
      </c>
      <c r="E9274" s="10" t="str">
        <f t="array" ref="E9274">IFS(D9274&lt;=$G$3,'calculated data '!$A$3,D9274&lt;=$G$4,'calculated data '!$A$4,D9274&lt;=$G$6,'calculated data '!$A$5,D9274&gt;=$G$6,'calculated data '!$A$6)</f>
        <v>High Demand Tier</v>
      </c>
      <c r="F9274" s="10">
        <f t="shared" si="1"/>
        <v>0.4915811241</v>
      </c>
    </row>
    <row r="9275" ht="14.25" customHeight="1">
      <c r="A9275" s="2" t="s">
        <v>307</v>
      </c>
      <c r="B9275" s="2" t="s">
        <v>308</v>
      </c>
      <c r="C9275" s="2">
        <v>2019.0</v>
      </c>
      <c r="D9275" s="9">
        <v>43634.25</v>
      </c>
      <c r="E9275" s="10" t="str">
        <f t="array" ref="E9275">IFS(D9275&lt;=$G$3,'calculated data '!$A$3,D9275&lt;=$G$4,'calculated data '!$A$4,D9275&lt;=$G$6,'calculated data '!$A$5,D9275&gt;=$G$6,'calculated data '!$A$6)</f>
        <v>High Demand Tier</v>
      </c>
      <c r="F9275" s="10">
        <f t="shared" si="1"/>
        <v>0.4918162549</v>
      </c>
    </row>
    <row r="9276" ht="14.25" customHeight="1">
      <c r="A9276" s="2" t="s">
        <v>425</v>
      </c>
      <c r="B9276" s="2" t="s">
        <v>426</v>
      </c>
      <c r="C9276" s="2">
        <v>1988.0</v>
      </c>
      <c r="D9276" s="9">
        <v>43635.12</v>
      </c>
      <c r="E9276" s="10" t="str">
        <f t="array" ref="E9276">IFS(D9276&lt;=$G$3,'calculated data '!$A$3,D9276&lt;=$G$4,'calculated data '!$A$4,D9276&lt;=$G$6,'calculated data '!$A$5,D9276&gt;=$G$6,'calculated data '!$A$6)</f>
        <v>High Demand Tier</v>
      </c>
      <c r="F9276" s="10">
        <f t="shared" si="1"/>
        <v>0.4918392836</v>
      </c>
    </row>
    <row r="9277" ht="14.25" customHeight="1">
      <c r="A9277" s="2" t="s">
        <v>401</v>
      </c>
      <c r="B9277" s="2" t="s">
        <v>402</v>
      </c>
      <c r="C9277" s="2">
        <v>2005.0</v>
      </c>
      <c r="D9277" s="9">
        <v>43665.06</v>
      </c>
      <c r="E9277" s="10" t="str">
        <f t="array" ref="E9277">IFS(D9277&lt;=$G$3,'calculated data '!$A$3,D9277&lt;=$G$4,'calculated data '!$A$4,D9277&lt;=$G$6,'calculated data '!$A$5,D9277&gt;=$G$6,'calculated data '!$A$6)</f>
        <v>High Demand Tier</v>
      </c>
      <c r="F9277" s="10">
        <f t="shared" si="1"/>
        <v>0.4926317879</v>
      </c>
    </row>
    <row r="9278" ht="14.25" customHeight="1">
      <c r="A9278" s="2" t="s">
        <v>467</v>
      </c>
      <c r="B9278" s="2" t="s">
        <v>468</v>
      </c>
      <c r="C9278" s="2">
        <v>1970.0</v>
      </c>
      <c r="D9278" s="9">
        <v>43665.164</v>
      </c>
      <c r="E9278" s="10" t="str">
        <f t="array" ref="E9278">IFS(D9278&lt;=$G$3,'calculated data '!$A$3,D9278&lt;=$G$4,'calculated data '!$A$4,D9278&lt;=$G$6,'calculated data '!$A$5,D9278&gt;=$G$6,'calculated data '!$A$6)</f>
        <v>High Demand Tier</v>
      </c>
      <c r="F9278" s="10">
        <f t="shared" si="1"/>
        <v>0.4926345408</v>
      </c>
    </row>
    <row r="9279" ht="14.25" customHeight="1">
      <c r="A9279" s="2" t="s">
        <v>447</v>
      </c>
      <c r="B9279" s="2" t="s">
        <v>448</v>
      </c>
      <c r="C9279" s="2">
        <v>2008.0</v>
      </c>
      <c r="D9279" s="9">
        <v>43666.234</v>
      </c>
      <c r="E9279" s="10" t="str">
        <f t="array" ref="E9279">IFS(D9279&lt;=$G$3,'calculated data '!$A$3,D9279&lt;=$G$4,'calculated data '!$A$4,D9279&lt;=$G$6,'calculated data '!$A$5,D9279&gt;=$G$6,'calculated data '!$A$6)</f>
        <v>High Demand Tier</v>
      </c>
      <c r="F9279" s="10">
        <f t="shared" si="1"/>
        <v>0.4926628634</v>
      </c>
    </row>
    <row r="9280" ht="14.25" customHeight="1">
      <c r="A9280" s="2" t="s">
        <v>445</v>
      </c>
      <c r="B9280" s="2" t="s">
        <v>446</v>
      </c>
      <c r="C9280" s="2">
        <v>1975.0</v>
      </c>
      <c r="D9280" s="9">
        <v>43678.516</v>
      </c>
      <c r="E9280" s="10" t="str">
        <f t="array" ref="E9280">IFS(D9280&lt;=$G$3,'calculated data '!$A$3,D9280&lt;=$G$4,'calculated data '!$A$4,D9280&lt;=$G$6,'calculated data '!$A$5,D9280&gt;=$G$6,'calculated data '!$A$6)</f>
        <v>High Demand Tier</v>
      </c>
      <c r="F9280" s="10">
        <f t="shared" si="1"/>
        <v>0.4929879649</v>
      </c>
    </row>
    <row r="9281" ht="14.25" customHeight="1">
      <c r="A9281" s="2" t="s">
        <v>407</v>
      </c>
      <c r="B9281" s="2" t="s">
        <v>408</v>
      </c>
      <c r="C9281" s="2">
        <v>2025.0</v>
      </c>
      <c r="D9281" s="9">
        <v>43679.35</v>
      </c>
      <c r="E9281" s="10" t="str">
        <f t="array" ref="E9281">IFS(D9281&lt;=$G$3,'calculated data '!$A$3,D9281&lt;=$G$4,'calculated data '!$A$4,D9281&lt;=$G$6,'calculated data '!$A$5,D9281&gt;=$G$6,'calculated data '!$A$6)</f>
        <v>High Demand Tier</v>
      </c>
      <c r="F9281" s="10">
        <f t="shared" si="1"/>
        <v>0.4930100407</v>
      </c>
    </row>
    <row r="9282" ht="14.25" customHeight="1">
      <c r="A9282" s="2" t="s">
        <v>283</v>
      </c>
      <c r="B9282" s="2" t="s">
        <v>284</v>
      </c>
      <c r="C9282" s="2">
        <v>1971.0</v>
      </c>
      <c r="D9282" s="9">
        <v>43690.133</v>
      </c>
      <c r="E9282" s="10" t="str">
        <f t="array" ref="E9282">IFS(D9282&lt;=$G$3,'calculated data '!$A$3,D9282&lt;=$G$4,'calculated data '!$A$4,D9282&lt;=$G$6,'calculated data '!$A$5,D9282&gt;=$G$6,'calculated data '!$A$6)</f>
        <v>High Demand Tier</v>
      </c>
      <c r="F9282" s="10">
        <f t="shared" si="1"/>
        <v>0.493295464</v>
      </c>
    </row>
    <row r="9283" ht="14.25" customHeight="1">
      <c r="A9283" s="2" t="s">
        <v>459</v>
      </c>
      <c r="B9283" s="2" t="s">
        <v>460</v>
      </c>
      <c r="C9283" s="2">
        <v>2014.0</v>
      </c>
      <c r="D9283" s="9">
        <v>43706.88</v>
      </c>
      <c r="E9283" s="10" t="str">
        <f t="array" ref="E9283">IFS(D9283&lt;=$G$3,'calculated data '!$A$3,D9283&lt;=$G$4,'calculated data '!$A$4,D9283&lt;=$G$6,'calculated data '!$A$5,D9283&gt;=$G$6,'calculated data '!$A$6)</f>
        <v>High Demand Tier</v>
      </c>
      <c r="F9283" s="10">
        <f t="shared" si="1"/>
        <v>0.4937387529</v>
      </c>
    </row>
    <row r="9284" ht="14.25" customHeight="1">
      <c r="A9284" s="2" t="s">
        <v>459</v>
      </c>
      <c r="B9284" s="2" t="s">
        <v>460</v>
      </c>
      <c r="C9284" s="2">
        <v>2015.0</v>
      </c>
      <c r="D9284" s="9">
        <v>43707.9</v>
      </c>
      <c r="E9284" s="10" t="str">
        <f t="array" ref="E9284">IFS(D9284&lt;=$G$3,'calculated data '!$A$3,D9284&lt;=$G$4,'calculated data '!$A$4,D9284&lt;=$G$6,'calculated data '!$A$5,D9284&gt;=$G$6,'calculated data '!$A$6)</f>
        <v>High Demand Tier</v>
      </c>
      <c r="F9284" s="10">
        <f t="shared" si="1"/>
        <v>0.4937657521</v>
      </c>
    </row>
    <row r="9285" ht="14.25" customHeight="1">
      <c r="A9285" s="2" t="s">
        <v>309</v>
      </c>
      <c r="B9285" s="2" t="s">
        <v>310</v>
      </c>
      <c r="C9285" s="2">
        <v>2009.0</v>
      </c>
      <c r="D9285" s="9">
        <v>43719.715</v>
      </c>
      <c r="E9285" s="10" t="str">
        <f t="array" ref="E9285">IFS(D9285&lt;=$G$3,'calculated data '!$A$3,D9285&lt;=$G$4,'calculated data '!$A$4,D9285&lt;=$G$6,'calculated data '!$A$5,D9285&gt;=$G$6,'calculated data '!$A$6)</f>
        <v>High Demand Tier</v>
      </c>
      <c r="F9285" s="10">
        <f t="shared" si="1"/>
        <v>0.4940784922</v>
      </c>
    </row>
    <row r="9286" ht="14.25" customHeight="1">
      <c r="A9286" s="2" t="s">
        <v>433</v>
      </c>
      <c r="B9286" s="2" t="s">
        <v>434</v>
      </c>
      <c r="C9286" s="2">
        <v>1988.0</v>
      </c>
      <c r="D9286" s="9">
        <v>43727.258</v>
      </c>
      <c r="E9286" s="10" t="str">
        <f t="array" ref="E9286">IFS(D9286&lt;=$G$3,'calculated data '!$A$3,D9286&lt;=$G$4,'calculated data '!$A$4,D9286&lt;=$G$6,'calculated data '!$A$5,D9286&gt;=$G$6,'calculated data '!$A$6)</f>
        <v>High Demand Tier</v>
      </c>
      <c r="F9286" s="10">
        <f t="shared" si="1"/>
        <v>0.4942781535</v>
      </c>
    </row>
    <row r="9287" ht="14.25" customHeight="1">
      <c r="A9287" s="2" t="s">
        <v>475</v>
      </c>
      <c r="B9287" s="2" t="s">
        <v>476</v>
      </c>
      <c r="C9287" s="2">
        <v>2023.0</v>
      </c>
      <c r="D9287" s="9">
        <v>43731.336</v>
      </c>
      <c r="E9287" s="10" t="str">
        <f t="array" ref="E9287">IFS(D9287&lt;=$G$3,'calculated data '!$A$3,D9287&lt;=$G$4,'calculated data '!$A$4,D9287&lt;=$G$6,'calculated data '!$A$5,D9287&gt;=$G$6,'calculated data '!$A$6)</f>
        <v>High Demand Tier</v>
      </c>
      <c r="F9287" s="10">
        <f t="shared" si="1"/>
        <v>0.4943860971</v>
      </c>
    </row>
    <row r="9288" ht="14.25" customHeight="1">
      <c r="A9288" s="2" t="s">
        <v>403</v>
      </c>
      <c r="B9288" s="2" t="s">
        <v>404</v>
      </c>
      <c r="C9288" s="2">
        <v>2019.0</v>
      </c>
      <c r="D9288" s="9">
        <v>43732.285</v>
      </c>
      <c r="E9288" s="10" t="str">
        <f t="array" ref="E9288">IFS(D9288&lt;=$G$3,'calculated data '!$A$3,D9288&lt;=$G$4,'calculated data '!$A$4,D9288&lt;=$G$6,'calculated data '!$A$5,D9288&gt;=$G$6,'calculated data '!$A$6)</f>
        <v>High Demand Tier</v>
      </c>
      <c r="F9288" s="10">
        <f t="shared" si="1"/>
        <v>0.4944112169</v>
      </c>
    </row>
    <row r="9289" ht="14.25" customHeight="1">
      <c r="A9289" s="2" t="s">
        <v>425</v>
      </c>
      <c r="B9289" s="2" t="s">
        <v>426</v>
      </c>
      <c r="C9289" s="2">
        <v>1990.0</v>
      </c>
      <c r="D9289" s="9">
        <v>43769.113</v>
      </c>
      <c r="E9289" s="10" t="str">
        <f t="array" ref="E9289">IFS(D9289&lt;=$G$3,'calculated data '!$A$3,D9289&lt;=$G$4,'calculated data '!$A$4,D9289&lt;=$G$6,'calculated data '!$A$5,D9289&gt;=$G$6,'calculated data '!$A$6)</f>
        <v>High Demand Tier</v>
      </c>
      <c r="F9289" s="10">
        <f t="shared" si="1"/>
        <v>0.4953860449</v>
      </c>
    </row>
    <row r="9290" ht="14.25" customHeight="1">
      <c r="A9290" s="2" t="s">
        <v>473</v>
      </c>
      <c r="B9290" s="2" t="s">
        <v>474</v>
      </c>
      <c r="C9290" s="2">
        <v>1999.0</v>
      </c>
      <c r="D9290" s="9">
        <v>43791.754</v>
      </c>
      <c r="E9290" s="10" t="str">
        <f t="array" ref="E9290">IFS(D9290&lt;=$G$3,'calculated data '!$A$3,D9290&lt;=$G$4,'calculated data '!$A$4,D9290&lt;=$G$6,'calculated data '!$A$5,D9290&gt;=$G$6,'calculated data '!$A$6)</f>
        <v>High Demand Tier</v>
      </c>
      <c r="F9290" s="10">
        <f t="shared" si="1"/>
        <v>0.4959853466</v>
      </c>
    </row>
    <row r="9291" ht="14.25" customHeight="1">
      <c r="A9291" s="2" t="s">
        <v>437</v>
      </c>
      <c r="B9291" s="2" t="s">
        <v>438</v>
      </c>
      <c r="C9291" s="2">
        <v>2016.0</v>
      </c>
      <c r="D9291" s="9">
        <v>43793.895</v>
      </c>
      <c r="E9291" s="10" t="str">
        <f t="array" ref="E9291">IFS(D9291&lt;=$G$3,'calculated data '!$A$3,D9291&lt;=$G$4,'calculated data '!$A$4,D9291&lt;=$G$6,'calculated data '!$A$5,D9291&gt;=$G$6,'calculated data '!$A$6)</f>
        <v>High Demand Tier</v>
      </c>
      <c r="F9291" s="10">
        <f t="shared" si="1"/>
        <v>0.4960420183</v>
      </c>
    </row>
    <row r="9292" ht="14.25" customHeight="1">
      <c r="A9292" s="2" t="s">
        <v>453</v>
      </c>
      <c r="B9292" s="2" t="s">
        <v>454</v>
      </c>
      <c r="C9292" s="2">
        <v>2009.0</v>
      </c>
      <c r="D9292" s="9">
        <v>43793.906</v>
      </c>
      <c r="E9292" s="10" t="str">
        <f t="array" ref="E9292">IFS(D9292&lt;=$G$3,'calculated data '!$A$3,D9292&lt;=$G$4,'calculated data '!$A$4,D9292&lt;=$G$6,'calculated data '!$A$5,D9292&gt;=$G$6,'calculated data '!$A$6)</f>
        <v>High Demand Tier</v>
      </c>
      <c r="F9292" s="10">
        <f t="shared" si="1"/>
        <v>0.4960423095</v>
      </c>
    </row>
    <row r="9293" ht="14.25" customHeight="1">
      <c r="A9293" s="2" t="s">
        <v>465</v>
      </c>
      <c r="B9293" s="2" t="s">
        <v>466</v>
      </c>
      <c r="C9293" s="2">
        <v>2005.0</v>
      </c>
      <c r="D9293" s="9">
        <v>43793.945</v>
      </c>
      <c r="E9293" s="10" t="str">
        <f t="array" ref="E9293">IFS(D9293&lt;=$G$3,'calculated data '!$A$3,D9293&lt;=$G$4,'calculated data '!$A$4,D9293&lt;=$G$6,'calculated data '!$A$5,D9293&gt;=$G$6,'calculated data '!$A$6)</f>
        <v>High Demand Tier</v>
      </c>
      <c r="F9293" s="10">
        <f t="shared" si="1"/>
        <v>0.4960433418</v>
      </c>
    </row>
    <row r="9294" ht="14.25" customHeight="1">
      <c r="A9294" s="2" t="s">
        <v>429</v>
      </c>
      <c r="B9294" s="2" t="s">
        <v>430</v>
      </c>
      <c r="C9294" s="2">
        <v>1972.0</v>
      </c>
      <c r="D9294" s="9">
        <v>43795.062</v>
      </c>
      <c r="E9294" s="10" t="str">
        <f t="array" ref="E9294">IFS(D9294&lt;=$G$3,'calculated data '!$A$3,D9294&lt;=$G$4,'calculated data '!$A$4,D9294&lt;=$G$6,'calculated data '!$A$5,D9294&gt;=$G$6,'calculated data '!$A$6)</f>
        <v>High Demand Tier</v>
      </c>
      <c r="F9294" s="10">
        <f t="shared" si="1"/>
        <v>0.4960729085</v>
      </c>
    </row>
    <row r="9295" ht="14.25" customHeight="1">
      <c r="A9295" s="2" t="s">
        <v>369</v>
      </c>
      <c r="B9295" s="2" t="s">
        <v>370</v>
      </c>
      <c r="C9295" s="2">
        <v>2009.0</v>
      </c>
      <c r="D9295" s="9">
        <v>43839.24</v>
      </c>
      <c r="E9295" s="10" t="str">
        <f t="array" ref="E9295">IFS(D9295&lt;=$G$3,'calculated data '!$A$3,D9295&lt;=$G$4,'calculated data '!$A$4,D9295&lt;=$G$6,'calculated data '!$A$5,D9295&gt;=$G$6,'calculated data '!$A$6)</f>
        <v>High Demand Tier</v>
      </c>
      <c r="F9295" s="10">
        <f t="shared" si="1"/>
        <v>0.4972422891</v>
      </c>
    </row>
    <row r="9296" ht="14.25" customHeight="1">
      <c r="A9296" s="2" t="s">
        <v>433</v>
      </c>
      <c r="B9296" s="2" t="s">
        <v>434</v>
      </c>
      <c r="C9296" s="2">
        <v>2014.0</v>
      </c>
      <c r="D9296" s="9">
        <v>43859.258</v>
      </c>
      <c r="E9296" s="10" t="str">
        <f t="array" ref="E9296">IFS(D9296&lt;=$G$3,'calculated data '!$A$3,D9296&lt;=$G$4,'calculated data '!$A$4,D9296&lt;=$G$6,'calculated data '!$A$5,D9296&gt;=$G$6,'calculated data '!$A$6)</f>
        <v>High Demand Tier</v>
      </c>
      <c r="F9296" s="10">
        <f t="shared" si="1"/>
        <v>0.4977721606</v>
      </c>
    </row>
    <row r="9297" ht="14.25" customHeight="1">
      <c r="A9297" s="2" t="s">
        <v>477</v>
      </c>
      <c r="B9297" s="2" t="s">
        <v>478</v>
      </c>
      <c r="C9297" s="2">
        <v>1965.0</v>
      </c>
      <c r="D9297" s="9">
        <v>43873.984</v>
      </c>
      <c r="E9297" s="10" t="str">
        <f t="array" ref="E9297">IFS(D9297&lt;=$G$3,'calculated data '!$A$3,D9297&lt;=$G$4,'calculated data '!$A$4,D9297&lt;=$G$6,'calculated data '!$A$5,D9297&gt;=$G$6,'calculated data '!$A$6)</f>
        <v>High Demand Tier</v>
      </c>
      <c r="F9297" s="10">
        <f t="shared" si="1"/>
        <v>0.4981619542</v>
      </c>
    </row>
    <row r="9298" ht="14.25" customHeight="1">
      <c r="A9298" s="2" t="s">
        <v>477</v>
      </c>
      <c r="B9298" s="2" t="s">
        <v>478</v>
      </c>
      <c r="C9298" s="2">
        <v>1967.0</v>
      </c>
      <c r="D9298" s="9">
        <v>43889.207</v>
      </c>
      <c r="E9298" s="10" t="str">
        <f t="array" ref="E9298">IFS(D9298&lt;=$G$3,'calculated data '!$A$3,D9298&lt;=$G$4,'calculated data '!$A$4,D9298&lt;=$G$6,'calculated data '!$A$5,D9298&gt;=$G$6,'calculated data '!$A$6)</f>
        <v>High Demand Tier</v>
      </c>
      <c r="F9298" s="10">
        <f t="shared" si="1"/>
        <v>0.4985649032</v>
      </c>
    </row>
    <row r="9299" ht="14.25" customHeight="1">
      <c r="A9299" s="2" t="s">
        <v>443</v>
      </c>
      <c r="B9299" s="2" t="s">
        <v>444</v>
      </c>
      <c r="C9299" s="2">
        <v>1977.0</v>
      </c>
      <c r="D9299" s="9">
        <v>43907.16</v>
      </c>
      <c r="E9299" s="10" t="str">
        <f t="array" ref="E9299">IFS(D9299&lt;=$G$3,'calculated data '!$A$3,D9299&lt;=$G$4,'calculated data '!$A$4,D9299&lt;=$G$6,'calculated data '!$A$5,D9299&gt;=$G$6,'calculated data '!$A$6)</f>
        <v>High Demand Tier</v>
      </c>
      <c r="F9299" s="10">
        <f t="shared" si="1"/>
        <v>0.4990401146</v>
      </c>
    </row>
    <row r="9300" ht="14.25" customHeight="1">
      <c r="A9300" s="2" t="s">
        <v>429</v>
      </c>
      <c r="B9300" s="2" t="s">
        <v>430</v>
      </c>
      <c r="C9300" s="2">
        <v>1977.0</v>
      </c>
      <c r="D9300" s="9">
        <v>43908.453</v>
      </c>
      <c r="E9300" s="10" t="str">
        <f t="array" ref="E9300">IFS(D9300&lt;=$G$3,'calculated data '!$A$3,D9300&lt;=$G$4,'calculated data '!$A$4,D9300&lt;=$G$6,'calculated data '!$A$5,D9300&gt;=$G$6,'calculated data '!$A$6)</f>
        <v>High Demand Tier</v>
      </c>
      <c r="F9300" s="10">
        <f t="shared" si="1"/>
        <v>0.49907434</v>
      </c>
    </row>
    <row r="9301" ht="14.25" customHeight="1">
      <c r="A9301" s="2" t="s">
        <v>437</v>
      </c>
      <c r="B9301" s="2" t="s">
        <v>438</v>
      </c>
      <c r="C9301" s="2">
        <v>1990.0</v>
      </c>
      <c r="D9301" s="9">
        <v>43922.82</v>
      </c>
      <c r="E9301" s="10" t="str">
        <f t="array" ref="E9301">IFS(D9301&lt;=$G$3,'calculated data '!$A$3,D9301&lt;=$G$4,'calculated data '!$A$4,D9301&lt;=$G$6,'calculated data '!$A$5,D9301&gt;=$G$6,'calculated data '!$A$6)</f>
        <v>High Demand Tier</v>
      </c>
      <c r="F9301" s="10">
        <f t="shared" si="1"/>
        <v>0.4994546309</v>
      </c>
    </row>
    <row r="9302" ht="14.25" customHeight="1">
      <c r="A9302" s="2" t="s">
        <v>309</v>
      </c>
      <c r="B9302" s="2" t="s">
        <v>310</v>
      </c>
      <c r="C9302" s="2">
        <v>2012.0</v>
      </c>
      <c r="D9302" s="9">
        <v>43948.504</v>
      </c>
      <c r="E9302" s="10" t="str">
        <f t="array" ref="E9302">IFS(D9302&lt;=$G$3,'calculated data '!$A$3,D9302&lt;=$G$4,'calculated data '!$A$4,D9302&lt;=$G$6,'calculated data '!$A$5,D9302&gt;=$G$6,'calculated data '!$A$6)</f>
        <v>High Demand Tier</v>
      </c>
      <c r="F9302" s="10">
        <f t="shared" si="1"/>
        <v>0.50013448</v>
      </c>
    </row>
    <row r="9303" ht="14.25" customHeight="1">
      <c r="A9303" s="2" t="s">
        <v>425</v>
      </c>
      <c r="B9303" s="2" t="s">
        <v>426</v>
      </c>
      <c r="C9303" s="2">
        <v>2006.0</v>
      </c>
      <c r="D9303" s="9">
        <v>43949.188</v>
      </c>
      <c r="E9303" s="10" t="str">
        <f t="array" ref="E9303">IFS(D9303&lt;=$G$3,'calculated data '!$A$3,D9303&lt;=$G$4,'calculated data '!$A$4,D9303&lt;=$G$6,'calculated data '!$A$5,D9303&gt;=$G$6,'calculated data '!$A$6)</f>
        <v>High Demand Tier</v>
      </c>
      <c r="F9303" s="10">
        <f t="shared" si="1"/>
        <v>0.5001525853</v>
      </c>
    </row>
    <row r="9304" ht="14.25" customHeight="1">
      <c r="A9304" s="2" t="s">
        <v>369</v>
      </c>
      <c r="B9304" s="2" t="s">
        <v>370</v>
      </c>
      <c r="C9304" s="2">
        <v>2011.0</v>
      </c>
      <c r="D9304" s="9">
        <v>43949.516</v>
      </c>
      <c r="E9304" s="10" t="str">
        <f t="array" ref="E9304">IFS(D9304&lt;=$G$3,'calculated data '!$A$3,D9304&lt;=$G$4,'calculated data '!$A$4,D9304&lt;=$G$6,'calculated data '!$A$5,D9304&gt;=$G$6,'calculated data '!$A$6)</f>
        <v>High Demand Tier</v>
      </c>
      <c r="F9304" s="10">
        <f t="shared" si="1"/>
        <v>0.5001612674</v>
      </c>
    </row>
    <row r="9305" ht="14.25" customHeight="1">
      <c r="A9305" s="2" t="s">
        <v>283</v>
      </c>
      <c r="B9305" s="2" t="s">
        <v>284</v>
      </c>
      <c r="C9305" s="2">
        <v>1975.0</v>
      </c>
      <c r="D9305" s="9">
        <v>43950.293</v>
      </c>
      <c r="E9305" s="10" t="str">
        <f t="array" ref="E9305">IFS(D9305&lt;=$G$3,'calculated data '!$A$3,D9305&lt;=$G$4,'calculated data '!$A$4,D9305&lt;=$G$6,'calculated data '!$A$5,D9305&gt;=$G$6,'calculated data '!$A$6)</f>
        <v>High Demand Tier</v>
      </c>
      <c r="F9305" s="10">
        <f t="shared" si="1"/>
        <v>0.5001818344</v>
      </c>
    </row>
    <row r="9306" ht="14.25" customHeight="1">
      <c r="A9306" s="2" t="s">
        <v>425</v>
      </c>
      <c r="B9306" s="2" t="s">
        <v>426</v>
      </c>
      <c r="C9306" s="2">
        <v>1994.0</v>
      </c>
      <c r="D9306" s="9">
        <v>43961.53</v>
      </c>
      <c r="E9306" s="10" t="str">
        <f t="array" ref="E9306">IFS(D9306&lt;=$G$3,'calculated data '!$A$3,D9306&lt;=$G$4,'calculated data '!$A$4,D9306&lt;=$G$6,'calculated data '!$A$5,D9306&gt;=$G$6,'calculated data '!$A$6)</f>
        <v>High Demand Tier</v>
      </c>
      <c r="F9306" s="10">
        <f t="shared" si="1"/>
        <v>0.500479275</v>
      </c>
    </row>
    <row r="9307" ht="14.25" customHeight="1">
      <c r="A9307" s="2" t="s">
        <v>409</v>
      </c>
      <c r="B9307" s="2" t="s">
        <v>410</v>
      </c>
      <c r="C9307" s="2">
        <v>2003.0</v>
      </c>
      <c r="D9307" s="9">
        <v>43978.758</v>
      </c>
      <c r="E9307" s="10" t="str">
        <f t="array" ref="E9307">IFS(D9307&lt;=$G$3,'calculated data '!$A$3,D9307&lt;=$G$4,'calculated data '!$A$4,D9307&lt;=$G$6,'calculated data '!$A$5,D9307&gt;=$G$6,'calculated data '!$A$6)</f>
        <v>High Demand Tier</v>
      </c>
      <c r="F9307" s="10">
        <f t="shared" si="1"/>
        <v>0.5009352959</v>
      </c>
    </row>
    <row r="9308" ht="14.25" customHeight="1">
      <c r="A9308" s="2" t="s">
        <v>391</v>
      </c>
      <c r="B9308" s="2" t="s">
        <v>392</v>
      </c>
      <c r="C9308" s="2">
        <v>1991.0</v>
      </c>
      <c r="D9308" s="9">
        <v>44000.887</v>
      </c>
      <c r="E9308" s="10" t="str">
        <f t="array" ref="E9308">IFS(D9308&lt;=$G$3,'calculated data '!$A$3,D9308&lt;=$G$4,'calculated data '!$A$4,D9308&lt;=$G$6,'calculated data '!$A$5,D9308&gt;=$G$6,'calculated data '!$A$6)</f>
        <v>High Demand Tier</v>
      </c>
      <c r="F9308" s="10">
        <f t="shared" si="1"/>
        <v>0.501521045</v>
      </c>
    </row>
    <row r="9309" ht="14.25" customHeight="1">
      <c r="A9309" s="2" t="s">
        <v>425</v>
      </c>
      <c r="B9309" s="2" t="s">
        <v>426</v>
      </c>
      <c r="C9309" s="2">
        <v>1995.0</v>
      </c>
      <c r="D9309" s="9">
        <v>44012.996</v>
      </c>
      <c r="E9309" s="10" t="str">
        <f t="array" ref="E9309">IFS(D9309&lt;=$G$3,'calculated data '!$A$3,D9309&lt;=$G$4,'calculated data '!$A$4,D9309&lt;=$G$6,'calculated data '!$A$5,D9309&gt;=$G$6,'calculated data '!$A$6)</f>
        <v>High Demand Tier</v>
      </c>
      <c r="F9309" s="10">
        <f t="shared" si="1"/>
        <v>0.5018415672</v>
      </c>
    </row>
    <row r="9310" ht="14.25" customHeight="1">
      <c r="A9310" s="2" t="s">
        <v>409</v>
      </c>
      <c r="B9310" s="2" t="s">
        <v>410</v>
      </c>
      <c r="C9310" s="2">
        <v>2004.0</v>
      </c>
      <c r="D9310" s="9">
        <v>44032.137</v>
      </c>
      <c r="E9310" s="10" t="str">
        <f t="array" ref="E9310">IFS(D9310&lt;=$G$3,'calculated data '!$A$3,D9310&lt;=$G$4,'calculated data '!$A$4,D9310&lt;=$G$6,'calculated data '!$A$5,D9310&gt;=$G$6,'calculated data '!$A$6)</f>
        <v>High Demand Tier</v>
      </c>
      <c r="F9310" s="10">
        <f t="shared" si="1"/>
        <v>0.5023482247</v>
      </c>
    </row>
    <row r="9311" ht="14.25" customHeight="1">
      <c r="A9311" s="2" t="s">
        <v>427</v>
      </c>
      <c r="B9311" s="2" t="s">
        <v>428</v>
      </c>
      <c r="C9311" s="2">
        <v>1985.0</v>
      </c>
      <c r="D9311" s="9">
        <v>44063.555</v>
      </c>
      <c r="E9311" s="10" t="str">
        <f t="array" ref="E9311">IFS(D9311&lt;=$G$3,'calculated data '!$A$3,D9311&lt;=$G$4,'calculated data '!$A$4,D9311&lt;=$G$6,'calculated data '!$A$5,D9311&gt;=$G$6,'calculated data '!$A$6)</f>
        <v>High Demand Tier</v>
      </c>
      <c r="F9311" s="10">
        <f t="shared" si="1"/>
        <v>0.5031798513</v>
      </c>
    </row>
    <row r="9312" ht="14.25" customHeight="1">
      <c r="A9312" s="2" t="s">
        <v>459</v>
      </c>
      <c r="B9312" s="2" t="s">
        <v>460</v>
      </c>
      <c r="C9312" s="2">
        <v>2016.0</v>
      </c>
      <c r="D9312" s="9">
        <v>44080.08</v>
      </c>
      <c r="E9312" s="10" t="str">
        <f t="array" ref="E9312">IFS(D9312&lt;=$G$3,'calculated data '!$A$3,D9312&lt;=$G$4,'calculated data '!$A$4,D9312&lt;=$G$6,'calculated data '!$A$5,D9312&gt;=$G$6,'calculated data '!$A$6)</f>
        <v>High Demand Tier</v>
      </c>
      <c r="F9312" s="10">
        <f t="shared" si="1"/>
        <v>0.503617264</v>
      </c>
    </row>
    <row r="9313" ht="14.25" customHeight="1">
      <c r="A9313" s="2" t="s">
        <v>307</v>
      </c>
      <c r="B9313" s="2" t="s">
        <v>308</v>
      </c>
      <c r="C9313" s="2">
        <v>1998.0</v>
      </c>
      <c r="D9313" s="9">
        <v>44080.11</v>
      </c>
      <c r="E9313" s="10" t="str">
        <f t="array" ref="E9313">IFS(D9313&lt;=$G$3,'calculated data '!$A$3,D9313&lt;=$G$4,'calculated data '!$A$4,D9313&lt;=$G$6,'calculated data '!$A$5,D9313&gt;=$G$6,'calculated data '!$A$6)</f>
        <v>High Demand Tier</v>
      </c>
      <c r="F9313" s="10">
        <f t="shared" si="1"/>
        <v>0.5036180581</v>
      </c>
    </row>
    <row r="9314" ht="14.25" customHeight="1">
      <c r="A9314" s="2" t="s">
        <v>403</v>
      </c>
      <c r="B9314" s="2" t="s">
        <v>404</v>
      </c>
      <c r="C9314" s="2">
        <v>2002.0</v>
      </c>
      <c r="D9314" s="9">
        <v>44129.062</v>
      </c>
      <c r="E9314" s="10" t="str">
        <f t="array" ref="E9314">IFS(D9314&lt;=$G$3,'calculated data '!$A$3,D9314&lt;=$G$4,'calculated data '!$A$4,D9314&lt;=$G$6,'calculated data '!$A$5,D9314&gt;=$G$6,'calculated data '!$A$6)</f>
        <v>High Demand Tier</v>
      </c>
      <c r="F9314" s="10">
        <f t="shared" si="1"/>
        <v>0.5049138053</v>
      </c>
    </row>
    <row r="9315" ht="14.25" customHeight="1">
      <c r="A9315" s="2" t="s">
        <v>337</v>
      </c>
      <c r="B9315" s="2" t="s">
        <v>338</v>
      </c>
      <c r="C9315" s="2">
        <v>2010.0</v>
      </c>
      <c r="D9315" s="9">
        <v>44144.305</v>
      </c>
      <c r="E9315" s="10" t="str">
        <f t="array" ref="E9315">IFS(D9315&lt;=$G$3,'calculated data '!$A$3,D9315&lt;=$G$4,'calculated data '!$A$4,D9315&lt;=$G$6,'calculated data '!$A$5,D9315&gt;=$G$6,'calculated data '!$A$6)</f>
        <v>High Demand Tier</v>
      </c>
      <c r="F9315" s="10">
        <f t="shared" si="1"/>
        <v>0.5053172837</v>
      </c>
    </row>
    <row r="9316" ht="14.25" customHeight="1">
      <c r="A9316" s="2" t="s">
        <v>425</v>
      </c>
      <c r="B9316" s="2" t="s">
        <v>426</v>
      </c>
      <c r="C9316" s="2">
        <v>1992.0</v>
      </c>
      <c r="D9316" s="9">
        <v>44169.816</v>
      </c>
      <c r="E9316" s="10" t="str">
        <f t="array" ref="E9316">IFS(D9316&lt;=$G$3,'calculated data '!$A$3,D9316&lt;=$G$4,'calculated data '!$A$4,D9316&lt;=$G$6,'calculated data '!$A$5,D9316&gt;=$G$6,'calculated data '!$A$6)</f>
        <v>High Demand Tier</v>
      </c>
      <c r="F9316" s="10">
        <f t="shared" si="1"/>
        <v>0.5059925535</v>
      </c>
    </row>
    <row r="9317" ht="14.25" customHeight="1">
      <c r="A9317" s="2" t="s">
        <v>475</v>
      </c>
      <c r="B9317" s="2" t="s">
        <v>476</v>
      </c>
      <c r="C9317" s="2">
        <v>2024.0</v>
      </c>
      <c r="D9317" s="9">
        <v>44190.137</v>
      </c>
      <c r="E9317" s="10" t="str">
        <f t="array" ref="E9317">IFS(D9317&lt;=$G$3,'calculated data '!$A$3,D9317&lt;=$G$4,'calculated data '!$A$4,D9317&lt;=$G$6,'calculated data '!$A$5,D9317&gt;=$G$6,'calculated data '!$A$6)</f>
        <v>High Demand Tier</v>
      </c>
      <c r="F9317" s="10">
        <f t="shared" si="1"/>
        <v>0.5065304453</v>
      </c>
    </row>
    <row r="9318" ht="14.25" customHeight="1">
      <c r="A9318" s="2" t="s">
        <v>451</v>
      </c>
      <c r="B9318" s="2" t="s">
        <v>452</v>
      </c>
      <c r="C9318" s="2">
        <v>1978.0</v>
      </c>
      <c r="D9318" s="9">
        <v>44197.52</v>
      </c>
      <c r="E9318" s="10" t="str">
        <f t="array" ref="E9318">IFS(D9318&lt;=$G$3,'calculated data '!$A$3,D9318&lt;=$G$4,'calculated data '!$A$4,D9318&lt;=$G$6,'calculated data '!$A$5,D9318&gt;=$G$6,'calculated data '!$A$6)</f>
        <v>High Demand Tier</v>
      </c>
      <c r="F9318" s="10">
        <f t="shared" si="1"/>
        <v>0.5067258715</v>
      </c>
    </row>
    <row r="9319" ht="14.25" customHeight="1">
      <c r="A9319" s="2" t="s">
        <v>425</v>
      </c>
      <c r="B9319" s="2" t="s">
        <v>426</v>
      </c>
      <c r="C9319" s="2">
        <v>1977.0</v>
      </c>
      <c r="D9319" s="9">
        <v>44199.19</v>
      </c>
      <c r="E9319" s="10" t="str">
        <f t="array" ref="E9319">IFS(D9319&lt;=$G$3,'calculated data '!$A$3,D9319&lt;=$G$4,'calculated data '!$A$4,D9319&lt;=$G$6,'calculated data '!$A$5,D9319&gt;=$G$6,'calculated data '!$A$6)</f>
        <v>High Demand Tier</v>
      </c>
      <c r="F9319" s="10">
        <f t="shared" si="1"/>
        <v>0.506770076</v>
      </c>
    </row>
    <row r="9320" ht="14.25" customHeight="1">
      <c r="A9320" s="2" t="s">
        <v>433</v>
      </c>
      <c r="B9320" s="2" t="s">
        <v>434</v>
      </c>
      <c r="C9320" s="2">
        <v>2015.0</v>
      </c>
      <c r="D9320" s="9">
        <v>44294.2</v>
      </c>
      <c r="E9320" s="10" t="str">
        <f t="array" ref="E9320">IFS(D9320&lt;=$G$3,'calculated data '!$A$3,D9320&lt;=$G$4,'calculated data '!$A$4,D9320&lt;=$G$6,'calculated data '!$A$5,D9320&gt;=$G$6,'calculated data '!$A$6)</f>
        <v>High Demand Tier</v>
      </c>
      <c r="F9320" s="10">
        <f t="shared" si="1"/>
        <v>0.509284967</v>
      </c>
    </row>
    <row r="9321" ht="14.25" customHeight="1">
      <c r="A9321" s="2" t="s">
        <v>415</v>
      </c>
      <c r="B9321" s="2" t="s">
        <v>416</v>
      </c>
      <c r="C9321" s="2">
        <v>1993.0</v>
      </c>
      <c r="D9321" s="9">
        <v>44307.727</v>
      </c>
      <c r="E9321" s="10" t="str">
        <f t="array" ref="E9321">IFS(D9321&lt;=$G$3,'calculated data '!$A$3,D9321&lt;=$G$4,'calculated data '!$A$4,D9321&lt;=$G$6,'calculated data '!$A$5,D9321&gt;=$G$6,'calculated data '!$A$6)</f>
        <v>High Demand Tier</v>
      </c>
      <c r="F9321" s="10">
        <f t="shared" si="1"/>
        <v>0.5096430233</v>
      </c>
    </row>
    <row r="9322" ht="14.25" customHeight="1">
      <c r="A9322" s="2" t="s">
        <v>437</v>
      </c>
      <c r="B9322" s="2" t="s">
        <v>438</v>
      </c>
      <c r="C9322" s="2">
        <v>1994.0</v>
      </c>
      <c r="D9322" s="9">
        <v>44309.586</v>
      </c>
      <c r="E9322" s="10" t="str">
        <f t="array" ref="E9322">IFS(D9322&lt;=$G$3,'calculated data '!$A$3,D9322&lt;=$G$4,'calculated data '!$A$4,D9322&lt;=$G$6,'calculated data '!$A$5,D9322&gt;=$G$6,'calculated data '!$A$6)</f>
        <v>High Demand Tier</v>
      </c>
      <c r="F9322" s="10">
        <f t="shared" si="1"/>
        <v>0.5096922306</v>
      </c>
    </row>
    <row r="9323" ht="14.25" customHeight="1">
      <c r="A9323" s="2" t="s">
        <v>309</v>
      </c>
      <c r="B9323" s="2" t="s">
        <v>310</v>
      </c>
      <c r="C9323" s="2">
        <v>2015.0</v>
      </c>
      <c r="D9323" s="9">
        <v>44313.816</v>
      </c>
      <c r="E9323" s="10" t="str">
        <f t="array" ref="E9323">IFS(D9323&lt;=$G$3,'calculated data '!$A$3,D9323&lt;=$G$4,'calculated data '!$A$4,D9323&lt;=$G$6,'calculated data '!$A$5,D9323&gt;=$G$6,'calculated data '!$A$6)</f>
        <v>High Demand Tier</v>
      </c>
      <c r="F9323" s="10">
        <f t="shared" si="1"/>
        <v>0.5098041977</v>
      </c>
    </row>
    <row r="9324" ht="14.25" customHeight="1">
      <c r="A9324" s="2" t="s">
        <v>425</v>
      </c>
      <c r="B9324" s="2" t="s">
        <v>426</v>
      </c>
      <c r="C9324" s="2">
        <v>2002.0</v>
      </c>
      <c r="D9324" s="9">
        <v>44315.223</v>
      </c>
      <c r="E9324" s="10" t="str">
        <f t="array" ref="E9324">IFS(D9324&lt;=$G$3,'calculated data '!$A$3,D9324&lt;=$G$4,'calculated data '!$A$4,D9324&lt;=$G$6,'calculated data '!$A$5,D9324&gt;=$G$6,'calculated data '!$A$6)</f>
        <v>High Demand Tier</v>
      </c>
      <c r="F9324" s="10">
        <f t="shared" si="1"/>
        <v>0.5098414406</v>
      </c>
    </row>
    <row r="9325" ht="14.25" customHeight="1">
      <c r="A9325" s="2" t="s">
        <v>441</v>
      </c>
      <c r="B9325" s="2" t="s">
        <v>442</v>
      </c>
      <c r="C9325" s="2">
        <v>2021.0</v>
      </c>
      <c r="D9325" s="9">
        <v>44315.492</v>
      </c>
      <c r="E9325" s="10" t="str">
        <f t="array" ref="E9325">IFS(D9325&lt;=$G$3,'calculated data '!$A$3,D9325&lt;=$G$4,'calculated data '!$A$4,D9325&lt;=$G$6,'calculated data '!$A$5,D9325&gt;=$G$6,'calculated data '!$A$6)</f>
        <v>High Demand Tier</v>
      </c>
      <c r="F9325" s="10">
        <f t="shared" si="1"/>
        <v>0.509848561</v>
      </c>
    </row>
    <row r="9326" ht="14.25" customHeight="1">
      <c r="A9326" s="2" t="s">
        <v>429</v>
      </c>
      <c r="B9326" s="2" t="s">
        <v>430</v>
      </c>
      <c r="C9326" s="2">
        <v>1976.0</v>
      </c>
      <c r="D9326" s="9">
        <v>44329.86</v>
      </c>
      <c r="E9326" s="10" t="str">
        <f t="array" ref="E9326">IFS(D9326&lt;=$G$3,'calculated data '!$A$3,D9326&lt;=$G$4,'calculated data '!$A$4,D9326&lt;=$G$6,'calculated data '!$A$5,D9326&gt;=$G$6,'calculated data '!$A$6)</f>
        <v>High Demand Tier</v>
      </c>
      <c r="F9326" s="10">
        <f t="shared" si="1"/>
        <v>0.5102288783</v>
      </c>
    </row>
    <row r="9327" ht="14.25" customHeight="1">
      <c r="A9327" s="2" t="s">
        <v>467</v>
      </c>
      <c r="B9327" s="2" t="s">
        <v>468</v>
      </c>
      <c r="C9327" s="2">
        <v>1971.0</v>
      </c>
      <c r="D9327" s="9">
        <v>44333.496</v>
      </c>
      <c r="E9327" s="10" t="str">
        <f t="array" ref="E9327">IFS(D9327&lt;=$G$3,'calculated data '!$A$3,D9327&lt;=$G$4,'calculated data '!$A$4,D9327&lt;=$G$6,'calculated data '!$A$5,D9327&gt;=$G$6,'calculated data '!$A$6)</f>
        <v>High Demand Tier</v>
      </c>
      <c r="F9327" s="10">
        <f t="shared" si="1"/>
        <v>0.5103251224</v>
      </c>
    </row>
    <row r="9328" ht="14.25" customHeight="1">
      <c r="A9328" s="2" t="s">
        <v>473</v>
      </c>
      <c r="B9328" s="2" t="s">
        <v>474</v>
      </c>
      <c r="C9328" s="2">
        <v>2016.0</v>
      </c>
      <c r="D9328" s="9">
        <v>44334.688</v>
      </c>
      <c r="E9328" s="10" t="str">
        <f t="array" ref="E9328">IFS(D9328&lt;=$G$3,'calculated data '!$A$3,D9328&lt;=$G$4,'calculated data '!$A$4,D9328&lt;=$G$6,'calculated data '!$A$5,D9328&gt;=$G$6,'calculated data '!$A$6)</f>
        <v>High Demand Tier</v>
      </c>
      <c r="F9328" s="10">
        <f t="shared" si="1"/>
        <v>0.5103566743</v>
      </c>
    </row>
    <row r="9329" ht="14.25" customHeight="1">
      <c r="A9329" s="2" t="s">
        <v>439</v>
      </c>
      <c r="B9329" s="2" t="s">
        <v>440</v>
      </c>
      <c r="C9329" s="2">
        <v>1989.0</v>
      </c>
      <c r="D9329" s="9">
        <v>44342.156</v>
      </c>
      <c r="E9329" s="10" t="str">
        <f t="array" ref="E9329">IFS(D9329&lt;=$G$3,'calculated data '!$A$3,D9329&lt;=$G$4,'calculated data '!$A$4,D9329&lt;=$G$6,'calculated data '!$A$5,D9329&gt;=$G$6,'calculated data '!$A$6)</f>
        <v>High Demand Tier</v>
      </c>
      <c r="F9329" s="10">
        <f t="shared" si="1"/>
        <v>0.5105543504</v>
      </c>
    </row>
    <row r="9330" ht="14.25" customHeight="1">
      <c r="A9330" s="2" t="s">
        <v>443</v>
      </c>
      <c r="B9330" s="2" t="s">
        <v>444</v>
      </c>
      <c r="C9330" s="2">
        <v>1992.0</v>
      </c>
      <c r="D9330" s="9">
        <v>44368.645</v>
      </c>
      <c r="E9330" s="10" t="str">
        <f t="array" ref="E9330">IFS(D9330&lt;=$G$3,'calculated data '!$A$3,D9330&lt;=$G$4,'calculated data '!$A$4,D9330&lt;=$G$6,'calculated data '!$A$5,D9330&gt;=$G$6,'calculated data '!$A$6)</f>
        <v>High Demand Tier</v>
      </c>
      <c r="F9330" s="10">
        <f t="shared" si="1"/>
        <v>0.5112555076</v>
      </c>
    </row>
    <row r="9331" ht="14.25" customHeight="1">
      <c r="A9331" s="2" t="s">
        <v>471</v>
      </c>
      <c r="B9331" s="2" t="s">
        <v>472</v>
      </c>
      <c r="C9331" s="2">
        <v>2003.0</v>
      </c>
      <c r="D9331" s="9">
        <v>44421.004</v>
      </c>
      <c r="E9331" s="10" t="str">
        <f t="array" ref="E9331">IFS(D9331&lt;=$G$3,'calculated data '!$A$3,D9331&lt;=$G$4,'calculated data '!$A$4,D9331&lt;=$G$6,'calculated data '!$A$5,D9331&gt;=$G$6,'calculated data '!$A$6)</f>
        <v>High Demand Tier</v>
      </c>
      <c r="F9331" s="10">
        <f t="shared" si="1"/>
        <v>0.5126414373</v>
      </c>
    </row>
    <row r="9332" ht="14.25" customHeight="1">
      <c r="A9332" s="2" t="s">
        <v>425</v>
      </c>
      <c r="B9332" s="2" t="s">
        <v>426</v>
      </c>
      <c r="C9332" s="2">
        <v>1978.0</v>
      </c>
      <c r="D9332" s="9">
        <v>44439.3</v>
      </c>
      <c r="E9332" s="10" t="str">
        <f t="array" ref="E9332">IFS(D9332&lt;=$G$3,'calculated data '!$A$3,D9332&lt;=$G$4,'calculated data '!$A$4,D9332&lt;=$G$6,'calculated data '!$A$5,D9332&gt;=$G$6,'calculated data '!$A$6)</f>
        <v>High Demand Tier</v>
      </c>
      <c r="F9332" s="10">
        <f t="shared" si="1"/>
        <v>0.5131257279</v>
      </c>
    </row>
    <row r="9333" ht="14.25" customHeight="1">
      <c r="A9333" s="2" t="s">
        <v>437</v>
      </c>
      <c r="B9333" s="2" t="s">
        <v>438</v>
      </c>
      <c r="C9333" s="2">
        <v>2014.0</v>
      </c>
      <c r="D9333" s="9">
        <v>44461.375</v>
      </c>
      <c r="E9333" s="10" t="str">
        <f t="array" ref="E9333">IFS(D9333&lt;=$G$3,'calculated data '!$A$3,D9333&lt;=$G$4,'calculated data '!$A$4,D9333&lt;=$G$6,'calculated data '!$A$5,D9333&gt;=$G$6,'calculated data '!$A$6)</f>
        <v>High Demand Tier</v>
      </c>
      <c r="F9333" s="10">
        <f t="shared" si="1"/>
        <v>0.5137100476</v>
      </c>
    </row>
    <row r="9334" ht="14.25" customHeight="1">
      <c r="A9334" s="2" t="s">
        <v>403</v>
      </c>
      <c r="B9334" s="2" t="s">
        <v>404</v>
      </c>
      <c r="C9334" s="2">
        <v>2021.0</v>
      </c>
      <c r="D9334" s="9">
        <v>44464.52</v>
      </c>
      <c r="E9334" s="10" t="str">
        <f t="array" ref="E9334">IFS(D9334&lt;=$G$3,'calculated data '!$A$3,D9334&lt;=$G$4,'calculated data '!$A$4,D9334&lt;=$G$6,'calculated data '!$A$5,D9334&gt;=$G$6,'calculated data '!$A$6)</f>
        <v>High Demand Tier</v>
      </c>
      <c r="F9334" s="10">
        <f t="shared" si="1"/>
        <v>0.513793295</v>
      </c>
    </row>
    <row r="9335" ht="14.25" customHeight="1">
      <c r="A9335" s="2" t="s">
        <v>459</v>
      </c>
      <c r="B9335" s="2" t="s">
        <v>460</v>
      </c>
      <c r="C9335" s="2">
        <v>2011.0</v>
      </c>
      <c r="D9335" s="9">
        <v>44471.76</v>
      </c>
      <c r="E9335" s="10" t="str">
        <f t="array" ref="E9335">IFS(D9335&lt;=$G$3,'calculated data '!$A$3,D9335&lt;=$G$4,'calculated data '!$A$4,D9335&lt;=$G$6,'calculated data '!$A$5,D9335&gt;=$G$6,'calculated data '!$A$6)</f>
        <v>High Demand Tier</v>
      </c>
      <c r="F9335" s="10">
        <f t="shared" si="1"/>
        <v>0.513984936</v>
      </c>
    </row>
    <row r="9336" ht="14.25" customHeight="1">
      <c r="A9336" s="2" t="s">
        <v>437</v>
      </c>
      <c r="B9336" s="2" t="s">
        <v>438</v>
      </c>
      <c r="C9336" s="2">
        <v>2013.0</v>
      </c>
      <c r="D9336" s="9">
        <v>44497.484</v>
      </c>
      <c r="E9336" s="10" t="str">
        <f t="array" ref="E9336">IFS(D9336&lt;=$G$3,'calculated data '!$A$3,D9336&lt;=$G$4,'calculated data '!$A$4,D9336&lt;=$G$6,'calculated data '!$A$5,D9336&gt;=$G$6,'calculated data '!$A$6)</f>
        <v>High Demand Tier</v>
      </c>
      <c r="F9336" s="10">
        <f t="shared" si="1"/>
        <v>0.5146658439</v>
      </c>
    </row>
    <row r="9337" ht="14.25" customHeight="1">
      <c r="A9337" s="2" t="s">
        <v>441</v>
      </c>
      <c r="B9337" s="2" t="s">
        <v>442</v>
      </c>
      <c r="C9337" s="2">
        <v>2000.0</v>
      </c>
      <c r="D9337" s="9">
        <v>44541.04</v>
      </c>
      <c r="E9337" s="10" t="str">
        <f t="array" ref="E9337">IFS(D9337&lt;=$G$3,'calculated data '!$A$3,D9337&lt;=$G$4,'calculated data '!$A$4,D9337&lt;=$G$6,'calculated data '!$A$5,D9337&gt;=$G$6,'calculated data '!$A$6)</f>
        <v>High Demand Tier</v>
      </c>
      <c r="F9337" s="10">
        <f t="shared" si="1"/>
        <v>0.5158187604</v>
      </c>
    </row>
    <row r="9338" ht="14.25" customHeight="1">
      <c r="A9338" s="2" t="s">
        <v>425</v>
      </c>
      <c r="B9338" s="2" t="s">
        <v>426</v>
      </c>
      <c r="C9338" s="2">
        <v>1991.0</v>
      </c>
      <c r="D9338" s="9">
        <v>44580.008</v>
      </c>
      <c r="E9338" s="10" t="str">
        <f t="array" ref="E9338">IFS(D9338&lt;=$G$3,'calculated data '!$A$3,D9338&lt;=$G$4,'calculated data '!$A$4,D9338&lt;=$G$6,'calculated data '!$A$5,D9338&gt;=$G$6,'calculated data '!$A$6)</f>
        <v>High Demand Tier</v>
      </c>
      <c r="F9338" s="10">
        <f t="shared" si="1"/>
        <v>0.5168502336</v>
      </c>
    </row>
    <row r="9339" ht="14.25" customHeight="1">
      <c r="A9339" s="2" t="s">
        <v>437</v>
      </c>
      <c r="B9339" s="2" t="s">
        <v>438</v>
      </c>
      <c r="C9339" s="2">
        <v>2015.0</v>
      </c>
      <c r="D9339" s="9">
        <v>44591.04</v>
      </c>
      <c r="E9339" s="10" t="str">
        <f t="array" ref="E9339">IFS(D9339&lt;=$G$3,'calculated data '!$A$3,D9339&lt;=$G$4,'calculated data '!$A$4,D9339&lt;=$G$6,'calculated data '!$A$5,D9339&gt;=$G$6,'calculated data '!$A$6)</f>
        <v>High Demand Tier</v>
      </c>
      <c r="F9339" s="10">
        <f t="shared" si="1"/>
        <v>0.5171422479</v>
      </c>
    </row>
    <row r="9340" ht="14.25" customHeight="1">
      <c r="A9340" s="2" t="s">
        <v>469</v>
      </c>
      <c r="B9340" s="2" t="s">
        <v>470</v>
      </c>
      <c r="C9340" s="2">
        <v>1981.0</v>
      </c>
      <c r="D9340" s="9">
        <v>44600.395</v>
      </c>
      <c r="E9340" s="10" t="str">
        <f t="array" ref="E9340">IFS(D9340&lt;=$G$3,'calculated data '!$A$3,D9340&lt;=$G$4,'calculated data '!$A$4,D9340&lt;=$G$6,'calculated data '!$A$5,D9340&gt;=$G$6,'calculated data '!$A$6)</f>
        <v>High Demand Tier</v>
      </c>
      <c r="F9340" s="10">
        <f t="shared" si="1"/>
        <v>0.5173898724</v>
      </c>
    </row>
    <row r="9341" ht="14.25" customHeight="1">
      <c r="A9341" s="2" t="s">
        <v>471</v>
      </c>
      <c r="B9341" s="2" t="s">
        <v>472</v>
      </c>
      <c r="C9341" s="2">
        <v>2021.0</v>
      </c>
      <c r="D9341" s="9">
        <v>44617.5</v>
      </c>
      <c r="E9341" s="10" t="str">
        <f t="array" ref="E9341">IFS(D9341&lt;=$G$3,'calculated data '!$A$3,D9341&lt;=$G$4,'calculated data '!$A$4,D9341&lt;=$G$6,'calculated data '!$A$5,D9341&gt;=$G$6,'calculated data '!$A$6)</f>
        <v>High Demand Tier</v>
      </c>
      <c r="F9341" s="10">
        <f t="shared" si="1"/>
        <v>0.5178426375</v>
      </c>
    </row>
    <row r="9342" ht="14.25" customHeight="1">
      <c r="A9342" s="2" t="s">
        <v>429</v>
      </c>
      <c r="B9342" s="2" t="s">
        <v>430</v>
      </c>
      <c r="C9342" s="2">
        <v>1978.0</v>
      </c>
      <c r="D9342" s="9">
        <v>44638.293</v>
      </c>
      <c r="E9342" s="10" t="str">
        <f t="array" ref="E9342">IFS(D9342&lt;=$G$3,'calculated data '!$A$3,D9342&lt;=$G$4,'calculated data '!$A$4,D9342&lt;=$G$6,'calculated data '!$A$5,D9342&gt;=$G$6,'calculated data '!$A$6)</f>
        <v>High Demand Tier</v>
      </c>
      <c r="F9342" s="10">
        <f t="shared" si="1"/>
        <v>0.518393023</v>
      </c>
    </row>
    <row r="9343" ht="14.25" customHeight="1">
      <c r="A9343" s="2" t="s">
        <v>425</v>
      </c>
      <c r="B9343" s="2" t="s">
        <v>426</v>
      </c>
      <c r="C9343" s="2">
        <v>1993.0</v>
      </c>
      <c r="D9343" s="9">
        <v>44639.906</v>
      </c>
      <c r="E9343" s="10" t="str">
        <f t="array" ref="E9343">IFS(D9343&lt;=$G$3,'calculated data '!$A$3,D9343&lt;=$G$4,'calculated data '!$A$4,D9343&lt;=$G$6,'calculated data '!$A$5,D9343&gt;=$G$6,'calculated data '!$A$6)</f>
        <v>High Demand Tier</v>
      </c>
      <c r="F9343" s="10">
        <f t="shared" si="1"/>
        <v>0.5184357187</v>
      </c>
    </row>
    <row r="9344" ht="14.25" customHeight="1">
      <c r="A9344" s="2" t="s">
        <v>475</v>
      </c>
      <c r="B9344" s="2" t="s">
        <v>476</v>
      </c>
      <c r="C9344" s="2">
        <v>2020.0</v>
      </c>
      <c r="D9344" s="9">
        <v>44647.773</v>
      </c>
      <c r="E9344" s="10" t="str">
        <f t="array" ref="E9344">IFS(D9344&lt;=$G$3,'calculated data '!$A$3,D9344&lt;=$G$4,'calculated data '!$A$4,D9344&lt;=$G$6,'calculated data '!$A$5,D9344&gt;=$G$6,'calculated data '!$A$6)</f>
        <v>High Demand Tier</v>
      </c>
      <c r="F9344" s="10">
        <f t="shared" si="1"/>
        <v>0.5186439563</v>
      </c>
    </row>
    <row r="9345" ht="14.25" customHeight="1">
      <c r="A9345" s="2" t="s">
        <v>435</v>
      </c>
      <c r="B9345" s="2" t="s">
        <v>436</v>
      </c>
      <c r="C9345" s="2">
        <v>1997.0</v>
      </c>
      <c r="D9345" s="9">
        <v>44659.887</v>
      </c>
      <c r="E9345" s="10" t="str">
        <f t="array" ref="E9345">IFS(D9345&lt;=$G$3,'calculated data '!$A$3,D9345&lt;=$G$4,'calculated data '!$A$4,D9345&lt;=$G$6,'calculated data '!$A$5,D9345&gt;=$G$6,'calculated data '!$A$6)</f>
        <v>High Demand Tier</v>
      </c>
      <c r="F9345" s="10">
        <f t="shared" si="1"/>
        <v>0.5189646108</v>
      </c>
    </row>
    <row r="9346" ht="14.25" customHeight="1">
      <c r="A9346" s="2" t="s">
        <v>459</v>
      </c>
      <c r="B9346" s="2" t="s">
        <v>460</v>
      </c>
      <c r="C9346" s="2">
        <v>2017.0</v>
      </c>
      <c r="D9346" s="9">
        <v>44660.555</v>
      </c>
      <c r="E9346" s="10" t="str">
        <f t="array" ref="E9346">IFS(D9346&lt;=$G$3,'calculated data '!$A$3,D9346&lt;=$G$4,'calculated data '!$A$4,D9346&lt;=$G$6,'calculated data '!$A$5,D9346&gt;=$G$6,'calculated data '!$A$6)</f>
        <v>High Demand Tier</v>
      </c>
      <c r="F9346" s="10">
        <f t="shared" si="1"/>
        <v>0.5189822926</v>
      </c>
    </row>
    <row r="9347" ht="14.25" customHeight="1">
      <c r="A9347" s="2" t="s">
        <v>441</v>
      </c>
      <c r="B9347" s="2" t="s">
        <v>442</v>
      </c>
      <c r="C9347" s="2">
        <v>2001.0</v>
      </c>
      <c r="D9347" s="9">
        <v>44668.32</v>
      </c>
      <c r="E9347" s="10" t="str">
        <f t="array" ref="E9347">IFS(D9347&lt;=$G$3,'calculated data '!$A$3,D9347&lt;=$G$4,'calculated data '!$A$4,D9347&lt;=$G$6,'calculated data '!$A$5,D9347&gt;=$G$6,'calculated data '!$A$6)</f>
        <v>High Demand Tier</v>
      </c>
      <c r="F9347" s="10">
        <f t="shared" si="1"/>
        <v>0.5191878302</v>
      </c>
    </row>
    <row r="9348" ht="14.25" customHeight="1">
      <c r="A9348" s="2" t="s">
        <v>403</v>
      </c>
      <c r="B9348" s="2" t="s">
        <v>404</v>
      </c>
      <c r="C9348" s="2">
        <v>1995.0</v>
      </c>
      <c r="D9348" s="9">
        <v>44683.094</v>
      </c>
      <c r="E9348" s="10" t="str">
        <f t="array" ref="E9348">IFS(D9348&lt;=$G$3,'calculated data '!$A$3,D9348&lt;=$G$4,'calculated data '!$A$4,D9348&lt;=$G$6,'calculated data '!$A$5,D9348&gt;=$G$6,'calculated data '!$A$6)</f>
        <v>High Demand Tier</v>
      </c>
      <c r="F9348" s="10">
        <f t="shared" si="1"/>
        <v>0.5195788943</v>
      </c>
    </row>
    <row r="9349" ht="14.25" customHeight="1">
      <c r="A9349" s="2" t="s">
        <v>381</v>
      </c>
      <c r="B9349" s="2" t="s">
        <v>382</v>
      </c>
      <c r="C9349" s="2">
        <v>1984.0</v>
      </c>
      <c r="D9349" s="9">
        <v>44704.305</v>
      </c>
      <c r="E9349" s="10" t="str">
        <f t="array" ref="E9349">IFS(D9349&lt;=$G$3,'calculated data '!$A$3,D9349&lt;=$G$4,'calculated data '!$A$4,D9349&lt;=$G$6,'calculated data '!$A$5,D9349&gt;=$G$6,'calculated data '!$A$6)</f>
        <v>High Demand Tier</v>
      </c>
      <c r="F9349" s="10">
        <f t="shared" si="1"/>
        <v>0.5201403442</v>
      </c>
    </row>
    <row r="9350" ht="14.25" customHeight="1">
      <c r="A9350" s="2" t="s">
        <v>449</v>
      </c>
      <c r="B9350" s="2" t="s">
        <v>450</v>
      </c>
      <c r="C9350" s="2">
        <v>2003.0</v>
      </c>
      <c r="D9350" s="9">
        <v>44709.664</v>
      </c>
      <c r="E9350" s="10" t="str">
        <f t="array" ref="E9350">IFS(D9350&lt;=$G$3,'calculated data '!$A$3,D9350&lt;=$G$4,'calculated data '!$A$4,D9350&lt;=$G$6,'calculated data '!$A$5,D9350&gt;=$G$6,'calculated data '!$A$6)</f>
        <v>High Demand Tier</v>
      </c>
      <c r="F9350" s="10">
        <f t="shared" si="1"/>
        <v>0.5202821956</v>
      </c>
    </row>
    <row r="9351" ht="14.25" customHeight="1">
      <c r="A9351" s="2" t="s">
        <v>465</v>
      </c>
      <c r="B9351" s="2" t="s">
        <v>466</v>
      </c>
      <c r="C9351" s="2">
        <v>2006.0</v>
      </c>
      <c r="D9351" s="9">
        <v>44731.418</v>
      </c>
      <c r="E9351" s="10" t="str">
        <f t="array" ref="E9351">IFS(D9351&lt;=$G$3,'calculated data '!$A$3,D9351&lt;=$G$4,'calculated data '!$A$4,D9351&lt;=$G$6,'calculated data '!$A$5,D9351&gt;=$G$6,'calculated data '!$A$6)</f>
        <v>High Demand Tier</v>
      </c>
      <c r="F9351" s="10">
        <f t="shared" si="1"/>
        <v>0.5208580186</v>
      </c>
    </row>
    <row r="9352" ht="14.25" customHeight="1">
      <c r="A9352" s="2" t="s">
        <v>459</v>
      </c>
      <c r="B9352" s="2" t="s">
        <v>460</v>
      </c>
      <c r="C9352" s="2">
        <v>2009.0</v>
      </c>
      <c r="D9352" s="9">
        <v>44733.39</v>
      </c>
      <c r="E9352" s="10" t="str">
        <f t="array" ref="E9352">IFS(D9352&lt;=$G$3,'calculated data '!$A$3,D9352&lt;=$G$4,'calculated data '!$A$4,D9352&lt;=$G$6,'calculated data '!$A$5,D9352&gt;=$G$6,'calculated data '!$A$6)</f>
        <v>High Demand Tier</v>
      </c>
      <c r="F9352" s="10">
        <f t="shared" si="1"/>
        <v>0.5209102169</v>
      </c>
    </row>
    <row r="9353" ht="14.25" customHeight="1">
      <c r="A9353" s="2" t="s">
        <v>309</v>
      </c>
      <c r="B9353" s="2" t="s">
        <v>310</v>
      </c>
      <c r="C9353" s="2">
        <v>2013.0</v>
      </c>
      <c r="D9353" s="9">
        <v>44741.254</v>
      </c>
      <c r="E9353" s="10" t="str">
        <f t="array" ref="E9353">IFS(D9353&lt;=$G$3,'calculated data '!$A$3,D9353&lt;=$G$4,'calculated data '!$A$4,D9353&lt;=$G$6,'calculated data '!$A$5,D9353&gt;=$G$6,'calculated data '!$A$6)</f>
        <v>High Demand Tier</v>
      </c>
      <c r="F9353" s="10">
        <f t="shared" si="1"/>
        <v>0.5211183751</v>
      </c>
    </row>
    <row r="9354" ht="14.25" customHeight="1">
      <c r="A9354" s="2" t="s">
        <v>425</v>
      </c>
      <c r="B9354" s="2" t="s">
        <v>426</v>
      </c>
      <c r="C9354" s="2">
        <v>1971.0</v>
      </c>
      <c r="D9354" s="9">
        <v>44776.22</v>
      </c>
      <c r="E9354" s="10" t="str">
        <f t="array" ref="E9354">IFS(D9354&lt;=$G$3,'calculated data '!$A$3,D9354&lt;=$G$4,'calculated data '!$A$4,D9354&lt;=$G$6,'calculated data '!$A$5,D9354&gt;=$G$6,'calculated data '!$A$6)</f>
        <v>High Demand Tier</v>
      </c>
      <c r="F9354" s="10">
        <f t="shared" si="1"/>
        <v>0.5220439164</v>
      </c>
    </row>
    <row r="9355" ht="14.25" customHeight="1">
      <c r="A9355" s="2" t="s">
        <v>437</v>
      </c>
      <c r="B9355" s="2" t="s">
        <v>438</v>
      </c>
      <c r="C9355" s="2">
        <v>1995.0</v>
      </c>
      <c r="D9355" s="9">
        <v>44780.6</v>
      </c>
      <c r="E9355" s="10" t="str">
        <f t="array" ref="E9355">IFS(D9355&lt;=$G$3,'calculated data '!$A$3,D9355&lt;=$G$4,'calculated data '!$A$4,D9355&lt;=$G$6,'calculated data '!$A$5,D9355&gt;=$G$6,'calculated data '!$A$6)</f>
        <v>High Demand Tier</v>
      </c>
      <c r="F9355" s="10">
        <f t="shared" si="1"/>
        <v>0.5221598539</v>
      </c>
    </row>
    <row r="9356" ht="14.25" customHeight="1">
      <c r="A9356" s="2" t="s">
        <v>459</v>
      </c>
      <c r="B9356" s="2" t="s">
        <v>460</v>
      </c>
      <c r="C9356" s="2">
        <v>2012.0</v>
      </c>
      <c r="D9356" s="9">
        <v>44804.355</v>
      </c>
      <c r="E9356" s="10" t="str">
        <f t="array" ref="E9356">IFS(D9356&lt;=$G$3,'calculated data '!$A$3,D9356&lt;=$G$4,'calculated data '!$A$4,D9356&lt;=$G$6,'calculated data '!$A$5,D9356&gt;=$G$6,'calculated data '!$A$6)</f>
        <v>High Demand Tier</v>
      </c>
      <c r="F9356" s="10">
        <f t="shared" si="1"/>
        <v>0.5227886428</v>
      </c>
    </row>
    <row r="9357" ht="14.25" customHeight="1">
      <c r="A9357" s="2" t="s">
        <v>425</v>
      </c>
      <c r="B9357" s="2" t="s">
        <v>426</v>
      </c>
      <c r="C9357" s="2">
        <v>2003.0</v>
      </c>
      <c r="D9357" s="9">
        <v>44818.93</v>
      </c>
      <c r="E9357" s="10" t="str">
        <f t="array" ref="E9357">IFS(D9357&lt;=$G$3,'calculated data '!$A$3,D9357&lt;=$G$4,'calculated data '!$A$4,D9357&lt;=$G$6,'calculated data '!$A$5,D9357&gt;=$G$6,'calculated data '!$A$6)</f>
        <v>High Demand Tier</v>
      </c>
      <c r="F9357" s="10">
        <f t="shared" si="1"/>
        <v>0.5231744394</v>
      </c>
    </row>
    <row r="9358" ht="14.25" customHeight="1">
      <c r="A9358" s="2" t="s">
        <v>425</v>
      </c>
      <c r="B9358" s="2" t="s">
        <v>426</v>
      </c>
      <c r="C9358" s="2">
        <v>2004.0</v>
      </c>
      <c r="D9358" s="9">
        <v>44837.89</v>
      </c>
      <c r="E9358" s="10" t="str">
        <f t="array" ref="E9358">IFS(D9358&lt;=$G$3,'calculated data '!$A$3,D9358&lt;=$G$4,'calculated data '!$A$4,D9358&lt;=$G$6,'calculated data '!$A$5,D9358&gt;=$G$6,'calculated data '!$A$6)</f>
        <v>High Demand Tier</v>
      </c>
      <c r="F9358" s="10">
        <f t="shared" si="1"/>
        <v>0.5236763059</v>
      </c>
    </row>
    <row r="9359" ht="14.25" customHeight="1">
      <c r="A9359" s="2" t="s">
        <v>47</v>
      </c>
      <c r="B9359" s="2" t="s">
        <v>48</v>
      </c>
      <c r="C9359" s="2">
        <v>2018.0</v>
      </c>
      <c r="D9359" s="9">
        <v>44844.117</v>
      </c>
      <c r="E9359" s="10" t="str">
        <f t="array" ref="E9359">IFS(D9359&lt;=$G$3,'calculated data '!$A$3,D9359&lt;=$G$4,'calculated data '!$A$4,D9359&lt;=$G$6,'calculated data '!$A$5,D9359&gt;=$G$6,'calculated data '!$A$6)</f>
        <v>High Demand Tier</v>
      </c>
      <c r="F9359" s="10">
        <f t="shared" si="1"/>
        <v>0.5238411331</v>
      </c>
    </row>
    <row r="9360" ht="14.25" customHeight="1">
      <c r="A9360" s="2" t="s">
        <v>409</v>
      </c>
      <c r="B9360" s="2" t="s">
        <v>410</v>
      </c>
      <c r="C9360" s="2">
        <v>2006.0</v>
      </c>
      <c r="D9360" s="9">
        <v>44847.516</v>
      </c>
      <c r="E9360" s="10" t="str">
        <f t="array" ref="E9360">IFS(D9360&lt;=$G$3,'calculated data '!$A$3,D9360&lt;=$G$4,'calculated data '!$A$4,D9360&lt;=$G$6,'calculated data '!$A$5,D9360&gt;=$G$6,'calculated data '!$A$6)</f>
        <v>High Demand Tier</v>
      </c>
      <c r="F9360" s="10">
        <f t="shared" si="1"/>
        <v>0.5239311037</v>
      </c>
    </row>
    <row r="9361" ht="14.25" customHeight="1">
      <c r="A9361" s="2" t="s">
        <v>437</v>
      </c>
      <c r="B9361" s="2" t="s">
        <v>438</v>
      </c>
      <c r="C9361" s="2">
        <v>2012.0</v>
      </c>
      <c r="D9361" s="9">
        <v>44867.836</v>
      </c>
      <c r="E9361" s="10" t="str">
        <f t="array" ref="E9361">IFS(D9361&lt;=$G$3,'calculated data '!$A$3,D9361&lt;=$G$4,'calculated data '!$A$4,D9361&lt;=$G$6,'calculated data '!$A$5,D9361&gt;=$G$6,'calculated data '!$A$6)</f>
        <v>High Demand Tier</v>
      </c>
      <c r="F9361" s="10">
        <f t="shared" si="1"/>
        <v>0.5244689691</v>
      </c>
    </row>
    <row r="9362" ht="14.25" customHeight="1">
      <c r="A9362" s="2" t="s">
        <v>307</v>
      </c>
      <c r="B9362" s="2" t="s">
        <v>308</v>
      </c>
      <c r="C9362" s="2">
        <v>2021.0</v>
      </c>
      <c r="D9362" s="9">
        <v>44880.773</v>
      </c>
      <c r="E9362" s="10" t="str">
        <f t="array" ref="E9362">IFS(D9362&lt;=$G$3,'calculated data '!$A$3,D9362&lt;=$G$4,'calculated data '!$A$4,D9362&lt;=$G$6,'calculated data '!$A$5,D9362&gt;=$G$6,'calculated data '!$A$6)</f>
        <v>High Demand Tier</v>
      </c>
      <c r="F9362" s="10">
        <f t="shared" si="1"/>
        <v>0.5248114082</v>
      </c>
    </row>
    <row r="9363" ht="14.25" customHeight="1">
      <c r="A9363" s="2" t="s">
        <v>425</v>
      </c>
      <c r="B9363" s="2" t="s">
        <v>426</v>
      </c>
      <c r="C9363" s="2">
        <v>2005.0</v>
      </c>
      <c r="D9363" s="9">
        <v>44881.73</v>
      </c>
      <c r="E9363" s="10" t="str">
        <f t="array" ref="E9363">IFS(D9363&lt;=$G$3,'calculated data '!$A$3,D9363&lt;=$G$4,'calculated data '!$A$4,D9363&lt;=$G$6,'calculated data '!$A$5,D9363&gt;=$G$6,'calculated data '!$A$6)</f>
        <v>High Demand Tier</v>
      </c>
      <c r="F9363" s="10">
        <f t="shared" si="1"/>
        <v>0.5248367398</v>
      </c>
    </row>
    <row r="9364" ht="14.25" customHeight="1">
      <c r="A9364" s="2" t="s">
        <v>471</v>
      </c>
      <c r="B9364" s="2" t="s">
        <v>472</v>
      </c>
      <c r="C9364" s="2">
        <v>1993.0</v>
      </c>
      <c r="D9364" s="9">
        <v>44883.066</v>
      </c>
      <c r="E9364" s="10" t="str">
        <f t="array" ref="E9364">IFS(D9364&lt;=$G$3,'calculated data '!$A$3,D9364&lt;=$G$4,'calculated data '!$A$4,D9364&lt;=$G$6,'calculated data '!$A$5,D9364&gt;=$G$6,'calculated data '!$A$6)</f>
        <v>High Demand Tier</v>
      </c>
      <c r="F9364" s="10">
        <f t="shared" si="1"/>
        <v>0.5248721034</v>
      </c>
    </row>
    <row r="9365" ht="14.25" customHeight="1">
      <c r="A9365" s="2" t="s">
        <v>399</v>
      </c>
      <c r="B9365" s="2" t="s">
        <v>400</v>
      </c>
      <c r="C9365" s="2">
        <v>2008.0</v>
      </c>
      <c r="D9365" s="9">
        <v>44898.613</v>
      </c>
      <c r="E9365" s="10" t="str">
        <f t="array" ref="E9365">IFS(D9365&lt;=$G$3,'calculated data '!$A$3,D9365&lt;=$G$4,'calculated data '!$A$4,D9365&lt;=$G$6,'calculated data '!$A$5,D9365&gt;=$G$6,'calculated data '!$A$6)</f>
        <v>High Demand Tier</v>
      </c>
      <c r="F9365" s="10">
        <f t="shared" si="1"/>
        <v>0.5252836286</v>
      </c>
    </row>
    <row r="9366" ht="14.25" customHeight="1">
      <c r="A9366" s="2" t="s">
        <v>445</v>
      </c>
      <c r="B9366" s="2" t="s">
        <v>446</v>
      </c>
      <c r="C9366" s="2">
        <v>1976.0</v>
      </c>
      <c r="D9366" s="9">
        <v>44903.293</v>
      </c>
      <c r="E9366" s="10" t="str">
        <f t="array" ref="E9366">IFS(D9366&lt;=$G$3,'calculated data '!$A$3,D9366&lt;=$G$4,'calculated data '!$A$4,D9366&lt;=$G$6,'calculated data '!$A$5,D9366&gt;=$G$6,'calculated data '!$A$6)</f>
        <v>High Demand Tier</v>
      </c>
      <c r="F9366" s="10">
        <f t="shared" si="1"/>
        <v>0.525407507</v>
      </c>
    </row>
    <row r="9367" ht="14.25" customHeight="1">
      <c r="A9367" s="2" t="s">
        <v>465</v>
      </c>
      <c r="B9367" s="2" t="s">
        <v>466</v>
      </c>
      <c r="C9367" s="2">
        <v>2007.0</v>
      </c>
      <c r="D9367" s="9">
        <v>44936.215</v>
      </c>
      <c r="E9367" s="10" t="str">
        <f t="array" ref="E9367">IFS(D9367&lt;=$G$3,'calculated data '!$A$3,D9367&lt;=$G$4,'calculated data '!$A$4,D9367&lt;=$G$6,'calculated data '!$A$5,D9367&gt;=$G$6,'calculated data '!$A$6)</f>
        <v>High Demand Tier</v>
      </c>
      <c r="F9367" s="10">
        <f t="shared" si="1"/>
        <v>0.5262789442</v>
      </c>
    </row>
    <row r="9368" ht="14.25" customHeight="1">
      <c r="A9368" s="2" t="s">
        <v>405</v>
      </c>
      <c r="B9368" s="2" t="s">
        <v>406</v>
      </c>
      <c r="C9368" s="2">
        <v>2000.0</v>
      </c>
      <c r="D9368" s="9">
        <v>44937.637</v>
      </c>
      <c r="E9368" s="10" t="str">
        <f t="array" ref="E9368">IFS(D9368&lt;=$G$3,'calculated data '!$A$3,D9368&lt;=$G$4,'calculated data '!$A$4,D9368&lt;=$G$6,'calculated data '!$A$5,D9368&gt;=$G$6,'calculated data '!$A$6)</f>
        <v>High Demand Tier</v>
      </c>
      <c r="F9368" s="10">
        <f t="shared" si="1"/>
        <v>0.5263165842</v>
      </c>
    </row>
    <row r="9369" ht="14.25" customHeight="1">
      <c r="A9369" s="2" t="s">
        <v>473</v>
      </c>
      <c r="B9369" s="2" t="s">
        <v>474</v>
      </c>
      <c r="C9369" s="2">
        <v>2021.0</v>
      </c>
      <c r="D9369" s="9">
        <v>44938.863</v>
      </c>
      <c r="E9369" s="10" t="str">
        <f t="array" ref="E9369">IFS(D9369&lt;=$G$3,'calculated data '!$A$3,D9369&lt;=$G$4,'calculated data '!$A$4,D9369&lt;=$G$6,'calculated data '!$A$5,D9369&gt;=$G$6,'calculated data '!$A$6)</f>
        <v>High Demand Tier</v>
      </c>
      <c r="F9369" s="10">
        <f t="shared" si="1"/>
        <v>0.5263490361</v>
      </c>
    </row>
    <row r="9370" ht="14.25" customHeight="1">
      <c r="A9370" s="2" t="s">
        <v>415</v>
      </c>
      <c r="B9370" s="2" t="s">
        <v>416</v>
      </c>
      <c r="C9370" s="2">
        <v>1991.0</v>
      </c>
      <c r="D9370" s="9">
        <v>44951.64</v>
      </c>
      <c r="E9370" s="10" t="str">
        <f t="array" ref="E9370">IFS(D9370&lt;=$G$3,'calculated data '!$A$3,D9370&lt;=$G$4,'calculated data '!$A$4,D9370&lt;=$G$6,'calculated data '!$A$5,D9370&gt;=$G$6,'calculated data '!$A$6)</f>
        <v>High Demand Tier</v>
      </c>
      <c r="F9370" s="10">
        <f t="shared" si="1"/>
        <v>0.5266872401</v>
      </c>
    </row>
    <row r="9371" ht="14.25" customHeight="1">
      <c r="A9371" s="2" t="s">
        <v>425</v>
      </c>
      <c r="B9371" s="2" t="s">
        <v>426</v>
      </c>
      <c r="C9371" s="2">
        <v>1999.0</v>
      </c>
      <c r="D9371" s="9">
        <v>44951.688</v>
      </c>
      <c r="E9371" s="10" t="str">
        <f t="array" ref="E9371">IFS(D9371&lt;=$G$3,'calculated data '!$A$3,D9371&lt;=$G$4,'calculated data '!$A$4,D9371&lt;=$G$6,'calculated data '!$A$5,D9371&gt;=$G$6,'calculated data '!$A$6)</f>
        <v>High Demand Tier</v>
      </c>
      <c r="F9371" s="10">
        <f t="shared" si="1"/>
        <v>0.5266885106</v>
      </c>
    </row>
    <row r="9372" ht="14.25" customHeight="1">
      <c r="A9372" s="2" t="s">
        <v>453</v>
      </c>
      <c r="B9372" s="2" t="s">
        <v>454</v>
      </c>
      <c r="C9372" s="2">
        <v>2005.0</v>
      </c>
      <c r="D9372" s="9">
        <v>45008.63</v>
      </c>
      <c r="E9372" s="10" t="str">
        <f t="array" ref="E9372">IFS(D9372&lt;=$G$3,'calculated data '!$A$3,D9372&lt;=$G$4,'calculated data '!$A$4,D9372&lt;=$G$6,'calculated data '!$A$5,D9372&gt;=$G$6,'calculated data '!$A$6)</f>
        <v>High Demand Tier</v>
      </c>
      <c r="F9372" s="10">
        <f t="shared" si="1"/>
        <v>0.5281957512</v>
      </c>
    </row>
    <row r="9373" ht="14.25" customHeight="1">
      <c r="A9373" s="2" t="s">
        <v>469</v>
      </c>
      <c r="B9373" s="2" t="s">
        <v>470</v>
      </c>
      <c r="C9373" s="2">
        <v>1979.0</v>
      </c>
      <c r="D9373" s="9">
        <v>45013.168</v>
      </c>
      <c r="E9373" s="10" t="str">
        <f t="array" ref="E9373">IFS(D9373&lt;=$G$3,'calculated data '!$A$3,D9373&lt;=$G$4,'calculated data '!$A$4,D9373&lt;=$G$6,'calculated data '!$A$5,D9373&gt;=$G$6,'calculated data '!$A$6)</f>
        <v>High Demand Tier</v>
      </c>
      <c r="F9373" s="10">
        <f t="shared" si="1"/>
        <v>0.5283158709</v>
      </c>
    </row>
    <row r="9374" ht="14.25" customHeight="1">
      <c r="A9374" s="2" t="s">
        <v>267</v>
      </c>
      <c r="B9374" s="2" t="s">
        <v>268</v>
      </c>
      <c r="C9374" s="2">
        <v>2014.0</v>
      </c>
      <c r="D9374" s="9">
        <v>45017.266</v>
      </c>
      <c r="E9374" s="10" t="str">
        <f t="array" ref="E9374">IFS(D9374&lt;=$G$3,'calculated data '!$A$3,D9374&lt;=$G$4,'calculated data '!$A$4,D9374&lt;=$G$6,'calculated data '!$A$5,D9374&gt;=$G$6,'calculated data '!$A$6)</f>
        <v>High Demand Tier</v>
      </c>
      <c r="F9374" s="10">
        <f t="shared" si="1"/>
        <v>0.528424344</v>
      </c>
    </row>
    <row r="9375" ht="14.25" customHeight="1">
      <c r="A9375" s="2" t="s">
        <v>425</v>
      </c>
      <c r="B9375" s="2" t="s">
        <v>426</v>
      </c>
      <c r="C9375" s="2">
        <v>1974.0</v>
      </c>
      <c r="D9375" s="9">
        <v>45028.254</v>
      </c>
      <c r="E9375" s="10" t="str">
        <f t="array" ref="E9375">IFS(D9375&lt;=$G$3,'calculated data '!$A$3,D9375&lt;=$G$4,'calculated data '!$A$4,D9375&lt;=$G$6,'calculated data '!$A$5,D9375&gt;=$G$6,'calculated data '!$A$6)</f>
        <v>High Demand Tier</v>
      </c>
      <c r="F9375" s="10">
        <f t="shared" si="1"/>
        <v>0.5287151936</v>
      </c>
    </row>
    <row r="9376" ht="14.25" customHeight="1">
      <c r="A9376" s="2" t="s">
        <v>469</v>
      </c>
      <c r="B9376" s="2" t="s">
        <v>470</v>
      </c>
      <c r="C9376" s="2">
        <v>1971.0</v>
      </c>
      <c r="D9376" s="9">
        <v>45037.934</v>
      </c>
      <c r="E9376" s="10" t="str">
        <f t="array" ref="E9376">IFS(D9376&lt;=$G$3,'calculated data '!$A$3,D9376&lt;=$G$4,'calculated data '!$A$4,D9376&lt;=$G$6,'calculated data '!$A$5,D9376&gt;=$G$6,'calculated data '!$A$6)</f>
        <v>High Demand Tier</v>
      </c>
      <c r="F9376" s="10">
        <f t="shared" si="1"/>
        <v>0.5289714208</v>
      </c>
    </row>
    <row r="9377" ht="14.25" customHeight="1">
      <c r="A9377" s="2" t="s">
        <v>451</v>
      </c>
      <c r="B9377" s="2" t="s">
        <v>452</v>
      </c>
      <c r="C9377" s="2">
        <v>1979.0</v>
      </c>
      <c r="D9377" s="9">
        <v>45039.492</v>
      </c>
      <c r="E9377" s="10" t="str">
        <f t="array" ref="E9377">IFS(D9377&lt;=$G$3,'calculated data '!$A$3,D9377&lt;=$G$4,'calculated data '!$A$4,D9377&lt;=$G$6,'calculated data '!$A$5,D9377&gt;=$G$6,'calculated data '!$A$6)</f>
        <v>High Demand Tier</v>
      </c>
      <c r="F9377" s="10">
        <f t="shared" si="1"/>
        <v>0.5290126606</v>
      </c>
    </row>
    <row r="9378" ht="14.25" customHeight="1">
      <c r="A9378" s="2" t="s">
        <v>425</v>
      </c>
      <c r="B9378" s="2" t="s">
        <v>426</v>
      </c>
      <c r="C9378" s="2">
        <v>1969.0</v>
      </c>
      <c r="D9378" s="9">
        <v>45044.07</v>
      </c>
      <c r="E9378" s="10" t="str">
        <f t="array" ref="E9378">IFS(D9378&lt;=$G$3,'calculated data '!$A$3,D9378&lt;=$G$4,'calculated data '!$A$4,D9378&lt;=$G$6,'calculated data '!$A$5,D9378&gt;=$G$6,'calculated data '!$A$6)</f>
        <v>High Demand Tier</v>
      </c>
      <c r="F9378" s="10">
        <f t="shared" si="1"/>
        <v>0.5291338392</v>
      </c>
    </row>
    <row r="9379" ht="14.25" customHeight="1">
      <c r="A9379" s="2" t="s">
        <v>413</v>
      </c>
      <c r="B9379" s="2" t="s">
        <v>414</v>
      </c>
      <c r="C9379" s="2">
        <v>1984.0</v>
      </c>
      <c r="D9379" s="9">
        <v>45054.125</v>
      </c>
      <c r="E9379" s="10" t="str">
        <f t="array" ref="E9379">IFS(D9379&lt;=$G$3,'calculated data '!$A$3,D9379&lt;=$G$4,'calculated data '!$A$4,D9379&lt;=$G$6,'calculated data '!$A$5,D9379&gt;=$G$6,'calculated data '!$A$6)</f>
        <v>High Demand Tier</v>
      </c>
      <c r="F9379" s="10">
        <f t="shared" si="1"/>
        <v>0.5293999925</v>
      </c>
    </row>
    <row r="9380" ht="14.25" customHeight="1">
      <c r="A9380" s="2" t="s">
        <v>449</v>
      </c>
      <c r="B9380" s="2" t="s">
        <v>450</v>
      </c>
      <c r="C9380" s="2">
        <v>2006.0</v>
      </c>
      <c r="D9380" s="9">
        <v>45058.117</v>
      </c>
      <c r="E9380" s="10" t="str">
        <f t="array" ref="E9380">IFS(D9380&lt;=$G$3,'calculated data '!$A$3,D9380&lt;=$G$4,'calculated data '!$A$4,D9380&lt;=$G$6,'calculated data '!$A$5,D9380&gt;=$G$6,'calculated data '!$A$6)</f>
        <v>High Demand Tier</v>
      </c>
      <c r="F9380" s="10">
        <f t="shared" si="1"/>
        <v>0.5295056598</v>
      </c>
    </row>
    <row r="9381" ht="14.25" customHeight="1">
      <c r="A9381" s="2" t="s">
        <v>457</v>
      </c>
      <c r="B9381" s="2" t="s">
        <v>458</v>
      </c>
      <c r="C9381" s="2">
        <v>1977.0</v>
      </c>
      <c r="D9381" s="9">
        <v>45064.133</v>
      </c>
      <c r="E9381" s="10" t="str">
        <f t="array" ref="E9381">IFS(D9381&lt;=$G$3,'calculated data '!$A$3,D9381&lt;=$G$4,'calculated data '!$A$4,D9381&lt;=$G$6,'calculated data '!$A$5,D9381&gt;=$G$6,'calculated data '!$A$6)</f>
        <v>High Demand Tier</v>
      </c>
      <c r="F9381" s="10">
        <f t="shared" si="1"/>
        <v>0.5296649018</v>
      </c>
    </row>
    <row r="9382" ht="14.25" customHeight="1">
      <c r="A9382" s="2" t="s">
        <v>469</v>
      </c>
      <c r="B9382" s="2" t="s">
        <v>470</v>
      </c>
      <c r="C9382" s="2">
        <v>1970.0</v>
      </c>
      <c r="D9382" s="9">
        <v>45064.53</v>
      </c>
      <c r="E9382" s="10" t="str">
        <f t="array" ref="E9382">IFS(D9382&lt;=$G$3,'calculated data '!$A$3,D9382&lt;=$G$4,'calculated data '!$A$4,D9382&lt;=$G$6,'calculated data '!$A$5,D9382&gt;=$G$6,'calculated data '!$A$6)</f>
        <v>High Demand Tier</v>
      </c>
      <c r="F9382" s="10">
        <f t="shared" si="1"/>
        <v>0.5296754103</v>
      </c>
    </row>
    <row r="9383" ht="14.25" customHeight="1">
      <c r="A9383" s="2" t="s">
        <v>415</v>
      </c>
      <c r="B9383" s="2" t="s">
        <v>416</v>
      </c>
      <c r="C9383" s="2">
        <v>2006.0</v>
      </c>
      <c r="D9383" s="9">
        <v>45070.746</v>
      </c>
      <c r="E9383" s="10" t="str">
        <f t="array" ref="E9383">IFS(D9383&lt;=$G$3,'calculated data '!$A$3,D9383&lt;=$G$4,'calculated data '!$A$4,D9383&lt;=$G$6,'calculated data '!$A$5,D9383&gt;=$G$6,'calculated data '!$A$6)</f>
        <v>High Demand Tier</v>
      </c>
      <c r="F9383" s="10">
        <f t="shared" si="1"/>
        <v>0.5298399462</v>
      </c>
    </row>
    <row r="9384" ht="14.25" customHeight="1">
      <c r="A9384" s="2" t="s">
        <v>397</v>
      </c>
      <c r="B9384" s="2" t="s">
        <v>398</v>
      </c>
      <c r="C9384" s="2">
        <v>1977.0</v>
      </c>
      <c r="D9384" s="9">
        <v>45079.27</v>
      </c>
      <c r="E9384" s="10" t="str">
        <f t="array" ref="E9384">IFS(D9384&lt;=$G$3,'calculated data '!$A$3,D9384&lt;=$G$4,'calculated data '!$A$4,D9384&lt;=$G$6,'calculated data '!$A$5,D9384&gt;=$G$6,'calculated data '!$A$6)</f>
        <v>High Demand Tier</v>
      </c>
      <c r="F9384" s="10">
        <f t="shared" si="1"/>
        <v>0.5300655744</v>
      </c>
    </row>
    <row r="9385" ht="14.25" customHeight="1">
      <c r="A9385" s="2" t="s">
        <v>415</v>
      </c>
      <c r="B9385" s="2" t="s">
        <v>416</v>
      </c>
      <c r="C9385" s="2">
        <v>1999.0</v>
      </c>
      <c r="D9385" s="9">
        <v>45090.32</v>
      </c>
      <c r="E9385" s="10" t="str">
        <f t="array" ref="E9385">IFS(D9385&lt;=$G$3,'calculated data '!$A$3,D9385&lt;=$G$4,'calculated data '!$A$4,D9385&lt;=$G$6,'calculated data '!$A$5,D9385&gt;=$G$6,'calculated data '!$A$6)</f>
        <v>High Demand Tier</v>
      </c>
      <c r="F9385" s="10">
        <f t="shared" si="1"/>
        <v>0.5303580651</v>
      </c>
    </row>
    <row r="9386" ht="14.25" customHeight="1">
      <c r="A9386" s="2" t="s">
        <v>337</v>
      </c>
      <c r="B9386" s="2" t="s">
        <v>338</v>
      </c>
      <c r="C9386" s="2">
        <v>2000.0</v>
      </c>
      <c r="D9386" s="9">
        <v>45128.4</v>
      </c>
      <c r="E9386" s="10" t="str">
        <f t="array" ref="E9386">IFS(D9386&lt;=$G$3,'calculated data '!$A$3,D9386&lt;=$G$4,'calculated data '!$A$4,D9386&lt;=$G$6,'calculated data '!$A$5,D9386&gt;=$G$6,'calculated data '!$A$6)</f>
        <v>High Demand Tier</v>
      </c>
      <c r="F9386" s="10">
        <f t="shared" si="1"/>
        <v>0.5313660333</v>
      </c>
    </row>
    <row r="9387" ht="14.25" customHeight="1">
      <c r="A9387" s="2" t="s">
        <v>473</v>
      </c>
      <c r="B9387" s="2" t="s">
        <v>474</v>
      </c>
      <c r="C9387" s="2">
        <v>2015.0</v>
      </c>
      <c r="D9387" s="9">
        <v>45135.227</v>
      </c>
      <c r="E9387" s="10" t="str">
        <f t="array" ref="E9387">IFS(D9387&lt;=$G$3,'calculated data '!$A$3,D9387&lt;=$G$4,'calculated data '!$A$4,D9387&lt;=$G$6,'calculated data '!$A$5,D9387&gt;=$G$6,'calculated data '!$A$6)</f>
        <v>High Demand Tier</v>
      </c>
      <c r="F9387" s="10">
        <f t="shared" si="1"/>
        <v>0.5315467422</v>
      </c>
    </row>
    <row r="9388" ht="14.25" customHeight="1">
      <c r="A9388" s="2" t="s">
        <v>425</v>
      </c>
      <c r="B9388" s="2" t="s">
        <v>426</v>
      </c>
      <c r="C9388" s="2">
        <v>1997.0</v>
      </c>
      <c r="D9388" s="9">
        <v>45146.305</v>
      </c>
      <c r="E9388" s="10" t="str">
        <f t="array" ref="E9388">IFS(D9388&lt;=$G$3,'calculated data '!$A$3,D9388&lt;=$G$4,'calculated data '!$A$4,D9388&lt;=$G$6,'calculated data '!$A$5,D9388&gt;=$G$6,'calculated data '!$A$6)</f>
        <v>High Demand Tier</v>
      </c>
      <c r="F9388" s="10">
        <f t="shared" si="1"/>
        <v>0.5318399742</v>
      </c>
    </row>
    <row r="9389" ht="14.25" customHeight="1">
      <c r="A9389" s="2" t="s">
        <v>433</v>
      </c>
      <c r="B9389" s="2" t="s">
        <v>434</v>
      </c>
      <c r="C9389" s="2">
        <v>1989.0</v>
      </c>
      <c r="D9389" s="9">
        <v>45167.414</v>
      </c>
      <c r="E9389" s="10" t="str">
        <f t="array" ref="E9389">IFS(D9389&lt;=$G$3,'calculated data '!$A$3,D9389&lt;=$G$4,'calculated data '!$A$4,D9389&lt;=$G$6,'calculated data '!$A$5,D9389&gt;=$G$6,'calculated data '!$A$6)</f>
        <v>High Demand Tier</v>
      </c>
      <c r="F9389" s="10">
        <f t="shared" si="1"/>
        <v>0.5323987241</v>
      </c>
    </row>
    <row r="9390" ht="14.25" customHeight="1">
      <c r="A9390" s="2" t="s">
        <v>425</v>
      </c>
      <c r="B9390" s="2" t="s">
        <v>426</v>
      </c>
      <c r="C9390" s="2">
        <v>2000.0</v>
      </c>
      <c r="D9390" s="9">
        <v>45177.81</v>
      </c>
      <c r="E9390" s="10" t="str">
        <f t="array" ref="E9390">IFS(D9390&lt;=$G$3,'calculated data '!$A$3,D9390&lt;=$G$4,'calculated data '!$A$4,D9390&lt;=$G$6,'calculated data '!$A$5,D9390&gt;=$G$6,'calculated data '!$A$6)</f>
        <v>High Demand Tier</v>
      </c>
      <c r="F9390" s="10">
        <f t="shared" si="1"/>
        <v>0.5326739037</v>
      </c>
    </row>
    <row r="9391" ht="14.25" customHeight="1">
      <c r="A9391" s="2" t="s">
        <v>457</v>
      </c>
      <c r="B9391" s="2" t="s">
        <v>458</v>
      </c>
      <c r="C9391" s="2">
        <v>1974.0</v>
      </c>
      <c r="D9391" s="9">
        <v>45197.35</v>
      </c>
      <c r="E9391" s="10" t="str">
        <f t="array" ref="E9391">IFS(D9391&lt;=$G$3,'calculated data '!$A$3,D9391&lt;=$G$4,'calculated data '!$A$4,D9391&lt;=$G$6,'calculated data '!$A$5,D9391&gt;=$G$6,'calculated data '!$A$6)</f>
        <v>High Demand Tier</v>
      </c>
      <c r="F9391" s="10">
        <f t="shared" si="1"/>
        <v>0.5331911226</v>
      </c>
    </row>
    <row r="9392" ht="14.25" customHeight="1">
      <c r="A9392" s="2" t="s">
        <v>403</v>
      </c>
      <c r="B9392" s="2" t="s">
        <v>404</v>
      </c>
      <c r="C9392" s="2">
        <v>2022.0</v>
      </c>
      <c r="D9392" s="9">
        <v>45204.71</v>
      </c>
      <c r="E9392" s="10" t="str">
        <f t="array" ref="E9392">IFS(D9392&lt;=$G$3,'calculated data '!$A$3,D9392&lt;=$G$4,'calculated data '!$A$4,D9392&lt;=$G$6,'calculated data '!$A$5,D9392&gt;=$G$6,'calculated data '!$A$6)</f>
        <v>High Demand Tier</v>
      </c>
      <c r="F9392" s="10">
        <f t="shared" si="1"/>
        <v>0.53338594</v>
      </c>
    </row>
    <row r="9393" ht="14.25" customHeight="1">
      <c r="A9393" s="2" t="s">
        <v>309</v>
      </c>
      <c r="B9393" s="2" t="s">
        <v>310</v>
      </c>
      <c r="C9393" s="2">
        <v>2010.0</v>
      </c>
      <c r="D9393" s="9">
        <v>45224.332</v>
      </c>
      <c r="E9393" s="10" t="str">
        <f t="array" ref="E9393">IFS(D9393&lt;=$G$3,'calculated data '!$A$3,D9393&lt;=$G$4,'calculated data '!$A$4,D9393&lt;=$G$6,'calculated data '!$A$5,D9393&gt;=$G$6,'calculated data '!$A$6)</f>
        <v>High Demand Tier</v>
      </c>
      <c r="F9393" s="10">
        <f t="shared" si="1"/>
        <v>0.5339053294</v>
      </c>
    </row>
    <row r="9394" ht="14.25" customHeight="1">
      <c r="A9394" s="2" t="s">
        <v>309</v>
      </c>
      <c r="B9394" s="2" t="s">
        <v>310</v>
      </c>
      <c r="C9394" s="2">
        <v>2016.0</v>
      </c>
      <c r="D9394" s="9">
        <v>45226.05</v>
      </c>
      <c r="E9394" s="10" t="str">
        <f t="array" ref="E9394">IFS(D9394&lt;=$G$3,'calculated data '!$A$3,D9394&lt;=$G$4,'calculated data '!$A$4,D9394&lt;=$G$6,'calculated data '!$A$5,D9394&gt;=$G$6,'calculated data '!$A$6)</f>
        <v>High Demand Tier</v>
      </c>
      <c r="F9394" s="10">
        <f t="shared" si="1"/>
        <v>0.5339508044</v>
      </c>
    </row>
    <row r="9395" ht="14.25" customHeight="1">
      <c r="A9395" s="2" t="s">
        <v>471</v>
      </c>
      <c r="B9395" s="2" t="s">
        <v>472</v>
      </c>
      <c r="C9395" s="2">
        <v>2022.0</v>
      </c>
      <c r="D9395" s="9">
        <v>45228.027</v>
      </c>
      <c r="E9395" s="10" t="str">
        <f t="array" ref="E9395">IFS(D9395&lt;=$G$3,'calculated data '!$A$3,D9395&lt;=$G$4,'calculated data '!$A$4,D9395&lt;=$G$6,'calculated data '!$A$5,D9395&gt;=$G$6,'calculated data '!$A$6)</f>
        <v>High Demand Tier</v>
      </c>
      <c r="F9395" s="10">
        <f t="shared" si="1"/>
        <v>0.5340031351</v>
      </c>
    </row>
    <row r="9396" ht="14.25" customHeight="1">
      <c r="A9396" s="2" t="s">
        <v>307</v>
      </c>
      <c r="B9396" s="2" t="s">
        <v>308</v>
      </c>
      <c r="C9396" s="2">
        <v>2023.0</v>
      </c>
      <c r="D9396" s="9">
        <v>45241.367</v>
      </c>
      <c r="E9396" s="10" t="str">
        <f t="array" ref="E9396">IFS(D9396&lt;=$G$3,'calculated data '!$A$3,D9396&lt;=$G$4,'calculated data '!$A$4,D9396&lt;=$G$6,'calculated data '!$A$5,D9396&gt;=$G$6,'calculated data '!$A$6)</f>
        <v>High Demand Tier</v>
      </c>
      <c r="F9396" s="10">
        <f t="shared" si="1"/>
        <v>0.5343562416</v>
      </c>
    </row>
    <row r="9397" ht="14.25" customHeight="1">
      <c r="A9397" s="2" t="s">
        <v>409</v>
      </c>
      <c r="B9397" s="2" t="s">
        <v>410</v>
      </c>
      <c r="C9397" s="2">
        <v>2002.0</v>
      </c>
      <c r="D9397" s="9">
        <v>45282.434</v>
      </c>
      <c r="E9397" s="10" t="str">
        <f t="array" ref="E9397">IFS(D9397&lt;=$G$3,'calculated data '!$A$3,D9397&lt;=$G$4,'calculated data '!$A$4,D9397&lt;=$G$6,'calculated data '!$A$5,D9397&gt;=$G$6,'calculated data '!$A$6)</f>
        <v>High Demand Tier</v>
      </c>
      <c r="F9397" s="10">
        <f t="shared" si="1"/>
        <v>0.5354432749</v>
      </c>
    </row>
    <row r="9398" ht="14.25" customHeight="1">
      <c r="A9398" s="2" t="s">
        <v>415</v>
      </c>
      <c r="B9398" s="2" t="s">
        <v>416</v>
      </c>
      <c r="C9398" s="2">
        <v>2003.0</v>
      </c>
      <c r="D9398" s="9">
        <v>45282.83</v>
      </c>
      <c r="E9398" s="10" t="str">
        <f t="array" ref="E9398">IFS(D9398&lt;=$G$3,'calculated data '!$A$3,D9398&lt;=$G$4,'calculated data '!$A$4,D9398&lt;=$G$6,'calculated data '!$A$5,D9398&gt;=$G$6,'calculated data '!$A$6)</f>
        <v>High Demand Tier</v>
      </c>
      <c r="F9398" s="10">
        <f t="shared" si="1"/>
        <v>0.5354537569</v>
      </c>
    </row>
    <row r="9399" ht="14.25" customHeight="1">
      <c r="A9399" s="2" t="s">
        <v>425</v>
      </c>
      <c r="B9399" s="2" t="s">
        <v>426</v>
      </c>
      <c r="C9399" s="2">
        <v>1972.0</v>
      </c>
      <c r="D9399" s="9">
        <v>45288.797</v>
      </c>
      <c r="E9399" s="10" t="str">
        <f t="array" ref="E9399">IFS(D9399&lt;=$G$3,'calculated data '!$A$3,D9399&lt;=$G$4,'calculated data '!$A$4,D9399&lt;=$G$6,'calculated data '!$A$5,D9399&gt;=$G$6,'calculated data '!$A$6)</f>
        <v>High Demand Tier</v>
      </c>
      <c r="F9399" s="10">
        <f t="shared" si="1"/>
        <v>0.5356117019</v>
      </c>
    </row>
    <row r="9400" ht="14.25" customHeight="1">
      <c r="A9400" s="2" t="s">
        <v>455</v>
      </c>
      <c r="B9400" s="2" t="s">
        <v>456</v>
      </c>
      <c r="C9400" s="2">
        <v>1972.0</v>
      </c>
      <c r="D9400" s="9">
        <v>45289.344</v>
      </c>
      <c r="E9400" s="10" t="str">
        <f t="array" ref="E9400">IFS(D9400&lt;=$G$3,'calculated data '!$A$3,D9400&lt;=$G$4,'calculated data '!$A$4,D9400&lt;=$G$6,'calculated data '!$A$5,D9400&gt;=$G$6,'calculated data '!$A$6)</f>
        <v>High Demand Tier</v>
      </c>
      <c r="F9400" s="10">
        <f t="shared" si="1"/>
        <v>0.5356261809</v>
      </c>
    </row>
    <row r="9401" ht="14.25" customHeight="1">
      <c r="A9401" s="2" t="s">
        <v>465</v>
      </c>
      <c r="B9401" s="2" t="s">
        <v>466</v>
      </c>
      <c r="C9401" s="2">
        <v>2008.0</v>
      </c>
      <c r="D9401" s="9">
        <v>45290.08</v>
      </c>
      <c r="E9401" s="10" t="str">
        <f t="array" ref="E9401">IFS(D9401&lt;=$G$3,'calculated data '!$A$3,D9401&lt;=$G$4,'calculated data '!$A$4,D9401&lt;=$G$6,'calculated data '!$A$5,D9401&gt;=$G$6,'calculated data '!$A$6)</f>
        <v>High Demand Tier</v>
      </c>
      <c r="F9401" s="10">
        <f t="shared" si="1"/>
        <v>0.5356456626</v>
      </c>
    </row>
    <row r="9402" ht="14.25" customHeight="1">
      <c r="A9402" s="2" t="s">
        <v>391</v>
      </c>
      <c r="B9402" s="2" t="s">
        <v>392</v>
      </c>
      <c r="C9402" s="2">
        <v>2006.0</v>
      </c>
      <c r="D9402" s="9">
        <v>45294.72</v>
      </c>
      <c r="E9402" s="10" t="str">
        <f t="array" ref="E9402">IFS(D9402&lt;=$G$3,'calculated data '!$A$3,D9402&lt;=$G$4,'calculated data '!$A$4,D9402&lt;=$G$6,'calculated data '!$A$5,D9402&gt;=$G$6,'calculated data '!$A$6)</f>
        <v>High Demand Tier</v>
      </c>
      <c r="F9402" s="10">
        <f t="shared" si="1"/>
        <v>0.5357684822</v>
      </c>
    </row>
    <row r="9403" ht="14.25" customHeight="1">
      <c r="A9403" s="2" t="s">
        <v>425</v>
      </c>
      <c r="B9403" s="2" t="s">
        <v>426</v>
      </c>
      <c r="C9403" s="2">
        <v>1998.0</v>
      </c>
      <c r="D9403" s="9">
        <v>45348.465</v>
      </c>
      <c r="E9403" s="10" t="str">
        <f t="array" ref="E9403">IFS(D9403&lt;=$G$3,'calculated data '!$A$3,D9403&lt;=$G$4,'calculated data '!$A$4,D9403&lt;=$G$6,'calculated data '!$A$5,D9403&gt;=$G$6,'calculated data '!$A$6)</f>
        <v>High Demand Tier</v>
      </c>
      <c r="F9403" s="10">
        <f t="shared" si="1"/>
        <v>0.537191099</v>
      </c>
    </row>
    <row r="9404" ht="14.25" customHeight="1">
      <c r="A9404" s="2" t="s">
        <v>467</v>
      </c>
      <c r="B9404" s="2" t="s">
        <v>468</v>
      </c>
      <c r="C9404" s="2">
        <v>1972.0</v>
      </c>
      <c r="D9404" s="9">
        <v>45354.727</v>
      </c>
      <c r="E9404" s="10" t="str">
        <f t="array" ref="E9404">IFS(D9404&lt;=$G$3,'calculated data '!$A$3,D9404&lt;=$G$4,'calculated data '!$A$4,D9404&lt;=$G$6,'calculated data '!$A$5,D9404&gt;=$G$6,'calculated data '!$A$6)</f>
        <v>High Demand Tier</v>
      </c>
      <c r="F9404" s="10">
        <f t="shared" si="1"/>
        <v>0.5373568526</v>
      </c>
    </row>
    <row r="9405" ht="14.25" customHeight="1">
      <c r="A9405" s="2" t="s">
        <v>381</v>
      </c>
      <c r="B9405" s="2" t="s">
        <v>382</v>
      </c>
      <c r="C9405" s="2">
        <v>2021.0</v>
      </c>
      <c r="D9405" s="9">
        <v>45366.465</v>
      </c>
      <c r="E9405" s="10" t="str">
        <f t="array" ref="E9405">IFS(D9405&lt;=$G$3,'calculated data '!$A$3,D9405&lt;=$G$4,'calculated data '!$A$4,D9405&lt;=$G$6,'calculated data '!$A$5,D9405&gt;=$G$6,'calculated data '!$A$6)</f>
        <v>High Demand Tier</v>
      </c>
      <c r="F9405" s="10">
        <f t="shared" si="1"/>
        <v>0.5376675545</v>
      </c>
    </row>
    <row r="9406" ht="14.25" customHeight="1">
      <c r="A9406" s="2" t="s">
        <v>461</v>
      </c>
      <c r="B9406" s="2" t="s">
        <v>462</v>
      </c>
      <c r="C9406" s="2">
        <v>1969.0</v>
      </c>
      <c r="D9406" s="9">
        <v>45369.93</v>
      </c>
      <c r="E9406" s="10" t="str">
        <f t="array" ref="E9406">IFS(D9406&lt;=$G$3,'calculated data '!$A$3,D9406&lt;=$G$4,'calculated data '!$A$4,D9406&lt;=$G$6,'calculated data '!$A$5,D9406&gt;=$G$6,'calculated data '!$A$6)</f>
        <v>High Demand Tier</v>
      </c>
      <c r="F9406" s="10">
        <f t="shared" si="1"/>
        <v>0.5377592722</v>
      </c>
    </row>
    <row r="9407" ht="14.25" customHeight="1">
      <c r="A9407" s="2" t="s">
        <v>409</v>
      </c>
      <c r="B9407" s="2" t="s">
        <v>410</v>
      </c>
      <c r="C9407" s="2">
        <v>2000.0</v>
      </c>
      <c r="D9407" s="9">
        <v>45369.957</v>
      </c>
      <c r="E9407" s="10" t="str">
        <f t="array" ref="E9407">IFS(D9407&lt;=$G$3,'calculated data '!$A$3,D9407&lt;=$G$4,'calculated data '!$A$4,D9407&lt;=$G$6,'calculated data '!$A$5,D9407&gt;=$G$6,'calculated data '!$A$6)</f>
        <v>High Demand Tier</v>
      </c>
      <c r="F9407" s="10">
        <f t="shared" si="1"/>
        <v>0.5377599869</v>
      </c>
    </row>
    <row r="9408" ht="14.25" customHeight="1">
      <c r="A9408" s="2" t="s">
        <v>437</v>
      </c>
      <c r="B9408" s="2" t="s">
        <v>438</v>
      </c>
      <c r="C9408" s="2">
        <v>1996.0</v>
      </c>
      <c r="D9408" s="9">
        <v>45379.613</v>
      </c>
      <c r="E9408" s="10" t="str">
        <f t="array" ref="E9408">IFS(D9408&lt;=$G$3,'calculated data '!$A$3,D9408&lt;=$G$4,'calculated data '!$A$4,D9408&lt;=$G$6,'calculated data '!$A$5,D9408&gt;=$G$6,'calculated data '!$A$6)</f>
        <v>High Demand Tier</v>
      </c>
      <c r="F9408" s="10">
        <f t="shared" si="1"/>
        <v>0.5380155788</v>
      </c>
    </row>
    <row r="9409" ht="14.25" customHeight="1">
      <c r="A9409" s="2" t="s">
        <v>427</v>
      </c>
      <c r="B9409" s="2" t="s">
        <v>428</v>
      </c>
      <c r="C9409" s="2">
        <v>2010.0</v>
      </c>
      <c r="D9409" s="9">
        <v>45394.965</v>
      </c>
      <c r="E9409" s="10" t="str">
        <f t="array" ref="E9409">IFS(D9409&lt;=$G$3,'calculated data '!$A$3,D9409&lt;=$G$4,'calculated data '!$A$4,D9409&lt;=$G$6,'calculated data '!$A$5,D9409&gt;=$G$6,'calculated data '!$A$6)</f>
        <v>High Demand Tier</v>
      </c>
      <c r="F9409" s="10">
        <f t="shared" si="1"/>
        <v>0.5384219424</v>
      </c>
    </row>
    <row r="9410" ht="14.25" customHeight="1">
      <c r="A9410" s="2" t="s">
        <v>465</v>
      </c>
      <c r="B9410" s="2" t="s">
        <v>466</v>
      </c>
      <c r="C9410" s="2">
        <v>2009.0</v>
      </c>
      <c r="D9410" s="9">
        <v>45415.17</v>
      </c>
      <c r="E9410" s="10" t="str">
        <f t="array" ref="E9410">IFS(D9410&lt;=$G$3,'calculated data '!$A$3,D9410&lt;=$G$4,'calculated data '!$A$4,D9410&lt;=$G$6,'calculated data '!$A$5,D9410&gt;=$G$6,'calculated data '!$A$6)</f>
        <v>High Demand Tier</v>
      </c>
      <c r="F9410" s="10">
        <f t="shared" si="1"/>
        <v>0.5389567637</v>
      </c>
    </row>
    <row r="9411" ht="14.25" customHeight="1">
      <c r="A9411" s="2" t="s">
        <v>369</v>
      </c>
      <c r="B9411" s="2" t="s">
        <v>370</v>
      </c>
      <c r="C9411" s="2">
        <v>1994.0</v>
      </c>
      <c r="D9411" s="9">
        <v>45424.598</v>
      </c>
      <c r="E9411" s="10" t="str">
        <f t="array" ref="E9411">IFS(D9411&lt;=$G$3,'calculated data '!$A$3,D9411&lt;=$G$4,'calculated data '!$A$4,D9411&lt;=$G$6,'calculated data '!$A$5,D9411&gt;=$G$6,'calculated data '!$A$6)</f>
        <v>High Demand Tier</v>
      </c>
      <c r="F9411" s="10">
        <f t="shared" si="1"/>
        <v>0.5392063205</v>
      </c>
    </row>
    <row r="9412" ht="14.25" customHeight="1">
      <c r="A9412" s="2" t="s">
        <v>443</v>
      </c>
      <c r="B9412" s="2" t="s">
        <v>444</v>
      </c>
      <c r="C9412" s="2">
        <v>1978.0</v>
      </c>
      <c r="D9412" s="9">
        <v>45427.92</v>
      </c>
      <c r="E9412" s="10" t="str">
        <f t="array" ref="E9412">IFS(D9412&lt;=$G$3,'calculated data '!$A$3,D9412&lt;=$G$4,'calculated data '!$A$4,D9412&lt;=$G$6,'calculated data '!$A$5,D9412&gt;=$G$6,'calculated data '!$A$6)</f>
        <v>High Demand Tier</v>
      </c>
      <c r="F9412" s="10">
        <f t="shared" si="1"/>
        <v>0.5392942531</v>
      </c>
    </row>
    <row r="9413" ht="14.25" customHeight="1">
      <c r="A9413" s="2" t="s">
        <v>479</v>
      </c>
      <c r="B9413" s="2" t="s">
        <v>480</v>
      </c>
      <c r="C9413" s="2">
        <v>1998.0</v>
      </c>
      <c r="D9413" s="9">
        <v>45436.05</v>
      </c>
      <c r="E9413" s="10" t="str">
        <f t="array" ref="E9413">IFS(D9413&lt;=$G$3,'calculated data '!$A$3,D9413&lt;=$G$4,'calculated data '!$A$4,D9413&lt;=$G$6,'calculated data '!$A$5,D9413&gt;=$G$6,'calculated data '!$A$6)</f>
        <v>High Demand Tier</v>
      </c>
      <c r="F9413" s="10">
        <f t="shared" si="1"/>
        <v>0.5395094521</v>
      </c>
    </row>
    <row r="9414" ht="14.25" customHeight="1">
      <c r="A9414" s="2" t="s">
        <v>415</v>
      </c>
      <c r="B9414" s="2" t="s">
        <v>416</v>
      </c>
      <c r="C9414" s="2">
        <v>1980.0</v>
      </c>
      <c r="D9414" s="9">
        <v>45455.793</v>
      </c>
      <c r="E9414" s="10" t="str">
        <f t="array" ref="E9414">IFS(D9414&lt;=$G$3,'calculated data '!$A$3,D9414&lt;=$G$4,'calculated data '!$A$4,D9414&lt;=$G$6,'calculated data '!$A$5,D9414&gt;=$G$6,'calculated data '!$A$6)</f>
        <v>High Demand Tier</v>
      </c>
      <c r="F9414" s="10">
        <f t="shared" si="1"/>
        <v>0.5400320444</v>
      </c>
    </row>
    <row r="9415" ht="14.25" customHeight="1">
      <c r="A9415" s="2" t="s">
        <v>443</v>
      </c>
      <c r="B9415" s="2" t="s">
        <v>444</v>
      </c>
      <c r="C9415" s="2">
        <v>1982.0</v>
      </c>
      <c r="D9415" s="9">
        <v>45475.934</v>
      </c>
      <c r="E9415" s="10" t="str">
        <f t="array" ref="E9415">IFS(D9415&lt;=$G$3,'calculated data '!$A$3,D9415&lt;=$G$4,'calculated data '!$A$4,D9415&lt;=$G$6,'calculated data '!$A$5,D9415&gt;=$G$6,'calculated data '!$A$6)</f>
        <v>High Demand Tier</v>
      </c>
      <c r="F9415" s="10">
        <f t="shared" si="1"/>
        <v>0.5405651717</v>
      </c>
    </row>
    <row r="9416" ht="14.25" customHeight="1">
      <c r="A9416" s="2" t="s">
        <v>479</v>
      </c>
      <c r="B9416" s="2" t="s">
        <v>480</v>
      </c>
      <c r="C9416" s="2">
        <v>1997.0</v>
      </c>
      <c r="D9416" s="9">
        <v>45477.562</v>
      </c>
      <c r="E9416" s="10" t="str">
        <f t="array" ref="E9416">IFS(D9416&lt;=$G$3,'calculated data '!$A$3,D9416&lt;=$G$4,'calculated data '!$A$4,D9416&lt;=$G$6,'calculated data '!$A$5,D9416&gt;=$G$6,'calculated data '!$A$6)</f>
        <v>High Demand Tier</v>
      </c>
      <c r="F9416" s="10">
        <f t="shared" si="1"/>
        <v>0.5406082644</v>
      </c>
    </row>
    <row r="9417" ht="14.25" customHeight="1">
      <c r="A9417" s="2" t="s">
        <v>469</v>
      </c>
      <c r="B9417" s="2" t="s">
        <v>470</v>
      </c>
      <c r="C9417" s="2">
        <v>1975.0</v>
      </c>
      <c r="D9417" s="9">
        <v>45479.312</v>
      </c>
      <c r="E9417" s="10" t="str">
        <f t="array" ref="E9417">IFS(D9417&lt;=$G$3,'calculated data '!$A$3,D9417&lt;=$G$4,'calculated data '!$A$4,D9417&lt;=$G$6,'calculated data '!$A$5,D9417&gt;=$G$6,'calculated data '!$A$6)</f>
        <v>High Demand Tier</v>
      </c>
      <c r="F9417" s="10">
        <f t="shared" si="1"/>
        <v>0.5406545865</v>
      </c>
    </row>
    <row r="9418" ht="14.25" customHeight="1">
      <c r="A9418" s="2" t="s">
        <v>427</v>
      </c>
      <c r="B9418" s="2" t="s">
        <v>428</v>
      </c>
      <c r="C9418" s="2">
        <v>2013.0</v>
      </c>
      <c r="D9418" s="9">
        <v>45506.625</v>
      </c>
      <c r="E9418" s="10" t="str">
        <f t="array" ref="E9418">IFS(D9418&lt;=$G$3,'calculated data '!$A$3,D9418&lt;=$G$4,'calculated data '!$A$4,D9418&lt;=$G$6,'calculated data '!$A$5,D9418&gt;=$G$6,'calculated data '!$A$6)</f>
        <v>High Demand Tier</v>
      </c>
      <c r="F9418" s="10">
        <f t="shared" si="1"/>
        <v>0.5413775548</v>
      </c>
    </row>
    <row r="9419" ht="14.25" customHeight="1">
      <c r="A9419" s="2" t="s">
        <v>307</v>
      </c>
      <c r="B9419" s="2" t="s">
        <v>308</v>
      </c>
      <c r="C9419" s="2">
        <v>1997.0</v>
      </c>
      <c r="D9419" s="9">
        <v>45528.2</v>
      </c>
      <c r="E9419" s="10" t="str">
        <f t="array" ref="E9419">IFS(D9419&lt;=$G$3,'calculated data '!$A$3,D9419&lt;=$G$4,'calculated data '!$A$4,D9419&lt;=$G$6,'calculated data '!$A$5,D9419&gt;=$G$6,'calculated data '!$A$6)</f>
        <v>High Demand Tier</v>
      </c>
      <c r="F9419" s="10">
        <f t="shared" si="1"/>
        <v>0.5419486397</v>
      </c>
    </row>
    <row r="9420" ht="14.25" customHeight="1">
      <c r="A9420" s="2" t="s">
        <v>465</v>
      </c>
      <c r="B9420" s="2" t="s">
        <v>466</v>
      </c>
      <c r="C9420" s="2">
        <v>1988.0</v>
      </c>
      <c r="D9420" s="9">
        <v>45530.42</v>
      </c>
      <c r="E9420" s="10" t="str">
        <f t="array" ref="E9420">IFS(D9420&lt;=$G$3,'calculated data '!$A$3,D9420&lt;=$G$4,'calculated data '!$A$4,D9420&lt;=$G$6,'calculated data '!$A$5,D9420&gt;=$G$6,'calculated data '!$A$6)</f>
        <v>High Demand Tier</v>
      </c>
      <c r="F9420" s="10">
        <f t="shared" si="1"/>
        <v>0.5420074025</v>
      </c>
    </row>
    <row r="9421" ht="14.25" customHeight="1">
      <c r="A9421" s="2" t="s">
        <v>443</v>
      </c>
      <c r="B9421" s="2" t="s">
        <v>444</v>
      </c>
      <c r="C9421" s="2">
        <v>1985.0</v>
      </c>
      <c r="D9421" s="9">
        <v>45531.6</v>
      </c>
      <c r="E9421" s="10" t="str">
        <f t="array" ref="E9421">IFS(D9421&lt;=$G$3,'calculated data '!$A$3,D9421&lt;=$G$4,'calculated data '!$A$4,D9421&lt;=$G$6,'calculated data '!$A$5,D9421&gt;=$G$6,'calculated data '!$A$6)</f>
        <v>High Demand Tier</v>
      </c>
      <c r="F9421" s="10">
        <f t="shared" si="1"/>
        <v>0.5420386368</v>
      </c>
    </row>
    <row r="9422" ht="14.25" customHeight="1">
      <c r="A9422" s="2" t="s">
        <v>391</v>
      </c>
      <c r="B9422" s="2" t="s">
        <v>392</v>
      </c>
      <c r="C9422" s="2">
        <v>2017.0</v>
      </c>
      <c r="D9422" s="9">
        <v>45538.055</v>
      </c>
      <c r="E9422" s="10" t="str">
        <f t="array" ref="E9422">IFS(D9422&lt;=$G$3,'calculated data '!$A$3,D9422&lt;=$G$4,'calculated data '!$A$4,D9422&lt;=$G$6,'calculated data '!$A$5,D9422&gt;=$G$6,'calculated data '!$A$6)</f>
        <v>High Demand Tier</v>
      </c>
      <c r="F9422" s="10">
        <f t="shared" si="1"/>
        <v>0.5422094991</v>
      </c>
    </row>
    <row r="9423" ht="14.25" customHeight="1">
      <c r="A9423" s="2" t="s">
        <v>409</v>
      </c>
      <c r="B9423" s="2" t="s">
        <v>410</v>
      </c>
      <c r="C9423" s="2">
        <v>2005.0</v>
      </c>
      <c r="D9423" s="9">
        <v>45540.83</v>
      </c>
      <c r="E9423" s="10" t="str">
        <f t="array" ref="E9423">IFS(D9423&lt;=$G$3,'calculated data '!$A$3,D9423&lt;=$G$4,'calculated data '!$A$4,D9423&lt;=$G$6,'calculated data '!$A$5,D9423&gt;=$G$6,'calculated data '!$A$6)</f>
        <v>High Demand Tier</v>
      </c>
      <c r="F9423" s="10">
        <f t="shared" si="1"/>
        <v>0.5422829526</v>
      </c>
    </row>
    <row r="9424" ht="14.25" customHeight="1">
      <c r="A9424" s="2" t="s">
        <v>425</v>
      </c>
      <c r="B9424" s="2" t="s">
        <v>426</v>
      </c>
      <c r="C9424" s="2">
        <v>2001.0</v>
      </c>
      <c r="D9424" s="9">
        <v>45546.605</v>
      </c>
      <c r="E9424" s="10" t="str">
        <f t="array" ref="E9424">IFS(D9424&lt;=$G$3,'calculated data '!$A$3,D9424&lt;=$G$4,'calculated data '!$A$4,D9424&lt;=$G$6,'calculated data '!$A$5,D9424&gt;=$G$6,'calculated data '!$A$6)</f>
        <v>High Demand Tier</v>
      </c>
      <c r="F9424" s="10">
        <f t="shared" si="1"/>
        <v>0.5424358155</v>
      </c>
    </row>
    <row r="9425" ht="14.25" customHeight="1">
      <c r="A9425" s="2" t="s">
        <v>307</v>
      </c>
      <c r="B9425" s="2" t="s">
        <v>308</v>
      </c>
      <c r="C9425" s="2">
        <v>2024.0</v>
      </c>
      <c r="D9425" s="9">
        <v>45574.95</v>
      </c>
      <c r="E9425" s="10" t="str">
        <f t="array" ref="E9425">IFS(D9425&lt;=$G$3,'calculated data '!$A$3,D9425&lt;=$G$4,'calculated data '!$A$4,D9425&lt;=$G$6,'calculated data '!$A$5,D9425&gt;=$G$6,'calculated data '!$A$6)</f>
        <v>High Demand Tier</v>
      </c>
      <c r="F9425" s="10">
        <f t="shared" si="1"/>
        <v>0.5431861005</v>
      </c>
    </row>
    <row r="9426" ht="14.25" customHeight="1">
      <c r="A9426" s="2" t="s">
        <v>455</v>
      </c>
      <c r="B9426" s="2" t="s">
        <v>456</v>
      </c>
      <c r="C9426" s="2">
        <v>1974.0</v>
      </c>
      <c r="D9426" s="9">
        <v>45580.707</v>
      </c>
      <c r="E9426" s="10" t="str">
        <f t="array" ref="E9426">IFS(D9426&lt;=$G$3,'calculated data '!$A$3,D9426&lt;=$G$4,'calculated data '!$A$4,D9426&lt;=$G$6,'calculated data '!$A$5,D9426&gt;=$G$6,'calculated data '!$A$6)</f>
        <v>High Demand Tier</v>
      </c>
      <c r="F9426" s="10">
        <f t="shared" si="1"/>
        <v>0.5433384869</v>
      </c>
    </row>
    <row r="9427" ht="14.25" customHeight="1">
      <c r="A9427" s="2" t="s">
        <v>283</v>
      </c>
      <c r="B9427" s="2" t="s">
        <v>284</v>
      </c>
      <c r="C9427" s="2">
        <v>1974.0</v>
      </c>
      <c r="D9427" s="9">
        <v>45584.957</v>
      </c>
      <c r="E9427" s="10" t="str">
        <f t="array" ref="E9427">IFS(D9427&lt;=$G$3,'calculated data '!$A$3,D9427&lt;=$G$4,'calculated data '!$A$4,D9427&lt;=$G$6,'calculated data '!$A$5,D9427&gt;=$G$6,'calculated data '!$A$6)</f>
        <v>High Demand Tier</v>
      </c>
      <c r="F9427" s="10">
        <f t="shared" si="1"/>
        <v>0.5434509833</v>
      </c>
    </row>
    <row r="9428" ht="14.25" customHeight="1">
      <c r="A9428" s="2" t="s">
        <v>419</v>
      </c>
      <c r="B9428" s="2" t="s">
        <v>420</v>
      </c>
      <c r="C9428" s="2">
        <v>1991.0</v>
      </c>
      <c r="D9428" s="9">
        <v>45602.91</v>
      </c>
      <c r="E9428" s="10" t="str">
        <f t="array" ref="E9428">IFS(D9428&lt;=$G$3,'calculated data '!$A$3,D9428&lt;=$G$4,'calculated data '!$A$4,D9428&lt;=$G$6,'calculated data '!$A$5,D9428&gt;=$G$6,'calculated data '!$A$6)</f>
        <v>High Demand Tier</v>
      </c>
      <c r="F9428" s="10">
        <f t="shared" si="1"/>
        <v>0.5439261948</v>
      </c>
    </row>
    <row r="9429" ht="14.25" customHeight="1">
      <c r="A9429" s="2" t="s">
        <v>415</v>
      </c>
      <c r="B9429" s="2" t="s">
        <v>416</v>
      </c>
      <c r="C9429" s="2">
        <v>1976.0</v>
      </c>
      <c r="D9429" s="9">
        <v>45616.99</v>
      </c>
      <c r="E9429" s="10" t="str">
        <f t="array" ref="E9429">IFS(D9429&lt;=$G$3,'calculated data '!$A$3,D9429&lt;=$G$4,'calculated data '!$A$4,D9429&lt;=$G$6,'calculated data '!$A$5,D9429&gt;=$G$6,'calculated data '!$A$6)</f>
        <v>High Demand Tier</v>
      </c>
      <c r="F9429" s="10">
        <f t="shared" si="1"/>
        <v>0.5442988889</v>
      </c>
    </row>
    <row r="9430" ht="14.25" customHeight="1">
      <c r="A9430" s="2" t="s">
        <v>307</v>
      </c>
      <c r="B9430" s="2" t="s">
        <v>308</v>
      </c>
      <c r="C9430" s="2">
        <v>1995.0</v>
      </c>
      <c r="D9430" s="9">
        <v>45635.562</v>
      </c>
      <c r="E9430" s="10" t="str">
        <f t="array" ref="E9430">IFS(D9430&lt;=$G$3,'calculated data '!$A$3,D9430&lt;=$G$4,'calculated data '!$A$4,D9430&lt;=$G$6,'calculated data '!$A$5,D9430&gt;=$G$6,'calculated data '!$A$6)</f>
        <v>High Demand Tier</v>
      </c>
      <c r="F9430" s="10">
        <f t="shared" si="1"/>
        <v>0.5447904851</v>
      </c>
    </row>
    <row r="9431" ht="14.25" customHeight="1">
      <c r="A9431" s="2" t="s">
        <v>419</v>
      </c>
      <c r="B9431" s="2" t="s">
        <v>420</v>
      </c>
      <c r="C9431" s="2">
        <v>1989.0</v>
      </c>
      <c r="D9431" s="9">
        <v>45637.523</v>
      </c>
      <c r="E9431" s="10" t="str">
        <f t="array" ref="E9431">IFS(D9431&lt;=$G$3,'calculated data '!$A$3,D9431&lt;=$G$4,'calculated data '!$A$4,D9431&lt;=$G$6,'calculated data '!$A$5,D9431&gt;=$G$6,'calculated data '!$A$6)</f>
        <v>High Demand Tier</v>
      </c>
      <c r="F9431" s="10">
        <f t="shared" si="1"/>
        <v>0.5448423923</v>
      </c>
    </row>
    <row r="9432" ht="14.25" customHeight="1">
      <c r="A9432" s="2" t="s">
        <v>279</v>
      </c>
      <c r="B9432" s="2" t="s">
        <v>280</v>
      </c>
      <c r="C9432" s="2">
        <v>2000.0</v>
      </c>
      <c r="D9432" s="9">
        <v>45647.188</v>
      </c>
      <c r="E9432" s="10" t="str">
        <f t="array" ref="E9432">IFS(D9432&lt;=$G$3,'calculated data '!$A$3,D9432&lt;=$G$4,'calculated data '!$A$4,D9432&lt;=$G$6,'calculated data '!$A$5,D9432&gt;=$G$6,'calculated data '!$A$6)</f>
        <v>High Demand Tier</v>
      </c>
      <c r="F9432" s="10">
        <f t="shared" si="1"/>
        <v>0.5450982224</v>
      </c>
    </row>
    <row r="9433" ht="14.25" customHeight="1">
      <c r="A9433" s="2" t="s">
        <v>413</v>
      </c>
      <c r="B9433" s="2" t="s">
        <v>414</v>
      </c>
      <c r="C9433" s="2">
        <v>1986.0</v>
      </c>
      <c r="D9433" s="9">
        <v>45669.906</v>
      </c>
      <c r="E9433" s="10" t="str">
        <f t="array" ref="E9433">IFS(D9433&lt;=$G$3,'calculated data '!$A$3,D9433&lt;=$G$4,'calculated data '!$A$4,D9433&lt;=$G$6,'calculated data '!$A$5,D9433&gt;=$G$6,'calculated data '!$A$6)</f>
        <v>High Demand Tier</v>
      </c>
      <c r="F9433" s="10">
        <f t="shared" si="1"/>
        <v>0.5456995622</v>
      </c>
    </row>
    <row r="9434" ht="14.25" customHeight="1">
      <c r="A9434" s="2" t="s">
        <v>403</v>
      </c>
      <c r="B9434" s="2" t="s">
        <v>404</v>
      </c>
      <c r="C9434" s="2">
        <v>2020.0</v>
      </c>
      <c r="D9434" s="9">
        <v>45670.746</v>
      </c>
      <c r="E9434" s="10" t="str">
        <f t="array" ref="E9434">IFS(D9434&lt;=$G$3,'calculated data '!$A$3,D9434&lt;=$G$4,'calculated data '!$A$4,D9434&lt;=$G$6,'calculated data '!$A$5,D9434&gt;=$G$6,'calculated data '!$A$6)</f>
        <v>High Demand Tier</v>
      </c>
      <c r="F9434" s="10">
        <f t="shared" si="1"/>
        <v>0.5457217968</v>
      </c>
    </row>
    <row r="9435" ht="14.25" customHeight="1">
      <c r="A9435" s="2" t="s">
        <v>443</v>
      </c>
      <c r="B9435" s="2" t="s">
        <v>444</v>
      </c>
      <c r="C9435" s="2">
        <v>1981.0</v>
      </c>
      <c r="D9435" s="9">
        <v>45670.9</v>
      </c>
      <c r="E9435" s="10" t="str">
        <f t="array" ref="E9435">IFS(D9435&lt;=$G$3,'calculated data '!$A$3,D9435&lt;=$G$4,'calculated data '!$A$4,D9435&lt;=$G$6,'calculated data '!$A$5,D9435&gt;=$G$6,'calculated data '!$A$6)</f>
        <v>High Demand Tier</v>
      </c>
      <c r="F9435" s="10">
        <f t="shared" si="1"/>
        <v>0.5457258731</v>
      </c>
    </row>
    <row r="9436" ht="14.25" customHeight="1">
      <c r="A9436" s="2" t="s">
        <v>433</v>
      </c>
      <c r="B9436" s="2" t="s">
        <v>434</v>
      </c>
      <c r="C9436" s="2">
        <v>2013.0</v>
      </c>
      <c r="D9436" s="9">
        <v>45685.6</v>
      </c>
      <c r="E9436" s="10" t="str">
        <f t="array" ref="E9436">IFS(D9436&lt;=$G$3,'calculated data '!$A$3,D9436&lt;=$G$4,'calculated data '!$A$4,D9436&lt;=$G$6,'calculated data '!$A$5,D9436&gt;=$G$6,'calculated data '!$A$6)</f>
        <v>High Demand Tier</v>
      </c>
      <c r="F9436" s="10">
        <f t="shared" si="1"/>
        <v>0.5461149785</v>
      </c>
    </row>
    <row r="9437" ht="14.25" customHeight="1">
      <c r="A9437" s="2" t="s">
        <v>381</v>
      </c>
      <c r="B9437" s="2" t="s">
        <v>382</v>
      </c>
      <c r="C9437" s="2">
        <v>1980.0</v>
      </c>
      <c r="D9437" s="9">
        <v>45700.355</v>
      </c>
      <c r="E9437" s="10" t="str">
        <f t="array" ref="E9437">IFS(D9437&lt;=$G$3,'calculated data '!$A$3,D9437&lt;=$G$4,'calculated data '!$A$4,D9437&lt;=$G$6,'calculated data '!$A$5,D9437&gt;=$G$6,'calculated data '!$A$6)</f>
        <v>High Demand Tier</v>
      </c>
      <c r="F9437" s="10">
        <f t="shared" si="1"/>
        <v>0.5465055397</v>
      </c>
    </row>
    <row r="9438" ht="14.25" customHeight="1">
      <c r="A9438" s="2" t="s">
        <v>433</v>
      </c>
      <c r="B9438" s="2" t="s">
        <v>434</v>
      </c>
      <c r="C9438" s="2">
        <v>1990.0</v>
      </c>
      <c r="D9438" s="9">
        <v>45703.426</v>
      </c>
      <c r="E9438" s="10" t="str">
        <f t="array" ref="E9438">IFS(D9438&lt;=$G$3,'calculated data '!$A$3,D9438&lt;=$G$4,'calculated data '!$A$4,D9438&lt;=$G$6,'calculated data '!$A$5,D9438&gt;=$G$6,'calculated data '!$A$6)</f>
        <v>High Demand Tier</v>
      </c>
      <c r="F9438" s="10">
        <f t="shared" si="1"/>
        <v>0.5465868283</v>
      </c>
    </row>
    <row r="9439" ht="14.25" customHeight="1">
      <c r="A9439" s="2" t="s">
        <v>433</v>
      </c>
      <c r="B9439" s="2" t="s">
        <v>434</v>
      </c>
      <c r="C9439" s="2">
        <v>2012.0</v>
      </c>
      <c r="D9439" s="9">
        <v>45705.516</v>
      </c>
      <c r="E9439" s="10" t="str">
        <f t="array" ref="E9439">IFS(D9439&lt;=$G$3,'calculated data '!$A$3,D9439&lt;=$G$4,'calculated data '!$A$4,D9439&lt;=$G$6,'calculated data '!$A$5,D9439&gt;=$G$6,'calculated data '!$A$6)</f>
        <v>High Demand Tier</v>
      </c>
      <c r="F9439" s="10">
        <f t="shared" si="1"/>
        <v>0.54664215</v>
      </c>
    </row>
    <row r="9440" ht="14.25" customHeight="1">
      <c r="A9440" s="2" t="s">
        <v>473</v>
      </c>
      <c r="B9440" s="2" t="s">
        <v>474</v>
      </c>
      <c r="C9440" s="2">
        <v>1998.0</v>
      </c>
      <c r="D9440" s="9">
        <v>45729.508</v>
      </c>
      <c r="E9440" s="10" t="str">
        <f t="array" ref="E9440">IFS(D9440&lt;=$G$3,'calculated data '!$A$3,D9440&lt;=$G$4,'calculated data '!$A$4,D9440&lt;=$G$6,'calculated data '!$A$5,D9440&gt;=$G$6,'calculated data '!$A$6)</f>
        <v>High Demand Tier</v>
      </c>
      <c r="F9440" s="10">
        <f t="shared" si="1"/>
        <v>0.5472772123</v>
      </c>
    </row>
    <row r="9441" ht="14.25" customHeight="1">
      <c r="A9441" s="2" t="s">
        <v>381</v>
      </c>
      <c r="B9441" s="2" t="s">
        <v>382</v>
      </c>
      <c r="C9441" s="2">
        <v>2003.0</v>
      </c>
      <c r="D9441" s="9">
        <v>45736.918</v>
      </c>
      <c r="E9441" s="10" t="str">
        <f t="array" ref="E9441">IFS(D9441&lt;=$G$3,'calculated data '!$A$3,D9441&lt;=$G$4,'calculated data '!$A$4,D9441&lt;=$G$6,'calculated data '!$A$5,D9441&gt;=$G$6,'calculated data '!$A$6)</f>
        <v>High Demand Tier</v>
      </c>
      <c r="F9441" s="10">
        <f t="shared" si="1"/>
        <v>0.5474733532</v>
      </c>
    </row>
    <row r="9442" ht="14.25" customHeight="1">
      <c r="A9442" s="2" t="s">
        <v>419</v>
      </c>
      <c r="B9442" s="2" t="s">
        <v>420</v>
      </c>
      <c r="C9442" s="2">
        <v>1990.0</v>
      </c>
      <c r="D9442" s="9">
        <v>45741.367</v>
      </c>
      <c r="E9442" s="10" t="str">
        <f t="array" ref="E9442">IFS(D9442&lt;=$G$3,'calculated data '!$A$3,D9442&lt;=$G$4,'calculated data '!$A$4,D9442&lt;=$G$6,'calculated data '!$A$5,D9442&gt;=$G$6,'calculated data '!$A$6)</f>
        <v>High Demand Tier</v>
      </c>
      <c r="F9442" s="10">
        <f t="shared" si="1"/>
        <v>0.5475911171</v>
      </c>
    </row>
    <row r="9443" ht="14.25" customHeight="1">
      <c r="A9443" s="2" t="s">
        <v>465</v>
      </c>
      <c r="B9443" s="2" t="s">
        <v>466</v>
      </c>
      <c r="C9443" s="2">
        <v>1994.0</v>
      </c>
      <c r="D9443" s="9">
        <v>45747.64</v>
      </c>
      <c r="E9443" s="10" t="str">
        <f t="array" ref="E9443">IFS(D9443&lt;=$G$3,'calculated data '!$A$3,D9443&lt;=$G$4,'calculated data '!$A$4,D9443&lt;=$G$6,'calculated data '!$A$5,D9443&gt;=$G$6,'calculated data '!$A$6)</f>
        <v>High Demand Tier</v>
      </c>
      <c r="F9443" s="10">
        <f t="shared" si="1"/>
        <v>0.5477571618</v>
      </c>
    </row>
    <row r="9444" ht="14.25" customHeight="1">
      <c r="A9444" s="2" t="s">
        <v>459</v>
      </c>
      <c r="B9444" s="2" t="s">
        <v>460</v>
      </c>
      <c r="C9444" s="2">
        <v>1970.0</v>
      </c>
      <c r="D9444" s="9">
        <v>45749.016</v>
      </c>
      <c r="E9444" s="10" t="str">
        <f t="array" ref="E9444">IFS(D9444&lt;=$G$3,'calculated data '!$A$3,D9444&lt;=$G$4,'calculated data '!$A$4,D9444&lt;=$G$6,'calculated data '!$A$5,D9444&gt;=$G$6,'calculated data '!$A$6)</f>
        <v>High Demand Tier</v>
      </c>
      <c r="F9444" s="10">
        <f t="shared" si="1"/>
        <v>0.5477935842</v>
      </c>
    </row>
    <row r="9445" ht="14.25" customHeight="1">
      <c r="A9445" s="2" t="s">
        <v>437</v>
      </c>
      <c r="B9445" s="2" t="s">
        <v>438</v>
      </c>
      <c r="C9445" s="2">
        <v>2010.0</v>
      </c>
      <c r="D9445" s="9">
        <v>45755.312</v>
      </c>
      <c r="E9445" s="10" t="str">
        <f t="array" ref="E9445">IFS(D9445&lt;=$G$3,'calculated data '!$A$3,D9445&lt;=$G$4,'calculated data '!$A$4,D9445&lt;=$G$6,'calculated data '!$A$5,D9445&gt;=$G$6,'calculated data '!$A$6)</f>
        <v>High Demand Tier</v>
      </c>
      <c r="F9445" s="10">
        <f t="shared" si="1"/>
        <v>0.5479602378</v>
      </c>
    </row>
    <row r="9446" ht="14.25" customHeight="1">
      <c r="A9446" s="2" t="s">
        <v>425</v>
      </c>
      <c r="B9446" s="2" t="s">
        <v>426</v>
      </c>
      <c r="C9446" s="2">
        <v>1970.0</v>
      </c>
      <c r="D9446" s="9">
        <v>45760.098</v>
      </c>
      <c r="E9446" s="10" t="str">
        <f t="array" ref="E9446">IFS(D9446&lt;=$G$3,'calculated data '!$A$3,D9446&lt;=$G$4,'calculated data '!$A$4,D9446&lt;=$G$6,'calculated data '!$A$5,D9446&gt;=$G$6,'calculated data '!$A$6)</f>
        <v>High Demand Tier</v>
      </c>
      <c r="F9446" s="10">
        <f t="shared" si="1"/>
        <v>0.548086922</v>
      </c>
    </row>
    <row r="9447" ht="14.25" customHeight="1">
      <c r="A9447" s="2" t="s">
        <v>429</v>
      </c>
      <c r="B9447" s="2" t="s">
        <v>430</v>
      </c>
      <c r="C9447" s="2">
        <v>1980.0</v>
      </c>
      <c r="D9447" s="9">
        <v>45772.855</v>
      </c>
      <c r="E9447" s="10" t="str">
        <f t="array" ref="E9447">IFS(D9447&lt;=$G$3,'calculated data '!$A$3,D9447&lt;=$G$4,'calculated data '!$A$4,D9447&lt;=$G$6,'calculated data '!$A$5,D9447&gt;=$G$6,'calculated data '!$A$6)</f>
        <v>High Demand Tier</v>
      </c>
      <c r="F9447" s="10">
        <f t="shared" si="1"/>
        <v>0.5484245966</v>
      </c>
    </row>
    <row r="9448" ht="14.25" customHeight="1">
      <c r="A9448" s="2" t="s">
        <v>307</v>
      </c>
      <c r="B9448" s="2" t="s">
        <v>308</v>
      </c>
      <c r="C9448" s="2">
        <v>2022.0</v>
      </c>
      <c r="D9448" s="9">
        <v>45827.12</v>
      </c>
      <c r="E9448" s="10" t="str">
        <f t="array" ref="E9448">IFS(D9448&lt;=$G$3,'calculated data '!$A$3,D9448&lt;=$G$4,'calculated data '!$A$4,D9448&lt;=$G$6,'calculated data '!$A$5,D9448&gt;=$G$6,'calculated data '!$A$6)</f>
        <v>High Demand Tier</v>
      </c>
      <c r="F9448" s="10">
        <f t="shared" si="1"/>
        <v>0.5498609776</v>
      </c>
    </row>
    <row r="9449" ht="14.25" customHeight="1">
      <c r="A9449" s="2" t="s">
        <v>337</v>
      </c>
      <c r="B9449" s="2" t="s">
        <v>338</v>
      </c>
      <c r="C9449" s="2">
        <v>2016.0</v>
      </c>
      <c r="D9449" s="9">
        <v>45840.832</v>
      </c>
      <c r="E9449" s="10" t="str">
        <f t="array" ref="E9449">IFS(D9449&lt;=$G$3,'calculated data '!$A$3,D9449&lt;=$G$4,'calculated data '!$A$4,D9449&lt;=$G$6,'calculated data '!$A$5,D9449&gt;=$G$6,'calculated data '!$A$6)</f>
        <v>High Demand Tier</v>
      </c>
      <c r="F9449" s="10">
        <f t="shared" si="1"/>
        <v>0.5502239309</v>
      </c>
    </row>
    <row r="9450" ht="14.25" customHeight="1">
      <c r="A9450" s="2" t="s">
        <v>471</v>
      </c>
      <c r="B9450" s="2" t="s">
        <v>472</v>
      </c>
      <c r="C9450" s="2">
        <v>1997.0</v>
      </c>
      <c r="D9450" s="9">
        <v>45861.664</v>
      </c>
      <c r="E9450" s="10" t="str">
        <f t="array" ref="E9450">IFS(D9450&lt;=$G$3,'calculated data '!$A$3,D9450&lt;=$G$4,'calculated data '!$A$4,D9450&lt;=$G$6,'calculated data '!$A$5,D9450&gt;=$G$6,'calculated data '!$A$6)</f>
        <v>High Demand Tier</v>
      </c>
      <c r="F9450" s="10">
        <f t="shared" si="1"/>
        <v>0.5507753487</v>
      </c>
    </row>
    <row r="9451" ht="14.25" customHeight="1">
      <c r="A9451" s="2" t="s">
        <v>473</v>
      </c>
      <c r="B9451" s="2" t="s">
        <v>474</v>
      </c>
      <c r="C9451" s="2">
        <v>2019.0</v>
      </c>
      <c r="D9451" s="9">
        <v>45861.74</v>
      </c>
      <c r="E9451" s="10" t="str">
        <f t="array" ref="E9451">IFS(D9451&lt;=$G$3,'calculated data '!$A$3,D9451&lt;=$G$4,'calculated data '!$A$4,D9451&lt;=$G$6,'calculated data '!$A$5,D9451&gt;=$G$6,'calculated data '!$A$6)</f>
        <v>High Demand Tier</v>
      </c>
      <c r="F9451" s="10">
        <f t="shared" si="1"/>
        <v>0.5507773604</v>
      </c>
    </row>
    <row r="9452" ht="14.25" customHeight="1">
      <c r="A9452" s="2" t="s">
        <v>437</v>
      </c>
      <c r="B9452" s="2" t="s">
        <v>438</v>
      </c>
      <c r="C9452" s="2">
        <v>1997.0</v>
      </c>
      <c r="D9452" s="9">
        <v>45862.227</v>
      </c>
      <c r="E9452" s="10" t="str">
        <f t="array" ref="E9452">IFS(D9452&lt;=$G$3,'calculated data '!$A$3,D9452&lt;=$G$4,'calculated data '!$A$4,D9452&lt;=$G$6,'calculated data '!$A$5,D9452&gt;=$G$6,'calculated data '!$A$6)</f>
        <v>High Demand Tier</v>
      </c>
      <c r="F9452" s="10">
        <f t="shared" si="1"/>
        <v>0.5507902512</v>
      </c>
    </row>
    <row r="9453" ht="14.25" customHeight="1">
      <c r="A9453" s="2" t="s">
        <v>475</v>
      </c>
      <c r="B9453" s="2" t="s">
        <v>476</v>
      </c>
      <c r="C9453" s="2">
        <v>1968.0</v>
      </c>
      <c r="D9453" s="9">
        <v>45875.574</v>
      </c>
      <c r="E9453" s="10" t="str">
        <f t="array" ref="E9453">IFS(D9453&lt;=$G$3,'calculated data '!$A$3,D9453&lt;=$G$4,'calculated data '!$A$4,D9453&lt;=$G$6,'calculated data '!$A$5,D9453&gt;=$G$6,'calculated data '!$A$6)</f>
        <v>High Demand Tier</v>
      </c>
      <c r="F9453" s="10">
        <f t="shared" si="1"/>
        <v>0.5511435429</v>
      </c>
    </row>
    <row r="9454" ht="14.25" customHeight="1">
      <c r="A9454" s="2" t="s">
        <v>475</v>
      </c>
      <c r="B9454" s="2" t="s">
        <v>476</v>
      </c>
      <c r="C9454" s="2">
        <v>2022.0</v>
      </c>
      <c r="D9454" s="9">
        <v>45876.816</v>
      </c>
      <c r="E9454" s="10" t="str">
        <f t="array" ref="E9454">IFS(D9454&lt;=$G$3,'calculated data '!$A$3,D9454&lt;=$G$4,'calculated data '!$A$4,D9454&lt;=$G$6,'calculated data '!$A$5,D9454&gt;=$G$6,'calculated data '!$A$6)</f>
        <v>High Demand Tier</v>
      </c>
      <c r="F9454" s="10">
        <f t="shared" si="1"/>
        <v>0.5511764184</v>
      </c>
    </row>
    <row r="9455" ht="14.25" customHeight="1">
      <c r="A9455" s="2" t="s">
        <v>391</v>
      </c>
      <c r="B9455" s="2" t="s">
        <v>392</v>
      </c>
      <c r="C9455" s="2">
        <v>1989.0</v>
      </c>
      <c r="D9455" s="9">
        <v>45878.496</v>
      </c>
      <c r="E9455" s="10" t="str">
        <f t="array" ref="E9455">IFS(D9455&lt;=$G$3,'calculated data '!$A$3,D9455&lt;=$G$4,'calculated data '!$A$4,D9455&lt;=$G$6,'calculated data '!$A$5,D9455&gt;=$G$6,'calculated data '!$A$6)</f>
        <v>High Demand Tier</v>
      </c>
      <c r="F9455" s="10">
        <f t="shared" si="1"/>
        <v>0.5512208876</v>
      </c>
    </row>
    <row r="9456" ht="14.25" customHeight="1">
      <c r="A9456" s="2" t="s">
        <v>449</v>
      </c>
      <c r="B9456" s="2" t="s">
        <v>450</v>
      </c>
      <c r="C9456" s="2">
        <v>1981.0</v>
      </c>
      <c r="D9456" s="9">
        <v>45892.88</v>
      </c>
      <c r="E9456" s="10" t="str">
        <f t="array" ref="E9456">IFS(D9456&lt;=$G$3,'calculated data '!$A$3,D9456&lt;=$G$4,'calculated data '!$A$4,D9456&lt;=$G$6,'calculated data '!$A$5,D9456&gt;=$G$6,'calculated data '!$A$6)</f>
        <v>High Demand Tier</v>
      </c>
      <c r="F9456" s="10">
        <f t="shared" si="1"/>
        <v>0.5516016285</v>
      </c>
    </row>
    <row r="9457" ht="14.25" customHeight="1">
      <c r="A9457" s="2" t="s">
        <v>471</v>
      </c>
      <c r="B9457" s="2" t="s">
        <v>472</v>
      </c>
      <c r="C9457" s="2">
        <v>2004.0</v>
      </c>
      <c r="D9457" s="9">
        <v>45903.906</v>
      </c>
      <c r="E9457" s="10" t="str">
        <f t="array" ref="E9457">IFS(D9457&lt;=$G$3,'calculated data '!$A$3,D9457&lt;=$G$4,'calculated data '!$A$4,D9457&lt;=$G$6,'calculated data '!$A$5,D9457&gt;=$G$6,'calculated data '!$A$6)</f>
        <v>High Demand Tier</v>
      </c>
      <c r="F9457" s="10">
        <f t="shared" si="1"/>
        <v>0.5518934839</v>
      </c>
    </row>
    <row r="9458" ht="14.25" customHeight="1">
      <c r="A9458" s="2" t="s">
        <v>443</v>
      </c>
      <c r="B9458" s="2" t="s">
        <v>444</v>
      </c>
      <c r="C9458" s="2">
        <v>1983.0</v>
      </c>
      <c r="D9458" s="9">
        <v>45906.957</v>
      </c>
      <c r="E9458" s="10" t="str">
        <f t="array" ref="E9458">IFS(D9458&lt;=$G$3,'calculated data '!$A$3,D9458&lt;=$G$4,'calculated data '!$A$4,D9458&lt;=$G$6,'calculated data '!$A$5,D9458&gt;=$G$6,'calculated data '!$A$6)</f>
        <v>High Demand Tier</v>
      </c>
      <c r="F9458" s="10">
        <f t="shared" si="1"/>
        <v>0.5519742431</v>
      </c>
    </row>
    <row r="9459" ht="14.25" customHeight="1">
      <c r="A9459" s="2" t="s">
        <v>473</v>
      </c>
      <c r="B9459" s="2" t="s">
        <v>474</v>
      </c>
      <c r="C9459" s="2">
        <v>1994.0</v>
      </c>
      <c r="D9459" s="9">
        <v>45947.84</v>
      </c>
      <c r="E9459" s="10" t="str">
        <f t="array" ref="E9459">IFS(D9459&lt;=$G$3,'calculated data '!$A$3,D9459&lt;=$G$4,'calculated data '!$A$4,D9459&lt;=$G$6,'calculated data '!$A$5,D9459&gt;=$G$6,'calculated data '!$A$6)</f>
        <v>High Demand Tier</v>
      </c>
      <c r="F9459" s="10">
        <f t="shared" si="1"/>
        <v>0.553056406</v>
      </c>
    </row>
    <row r="9460" ht="14.25" customHeight="1">
      <c r="A9460" s="2" t="s">
        <v>459</v>
      </c>
      <c r="B9460" s="2" t="s">
        <v>460</v>
      </c>
      <c r="C9460" s="2">
        <v>2013.0</v>
      </c>
      <c r="D9460" s="9">
        <v>45949.76</v>
      </c>
      <c r="E9460" s="10" t="str">
        <f t="array" ref="E9460">IFS(D9460&lt;=$G$3,'calculated data '!$A$3,D9460&lt;=$G$4,'calculated data '!$A$4,D9460&lt;=$G$6,'calculated data '!$A$5,D9460&gt;=$G$6,'calculated data '!$A$6)</f>
        <v>High Demand Tier</v>
      </c>
      <c r="F9460" s="10">
        <f t="shared" si="1"/>
        <v>0.5531072279</v>
      </c>
    </row>
    <row r="9461" ht="14.25" customHeight="1">
      <c r="A9461" s="2" t="s">
        <v>337</v>
      </c>
      <c r="B9461" s="2" t="s">
        <v>338</v>
      </c>
      <c r="C9461" s="2">
        <v>2008.0</v>
      </c>
      <c r="D9461" s="9">
        <v>45958.117</v>
      </c>
      <c r="E9461" s="10" t="str">
        <f t="array" ref="E9461">IFS(D9461&lt;=$G$3,'calculated data '!$A$3,D9461&lt;=$G$4,'calculated data '!$A$4,D9461&lt;=$G$6,'calculated data '!$A$5,D9461&gt;=$G$6,'calculated data '!$A$6)</f>
        <v>High Demand Tier</v>
      </c>
      <c r="F9461" s="10">
        <f t="shared" si="1"/>
        <v>0.5533284356</v>
      </c>
    </row>
    <row r="9462" ht="14.25" customHeight="1">
      <c r="A9462" s="2" t="s">
        <v>437</v>
      </c>
      <c r="B9462" s="2" t="s">
        <v>438</v>
      </c>
      <c r="C9462" s="2">
        <v>2011.0</v>
      </c>
      <c r="D9462" s="9">
        <v>45995.17</v>
      </c>
      <c r="E9462" s="10" t="str">
        <f t="array" ref="E9462">IFS(D9462&lt;=$G$3,'calculated data '!$A$3,D9462&lt;=$G$4,'calculated data '!$A$4,D9462&lt;=$G$6,'calculated data '!$A$5,D9462&gt;=$G$6,'calculated data '!$A$6)</f>
        <v>High Demand Tier</v>
      </c>
      <c r="F9462" s="10">
        <f t="shared" si="1"/>
        <v>0.5543092193</v>
      </c>
    </row>
    <row r="9463" ht="14.25" customHeight="1">
      <c r="A9463" s="2" t="s">
        <v>309</v>
      </c>
      <c r="B9463" s="2" t="s">
        <v>310</v>
      </c>
      <c r="C9463" s="2">
        <v>2019.0</v>
      </c>
      <c r="D9463" s="9">
        <v>46020.95</v>
      </c>
      <c r="E9463" s="10" t="str">
        <f t="array" ref="E9463">IFS(D9463&lt;=$G$3,'calculated data '!$A$3,D9463&lt;=$G$4,'calculated data '!$A$4,D9463&lt;=$G$6,'calculated data '!$A$5,D9463&gt;=$G$6,'calculated data '!$A$6)</f>
        <v>High Demand Tier</v>
      </c>
      <c r="F9463" s="10">
        <f t="shared" si="1"/>
        <v>0.5549916095</v>
      </c>
    </row>
    <row r="9464" ht="14.25" customHeight="1">
      <c r="A9464" s="2" t="s">
        <v>391</v>
      </c>
      <c r="B9464" s="2" t="s">
        <v>392</v>
      </c>
      <c r="C9464" s="2">
        <v>2005.0</v>
      </c>
      <c r="D9464" s="9">
        <v>46034.41</v>
      </c>
      <c r="E9464" s="10" t="str">
        <f t="array" ref="E9464">IFS(D9464&lt;=$G$3,'calculated data '!$A$3,D9464&lt;=$G$4,'calculated data '!$A$4,D9464&lt;=$G$6,'calculated data '!$A$5,D9464&gt;=$G$6,'calculated data '!$A$6)</f>
        <v>High Demand Tier</v>
      </c>
      <c r="F9464" s="10">
        <f t="shared" si="1"/>
        <v>0.5553478923</v>
      </c>
    </row>
    <row r="9465" ht="14.25" customHeight="1">
      <c r="A9465" s="2" t="s">
        <v>449</v>
      </c>
      <c r="B9465" s="2" t="s">
        <v>450</v>
      </c>
      <c r="C9465" s="2">
        <v>2005.0</v>
      </c>
      <c r="D9465" s="9">
        <v>46059.676</v>
      </c>
      <c r="E9465" s="10" t="str">
        <f t="array" ref="E9465">IFS(D9465&lt;=$G$3,'calculated data '!$A$3,D9465&lt;=$G$4,'calculated data '!$A$4,D9465&lt;=$G$6,'calculated data '!$A$5,D9465&gt;=$G$6,'calculated data '!$A$6)</f>
        <v>High Demand Tier</v>
      </c>
      <c r="F9465" s="10">
        <f t="shared" si="1"/>
        <v>0.556016677</v>
      </c>
    </row>
    <row r="9466" ht="14.25" customHeight="1">
      <c r="A9466" s="2" t="s">
        <v>473</v>
      </c>
      <c r="B9466" s="2" t="s">
        <v>474</v>
      </c>
      <c r="C9466" s="2">
        <v>2014.0</v>
      </c>
      <c r="D9466" s="9">
        <v>46068.227</v>
      </c>
      <c r="E9466" s="10" t="str">
        <f t="array" ref="E9466">IFS(D9466&lt;=$G$3,'calculated data '!$A$3,D9466&lt;=$G$4,'calculated data '!$A$4,D9466&lt;=$G$6,'calculated data '!$A$5,D9466&gt;=$G$6,'calculated data '!$A$6)</f>
        <v>High Demand Tier</v>
      </c>
      <c r="F9466" s="10">
        <f t="shared" si="1"/>
        <v>0.5562430199</v>
      </c>
    </row>
    <row r="9467" ht="14.25" customHeight="1">
      <c r="A9467" s="2" t="s">
        <v>437</v>
      </c>
      <c r="B9467" s="2" t="s">
        <v>438</v>
      </c>
      <c r="C9467" s="2">
        <v>1998.0</v>
      </c>
      <c r="D9467" s="9">
        <v>46068.938</v>
      </c>
      <c r="E9467" s="10" t="str">
        <f t="array" ref="E9467">IFS(D9467&lt;=$G$3,'calculated data '!$A$3,D9467&lt;=$G$4,'calculated data '!$A$4,D9467&lt;=$G$6,'calculated data '!$A$5,D9467&gt;=$G$6,'calculated data '!$A$6)</f>
        <v>High Demand Tier</v>
      </c>
      <c r="F9467" s="10">
        <f t="shared" si="1"/>
        <v>0.5562618399</v>
      </c>
    </row>
    <row r="9468" ht="14.25" customHeight="1">
      <c r="A9468" s="2" t="s">
        <v>413</v>
      </c>
      <c r="B9468" s="2" t="s">
        <v>414</v>
      </c>
      <c r="C9468" s="2">
        <v>1985.0</v>
      </c>
      <c r="D9468" s="9">
        <v>46073.66</v>
      </c>
      <c r="E9468" s="10" t="str">
        <f t="array" ref="E9468">IFS(D9468&lt;=$G$3,'calculated data '!$A$3,D9468&lt;=$G$4,'calculated data '!$A$4,D9468&lt;=$G$6,'calculated data '!$A$5,D9468&gt;=$G$6,'calculated data '!$A$6)</f>
        <v>High Demand Tier</v>
      </c>
      <c r="F9468" s="10">
        <f t="shared" si="1"/>
        <v>0.55638683</v>
      </c>
    </row>
    <row r="9469" ht="14.25" customHeight="1">
      <c r="A9469" s="2" t="s">
        <v>307</v>
      </c>
      <c r="B9469" s="2" t="s">
        <v>308</v>
      </c>
      <c r="C9469" s="2">
        <v>2018.0</v>
      </c>
      <c r="D9469" s="9">
        <v>46080.55</v>
      </c>
      <c r="E9469" s="10" t="str">
        <f t="array" ref="E9469">IFS(D9469&lt;=$G$3,'calculated data '!$A$3,D9469&lt;=$G$4,'calculated data '!$A$4,D9469&lt;=$G$6,'calculated data '!$A$5,D9469&gt;=$G$6,'calculated data '!$A$6)</f>
        <v>High Demand Tier</v>
      </c>
      <c r="F9469" s="10">
        <f t="shared" si="1"/>
        <v>0.5565692066</v>
      </c>
    </row>
    <row r="9470" ht="14.25" customHeight="1">
      <c r="A9470" s="2" t="s">
        <v>425</v>
      </c>
      <c r="B9470" s="2" t="s">
        <v>426</v>
      </c>
      <c r="C9470" s="2">
        <v>1996.0</v>
      </c>
      <c r="D9470" s="9">
        <v>46084.38</v>
      </c>
      <c r="E9470" s="10" t="str">
        <f t="array" ref="E9470">IFS(D9470&lt;=$G$3,'calculated data '!$A$3,D9470&lt;=$G$4,'calculated data '!$A$4,D9470&lt;=$G$6,'calculated data '!$A$5,D9470&gt;=$G$6,'calculated data '!$A$6)</f>
        <v>High Demand Tier</v>
      </c>
      <c r="F9470" s="10">
        <f t="shared" si="1"/>
        <v>0.5566705858</v>
      </c>
    </row>
    <row r="9471" ht="14.25" customHeight="1">
      <c r="A9471" s="2" t="s">
        <v>427</v>
      </c>
      <c r="B9471" s="2" t="s">
        <v>428</v>
      </c>
      <c r="C9471" s="2">
        <v>2014.0</v>
      </c>
      <c r="D9471" s="9">
        <v>46090.68</v>
      </c>
      <c r="E9471" s="10" t="str">
        <f t="array" ref="E9471">IFS(D9471&lt;=$G$3,'calculated data '!$A$3,D9471&lt;=$G$4,'calculated data '!$A$4,D9471&lt;=$G$6,'calculated data '!$A$5,D9471&gt;=$G$6,'calculated data '!$A$6)</f>
        <v>High Demand Tier</v>
      </c>
      <c r="F9471" s="10">
        <f t="shared" si="1"/>
        <v>0.5568373452</v>
      </c>
    </row>
    <row r="9472" ht="14.25" customHeight="1">
      <c r="A9472" s="2" t="s">
        <v>309</v>
      </c>
      <c r="B9472" s="2" t="s">
        <v>310</v>
      </c>
      <c r="C9472" s="2">
        <v>2011.0</v>
      </c>
      <c r="D9472" s="9">
        <v>46103.7</v>
      </c>
      <c r="E9472" s="10" t="str">
        <f t="array" ref="E9472">IFS(D9472&lt;=$G$3,'calculated data '!$A$3,D9472&lt;=$G$4,'calculated data '!$A$4,D9472&lt;=$G$6,'calculated data '!$A$5,D9472&gt;=$G$6,'calculated data '!$A$6)</f>
        <v>High Demand Tier</v>
      </c>
      <c r="F9472" s="10">
        <f t="shared" si="1"/>
        <v>0.5571819813</v>
      </c>
    </row>
    <row r="9473" ht="14.25" customHeight="1">
      <c r="A9473" s="2" t="s">
        <v>471</v>
      </c>
      <c r="B9473" s="2" t="s">
        <v>472</v>
      </c>
      <c r="C9473" s="2">
        <v>1996.0</v>
      </c>
      <c r="D9473" s="9">
        <v>46106.285</v>
      </c>
      <c r="E9473" s="10" t="str">
        <f t="array" ref="E9473">IFS(D9473&lt;=$G$3,'calculated data '!$A$3,D9473&lt;=$G$4,'calculated data '!$A$4,D9473&lt;=$G$6,'calculated data '!$A$5,D9473&gt;=$G$6,'calculated data '!$A$6)</f>
        <v>High Demand Tier</v>
      </c>
      <c r="F9473" s="10">
        <f t="shared" si="1"/>
        <v>0.5572504057</v>
      </c>
    </row>
    <row r="9474" ht="14.25" customHeight="1">
      <c r="A9474" s="2" t="s">
        <v>381</v>
      </c>
      <c r="B9474" s="2" t="s">
        <v>382</v>
      </c>
      <c r="C9474" s="2">
        <v>2020.0</v>
      </c>
      <c r="D9474" s="9">
        <v>46130.312</v>
      </c>
      <c r="E9474" s="10" t="str">
        <f t="array" ref="E9474">IFS(D9474&lt;=$G$3,'calculated data '!$A$3,D9474&lt;=$G$4,'calculated data '!$A$4,D9474&lt;=$G$6,'calculated data '!$A$5,D9474&gt;=$G$6,'calculated data '!$A$6)</f>
        <v>High Demand Tier</v>
      </c>
      <c r="F9474" s="10">
        <f t="shared" si="1"/>
        <v>0.5578863944</v>
      </c>
    </row>
    <row r="9475" ht="14.25" customHeight="1">
      <c r="A9475" s="2" t="s">
        <v>391</v>
      </c>
      <c r="B9475" s="2" t="s">
        <v>392</v>
      </c>
      <c r="C9475" s="2">
        <v>2004.0</v>
      </c>
      <c r="D9475" s="9">
        <v>46133.875</v>
      </c>
      <c r="E9475" s="10" t="str">
        <f t="array" ref="E9475">IFS(D9475&lt;=$G$3,'calculated data '!$A$3,D9475&lt;=$G$4,'calculated data '!$A$4,D9475&lt;=$G$6,'calculated data '!$A$5,D9475&gt;=$G$6,'calculated data '!$A$6)</f>
        <v>High Demand Tier</v>
      </c>
      <c r="F9475" s="10">
        <f t="shared" si="1"/>
        <v>0.5579807061</v>
      </c>
    </row>
    <row r="9476" ht="14.25" customHeight="1">
      <c r="A9476" s="2" t="s">
        <v>471</v>
      </c>
      <c r="B9476" s="2" t="s">
        <v>472</v>
      </c>
      <c r="C9476" s="2">
        <v>2019.0</v>
      </c>
      <c r="D9476" s="9">
        <v>46136.836</v>
      </c>
      <c r="E9476" s="10" t="str">
        <f t="array" ref="E9476">IFS(D9476&lt;=$G$3,'calculated data '!$A$3,D9476&lt;=$G$4,'calculated data '!$A$4,D9476&lt;=$G$6,'calculated data '!$A$5,D9476&gt;=$G$6,'calculated data '!$A$6)</f>
        <v>High Demand Tier</v>
      </c>
      <c r="F9476" s="10">
        <f t="shared" si="1"/>
        <v>0.558059083</v>
      </c>
    </row>
    <row r="9477" ht="14.25" customHeight="1">
      <c r="A9477" s="2" t="s">
        <v>439</v>
      </c>
      <c r="B9477" s="2" t="s">
        <v>440</v>
      </c>
      <c r="C9477" s="2">
        <v>1990.0</v>
      </c>
      <c r="D9477" s="9">
        <v>46155.656</v>
      </c>
      <c r="E9477" s="10" t="str">
        <f t="array" ref="E9477">IFS(D9477&lt;=$G$3,'calculated data '!$A$3,D9477&lt;=$G$4,'calculated data '!$A$4,D9477&lt;=$G$6,'calculated data '!$A$5,D9477&gt;=$G$6,'calculated data '!$A$6)</f>
        <v>High Demand Tier</v>
      </c>
      <c r="F9477" s="10">
        <f t="shared" si="1"/>
        <v>0.5585572437</v>
      </c>
    </row>
    <row r="9478" ht="14.25" customHeight="1">
      <c r="A9478" s="2" t="s">
        <v>479</v>
      </c>
      <c r="B9478" s="2" t="s">
        <v>480</v>
      </c>
      <c r="C9478" s="2">
        <v>1999.0</v>
      </c>
      <c r="D9478" s="9">
        <v>46156.32</v>
      </c>
      <c r="E9478" s="10" t="str">
        <f t="array" ref="E9478">IFS(D9478&lt;=$G$3,'calculated data '!$A$3,D9478&lt;=$G$4,'calculated data '!$A$4,D9478&lt;=$G$6,'calculated data '!$A$5,D9478&gt;=$G$6,'calculated data '!$A$6)</f>
        <v>High Demand Tier</v>
      </c>
      <c r="F9478" s="10">
        <f t="shared" si="1"/>
        <v>0.5585748196</v>
      </c>
    </row>
    <row r="9479" ht="14.25" customHeight="1">
      <c r="A9479" s="2" t="s">
        <v>455</v>
      </c>
      <c r="B9479" s="2" t="s">
        <v>456</v>
      </c>
      <c r="C9479" s="2">
        <v>1975.0</v>
      </c>
      <c r="D9479" s="9">
        <v>46181.152</v>
      </c>
      <c r="E9479" s="10" t="str">
        <f t="array" ref="E9479">IFS(D9479&lt;=$G$3,'calculated data '!$A$3,D9479&lt;=$G$4,'calculated data '!$A$4,D9479&lt;=$G$6,'calculated data '!$A$5,D9479&gt;=$G$6,'calculated data '!$A$6)</f>
        <v>High Demand Tier</v>
      </c>
      <c r="F9479" s="10">
        <f t="shared" si="1"/>
        <v>0.5592321165</v>
      </c>
    </row>
    <row r="9480" ht="14.25" customHeight="1">
      <c r="A9480" s="2" t="s">
        <v>459</v>
      </c>
      <c r="B9480" s="2" t="s">
        <v>460</v>
      </c>
      <c r="C9480" s="2">
        <v>1971.0</v>
      </c>
      <c r="D9480" s="9">
        <v>46183.176</v>
      </c>
      <c r="E9480" s="10" t="str">
        <f t="array" ref="E9480">IFS(D9480&lt;=$G$3,'calculated data '!$A$3,D9480&lt;=$G$4,'calculated data '!$A$4,D9480&lt;=$G$6,'calculated data '!$A$5,D9480&gt;=$G$6,'calculated data '!$A$6)</f>
        <v>High Demand Tier</v>
      </c>
      <c r="F9480" s="10">
        <f t="shared" si="1"/>
        <v>0.5592856913</v>
      </c>
    </row>
    <row r="9481" ht="14.25" customHeight="1">
      <c r="A9481" s="2" t="s">
        <v>391</v>
      </c>
      <c r="B9481" s="2" t="s">
        <v>392</v>
      </c>
      <c r="C9481" s="2">
        <v>2010.0</v>
      </c>
      <c r="D9481" s="9">
        <v>46205.0</v>
      </c>
      <c r="E9481" s="10" t="str">
        <f t="array" ref="E9481">IFS(D9481&lt;=$G$3,'calculated data '!$A$3,D9481&lt;=$G$4,'calculated data '!$A$4,D9481&lt;=$G$6,'calculated data '!$A$5,D9481&gt;=$G$6,'calculated data '!$A$6)</f>
        <v>High Demand Tier</v>
      </c>
      <c r="F9481" s="10">
        <f t="shared" si="1"/>
        <v>0.5598633671</v>
      </c>
    </row>
    <row r="9482" ht="14.25" customHeight="1">
      <c r="A9482" s="2" t="s">
        <v>443</v>
      </c>
      <c r="B9482" s="2" t="s">
        <v>444</v>
      </c>
      <c r="C9482" s="2">
        <v>1986.0</v>
      </c>
      <c r="D9482" s="9">
        <v>46205.9</v>
      </c>
      <c r="E9482" s="10" t="str">
        <f t="array" ref="E9482">IFS(D9482&lt;=$G$3,'calculated data '!$A$3,D9482&lt;=$G$4,'calculated data '!$A$4,D9482&lt;=$G$6,'calculated data '!$A$5,D9482&gt;=$G$6,'calculated data '!$A$6)</f>
        <v>High Demand Tier</v>
      </c>
      <c r="F9482" s="10">
        <f t="shared" si="1"/>
        <v>0.5598871899</v>
      </c>
    </row>
    <row r="9483" ht="14.25" customHeight="1">
      <c r="A9483" s="2" t="s">
        <v>443</v>
      </c>
      <c r="B9483" s="2" t="s">
        <v>444</v>
      </c>
      <c r="C9483" s="2">
        <v>1991.0</v>
      </c>
      <c r="D9483" s="9">
        <v>46209.457</v>
      </c>
      <c r="E9483" s="10" t="str">
        <f t="array" ref="E9483">IFS(D9483&lt;=$G$3,'calculated data '!$A$3,D9483&lt;=$G$4,'calculated data '!$A$4,D9483&lt;=$G$6,'calculated data '!$A$5,D9483&gt;=$G$6,'calculated data '!$A$6)</f>
        <v>High Demand Tier</v>
      </c>
      <c r="F9483" s="10">
        <f t="shared" si="1"/>
        <v>0.5599813428</v>
      </c>
    </row>
    <row r="9484" ht="14.25" customHeight="1">
      <c r="A9484" s="2" t="s">
        <v>443</v>
      </c>
      <c r="B9484" s="2" t="s">
        <v>444</v>
      </c>
      <c r="C9484" s="2">
        <v>1980.0</v>
      </c>
      <c r="D9484" s="9">
        <v>46227.258</v>
      </c>
      <c r="E9484" s="10" t="str">
        <f t="array" ref="E9484">IFS(D9484&lt;=$G$3,'calculated data '!$A$3,D9484&lt;=$G$4,'calculated data '!$A$4,D9484&lt;=$G$6,'calculated data '!$A$5,D9484&gt;=$G$6,'calculated data '!$A$6)</f>
        <v>High Demand Tier</v>
      </c>
      <c r="F9484" s="10">
        <f t="shared" si="1"/>
        <v>0.5604525308</v>
      </c>
    </row>
    <row r="9485" ht="14.25" customHeight="1">
      <c r="A9485" s="2" t="s">
        <v>415</v>
      </c>
      <c r="B9485" s="2" t="s">
        <v>416</v>
      </c>
      <c r="C9485" s="2">
        <v>1971.0</v>
      </c>
      <c r="D9485" s="9">
        <v>46259.363</v>
      </c>
      <c r="E9485" s="10" t="str">
        <f t="array" ref="E9485">IFS(D9485&lt;=$G$3,'calculated data '!$A$3,D9485&lt;=$G$4,'calculated data '!$A$4,D9485&lt;=$G$6,'calculated data '!$A$5,D9485&gt;=$G$6,'calculated data '!$A$6)</f>
        <v>High Demand Tier</v>
      </c>
      <c r="F9485" s="10">
        <f t="shared" si="1"/>
        <v>0.5613023422</v>
      </c>
    </row>
    <row r="9486" ht="14.25" customHeight="1">
      <c r="A9486" s="2" t="s">
        <v>221</v>
      </c>
      <c r="B9486" s="2" t="s">
        <v>222</v>
      </c>
      <c r="C9486" s="2">
        <v>1999.0</v>
      </c>
      <c r="D9486" s="9">
        <v>46270.77</v>
      </c>
      <c r="E9486" s="10" t="str">
        <f t="array" ref="E9486">IFS(D9486&lt;=$G$3,'calculated data '!$A$3,D9486&lt;=$G$4,'calculated data '!$A$4,D9486&lt;=$G$6,'calculated data '!$A$5,D9486&gt;=$G$6,'calculated data '!$A$6)</f>
        <v>High Demand Tier</v>
      </c>
      <c r="F9486" s="10">
        <f t="shared" si="1"/>
        <v>0.5616042826</v>
      </c>
    </row>
    <row r="9487" ht="14.25" customHeight="1">
      <c r="A9487" s="2" t="s">
        <v>149</v>
      </c>
      <c r="B9487" s="2" t="s">
        <v>150</v>
      </c>
      <c r="C9487" s="2">
        <v>1986.0</v>
      </c>
      <c r="D9487" s="9">
        <v>46283.72</v>
      </c>
      <c r="E9487" s="10" t="str">
        <f t="array" ref="E9487">IFS(D9487&lt;=$G$3,'calculated data '!$A$3,D9487&lt;=$G$4,'calculated data '!$A$4,D9487&lt;=$G$6,'calculated data '!$A$5,D9487&gt;=$G$6,'calculated data '!$A$6)</f>
        <v>High Demand Tier</v>
      </c>
      <c r="F9487" s="10">
        <f t="shared" si="1"/>
        <v>0.5619470659</v>
      </c>
    </row>
    <row r="9488" ht="14.25" customHeight="1">
      <c r="A9488" s="2" t="s">
        <v>449</v>
      </c>
      <c r="B9488" s="2" t="s">
        <v>450</v>
      </c>
      <c r="C9488" s="2">
        <v>2008.0</v>
      </c>
      <c r="D9488" s="9">
        <v>46293.13</v>
      </c>
      <c r="E9488" s="10" t="str">
        <f t="array" ref="E9488">IFS(D9488&lt;=$G$3,'calculated data '!$A$3,D9488&lt;=$G$4,'calculated data '!$A$4,D9488&lt;=$G$6,'calculated data '!$A$5,D9488&gt;=$G$6,'calculated data '!$A$6)</f>
        <v>High Demand Tier</v>
      </c>
      <c r="F9488" s="10">
        <f t="shared" si="1"/>
        <v>0.5621961463</v>
      </c>
    </row>
    <row r="9489" ht="14.25" customHeight="1">
      <c r="A9489" s="2" t="s">
        <v>343</v>
      </c>
      <c r="B9489" s="2" t="s">
        <v>344</v>
      </c>
      <c r="C9489" s="2">
        <v>2000.0</v>
      </c>
      <c r="D9489" s="9">
        <v>46297.684</v>
      </c>
      <c r="E9489" s="10" t="str">
        <f t="array" ref="E9489">IFS(D9489&lt;=$G$3,'calculated data '!$A$3,D9489&lt;=$G$4,'calculated data '!$A$4,D9489&lt;=$G$6,'calculated data '!$A$5,D9489&gt;=$G$6,'calculated data '!$A$6)</f>
        <v>High Demand Tier</v>
      </c>
      <c r="F9489" s="10">
        <f t="shared" si="1"/>
        <v>0.5623166895</v>
      </c>
    </row>
    <row r="9490" ht="14.25" customHeight="1">
      <c r="A9490" s="2" t="s">
        <v>473</v>
      </c>
      <c r="B9490" s="2" t="s">
        <v>474</v>
      </c>
      <c r="C9490" s="2">
        <v>2000.0</v>
      </c>
      <c r="D9490" s="9">
        <v>46346.258</v>
      </c>
      <c r="E9490" s="10" t="str">
        <f t="array" ref="E9490">IFS(D9490&lt;=$G$3,'calculated data '!$A$3,D9490&lt;=$G$4,'calculated data '!$A$4,D9490&lt;=$G$6,'calculated data '!$A$5,D9490&gt;=$G$6,'calculated data '!$A$6)</f>
        <v>High Demand Tier</v>
      </c>
      <c r="F9490" s="10">
        <f t="shared" si="1"/>
        <v>0.5636024312</v>
      </c>
    </row>
    <row r="9491" ht="14.25" customHeight="1">
      <c r="A9491" s="2" t="s">
        <v>415</v>
      </c>
      <c r="B9491" s="2" t="s">
        <v>416</v>
      </c>
      <c r="C9491" s="2">
        <v>1995.0</v>
      </c>
      <c r="D9491" s="9">
        <v>46346.508</v>
      </c>
      <c r="E9491" s="10" t="str">
        <f t="array" ref="E9491">IFS(D9491&lt;=$G$3,'calculated data '!$A$3,D9491&lt;=$G$4,'calculated data '!$A$4,D9491&lt;=$G$6,'calculated data '!$A$5,D9491&gt;=$G$6,'calculated data '!$A$6)</f>
        <v>High Demand Tier</v>
      </c>
      <c r="F9491" s="10">
        <f t="shared" si="1"/>
        <v>0.5636090486</v>
      </c>
    </row>
    <row r="9492" ht="14.25" customHeight="1">
      <c r="A9492" s="2" t="s">
        <v>437</v>
      </c>
      <c r="B9492" s="2" t="s">
        <v>438</v>
      </c>
      <c r="C9492" s="2">
        <v>2009.0</v>
      </c>
      <c r="D9492" s="9">
        <v>46364.805</v>
      </c>
      <c r="E9492" s="10" t="str">
        <f t="array" ref="E9492">IFS(D9492&lt;=$G$3,'calculated data '!$A$3,D9492&lt;=$G$4,'calculated data '!$A$4,D9492&lt;=$G$6,'calculated data '!$A$5,D9492&gt;=$G$6,'calculated data '!$A$6)</f>
        <v>High Demand Tier</v>
      </c>
      <c r="F9492" s="10">
        <f t="shared" si="1"/>
        <v>0.5640933657</v>
      </c>
    </row>
    <row r="9493" ht="14.25" customHeight="1">
      <c r="A9493" s="2" t="s">
        <v>413</v>
      </c>
      <c r="B9493" s="2" t="s">
        <v>414</v>
      </c>
      <c r="C9493" s="2">
        <v>1987.0</v>
      </c>
      <c r="D9493" s="9">
        <v>46369.83</v>
      </c>
      <c r="E9493" s="10" t="str">
        <f t="array" ref="E9493">IFS(D9493&lt;=$G$3,'calculated data '!$A$3,D9493&lt;=$G$4,'calculated data '!$A$4,D9493&lt;=$G$6,'calculated data '!$A$5,D9493&gt;=$G$6,'calculated data '!$A$6)</f>
        <v>High Demand Tier</v>
      </c>
      <c r="F9493" s="10">
        <f t="shared" si="1"/>
        <v>0.5642263762</v>
      </c>
    </row>
    <row r="9494" ht="14.25" customHeight="1">
      <c r="A9494" s="2" t="s">
        <v>449</v>
      </c>
      <c r="B9494" s="2" t="s">
        <v>450</v>
      </c>
      <c r="C9494" s="2">
        <v>2009.0</v>
      </c>
      <c r="D9494" s="9">
        <v>46386.137</v>
      </c>
      <c r="E9494" s="10" t="str">
        <f t="array" ref="E9494">IFS(D9494&lt;=$G$3,'calculated data '!$A$3,D9494&lt;=$G$4,'calculated data '!$A$4,D9494&lt;=$G$6,'calculated data '!$A$5,D9494&gt;=$G$6,'calculated data '!$A$6)</f>
        <v>High Demand Tier</v>
      </c>
      <c r="F9494" s="10">
        <f t="shared" si="1"/>
        <v>0.5646580184</v>
      </c>
    </row>
    <row r="9495" ht="14.25" customHeight="1">
      <c r="A9495" s="2" t="s">
        <v>439</v>
      </c>
      <c r="B9495" s="2" t="s">
        <v>440</v>
      </c>
      <c r="C9495" s="2">
        <v>1991.0</v>
      </c>
      <c r="D9495" s="9">
        <v>46400.08</v>
      </c>
      <c r="E9495" s="10" t="str">
        <f t="array" ref="E9495">IFS(D9495&lt;=$G$3,'calculated data '!$A$3,D9495&lt;=$G$4,'calculated data '!$A$4,D9495&lt;=$G$6,'calculated data '!$A$5,D9495&gt;=$G$6,'calculated data '!$A$6)</f>
        <v>High Demand Tier</v>
      </c>
      <c r="F9495" s="10">
        <f t="shared" si="1"/>
        <v>0.5650270861</v>
      </c>
    </row>
    <row r="9496" ht="14.25" customHeight="1">
      <c r="A9496" s="2" t="s">
        <v>415</v>
      </c>
      <c r="B9496" s="2" t="s">
        <v>416</v>
      </c>
      <c r="C9496" s="2">
        <v>1977.0</v>
      </c>
      <c r="D9496" s="9">
        <v>46405.637</v>
      </c>
      <c r="E9496" s="10" t="str">
        <f t="array" ref="E9496">IFS(D9496&lt;=$G$3,'calculated data '!$A$3,D9496&lt;=$G$4,'calculated data '!$A$4,D9496&lt;=$G$6,'calculated data '!$A$5,D9496&gt;=$G$6,'calculated data '!$A$6)</f>
        <v>High Demand Tier</v>
      </c>
      <c r="F9496" s="10">
        <f t="shared" si="1"/>
        <v>0.5651741785</v>
      </c>
    </row>
    <row r="9497" ht="14.25" customHeight="1">
      <c r="A9497" s="2" t="s">
        <v>445</v>
      </c>
      <c r="B9497" s="2" t="s">
        <v>446</v>
      </c>
      <c r="C9497" s="2">
        <v>1977.0</v>
      </c>
      <c r="D9497" s="9">
        <v>46411.684</v>
      </c>
      <c r="E9497" s="10" t="str">
        <f t="array" ref="E9497">IFS(D9497&lt;=$G$3,'calculated data '!$A$3,D9497&lt;=$G$4,'calculated data '!$A$4,D9497&lt;=$G$6,'calculated data '!$A$5,D9497&gt;=$G$6,'calculated data '!$A$6)</f>
        <v>High Demand Tier</v>
      </c>
      <c r="F9497" s="10">
        <f t="shared" si="1"/>
        <v>0.5653342411</v>
      </c>
    </row>
    <row r="9498" ht="14.25" customHeight="1">
      <c r="A9498" s="2" t="s">
        <v>471</v>
      </c>
      <c r="B9498" s="2" t="s">
        <v>472</v>
      </c>
      <c r="C9498" s="2">
        <v>2005.0</v>
      </c>
      <c r="D9498" s="9">
        <v>46428.27</v>
      </c>
      <c r="E9498" s="10" t="str">
        <f t="array" ref="E9498">IFS(D9498&lt;=$G$3,'calculated data '!$A$3,D9498&lt;=$G$4,'calculated data '!$A$4,D9498&lt;=$G$6,'calculated data '!$A$5,D9498&gt;=$G$6,'calculated data '!$A$6)</f>
        <v>High Demand Tier</v>
      </c>
      <c r="F9498" s="10">
        <f t="shared" si="1"/>
        <v>0.5657732684</v>
      </c>
    </row>
    <row r="9499" ht="14.25" customHeight="1">
      <c r="A9499" s="2" t="s">
        <v>413</v>
      </c>
      <c r="B9499" s="2" t="s">
        <v>414</v>
      </c>
      <c r="C9499" s="2">
        <v>1988.0</v>
      </c>
      <c r="D9499" s="9">
        <v>46455.785</v>
      </c>
      <c r="E9499" s="10" t="str">
        <f t="array" ref="E9499">IFS(D9499&lt;=$G$3,'calculated data '!$A$3,D9499&lt;=$G$4,'calculated data '!$A$4,D9499&lt;=$G$6,'calculated data '!$A$5,D9499&gt;=$G$6,'calculated data '!$A$6)</f>
        <v>High Demand Tier</v>
      </c>
      <c r="F9499" s="10">
        <f t="shared" si="1"/>
        <v>0.5665015836</v>
      </c>
    </row>
    <row r="9500" ht="14.25" customHeight="1">
      <c r="A9500" s="2" t="s">
        <v>433</v>
      </c>
      <c r="B9500" s="2" t="s">
        <v>434</v>
      </c>
      <c r="C9500" s="2">
        <v>2011.0</v>
      </c>
      <c r="D9500" s="9">
        <v>46474.76</v>
      </c>
      <c r="E9500" s="10" t="str">
        <f t="array" ref="E9500">IFS(D9500&lt;=$G$3,'calculated data '!$A$3,D9500&lt;=$G$4,'calculated data '!$A$4,D9500&lt;=$G$6,'calculated data '!$A$5,D9500&gt;=$G$6,'calculated data '!$A$6)</f>
        <v>High Demand Tier</v>
      </c>
      <c r="F9500" s="10">
        <f t="shared" si="1"/>
        <v>0.5670038471</v>
      </c>
    </row>
    <row r="9501" ht="14.25" customHeight="1">
      <c r="A9501" s="2" t="s">
        <v>425</v>
      </c>
      <c r="B9501" s="2" t="s">
        <v>426</v>
      </c>
      <c r="C9501" s="2">
        <v>1979.0</v>
      </c>
      <c r="D9501" s="9">
        <v>46479.203</v>
      </c>
      <c r="E9501" s="10" t="str">
        <f t="array" ref="E9501">IFS(D9501&lt;=$G$3,'calculated data '!$A$3,D9501&lt;=$G$4,'calculated data '!$A$4,D9501&lt;=$G$6,'calculated data '!$A$5,D9501&gt;=$G$6,'calculated data '!$A$6)</f>
        <v>High Demand Tier</v>
      </c>
      <c r="F9501" s="10">
        <f t="shared" si="1"/>
        <v>0.5671214522</v>
      </c>
    </row>
    <row r="9502" ht="14.25" customHeight="1">
      <c r="A9502" s="2" t="s">
        <v>283</v>
      </c>
      <c r="B9502" s="2" t="s">
        <v>284</v>
      </c>
      <c r="C9502" s="2">
        <v>1973.0</v>
      </c>
      <c r="D9502" s="9">
        <v>46500.426</v>
      </c>
      <c r="E9502" s="10" t="str">
        <f t="array" ref="E9502">IFS(D9502&lt;=$G$3,'calculated data '!$A$3,D9502&lt;=$G$4,'calculated data '!$A$4,D9502&lt;=$G$6,'calculated data '!$A$5,D9502&gt;=$G$6,'calculated data '!$A$6)</f>
        <v>High Demand Tier</v>
      </c>
      <c r="F9502" s="10">
        <f t="shared" si="1"/>
        <v>0.5676832198</v>
      </c>
    </row>
    <row r="9503" ht="14.25" customHeight="1">
      <c r="A9503" s="2" t="s">
        <v>433</v>
      </c>
      <c r="B9503" s="2" t="s">
        <v>434</v>
      </c>
      <c r="C9503" s="2">
        <v>2009.0</v>
      </c>
      <c r="D9503" s="9">
        <v>46510.01</v>
      </c>
      <c r="E9503" s="10" t="str">
        <f t="array" ref="E9503">IFS(D9503&lt;=$G$3,'calculated data '!$A$3,D9503&lt;=$G$4,'calculated data '!$A$4,D9503&lt;=$G$6,'calculated data '!$A$5,D9503&gt;=$G$6,'calculated data '!$A$6)</f>
        <v>High Demand Tier</v>
      </c>
      <c r="F9503" s="10">
        <f t="shared" si="1"/>
        <v>0.5679369059</v>
      </c>
    </row>
    <row r="9504" ht="14.25" customHeight="1">
      <c r="A9504" s="2" t="s">
        <v>435</v>
      </c>
      <c r="B9504" s="2" t="s">
        <v>436</v>
      </c>
      <c r="C9504" s="2">
        <v>1996.0</v>
      </c>
      <c r="D9504" s="9">
        <v>46513.723</v>
      </c>
      <c r="E9504" s="10" t="str">
        <f t="array" ref="E9504">IFS(D9504&lt;=$G$3,'calculated data '!$A$3,D9504&lt;=$G$4,'calculated data '!$A$4,D9504&lt;=$G$6,'calculated data '!$A$5,D9504&gt;=$G$6,'calculated data '!$A$6)</f>
        <v>High Demand Tier</v>
      </c>
      <c r="F9504" s="10">
        <f t="shared" si="1"/>
        <v>0.568035188</v>
      </c>
    </row>
    <row r="9505" ht="14.25" customHeight="1">
      <c r="A9505" s="2" t="s">
        <v>437</v>
      </c>
      <c r="B9505" s="2" t="s">
        <v>438</v>
      </c>
      <c r="C9505" s="2">
        <v>2003.0</v>
      </c>
      <c r="D9505" s="9">
        <v>46538.37</v>
      </c>
      <c r="E9505" s="10" t="str">
        <f t="array" ref="E9505">IFS(D9505&lt;=$G$3,'calculated data '!$A$3,D9505&lt;=$G$4,'calculated data '!$A$4,D9505&lt;=$G$6,'calculated data '!$A$5,D9505&gt;=$G$6,'calculated data '!$A$6)</f>
        <v>High Demand Tier</v>
      </c>
      <c r="F9505" s="10">
        <f t="shared" si="1"/>
        <v>0.568687588</v>
      </c>
    </row>
    <row r="9506" ht="14.25" customHeight="1">
      <c r="A9506" s="2" t="s">
        <v>471</v>
      </c>
      <c r="B9506" s="2" t="s">
        <v>472</v>
      </c>
      <c r="C9506" s="2">
        <v>2006.0</v>
      </c>
      <c r="D9506" s="9">
        <v>46553.914</v>
      </c>
      <c r="E9506" s="10" t="str">
        <f t="array" ref="E9506">IFS(D9506&lt;=$G$3,'calculated data '!$A$3,D9506&lt;=$G$4,'calculated data '!$A$4,D9506&lt;=$G$6,'calculated data '!$A$5,D9506&gt;=$G$6,'calculated data '!$A$6)</f>
        <v>High Demand Tier</v>
      </c>
      <c r="F9506" s="10">
        <f t="shared" si="1"/>
        <v>0.5690990338</v>
      </c>
    </row>
    <row r="9507" ht="14.25" customHeight="1">
      <c r="A9507" s="2" t="s">
        <v>419</v>
      </c>
      <c r="B9507" s="2" t="s">
        <v>420</v>
      </c>
      <c r="C9507" s="2">
        <v>1986.0</v>
      </c>
      <c r="D9507" s="9">
        <v>46559.95</v>
      </c>
      <c r="E9507" s="10" t="str">
        <f t="array" ref="E9507">IFS(D9507&lt;=$G$3,'calculated data '!$A$3,D9507&lt;=$G$4,'calculated data '!$A$4,D9507&lt;=$G$6,'calculated data '!$A$5,D9507&gt;=$G$6,'calculated data '!$A$6)</f>
        <v>High Demand Tier</v>
      </c>
      <c r="F9507" s="10">
        <f t="shared" si="1"/>
        <v>0.5692588052</v>
      </c>
    </row>
    <row r="9508" ht="14.25" customHeight="1">
      <c r="A9508" s="2" t="s">
        <v>369</v>
      </c>
      <c r="B9508" s="2" t="s">
        <v>370</v>
      </c>
      <c r="C9508" s="2">
        <v>1995.0</v>
      </c>
      <c r="D9508" s="9">
        <v>46582.0</v>
      </c>
      <c r="E9508" s="10" t="str">
        <f t="array" ref="E9508">IFS(D9508&lt;=$G$3,'calculated data '!$A$3,D9508&lt;=$G$4,'calculated data '!$A$4,D9508&lt;=$G$6,'calculated data '!$A$5,D9508&gt;=$G$6,'calculated data '!$A$6)</f>
        <v>High Demand Tier</v>
      </c>
      <c r="F9508" s="10">
        <f t="shared" si="1"/>
        <v>0.5698424632</v>
      </c>
    </row>
    <row r="9509" ht="14.25" customHeight="1">
      <c r="A9509" s="2" t="s">
        <v>369</v>
      </c>
      <c r="B9509" s="2" t="s">
        <v>370</v>
      </c>
      <c r="C9509" s="2">
        <v>2010.0</v>
      </c>
      <c r="D9509" s="9">
        <v>46598.44</v>
      </c>
      <c r="E9509" s="10" t="str">
        <f t="array" ref="E9509">IFS(D9509&lt;=$G$3,'calculated data '!$A$3,D9509&lt;=$G$4,'calculated data '!$A$4,D9509&lt;=$G$6,'calculated data '!$A$5,D9509&gt;=$G$6,'calculated data '!$A$6)</f>
        <v>High Demand Tier</v>
      </c>
      <c r="F9509" s="10">
        <f t="shared" si="1"/>
        <v>0.5702776259</v>
      </c>
    </row>
    <row r="9510" ht="14.25" customHeight="1">
      <c r="A9510" s="2" t="s">
        <v>415</v>
      </c>
      <c r="B9510" s="2" t="s">
        <v>416</v>
      </c>
      <c r="C9510" s="2">
        <v>1969.0</v>
      </c>
      <c r="D9510" s="9">
        <v>46609.35</v>
      </c>
      <c r="E9510" s="10" t="str">
        <f t="array" ref="E9510">IFS(D9510&lt;=$G$3,'calculated data '!$A$3,D9510&lt;=$G$4,'calculated data '!$A$4,D9510&lt;=$G$6,'calculated data '!$A$5,D9510&gt;=$G$6,'calculated data '!$A$6)</f>
        <v>High Demand Tier</v>
      </c>
      <c r="F9510" s="10">
        <f t="shared" si="1"/>
        <v>0.5705664109</v>
      </c>
    </row>
    <row r="9511" ht="14.25" customHeight="1">
      <c r="A9511" s="2" t="s">
        <v>459</v>
      </c>
      <c r="B9511" s="2" t="s">
        <v>460</v>
      </c>
      <c r="C9511" s="2">
        <v>2010.0</v>
      </c>
      <c r="D9511" s="9">
        <v>46636.45</v>
      </c>
      <c r="E9511" s="10" t="str">
        <f t="array" ref="E9511">IFS(D9511&lt;=$G$3,'calculated data '!$A$3,D9511&lt;=$G$4,'calculated data '!$A$4,D9511&lt;=$G$6,'calculated data '!$A$5,D9511&gt;=$G$6,'calculated data '!$A$6)</f>
        <v>High Demand Tier</v>
      </c>
      <c r="F9511" s="10">
        <f t="shared" si="1"/>
        <v>0.5712837412</v>
      </c>
    </row>
    <row r="9512" ht="14.25" customHeight="1">
      <c r="A9512" s="2" t="s">
        <v>471</v>
      </c>
      <c r="B9512" s="2" t="s">
        <v>472</v>
      </c>
      <c r="C9512" s="2">
        <v>1994.0</v>
      </c>
      <c r="D9512" s="9">
        <v>46648.074</v>
      </c>
      <c r="E9512" s="10" t="str">
        <f t="array" ref="E9512">IFS(D9512&lt;=$G$3,'calculated data '!$A$3,D9512&lt;=$G$4,'calculated data '!$A$4,D9512&lt;=$G$6,'calculated data '!$A$5,D9512&gt;=$G$6,'calculated data '!$A$6)</f>
        <v>High Demand Tier</v>
      </c>
      <c r="F9512" s="10">
        <f t="shared" si="1"/>
        <v>0.5715914255</v>
      </c>
    </row>
    <row r="9513" ht="14.25" customHeight="1">
      <c r="A9513" s="2" t="s">
        <v>381</v>
      </c>
      <c r="B9513" s="2" t="s">
        <v>382</v>
      </c>
      <c r="C9513" s="2">
        <v>2018.0</v>
      </c>
      <c r="D9513" s="9">
        <v>46662.223</v>
      </c>
      <c r="E9513" s="10" t="str">
        <f t="array" ref="E9513">IFS(D9513&lt;=$G$3,'calculated data '!$A$3,D9513&lt;=$G$4,'calculated data '!$A$4,D9513&lt;=$G$6,'calculated data '!$A$5,D9513&gt;=$G$6,'calculated data '!$A$6)</f>
        <v>High Demand Tier</v>
      </c>
      <c r="F9513" s="10">
        <f t="shared" si="1"/>
        <v>0.5719659461</v>
      </c>
    </row>
    <row r="9514" ht="14.25" customHeight="1">
      <c r="A9514" s="2" t="s">
        <v>391</v>
      </c>
      <c r="B9514" s="2" t="s">
        <v>392</v>
      </c>
      <c r="C9514" s="2">
        <v>1990.0</v>
      </c>
      <c r="D9514" s="9">
        <v>46662.97</v>
      </c>
      <c r="E9514" s="10" t="str">
        <f t="array" ref="E9514">IFS(D9514&lt;=$G$3,'calculated data '!$A$3,D9514&lt;=$G$4,'calculated data '!$A$4,D9514&lt;=$G$6,'calculated data '!$A$5,D9514&gt;=$G$6,'calculated data '!$A$6)</f>
        <v>High Demand Tier</v>
      </c>
      <c r="F9514" s="10">
        <f t="shared" si="1"/>
        <v>0.571985719</v>
      </c>
    </row>
    <row r="9515" ht="14.25" customHeight="1">
      <c r="A9515" s="2" t="s">
        <v>415</v>
      </c>
      <c r="B9515" s="2" t="s">
        <v>416</v>
      </c>
      <c r="C9515" s="2">
        <v>1973.0</v>
      </c>
      <c r="D9515" s="9">
        <v>46681.316</v>
      </c>
      <c r="E9515" s="10" t="str">
        <f t="array" ref="E9515">IFS(D9515&lt;=$G$3,'calculated data '!$A$3,D9515&lt;=$G$4,'calculated data '!$A$4,D9515&lt;=$G$6,'calculated data '!$A$5,D9515&gt;=$G$6,'calculated data '!$A$6)</f>
        <v>High Demand Tier</v>
      </c>
      <c r="F9515" s="10">
        <f t="shared" si="1"/>
        <v>0.572471333</v>
      </c>
    </row>
    <row r="9516" ht="14.25" customHeight="1">
      <c r="A9516" s="2" t="s">
        <v>437</v>
      </c>
      <c r="B9516" s="2" t="s">
        <v>438</v>
      </c>
      <c r="C9516" s="2">
        <v>2005.0</v>
      </c>
      <c r="D9516" s="9">
        <v>46681.41</v>
      </c>
      <c r="E9516" s="10" t="str">
        <f t="array" ref="E9516">IFS(D9516&lt;=$G$3,'calculated data '!$A$3,D9516&lt;=$G$4,'calculated data '!$A$4,D9516&lt;=$G$6,'calculated data '!$A$5,D9516&gt;=$G$6,'calculated data '!$A$6)</f>
        <v>High Demand Tier</v>
      </c>
      <c r="F9516" s="10">
        <f t="shared" si="1"/>
        <v>0.5724738212</v>
      </c>
    </row>
    <row r="9517" ht="14.25" customHeight="1">
      <c r="A9517" s="2" t="s">
        <v>337</v>
      </c>
      <c r="B9517" s="2" t="s">
        <v>338</v>
      </c>
      <c r="C9517" s="2">
        <v>2017.0</v>
      </c>
      <c r="D9517" s="9">
        <v>46686.66</v>
      </c>
      <c r="E9517" s="10" t="str">
        <f t="array" ref="E9517">IFS(D9517&lt;=$G$3,'calculated data '!$A$3,D9517&lt;=$G$4,'calculated data '!$A$4,D9517&lt;=$G$6,'calculated data '!$A$5,D9517&gt;=$G$6,'calculated data '!$A$6)</f>
        <v>High Demand Tier</v>
      </c>
      <c r="F9517" s="10">
        <f t="shared" si="1"/>
        <v>0.5726127874</v>
      </c>
    </row>
    <row r="9518" ht="14.25" customHeight="1">
      <c r="A9518" s="2" t="s">
        <v>409</v>
      </c>
      <c r="B9518" s="2" t="s">
        <v>410</v>
      </c>
      <c r="C9518" s="2">
        <v>2001.0</v>
      </c>
      <c r="D9518" s="9">
        <v>46698.934</v>
      </c>
      <c r="E9518" s="10" t="str">
        <f t="array" ref="E9518">IFS(D9518&lt;=$G$3,'calculated data '!$A$3,D9518&lt;=$G$4,'calculated data '!$A$4,D9518&lt;=$G$6,'calculated data '!$A$5,D9518&gt;=$G$6,'calculated data '!$A$6)</f>
        <v>High Demand Tier</v>
      </c>
      <c r="F9518" s="10">
        <f t="shared" si="1"/>
        <v>0.5729376771</v>
      </c>
    </row>
    <row r="9519" ht="14.25" customHeight="1">
      <c r="A9519" s="2" t="s">
        <v>393</v>
      </c>
      <c r="B9519" s="2" t="s">
        <v>394</v>
      </c>
      <c r="C9519" s="2">
        <v>1986.0</v>
      </c>
      <c r="D9519" s="9">
        <v>46714.484</v>
      </c>
      <c r="E9519" s="10" t="str">
        <f t="array" ref="E9519">IFS(D9519&lt;=$G$3,'calculated data '!$A$3,D9519&lt;=$G$4,'calculated data '!$A$4,D9519&lt;=$G$6,'calculated data '!$A$5,D9519&gt;=$G$6,'calculated data '!$A$6)</f>
        <v>High Demand Tier</v>
      </c>
      <c r="F9519" s="10">
        <f t="shared" si="1"/>
        <v>0.5733492817</v>
      </c>
    </row>
    <row r="9520" ht="14.25" customHeight="1">
      <c r="A9520" s="2" t="s">
        <v>415</v>
      </c>
      <c r="B9520" s="2" t="s">
        <v>416</v>
      </c>
      <c r="C9520" s="2">
        <v>1979.0</v>
      </c>
      <c r="D9520" s="9">
        <v>46722.023</v>
      </c>
      <c r="E9520" s="10" t="str">
        <f t="array" ref="E9520">IFS(D9520&lt;=$G$3,'calculated data '!$A$3,D9520&lt;=$G$4,'calculated data '!$A$4,D9520&lt;=$G$6,'calculated data '!$A$5,D9520&gt;=$G$6,'calculated data '!$A$6)</f>
        <v>High Demand Tier</v>
      </c>
      <c r="F9520" s="10">
        <f t="shared" si="1"/>
        <v>0.5735488372</v>
      </c>
    </row>
    <row r="9521" ht="14.25" customHeight="1">
      <c r="A9521" s="2" t="s">
        <v>437</v>
      </c>
      <c r="B9521" s="2" t="s">
        <v>438</v>
      </c>
      <c r="C9521" s="2">
        <v>2001.0</v>
      </c>
      <c r="D9521" s="9">
        <v>46744.316</v>
      </c>
      <c r="E9521" s="10" t="str">
        <f t="array" ref="E9521">IFS(D9521&lt;=$G$3,'calculated data '!$A$3,D9521&lt;=$G$4,'calculated data '!$A$4,D9521&lt;=$G$6,'calculated data '!$A$5,D9521&gt;=$G$6,'calculated data '!$A$6)</f>
        <v>High Demand Tier</v>
      </c>
      <c r="F9521" s="10">
        <f t="shared" si="1"/>
        <v>0.5741389273</v>
      </c>
    </row>
    <row r="9522" ht="14.25" customHeight="1">
      <c r="A9522" s="2" t="s">
        <v>443</v>
      </c>
      <c r="B9522" s="2" t="s">
        <v>444</v>
      </c>
      <c r="C9522" s="2">
        <v>1979.0</v>
      </c>
      <c r="D9522" s="9">
        <v>46751.39</v>
      </c>
      <c r="E9522" s="10" t="str">
        <f t="array" ref="E9522">IFS(D9522&lt;=$G$3,'calculated data '!$A$3,D9522&lt;=$G$4,'calculated data '!$A$4,D9522&lt;=$G$6,'calculated data '!$A$5,D9522&gt;=$G$6,'calculated data '!$A$6)</f>
        <v>High Demand Tier</v>
      </c>
      <c r="F9522" s="10">
        <f t="shared" si="1"/>
        <v>0.5743261743</v>
      </c>
    </row>
    <row r="9523" ht="14.25" customHeight="1">
      <c r="A9523" s="2" t="s">
        <v>439</v>
      </c>
      <c r="B9523" s="2" t="s">
        <v>440</v>
      </c>
      <c r="C9523" s="2">
        <v>1993.0</v>
      </c>
      <c r="D9523" s="9">
        <v>46751.633</v>
      </c>
      <c r="E9523" s="10" t="str">
        <f t="array" ref="E9523">IFS(D9523&lt;=$G$3,'calculated data '!$A$3,D9523&lt;=$G$4,'calculated data '!$A$4,D9523&lt;=$G$6,'calculated data '!$A$5,D9523&gt;=$G$6,'calculated data '!$A$6)</f>
        <v>High Demand Tier</v>
      </c>
      <c r="F9523" s="10">
        <f t="shared" si="1"/>
        <v>0.5743326065</v>
      </c>
    </row>
    <row r="9524" ht="14.25" customHeight="1">
      <c r="A9524" s="2" t="s">
        <v>439</v>
      </c>
      <c r="B9524" s="2" t="s">
        <v>440</v>
      </c>
      <c r="C9524" s="2">
        <v>1992.0</v>
      </c>
      <c r="D9524" s="9">
        <v>46756.31</v>
      </c>
      <c r="E9524" s="10" t="str">
        <f t="array" ref="E9524">IFS(D9524&lt;=$G$3,'calculated data '!$A$3,D9524&lt;=$G$4,'calculated data '!$A$4,D9524&lt;=$G$6,'calculated data '!$A$5,D9524&gt;=$G$6,'calculated data '!$A$6)</f>
        <v>High Demand Tier</v>
      </c>
      <c r="F9524" s="10">
        <f t="shared" si="1"/>
        <v>0.5744564055</v>
      </c>
    </row>
    <row r="9525" ht="14.25" customHeight="1">
      <c r="A9525" s="2" t="s">
        <v>391</v>
      </c>
      <c r="B9525" s="2" t="s">
        <v>392</v>
      </c>
      <c r="C9525" s="2">
        <v>2018.0</v>
      </c>
      <c r="D9525" s="9">
        <v>46780.305</v>
      </c>
      <c r="E9525" s="10" t="str">
        <f t="array" ref="E9525">IFS(D9525&lt;=$G$3,'calculated data '!$A$3,D9525&lt;=$G$4,'calculated data '!$A$4,D9525&lt;=$G$6,'calculated data '!$A$5,D9525&gt;=$G$6,'calculated data '!$A$6)</f>
        <v>High Demand Tier</v>
      </c>
      <c r="F9525" s="10">
        <f t="shared" si="1"/>
        <v>0.5750915472</v>
      </c>
    </row>
    <row r="9526" ht="14.25" customHeight="1">
      <c r="A9526" s="2" t="s">
        <v>415</v>
      </c>
      <c r="B9526" s="2" t="s">
        <v>416</v>
      </c>
      <c r="C9526" s="2">
        <v>1998.0</v>
      </c>
      <c r="D9526" s="9">
        <v>46788.53</v>
      </c>
      <c r="E9526" s="10" t="str">
        <f t="array" ref="E9526">IFS(D9526&lt;=$G$3,'calculated data '!$A$3,D9526&lt;=$G$4,'calculated data '!$A$4,D9526&lt;=$G$6,'calculated data '!$A$5,D9526&gt;=$G$6,'calculated data '!$A$6)</f>
        <v>High Demand Tier</v>
      </c>
      <c r="F9526" s="10">
        <f t="shared" si="1"/>
        <v>0.5753092609</v>
      </c>
    </row>
    <row r="9527" ht="14.25" customHeight="1">
      <c r="A9527" s="2" t="s">
        <v>279</v>
      </c>
      <c r="B9527" s="2" t="s">
        <v>280</v>
      </c>
      <c r="C9527" s="2">
        <v>2001.0</v>
      </c>
      <c r="D9527" s="9">
        <v>46829.164</v>
      </c>
      <c r="E9527" s="10" t="str">
        <f t="array" ref="E9527">IFS(D9527&lt;=$G$3,'calculated data '!$A$3,D9527&lt;=$G$4,'calculated data '!$A$4,D9527&lt;=$G$6,'calculated data '!$A$5,D9527&gt;=$G$6,'calculated data '!$A$6)</f>
        <v>High Demand Tier</v>
      </c>
      <c r="F9527" s="10">
        <f t="shared" si="1"/>
        <v>0.5763848327</v>
      </c>
    </row>
    <row r="9528" ht="14.25" customHeight="1">
      <c r="A9528" s="2" t="s">
        <v>473</v>
      </c>
      <c r="B9528" s="2" t="s">
        <v>474</v>
      </c>
      <c r="C9528" s="2">
        <v>2013.0</v>
      </c>
      <c r="D9528" s="9">
        <v>46854.7</v>
      </c>
      <c r="E9528" s="10" t="str">
        <f t="array" ref="E9528">IFS(D9528&lt;=$G$3,'calculated data '!$A$3,D9528&lt;=$G$4,'calculated data '!$A$4,D9528&lt;=$G$6,'calculated data '!$A$5,D9528&gt;=$G$6,'calculated data '!$A$6)</f>
        <v>High Demand Tier</v>
      </c>
      <c r="F9528" s="10">
        <f t="shared" si="1"/>
        <v>0.5770607643</v>
      </c>
    </row>
    <row r="9529" ht="14.25" customHeight="1">
      <c r="A9529" s="2" t="s">
        <v>453</v>
      </c>
      <c r="B9529" s="2" t="s">
        <v>454</v>
      </c>
      <c r="C9529" s="2">
        <v>2014.0</v>
      </c>
      <c r="D9529" s="9">
        <v>46861.48</v>
      </c>
      <c r="E9529" s="10" t="str">
        <f t="array" ref="E9529">IFS(D9529&lt;=$G$3,'calculated data '!$A$3,D9529&lt;=$G$4,'calculated data '!$A$4,D9529&lt;=$G$6,'calculated data '!$A$5,D9529&gt;=$G$6,'calculated data '!$A$6)</f>
        <v>High Demand Tier</v>
      </c>
      <c r="F9529" s="10">
        <f t="shared" si="1"/>
        <v>0.5772402292</v>
      </c>
    </row>
    <row r="9530" ht="14.25" customHeight="1">
      <c r="A9530" s="2" t="s">
        <v>437</v>
      </c>
      <c r="B9530" s="2" t="s">
        <v>438</v>
      </c>
      <c r="C9530" s="2">
        <v>2002.0</v>
      </c>
      <c r="D9530" s="9">
        <v>46864.332</v>
      </c>
      <c r="E9530" s="10" t="str">
        <f t="array" ref="E9530">IFS(D9530&lt;=$G$3,'calculated data '!$A$3,D9530&lt;=$G$4,'calculated data '!$A$4,D9530&lt;=$G$6,'calculated data '!$A$5,D9530&gt;=$G$6,'calculated data '!$A$6)</f>
        <v>High Demand Tier</v>
      </c>
      <c r="F9530" s="10">
        <f t="shared" si="1"/>
        <v>0.5773157209</v>
      </c>
    </row>
    <row r="9531" ht="14.25" customHeight="1">
      <c r="A9531" s="2" t="s">
        <v>473</v>
      </c>
      <c r="B9531" s="2" t="s">
        <v>474</v>
      </c>
      <c r="C9531" s="2">
        <v>1997.0</v>
      </c>
      <c r="D9531" s="9">
        <v>46865.504</v>
      </c>
      <c r="E9531" s="10" t="str">
        <f t="array" ref="E9531">IFS(D9531&lt;=$G$3,'calculated data '!$A$3,D9531&lt;=$G$4,'calculated data '!$A$4,D9531&lt;=$G$6,'calculated data '!$A$5,D9531&gt;=$G$6,'calculated data '!$A$6)</f>
        <v>High Demand Tier</v>
      </c>
      <c r="F9531" s="10">
        <f t="shared" si="1"/>
        <v>0.5773467435</v>
      </c>
    </row>
    <row r="9532" ht="14.25" customHeight="1">
      <c r="A9532" s="2" t="s">
        <v>413</v>
      </c>
      <c r="B9532" s="2" t="s">
        <v>414</v>
      </c>
      <c r="C9532" s="2">
        <v>1989.0</v>
      </c>
      <c r="D9532" s="9">
        <v>46892.062</v>
      </c>
      <c r="E9532" s="10" t="str">
        <f t="array" ref="E9532">IFS(D9532&lt;=$G$3,'calculated data '!$A$3,D9532&lt;=$G$4,'calculated data '!$A$4,D9532&lt;=$G$6,'calculated data '!$A$5,D9532&gt;=$G$6,'calculated data '!$A$6)</f>
        <v>High Demand Tier</v>
      </c>
      <c r="F9532" s="10">
        <f t="shared" si="1"/>
        <v>0.5780497271</v>
      </c>
    </row>
    <row r="9533" ht="14.25" customHeight="1">
      <c r="A9533" s="2" t="s">
        <v>413</v>
      </c>
      <c r="B9533" s="2" t="s">
        <v>414</v>
      </c>
      <c r="C9533" s="2">
        <v>1990.0</v>
      </c>
      <c r="D9533" s="9">
        <v>46908.27</v>
      </c>
      <c r="E9533" s="10" t="str">
        <f t="array" ref="E9533">IFS(D9533&lt;=$G$3,'calculated data '!$A$3,D9533&lt;=$G$4,'calculated data '!$A$4,D9533&lt;=$G$6,'calculated data '!$A$5,D9533&gt;=$G$6,'calculated data '!$A$6)</f>
        <v>High Demand Tier</v>
      </c>
      <c r="F9533" s="10">
        <f t="shared" si="1"/>
        <v>0.5784787489</v>
      </c>
    </row>
    <row r="9534" ht="14.25" customHeight="1">
      <c r="A9534" s="2" t="s">
        <v>457</v>
      </c>
      <c r="B9534" s="2" t="s">
        <v>458</v>
      </c>
      <c r="C9534" s="2">
        <v>1980.0</v>
      </c>
      <c r="D9534" s="9">
        <v>46928.13</v>
      </c>
      <c r="E9534" s="10" t="str">
        <f t="array" ref="E9534">IFS(D9534&lt;=$G$3,'calculated data '!$A$3,D9534&lt;=$G$4,'calculated data '!$A$4,D9534&lt;=$G$6,'calculated data '!$A$5,D9534&gt;=$G$6,'calculated data '!$A$6)</f>
        <v>High Demand Tier</v>
      </c>
      <c r="F9534" s="10">
        <f t="shared" si="1"/>
        <v>0.5790044381</v>
      </c>
    </row>
    <row r="9535" ht="14.25" customHeight="1">
      <c r="A9535" s="2" t="s">
        <v>443</v>
      </c>
      <c r="B9535" s="2" t="s">
        <v>444</v>
      </c>
      <c r="C9535" s="2">
        <v>1990.0</v>
      </c>
      <c r="D9535" s="9">
        <v>46928.723</v>
      </c>
      <c r="E9535" s="10" t="str">
        <f t="array" ref="E9535">IFS(D9535&lt;=$G$3,'calculated data '!$A$3,D9535&lt;=$G$4,'calculated data '!$A$4,D9535&lt;=$G$6,'calculated data '!$A$5,D9535&gt;=$G$6,'calculated data '!$A$6)</f>
        <v>High Demand Tier</v>
      </c>
      <c r="F9535" s="10">
        <f t="shared" si="1"/>
        <v>0.5790201347</v>
      </c>
    </row>
    <row r="9536" ht="14.25" customHeight="1">
      <c r="A9536" s="2" t="s">
        <v>403</v>
      </c>
      <c r="B9536" s="2" t="s">
        <v>404</v>
      </c>
      <c r="C9536" s="2">
        <v>1997.0</v>
      </c>
      <c r="D9536" s="9">
        <v>46931.133</v>
      </c>
      <c r="E9536" s="10" t="str">
        <f t="array" ref="E9536">IFS(D9536&lt;=$G$3,'calculated data '!$A$3,D9536&lt;=$G$4,'calculated data '!$A$4,D9536&lt;=$G$6,'calculated data '!$A$5,D9536&gt;=$G$6,'calculated data '!$A$6)</f>
        <v>High Demand Tier</v>
      </c>
      <c r="F9536" s="10">
        <f t="shared" si="1"/>
        <v>0.5790839268</v>
      </c>
    </row>
    <row r="9537" ht="14.25" customHeight="1">
      <c r="A9537" s="2" t="s">
        <v>415</v>
      </c>
      <c r="B9537" s="2" t="s">
        <v>416</v>
      </c>
      <c r="C9537" s="2">
        <v>1978.0</v>
      </c>
      <c r="D9537" s="9">
        <v>46932.58</v>
      </c>
      <c r="E9537" s="10" t="str">
        <f t="array" ref="E9537">IFS(D9537&lt;=$G$3,'calculated data '!$A$3,D9537&lt;=$G$4,'calculated data '!$A$4,D9537&lt;=$G$6,'calculated data '!$A$5,D9537&gt;=$G$6,'calculated data '!$A$6)</f>
        <v>High Demand Tier</v>
      </c>
      <c r="F9537" s="10">
        <f t="shared" si="1"/>
        <v>0.5791222285</v>
      </c>
    </row>
    <row r="9538" ht="14.25" customHeight="1">
      <c r="A9538" s="2" t="s">
        <v>381</v>
      </c>
      <c r="B9538" s="2" t="s">
        <v>382</v>
      </c>
      <c r="C9538" s="2">
        <v>2000.0</v>
      </c>
      <c r="D9538" s="9">
        <v>46938.58</v>
      </c>
      <c r="E9538" s="10" t="str">
        <f t="array" ref="E9538">IFS(D9538&lt;=$G$3,'calculated data '!$A$3,D9538&lt;=$G$4,'calculated data '!$A$4,D9538&lt;=$G$6,'calculated data '!$A$5,D9538&gt;=$G$6,'calculated data '!$A$6)</f>
        <v>High Demand Tier</v>
      </c>
      <c r="F9538" s="10">
        <f t="shared" si="1"/>
        <v>0.579281047</v>
      </c>
    </row>
    <row r="9539" ht="14.25" customHeight="1">
      <c r="A9539" s="2" t="s">
        <v>221</v>
      </c>
      <c r="B9539" s="2" t="s">
        <v>222</v>
      </c>
      <c r="C9539" s="2">
        <v>1997.0</v>
      </c>
      <c r="D9539" s="9">
        <v>46938.605</v>
      </c>
      <c r="E9539" s="10" t="str">
        <f t="array" ref="E9539">IFS(D9539&lt;=$G$3,'calculated data '!$A$3,D9539&lt;=$G$4,'calculated data '!$A$4,D9539&lt;=$G$6,'calculated data '!$A$5,D9539&gt;=$G$6,'calculated data '!$A$6)</f>
        <v>High Demand Tier</v>
      </c>
      <c r="F9539" s="10">
        <f t="shared" si="1"/>
        <v>0.5792817088</v>
      </c>
    </row>
    <row r="9540" ht="14.25" customHeight="1">
      <c r="A9540" s="2" t="s">
        <v>457</v>
      </c>
      <c r="B9540" s="2" t="s">
        <v>458</v>
      </c>
      <c r="C9540" s="2">
        <v>1978.0</v>
      </c>
      <c r="D9540" s="9">
        <v>46947.746</v>
      </c>
      <c r="E9540" s="10" t="str">
        <f t="array" ref="E9540">IFS(D9540&lt;=$G$3,'calculated data '!$A$3,D9540&lt;=$G$4,'calculated data '!$A$4,D9540&lt;=$G$6,'calculated data '!$A$5,D9540&gt;=$G$6,'calculated data '!$A$6)</f>
        <v>High Demand Tier</v>
      </c>
      <c r="F9540" s="10">
        <f t="shared" si="1"/>
        <v>0.5795236687</v>
      </c>
    </row>
    <row r="9541" ht="14.25" customHeight="1">
      <c r="A9541" s="2" t="s">
        <v>455</v>
      </c>
      <c r="B9541" s="2" t="s">
        <v>456</v>
      </c>
      <c r="C9541" s="2">
        <v>1973.0</v>
      </c>
      <c r="D9541" s="9">
        <v>46948.73</v>
      </c>
      <c r="E9541" s="10" t="str">
        <f t="array" ref="E9541">IFS(D9541&lt;=$G$3,'calculated data '!$A$3,D9541&lt;=$G$4,'calculated data '!$A$4,D9541&lt;=$G$6,'calculated data '!$A$5,D9541&gt;=$G$6,'calculated data '!$A$6)</f>
        <v>High Demand Tier</v>
      </c>
      <c r="F9541" s="10">
        <f t="shared" si="1"/>
        <v>0.579549715</v>
      </c>
    </row>
    <row r="9542" ht="14.25" customHeight="1">
      <c r="A9542" s="2" t="s">
        <v>459</v>
      </c>
      <c r="B9542" s="2" t="s">
        <v>460</v>
      </c>
      <c r="C9542" s="2">
        <v>2007.0</v>
      </c>
      <c r="D9542" s="9">
        <v>46953.45</v>
      </c>
      <c r="E9542" s="10" t="str">
        <f t="array" ref="E9542">IFS(D9542&lt;=$G$3,'calculated data '!$A$3,D9542&lt;=$G$4,'calculated data '!$A$4,D9542&lt;=$G$6,'calculated data '!$A$5,D9542&gt;=$G$6,'calculated data '!$A$6)</f>
        <v>High Demand Tier</v>
      </c>
      <c r="F9542" s="10">
        <f t="shared" si="1"/>
        <v>0.5796746522</v>
      </c>
    </row>
    <row r="9543" ht="14.25" customHeight="1">
      <c r="A9543" s="2" t="s">
        <v>473</v>
      </c>
      <c r="B9543" s="2" t="s">
        <v>474</v>
      </c>
      <c r="C9543" s="2">
        <v>2018.0</v>
      </c>
      <c r="D9543" s="9">
        <v>46958.703</v>
      </c>
      <c r="E9543" s="10" t="str">
        <f t="array" ref="E9543">IFS(D9543&lt;=$G$3,'calculated data '!$A$3,D9543&lt;=$G$4,'calculated data '!$A$4,D9543&lt;=$G$6,'calculated data '!$A$5,D9543&gt;=$G$6,'calculated data '!$A$6)</f>
        <v>High Demand Tier</v>
      </c>
      <c r="F9543" s="10">
        <f t="shared" si="1"/>
        <v>0.5798136978</v>
      </c>
    </row>
    <row r="9544" ht="14.25" customHeight="1">
      <c r="A9544" s="2" t="s">
        <v>419</v>
      </c>
      <c r="B9544" s="2" t="s">
        <v>420</v>
      </c>
      <c r="C9544" s="2">
        <v>1987.0</v>
      </c>
      <c r="D9544" s="9">
        <v>46987.34</v>
      </c>
      <c r="E9544" s="10" t="str">
        <f t="array" ref="E9544">IFS(D9544&lt;=$G$3,'calculated data '!$A$3,D9544&lt;=$G$4,'calculated data '!$A$4,D9544&lt;=$G$6,'calculated data '!$A$5,D9544&gt;=$G$6,'calculated data '!$A$6)</f>
        <v>High Demand Tier</v>
      </c>
      <c r="F9544" s="10">
        <f t="shared" si="1"/>
        <v>0.5805717121</v>
      </c>
    </row>
    <row r="9545" ht="14.25" customHeight="1">
      <c r="A9545" s="2" t="s">
        <v>443</v>
      </c>
      <c r="B9545" s="2" t="s">
        <v>444</v>
      </c>
      <c r="C9545" s="2">
        <v>1987.0</v>
      </c>
      <c r="D9545" s="9">
        <v>47000.387</v>
      </c>
      <c r="E9545" s="10" t="str">
        <f t="array" ref="E9545">IFS(D9545&lt;=$G$3,'calculated data '!$A$3,D9545&lt;=$G$4,'calculated data '!$A$4,D9545&lt;=$G$6,'calculated data '!$A$5,D9545&gt;=$G$6,'calculated data '!$A$6)</f>
        <v>High Demand Tier</v>
      </c>
      <c r="F9545" s="10">
        <f t="shared" si="1"/>
        <v>0.5809170629</v>
      </c>
    </row>
    <row r="9546" ht="14.25" customHeight="1">
      <c r="A9546" s="2" t="s">
        <v>473</v>
      </c>
      <c r="B9546" s="2" t="s">
        <v>474</v>
      </c>
      <c r="C9546" s="2">
        <v>2017.0</v>
      </c>
      <c r="D9546" s="9">
        <v>47003.766</v>
      </c>
      <c r="E9546" s="10" t="str">
        <f t="array" ref="E9546">IFS(D9546&lt;=$G$3,'calculated data '!$A$3,D9546&lt;=$G$4,'calculated data '!$A$4,D9546&lt;=$G$6,'calculated data '!$A$5,D9546&gt;=$G$6,'calculated data '!$A$6)</f>
        <v>High Demand Tier</v>
      </c>
      <c r="F9546" s="10">
        <f t="shared" si="1"/>
        <v>0.5810065042</v>
      </c>
    </row>
    <row r="9547" ht="14.25" customHeight="1">
      <c r="A9547" s="2" t="s">
        <v>473</v>
      </c>
      <c r="B9547" s="2" t="s">
        <v>474</v>
      </c>
      <c r="C9547" s="2">
        <v>1995.0</v>
      </c>
      <c r="D9547" s="9">
        <v>47020.77</v>
      </c>
      <c r="E9547" s="10" t="str">
        <f t="array" ref="E9547">IFS(D9547&lt;=$G$3,'calculated data '!$A$3,D9547&lt;=$G$4,'calculated data '!$A$4,D9547&lt;=$G$6,'calculated data '!$A$5,D9547&gt;=$G$6,'calculated data '!$A$6)</f>
        <v>High Demand Tier</v>
      </c>
      <c r="F9547" s="10">
        <f t="shared" si="1"/>
        <v>0.5814565958</v>
      </c>
    </row>
    <row r="9548" ht="14.25" customHeight="1">
      <c r="A9548" s="2" t="s">
        <v>437</v>
      </c>
      <c r="B9548" s="2" t="s">
        <v>438</v>
      </c>
      <c r="C9548" s="2">
        <v>2000.0</v>
      </c>
      <c r="D9548" s="9">
        <v>47034.88</v>
      </c>
      <c r="E9548" s="10" t="str">
        <f t="array" ref="E9548">IFS(D9548&lt;=$G$3,'calculated data '!$A$3,D9548&lt;=$G$4,'calculated data '!$A$4,D9548&lt;=$G$6,'calculated data '!$A$5,D9548&gt;=$G$6,'calculated data '!$A$6)</f>
        <v>High Demand Tier</v>
      </c>
      <c r="F9548" s="10">
        <f t="shared" si="1"/>
        <v>0.581830084</v>
      </c>
    </row>
    <row r="9549" ht="14.25" customHeight="1">
      <c r="A9549" s="2" t="s">
        <v>429</v>
      </c>
      <c r="B9549" s="2" t="s">
        <v>430</v>
      </c>
      <c r="C9549" s="2">
        <v>1979.0</v>
      </c>
      <c r="D9549" s="9">
        <v>47037.617</v>
      </c>
      <c r="E9549" s="10" t="str">
        <f t="array" ref="E9549">IFS(D9549&lt;=$G$3,'calculated data '!$A$3,D9549&lt;=$G$4,'calculated data '!$A$4,D9549&lt;=$G$6,'calculated data '!$A$5,D9549&gt;=$G$6,'calculated data '!$A$6)</f>
        <v>High Demand Tier</v>
      </c>
      <c r="F9549" s="10">
        <f t="shared" si="1"/>
        <v>0.5819025317</v>
      </c>
    </row>
    <row r="9550" ht="14.25" customHeight="1">
      <c r="A9550" s="2" t="s">
        <v>449</v>
      </c>
      <c r="B9550" s="2" t="s">
        <v>450</v>
      </c>
      <c r="C9550" s="2">
        <v>2007.0</v>
      </c>
      <c r="D9550" s="9">
        <v>47088.543</v>
      </c>
      <c r="E9550" s="10" t="str">
        <f t="array" ref="E9550">IFS(D9550&lt;=$G$3,'calculated data '!$A$3,D9550&lt;=$G$4,'calculated data '!$A$4,D9550&lt;=$G$6,'calculated data '!$A$5,D9550&gt;=$G$6,'calculated data '!$A$6)</f>
        <v>High Demand Tier</v>
      </c>
      <c r="F9550" s="10">
        <f t="shared" si="1"/>
        <v>0.5832505303</v>
      </c>
    </row>
    <row r="9551" ht="14.25" customHeight="1">
      <c r="A9551" s="2" t="s">
        <v>455</v>
      </c>
      <c r="B9551" s="2" t="s">
        <v>456</v>
      </c>
      <c r="C9551" s="2">
        <v>1977.0</v>
      </c>
      <c r="D9551" s="9">
        <v>47097.145</v>
      </c>
      <c r="E9551" s="10" t="str">
        <f t="array" ref="E9551">IFS(D9551&lt;=$G$3,'calculated data '!$A$3,D9551&lt;=$G$4,'calculated data '!$A$4,D9551&lt;=$G$6,'calculated data '!$A$5,D9551&gt;=$G$6,'calculated data '!$A$6)</f>
        <v>High Demand Tier</v>
      </c>
      <c r="F9551" s="10">
        <f t="shared" si="1"/>
        <v>0.5834782231</v>
      </c>
    </row>
    <row r="9552" ht="14.25" customHeight="1">
      <c r="A9552" s="2" t="s">
        <v>437</v>
      </c>
      <c r="B9552" s="2" t="s">
        <v>438</v>
      </c>
      <c r="C9552" s="2">
        <v>2004.0</v>
      </c>
      <c r="D9552" s="9">
        <v>47144.406</v>
      </c>
      <c r="E9552" s="10" t="str">
        <f t="array" ref="E9552">IFS(D9552&lt;=$G$3,'calculated data '!$A$3,D9552&lt;=$G$4,'calculated data '!$A$4,D9552&lt;=$G$6,'calculated data '!$A$5,D9552&gt;=$G$6,'calculated data '!$A$6)</f>
        <v>High Demand Tier</v>
      </c>
      <c r="F9552" s="10">
        <f t="shared" si="1"/>
        <v>0.58472921</v>
      </c>
    </row>
    <row r="9553" ht="14.25" customHeight="1">
      <c r="A9553" s="2" t="s">
        <v>479</v>
      </c>
      <c r="B9553" s="2" t="s">
        <v>480</v>
      </c>
      <c r="C9553" s="2">
        <v>2000.0</v>
      </c>
      <c r="D9553" s="9">
        <v>47155.816</v>
      </c>
      <c r="E9553" s="10" t="str">
        <f t="array" ref="E9553">IFS(D9553&lt;=$G$3,'calculated data '!$A$3,D9553&lt;=$G$4,'calculated data '!$A$4,D9553&lt;=$G$6,'calculated data '!$A$5,D9553&gt;=$G$6,'calculated data '!$A$6)</f>
        <v>High Demand Tier</v>
      </c>
      <c r="F9553" s="10">
        <f t="shared" si="1"/>
        <v>0.5850312298</v>
      </c>
    </row>
    <row r="9554" ht="14.25" customHeight="1">
      <c r="A9554" s="2" t="s">
        <v>443</v>
      </c>
      <c r="B9554" s="2" t="s">
        <v>444</v>
      </c>
      <c r="C9554" s="2">
        <v>1984.0</v>
      </c>
      <c r="D9554" s="9">
        <v>47158.09</v>
      </c>
      <c r="E9554" s="10" t="str">
        <f t="array" ref="E9554">IFS(D9554&lt;=$G$3,'calculated data '!$A$3,D9554&lt;=$G$4,'calculated data '!$A$4,D9554&lt;=$G$6,'calculated data '!$A$5,D9554&gt;=$G$6,'calculated data '!$A$6)</f>
        <v>High Demand Tier</v>
      </c>
      <c r="F9554" s="10">
        <f t="shared" si="1"/>
        <v>0.585091422</v>
      </c>
    </row>
    <row r="9555" ht="14.25" customHeight="1">
      <c r="A9555" s="2" t="s">
        <v>415</v>
      </c>
      <c r="B9555" s="2" t="s">
        <v>416</v>
      </c>
      <c r="C9555" s="2">
        <v>1994.0</v>
      </c>
      <c r="D9555" s="9">
        <v>47181.56</v>
      </c>
      <c r="E9555" s="10" t="str">
        <f t="array" ref="E9555">IFS(D9555&lt;=$G$3,'calculated data '!$A$3,D9555&lt;=$G$4,'calculated data '!$A$4,D9555&lt;=$G$6,'calculated data '!$A$5,D9555&gt;=$G$6,'calculated data '!$A$6)</f>
        <v>High Demand Tier</v>
      </c>
      <c r="F9555" s="10">
        <f t="shared" si="1"/>
        <v>0.5857126671</v>
      </c>
    </row>
    <row r="9556" ht="14.25" customHeight="1">
      <c r="A9556" s="2" t="s">
        <v>443</v>
      </c>
      <c r="B9556" s="2" t="s">
        <v>444</v>
      </c>
      <c r="C9556" s="2">
        <v>1989.0</v>
      </c>
      <c r="D9556" s="9">
        <v>47193.773</v>
      </c>
      <c r="E9556" s="10" t="str">
        <f t="array" ref="E9556">IFS(D9556&lt;=$G$3,'calculated data '!$A$3,D9556&lt;=$G$4,'calculated data '!$A$4,D9556&lt;=$G$6,'calculated data '!$A$5,D9556&gt;=$G$6,'calculated data '!$A$6)</f>
        <v>High Demand Tier</v>
      </c>
      <c r="F9556" s="10">
        <f t="shared" si="1"/>
        <v>0.5860359422</v>
      </c>
    </row>
    <row r="9557" ht="14.25" customHeight="1">
      <c r="A9557" s="2" t="s">
        <v>473</v>
      </c>
      <c r="B9557" s="2" t="s">
        <v>474</v>
      </c>
      <c r="C9557" s="2">
        <v>1993.0</v>
      </c>
      <c r="D9557" s="9">
        <v>47223.324</v>
      </c>
      <c r="E9557" s="10" t="str">
        <f t="array" ref="E9557">IFS(D9557&lt;=$G$3,'calculated data '!$A$3,D9557&lt;=$G$4,'calculated data '!$A$4,D9557&lt;=$G$6,'calculated data '!$A$5,D9557&gt;=$G$6,'calculated data '!$A$6)</f>
        <v>High Demand Tier</v>
      </c>
      <c r="F9557" s="10">
        <f t="shared" si="1"/>
        <v>0.5868181498</v>
      </c>
    </row>
    <row r="9558" ht="14.25" customHeight="1">
      <c r="A9558" s="2" t="s">
        <v>369</v>
      </c>
      <c r="B9558" s="2" t="s">
        <v>370</v>
      </c>
      <c r="C9558" s="2">
        <v>1998.0</v>
      </c>
      <c r="D9558" s="9">
        <v>47227.26</v>
      </c>
      <c r="E9558" s="10" t="str">
        <f t="array" ref="E9558">IFS(D9558&lt;=$G$3,'calculated data '!$A$3,D9558&lt;=$G$4,'calculated data '!$A$4,D9558&lt;=$G$6,'calculated data '!$A$5,D9558&gt;=$G$6,'calculated data '!$A$6)</f>
        <v>High Demand Tier</v>
      </c>
      <c r="F9558" s="10">
        <f t="shared" si="1"/>
        <v>0.5869223347</v>
      </c>
    </row>
    <row r="9559" ht="14.25" customHeight="1">
      <c r="A9559" s="2" t="s">
        <v>433</v>
      </c>
      <c r="B9559" s="2" t="s">
        <v>434</v>
      </c>
      <c r="C9559" s="2">
        <v>1994.0</v>
      </c>
      <c r="D9559" s="9">
        <v>47234.562</v>
      </c>
      <c r="E9559" s="10" t="str">
        <f t="array" ref="E9559">IFS(D9559&lt;=$G$3,'calculated data '!$A$3,D9559&lt;=$G$4,'calculated data '!$A$4,D9559&lt;=$G$6,'calculated data '!$A$5,D9559&gt;=$G$6,'calculated data '!$A$6)</f>
        <v>High Demand Tier</v>
      </c>
      <c r="F9559" s="10">
        <f t="shared" si="1"/>
        <v>0.5871156168</v>
      </c>
    </row>
    <row r="9560" ht="14.25" customHeight="1">
      <c r="A9560" s="2" t="s">
        <v>475</v>
      </c>
      <c r="B9560" s="2" t="s">
        <v>476</v>
      </c>
      <c r="C9560" s="2">
        <v>1969.0</v>
      </c>
      <c r="D9560" s="9">
        <v>47248.793</v>
      </c>
      <c r="E9560" s="10" t="str">
        <f t="array" ref="E9560">IFS(D9560&lt;=$G$3,'calculated data '!$A$3,D9560&lt;=$G$4,'calculated data '!$A$4,D9560&lt;=$G$6,'calculated data '!$A$5,D9560&gt;=$G$6,'calculated data '!$A$6)</f>
        <v>High Demand Tier</v>
      </c>
      <c r="F9560" s="10">
        <f t="shared" si="1"/>
        <v>0.5874923079</v>
      </c>
    </row>
    <row r="9561" ht="14.25" customHeight="1">
      <c r="A9561" s="2" t="s">
        <v>473</v>
      </c>
      <c r="B9561" s="2" t="s">
        <v>474</v>
      </c>
      <c r="C9561" s="2">
        <v>1967.0</v>
      </c>
      <c r="D9561" s="9">
        <v>47262.08</v>
      </c>
      <c r="E9561" s="10" t="str">
        <f t="array" ref="E9561">IFS(D9561&lt;=$G$3,'calculated data '!$A$3,D9561&lt;=$G$4,'calculated data '!$A$4,D9561&lt;=$G$6,'calculated data '!$A$5,D9561&gt;=$G$6,'calculated data '!$A$6)</f>
        <v>High Demand Tier</v>
      </c>
      <c r="F9561" s="10">
        <f t="shared" si="1"/>
        <v>0.5878440114</v>
      </c>
    </row>
    <row r="9562" ht="14.25" customHeight="1">
      <c r="A9562" s="2" t="s">
        <v>437</v>
      </c>
      <c r="B9562" s="2" t="s">
        <v>438</v>
      </c>
      <c r="C9562" s="2">
        <v>1999.0</v>
      </c>
      <c r="D9562" s="9">
        <v>47275.934</v>
      </c>
      <c r="E9562" s="10" t="str">
        <f t="array" ref="E9562">IFS(D9562&lt;=$G$3,'calculated data '!$A$3,D9562&lt;=$G$4,'calculated data '!$A$4,D9562&lt;=$G$6,'calculated data '!$A$5,D9562&gt;=$G$6,'calculated data '!$A$6)</f>
        <v>High Demand Tier</v>
      </c>
      <c r="F9562" s="10">
        <f t="shared" si="1"/>
        <v>0.5882107234</v>
      </c>
    </row>
    <row r="9563" ht="14.25" customHeight="1">
      <c r="A9563" s="2" t="s">
        <v>435</v>
      </c>
      <c r="B9563" s="2" t="s">
        <v>436</v>
      </c>
      <c r="C9563" s="2">
        <v>2008.0</v>
      </c>
      <c r="D9563" s="9">
        <v>47279.37</v>
      </c>
      <c r="E9563" s="10" t="str">
        <f t="array" ref="E9563">IFS(D9563&lt;=$G$3,'calculated data '!$A$3,D9563&lt;=$G$4,'calculated data '!$A$4,D9563&lt;=$G$6,'calculated data '!$A$5,D9563&gt;=$G$6,'calculated data '!$A$6)</f>
        <v>High Demand Tier</v>
      </c>
      <c r="F9563" s="10">
        <f t="shared" si="1"/>
        <v>0.5883016734</v>
      </c>
    </row>
    <row r="9564" ht="14.25" customHeight="1">
      <c r="A9564" s="2" t="s">
        <v>391</v>
      </c>
      <c r="B9564" s="2" t="s">
        <v>392</v>
      </c>
      <c r="C9564" s="2">
        <v>2009.0</v>
      </c>
      <c r="D9564" s="9">
        <v>47285.652</v>
      </c>
      <c r="E9564" s="10" t="str">
        <f t="array" ref="E9564">IFS(D9564&lt;=$G$3,'calculated data '!$A$3,D9564&lt;=$G$4,'calculated data '!$A$4,D9564&lt;=$G$6,'calculated data '!$A$5,D9564&gt;=$G$6,'calculated data '!$A$6)</f>
        <v>High Demand Tier</v>
      </c>
      <c r="F9564" s="10">
        <f t="shared" si="1"/>
        <v>0.5884679564</v>
      </c>
    </row>
    <row r="9565" ht="14.25" customHeight="1">
      <c r="A9565" s="2" t="s">
        <v>443</v>
      </c>
      <c r="B9565" s="2" t="s">
        <v>444</v>
      </c>
      <c r="C9565" s="2">
        <v>1988.0</v>
      </c>
      <c r="D9565" s="9">
        <v>47305.01</v>
      </c>
      <c r="E9565" s="10" t="str">
        <f t="array" ref="E9565">IFS(D9565&lt;=$G$3,'calculated data '!$A$3,D9565&lt;=$G$4,'calculated data '!$A$4,D9565&lt;=$G$6,'calculated data '!$A$5,D9565&gt;=$G$6,'calculated data '!$A$6)</f>
        <v>High Demand Tier</v>
      </c>
      <c r="F9565" s="10">
        <f t="shared" si="1"/>
        <v>0.5889803578</v>
      </c>
    </row>
    <row r="9566" ht="14.25" customHeight="1">
      <c r="A9566" s="2" t="s">
        <v>391</v>
      </c>
      <c r="B9566" s="2" t="s">
        <v>392</v>
      </c>
      <c r="C9566" s="2">
        <v>2011.0</v>
      </c>
      <c r="D9566" s="9">
        <v>47323.504</v>
      </c>
      <c r="E9566" s="10" t="str">
        <f t="array" ref="E9566">IFS(D9566&lt;=$G$3,'calculated data '!$A$3,D9566&lt;=$G$4,'calculated data '!$A$4,D9566&lt;=$G$6,'calculated data '!$A$5,D9566&gt;=$G$6,'calculated data '!$A$6)</f>
        <v>High Demand Tier</v>
      </c>
      <c r="F9566" s="10">
        <f t="shared" si="1"/>
        <v>0.5894698894</v>
      </c>
    </row>
    <row r="9567" ht="14.25" customHeight="1">
      <c r="A9567" s="2" t="s">
        <v>473</v>
      </c>
      <c r="B9567" s="2" t="s">
        <v>474</v>
      </c>
      <c r="C9567" s="2">
        <v>2001.0</v>
      </c>
      <c r="D9567" s="9">
        <v>47371.4</v>
      </c>
      <c r="E9567" s="10" t="str">
        <f t="array" ref="E9567">IFS(D9567&lt;=$G$3,'calculated data '!$A$3,D9567&lt;=$G$4,'calculated data '!$A$4,D9567&lt;=$G$6,'calculated data '!$A$5,D9567&gt;=$G$6,'calculated data '!$A$6)</f>
        <v>High Demand Tier</v>
      </c>
      <c r="F9567" s="10">
        <f t="shared" si="1"/>
        <v>0.5907376846</v>
      </c>
    </row>
    <row r="9568" ht="14.25" customHeight="1">
      <c r="A9568" s="2" t="s">
        <v>453</v>
      </c>
      <c r="B9568" s="2" t="s">
        <v>454</v>
      </c>
      <c r="C9568" s="2">
        <v>1990.0</v>
      </c>
      <c r="D9568" s="9">
        <v>47385.695</v>
      </c>
      <c r="E9568" s="10" t="str">
        <f t="array" ref="E9568">IFS(D9568&lt;=$G$3,'calculated data '!$A$3,D9568&lt;=$G$4,'calculated data '!$A$4,D9568&lt;=$G$6,'calculated data '!$A$5,D9568&gt;=$G$6,'calculated data '!$A$6)</f>
        <v>High Demand Tier</v>
      </c>
      <c r="F9568" s="10">
        <f t="shared" si="1"/>
        <v>0.5911160697</v>
      </c>
    </row>
    <row r="9569" ht="14.25" customHeight="1">
      <c r="A9569" s="2" t="s">
        <v>419</v>
      </c>
      <c r="B9569" s="2" t="s">
        <v>420</v>
      </c>
      <c r="C9569" s="2">
        <v>1988.0</v>
      </c>
      <c r="D9569" s="9">
        <v>47426.105</v>
      </c>
      <c r="E9569" s="10" t="str">
        <f t="array" ref="E9569">IFS(D9569&lt;=$G$3,'calculated data '!$A$3,D9569&lt;=$G$4,'calculated data '!$A$4,D9569&lt;=$G$6,'calculated data '!$A$5,D9569&gt;=$G$6,'calculated data '!$A$6)</f>
        <v>High Demand Tier</v>
      </c>
      <c r="F9569" s="10">
        <f t="shared" si="1"/>
        <v>0.5921857123</v>
      </c>
    </row>
    <row r="9570" ht="14.25" customHeight="1">
      <c r="A9570" s="2" t="s">
        <v>425</v>
      </c>
      <c r="B9570" s="2" t="s">
        <v>426</v>
      </c>
      <c r="C9570" s="2">
        <v>1973.0</v>
      </c>
      <c r="D9570" s="9">
        <v>47428.85</v>
      </c>
      <c r="E9570" s="10" t="str">
        <f t="array" ref="E9570">IFS(D9570&lt;=$G$3,'calculated data '!$A$3,D9570&lt;=$G$4,'calculated data '!$A$4,D9570&lt;=$G$6,'calculated data '!$A$5,D9570&gt;=$G$6,'calculated data '!$A$6)</f>
        <v>High Demand Tier</v>
      </c>
      <c r="F9570" s="10">
        <f t="shared" si="1"/>
        <v>0.5922583718</v>
      </c>
    </row>
    <row r="9571" ht="14.25" customHeight="1">
      <c r="A9571" s="2" t="s">
        <v>369</v>
      </c>
      <c r="B9571" s="2" t="s">
        <v>370</v>
      </c>
      <c r="C9571" s="2">
        <v>1996.0</v>
      </c>
      <c r="D9571" s="9">
        <v>47459.004</v>
      </c>
      <c r="E9571" s="10" t="str">
        <f t="array" ref="E9571">IFS(D9571&lt;=$G$3,'calculated data '!$A$3,D9571&lt;=$G$4,'calculated data '!$A$4,D9571&lt;=$G$6,'calculated data '!$A$5,D9571&gt;=$G$6,'calculated data '!$A$6)</f>
        <v>High Demand Tier</v>
      </c>
      <c r="F9571" s="10">
        <f t="shared" si="1"/>
        <v>0.5930565407</v>
      </c>
    </row>
    <row r="9572" ht="14.25" customHeight="1">
      <c r="A9572" s="2" t="s">
        <v>459</v>
      </c>
      <c r="B9572" s="2" t="s">
        <v>460</v>
      </c>
      <c r="C9572" s="2">
        <v>1975.0</v>
      </c>
      <c r="D9572" s="9">
        <v>47465.902</v>
      </c>
      <c r="E9572" s="10" t="str">
        <f t="array" ref="E9572">IFS(D9572&lt;=$G$3,'calculated data '!$A$3,D9572&lt;=$G$4,'calculated data '!$A$4,D9572&lt;=$G$6,'calculated data '!$A$5,D9572&gt;=$G$6,'calculated data '!$A$6)</f>
        <v>High Demand Tier</v>
      </c>
      <c r="F9572" s="10">
        <f t="shared" si="1"/>
        <v>0.593239129</v>
      </c>
    </row>
    <row r="9573" ht="14.25" customHeight="1">
      <c r="A9573" s="2" t="s">
        <v>475</v>
      </c>
      <c r="B9573" s="2" t="s">
        <v>476</v>
      </c>
      <c r="C9573" s="2">
        <v>1974.0</v>
      </c>
      <c r="D9573" s="9">
        <v>47523.207</v>
      </c>
      <c r="E9573" s="10" t="str">
        <f t="array" ref="E9573">IFS(D9573&lt;=$G$3,'calculated data '!$A$3,D9573&lt;=$G$4,'calculated data '!$A$4,D9573&lt;=$G$6,'calculated data '!$A$5,D9573&gt;=$G$6,'calculated data '!$A$6)</f>
        <v>High Demand Tier</v>
      </c>
      <c r="F9573" s="10">
        <f t="shared" si="1"/>
        <v>0.5947559781</v>
      </c>
    </row>
    <row r="9574" ht="14.25" customHeight="1">
      <c r="A9574" s="2" t="s">
        <v>475</v>
      </c>
      <c r="B9574" s="2" t="s">
        <v>476</v>
      </c>
      <c r="C9574" s="2">
        <v>2021.0</v>
      </c>
      <c r="D9574" s="9">
        <v>47527.09</v>
      </c>
      <c r="E9574" s="10" t="str">
        <f t="array" ref="E9574">IFS(D9574&lt;=$G$3,'calculated data '!$A$3,D9574&lt;=$G$4,'calculated data '!$A$4,D9574&lt;=$G$6,'calculated data '!$A$5,D9574&gt;=$G$6,'calculated data '!$A$6)</f>
        <v>High Demand Tier</v>
      </c>
      <c r="F9574" s="10">
        <f t="shared" si="1"/>
        <v>0.5948587601</v>
      </c>
    </row>
    <row r="9575" ht="14.25" customHeight="1">
      <c r="A9575" s="2" t="s">
        <v>429</v>
      </c>
      <c r="B9575" s="2" t="s">
        <v>430</v>
      </c>
      <c r="C9575" s="2">
        <v>1982.0</v>
      </c>
      <c r="D9575" s="9">
        <v>47534.71</v>
      </c>
      <c r="E9575" s="10" t="str">
        <f t="array" ref="E9575">IFS(D9575&lt;=$G$3,'calculated data '!$A$3,D9575&lt;=$G$4,'calculated data '!$A$4,D9575&lt;=$G$6,'calculated data '!$A$5,D9575&gt;=$G$6,'calculated data '!$A$6)</f>
        <v>High Demand Tier</v>
      </c>
      <c r="F9575" s="10">
        <f t="shared" si="1"/>
        <v>0.5950604596</v>
      </c>
    </row>
    <row r="9576" ht="14.25" customHeight="1">
      <c r="A9576" s="2" t="s">
        <v>461</v>
      </c>
      <c r="B9576" s="2" t="s">
        <v>462</v>
      </c>
      <c r="C9576" s="2">
        <v>2023.0</v>
      </c>
      <c r="D9576" s="9">
        <v>47535.254</v>
      </c>
      <c r="E9576" s="10" t="str">
        <f t="array" ref="E9576">IFS(D9576&lt;=$G$3,'calculated data '!$A$3,D9576&lt;=$G$4,'calculated data '!$A$4,D9576&lt;=$G$6,'calculated data '!$A$5,D9576&gt;=$G$6,'calculated data '!$A$6)</f>
        <v>High Demand Tier</v>
      </c>
      <c r="F9576" s="10">
        <f t="shared" si="1"/>
        <v>0.5950748592</v>
      </c>
    </row>
    <row r="9577" ht="14.25" customHeight="1">
      <c r="A9577" s="2" t="s">
        <v>149</v>
      </c>
      <c r="B9577" s="2" t="s">
        <v>150</v>
      </c>
      <c r="C9577" s="2">
        <v>1987.0</v>
      </c>
      <c r="D9577" s="9">
        <v>47536.938</v>
      </c>
      <c r="E9577" s="10" t="str">
        <f t="array" ref="E9577">IFS(D9577&lt;=$G$3,'calculated data '!$A$3,D9577&lt;=$G$4,'calculated data '!$A$4,D9577&lt;=$G$6,'calculated data '!$A$5,D9577&gt;=$G$6,'calculated data '!$A$6)</f>
        <v>High Demand Tier</v>
      </c>
      <c r="F9577" s="10">
        <f t="shared" si="1"/>
        <v>0.5951194342</v>
      </c>
    </row>
    <row r="9578" ht="14.25" customHeight="1">
      <c r="A9578" s="2" t="s">
        <v>439</v>
      </c>
      <c r="B9578" s="2" t="s">
        <v>440</v>
      </c>
      <c r="C9578" s="2">
        <v>1994.0</v>
      </c>
      <c r="D9578" s="9">
        <v>47575.77</v>
      </c>
      <c r="E9578" s="10" t="str">
        <f t="array" ref="E9578">IFS(D9578&lt;=$G$3,'calculated data '!$A$3,D9578&lt;=$G$4,'calculated data '!$A$4,D9578&lt;=$G$6,'calculated data '!$A$5,D9578&gt;=$G$6,'calculated data '!$A$6)</f>
        <v>High Demand Tier</v>
      </c>
      <c r="F9578" s="10">
        <f t="shared" si="1"/>
        <v>0.5961473076</v>
      </c>
    </row>
    <row r="9579" ht="14.25" customHeight="1">
      <c r="A9579" s="2" t="s">
        <v>459</v>
      </c>
      <c r="B9579" s="2" t="s">
        <v>460</v>
      </c>
      <c r="C9579" s="2">
        <v>1972.0</v>
      </c>
      <c r="D9579" s="9">
        <v>47587.06</v>
      </c>
      <c r="E9579" s="10" t="str">
        <f t="array" ref="E9579">IFS(D9579&lt;=$G$3,'calculated data '!$A$3,D9579&lt;=$G$4,'calculated data '!$A$4,D9579&lt;=$G$6,'calculated data '!$A$5,D9579&gt;=$G$6,'calculated data '!$A$6)</f>
        <v>High Demand Tier</v>
      </c>
      <c r="F9579" s="10">
        <f t="shared" si="1"/>
        <v>0.5964461511</v>
      </c>
    </row>
    <row r="9580" ht="14.25" customHeight="1">
      <c r="A9580" s="2" t="s">
        <v>473</v>
      </c>
      <c r="B9580" s="2" t="s">
        <v>474</v>
      </c>
      <c r="C9580" s="2">
        <v>2002.0</v>
      </c>
      <c r="D9580" s="9">
        <v>47602.3</v>
      </c>
      <c r="E9580" s="10" t="str">
        <f t="array" ref="E9580">IFS(D9580&lt;=$G$3,'calculated data '!$A$3,D9580&lt;=$G$4,'calculated data '!$A$4,D9580&lt;=$G$6,'calculated data '!$A$5,D9580&gt;=$G$6,'calculated data '!$A$6)</f>
        <v>High Demand Tier</v>
      </c>
      <c r="F9580" s="10">
        <f t="shared" si="1"/>
        <v>0.5968495501</v>
      </c>
    </row>
    <row r="9581" ht="14.25" customHeight="1">
      <c r="A9581" s="2" t="s">
        <v>459</v>
      </c>
      <c r="B9581" s="2" t="s">
        <v>460</v>
      </c>
      <c r="C9581" s="2">
        <v>2008.0</v>
      </c>
      <c r="D9581" s="9">
        <v>47614.89</v>
      </c>
      <c r="E9581" s="10" t="str">
        <f t="array" ref="E9581">IFS(D9581&lt;=$G$3,'calculated data '!$A$3,D9581&lt;=$G$4,'calculated data '!$A$4,D9581&lt;=$G$6,'calculated data '!$A$5,D9581&gt;=$G$6,'calculated data '!$A$6)</f>
        <v>High Demand Tier</v>
      </c>
      <c r="F9581" s="10">
        <f t="shared" si="1"/>
        <v>0.5971828043</v>
      </c>
    </row>
    <row r="9582" ht="14.25" customHeight="1">
      <c r="A9582" s="2" t="s">
        <v>307</v>
      </c>
      <c r="B9582" s="2" t="s">
        <v>308</v>
      </c>
      <c r="C9582" s="2">
        <v>2016.0</v>
      </c>
      <c r="D9582" s="9">
        <v>47619.418</v>
      </c>
      <c r="E9582" s="10" t="str">
        <f t="array" ref="E9582">IFS(D9582&lt;=$G$3,'calculated data '!$A$3,D9582&lt;=$G$4,'calculated data '!$A$4,D9582&lt;=$G$6,'calculated data '!$A$5,D9582&gt;=$G$6,'calculated data '!$A$6)</f>
        <v>High Demand Tier</v>
      </c>
      <c r="F9582" s="10">
        <f t="shared" si="1"/>
        <v>0.5973026593</v>
      </c>
    </row>
    <row r="9583" ht="14.25" customHeight="1">
      <c r="A9583" s="2" t="s">
        <v>369</v>
      </c>
      <c r="B9583" s="2" t="s">
        <v>370</v>
      </c>
      <c r="C9583" s="2">
        <v>2003.0</v>
      </c>
      <c r="D9583" s="9">
        <v>47637.26</v>
      </c>
      <c r="E9583" s="10" t="str">
        <f t="array" ref="E9583">IFS(D9583&lt;=$G$3,'calculated data '!$A$3,D9583&lt;=$G$4,'calculated data '!$A$4,D9583&lt;=$G$6,'calculated data '!$A$5,D9583&gt;=$G$6,'calculated data '!$A$6)</f>
        <v>High Demand Tier</v>
      </c>
      <c r="F9583" s="10">
        <f t="shared" si="1"/>
        <v>0.5977749326</v>
      </c>
    </row>
    <row r="9584" ht="14.25" customHeight="1">
      <c r="A9584" s="2" t="s">
        <v>469</v>
      </c>
      <c r="B9584" s="2" t="s">
        <v>470</v>
      </c>
      <c r="C9584" s="2">
        <v>1987.0</v>
      </c>
      <c r="D9584" s="9">
        <v>47650.992</v>
      </c>
      <c r="E9584" s="10" t="str">
        <f t="array" ref="E9584">IFS(D9584&lt;=$G$3,'calculated data '!$A$3,D9584&lt;=$G$4,'calculated data '!$A$4,D9584&lt;=$G$6,'calculated data '!$A$5,D9584&gt;=$G$6,'calculated data '!$A$6)</f>
        <v>High Demand Tier</v>
      </c>
      <c r="F9584" s="10">
        <f t="shared" si="1"/>
        <v>0.5981384152</v>
      </c>
    </row>
    <row r="9585" ht="14.25" customHeight="1">
      <c r="A9585" s="2" t="s">
        <v>473</v>
      </c>
      <c r="B9585" s="2" t="s">
        <v>474</v>
      </c>
      <c r="C9585" s="2">
        <v>2009.0</v>
      </c>
      <c r="D9585" s="9">
        <v>47675.15</v>
      </c>
      <c r="E9585" s="10" t="str">
        <f t="array" ref="E9585">IFS(D9585&lt;=$G$3,'calculated data '!$A$3,D9585&lt;=$G$4,'calculated data '!$A$4,D9585&lt;=$G$6,'calculated data '!$A$5,D9585&gt;=$G$6,'calculated data '!$A$6)</f>
        <v>High Demand Tier</v>
      </c>
      <c r="F9585" s="10">
        <f t="shared" si="1"/>
        <v>0.5987778715</v>
      </c>
    </row>
    <row r="9586" ht="14.25" customHeight="1">
      <c r="A9586" s="2" t="s">
        <v>437</v>
      </c>
      <c r="B9586" s="2" t="s">
        <v>438</v>
      </c>
      <c r="C9586" s="2">
        <v>2006.0</v>
      </c>
      <c r="D9586" s="9">
        <v>47719.96</v>
      </c>
      <c r="E9586" s="10" t="str">
        <f t="array" ref="E9586">IFS(D9586&lt;=$G$3,'calculated data '!$A$3,D9586&lt;=$G$4,'calculated data '!$A$4,D9586&lt;=$G$6,'calculated data '!$A$5,D9586&gt;=$G$6,'calculated data '!$A$6)</f>
        <v>High Demand Tier</v>
      </c>
      <c r="F9586" s="10">
        <f t="shared" si="1"/>
        <v>0.599963981</v>
      </c>
    </row>
    <row r="9587" ht="14.25" customHeight="1">
      <c r="A9587" s="2" t="s">
        <v>459</v>
      </c>
      <c r="B9587" s="2" t="s">
        <v>460</v>
      </c>
      <c r="C9587" s="2">
        <v>2005.0</v>
      </c>
      <c r="D9587" s="9">
        <v>47727.438</v>
      </c>
      <c r="E9587" s="10" t="str">
        <f t="array" ref="E9587">IFS(D9587&lt;=$G$3,'calculated data '!$A$3,D9587&lt;=$G$4,'calculated data '!$A$4,D9587&lt;=$G$6,'calculated data '!$A$5,D9587&gt;=$G$6,'calculated data '!$A$6)</f>
        <v>High Demand Tier</v>
      </c>
      <c r="F9587" s="10">
        <f t="shared" si="1"/>
        <v>0.6001619218</v>
      </c>
    </row>
    <row r="9588" ht="14.25" customHeight="1">
      <c r="A9588" s="2" t="s">
        <v>391</v>
      </c>
      <c r="B9588" s="2" t="s">
        <v>392</v>
      </c>
      <c r="C9588" s="2">
        <v>2024.0</v>
      </c>
      <c r="D9588" s="9">
        <v>47727.918</v>
      </c>
      <c r="E9588" s="10" t="str">
        <f t="array" ref="E9588">IFS(D9588&lt;=$G$3,'calculated data '!$A$3,D9588&lt;=$G$4,'calculated data '!$A$4,D9588&lt;=$G$6,'calculated data '!$A$5,D9588&gt;=$G$6,'calculated data '!$A$6)</f>
        <v>High Demand Tier</v>
      </c>
      <c r="F9588" s="10">
        <f t="shared" si="1"/>
        <v>0.6001746273</v>
      </c>
    </row>
    <row r="9589" ht="14.25" customHeight="1">
      <c r="A9589" s="2" t="s">
        <v>467</v>
      </c>
      <c r="B9589" s="2" t="s">
        <v>468</v>
      </c>
      <c r="C9589" s="2">
        <v>1973.0</v>
      </c>
      <c r="D9589" s="9">
        <v>47730.81</v>
      </c>
      <c r="E9589" s="10" t="str">
        <f t="array" ref="E9589">IFS(D9589&lt;=$G$3,'calculated data '!$A$3,D9589&lt;=$G$4,'calculated data '!$A$4,D9589&lt;=$G$6,'calculated data '!$A$5,D9589&gt;=$G$6,'calculated data '!$A$6)</f>
        <v>High Demand Tier</v>
      </c>
      <c r="F9589" s="10">
        <f t="shared" si="1"/>
        <v>0.6002511778</v>
      </c>
    </row>
    <row r="9590" ht="14.25" customHeight="1">
      <c r="A9590" s="2" t="s">
        <v>369</v>
      </c>
      <c r="B9590" s="2" t="s">
        <v>370</v>
      </c>
      <c r="C9590" s="2">
        <v>2008.0</v>
      </c>
      <c r="D9590" s="9">
        <v>47738.574</v>
      </c>
      <c r="E9590" s="10" t="str">
        <f t="array" ref="E9590">IFS(D9590&lt;=$G$3,'calculated data '!$A$3,D9590&lt;=$G$4,'calculated data '!$A$4,D9590&lt;=$G$6,'calculated data '!$A$5,D9590&gt;=$G$6,'calculated data '!$A$6)</f>
        <v>High Demand Tier</v>
      </c>
      <c r="F9590" s="10">
        <f t="shared" si="1"/>
        <v>0.6004566889</v>
      </c>
    </row>
    <row r="9591" ht="14.25" customHeight="1">
      <c r="A9591" s="2" t="s">
        <v>433</v>
      </c>
      <c r="B9591" s="2" t="s">
        <v>434</v>
      </c>
      <c r="C9591" s="2">
        <v>2010.0</v>
      </c>
      <c r="D9591" s="9">
        <v>47739.81</v>
      </c>
      <c r="E9591" s="10" t="str">
        <f t="array" ref="E9591">IFS(D9591&lt;=$G$3,'calculated data '!$A$3,D9591&lt;=$G$4,'calculated data '!$A$4,D9591&lt;=$G$6,'calculated data '!$A$5,D9591&gt;=$G$6,'calculated data '!$A$6)</f>
        <v>High Demand Tier</v>
      </c>
      <c r="F9591" s="10">
        <f t="shared" si="1"/>
        <v>0.6004894056</v>
      </c>
    </row>
    <row r="9592" ht="14.25" customHeight="1">
      <c r="A9592" s="2" t="s">
        <v>307</v>
      </c>
      <c r="B9592" s="2" t="s">
        <v>308</v>
      </c>
      <c r="C9592" s="2">
        <v>2013.0</v>
      </c>
      <c r="D9592" s="9">
        <v>47742.637</v>
      </c>
      <c r="E9592" s="10" t="str">
        <f t="array" ref="E9592">IFS(D9592&lt;=$G$3,'calculated data '!$A$3,D9592&lt;=$G$4,'calculated data '!$A$4,D9592&lt;=$G$6,'calculated data '!$A$5,D9592&gt;=$G$6,'calculated data '!$A$6)</f>
        <v>High Demand Tier</v>
      </c>
      <c r="F9592" s="10">
        <f t="shared" si="1"/>
        <v>0.6005642355</v>
      </c>
    </row>
    <row r="9593" ht="14.25" customHeight="1">
      <c r="A9593" s="2" t="s">
        <v>473</v>
      </c>
      <c r="B9593" s="2" t="s">
        <v>474</v>
      </c>
      <c r="C9593" s="2">
        <v>2012.0</v>
      </c>
      <c r="D9593" s="9">
        <v>47755.58</v>
      </c>
      <c r="E9593" s="10" t="str">
        <f t="array" ref="E9593">IFS(D9593&lt;=$G$3,'calculated data '!$A$3,D9593&lt;=$G$4,'calculated data '!$A$4,D9593&lt;=$G$6,'calculated data '!$A$5,D9593&gt;=$G$6,'calculated data '!$A$6)</f>
        <v>High Demand Tier</v>
      </c>
      <c r="F9593" s="10">
        <f t="shared" si="1"/>
        <v>0.6009068335</v>
      </c>
    </row>
    <row r="9594" ht="14.25" customHeight="1">
      <c r="A9594" s="2" t="s">
        <v>391</v>
      </c>
      <c r="B9594" s="2" t="s">
        <v>392</v>
      </c>
      <c r="C9594" s="2">
        <v>1988.0</v>
      </c>
      <c r="D9594" s="9">
        <v>47787.074</v>
      </c>
      <c r="E9594" s="10" t="str">
        <f t="array" ref="E9594">IFS(D9594&lt;=$G$3,'calculated data '!$A$3,D9594&lt;=$G$4,'calculated data '!$A$4,D9594&lt;=$G$6,'calculated data '!$A$5,D9594&gt;=$G$6,'calculated data '!$A$6)</f>
        <v>High Demand Tier</v>
      </c>
      <c r="F9594" s="10">
        <f t="shared" si="1"/>
        <v>0.6017404719</v>
      </c>
    </row>
    <row r="9595" ht="14.25" customHeight="1">
      <c r="A9595" s="2" t="s">
        <v>337</v>
      </c>
      <c r="B9595" s="2" t="s">
        <v>338</v>
      </c>
      <c r="C9595" s="2">
        <v>2001.0</v>
      </c>
      <c r="D9595" s="9">
        <v>47809.285</v>
      </c>
      <c r="E9595" s="10" t="str">
        <f t="array" ref="E9595">IFS(D9595&lt;=$G$3,'calculated data '!$A$3,D9595&lt;=$G$4,'calculated data '!$A$4,D9595&lt;=$G$6,'calculated data '!$A$5,D9595&gt;=$G$6,'calculated data '!$A$6)</f>
        <v>High Demand Tier</v>
      </c>
      <c r="F9595" s="10">
        <f t="shared" si="1"/>
        <v>0.6023283915</v>
      </c>
    </row>
    <row r="9596" ht="14.25" customHeight="1">
      <c r="A9596" s="2" t="s">
        <v>445</v>
      </c>
      <c r="B9596" s="2" t="s">
        <v>446</v>
      </c>
      <c r="C9596" s="2">
        <v>1978.0</v>
      </c>
      <c r="D9596" s="9">
        <v>47823.02</v>
      </c>
      <c r="E9596" s="10" t="str">
        <f t="array" ref="E9596">IFS(D9596&lt;=$G$3,'calculated data '!$A$3,D9596&lt;=$G$4,'calculated data '!$A$4,D9596&lt;=$G$6,'calculated data '!$A$5,D9596&gt;=$G$6,'calculated data '!$A$6)</f>
        <v>High Demand Tier</v>
      </c>
      <c r="F9596" s="10">
        <f t="shared" si="1"/>
        <v>0.6026919535</v>
      </c>
    </row>
    <row r="9597" ht="14.25" customHeight="1">
      <c r="A9597" s="2" t="s">
        <v>381</v>
      </c>
      <c r="B9597" s="2" t="s">
        <v>382</v>
      </c>
      <c r="C9597" s="2">
        <v>2014.0</v>
      </c>
      <c r="D9597" s="9">
        <v>47838.49</v>
      </c>
      <c r="E9597" s="10" t="str">
        <f t="array" ref="E9597">IFS(D9597&lt;=$G$3,'calculated data '!$A$3,D9597&lt;=$G$4,'calculated data '!$A$4,D9597&lt;=$G$6,'calculated data '!$A$5,D9597&gt;=$G$6,'calculated data '!$A$6)</f>
        <v>High Demand Tier</v>
      </c>
      <c r="F9597" s="10">
        <f t="shared" si="1"/>
        <v>0.6031014406</v>
      </c>
    </row>
    <row r="9598" ht="14.25" customHeight="1">
      <c r="A9598" s="2" t="s">
        <v>473</v>
      </c>
      <c r="B9598" s="2" t="s">
        <v>474</v>
      </c>
      <c r="C9598" s="2">
        <v>1965.0</v>
      </c>
      <c r="D9598" s="9">
        <v>47843.62</v>
      </c>
      <c r="E9598" s="10" t="str">
        <f t="array" ref="E9598">IFS(D9598&lt;=$G$3,'calculated data '!$A$3,D9598&lt;=$G$4,'calculated data '!$A$4,D9598&lt;=$G$6,'calculated data '!$A$5,D9598&gt;=$G$6,'calculated data '!$A$6)</f>
        <v>High Demand Tier</v>
      </c>
      <c r="F9598" s="10">
        <f t="shared" si="1"/>
        <v>0.6032372304</v>
      </c>
    </row>
    <row r="9599" ht="14.25" customHeight="1">
      <c r="A9599" s="2" t="s">
        <v>397</v>
      </c>
      <c r="B9599" s="2" t="s">
        <v>398</v>
      </c>
      <c r="C9599" s="2">
        <v>1978.0</v>
      </c>
      <c r="D9599" s="9">
        <v>47844.676</v>
      </c>
      <c r="E9599" s="10" t="str">
        <f t="array" ref="E9599">IFS(D9599&lt;=$G$3,'calculated data '!$A$3,D9599&lt;=$G$4,'calculated data '!$A$4,D9599&lt;=$G$6,'calculated data '!$A$5,D9599&gt;=$G$6,'calculated data '!$A$6)</f>
        <v>High Demand Tier</v>
      </c>
      <c r="F9599" s="10">
        <f t="shared" si="1"/>
        <v>0.6032651825</v>
      </c>
    </row>
    <row r="9600" ht="14.25" customHeight="1">
      <c r="A9600" s="2" t="s">
        <v>267</v>
      </c>
      <c r="B9600" s="2" t="s">
        <v>268</v>
      </c>
      <c r="C9600" s="2">
        <v>2013.0</v>
      </c>
      <c r="D9600" s="9">
        <v>47845.586</v>
      </c>
      <c r="E9600" s="10" t="str">
        <f t="array" ref="E9600">IFS(D9600&lt;=$G$3,'calculated data '!$A$3,D9600&lt;=$G$4,'calculated data '!$A$4,D9600&lt;=$G$6,'calculated data '!$A$5,D9600&gt;=$G$6,'calculated data '!$A$6)</f>
        <v>High Demand Tier</v>
      </c>
      <c r="F9600" s="10">
        <f t="shared" si="1"/>
        <v>0.6032892699</v>
      </c>
    </row>
    <row r="9601" ht="14.25" customHeight="1">
      <c r="A9601" s="2" t="s">
        <v>403</v>
      </c>
      <c r="B9601" s="2" t="s">
        <v>404</v>
      </c>
      <c r="C9601" s="2">
        <v>2003.0</v>
      </c>
      <c r="D9601" s="9">
        <v>47864.055</v>
      </c>
      <c r="E9601" s="10" t="str">
        <f t="array" ref="E9601">IFS(D9601&lt;=$G$3,'calculated data '!$A$3,D9601&lt;=$G$4,'calculated data '!$A$4,D9601&lt;=$G$6,'calculated data '!$A$5,D9601&gt;=$G$6,'calculated data '!$A$6)</f>
        <v>High Demand Tier</v>
      </c>
      <c r="F9601" s="10">
        <f t="shared" si="1"/>
        <v>0.6037781398</v>
      </c>
    </row>
    <row r="9602" ht="14.25" customHeight="1">
      <c r="A9602" s="2" t="s">
        <v>461</v>
      </c>
      <c r="B9602" s="2" t="s">
        <v>462</v>
      </c>
      <c r="C9602" s="2">
        <v>2025.0</v>
      </c>
      <c r="D9602" s="9">
        <v>47910.195</v>
      </c>
      <c r="E9602" s="10" t="str">
        <f t="array" ref="E9602">IFS(D9602&lt;=$G$3,'calculated data '!$A$3,D9602&lt;=$G$4,'calculated data '!$A$4,D9602&lt;=$G$6,'calculated data '!$A$5,D9602&gt;=$G$6,'calculated data '!$A$6)</f>
        <v>High Demand Tier</v>
      </c>
      <c r="F9602" s="10">
        <f t="shared" si="1"/>
        <v>0.6049994541</v>
      </c>
    </row>
    <row r="9603" ht="14.25" customHeight="1">
      <c r="A9603" s="2" t="s">
        <v>437</v>
      </c>
      <c r="B9603" s="2" t="s">
        <v>438</v>
      </c>
      <c r="C9603" s="2">
        <v>2007.0</v>
      </c>
      <c r="D9603" s="9">
        <v>47921.312</v>
      </c>
      <c r="E9603" s="10" t="str">
        <f t="array" ref="E9603">IFS(D9603&lt;=$G$3,'calculated data '!$A$3,D9603&lt;=$G$4,'calculated data '!$A$4,D9603&lt;=$G$6,'calculated data '!$A$5,D9603&gt;=$G$6,'calculated data '!$A$6)</f>
        <v>High Demand Tier</v>
      </c>
      <c r="F9603" s="10">
        <f t="shared" si="1"/>
        <v>0.6052937183</v>
      </c>
    </row>
    <row r="9604" ht="14.25" customHeight="1">
      <c r="A9604" s="2" t="s">
        <v>369</v>
      </c>
      <c r="B9604" s="2" t="s">
        <v>370</v>
      </c>
      <c r="C9604" s="2">
        <v>1999.0</v>
      </c>
      <c r="D9604" s="9">
        <v>47947.117</v>
      </c>
      <c r="E9604" s="10" t="str">
        <f t="array" ref="E9604">IFS(D9604&lt;=$G$3,'calculated data '!$A$3,D9604&lt;=$G$4,'calculated data '!$A$4,D9604&lt;=$G$6,'calculated data '!$A$5,D9604&gt;=$G$6,'calculated data '!$A$6)</f>
        <v>High Demand Tier</v>
      </c>
      <c r="F9604" s="10">
        <f t="shared" si="1"/>
        <v>0.6059767702</v>
      </c>
    </row>
    <row r="9605" ht="14.25" customHeight="1">
      <c r="A9605" s="2" t="s">
        <v>473</v>
      </c>
      <c r="B9605" s="2" t="s">
        <v>474</v>
      </c>
      <c r="C9605" s="2">
        <v>2011.0</v>
      </c>
      <c r="D9605" s="9">
        <v>47953.062</v>
      </c>
      <c r="E9605" s="10" t="str">
        <f t="array" ref="E9605">IFS(D9605&lt;=$G$3,'calculated data '!$A$3,D9605&lt;=$G$4,'calculated data '!$A$4,D9605&lt;=$G$6,'calculated data '!$A$5,D9605&gt;=$G$6,'calculated data '!$A$6)</f>
        <v>High Demand Tier</v>
      </c>
      <c r="F9605" s="10">
        <f t="shared" si="1"/>
        <v>0.6061341329</v>
      </c>
    </row>
    <row r="9606" ht="14.25" customHeight="1">
      <c r="A9606" s="2" t="s">
        <v>437</v>
      </c>
      <c r="B9606" s="2" t="s">
        <v>438</v>
      </c>
      <c r="C9606" s="2">
        <v>2008.0</v>
      </c>
      <c r="D9606" s="9">
        <v>47961.637</v>
      </c>
      <c r="E9606" s="10" t="str">
        <f t="array" ref="E9606">IFS(D9606&lt;=$G$3,'calculated data '!$A$3,D9606&lt;=$G$4,'calculated data '!$A$4,D9606&lt;=$G$6,'calculated data '!$A$5,D9606&gt;=$G$6,'calculated data '!$A$6)</f>
        <v>High Demand Tier</v>
      </c>
      <c r="F9606" s="10">
        <f t="shared" si="1"/>
        <v>0.606361111</v>
      </c>
    </row>
    <row r="9607" ht="14.25" customHeight="1">
      <c r="A9607" s="2" t="s">
        <v>439</v>
      </c>
      <c r="B9607" s="2" t="s">
        <v>440</v>
      </c>
      <c r="C9607" s="2">
        <v>1995.0</v>
      </c>
      <c r="D9607" s="9">
        <v>47966.137</v>
      </c>
      <c r="E9607" s="10" t="str">
        <f t="array" ref="E9607">IFS(D9607&lt;=$G$3,'calculated data '!$A$3,D9607&lt;=$G$4,'calculated data '!$A$4,D9607&lt;=$G$6,'calculated data '!$A$5,D9607&gt;=$G$6,'calculated data '!$A$6)</f>
        <v>High Demand Tier</v>
      </c>
      <c r="F9607" s="10">
        <f t="shared" si="1"/>
        <v>0.6064802249</v>
      </c>
    </row>
    <row r="9608" ht="14.25" customHeight="1">
      <c r="A9608" s="2" t="s">
        <v>465</v>
      </c>
      <c r="B9608" s="2" t="s">
        <v>466</v>
      </c>
      <c r="C9608" s="2">
        <v>1993.0</v>
      </c>
      <c r="D9608" s="9">
        <v>47987.754</v>
      </c>
      <c r="E9608" s="10" t="str">
        <f t="array" ref="E9608">IFS(D9608&lt;=$G$3,'calculated data '!$A$3,D9608&lt;=$G$4,'calculated data '!$A$4,D9608&lt;=$G$6,'calculated data '!$A$5,D9608&gt;=$G$6,'calculated data '!$A$6)</f>
        <v>High Demand Tier</v>
      </c>
      <c r="F9608" s="10">
        <f t="shared" si="1"/>
        <v>0.6070524215</v>
      </c>
    </row>
    <row r="9609" ht="14.25" customHeight="1">
      <c r="A9609" s="2" t="s">
        <v>307</v>
      </c>
      <c r="B9609" s="2" t="s">
        <v>308</v>
      </c>
      <c r="C9609" s="2">
        <v>2014.0</v>
      </c>
      <c r="D9609" s="9">
        <v>47990.926</v>
      </c>
      <c r="E9609" s="10" t="str">
        <f t="array" ref="E9609">IFS(D9609&lt;=$G$3,'calculated data '!$A$3,D9609&lt;=$G$4,'calculated data '!$A$4,D9609&lt;=$G$6,'calculated data '!$A$5,D9609&gt;=$G$6,'calculated data '!$A$6)</f>
        <v>High Demand Tier</v>
      </c>
      <c r="F9609" s="10">
        <f t="shared" si="1"/>
        <v>0.6071363835</v>
      </c>
    </row>
    <row r="9610" ht="14.25" customHeight="1">
      <c r="A9610" s="2" t="s">
        <v>449</v>
      </c>
      <c r="B9610" s="2" t="s">
        <v>450</v>
      </c>
      <c r="C9610" s="2">
        <v>2024.0</v>
      </c>
      <c r="D9610" s="9">
        <v>48007.15</v>
      </c>
      <c r="E9610" s="10" t="str">
        <f t="array" ref="E9610">IFS(D9610&lt;=$G$3,'calculated data '!$A$3,D9610&lt;=$G$4,'calculated data '!$A$4,D9610&lt;=$G$6,'calculated data '!$A$5,D9610&gt;=$G$6,'calculated data '!$A$6)</f>
        <v>High Demand Tier</v>
      </c>
      <c r="F9610" s="10">
        <f t="shared" si="1"/>
        <v>0.6075658288</v>
      </c>
    </row>
    <row r="9611" ht="14.25" customHeight="1">
      <c r="A9611" s="2" t="s">
        <v>381</v>
      </c>
      <c r="B9611" s="2" t="s">
        <v>382</v>
      </c>
      <c r="C9611" s="2">
        <v>2022.0</v>
      </c>
      <c r="D9611" s="9">
        <v>48011.98</v>
      </c>
      <c r="E9611" s="10" t="str">
        <f t="array" ref="E9611">IFS(D9611&lt;=$G$3,'calculated data '!$A$3,D9611&lt;=$G$4,'calculated data '!$A$4,D9611&lt;=$G$6,'calculated data '!$A$5,D9611&gt;=$G$6,'calculated data '!$A$6)</f>
        <v>High Demand Tier</v>
      </c>
      <c r="F9611" s="10">
        <f t="shared" si="1"/>
        <v>0.6076936777</v>
      </c>
    </row>
    <row r="9612" ht="14.25" customHeight="1">
      <c r="A9612" s="2" t="s">
        <v>461</v>
      </c>
      <c r="B9612" s="2" t="s">
        <v>462</v>
      </c>
      <c r="C9612" s="2">
        <v>2024.0</v>
      </c>
      <c r="D9612" s="9">
        <v>48020.12</v>
      </c>
      <c r="E9612" s="10" t="str">
        <f t="array" ref="E9612">IFS(D9612&lt;=$G$3,'calculated data '!$A$3,D9612&lt;=$G$4,'calculated data '!$A$4,D9612&lt;=$G$6,'calculated data '!$A$5,D9612&gt;=$G$6,'calculated data '!$A$6)</f>
        <v>High Demand Tier</v>
      </c>
      <c r="F9612" s="10">
        <f t="shared" si="1"/>
        <v>0.6079091414</v>
      </c>
    </row>
    <row r="9613" ht="14.25" customHeight="1">
      <c r="A9613" s="2" t="s">
        <v>369</v>
      </c>
      <c r="B9613" s="2" t="s">
        <v>370</v>
      </c>
      <c r="C9613" s="2">
        <v>2002.0</v>
      </c>
      <c r="D9613" s="9">
        <v>48037.723</v>
      </c>
      <c r="E9613" s="10" t="str">
        <f t="array" ref="E9613">IFS(D9613&lt;=$G$3,'calculated data '!$A$3,D9613&lt;=$G$4,'calculated data '!$A$4,D9613&lt;=$G$6,'calculated data '!$A$5,D9613&gt;=$G$6,'calculated data '!$A$6)</f>
        <v>High Demand Tier</v>
      </c>
      <c r="F9613" s="10">
        <f t="shared" si="1"/>
        <v>0.6083750885</v>
      </c>
    </row>
    <row r="9614" ht="14.25" customHeight="1">
      <c r="A9614" s="2" t="s">
        <v>479</v>
      </c>
      <c r="B9614" s="2" t="s">
        <v>480</v>
      </c>
      <c r="C9614" s="2">
        <v>2001.0</v>
      </c>
      <c r="D9614" s="9">
        <v>48049.445</v>
      </c>
      <c r="E9614" s="10" t="str">
        <f t="array" ref="E9614">IFS(D9614&lt;=$G$3,'calculated data '!$A$3,D9614&lt;=$G$4,'calculated data '!$A$4,D9614&lt;=$G$6,'calculated data '!$A$5,D9614&gt;=$G$6,'calculated data '!$A$6)</f>
        <v>High Demand Tier</v>
      </c>
      <c r="F9614" s="10">
        <f t="shared" si="1"/>
        <v>0.6086853669</v>
      </c>
    </row>
    <row r="9615" ht="14.25" customHeight="1">
      <c r="A9615" s="2" t="s">
        <v>473</v>
      </c>
      <c r="B9615" s="2" t="s">
        <v>474</v>
      </c>
      <c r="C9615" s="2">
        <v>1966.0</v>
      </c>
      <c r="D9615" s="9">
        <v>48085.043</v>
      </c>
      <c r="E9615" s="10" t="str">
        <f t="array" ref="E9615">IFS(D9615&lt;=$G$3,'calculated data '!$A$3,D9615&lt;=$G$4,'calculated data '!$A$4,D9615&lt;=$G$6,'calculated data '!$A$5,D9615&gt;=$G$6,'calculated data '!$A$6)</f>
        <v>High Demand Tier</v>
      </c>
      <c r="F9615" s="10">
        <f t="shared" si="1"/>
        <v>0.6096276371</v>
      </c>
    </row>
    <row r="9616" ht="14.25" customHeight="1">
      <c r="A9616" s="2" t="s">
        <v>381</v>
      </c>
      <c r="B9616" s="2" t="s">
        <v>382</v>
      </c>
      <c r="C9616" s="2">
        <v>2019.0</v>
      </c>
      <c r="D9616" s="9">
        <v>48099.56</v>
      </c>
      <c r="E9616" s="10" t="str">
        <f t="array" ref="E9616">IFS(D9616&lt;=$G$3,'calculated data '!$A$3,D9616&lt;=$G$4,'calculated data '!$A$4,D9616&lt;=$G$6,'calculated data '!$A$5,D9616&gt;=$G$6,'calculated data '!$A$6)</f>
        <v>High Demand Tier</v>
      </c>
      <c r="F9616" s="10">
        <f t="shared" si="1"/>
        <v>0.6100118985</v>
      </c>
    </row>
    <row r="9617" ht="14.25" customHeight="1">
      <c r="A9617" s="2" t="s">
        <v>479</v>
      </c>
      <c r="B9617" s="2" t="s">
        <v>480</v>
      </c>
      <c r="C9617" s="2">
        <v>2002.0</v>
      </c>
      <c r="D9617" s="9">
        <v>48108.12</v>
      </c>
      <c r="E9617" s="10" t="str">
        <f t="array" ref="E9617">IFS(D9617&lt;=$G$3,'calculated data '!$A$3,D9617&lt;=$G$4,'calculated data '!$A$4,D9617&lt;=$G$6,'calculated data '!$A$5,D9617&gt;=$G$6,'calculated data '!$A$6)</f>
        <v>High Demand Tier</v>
      </c>
      <c r="F9617" s="10">
        <f t="shared" si="1"/>
        <v>0.6102384795</v>
      </c>
    </row>
    <row r="9618" ht="14.25" customHeight="1">
      <c r="A9618" s="2" t="s">
        <v>391</v>
      </c>
      <c r="B9618" s="2" t="s">
        <v>392</v>
      </c>
      <c r="C9618" s="2">
        <v>2023.0</v>
      </c>
      <c r="D9618" s="9">
        <v>48111.23</v>
      </c>
      <c r="E9618" s="10" t="str">
        <f t="array" ref="E9618">IFS(D9618&lt;=$G$3,'calculated data '!$A$3,D9618&lt;=$G$4,'calculated data '!$A$4,D9618&lt;=$G$6,'calculated data '!$A$5,D9618&gt;=$G$6,'calculated data '!$A$6)</f>
        <v>High Demand Tier</v>
      </c>
      <c r="F9618" s="10">
        <f t="shared" si="1"/>
        <v>0.6103208004</v>
      </c>
    </row>
    <row r="9619" ht="14.25" customHeight="1">
      <c r="A9619" s="2" t="s">
        <v>407</v>
      </c>
      <c r="B9619" s="2" t="s">
        <v>408</v>
      </c>
      <c r="C9619" s="2">
        <v>1992.0</v>
      </c>
      <c r="D9619" s="9">
        <v>48124.75</v>
      </c>
      <c r="E9619" s="10" t="str">
        <f t="array" ref="E9619">IFS(D9619&lt;=$G$3,'calculated data '!$A$3,D9619&lt;=$G$4,'calculated data '!$A$4,D9619&lt;=$G$6,'calculated data '!$A$5,D9619&gt;=$G$6,'calculated data '!$A$6)</f>
        <v>High Demand Tier</v>
      </c>
      <c r="F9619" s="10">
        <f t="shared" si="1"/>
        <v>0.6106786715</v>
      </c>
    </row>
    <row r="9620" ht="14.25" customHeight="1">
      <c r="A9620" s="2" t="s">
        <v>381</v>
      </c>
      <c r="B9620" s="2" t="s">
        <v>382</v>
      </c>
      <c r="C9620" s="2">
        <v>2023.0</v>
      </c>
      <c r="D9620" s="9">
        <v>48129.91</v>
      </c>
      <c r="E9620" s="10" t="str">
        <f t="array" ref="E9620">IFS(D9620&lt;=$G$3,'calculated data '!$A$3,D9620&lt;=$G$4,'calculated data '!$A$4,D9620&lt;=$G$6,'calculated data '!$A$5,D9620&gt;=$G$6,'calculated data '!$A$6)</f>
        <v>High Demand Tier</v>
      </c>
      <c r="F9620" s="10">
        <f t="shared" si="1"/>
        <v>0.6108152554</v>
      </c>
    </row>
    <row r="9621" ht="14.25" customHeight="1">
      <c r="A9621" s="2" t="s">
        <v>479</v>
      </c>
      <c r="B9621" s="2" t="s">
        <v>480</v>
      </c>
      <c r="C9621" s="2">
        <v>1996.0</v>
      </c>
      <c r="D9621" s="9">
        <v>48164.61</v>
      </c>
      <c r="E9621" s="10" t="str">
        <f t="array" ref="E9621">IFS(D9621&lt;=$G$3,'calculated data '!$A$3,D9621&lt;=$G$4,'calculated data '!$A$4,D9621&lt;=$G$6,'calculated data '!$A$5,D9621&gt;=$G$6,'calculated data '!$A$6)</f>
        <v>High Demand Tier</v>
      </c>
      <c r="F9621" s="10">
        <f t="shared" si="1"/>
        <v>0.6117337557</v>
      </c>
    </row>
    <row r="9622" ht="14.25" customHeight="1">
      <c r="A9622" s="2" t="s">
        <v>369</v>
      </c>
      <c r="B9622" s="2" t="s">
        <v>370</v>
      </c>
      <c r="C9622" s="2">
        <v>2001.0</v>
      </c>
      <c r="D9622" s="9">
        <v>48165.773</v>
      </c>
      <c r="E9622" s="10" t="str">
        <f t="array" ref="E9622">IFS(D9622&lt;=$G$3,'calculated data '!$A$3,D9622&lt;=$G$4,'calculated data '!$A$4,D9622&lt;=$G$6,'calculated data '!$A$5,D9622&gt;=$G$6,'calculated data '!$A$6)</f>
        <v>High Demand Tier</v>
      </c>
      <c r="F9622" s="10">
        <f t="shared" si="1"/>
        <v>0.6117645401</v>
      </c>
    </row>
    <row r="9623" ht="14.25" customHeight="1">
      <c r="A9623" s="2" t="s">
        <v>459</v>
      </c>
      <c r="B9623" s="2" t="s">
        <v>460</v>
      </c>
      <c r="C9623" s="2">
        <v>1994.0</v>
      </c>
      <c r="D9623" s="9">
        <v>48202.65</v>
      </c>
      <c r="E9623" s="10" t="str">
        <f t="array" ref="E9623">IFS(D9623&lt;=$G$3,'calculated data '!$A$3,D9623&lt;=$G$4,'calculated data '!$A$4,D9623&lt;=$G$6,'calculated data '!$A$5,D9623&gt;=$G$6,'calculated data '!$A$6)</f>
        <v>High Demand Tier</v>
      </c>
      <c r="F9623" s="10">
        <f t="shared" si="1"/>
        <v>0.6127406651</v>
      </c>
    </row>
    <row r="9624" ht="14.25" customHeight="1">
      <c r="A9624" s="2" t="s">
        <v>441</v>
      </c>
      <c r="B9624" s="2" t="s">
        <v>442</v>
      </c>
      <c r="C9624" s="2">
        <v>2018.0</v>
      </c>
      <c r="D9624" s="9">
        <v>48226.645</v>
      </c>
      <c r="E9624" s="10" t="str">
        <f t="array" ref="E9624">IFS(D9624&lt;=$G$3,'calculated data '!$A$3,D9624&lt;=$G$4,'calculated data '!$A$4,D9624&lt;=$G$6,'calculated data '!$A$5,D9624&gt;=$G$6,'calculated data '!$A$6)</f>
        <v>High Demand Tier</v>
      </c>
      <c r="F9624" s="10">
        <f t="shared" si="1"/>
        <v>0.6133758067</v>
      </c>
    </row>
    <row r="9625" ht="14.25" customHeight="1">
      <c r="A9625" s="2" t="s">
        <v>369</v>
      </c>
      <c r="B9625" s="2" t="s">
        <v>370</v>
      </c>
      <c r="C9625" s="2">
        <v>1997.0</v>
      </c>
      <c r="D9625" s="9">
        <v>48237.668</v>
      </c>
      <c r="E9625" s="10" t="str">
        <f t="array" ref="E9625">IFS(D9625&lt;=$G$3,'calculated data '!$A$3,D9625&lt;=$G$4,'calculated data '!$A$4,D9625&lt;=$G$6,'calculated data '!$A$5,D9625&gt;=$G$6,'calculated data '!$A$6)</f>
        <v>High Demand Tier</v>
      </c>
      <c r="F9625" s="10">
        <f t="shared" si="1"/>
        <v>0.6136675828</v>
      </c>
    </row>
    <row r="9626" ht="14.25" customHeight="1">
      <c r="A9626" s="2" t="s">
        <v>309</v>
      </c>
      <c r="B9626" s="2" t="s">
        <v>310</v>
      </c>
      <c r="C9626" s="2">
        <v>2017.0</v>
      </c>
      <c r="D9626" s="9">
        <v>48263.875</v>
      </c>
      <c r="E9626" s="10" t="str">
        <f t="array" ref="E9626">IFS(D9626&lt;=$G$3,'calculated data '!$A$3,D9626&lt;=$G$4,'calculated data '!$A$4,D9626&lt;=$G$6,'calculated data '!$A$5,D9626&gt;=$G$6,'calculated data '!$A$6)</f>
        <v>High Demand Tier</v>
      </c>
      <c r="F9626" s="10">
        <f t="shared" si="1"/>
        <v>0.6143612756</v>
      </c>
    </row>
    <row r="9627" ht="14.25" customHeight="1">
      <c r="A9627" s="2" t="s">
        <v>473</v>
      </c>
      <c r="B9627" s="2" t="s">
        <v>474</v>
      </c>
      <c r="C9627" s="2">
        <v>1992.0</v>
      </c>
      <c r="D9627" s="9">
        <v>48268.29</v>
      </c>
      <c r="E9627" s="10" t="str">
        <f t="array" ref="E9627">IFS(D9627&lt;=$G$3,'calculated data '!$A$3,D9627&lt;=$G$4,'calculated data '!$A$4,D9627&lt;=$G$6,'calculated data '!$A$5,D9627&gt;=$G$6,'calculated data '!$A$6)</f>
        <v>High Demand Tier</v>
      </c>
      <c r="F9627" s="10">
        <f t="shared" si="1"/>
        <v>0.6144781395</v>
      </c>
    </row>
    <row r="9628" ht="14.25" customHeight="1">
      <c r="A9628" s="2" t="s">
        <v>459</v>
      </c>
      <c r="B9628" s="2" t="s">
        <v>460</v>
      </c>
      <c r="C9628" s="2">
        <v>1995.0</v>
      </c>
      <c r="D9628" s="9">
        <v>48269.29</v>
      </c>
      <c r="E9628" s="10" t="str">
        <f t="array" ref="E9628">IFS(D9628&lt;=$G$3,'calculated data '!$A$3,D9628&lt;=$G$4,'calculated data '!$A$4,D9628&lt;=$G$6,'calculated data '!$A$5,D9628&gt;=$G$6,'calculated data '!$A$6)</f>
        <v>High Demand Tier</v>
      </c>
      <c r="F9628" s="10">
        <f t="shared" si="1"/>
        <v>0.6145046093</v>
      </c>
    </row>
    <row r="9629" ht="14.25" customHeight="1">
      <c r="A9629" s="2" t="s">
        <v>453</v>
      </c>
      <c r="B9629" s="2" t="s">
        <v>454</v>
      </c>
      <c r="C9629" s="2">
        <v>2018.0</v>
      </c>
      <c r="D9629" s="9">
        <v>48272.24</v>
      </c>
      <c r="E9629" s="10" t="str">
        <f t="array" ref="E9629">IFS(D9629&lt;=$G$3,'calculated data '!$A$3,D9629&lt;=$G$4,'calculated data '!$A$4,D9629&lt;=$G$6,'calculated data '!$A$5,D9629&gt;=$G$6,'calculated data '!$A$6)</f>
        <v>High Demand Tier</v>
      </c>
      <c r="F9629" s="10">
        <f t="shared" si="1"/>
        <v>0.614582695</v>
      </c>
    </row>
    <row r="9630" ht="14.25" customHeight="1">
      <c r="A9630" s="2" t="s">
        <v>459</v>
      </c>
      <c r="B9630" s="2" t="s">
        <v>460</v>
      </c>
      <c r="C9630" s="2">
        <v>2004.0</v>
      </c>
      <c r="D9630" s="9">
        <v>48282.508</v>
      </c>
      <c r="E9630" s="10" t="str">
        <f t="array" ref="E9630">IFS(D9630&lt;=$G$3,'calculated data '!$A$3,D9630&lt;=$G$4,'calculated data '!$A$4,D9630&lt;=$G$6,'calculated data '!$A$5,D9630&gt;=$G$6,'calculated data '!$A$6)</f>
        <v>High Demand Tier</v>
      </c>
      <c r="F9630" s="10">
        <f t="shared" si="1"/>
        <v>0.6148544864</v>
      </c>
    </row>
    <row r="9631" ht="14.25" customHeight="1">
      <c r="A9631" s="2" t="s">
        <v>459</v>
      </c>
      <c r="B9631" s="2" t="s">
        <v>460</v>
      </c>
      <c r="C9631" s="2">
        <v>1999.0</v>
      </c>
      <c r="D9631" s="9">
        <v>48293.395</v>
      </c>
      <c r="E9631" s="10" t="str">
        <f t="array" ref="E9631">IFS(D9631&lt;=$G$3,'calculated data '!$A$3,D9631&lt;=$G$4,'calculated data '!$A$4,D9631&lt;=$G$6,'calculated data '!$A$5,D9631&gt;=$G$6,'calculated data '!$A$6)</f>
        <v>High Demand Tier</v>
      </c>
      <c r="F9631" s="10">
        <f t="shared" si="1"/>
        <v>0.6151426626</v>
      </c>
    </row>
    <row r="9632" ht="14.25" customHeight="1">
      <c r="A9632" s="2" t="s">
        <v>459</v>
      </c>
      <c r="B9632" s="2" t="s">
        <v>460</v>
      </c>
      <c r="C9632" s="2">
        <v>2000.0</v>
      </c>
      <c r="D9632" s="9">
        <v>48326.883</v>
      </c>
      <c r="E9632" s="10" t="str">
        <f t="array" ref="E9632">IFS(D9632&lt;=$G$3,'calculated data '!$A$3,D9632&lt;=$G$4,'calculated data '!$A$4,D9632&lt;=$G$6,'calculated data '!$A$5,D9632&gt;=$G$6,'calculated data '!$A$6)</f>
        <v>High Demand Tier</v>
      </c>
      <c r="F9632" s="10">
        <f t="shared" si="1"/>
        <v>0.6160290816</v>
      </c>
    </row>
    <row r="9633" ht="14.25" customHeight="1">
      <c r="A9633" s="2" t="s">
        <v>381</v>
      </c>
      <c r="B9633" s="2" t="s">
        <v>382</v>
      </c>
      <c r="C9633" s="2">
        <v>2024.0</v>
      </c>
      <c r="D9633" s="9">
        <v>48337.336</v>
      </c>
      <c r="E9633" s="10" t="str">
        <f t="array" ref="E9633">IFS(D9633&lt;=$G$3,'calculated data '!$A$3,D9633&lt;=$G$4,'calculated data '!$A$4,D9633&lt;=$G$6,'calculated data '!$A$5,D9633&gt;=$G$6,'calculated data '!$A$6)</f>
        <v>High Demand Tier</v>
      </c>
      <c r="F9633" s="10">
        <f t="shared" si="1"/>
        <v>0.61630577</v>
      </c>
    </row>
    <row r="9634" ht="14.25" customHeight="1">
      <c r="A9634" s="2" t="s">
        <v>367</v>
      </c>
      <c r="B9634" s="2" t="s">
        <v>368</v>
      </c>
      <c r="C9634" s="2">
        <v>1992.0</v>
      </c>
      <c r="D9634" s="9">
        <v>48340.34</v>
      </c>
      <c r="E9634" s="10" t="str">
        <f t="array" ref="E9634">IFS(D9634&lt;=$G$3,'calculated data '!$A$3,D9634&lt;=$G$4,'calculated data '!$A$4,D9634&lt;=$G$6,'calculated data '!$A$5,D9634&gt;=$G$6,'calculated data '!$A$6)</f>
        <v>High Demand Tier</v>
      </c>
      <c r="F9634" s="10">
        <f t="shared" si="1"/>
        <v>0.6163852851</v>
      </c>
    </row>
    <row r="9635" ht="14.25" customHeight="1">
      <c r="A9635" s="2" t="s">
        <v>369</v>
      </c>
      <c r="B9635" s="2" t="s">
        <v>370</v>
      </c>
      <c r="C9635" s="2">
        <v>2004.0</v>
      </c>
      <c r="D9635" s="9">
        <v>48350.074</v>
      </c>
      <c r="E9635" s="10" t="str">
        <f t="array" ref="E9635">IFS(D9635&lt;=$G$3,'calculated data '!$A$3,D9635&lt;=$G$4,'calculated data '!$A$4,D9635&lt;=$G$6,'calculated data '!$A$5,D9635&gt;=$G$6,'calculated data '!$A$6)</f>
        <v>High Demand Tier</v>
      </c>
      <c r="F9635" s="10">
        <f t="shared" si="1"/>
        <v>0.6166429416</v>
      </c>
    </row>
    <row r="9636" ht="14.25" customHeight="1">
      <c r="A9636" s="2" t="s">
        <v>433</v>
      </c>
      <c r="B9636" s="2" t="s">
        <v>434</v>
      </c>
      <c r="C9636" s="2">
        <v>1993.0</v>
      </c>
      <c r="D9636" s="9">
        <v>48399.36</v>
      </c>
      <c r="E9636" s="10" t="str">
        <f t="array" ref="E9636">IFS(D9636&lt;=$G$3,'calculated data '!$A$3,D9636&lt;=$G$4,'calculated data '!$A$4,D9636&lt;=$G$6,'calculated data '!$A$5,D9636&gt;=$G$6,'calculated data '!$A$6)</f>
        <v>High Demand Tier</v>
      </c>
      <c r="F9636" s="10">
        <f t="shared" si="1"/>
        <v>0.6179475298</v>
      </c>
    </row>
    <row r="9637" ht="14.25" customHeight="1">
      <c r="A9637" s="2" t="s">
        <v>459</v>
      </c>
      <c r="B9637" s="2" t="s">
        <v>460</v>
      </c>
      <c r="C9637" s="2">
        <v>2002.0</v>
      </c>
      <c r="D9637" s="9">
        <v>48402.645</v>
      </c>
      <c r="E9637" s="10" t="str">
        <f t="array" ref="E9637">IFS(D9637&lt;=$G$3,'calculated data '!$A$3,D9637&lt;=$G$4,'calculated data '!$A$4,D9637&lt;=$G$6,'calculated data '!$A$5,D9637&gt;=$G$6,'calculated data '!$A$6)</f>
        <v>High Demand Tier</v>
      </c>
      <c r="F9637" s="10">
        <f t="shared" si="1"/>
        <v>0.6180344829</v>
      </c>
    </row>
    <row r="9638" ht="14.25" customHeight="1">
      <c r="A9638" s="2" t="s">
        <v>433</v>
      </c>
      <c r="B9638" s="2" t="s">
        <v>434</v>
      </c>
      <c r="C9638" s="2">
        <v>1992.0</v>
      </c>
      <c r="D9638" s="9">
        <v>48438.883</v>
      </c>
      <c r="E9638" s="10" t="str">
        <f t="array" ref="E9638">IFS(D9638&lt;=$G$3,'calculated data '!$A$3,D9638&lt;=$G$4,'calculated data '!$A$4,D9638&lt;=$G$6,'calculated data '!$A$5,D9638&gt;=$G$6,'calculated data '!$A$6)</f>
        <v>High Demand Tier</v>
      </c>
      <c r="F9638" s="10">
        <f t="shared" si="1"/>
        <v>0.6189936937</v>
      </c>
    </row>
    <row r="9639" ht="14.25" customHeight="1">
      <c r="A9639" s="2" t="s">
        <v>439</v>
      </c>
      <c r="B9639" s="2" t="s">
        <v>440</v>
      </c>
      <c r="C9639" s="2">
        <v>2022.0</v>
      </c>
      <c r="D9639" s="9">
        <v>48439.96</v>
      </c>
      <c r="E9639" s="10" t="str">
        <f t="array" ref="E9639">IFS(D9639&lt;=$G$3,'calculated data '!$A$3,D9639&lt;=$G$4,'calculated data '!$A$4,D9639&lt;=$G$6,'calculated data '!$A$5,D9639&gt;=$G$6,'calculated data '!$A$6)</f>
        <v>High Demand Tier</v>
      </c>
      <c r="F9639" s="10">
        <f t="shared" si="1"/>
        <v>0.6190222017</v>
      </c>
    </row>
    <row r="9640" ht="14.25" customHeight="1">
      <c r="A9640" s="2" t="s">
        <v>393</v>
      </c>
      <c r="B9640" s="2" t="s">
        <v>394</v>
      </c>
      <c r="C9640" s="2">
        <v>1987.0</v>
      </c>
      <c r="D9640" s="9">
        <v>48445.41</v>
      </c>
      <c r="E9640" s="10" t="str">
        <f t="array" ref="E9640">IFS(D9640&lt;=$G$3,'calculated data '!$A$3,D9640&lt;=$G$4,'calculated data '!$A$4,D9640&lt;=$G$6,'calculated data '!$A$5,D9640&gt;=$G$6,'calculated data '!$A$6)</f>
        <v>High Demand Tier</v>
      </c>
      <c r="F9640" s="10">
        <f t="shared" si="1"/>
        <v>0.6191664618</v>
      </c>
    </row>
    <row r="9641" ht="14.25" customHeight="1">
      <c r="A9641" s="2" t="s">
        <v>459</v>
      </c>
      <c r="B9641" s="2" t="s">
        <v>460</v>
      </c>
      <c r="C9641" s="2">
        <v>2003.0</v>
      </c>
      <c r="D9641" s="9">
        <v>48451.992</v>
      </c>
      <c r="E9641" s="10" t="str">
        <f t="array" ref="E9641">IFS(D9641&lt;=$G$3,'calculated data '!$A$3,D9641&lt;=$G$4,'calculated data '!$A$4,D9641&lt;=$G$6,'calculated data '!$A$5,D9641&gt;=$G$6,'calculated data '!$A$6)</f>
        <v>High Demand Tier</v>
      </c>
      <c r="F9641" s="10">
        <f t="shared" si="1"/>
        <v>0.6193406857</v>
      </c>
    </row>
    <row r="9642" ht="14.25" customHeight="1">
      <c r="A9642" s="2" t="s">
        <v>449</v>
      </c>
      <c r="B9642" s="2" t="s">
        <v>450</v>
      </c>
      <c r="C9642" s="2">
        <v>1980.0</v>
      </c>
      <c r="D9642" s="9">
        <v>48463.023</v>
      </c>
      <c r="E9642" s="10" t="str">
        <f t="array" ref="E9642">IFS(D9642&lt;=$G$3,'calculated data '!$A$3,D9642&lt;=$G$4,'calculated data '!$A$4,D9642&lt;=$G$6,'calculated data '!$A$5,D9642&gt;=$G$6,'calculated data '!$A$6)</f>
        <v>High Demand Tier</v>
      </c>
      <c r="F9642" s="10">
        <f t="shared" si="1"/>
        <v>0.6196326735</v>
      </c>
    </row>
    <row r="9643" ht="14.25" customHeight="1">
      <c r="A9643" s="2" t="s">
        <v>457</v>
      </c>
      <c r="B9643" s="2" t="s">
        <v>458</v>
      </c>
      <c r="C9643" s="2">
        <v>1979.0</v>
      </c>
      <c r="D9643" s="9">
        <v>48464.08</v>
      </c>
      <c r="E9643" s="10" t="str">
        <f t="array" ref="E9643">IFS(D9643&lt;=$G$3,'calculated data '!$A$3,D9643&lt;=$G$4,'calculated data '!$A$4,D9643&lt;=$G$6,'calculated data '!$A$5,D9643&gt;=$G$6,'calculated data '!$A$6)</f>
        <v>High Demand Tier</v>
      </c>
      <c r="F9643" s="10">
        <f t="shared" si="1"/>
        <v>0.6196606521</v>
      </c>
    </row>
    <row r="9644" ht="14.25" customHeight="1">
      <c r="A9644" s="2" t="s">
        <v>465</v>
      </c>
      <c r="B9644" s="2" t="s">
        <v>466</v>
      </c>
      <c r="C9644" s="2">
        <v>1986.0</v>
      </c>
      <c r="D9644" s="9">
        <v>48497.99</v>
      </c>
      <c r="E9644" s="10" t="str">
        <f t="array" ref="E9644">IFS(D9644&lt;=$G$3,'calculated data '!$A$3,D9644&lt;=$G$4,'calculated data '!$A$4,D9644&lt;=$G$6,'calculated data '!$A$5,D9644&gt;=$G$6,'calculated data '!$A$6)</f>
        <v>High Demand Tier</v>
      </c>
      <c r="F9644" s="10">
        <f t="shared" si="1"/>
        <v>0.6205582413</v>
      </c>
    </row>
    <row r="9645" ht="14.25" customHeight="1">
      <c r="A9645" s="2" t="s">
        <v>415</v>
      </c>
      <c r="B9645" s="2" t="s">
        <v>416</v>
      </c>
      <c r="C9645" s="2">
        <v>1972.0</v>
      </c>
      <c r="D9645" s="9">
        <v>48540.914</v>
      </c>
      <c r="E9645" s="10" t="str">
        <f t="array" ref="E9645">IFS(D9645&lt;=$G$3,'calculated data '!$A$3,D9645&lt;=$G$4,'calculated data '!$A$4,D9645&lt;=$G$6,'calculated data '!$A$5,D9645&gt;=$G$6,'calculated data '!$A$6)</f>
        <v>High Demand Tier</v>
      </c>
      <c r="F9645" s="10">
        <f t="shared" si="1"/>
        <v>0.6216944289</v>
      </c>
    </row>
    <row r="9646" ht="14.25" customHeight="1">
      <c r="A9646" s="2" t="s">
        <v>465</v>
      </c>
      <c r="B9646" s="2" t="s">
        <v>466</v>
      </c>
      <c r="C9646" s="2">
        <v>1987.0</v>
      </c>
      <c r="D9646" s="9">
        <v>48547.03</v>
      </c>
      <c r="E9646" s="10" t="str">
        <f t="array" ref="E9646">IFS(D9646&lt;=$G$3,'calculated data '!$A$3,D9646&lt;=$G$4,'calculated data '!$A$4,D9646&lt;=$G$6,'calculated data '!$A$5,D9646&gt;=$G$6,'calculated data '!$A$6)</f>
        <v>High Demand Tier</v>
      </c>
      <c r="F9646" s="10">
        <f t="shared" si="1"/>
        <v>0.6218563179</v>
      </c>
    </row>
    <row r="9647" ht="14.25" customHeight="1">
      <c r="A9647" s="2" t="s">
        <v>473</v>
      </c>
      <c r="B9647" s="2" t="s">
        <v>474</v>
      </c>
      <c r="C9647" s="2">
        <v>1996.0</v>
      </c>
      <c r="D9647" s="9">
        <v>48563.215</v>
      </c>
      <c r="E9647" s="10" t="str">
        <f t="array" ref="E9647">IFS(D9647&lt;=$G$3,'calculated data '!$A$3,D9647&lt;=$G$4,'calculated data '!$A$4,D9647&lt;=$G$6,'calculated data '!$A$5,D9647&gt;=$G$6,'calculated data '!$A$6)</f>
        <v>High Demand Tier</v>
      </c>
      <c r="F9647" s="10">
        <f t="shared" si="1"/>
        <v>0.6222847308</v>
      </c>
    </row>
    <row r="9648" ht="14.25" customHeight="1">
      <c r="A9648" s="2" t="s">
        <v>475</v>
      </c>
      <c r="B9648" s="2" t="s">
        <v>476</v>
      </c>
      <c r="C9648" s="2">
        <v>1971.0</v>
      </c>
      <c r="D9648" s="9">
        <v>48594.836</v>
      </c>
      <c r="E9648" s="10" t="str">
        <f t="array" ref="E9648">IFS(D9648&lt;=$G$3,'calculated data '!$A$3,D9648&lt;=$G$4,'calculated data '!$A$4,D9648&lt;=$G$6,'calculated data '!$A$5,D9648&gt;=$G$6,'calculated data '!$A$6)</f>
        <v>High Demand Tier</v>
      </c>
      <c r="F9648" s="10">
        <f t="shared" si="1"/>
        <v>0.6231217308</v>
      </c>
    </row>
    <row r="9649" ht="14.25" customHeight="1">
      <c r="A9649" s="2" t="s">
        <v>71</v>
      </c>
      <c r="B9649" s="2" t="s">
        <v>72</v>
      </c>
      <c r="C9649" s="2">
        <v>2000.0</v>
      </c>
      <c r="D9649" s="9">
        <v>48620.9</v>
      </c>
      <c r="E9649" s="10" t="str">
        <f t="array" ref="E9649">IFS(D9649&lt;=$G$3,'calculated data '!$A$3,D9649&lt;=$G$4,'calculated data '!$A$4,D9649&lt;=$G$6,'calculated data '!$A$5,D9649&gt;=$G$6,'calculated data '!$A$6)</f>
        <v>High Demand Tier</v>
      </c>
      <c r="F9649" s="10">
        <f t="shared" si="1"/>
        <v>0.6238116384</v>
      </c>
    </row>
    <row r="9650" ht="14.25" customHeight="1">
      <c r="A9650" s="2" t="s">
        <v>221</v>
      </c>
      <c r="B9650" s="2" t="s">
        <v>222</v>
      </c>
      <c r="C9650" s="2">
        <v>2000.0</v>
      </c>
      <c r="D9650" s="9">
        <v>48622.305</v>
      </c>
      <c r="E9650" s="10" t="str">
        <f t="array" ref="E9650">IFS(D9650&lt;=$G$3,'calculated data '!$A$3,D9650&lt;=$G$4,'calculated data '!$A$4,D9650&lt;=$G$6,'calculated data '!$A$5,D9650&gt;=$G$6,'calculated data '!$A$6)</f>
        <v>High Demand Tier</v>
      </c>
      <c r="F9650" s="10">
        <f t="shared" si="1"/>
        <v>0.6238488284</v>
      </c>
    </row>
    <row r="9651" ht="14.25" customHeight="1">
      <c r="A9651" s="2" t="s">
        <v>433</v>
      </c>
      <c r="B9651" s="2" t="s">
        <v>434</v>
      </c>
      <c r="C9651" s="2">
        <v>1991.0</v>
      </c>
      <c r="D9651" s="9">
        <v>48627.74</v>
      </c>
      <c r="E9651" s="10" t="str">
        <f t="array" ref="E9651">IFS(D9651&lt;=$G$3,'calculated data '!$A$3,D9651&lt;=$G$4,'calculated data '!$A$4,D9651&lt;=$G$6,'calculated data '!$A$5,D9651&gt;=$G$6,'calculated data '!$A$6)</f>
        <v>High Demand Tier</v>
      </c>
      <c r="F9651" s="10">
        <f t="shared" si="1"/>
        <v>0.6239926915</v>
      </c>
    </row>
    <row r="9652" ht="14.25" customHeight="1">
      <c r="A9652" s="2" t="s">
        <v>309</v>
      </c>
      <c r="B9652" s="2" t="s">
        <v>310</v>
      </c>
      <c r="C9652" s="2">
        <v>2018.0</v>
      </c>
      <c r="D9652" s="9">
        <v>48660.36</v>
      </c>
      <c r="E9652" s="10" t="str">
        <f t="array" ref="E9652">IFS(D9652&lt;=$G$3,'calculated data '!$A$3,D9652&lt;=$G$4,'calculated data '!$A$4,D9652&lt;=$G$6,'calculated data '!$A$5,D9652&gt;=$G$6,'calculated data '!$A$6)</f>
        <v>High Demand Tier</v>
      </c>
      <c r="F9652" s="10">
        <f t="shared" si="1"/>
        <v>0.6248561348</v>
      </c>
    </row>
    <row r="9653" ht="14.25" customHeight="1">
      <c r="A9653" s="2" t="s">
        <v>381</v>
      </c>
      <c r="B9653" s="2" t="s">
        <v>382</v>
      </c>
      <c r="C9653" s="2">
        <v>2006.0</v>
      </c>
      <c r="D9653" s="9">
        <v>48684.645</v>
      </c>
      <c r="E9653" s="10" t="str">
        <f t="array" ref="E9653">IFS(D9653&lt;=$G$3,'calculated data '!$A$3,D9653&lt;=$G$4,'calculated data '!$A$4,D9653&lt;=$G$6,'calculated data '!$A$5,D9653&gt;=$G$6,'calculated data '!$A$6)</f>
        <v>High Demand Tier</v>
      </c>
      <c r="F9653" s="10">
        <f t="shared" si="1"/>
        <v>0.6254989527</v>
      </c>
    </row>
    <row r="9654" ht="14.25" customHeight="1">
      <c r="A9654" s="2" t="s">
        <v>477</v>
      </c>
      <c r="B9654" s="2" t="s">
        <v>478</v>
      </c>
      <c r="C9654" s="2">
        <v>1968.0</v>
      </c>
      <c r="D9654" s="9">
        <v>48687.51</v>
      </c>
      <c r="E9654" s="10" t="str">
        <f t="array" ref="E9654">IFS(D9654&lt;=$G$3,'calculated data '!$A$3,D9654&lt;=$G$4,'calculated data '!$A$4,D9654&lt;=$G$6,'calculated data '!$A$5,D9654&gt;=$G$6,'calculated data '!$A$6)</f>
        <v>High Demand Tier</v>
      </c>
      <c r="F9654" s="10">
        <f t="shared" si="1"/>
        <v>0.6255747885</v>
      </c>
    </row>
    <row r="9655" ht="14.25" customHeight="1">
      <c r="A9655" s="2" t="s">
        <v>433</v>
      </c>
      <c r="B9655" s="2" t="s">
        <v>434</v>
      </c>
      <c r="C9655" s="2">
        <v>1995.0</v>
      </c>
      <c r="D9655" s="9">
        <v>48691.055</v>
      </c>
      <c r="E9655" s="10" t="str">
        <f t="array" ref="E9655">IFS(D9655&lt;=$G$3,'calculated data '!$A$3,D9655&lt;=$G$4,'calculated data '!$A$4,D9655&lt;=$G$6,'calculated data '!$A$5,D9655&gt;=$G$6,'calculated data '!$A$6)</f>
        <v>High Demand Tier</v>
      </c>
      <c r="F9655" s="10">
        <f t="shared" si="1"/>
        <v>0.6256686238</v>
      </c>
    </row>
    <row r="9656" ht="14.25" customHeight="1">
      <c r="A9656" s="2" t="s">
        <v>369</v>
      </c>
      <c r="B9656" s="2" t="s">
        <v>370</v>
      </c>
      <c r="C9656" s="2">
        <v>2000.0</v>
      </c>
      <c r="D9656" s="9">
        <v>48701.67</v>
      </c>
      <c r="E9656" s="10" t="str">
        <f t="array" ref="E9656">IFS(D9656&lt;=$G$3,'calculated data '!$A$3,D9656&lt;=$G$4,'calculated data '!$A$4,D9656&lt;=$G$6,'calculated data '!$A$5,D9656&gt;=$G$6,'calculated data '!$A$6)</f>
        <v>High Demand Tier</v>
      </c>
      <c r="F9656" s="10">
        <f t="shared" si="1"/>
        <v>0.6259496002</v>
      </c>
    </row>
    <row r="9657" ht="14.25" customHeight="1">
      <c r="A9657" s="2" t="s">
        <v>279</v>
      </c>
      <c r="B9657" s="2" t="s">
        <v>280</v>
      </c>
      <c r="C9657" s="2">
        <v>2002.0</v>
      </c>
      <c r="D9657" s="9">
        <v>48716.293</v>
      </c>
      <c r="E9657" s="10" t="str">
        <f t="array" ref="E9657">IFS(D9657&lt;=$G$3,'calculated data '!$A$3,D9657&lt;=$G$4,'calculated data '!$A$4,D9657&lt;=$G$6,'calculated data '!$A$5,D9657&gt;=$G$6,'calculated data '!$A$6)</f>
        <v>High Demand Tier</v>
      </c>
      <c r="F9657" s="10">
        <f t="shared" si="1"/>
        <v>0.6263366674</v>
      </c>
    </row>
    <row r="9658" ht="14.25" customHeight="1">
      <c r="A9658" s="2" t="s">
        <v>445</v>
      </c>
      <c r="B9658" s="2" t="s">
        <v>446</v>
      </c>
      <c r="C9658" s="2">
        <v>1979.0</v>
      </c>
      <c r="D9658" s="9">
        <v>48723.21</v>
      </c>
      <c r="E9658" s="10" t="str">
        <f t="array" ref="E9658">IFS(D9658&lt;=$G$3,'calculated data '!$A$3,D9658&lt;=$G$4,'calculated data '!$A$4,D9658&lt;=$G$6,'calculated data '!$A$5,D9658&gt;=$G$6,'calculated data '!$A$6)</f>
        <v>High Demand Tier</v>
      </c>
      <c r="F9658" s="10">
        <f t="shared" si="1"/>
        <v>0.6265197586</v>
      </c>
    </row>
    <row r="9659" ht="14.25" customHeight="1">
      <c r="A9659" s="2" t="s">
        <v>465</v>
      </c>
      <c r="B9659" s="2" t="s">
        <v>466</v>
      </c>
      <c r="C9659" s="2">
        <v>1985.0</v>
      </c>
      <c r="D9659" s="9">
        <v>48735.508</v>
      </c>
      <c r="E9659" s="10" t="str">
        <f t="array" ref="E9659">IFS(D9659&lt;=$G$3,'calculated data '!$A$3,D9659&lt;=$G$4,'calculated data '!$A$4,D9659&lt;=$G$6,'calculated data '!$A$5,D9659&gt;=$G$6,'calculated data '!$A$6)</f>
        <v>High Demand Tier</v>
      </c>
      <c r="F9659" s="10">
        <f t="shared" si="1"/>
        <v>0.6268452836</v>
      </c>
    </row>
    <row r="9660" ht="14.25" customHeight="1">
      <c r="A9660" s="2" t="s">
        <v>369</v>
      </c>
      <c r="B9660" s="2" t="s">
        <v>370</v>
      </c>
      <c r="C9660" s="2">
        <v>2007.0</v>
      </c>
      <c r="D9660" s="9">
        <v>48749.016</v>
      </c>
      <c r="E9660" s="10" t="str">
        <f t="array" ref="E9660">IFS(D9660&lt;=$G$3,'calculated data '!$A$3,D9660&lt;=$G$4,'calculated data '!$A$4,D9660&lt;=$G$6,'calculated data '!$A$5,D9660&gt;=$G$6,'calculated data '!$A$6)</f>
        <v>High Demand Tier</v>
      </c>
      <c r="F9660" s="10">
        <f t="shared" si="1"/>
        <v>0.627202837</v>
      </c>
    </row>
    <row r="9661" ht="14.25" customHeight="1">
      <c r="A9661" s="2" t="s">
        <v>469</v>
      </c>
      <c r="B9661" s="2" t="s">
        <v>470</v>
      </c>
      <c r="C9661" s="2">
        <v>1984.0</v>
      </c>
      <c r="D9661" s="9">
        <v>48751.42</v>
      </c>
      <c r="E9661" s="10" t="str">
        <f t="array" ref="E9661">IFS(D9661&lt;=$G$3,'calculated data '!$A$3,D9661&lt;=$G$4,'calculated data '!$A$4,D9661&lt;=$G$6,'calculated data '!$A$5,D9661&gt;=$G$6,'calculated data '!$A$6)</f>
        <v>High Demand Tier</v>
      </c>
      <c r="F9661" s="10">
        <f t="shared" si="1"/>
        <v>0.6272664703</v>
      </c>
    </row>
    <row r="9662" ht="14.25" customHeight="1">
      <c r="A9662" s="2" t="s">
        <v>439</v>
      </c>
      <c r="B9662" s="2" t="s">
        <v>440</v>
      </c>
      <c r="C9662" s="2">
        <v>1996.0</v>
      </c>
      <c r="D9662" s="9">
        <v>48793.594</v>
      </c>
      <c r="E9662" s="10" t="str">
        <f t="array" ref="E9662">IFS(D9662&lt;=$G$3,'calculated data '!$A$3,D9662&lt;=$G$4,'calculated data '!$A$4,D9662&lt;=$G$6,'calculated data '!$A$5,D9662&gt;=$G$6,'calculated data '!$A$6)</f>
        <v>High Demand Tier</v>
      </c>
      <c r="F9662" s="10">
        <f t="shared" si="1"/>
        <v>0.6283828056</v>
      </c>
    </row>
    <row r="9663" ht="14.25" customHeight="1">
      <c r="A9663" s="2" t="s">
        <v>473</v>
      </c>
      <c r="B9663" s="2" t="s">
        <v>474</v>
      </c>
      <c r="C9663" s="2">
        <v>1991.0</v>
      </c>
      <c r="D9663" s="9">
        <v>48803.223</v>
      </c>
      <c r="E9663" s="10" t="str">
        <f t="array" ref="E9663">IFS(D9663&lt;=$G$3,'calculated data '!$A$3,D9663&lt;=$G$4,'calculated data '!$A$4,D9663&lt;=$G$6,'calculated data '!$A$5,D9663&gt;=$G$6,'calculated data '!$A$6)</f>
        <v>High Demand Tier</v>
      </c>
      <c r="F9663" s="10">
        <f t="shared" si="1"/>
        <v>0.6286376828</v>
      </c>
    </row>
    <row r="9664" ht="14.25" customHeight="1">
      <c r="A9664" s="2" t="s">
        <v>457</v>
      </c>
      <c r="B9664" s="2" t="s">
        <v>458</v>
      </c>
      <c r="C9664" s="2">
        <v>1973.0</v>
      </c>
      <c r="D9664" s="9">
        <v>48815.76</v>
      </c>
      <c r="E9664" s="10" t="str">
        <f t="array" ref="E9664">IFS(D9664&lt;=$G$3,'calculated data '!$A$3,D9664&lt;=$G$4,'calculated data '!$A$4,D9664&lt;=$G$6,'calculated data '!$A$5,D9664&gt;=$G$6,'calculated data '!$A$6)</f>
        <v>High Demand Tier</v>
      </c>
      <c r="F9664" s="10">
        <f t="shared" si="1"/>
        <v>0.6289695341</v>
      </c>
    </row>
    <row r="9665" ht="14.25" customHeight="1">
      <c r="A9665" s="2" t="s">
        <v>439</v>
      </c>
      <c r="B9665" s="2" t="s">
        <v>440</v>
      </c>
      <c r="C9665" s="2">
        <v>2023.0</v>
      </c>
      <c r="D9665" s="9">
        <v>48819.773</v>
      </c>
      <c r="E9665" s="10" t="str">
        <f t="array" ref="E9665">IFS(D9665&lt;=$G$3,'calculated data '!$A$3,D9665&lt;=$G$4,'calculated data '!$A$4,D9665&lt;=$G$6,'calculated data '!$A$5,D9665&gt;=$G$6,'calculated data '!$A$6)</f>
        <v>High Demand Tier</v>
      </c>
      <c r="F9665" s="10">
        <f t="shared" si="1"/>
        <v>0.6290757572</v>
      </c>
    </row>
    <row r="9666" ht="14.25" customHeight="1">
      <c r="A9666" s="2" t="s">
        <v>459</v>
      </c>
      <c r="B9666" s="2" t="s">
        <v>460</v>
      </c>
      <c r="C9666" s="2">
        <v>1998.0</v>
      </c>
      <c r="D9666" s="9">
        <v>48826.37</v>
      </c>
      <c r="E9666" s="10" t="str">
        <f t="array" ref="E9666">IFS(D9666&lt;=$G$3,'calculated data '!$A$3,D9666&lt;=$G$4,'calculated data '!$A$4,D9666&lt;=$G$6,'calculated data '!$A$5,D9666&gt;=$G$6,'calculated data '!$A$6)</f>
        <v>High Demand Tier</v>
      </c>
      <c r="F9666" s="10">
        <f t="shared" si="1"/>
        <v>0.6292503781</v>
      </c>
    </row>
    <row r="9667" ht="14.25" customHeight="1">
      <c r="A9667" s="2" t="s">
        <v>459</v>
      </c>
      <c r="B9667" s="2" t="s">
        <v>460</v>
      </c>
      <c r="C9667" s="2">
        <v>1993.0</v>
      </c>
      <c r="D9667" s="9">
        <v>48873.77</v>
      </c>
      <c r="E9667" s="10" t="str">
        <f t="array" ref="E9667">IFS(D9667&lt;=$G$3,'calculated data '!$A$3,D9667&lt;=$G$4,'calculated data '!$A$4,D9667&lt;=$G$6,'calculated data '!$A$5,D9667&gt;=$G$6,'calculated data '!$A$6)</f>
        <v>High Demand Tier</v>
      </c>
      <c r="F9667" s="10">
        <f t="shared" si="1"/>
        <v>0.6305050443</v>
      </c>
    </row>
    <row r="9668" ht="14.25" customHeight="1">
      <c r="A9668" s="2" t="s">
        <v>439</v>
      </c>
      <c r="B9668" s="2" t="s">
        <v>440</v>
      </c>
      <c r="C9668" s="2">
        <v>1998.0</v>
      </c>
      <c r="D9668" s="9">
        <v>48876.324</v>
      </c>
      <c r="E9668" s="10" t="str">
        <f t="array" ref="E9668">IFS(D9668&lt;=$G$3,'calculated data '!$A$3,D9668&lt;=$G$4,'calculated data '!$A$4,D9668&lt;=$G$6,'calculated data '!$A$5,D9668&gt;=$G$6,'calculated data '!$A$6)</f>
        <v>High Demand Tier</v>
      </c>
      <c r="F9668" s="10">
        <f t="shared" si="1"/>
        <v>0.6305726481</v>
      </c>
    </row>
    <row r="9669" ht="14.25" customHeight="1">
      <c r="A9669" s="2" t="s">
        <v>407</v>
      </c>
      <c r="B9669" s="2" t="s">
        <v>408</v>
      </c>
      <c r="C9669" s="2">
        <v>1991.0</v>
      </c>
      <c r="D9669" s="9">
        <v>48878.434</v>
      </c>
      <c r="E9669" s="10" t="str">
        <f t="array" ref="E9669">IFS(D9669&lt;=$G$3,'calculated data '!$A$3,D9669&lt;=$G$4,'calculated data '!$A$4,D9669&lt;=$G$6,'calculated data '!$A$5,D9669&gt;=$G$6,'calculated data '!$A$6)</f>
        <v>High Demand Tier</v>
      </c>
      <c r="F9669" s="10">
        <f t="shared" si="1"/>
        <v>0.6306284992</v>
      </c>
    </row>
    <row r="9670" ht="14.25" customHeight="1">
      <c r="A9670" s="2" t="s">
        <v>435</v>
      </c>
      <c r="B9670" s="2" t="s">
        <v>436</v>
      </c>
      <c r="C9670" s="2">
        <v>1983.0</v>
      </c>
      <c r="D9670" s="9">
        <v>48879.562</v>
      </c>
      <c r="E9670" s="10" t="str">
        <f t="array" ref="E9670">IFS(D9670&lt;=$G$3,'calculated data '!$A$3,D9670&lt;=$G$4,'calculated data '!$A$4,D9670&lt;=$G$6,'calculated data '!$A$5,D9670&gt;=$G$6,'calculated data '!$A$6)</f>
        <v>High Demand Tier</v>
      </c>
      <c r="F9670" s="10">
        <f t="shared" si="1"/>
        <v>0.6306583571</v>
      </c>
    </row>
    <row r="9671" ht="14.25" customHeight="1">
      <c r="A9671" s="2" t="s">
        <v>415</v>
      </c>
      <c r="B9671" s="2" t="s">
        <v>416</v>
      </c>
      <c r="C9671" s="2">
        <v>1997.0</v>
      </c>
      <c r="D9671" s="9">
        <v>48890.207</v>
      </c>
      <c r="E9671" s="10" t="str">
        <f t="array" ref="E9671">IFS(D9671&lt;=$G$3,'calculated data '!$A$3,D9671&lt;=$G$4,'calculated data '!$A$4,D9671&lt;=$G$6,'calculated data '!$A$5,D9671&gt;=$G$6,'calculated data '!$A$6)</f>
        <v>High Demand Tier</v>
      </c>
      <c r="F9671" s="10">
        <f t="shared" si="1"/>
        <v>0.6309401276</v>
      </c>
    </row>
    <row r="9672" ht="14.25" customHeight="1">
      <c r="A9672" s="2" t="s">
        <v>307</v>
      </c>
      <c r="B9672" s="2" t="s">
        <v>308</v>
      </c>
      <c r="C9672" s="2">
        <v>2015.0</v>
      </c>
      <c r="D9672" s="9">
        <v>48905.53</v>
      </c>
      <c r="E9672" s="10" t="str">
        <f t="array" ref="E9672">IFS(D9672&lt;=$G$3,'calculated data '!$A$3,D9672&lt;=$G$4,'calculated data '!$A$4,D9672&lt;=$G$6,'calculated data '!$A$5,D9672&gt;=$G$6,'calculated data '!$A$6)</f>
        <v>High Demand Tier</v>
      </c>
      <c r="F9672" s="10">
        <f t="shared" si="1"/>
        <v>0.6313457236</v>
      </c>
    </row>
    <row r="9673" ht="14.25" customHeight="1">
      <c r="A9673" s="2" t="s">
        <v>441</v>
      </c>
      <c r="B9673" s="2" t="s">
        <v>442</v>
      </c>
      <c r="C9673" s="2">
        <v>2002.0</v>
      </c>
      <c r="D9673" s="9">
        <v>48913.797</v>
      </c>
      <c r="E9673" s="10" t="str">
        <f t="array" ref="E9673">IFS(D9673&lt;=$G$3,'calculated data '!$A$3,D9673&lt;=$G$4,'calculated data '!$A$4,D9673&lt;=$G$6,'calculated data '!$A$5,D9673&gt;=$G$6,'calculated data '!$A$6)</f>
        <v>High Demand Tier</v>
      </c>
      <c r="F9673" s="10">
        <f t="shared" si="1"/>
        <v>0.631564549</v>
      </c>
    </row>
    <row r="9674" ht="14.25" customHeight="1">
      <c r="A9674" s="2" t="s">
        <v>381</v>
      </c>
      <c r="B9674" s="2" t="s">
        <v>382</v>
      </c>
      <c r="C9674" s="2">
        <v>2008.0</v>
      </c>
      <c r="D9674" s="9">
        <v>48979.246</v>
      </c>
      <c r="E9674" s="10" t="str">
        <f t="array" ref="E9674">IFS(D9674&lt;=$G$3,'calculated data '!$A$3,D9674&lt;=$G$4,'calculated data '!$A$4,D9674&lt;=$G$6,'calculated data '!$A$5,D9674&gt;=$G$6,'calculated data '!$A$6)</f>
        <v>High Demand Tier</v>
      </c>
      <c r="F9674" s="10">
        <f t="shared" si="1"/>
        <v>0.6332969678</v>
      </c>
    </row>
    <row r="9675" ht="14.25" customHeight="1">
      <c r="A9675" s="2" t="s">
        <v>407</v>
      </c>
      <c r="B9675" s="2" t="s">
        <v>408</v>
      </c>
      <c r="C9675" s="2">
        <v>1985.0</v>
      </c>
      <c r="D9675" s="9">
        <v>49019.168</v>
      </c>
      <c r="E9675" s="10" t="str">
        <f t="array" ref="E9675">IFS(D9675&lt;=$G$3,'calculated data '!$A$3,D9675&lt;=$G$4,'calculated data '!$A$4,D9675&lt;=$G$6,'calculated data '!$A$5,D9675&gt;=$G$6,'calculated data '!$A$6)</f>
        <v>High Demand Tier</v>
      </c>
      <c r="F9675" s="10">
        <f t="shared" si="1"/>
        <v>0.6343536932</v>
      </c>
    </row>
    <row r="9676" ht="14.25" customHeight="1">
      <c r="A9676" s="2" t="s">
        <v>283</v>
      </c>
      <c r="B9676" s="2" t="s">
        <v>284</v>
      </c>
      <c r="C9676" s="2">
        <v>1976.0</v>
      </c>
      <c r="D9676" s="9">
        <v>49020.39</v>
      </c>
      <c r="E9676" s="10" t="str">
        <f t="array" ref="E9676">IFS(D9676&lt;=$G$3,'calculated data '!$A$3,D9676&lt;=$G$4,'calculated data '!$A$4,D9676&lt;=$G$6,'calculated data '!$A$5,D9676&gt;=$G$6,'calculated data '!$A$6)</f>
        <v>High Demand Tier</v>
      </c>
      <c r="F9676" s="10">
        <f t="shared" si="1"/>
        <v>0.6343860392</v>
      </c>
    </row>
    <row r="9677" ht="14.25" customHeight="1">
      <c r="A9677" s="2" t="s">
        <v>149</v>
      </c>
      <c r="B9677" s="2" t="s">
        <v>150</v>
      </c>
      <c r="C9677" s="2">
        <v>1985.0</v>
      </c>
      <c r="D9677" s="9">
        <v>49026.094</v>
      </c>
      <c r="E9677" s="10" t="str">
        <f t="array" ref="E9677">IFS(D9677&lt;=$G$3,'calculated data '!$A$3,D9677&lt;=$G$4,'calculated data '!$A$4,D9677&lt;=$G$6,'calculated data '!$A$5,D9677&gt;=$G$6,'calculated data '!$A$6)</f>
        <v>High Demand Tier</v>
      </c>
      <c r="F9677" s="10">
        <f t="shared" si="1"/>
        <v>0.6345370227</v>
      </c>
    </row>
    <row r="9678" ht="14.25" customHeight="1">
      <c r="A9678" s="2" t="s">
        <v>435</v>
      </c>
      <c r="B9678" s="2" t="s">
        <v>436</v>
      </c>
      <c r="C9678" s="2">
        <v>2007.0</v>
      </c>
      <c r="D9678" s="9">
        <v>49038.75</v>
      </c>
      <c r="E9678" s="10" t="str">
        <f t="array" ref="E9678">IFS(D9678&lt;=$G$3,'calculated data '!$A$3,D9678&lt;=$G$4,'calculated data '!$A$4,D9678&lt;=$G$6,'calculated data '!$A$5,D9678&gt;=$G$6,'calculated data '!$A$6)</f>
        <v>High Demand Tier</v>
      </c>
      <c r="F9678" s="10">
        <f t="shared" si="1"/>
        <v>0.6348720238</v>
      </c>
    </row>
    <row r="9679" ht="14.25" customHeight="1">
      <c r="A9679" s="2" t="s">
        <v>481</v>
      </c>
      <c r="B9679" s="2" t="s">
        <v>482</v>
      </c>
      <c r="C9679" s="2">
        <v>1992.0</v>
      </c>
      <c r="D9679" s="9">
        <v>49049.1</v>
      </c>
      <c r="E9679" s="10" t="str">
        <f t="array" ref="E9679">IFS(D9679&lt;=$G$3,'calculated data '!$A$3,D9679&lt;=$G$4,'calculated data '!$A$4,D9679&lt;=$G$6,'calculated data '!$A$5,D9679&gt;=$G$6,'calculated data '!$A$6)</f>
        <v>High Demand Tier</v>
      </c>
      <c r="F9679" s="10">
        <f t="shared" si="1"/>
        <v>0.6351459858</v>
      </c>
    </row>
    <row r="9680" ht="14.25" customHeight="1">
      <c r="A9680" s="2" t="s">
        <v>397</v>
      </c>
      <c r="B9680" s="2" t="s">
        <v>398</v>
      </c>
      <c r="C9680" s="2">
        <v>1983.0</v>
      </c>
      <c r="D9680" s="9">
        <v>49051.01</v>
      </c>
      <c r="E9680" s="10" t="str">
        <f t="array" ref="E9680">IFS(D9680&lt;=$G$3,'calculated data '!$A$3,D9680&lt;=$G$4,'calculated data '!$A$4,D9680&lt;=$G$6,'calculated data '!$A$5,D9680&gt;=$G$6,'calculated data '!$A$6)</f>
        <v>High Demand Tier</v>
      </c>
      <c r="F9680" s="10">
        <f t="shared" si="1"/>
        <v>0.635196543</v>
      </c>
    </row>
    <row r="9681" ht="14.25" customHeight="1">
      <c r="A9681" s="2" t="s">
        <v>307</v>
      </c>
      <c r="B9681" s="2" t="s">
        <v>308</v>
      </c>
      <c r="C9681" s="2">
        <v>2017.0</v>
      </c>
      <c r="D9681" s="9">
        <v>49061.195</v>
      </c>
      <c r="E9681" s="10" t="str">
        <f t="array" ref="E9681">IFS(D9681&lt;=$G$3,'calculated data '!$A$3,D9681&lt;=$G$4,'calculated data '!$A$4,D9681&lt;=$G$6,'calculated data '!$A$5,D9681&gt;=$G$6,'calculated data '!$A$6)</f>
        <v>High Demand Tier</v>
      </c>
      <c r="F9681" s="10">
        <f t="shared" si="1"/>
        <v>0.6354661374</v>
      </c>
    </row>
    <row r="9682" ht="14.25" customHeight="1">
      <c r="A9682" s="2" t="s">
        <v>149</v>
      </c>
      <c r="B9682" s="2" t="s">
        <v>150</v>
      </c>
      <c r="C9682" s="2">
        <v>1988.0</v>
      </c>
      <c r="D9682" s="9">
        <v>49061.465</v>
      </c>
      <c r="E9682" s="10" t="str">
        <f t="array" ref="E9682">IFS(D9682&lt;=$G$3,'calculated data '!$A$3,D9682&lt;=$G$4,'calculated data '!$A$4,D9682&lt;=$G$6,'calculated data '!$A$5,D9682&gt;=$G$6,'calculated data '!$A$6)</f>
        <v>High Demand Tier</v>
      </c>
      <c r="F9682" s="10">
        <f t="shared" si="1"/>
        <v>0.6354732842</v>
      </c>
    </row>
    <row r="9683" ht="14.25" customHeight="1">
      <c r="A9683" s="2" t="s">
        <v>343</v>
      </c>
      <c r="B9683" s="2" t="s">
        <v>344</v>
      </c>
      <c r="C9683" s="2">
        <v>2002.0</v>
      </c>
      <c r="D9683" s="9">
        <v>49065.758</v>
      </c>
      <c r="E9683" s="10" t="str">
        <f t="array" ref="E9683">IFS(D9683&lt;=$G$3,'calculated data '!$A$3,D9683&lt;=$G$4,'calculated data '!$A$4,D9683&lt;=$G$6,'calculated data '!$A$5,D9683&gt;=$G$6,'calculated data '!$A$6)</f>
        <v>High Demand Tier</v>
      </c>
      <c r="F9683" s="10">
        <f t="shared" si="1"/>
        <v>0.6355869189</v>
      </c>
    </row>
    <row r="9684" ht="14.25" customHeight="1">
      <c r="A9684" s="2" t="s">
        <v>459</v>
      </c>
      <c r="B9684" s="2" t="s">
        <v>460</v>
      </c>
      <c r="C9684" s="2">
        <v>1997.0</v>
      </c>
      <c r="D9684" s="9">
        <v>49068.527</v>
      </c>
      <c r="E9684" s="10" t="str">
        <f t="array" ref="E9684">IFS(D9684&lt;=$G$3,'calculated data '!$A$3,D9684&lt;=$G$4,'calculated data '!$A$4,D9684&lt;=$G$6,'calculated data '!$A$5,D9684&gt;=$G$6,'calculated data '!$A$6)</f>
        <v>High Demand Tier</v>
      </c>
      <c r="F9684" s="10">
        <f t="shared" si="1"/>
        <v>0.6356602136</v>
      </c>
    </row>
    <row r="9685" ht="14.25" customHeight="1">
      <c r="A9685" s="2" t="s">
        <v>459</v>
      </c>
      <c r="B9685" s="2" t="s">
        <v>460</v>
      </c>
      <c r="C9685" s="2">
        <v>2006.0</v>
      </c>
      <c r="D9685" s="9">
        <v>49096.586</v>
      </c>
      <c r="E9685" s="10" t="str">
        <f t="array" ref="E9685">IFS(D9685&lt;=$G$3,'calculated data '!$A$3,D9685&lt;=$G$4,'calculated data '!$A$4,D9685&lt;=$G$6,'calculated data '!$A$5,D9685&gt;=$G$6,'calculated data '!$A$6)</f>
        <v>High Demand Tier</v>
      </c>
      <c r="F9685" s="10">
        <f t="shared" si="1"/>
        <v>0.6364029283</v>
      </c>
    </row>
    <row r="9686" ht="14.25" customHeight="1">
      <c r="A9686" s="2" t="s">
        <v>441</v>
      </c>
      <c r="B9686" s="2" t="s">
        <v>442</v>
      </c>
      <c r="C9686" s="2">
        <v>2020.0</v>
      </c>
      <c r="D9686" s="9">
        <v>49131.094</v>
      </c>
      <c r="E9686" s="10" t="str">
        <f t="array" ref="E9686">IFS(D9686&lt;=$G$3,'calculated data '!$A$3,D9686&lt;=$G$4,'calculated data '!$A$4,D9686&lt;=$G$6,'calculated data '!$A$5,D9686&gt;=$G$6,'calculated data '!$A$6)</f>
        <v>High Demand Tier</v>
      </c>
      <c r="F9686" s="10">
        <f t="shared" si="1"/>
        <v>0.6373163465</v>
      </c>
    </row>
    <row r="9687" ht="14.25" customHeight="1">
      <c r="A9687" s="2" t="s">
        <v>407</v>
      </c>
      <c r="B9687" s="2" t="s">
        <v>408</v>
      </c>
      <c r="C9687" s="2">
        <v>1989.0</v>
      </c>
      <c r="D9687" s="9">
        <v>49140.71</v>
      </c>
      <c r="E9687" s="10" t="str">
        <f t="array" ref="E9687">IFS(D9687&lt;=$G$3,'calculated data '!$A$3,D9687&lt;=$G$4,'calculated data '!$A$4,D9687&lt;=$G$6,'calculated data '!$A$5,D9687&gt;=$G$6,'calculated data '!$A$6)</f>
        <v>High Demand Tier</v>
      </c>
      <c r="F9687" s="10">
        <f t="shared" si="1"/>
        <v>0.6375708796</v>
      </c>
    </row>
    <row r="9688" ht="14.25" customHeight="1">
      <c r="A9688" s="2" t="s">
        <v>465</v>
      </c>
      <c r="B9688" s="2" t="s">
        <v>466</v>
      </c>
      <c r="C9688" s="2">
        <v>1983.0</v>
      </c>
      <c r="D9688" s="9">
        <v>49155.312</v>
      </c>
      <c r="E9688" s="10" t="str">
        <f t="array" ref="E9688">IFS(D9688&lt;=$G$3,'calculated data '!$A$3,D9688&lt;=$G$4,'calculated data '!$A$4,D9688&lt;=$G$6,'calculated data '!$A$5,D9688&gt;=$G$6,'calculated data '!$A$6)</f>
        <v>High Demand Tier</v>
      </c>
      <c r="F9688" s="10">
        <f t="shared" si="1"/>
        <v>0.6379573909</v>
      </c>
    </row>
    <row r="9689" ht="14.25" customHeight="1">
      <c r="A9689" s="2" t="s">
        <v>459</v>
      </c>
      <c r="B9689" s="2" t="s">
        <v>460</v>
      </c>
      <c r="C9689" s="2">
        <v>1974.0</v>
      </c>
      <c r="D9689" s="9">
        <v>49193.496</v>
      </c>
      <c r="E9689" s="10" t="str">
        <f t="array" ref="E9689">IFS(D9689&lt;=$G$3,'calculated data '!$A$3,D9689&lt;=$G$4,'calculated data '!$A$4,D9689&lt;=$G$6,'calculated data '!$A$5,D9689&gt;=$G$6,'calculated data '!$A$6)</f>
        <v>High Demand Tier</v>
      </c>
      <c r="F9689" s="10">
        <f t="shared" si="1"/>
        <v>0.6389681119</v>
      </c>
    </row>
    <row r="9690" ht="14.25" customHeight="1">
      <c r="A9690" s="2" t="s">
        <v>459</v>
      </c>
      <c r="B9690" s="2" t="s">
        <v>460</v>
      </c>
      <c r="C9690" s="2">
        <v>2001.0</v>
      </c>
      <c r="D9690" s="9">
        <v>49218.246</v>
      </c>
      <c r="E9690" s="10" t="str">
        <f t="array" ref="E9690">IFS(D9690&lt;=$G$3,'calculated data '!$A$3,D9690&lt;=$G$4,'calculated data '!$A$4,D9690&lt;=$G$6,'calculated data '!$A$5,D9690&gt;=$G$6,'calculated data '!$A$6)</f>
        <v>High Demand Tier</v>
      </c>
      <c r="F9690" s="10">
        <f t="shared" si="1"/>
        <v>0.6396232382</v>
      </c>
    </row>
    <row r="9691" ht="14.25" customHeight="1">
      <c r="A9691" s="2" t="s">
        <v>369</v>
      </c>
      <c r="B9691" s="2" t="s">
        <v>370</v>
      </c>
      <c r="C9691" s="2">
        <v>2006.0</v>
      </c>
      <c r="D9691" s="9">
        <v>49235.27</v>
      </c>
      <c r="E9691" s="10" t="str">
        <f t="array" ref="E9691">IFS(D9691&lt;=$G$3,'calculated data '!$A$3,D9691&lt;=$G$4,'calculated data '!$A$4,D9691&lt;=$G$6,'calculated data '!$A$5,D9691&gt;=$G$6,'calculated data '!$A$6)</f>
        <v>High Demand Tier</v>
      </c>
      <c r="F9691" s="10">
        <f t="shared" si="1"/>
        <v>0.6400738593</v>
      </c>
    </row>
    <row r="9692" ht="14.25" customHeight="1">
      <c r="A9692" s="2" t="s">
        <v>427</v>
      </c>
      <c r="B9692" s="2" t="s">
        <v>428</v>
      </c>
      <c r="C9692" s="2">
        <v>2011.0</v>
      </c>
      <c r="D9692" s="9">
        <v>49243.555</v>
      </c>
      <c r="E9692" s="10" t="str">
        <f t="array" ref="E9692">IFS(D9692&lt;=$G$3,'calculated data '!$A$3,D9692&lt;=$G$4,'calculated data '!$A$4,D9692&lt;=$G$6,'calculated data '!$A$5,D9692&gt;=$G$6,'calculated data '!$A$6)</f>
        <v>High Demand Tier</v>
      </c>
      <c r="F9692" s="10">
        <f t="shared" si="1"/>
        <v>0.6402931612</v>
      </c>
    </row>
    <row r="9693" ht="14.25" customHeight="1">
      <c r="A9693" s="2" t="s">
        <v>429</v>
      </c>
      <c r="B9693" s="2" t="s">
        <v>430</v>
      </c>
      <c r="C9693" s="2">
        <v>1983.0</v>
      </c>
      <c r="D9693" s="9">
        <v>49260.035</v>
      </c>
      <c r="E9693" s="10" t="str">
        <f t="array" ref="E9693">IFS(D9693&lt;=$G$3,'calculated data '!$A$3,D9693&lt;=$G$4,'calculated data '!$A$4,D9693&lt;=$G$6,'calculated data '!$A$5,D9693&gt;=$G$6,'calculated data '!$A$6)</f>
        <v>High Demand Tier</v>
      </c>
      <c r="F9693" s="10">
        <f t="shared" si="1"/>
        <v>0.6407293827</v>
      </c>
    </row>
    <row r="9694" ht="14.25" customHeight="1">
      <c r="A9694" s="2" t="s">
        <v>407</v>
      </c>
      <c r="B9694" s="2" t="s">
        <v>408</v>
      </c>
      <c r="C9694" s="2">
        <v>1990.0</v>
      </c>
      <c r="D9694" s="9">
        <v>49260.07</v>
      </c>
      <c r="E9694" s="10" t="str">
        <f t="array" ref="E9694">IFS(D9694&lt;=$G$3,'calculated data '!$A$3,D9694&lt;=$G$4,'calculated data '!$A$4,D9694&lt;=$G$6,'calculated data '!$A$5,D9694&gt;=$G$6,'calculated data '!$A$6)</f>
        <v>High Demand Tier</v>
      </c>
      <c r="F9694" s="10">
        <f t="shared" si="1"/>
        <v>0.6407303091</v>
      </c>
    </row>
    <row r="9695" ht="14.25" customHeight="1">
      <c r="A9695" s="2" t="s">
        <v>415</v>
      </c>
      <c r="B9695" s="2" t="s">
        <v>416</v>
      </c>
      <c r="C9695" s="2">
        <v>1970.0</v>
      </c>
      <c r="D9695" s="9">
        <v>49291.65</v>
      </c>
      <c r="E9695" s="10" t="str">
        <f t="array" ref="E9695">IFS(D9695&lt;=$G$3,'calculated data '!$A$3,D9695&lt;=$G$4,'calculated data '!$A$4,D9695&lt;=$G$6,'calculated data '!$A$5,D9695&gt;=$G$6,'calculated data '!$A$6)</f>
        <v>High Demand Tier</v>
      </c>
      <c r="F9695" s="10">
        <f t="shared" si="1"/>
        <v>0.6415662238</v>
      </c>
    </row>
    <row r="9696" ht="14.25" customHeight="1">
      <c r="A9696" s="2" t="s">
        <v>473</v>
      </c>
      <c r="B9696" s="2" t="s">
        <v>474</v>
      </c>
      <c r="C9696" s="2">
        <v>1968.0</v>
      </c>
      <c r="D9696" s="9">
        <v>49311.027</v>
      </c>
      <c r="E9696" s="10" t="str">
        <f t="array" ref="E9696">IFS(D9696&lt;=$G$3,'calculated data '!$A$3,D9696&lt;=$G$4,'calculated data '!$A$4,D9696&lt;=$G$6,'calculated data '!$A$5,D9696&gt;=$G$6,'calculated data '!$A$6)</f>
        <v>High Demand Tier</v>
      </c>
      <c r="F9696" s="10">
        <f t="shared" si="1"/>
        <v>0.6420791282</v>
      </c>
    </row>
    <row r="9697" ht="14.25" customHeight="1">
      <c r="A9697" s="2" t="s">
        <v>479</v>
      </c>
      <c r="B9697" s="2" t="s">
        <v>480</v>
      </c>
      <c r="C9697" s="2">
        <v>2003.0</v>
      </c>
      <c r="D9697" s="9">
        <v>49331.008</v>
      </c>
      <c r="E9697" s="10" t="str">
        <f t="array" ref="E9697">IFS(D9697&lt;=$G$3,'calculated data '!$A$3,D9697&lt;=$G$4,'calculated data '!$A$4,D9697&lt;=$G$6,'calculated data '!$A$5,D9697&gt;=$G$6,'calculated data '!$A$6)</f>
        <v>High Demand Tier</v>
      </c>
      <c r="F9697" s="10">
        <f t="shared" si="1"/>
        <v>0.6426080203</v>
      </c>
    </row>
    <row r="9698" ht="14.25" customHeight="1">
      <c r="A9698" s="2" t="s">
        <v>445</v>
      </c>
      <c r="B9698" s="2" t="s">
        <v>446</v>
      </c>
      <c r="C9698" s="2">
        <v>1980.0</v>
      </c>
      <c r="D9698" s="9">
        <v>49366.176</v>
      </c>
      <c r="E9698" s="10" t="str">
        <f t="array" ref="E9698">IFS(D9698&lt;=$G$3,'calculated data '!$A$3,D9698&lt;=$G$4,'calculated data '!$A$4,D9698&lt;=$G$6,'calculated data '!$A$5,D9698&gt;=$G$6,'calculated data '!$A$6)</f>
        <v>High Demand Tier</v>
      </c>
      <c r="F9698" s="10">
        <f t="shared" si="1"/>
        <v>0.6435389085</v>
      </c>
    </row>
    <row r="9699" ht="14.25" customHeight="1">
      <c r="A9699" s="2" t="s">
        <v>369</v>
      </c>
      <c r="B9699" s="2" t="s">
        <v>370</v>
      </c>
      <c r="C9699" s="2">
        <v>2005.0</v>
      </c>
      <c r="D9699" s="9">
        <v>49387.883</v>
      </c>
      <c r="E9699" s="10" t="str">
        <f t="array" ref="E9699">IFS(D9699&lt;=$G$3,'calculated data '!$A$3,D9699&lt;=$G$4,'calculated data '!$A$4,D9699&lt;=$G$6,'calculated data '!$A$5,D9699&gt;=$G$6,'calculated data '!$A$6)</f>
        <v>High Demand Tier</v>
      </c>
      <c r="F9699" s="10">
        <f t="shared" si="1"/>
        <v>0.6441134874</v>
      </c>
    </row>
    <row r="9700" ht="14.25" customHeight="1">
      <c r="A9700" s="2" t="s">
        <v>453</v>
      </c>
      <c r="B9700" s="2" t="s">
        <v>454</v>
      </c>
      <c r="C9700" s="2">
        <v>2017.0</v>
      </c>
      <c r="D9700" s="9">
        <v>49432.203</v>
      </c>
      <c r="E9700" s="10" t="str">
        <f t="array" ref="E9700">IFS(D9700&lt;=$G$3,'calculated data '!$A$3,D9700&lt;=$G$4,'calculated data '!$A$4,D9700&lt;=$G$6,'calculated data '!$A$5,D9700&gt;=$G$6,'calculated data '!$A$6)</f>
        <v>High Demand Tier</v>
      </c>
      <c r="F9700" s="10">
        <f t="shared" si="1"/>
        <v>0.6452866267</v>
      </c>
    </row>
    <row r="9701" ht="14.25" customHeight="1">
      <c r="A9701" s="2" t="s">
        <v>459</v>
      </c>
      <c r="B9701" s="2" t="s">
        <v>460</v>
      </c>
      <c r="C9701" s="2">
        <v>1992.0</v>
      </c>
      <c r="D9701" s="9">
        <v>49455.66</v>
      </c>
      <c r="E9701" s="10" t="str">
        <f t="array" ref="E9701">IFS(D9701&lt;=$G$3,'calculated data '!$A$3,D9701&lt;=$G$4,'calculated data '!$A$4,D9701&lt;=$G$6,'calculated data '!$A$5,D9701&gt;=$G$6,'calculated data '!$A$6)</f>
        <v>High Demand Tier</v>
      </c>
      <c r="F9701" s="10">
        <f t="shared" si="1"/>
        <v>0.6459075277</v>
      </c>
    </row>
    <row r="9702" ht="14.25" customHeight="1">
      <c r="A9702" s="2" t="s">
        <v>433</v>
      </c>
      <c r="B9702" s="2" t="s">
        <v>434</v>
      </c>
      <c r="C9702" s="2">
        <v>2008.0</v>
      </c>
      <c r="D9702" s="9">
        <v>49461.57</v>
      </c>
      <c r="E9702" s="10" t="str">
        <f t="array" ref="E9702">IFS(D9702&lt;=$G$3,'calculated data '!$A$3,D9702&lt;=$G$4,'calculated data '!$A$4,D9702&lt;=$G$6,'calculated data '!$A$5,D9702&gt;=$G$6,'calculated data '!$A$6)</f>
        <v>High Demand Tier</v>
      </c>
      <c r="F9702" s="10">
        <f t="shared" si="1"/>
        <v>0.6460639639</v>
      </c>
    </row>
    <row r="9703" ht="14.25" customHeight="1">
      <c r="A9703" s="2" t="s">
        <v>439</v>
      </c>
      <c r="B9703" s="2" t="s">
        <v>440</v>
      </c>
      <c r="C9703" s="2">
        <v>2024.0</v>
      </c>
      <c r="D9703" s="9">
        <v>49488.402</v>
      </c>
      <c r="E9703" s="10" t="str">
        <f t="array" ref="E9703">IFS(D9703&lt;=$G$3,'calculated data '!$A$3,D9703&lt;=$G$4,'calculated data '!$A$4,D9703&lt;=$G$6,'calculated data '!$A$5,D9703&gt;=$G$6,'calculated data '!$A$6)</f>
        <v>High Demand Tier</v>
      </c>
      <c r="F9703" s="10">
        <f t="shared" si="1"/>
        <v>0.6467742003</v>
      </c>
    </row>
    <row r="9704" ht="14.25" customHeight="1">
      <c r="A9704" s="2" t="s">
        <v>407</v>
      </c>
      <c r="B9704" s="2" t="s">
        <v>408</v>
      </c>
      <c r="C9704" s="2">
        <v>1986.0</v>
      </c>
      <c r="D9704" s="9">
        <v>49493.184</v>
      </c>
      <c r="E9704" s="10" t="str">
        <f t="array" ref="E9704">IFS(D9704&lt;=$G$3,'calculated data '!$A$3,D9704&lt;=$G$4,'calculated data '!$A$4,D9704&lt;=$G$6,'calculated data '!$A$5,D9704&gt;=$G$6,'calculated data '!$A$6)</f>
        <v>High Demand Tier</v>
      </c>
      <c r="F9704" s="10">
        <f t="shared" si="1"/>
        <v>0.6469007786</v>
      </c>
    </row>
    <row r="9705" ht="14.25" customHeight="1">
      <c r="A9705" s="2" t="s">
        <v>337</v>
      </c>
      <c r="B9705" s="2" t="s">
        <v>338</v>
      </c>
      <c r="C9705" s="2">
        <v>2009.0</v>
      </c>
      <c r="D9705" s="9">
        <v>49517.035</v>
      </c>
      <c r="E9705" s="10" t="str">
        <f t="array" ref="E9705">IFS(D9705&lt;=$G$3,'calculated data '!$A$3,D9705&lt;=$G$4,'calculated data '!$A$4,D9705&lt;=$G$6,'calculated data '!$A$5,D9705&gt;=$G$6,'calculated data '!$A$6)</f>
        <v>High Demand Tier</v>
      </c>
      <c r="F9705" s="10">
        <f t="shared" si="1"/>
        <v>0.6475321087</v>
      </c>
    </row>
    <row r="9706" ht="14.25" customHeight="1">
      <c r="A9706" s="2" t="s">
        <v>455</v>
      </c>
      <c r="B9706" s="2" t="s">
        <v>456</v>
      </c>
      <c r="C9706" s="2">
        <v>1976.0</v>
      </c>
      <c r="D9706" s="9">
        <v>49543.2</v>
      </c>
      <c r="E9706" s="10" t="str">
        <f t="array" ref="E9706">IFS(D9706&lt;=$G$3,'calculated data '!$A$3,D9706&lt;=$G$4,'calculated data '!$A$4,D9706&lt;=$G$6,'calculated data '!$A$5,D9706&gt;=$G$6,'calculated data '!$A$6)</f>
        <v>High Demand Tier</v>
      </c>
      <c r="F9706" s="10">
        <f t="shared" si="1"/>
        <v>0.6482246897</v>
      </c>
    </row>
    <row r="9707" ht="14.25" customHeight="1">
      <c r="A9707" s="2" t="s">
        <v>465</v>
      </c>
      <c r="B9707" s="2" t="s">
        <v>466</v>
      </c>
      <c r="C9707" s="2">
        <v>2024.0</v>
      </c>
      <c r="D9707" s="9">
        <v>49546.242</v>
      </c>
      <c r="E9707" s="10" t="str">
        <f t="array" ref="E9707">IFS(D9707&lt;=$G$3,'calculated data '!$A$3,D9707&lt;=$G$4,'calculated data '!$A$4,D9707&lt;=$G$6,'calculated data '!$A$5,D9707&gt;=$G$6,'calculated data '!$A$6)</f>
        <v>High Demand Tier</v>
      </c>
      <c r="F9707" s="10">
        <f t="shared" si="1"/>
        <v>0.6483052107</v>
      </c>
    </row>
    <row r="9708" ht="14.25" customHeight="1">
      <c r="A9708" s="2" t="s">
        <v>457</v>
      </c>
      <c r="B9708" s="2" t="s">
        <v>458</v>
      </c>
      <c r="C9708" s="2">
        <v>1982.0</v>
      </c>
      <c r="D9708" s="9">
        <v>49579.88</v>
      </c>
      <c r="E9708" s="10" t="str">
        <f t="array" ref="E9708">IFS(D9708&lt;=$G$3,'calculated data '!$A$3,D9708&lt;=$G$4,'calculated data '!$A$4,D9708&lt;=$G$6,'calculated data '!$A$5,D9708&gt;=$G$6,'calculated data '!$A$6)</f>
        <v>High Demand Tier</v>
      </c>
      <c r="F9708" s="10">
        <f t="shared" si="1"/>
        <v>0.6491956002</v>
      </c>
    </row>
    <row r="9709" ht="14.25" customHeight="1">
      <c r="A9709" s="2" t="s">
        <v>221</v>
      </c>
      <c r="B9709" s="2" t="s">
        <v>222</v>
      </c>
      <c r="C9709" s="2">
        <v>2001.0</v>
      </c>
      <c r="D9709" s="9">
        <v>49626.344</v>
      </c>
      <c r="E9709" s="10" t="str">
        <f t="array" ref="E9709">IFS(D9709&lt;=$G$3,'calculated data '!$A$3,D9709&lt;=$G$4,'calculated data '!$A$4,D9709&lt;=$G$6,'calculated data '!$A$5,D9709&gt;=$G$6,'calculated data '!$A$6)</f>
        <v>High Demand Tier</v>
      </c>
      <c r="F9709" s="10">
        <f t="shared" si="1"/>
        <v>0.6504254907</v>
      </c>
    </row>
    <row r="9710" ht="14.25" customHeight="1">
      <c r="A9710" s="2" t="s">
        <v>439</v>
      </c>
      <c r="B9710" s="2" t="s">
        <v>440</v>
      </c>
      <c r="C9710" s="2">
        <v>2004.0</v>
      </c>
      <c r="D9710" s="9">
        <v>49628.86</v>
      </c>
      <c r="E9710" s="10" t="str">
        <f t="array" ref="E9710">IFS(D9710&lt;=$G$3,'calculated data '!$A$3,D9710&lt;=$G$4,'calculated data '!$A$4,D9710&lt;=$G$6,'calculated data '!$A$5,D9710&gt;=$G$6,'calculated data '!$A$6)</f>
        <v>High Demand Tier</v>
      </c>
      <c r="F9710" s="10">
        <f t="shared" si="1"/>
        <v>0.6504920886</v>
      </c>
    </row>
    <row r="9711" ht="14.25" customHeight="1">
      <c r="A9711" s="2" t="s">
        <v>461</v>
      </c>
      <c r="B9711" s="2" t="s">
        <v>462</v>
      </c>
      <c r="C9711" s="2">
        <v>2022.0</v>
      </c>
      <c r="D9711" s="9">
        <v>49639.33</v>
      </c>
      <c r="E9711" s="10" t="str">
        <f t="array" ref="E9711">IFS(D9711&lt;=$G$3,'calculated data '!$A$3,D9711&lt;=$G$4,'calculated data '!$A$4,D9711&lt;=$G$6,'calculated data '!$A$5,D9711&gt;=$G$6,'calculated data '!$A$6)</f>
        <v>High Demand Tier</v>
      </c>
      <c r="F9711" s="10">
        <f t="shared" si="1"/>
        <v>0.6507692269</v>
      </c>
    </row>
    <row r="9712" ht="14.25" customHeight="1">
      <c r="A9712" s="2" t="s">
        <v>433</v>
      </c>
      <c r="B9712" s="2" t="s">
        <v>434</v>
      </c>
      <c r="C9712" s="2">
        <v>2007.0</v>
      </c>
      <c r="D9712" s="9">
        <v>49681.234</v>
      </c>
      <c r="E9712" s="10" t="str">
        <f t="array" ref="E9712">IFS(D9712&lt;=$G$3,'calculated data '!$A$3,D9712&lt;=$G$4,'calculated data '!$A$4,D9712&lt;=$G$6,'calculated data '!$A$5,D9712&gt;=$G$6,'calculated data '!$A$6)</f>
        <v>High Demand Tier</v>
      </c>
      <c r="F9712" s="10">
        <f t="shared" si="1"/>
        <v>0.6518784153</v>
      </c>
    </row>
    <row r="9713" ht="14.25" customHeight="1">
      <c r="A9713" s="2" t="s">
        <v>407</v>
      </c>
      <c r="B9713" s="2" t="s">
        <v>408</v>
      </c>
      <c r="C9713" s="2">
        <v>1987.0</v>
      </c>
      <c r="D9713" s="9">
        <v>49696.97</v>
      </c>
      <c r="E9713" s="10" t="str">
        <f t="array" ref="E9713">IFS(D9713&lt;=$G$3,'calculated data '!$A$3,D9713&lt;=$G$4,'calculated data '!$A$4,D9713&lt;=$G$6,'calculated data '!$A$5,D9713&gt;=$G$6,'calculated data '!$A$6)</f>
        <v>High Demand Tier</v>
      </c>
      <c r="F9713" s="10">
        <f t="shared" si="1"/>
        <v>0.6522949433</v>
      </c>
    </row>
    <row r="9714" ht="14.25" customHeight="1">
      <c r="A9714" s="2" t="s">
        <v>439</v>
      </c>
      <c r="B9714" s="2" t="s">
        <v>440</v>
      </c>
      <c r="C9714" s="2">
        <v>2025.0</v>
      </c>
      <c r="D9714" s="9">
        <v>49718.984</v>
      </c>
      <c r="E9714" s="10" t="str">
        <f t="array" ref="E9714">IFS(D9714&lt;=$G$3,'calculated data '!$A$3,D9714&lt;=$G$4,'calculated data '!$A$4,D9714&lt;=$G$6,'calculated data '!$A$5,D9714&gt;=$G$6,'calculated data '!$A$6)</f>
        <v>High Demand Tier</v>
      </c>
      <c r="F9714" s="10">
        <f t="shared" si="1"/>
        <v>0.6528776484</v>
      </c>
    </row>
    <row r="9715" ht="14.25" customHeight="1">
      <c r="A9715" s="2" t="s">
        <v>473</v>
      </c>
      <c r="B9715" s="2" t="s">
        <v>474</v>
      </c>
      <c r="C9715" s="2">
        <v>2010.0</v>
      </c>
      <c r="D9715" s="9">
        <v>49726.01</v>
      </c>
      <c r="E9715" s="10" t="str">
        <f t="array" ref="E9715">IFS(D9715&lt;=$G$3,'calculated data '!$A$3,D9715&lt;=$G$4,'calculated data '!$A$4,D9715&lt;=$G$6,'calculated data '!$A$5,D9715&gt;=$G$6,'calculated data '!$A$6)</f>
        <v>High Demand Tier</v>
      </c>
      <c r="F9715" s="10">
        <f t="shared" si="1"/>
        <v>0.6530636249</v>
      </c>
    </row>
    <row r="9716" ht="14.25" customHeight="1">
      <c r="A9716" s="2" t="s">
        <v>479</v>
      </c>
      <c r="B9716" s="2" t="s">
        <v>480</v>
      </c>
      <c r="C9716" s="2">
        <v>1995.0</v>
      </c>
      <c r="D9716" s="9">
        <v>49743.29</v>
      </c>
      <c r="E9716" s="10" t="str">
        <f t="array" ref="E9716">IFS(D9716&lt;=$G$3,'calculated data '!$A$3,D9716&lt;=$G$4,'calculated data '!$A$4,D9716&lt;=$G$6,'calculated data '!$A$5,D9716&gt;=$G$6,'calculated data '!$A$6)</f>
        <v>High Demand Tier</v>
      </c>
      <c r="F9716" s="10">
        <f t="shared" si="1"/>
        <v>0.6535210222</v>
      </c>
    </row>
    <row r="9717" ht="14.25" customHeight="1">
      <c r="A9717" s="2" t="s">
        <v>439</v>
      </c>
      <c r="B9717" s="2" t="s">
        <v>440</v>
      </c>
      <c r="C9717" s="2">
        <v>2007.0</v>
      </c>
      <c r="D9717" s="9">
        <v>49758.516</v>
      </c>
      <c r="E9717" s="10" t="str">
        <f t="array" ref="E9717">IFS(D9717&lt;=$G$3,'calculated data '!$A$3,D9717&lt;=$G$4,'calculated data '!$A$4,D9717&lt;=$G$6,'calculated data '!$A$5,D9717&gt;=$G$6,'calculated data '!$A$6)</f>
        <v>High Demand Tier</v>
      </c>
      <c r="F9717" s="10">
        <f t="shared" si="1"/>
        <v>0.6539240506</v>
      </c>
    </row>
    <row r="9718" ht="14.25" customHeight="1">
      <c r="A9718" s="2" t="s">
        <v>307</v>
      </c>
      <c r="B9718" s="2" t="s">
        <v>308</v>
      </c>
      <c r="C9718" s="2">
        <v>2000.0</v>
      </c>
      <c r="D9718" s="9">
        <v>49760.848</v>
      </c>
      <c r="E9718" s="10" t="str">
        <f t="array" ref="E9718">IFS(D9718&lt;=$G$3,'calculated data '!$A$3,D9718&lt;=$G$4,'calculated data '!$A$4,D9718&lt;=$G$6,'calculated data '!$A$5,D9718&gt;=$G$6,'calculated data '!$A$6)</f>
        <v>High Demand Tier</v>
      </c>
      <c r="F9718" s="10">
        <f t="shared" si="1"/>
        <v>0.653985778</v>
      </c>
    </row>
    <row r="9719" ht="14.25" customHeight="1">
      <c r="A9719" s="2" t="s">
        <v>479</v>
      </c>
      <c r="B9719" s="2" t="s">
        <v>480</v>
      </c>
      <c r="C9719" s="2">
        <v>2004.0</v>
      </c>
      <c r="D9719" s="9">
        <v>49764.496</v>
      </c>
      <c r="E9719" s="10" t="str">
        <f t="array" ref="E9719">IFS(D9719&lt;=$G$3,'calculated data '!$A$3,D9719&lt;=$G$4,'calculated data '!$A$4,D9719&lt;=$G$6,'calculated data '!$A$5,D9719&gt;=$G$6,'calculated data '!$A$6)</f>
        <v>High Demand Tier</v>
      </c>
      <c r="F9719" s="10">
        <f t="shared" si="1"/>
        <v>0.6540823397</v>
      </c>
    </row>
    <row r="9720" ht="14.25" customHeight="1">
      <c r="A9720" s="2" t="s">
        <v>469</v>
      </c>
      <c r="B9720" s="2" t="s">
        <v>470</v>
      </c>
      <c r="C9720" s="2">
        <v>1985.0</v>
      </c>
      <c r="D9720" s="9">
        <v>49773.426</v>
      </c>
      <c r="E9720" s="10" t="str">
        <f t="array" ref="E9720">IFS(D9720&lt;=$G$3,'calculated data '!$A$3,D9720&lt;=$G$4,'calculated data '!$A$4,D9720&lt;=$G$6,'calculated data '!$A$5,D9720&gt;=$G$6,'calculated data '!$A$6)</f>
        <v>High Demand Tier</v>
      </c>
      <c r="F9720" s="10">
        <f t="shared" si="1"/>
        <v>0.6543187146</v>
      </c>
    </row>
    <row r="9721" ht="14.25" customHeight="1">
      <c r="A9721" s="2" t="s">
        <v>459</v>
      </c>
      <c r="B9721" s="2" t="s">
        <v>460</v>
      </c>
      <c r="C9721" s="2">
        <v>1996.0</v>
      </c>
      <c r="D9721" s="9">
        <v>49789.47</v>
      </c>
      <c r="E9721" s="10" t="str">
        <f t="array" ref="E9721">IFS(D9721&lt;=$G$3,'calculated data '!$A$3,D9721&lt;=$G$4,'calculated data '!$A$4,D9721&lt;=$G$6,'calculated data '!$A$5,D9721&gt;=$G$6,'calculated data '!$A$6)</f>
        <v>High Demand Tier</v>
      </c>
      <c r="F9721" s="10">
        <f t="shared" si="1"/>
        <v>0.6547433953</v>
      </c>
    </row>
    <row r="9722" ht="14.25" customHeight="1">
      <c r="A9722" s="2" t="s">
        <v>427</v>
      </c>
      <c r="B9722" s="2" t="s">
        <v>428</v>
      </c>
      <c r="C9722" s="2">
        <v>2017.0</v>
      </c>
      <c r="D9722" s="9">
        <v>49795.176</v>
      </c>
      <c r="E9722" s="10" t="str">
        <f t="array" ref="E9722">IFS(D9722&lt;=$G$3,'calculated data '!$A$3,D9722&lt;=$G$4,'calculated data '!$A$4,D9722&lt;=$G$6,'calculated data '!$A$5,D9722&gt;=$G$6,'calculated data '!$A$6)</f>
        <v>High Demand Tier</v>
      </c>
      <c r="F9722" s="10">
        <f t="shared" si="1"/>
        <v>0.6548944317</v>
      </c>
    </row>
    <row r="9723" ht="14.25" customHeight="1">
      <c r="A9723" s="2" t="s">
        <v>433</v>
      </c>
      <c r="B9723" s="2" t="s">
        <v>434</v>
      </c>
      <c r="C9723" s="2">
        <v>1997.0</v>
      </c>
      <c r="D9723" s="9">
        <v>49799.277</v>
      </c>
      <c r="E9723" s="10" t="str">
        <f t="array" ref="E9723">IFS(D9723&lt;=$G$3,'calculated data '!$A$3,D9723&lt;=$G$4,'calculated data '!$A$4,D9723&lt;=$G$6,'calculated data '!$A$5,D9723&gt;=$G$6,'calculated data '!$A$6)</f>
        <v>High Demand Tier</v>
      </c>
      <c r="F9723" s="10">
        <f t="shared" si="1"/>
        <v>0.6550029841</v>
      </c>
    </row>
    <row r="9724" ht="14.25" customHeight="1">
      <c r="A9724" s="2" t="s">
        <v>441</v>
      </c>
      <c r="B9724" s="2" t="s">
        <v>442</v>
      </c>
      <c r="C9724" s="2">
        <v>1995.0</v>
      </c>
      <c r="D9724" s="9">
        <v>49830.004</v>
      </c>
      <c r="E9724" s="10" t="str">
        <f t="array" ref="E9724">IFS(D9724&lt;=$G$3,'calculated data '!$A$3,D9724&lt;=$G$4,'calculated data '!$A$4,D9724&lt;=$G$6,'calculated data '!$A$5,D9724&gt;=$G$6,'calculated data '!$A$6)</f>
        <v>High Demand Tier</v>
      </c>
      <c r="F9724" s="10">
        <f t="shared" si="1"/>
        <v>0.6558163201</v>
      </c>
    </row>
    <row r="9725" ht="14.25" customHeight="1">
      <c r="A9725" s="2" t="s">
        <v>475</v>
      </c>
      <c r="B9725" s="2" t="s">
        <v>476</v>
      </c>
      <c r="C9725" s="2">
        <v>2015.0</v>
      </c>
      <c r="D9725" s="9">
        <v>49844.44</v>
      </c>
      <c r="E9725" s="10" t="str">
        <f t="array" ref="E9725">IFS(D9725&lt;=$G$3,'calculated data '!$A$3,D9725&lt;=$G$4,'calculated data '!$A$4,D9725&lt;=$G$6,'calculated data '!$A$5,D9725&gt;=$G$6,'calculated data '!$A$6)</f>
        <v>High Demand Tier</v>
      </c>
      <c r="F9725" s="10">
        <f t="shared" si="1"/>
        <v>0.6561984375</v>
      </c>
    </row>
    <row r="9726" ht="14.25" customHeight="1">
      <c r="A9726" s="2" t="s">
        <v>439</v>
      </c>
      <c r="B9726" s="2" t="s">
        <v>440</v>
      </c>
      <c r="C9726" s="2">
        <v>2021.0</v>
      </c>
      <c r="D9726" s="9">
        <v>49861.99</v>
      </c>
      <c r="E9726" s="10" t="str">
        <f t="array" ref="E9726">IFS(D9726&lt;=$G$3,'calculated data '!$A$3,D9726&lt;=$G$4,'calculated data '!$A$4,D9726&lt;=$G$6,'calculated data '!$A$5,D9726&gt;=$G$6,'calculated data '!$A$6)</f>
        <v>High Demand Tier</v>
      </c>
      <c r="F9726" s="10">
        <f t="shared" si="1"/>
        <v>0.6566629816</v>
      </c>
    </row>
    <row r="9727" ht="14.25" customHeight="1">
      <c r="A9727" s="2" t="s">
        <v>439</v>
      </c>
      <c r="B9727" s="2" t="s">
        <v>440</v>
      </c>
      <c r="C9727" s="2">
        <v>1997.0</v>
      </c>
      <c r="D9727" s="9">
        <v>49884.332</v>
      </c>
      <c r="E9727" s="10" t="str">
        <f t="array" ref="E9727">IFS(D9727&lt;=$G$3,'calculated data '!$A$3,D9727&lt;=$G$4,'calculated data '!$A$4,D9727&lt;=$G$6,'calculated data '!$A$5,D9727&gt;=$G$6,'calculated data '!$A$6)</f>
        <v>High Demand Tier</v>
      </c>
      <c r="F9727" s="10">
        <f t="shared" si="1"/>
        <v>0.6572543688</v>
      </c>
    </row>
    <row r="9728" ht="14.25" customHeight="1">
      <c r="A9728" s="2" t="s">
        <v>475</v>
      </c>
      <c r="B9728" s="2" t="s">
        <v>476</v>
      </c>
      <c r="C9728" s="2">
        <v>1972.0</v>
      </c>
      <c r="D9728" s="9">
        <v>49897.9</v>
      </c>
      <c r="E9728" s="10" t="str">
        <f t="array" ref="E9728">IFS(D9728&lt;=$G$3,'calculated data '!$A$3,D9728&lt;=$G$4,'calculated data '!$A$4,D9728&lt;=$G$6,'calculated data '!$A$5,D9728&gt;=$G$6,'calculated data '!$A$6)</f>
        <v>High Demand Tier</v>
      </c>
      <c r="F9728" s="10">
        <f t="shared" si="1"/>
        <v>0.6576135104</v>
      </c>
    </row>
    <row r="9729" ht="14.25" customHeight="1">
      <c r="A9729" s="2" t="s">
        <v>467</v>
      </c>
      <c r="B9729" s="2" t="s">
        <v>468</v>
      </c>
      <c r="C9729" s="2">
        <v>1974.0</v>
      </c>
      <c r="D9729" s="9">
        <v>49905.652</v>
      </c>
      <c r="E9729" s="10" t="str">
        <f t="array" ref="E9729">IFS(D9729&lt;=$G$3,'calculated data '!$A$3,D9729&lt;=$G$4,'calculated data '!$A$4,D9729&lt;=$G$6,'calculated data '!$A$5,D9729&gt;=$G$6,'calculated data '!$A$6)</f>
        <v>High Demand Tier</v>
      </c>
      <c r="F9729" s="10">
        <f t="shared" si="1"/>
        <v>0.6578187039</v>
      </c>
    </row>
    <row r="9730" ht="14.25" customHeight="1">
      <c r="A9730" s="2" t="s">
        <v>457</v>
      </c>
      <c r="B9730" s="2" t="s">
        <v>458</v>
      </c>
      <c r="C9730" s="2">
        <v>1981.0</v>
      </c>
      <c r="D9730" s="9">
        <v>49952.08</v>
      </c>
      <c r="E9730" s="10" t="str">
        <f t="array" ref="E9730">IFS(D9730&lt;=$G$3,'calculated data '!$A$3,D9730&lt;=$G$4,'calculated data '!$A$4,D9730&lt;=$G$6,'calculated data '!$A$5,D9730&gt;=$G$6,'calculated data '!$A$6)</f>
        <v>High Demand Tier</v>
      </c>
      <c r="F9730" s="10">
        <f t="shared" si="1"/>
        <v>0.6590476415</v>
      </c>
    </row>
    <row r="9731" ht="14.25" customHeight="1">
      <c r="A9731" s="2" t="s">
        <v>463</v>
      </c>
      <c r="B9731" s="2" t="s">
        <v>464</v>
      </c>
      <c r="C9731" s="2">
        <v>1992.0</v>
      </c>
      <c r="D9731" s="9">
        <v>49955.27</v>
      </c>
      <c r="E9731" s="10" t="str">
        <f t="array" ref="E9731">IFS(D9731&lt;=$G$3,'calculated data '!$A$3,D9731&lt;=$G$4,'calculated data '!$A$4,D9731&lt;=$G$6,'calculated data '!$A$5,D9731&gt;=$G$6,'calculated data '!$A$6)</f>
        <v>High Demand Tier</v>
      </c>
      <c r="F9731" s="10">
        <f t="shared" si="1"/>
        <v>0.65913208</v>
      </c>
    </row>
    <row r="9732" ht="14.25" customHeight="1">
      <c r="A9732" s="2" t="s">
        <v>471</v>
      </c>
      <c r="B9732" s="2" t="s">
        <v>472</v>
      </c>
      <c r="C9732" s="2">
        <v>2008.0</v>
      </c>
      <c r="D9732" s="9">
        <v>49962.93</v>
      </c>
      <c r="E9732" s="10" t="str">
        <f t="array" ref="E9732">IFS(D9732&lt;=$G$3,'calculated data '!$A$3,D9732&lt;=$G$4,'calculated data '!$A$4,D9732&lt;=$G$6,'calculated data '!$A$5,D9732&gt;=$G$6,'calculated data '!$A$6)</f>
        <v>High Demand Tier</v>
      </c>
      <c r="F9732" s="10">
        <f t="shared" si="1"/>
        <v>0.6593348383</v>
      </c>
    </row>
    <row r="9733" ht="14.25" customHeight="1">
      <c r="A9733" s="2" t="s">
        <v>479</v>
      </c>
      <c r="B9733" s="2" t="s">
        <v>480</v>
      </c>
      <c r="C9733" s="2">
        <v>2005.0</v>
      </c>
      <c r="D9733" s="9">
        <v>49983.047</v>
      </c>
      <c r="E9733" s="10" t="str">
        <f t="array" ref="E9733">IFS(D9733&lt;=$G$3,'calculated data '!$A$3,D9733&lt;=$G$4,'calculated data '!$A$4,D9733&lt;=$G$6,'calculated data '!$A$5,D9733&gt;=$G$6,'calculated data '!$A$6)</f>
        <v>High Demand Tier</v>
      </c>
      <c r="F9733" s="10">
        <f t="shared" si="1"/>
        <v>0.6598673302</v>
      </c>
    </row>
    <row r="9734" ht="14.25" customHeight="1">
      <c r="A9734" s="2" t="s">
        <v>469</v>
      </c>
      <c r="B9734" s="2" t="s">
        <v>470</v>
      </c>
      <c r="C9734" s="2">
        <v>1983.0</v>
      </c>
      <c r="D9734" s="9">
        <v>49989.55</v>
      </c>
      <c r="E9734" s="10" t="str">
        <f t="array" ref="E9734">IFS(D9734&lt;=$G$3,'calculated data '!$A$3,D9734&lt;=$G$4,'calculated data '!$A$4,D9734&lt;=$G$6,'calculated data '!$A$5,D9734&gt;=$G$6,'calculated data '!$A$6)</f>
        <v>High Demand Tier</v>
      </c>
      <c r="F9734" s="10">
        <f t="shared" si="1"/>
        <v>0.660039463</v>
      </c>
    </row>
    <row r="9735" ht="14.25" customHeight="1">
      <c r="A9735" s="2" t="s">
        <v>467</v>
      </c>
      <c r="B9735" s="2" t="s">
        <v>468</v>
      </c>
      <c r="C9735" s="2">
        <v>1975.0</v>
      </c>
      <c r="D9735" s="9">
        <v>49999.02</v>
      </c>
      <c r="E9735" s="10" t="str">
        <f t="array" ref="E9735">IFS(D9735&lt;=$G$3,'calculated data '!$A$3,D9735&lt;=$G$4,'calculated data '!$A$4,D9735&lt;=$G$6,'calculated data '!$A$5,D9735&gt;=$G$6,'calculated data '!$A$6)</f>
        <v>High Demand Tier</v>
      </c>
      <c r="F9735" s="10">
        <f t="shared" si="1"/>
        <v>0.6602901316</v>
      </c>
    </row>
    <row r="9736" ht="14.25" customHeight="1">
      <c r="A9736" s="2" t="s">
        <v>435</v>
      </c>
      <c r="B9736" s="2" t="s">
        <v>436</v>
      </c>
      <c r="C9736" s="2">
        <v>1998.0</v>
      </c>
      <c r="D9736" s="9">
        <v>49999.082</v>
      </c>
      <c r="E9736" s="10" t="str">
        <f t="array" ref="E9736">IFS(D9736&lt;=$G$3,'calculated data '!$A$3,D9736&lt;=$G$4,'calculated data '!$A$4,D9736&lt;=$G$6,'calculated data '!$A$5,D9736&gt;=$G$6,'calculated data '!$A$6)</f>
        <v>High Demand Tier</v>
      </c>
      <c r="F9736" s="10">
        <f t="shared" si="1"/>
        <v>0.6602917727</v>
      </c>
    </row>
    <row r="9737" ht="14.25" customHeight="1">
      <c r="A9737" s="2" t="s">
        <v>439</v>
      </c>
      <c r="B9737" s="2" t="s">
        <v>440</v>
      </c>
      <c r="C9737" s="2">
        <v>2005.0</v>
      </c>
      <c r="D9737" s="9">
        <v>50009.836</v>
      </c>
      <c r="E9737" s="10" t="str">
        <f t="array" ref="E9737">IFS(D9737&lt;=$G$3,'calculated data '!$A$3,D9737&lt;=$G$4,'calculated data '!$A$4,D9737&lt;=$G$6,'calculated data '!$A$5,D9737&gt;=$G$6,'calculated data '!$A$6)</f>
        <v>High Demand Tier</v>
      </c>
      <c r="F9737" s="10">
        <f t="shared" si="1"/>
        <v>0.6605764284</v>
      </c>
    </row>
    <row r="9738" ht="14.25" customHeight="1">
      <c r="A9738" s="2" t="s">
        <v>445</v>
      </c>
      <c r="B9738" s="2" t="s">
        <v>446</v>
      </c>
      <c r="C9738" s="2">
        <v>1981.0</v>
      </c>
      <c r="D9738" s="9">
        <v>50022.59</v>
      </c>
      <c r="E9738" s="10" t="str">
        <f t="array" ref="E9738">IFS(D9738&lt;=$G$3,'calculated data '!$A$3,D9738&lt;=$G$4,'calculated data '!$A$4,D9738&lt;=$G$6,'calculated data '!$A$5,D9738&gt;=$G$6,'calculated data '!$A$6)</f>
        <v>High Demand Tier</v>
      </c>
      <c r="F9738" s="10">
        <f t="shared" si="1"/>
        <v>0.6609140236</v>
      </c>
    </row>
    <row r="9739" ht="14.25" customHeight="1">
      <c r="A9739" s="2" t="s">
        <v>441</v>
      </c>
      <c r="B9739" s="2" t="s">
        <v>442</v>
      </c>
      <c r="C9739" s="2">
        <v>1996.0</v>
      </c>
      <c r="D9739" s="9">
        <v>50023.67</v>
      </c>
      <c r="E9739" s="10" t="str">
        <f t="array" ref="E9739">IFS(D9739&lt;=$G$3,'calculated data '!$A$3,D9739&lt;=$G$4,'calculated data '!$A$4,D9739&lt;=$G$6,'calculated data '!$A$5,D9739&gt;=$G$6,'calculated data '!$A$6)</f>
        <v>High Demand Tier</v>
      </c>
      <c r="F9739" s="10">
        <f t="shared" si="1"/>
        <v>0.6609426109</v>
      </c>
    </row>
    <row r="9740" ht="14.25" customHeight="1">
      <c r="A9740" s="2" t="s">
        <v>397</v>
      </c>
      <c r="B9740" s="2" t="s">
        <v>398</v>
      </c>
      <c r="C9740" s="2">
        <v>1982.0</v>
      </c>
      <c r="D9740" s="9">
        <v>50030.28</v>
      </c>
      <c r="E9740" s="10" t="str">
        <f t="array" ref="E9740">IFS(D9740&lt;=$G$3,'calculated data '!$A$3,D9740&lt;=$G$4,'calculated data '!$A$4,D9740&lt;=$G$6,'calculated data '!$A$5,D9740&gt;=$G$6,'calculated data '!$A$6)</f>
        <v>High Demand Tier</v>
      </c>
      <c r="F9740" s="10">
        <f t="shared" si="1"/>
        <v>0.661117576</v>
      </c>
    </row>
    <row r="9741" ht="14.25" customHeight="1">
      <c r="A9741" s="2" t="s">
        <v>337</v>
      </c>
      <c r="B9741" s="2" t="s">
        <v>338</v>
      </c>
      <c r="C9741" s="2">
        <v>2005.0</v>
      </c>
      <c r="D9741" s="9">
        <v>50038.867</v>
      </c>
      <c r="E9741" s="10" t="str">
        <f t="array" ref="E9741">IFS(D9741&lt;=$G$3,'calculated data '!$A$3,D9741&lt;=$G$4,'calculated data '!$A$4,D9741&lt;=$G$6,'calculated data '!$A$5,D9741&gt;=$G$6,'calculated data '!$A$6)</f>
        <v>High Demand Tier</v>
      </c>
      <c r="F9741" s="10">
        <f t="shared" si="1"/>
        <v>0.6613448717</v>
      </c>
    </row>
    <row r="9742" ht="14.25" customHeight="1">
      <c r="A9742" s="2" t="s">
        <v>427</v>
      </c>
      <c r="B9742" s="2" t="s">
        <v>428</v>
      </c>
      <c r="C9742" s="2">
        <v>1989.0</v>
      </c>
      <c r="D9742" s="9">
        <v>50044.066</v>
      </c>
      <c r="E9742" s="10" t="str">
        <f t="array" ref="E9742">IFS(D9742&lt;=$G$3,'calculated data '!$A$3,D9742&lt;=$G$4,'calculated data '!$A$4,D9742&lt;=$G$6,'calculated data '!$A$5,D9742&gt;=$G$6,'calculated data '!$A$6)</f>
        <v>High Demand Tier</v>
      </c>
      <c r="F9742" s="10">
        <f t="shared" si="1"/>
        <v>0.661482488</v>
      </c>
    </row>
    <row r="9743" ht="14.25" customHeight="1">
      <c r="A9743" s="2" t="s">
        <v>307</v>
      </c>
      <c r="B9743" s="2" t="s">
        <v>308</v>
      </c>
      <c r="C9743" s="2">
        <v>2012.0</v>
      </c>
      <c r="D9743" s="9">
        <v>50082.445</v>
      </c>
      <c r="E9743" s="10" t="str">
        <f t="array" ref="E9743">IFS(D9743&lt;=$G$3,'calculated data '!$A$3,D9743&lt;=$G$4,'calculated data '!$A$4,D9743&lt;=$G$6,'calculated data '!$A$5,D9743&gt;=$G$6,'calculated data '!$A$6)</f>
        <v>High Demand Tier</v>
      </c>
      <c r="F9743" s="10">
        <f t="shared" si="1"/>
        <v>0.6624983705</v>
      </c>
    </row>
    <row r="9744" ht="14.25" customHeight="1">
      <c r="A9744" s="2" t="s">
        <v>483</v>
      </c>
      <c r="B9744" s="2" t="s">
        <v>484</v>
      </c>
      <c r="C9744" s="2">
        <v>2025.0</v>
      </c>
      <c r="D9744" s="9">
        <v>50095.83</v>
      </c>
      <c r="E9744" s="10" t="str">
        <f t="array" ref="E9744">IFS(D9744&lt;=$G$3,'calculated data '!$A$3,D9744&lt;=$G$4,'calculated data '!$A$4,D9744&lt;=$G$6,'calculated data '!$A$5,D9744&gt;=$G$6,'calculated data '!$A$6)</f>
        <v>High Demand Tier</v>
      </c>
      <c r="F9744" s="10">
        <f t="shared" si="1"/>
        <v>0.6628526682</v>
      </c>
    </row>
    <row r="9745" ht="14.25" customHeight="1">
      <c r="A9745" s="2" t="s">
        <v>343</v>
      </c>
      <c r="B9745" s="2" t="s">
        <v>344</v>
      </c>
      <c r="C9745" s="2">
        <v>2005.0</v>
      </c>
      <c r="D9745" s="9">
        <v>50114.06</v>
      </c>
      <c r="E9745" s="10" t="str">
        <f t="array" ref="E9745">IFS(D9745&lt;=$G$3,'calculated data '!$A$3,D9745&lt;=$G$4,'calculated data '!$A$4,D9745&lt;=$G$6,'calculated data '!$A$5,D9745&gt;=$G$6,'calculated data '!$A$6)</f>
        <v>High Demand Tier</v>
      </c>
      <c r="F9745" s="10">
        <f t="shared" si="1"/>
        <v>0.6633352117</v>
      </c>
    </row>
    <row r="9746" ht="14.25" customHeight="1">
      <c r="A9746" s="2" t="s">
        <v>427</v>
      </c>
      <c r="B9746" s="2" t="s">
        <v>428</v>
      </c>
      <c r="C9746" s="2">
        <v>1988.0</v>
      </c>
      <c r="D9746" s="9">
        <v>50114.895</v>
      </c>
      <c r="E9746" s="10" t="str">
        <f t="array" ref="E9746">IFS(D9746&lt;=$G$3,'calculated data '!$A$3,D9746&lt;=$G$4,'calculated data '!$A$4,D9746&lt;=$G$6,'calculated data '!$A$5,D9746&gt;=$G$6,'calculated data '!$A$6)</f>
        <v>High Demand Tier</v>
      </c>
      <c r="F9746" s="10">
        <f t="shared" si="1"/>
        <v>0.663357314</v>
      </c>
    </row>
    <row r="9747" ht="14.25" customHeight="1">
      <c r="A9747" s="2" t="s">
        <v>473</v>
      </c>
      <c r="B9747" s="2" t="s">
        <v>474</v>
      </c>
      <c r="C9747" s="2">
        <v>2008.0</v>
      </c>
      <c r="D9747" s="9">
        <v>50135.117</v>
      </c>
      <c r="E9747" s="10" t="str">
        <f t="array" ref="E9747">IFS(D9747&lt;=$G$3,'calculated data '!$A$3,D9747&lt;=$G$4,'calculated data '!$A$4,D9747&lt;=$G$6,'calculated data '!$A$5,D9747&gt;=$G$6,'calculated data '!$A$6)</f>
        <v>High Demand Tier</v>
      </c>
      <c r="F9747" s="10">
        <f t="shared" si="1"/>
        <v>0.6638925853</v>
      </c>
    </row>
    <row r="9748" ht="14.25" customHeight="1">
      <c r="A9748" s="2" t="s">
        <v>459</v>
      </c>
      <c r="B9748" s="2" t="s">
        <v>460</v>
      </c>
      <c r="C9748" s="2">
        <v>1973.0</v>
      </c>
      <c r="D9748" s="9">
        <v>50143.92</v>
      </c>
      <c r="E9748" s="10" t="str">
        <f t="array" ref="E9748">IFS(D9748&lt;=$G$3,'calculated data '!$A$3,D9748&lt;=$G$4,'calculated data '!$A$4,D9748&lt;=$G$6,'calculated data '!$A$5,D9748&gt;=$G$6,'calculated data '!$A$6)</f>
        <v>High Demand Tier</v>
      </c>
      <c r="F9748" s="10">
        <f t="shared" si="1"/>
        <v>0.6641255985</v>
      </c>
    </row>
    <row r="9749" ht="14.25" customHeight="1">
      <c r="A9749" s="2" t="s">
        <v>439</v>
      </c>
      <c r="B9749" s="2" t="s">
        <v>440</v>
      </c>
      <c r="C9749" s="2">
        <v>2006.0</v>
      </c>
      <c r="D9749" s="9">
        <v>50170.324</v>
      </c>
      <c r="E9749" s="10" t="str">
        <f t="array" ref="E9749">IFS(D9749&lt;=$G$3,'calculated data '!$A$3,D9749&lt;=$G$4,'calculated data '!$A$4,D9749&lt;=$G$6,'calculated data '!$A$5,D9749&gt;=$G$6,'calculated data '!$A$6)</f>
        <v>High Demand Tier</v>
      </c>
      <c r="F9749" s="10">
        <f t="shared" si="1"/>
        <v>0.6648245058</v>
      </c>
    </row>
    <row r="9750" ht="14.25" customHeight="1">
      <c r="A9750" s="2" t="s">
        <v>485</v>
      </c>
      <c r="B9750" s="2" t="s">
        <v>486</v>
      </c>
      <c r="C9750" s="2">
        <v>2020.0</v>
      </c>
      <c r="D9750" s="9">
        <v>50180.582</v>
      </c>
      <c r="E9750" s="10" t="str">
        <f t="array" ref="E9750">IFS(D9750&lt;=$G$3,'calculated data '!$A$3,D9750&lt;=$G$4,'calculated data '!$A$4,D9750&lt;=$G$6,'calculated data '!$A$5,D9750&gt;=$G$6,'calculated data '!$A$6)</f>
        <v>High Demand Tier</v>
      </c>
      <c r="F9750" s="10">
        <f t="shared" si="1"/>
        <v>0.6650960325</v>
      </c>
    </row>
    <row r="9751" ht="14.25" customHeight="1">
      <c r="A9751" s="2" t="s">
        <v>457</v>
      </c>
      <c r="B9751" s="2" t="s">
        <v>458</v>
      </c>
      <c r="C9751" s="2">
        <v>1983.0</v>
      </c>
      <c r="D9751" s="9">
        <v>50186.973</v>
      </c>
      <c r="E9751" s="10" t="str">
        <f t="array" ref="E9751">IFS(D9751&lt;=$G$3,'calculated data '!$A$3,D9751&lt;=$G$4,'calculated data '!$A$4,D9751&lt;=$G$6,'calculated data '!$A$5,D9751&gt;=$G$6,'calculated data '!$A$6)</f>
        <v>High Demand Tier</v>
      </c>
      <c r="F9751" s="10">
        <f t="shared" si="1"/>
        <v>0.6652652007</v>
      </c>
    </row>
    <row r="9752" ht="14.25" customHeight="1">
      <c r="A9752" s="2" t="s">
        <v>453</v>
      </c>
      <c r="B9752" s="2" t="s">
        <v>454</v>
      </c>
      <c r="C9752" s="2">
        <v>2016.0</v>
      </c>
      <c r="D9752" s="9">
        <v>50197.062</v>
      </c>
      <c r="E9752" s="10" t="str">
        <f t="array" ref="E9752">IFS(D9752&lt;=$G$3,'calculated data '!$A$3,D9752&lt;=$G$4,'calculated data '!$A$4,D9752&lt;=$G$6,'calculated data '!$A$5,D9752&gt;=$G$6,'calculated data '!$A$6)</f>
        <v>High Demand Tier</v>
      </c>
      <c r="F9752" s="10">
        <f t="shared" si="1"/>
        <v>0.665532254</v>
      </c>
    </row>
    <row r="9753" ht="14.25" customHeight="1">
      <c r="A9753" s="2" t="s">
        <v>465</v>
      </c>
      <c r="B9753" s="2" t="s">
        <v>466</v>
      </c>
      <c r="C9753" s="2">
        <v>1991.0</v>
      </c>
      <c r="D9753" s="9">
        <v>50232.16</v>
      </c>
      <c r="E9753" s="10" t="str">
        <f t="array" ref="E9753">IFS(D9753&lt;=$G$3,'calculated data '!$A$3,D9753&lt;=$G$4,'calculated data '!$A$4,D9753&lt;=$G$6,'calculated data '!$A$5,D9753&gt;=$G$6,'calculated data '!$A$6)</f>
        <v>High Demand Tier</v>
      </c>
      <c r="F9753" s="10">
        <f t="shared" si="1"/>
        <v>0.6664612893</v>
      </c>
    </row>
    <row r="9754" ht="14.25" customHeight="1">
      <c r="A9754" s="2" t="s">
        <v>459</v>
      </c>
      <c r="B9754" s="2" t="s">
        <v>460</v>
      </c>
      <c r="C9754" s="2">
        <v>1982.0</v>
      </c>
      <c r="D9754" s="9">
        <v>50232.637</v>
      </c>
      <c r="E9754" s="10" t="str">
        <f t="array" ref="E9754">IFS(D9754&lt;=$G$3,'calculated data '!$A$3,D9754&lt;=$G$4,'calculated data '!$A$4,D9754&lt;=$G$6,'calculated data '!$A$5,D9754&gt;=$G$6,'calculated data '!$A$6)</f>
        <v>High Demand Tier</v>
      </c>
      <c r="F9754" s="10">
        <f t="shared" si="1"/>
        <v>0.6664739154</v>
      </c>
    </row>
    <row r="9755" ht="14.25" customHeight="1">
      <c r="A9755" s="2" t="s">
        <v>391</v>
      </c>
      <c r="B9755" s="2" t="s">
        <v>392</v>
      </c>
      <c r="C9755" s="2">
        <v>2019.0</v>
      </c>
      <c r="D9755" s="9">
        <v>50321.785</v>
      </c>
      <c r="E9755" s="10" t="str">
        <f t="array" ref="E9755">IFS(D9755&lt;=$G$3,'calculated data '!$A$3,D9755&lt;=$G$4,'calculated data '!$A$4,D9755&lt;=$G$6,'calculated data '!$A$5,D9755&gt;=$G$6,'calculated data '!$A$6)</f>
        <v>High Demand Tier</v>
      </c>
      <c r="F9755" s="10">
        <f t="shared" si="1"/>
        <v>0.6688336407</v>
      </c>
    </row>
    <row r="9756" ht="14.25" customHeight="1">
      <c r="A9756" s="2" t="s">
        <v>439</v>
      </c>
      <c r="B9756" s="2" t="s">
        <v>440</v>
      </c>
      <c r="C9756" s="2">
        <v>2003.0</v>
      </c>
      <c r="D9756" s="9">
        <v>50347.992</v>
      </c>
      <c r="E9756" s="10" t="str">
        <f t="array" ref="E9756">IFS(D9756&lt;=$G$3,'calculated data '!$A$3,D9756&lt;=$G$4,'calculated data '!$A$4,D9756&lt;=$G$6,'calculated data '!$A$5,D9756&gt;=$G$6,'calculated data '!$A$6)</f>
        <v>High Demand Tier</v>
      </c>
      <c r="F9756" s="10">
        <f t="shared" si="1"/>
        <v>0.6695273335</v>
      </c>
    </row>
    <row r="9757" ht="14.25" customHeight="1">
      <c r="A9757" s="2" t="s">
        <v>393</v>
      </c>
      <c r="B9757" s="2" t="s">
        <v>394</v>
      </c>
      <c r="C9757" s="2">
        <v>1988.0</v>
      </c>
      <c r="D9757" s="9">
        <v>50382.418</v>
      </c>
      <c r="E9757" s="10" t="str">
        <f t="array" ref="E9757">IFS(D9757&lt;=$G$3,'calculated data '!$A$3,D9757&lt;=$G$4,'calculated data '!$A$4,D9757&lt;=$G$6,'calculated data '!$A$5,D9757&gt;=$G$6,'calculated data '!$A$6)</f>
        <v>High Demand Tier</v>
      </c>
      <c r="F9757" s="10">
        <f t="shared" si="1"/>
        <v>0.6704385811</v>
      </c>
    </row>
    <row r="9758" ht="14.25" customHeight="1">
      <c r="A9758" s="2" t="s">
        <v>391</v>
      </c>
      <c r="B9758" s="2" t="s">
        <v>392</v>
      </c>
      <c r="C9758" s="2">
        <v>2003.0</v>
      </c>
      <c r="D9758" s="9">
        <v>50385.984</v>
      </c>
      <c r="E9758" s="10" t="str">
        <f t="array" ref="E9758">IFS(D9758&lt;=$G$3,'calculated data '!$A$3,D9758&lt;=$G$4,'calculated data '!$A$4,D9758&lt;=$G$6,'calculated data '!$A$5,D9758&gt;=$G$6,'calculated data '!$A$6)</f>
        <v>High Demand Tier</v>
      </c>
      <c r="F9758" s="10">
        <f t="shared" si="1"/>
        <v>0.6705329723</v>
      </c>
    </row>
    <row r="9759" ht="14.25" customHeight="1">
      <c r="A9759" s="2" t="s">
        <v>451</v>
      </c>
      <c r="B9759" s="2" t="s">
        <v>452</v>
      </c>
      <c r="C9759" s="2">
        <v>2020.0</v>
      </c>
      <c r="D9759" s="9">
        <v>50393.316</v>
      </c>
      <c r="E9759" s="10" t="str">
        <f t="array" ref="E9759">IFS(D9759&lt;=$G$3,'calculated data '!$A$3,D9759&lt;=$G$4,'calculated data '!$A$4,D9759&lt;=$G$6,'calculated data '!$A$5,D9759&gt;=$G$6,'calculated data '!$A$6)</f>
        <v>High Demand Tier</v>
      </c>
      <c r="F9759" s="10">
        <f t="shared" si="1"/>
        <v>0.6707270485</v>
      </c>
    </row>
    <row r="9760" ht="14.25" customHeight="1">
      <c r="A9760" s="2" t="s">
        <v>475</v>
      </c>
      <c r="B9760" s="2" t="s">
        <v>476</v>
      </c>
      <c r="C9760" s="2">
        <v>1970.0</v>
      </c>
      <c r="D9760" s="9">
        <v>50396.094</v>
      </c>
      <c r="E9760" s="10" t="str">
        <f t="array" ref="E9760">IFS(D9760&lt;=$G$3,'calculated data '!$A$3,D9760&lt;=$G$4,'calculated data '!$A$4,D9760&lt;=$G$6,'calculated data '!$A$5,D9760&gt;=$G$6,'calculated data '!$A$6)</f>
        <v>High Demand Tier</v>
      </c>
      <c r="F9760" s="10">
        <f t="shared" si="1"/>
        <v>0.6708005814</v>
      </c>
    </row>
    <row r="9761" ht="14.25" customHeight="1">
      <c r="A9761" s="2" t="s">
        <v>465</v>
      </c>
      <c r="B9761" s="2" t="s">
        <v>466</v>
      </c>
      <c r="C9761" s="2">
        <v>1992.0</v>
      </c>
      <c r="D9761" s="9">
        <v>50457.4</v>
      </c>
      <c r="E9761" s="10" t="str">
        <f t="array" ref="E9761">IFS(D9761&lt;=$G$3,'calculated data '!$A$3,D9761&lt;=$G$4,'calculated data '!$A$4,D9761&lt;=$G$6,'calculated data '!$A$5,D9761&gt;=$G$6,'calculated data '!$A$6)</f>
        <v>High Demand Tier</v>
      </c>
      <c r="F9761" s="10">
        <f t="shared" si="1"/>
        <v>0.672423336</v>
      </c>
    </row>
    <row r="9762" ht="14.25" customHeight="1">
      <c r="A9762" s="2" t="s">
        <v>469</v>
      </c>
      <c r="B9762" s="2" t="s">
        <v>470</v>
      </c>
      <c r="C9762" s="2">
        <v>1989.0</v>
      </c>
      <c r="D9762" s="9">
        <v>50512.973</v>
      </c>
      <c r="E9762" s="10" t="str">
        <f t="array" ref="E9762">IFS(D9762&lt;=$G$3,'calculated data '!$A$3,D9762&lt;=$G$4,'calculated data '!$A$4,D9762&lt;=$G$6,'calculated data '!$A$5,D9762&gt;=$G$6,'calculated data '!$A$6)</f>
        <v>High Demand Tier</v>
      </c>
      <c r="F9762" s="10">
        <f t="shared" si="1"/>
        <v>0.6738943395</v>
      </c>
    </row>
    <row r="9763" ht="14.25" customHeight="1">
      <c r="A9763" s="2" t="s">
        <v>469</v>
      </c>
      <c r="B9763" s="2" t="s">
        <v>470</v>
      </c>
      <c r="C9763" s="2">
        <v>1976.0</v>
      </c>
      <c r="D9763" s="9">
        <v>50520.223</v>
      </c>
      <c r="E9763" s="10" t="str">
        <f t="array" ref="E9763">IFS(D9763&lt;=$G$3,'calculated data '!$A$3,D9763&lt;=$G$4,'calculated data '!$A$4,D9763&lt;=$G$6,'calculated data '!$A$5,D9763&gt;=$G$6,'calculated data '!$A$6)</f>
        <v>High Demand Tier</v>
      </c>
      <c r="F9763" s="10">
        <f t="shared" si="1"/>
        <v>0.6740862452</v>
      </c>
    </row>
    <row r="9764" ht="14.25" customHeight="1">
      <c r="A9764" s="2" t="s">
        <v>479</v>
      </c>
      <c r="B9764" s="2" t="s">
        <v>480</v>
      </c>
      <c r="C9764" s="2">
        <v>2009.0</v>
      </c>
      <c r="D9764" s="9">
        <v>50536.273</v>
      </c>
      <c r="E9764" s="10" t="str">
        <f t="array" ref="E9764">IFS(D9764&lt;=$G$3,'calculated data '!$A$3,D9764&lt;=$G$4,'calculated data '!$A$4,D9764&lt;=$G$6,'calculated data '!$A$5,D9764&gt;=$G$6,'calculated data '!$A$6)</f>
        <v>High Demand Tier</v>
      </c>
      <c r="F9764" s="10">
        <f t="shared" si="1"/>
        <v>0.6745110847</v>
      </c>
    </row>
    <row r="9765" ht="14.25" customHeight="1">
      <c r="A9765" s="2" t="s">
        <v>461</v>
      </c>
      <c r="B9765" s="2" t="s">
        <v>462</v>
      </c>
      <c r="C9765" s="2">
        <v>1970.0</v>
      </c>
      <c r="D9765" s="9">
        <v>50556.586</v>
      </c>
      <c r="E9765" s="10" t="str">
        <f t="array" ref="E9765">IFS(D9765&lt;=$G$3,'calculated data '!$A$3,D9765&lt;=$G$4,'calculated data '!$A$4,D9765&lt;=$G$6,'calculated data '!$A$5,D9765&gt;=$G$6,'calculated data '!$A$6)</f>
        <v>High Demand Tier</v>
      </c>
      <c r="F9765" s="10">
        <f t="shared" si="1"/>
        <v>0.6750487647</v>
      </c>
    </row>
    <row r="9766" ht="14.25" customHeight="1">
      <c r="A9766" s="2" t="s">
        <v>475</v>
      </c>
      <c r="B9766" s="2" t="s">
        <v>476</v>
      </c>
      <c r="C9766" s="2">
        <v>2018.0</v>
      </c>
      <c r="D9766" s="9">
        <v>50567.062</v>
      </c>
      <c r="E9766" s="10" t="str">
        <f t="array" ref="E9766">IFS(D9766&lt;=$G$3,'calculated data '!$A$3,D9766&lt;=$G$4,'calculated data '!$A$4,D9766&lt;=$G$6,'calculated data '!$A$5,D9766&gt;=$G$6,'calculated data '!$A$6)</f>
        <v>High Demand Tier</v>
      </c>
      <c r="F9766" s="10">
        <f t="shared" si="1"/>
        <v>0.6753260618</v>
      </c>
    </row>
    <row r="9767" ht="14.25" customHeight="1">
      <c r="A9767" s="2" t="s">
        <v>307</v>
      </c>
      <c r="B9767" s="2" t="s">
        <v>308</v>
      </c>
      <c r="C9767" s="2">
        <v>2001.0</v>
      </c>
      <c r="D9767" s="9">
        <v>50605.742</v>
      </c>
      <c r="E9767" s="10" t="str">
        <f t="array" ref="E9767">IFS(D9767&lt;=$G$3,'calculated data '!$A$3,D9767&lt;=$G$4,'calculated data '!$A$4,D9767&lt;=$G$6,'calculated data '!$A$5,D9767&gt;=$G$6,'calculated data '!$A$6)</f>
        <v>High Demand Tier</v>
      </c>
      <c r="F9767" s="10">
        <f t="shared" si="1"/>
        <v>0.6763499118</v>
      </c>
    </row>
    <row r="9768" ht="14.25" customHeight="1">
      <c r="A9768" s="2" t="s">
        <v>465</v>
      </c>
      <c r="B9768" s="2" t="s">
        <v>466</v>
      </c>
      <c r="C9768" s="2">
        <v>1989.0</v>
      </c>
      <c r="D9768" s="9">
        <v>50606.52</v>
      </c>
      <c r="E9768" s="10" t="str">
        <f t="array" ref="E9768">IFS(D9768&lt;=$G$3,'calculated data '!$A$3,D9768&lt;=$G$4,'calculated data '!$A$4,D9768&lt;=$G$6,'calculated data '!$A$5,D9768&gt;=$G$6,'calculated data '!$A$6)</f>
        <v>High Demand Tier</v>
      </c>
      <c r="F9768" s="10">
        <f t="shared" si="1"/>
        <v>0.6763705053</v>
      </c>
    </row>
    <row r="9769" ht="14.25" customHeight="1">
      <c r="A9769" s="2" t="s">
        <v>407</v>
      </c>
      <c r="B9769" s="2" t="s">
        <v>408</v>
      </c>
      <c r="C9769" s="2">
        <v>1988.0</v>
      </c>
      <c r="D9769" s="9">
        <v>50608.824</v>
      </c>
      <c r="E9769" s="10" t="str">
        <f t="array" ref="E9769">IFS(D9769&lt;=$G$3,'calculated data '!$A$3,D9769&lt;=$G$4,'calculated data '!$A$4,D9769&lt;=$G$6,'calculated data '!$A$5,D9769&gt;=$G$6,'calculated data '!$A$6)</f>
        <v>High Demand Tier</v>
      </c>
      <c r="F9769" s="10">
        <f t="shared" si="1"/>
        <v>0.6764314916</v>
      </c>
    </row>
    <row r="9770" ht="14.25" customHeight="1">
      <c r="A9770" s="2" t="s">
        <v>343</v>
      </c>
      <c r="B9770" s="2" t="s">
        <v>344</v>
      </c>
      <c r="C9770" s="2">
        <v>2001.0</v>
      </c>
      <c r="D9770" s="9">
        <v>50635.2</v>
      </c>
      <c r="E9770" s="10" t="str">
        <f t="array" ref="E9770">IFS(D9770&lt;=$G$3,'calculated data '!$A$3,D9770&lt;=$G$4,'calculated data '!$A$4,D9770&lt;=$G$6,'calculated data '!$A$5,D9770&gt;=$G$6,'calculated data '!$A$6)</f>
        <v>High Demand Tier</v>
      </c>
      <c r="F9770" s="10">
        <f t="shared" si="1"/>
        <v>0.6771296577</v>
      </c>
    </row>
    <row r="9771" ht="14.25" customHeight="1">
      <c r="A9771" s="2" t="s">
        <v>473</v>
      </c>
      <c r="B9771" s="2" t="s">
        <v>474</v>
      </c>
      <c r="C9771" s="2">
        <v>2003.0</v>
      </c>
      <c r="D9771" s="9">
        <v>50651.3</v>
      </c>
      <c r="E9771" s="10" t="str">
        <f t="array" ref="E9771">IFS(D9771&lt;=$G$3,'calculated data '!$A$3,D9771&lt;=$G$4,'calculated data '!$A$4,D9771&lt;=$G$6,'calculated data '!$A$5,D9771&gt;=$G$6,'calculated data '!$A$6)</f>
        <v>High Demand Tier</v>
      </c>
      <c r="F9771" s="10">
        <f t="shared" si="1"/>
        <v>0.6775558207</v>
      </c>
    </row>
    <row r="9772" ht="14.25" customHeight="1">
      <c r="A9772" s="2" t="s">
        <v>453</v>
      </c>
      <c r="B9772" s="2" t="s">
        <v>454</v>
      </c>
      <c r="C9772" s="2">
        <v>2006.0</v>
      </c>
      <c r="D9772" s="9">
        <v>50684.29</v>
      </c>
      <c r="E9772" s="10" t="str">
        <f t="array" ref="E9772">IFS(D9772&lt;=$G$3,'calculated data '!$A$3,D9772&lt;=$G$4,'calculated data '!$A$4,D9772&lt;=$G$6,'calculated data '!$A$5,D9772&gt;=$G$6,'calculated data '!$A$6)</f>
        <v>High Demand Tier</v>
      </c>
      <c r="F9772" s="10">
        <f t="shared" si="1"/>
        <v>0.6784290578</v>
      </c>
    </row>
    <row r="9773" ht="14.25" customHeight="1">
      <c r="A9773" s="2" t="s">
        <v>433</v>
      </c>
      <c r="B9773" s="2" t="s">
        <v>434</v>
      </c>
      <c r="C9773" s="2">
        <v>1996.0</v>
      </c>
      <c r="D9773" s="9">
        <v>50689.605</v>
      </c>
      <c r="E9773" s="10" t="str">
        <f t="array" ref="E9773">IFS(D9773&lt;=$G$3,'calculated data '!$A$3,D9773&lt;=$G$4,'calculated data '!$A$4,D9773&lt;=$G$6,'calculated data '!$A$5,D9773&gt;=$G$6,'calculated data '!$A$6)</f>
        <v>High Demand Tier</v>
      </c>
      <c r="F9773" s="10">
        <f t="shared" si="1"/>
        <v>0.6785697445</v>
      </c>
    </row>
    <row r="9774" ht="14.25" customHeight="1">
      <c r="A9774" s="2" t="s">
        <v>397</v>
      </c>
      <c r="B9774" s="2" t="s">
        <v>398</v>
      </c>
      <c r="C9774" s="2">
        <v>1981.0</v>
      </c>
      <c r="D9774" s="9">
        <v>50692.457</v>
      </c>
      <c r="E9774" s="10" t="str">
        <f t="array" ref="E9774">IFS(D9774&lt;=$G$3,'calculated data '!$A$3,D9774&lt;=$G$4,'calculated data '!$A$4,D9774&lt;=$G$6,'calculated data '!$A$5,D9774&gt;=$G$6,'calculated data '!$A$6)</f>
        <v>High Demand Tier</v>
      </c>
      <c r="F9774" s="10">
        <f t="shared" si="1"/>
        <v>0.6786452362</v>
      </c>
    </row>
    <row r="9775" ht="14.25" customHeight="1">
      <c r="A9775" s="2" t="s">
        <v>279</v>
      </c>
      <c r="B9775" s="2" t="s">
        <v>280</v>
      </c>
      <c r="C9775" s="2">
        <v>2003.0</v>
      </c>
      <c r="D9775" s="9">
        <v>50694.848</v>
      </c>
      <c r="E9775" s="10" t="str">
        <f t="array" ref="E9775">IFS(D9775&lt;=$G$3,'calculated data '!$A$3,D9775&lt;=$G$4,'calculated data '!$A$4,D9775&lt;=$G$6,'calculated data '!$A$5,D9775&gt;=$G$6,'calculated data '!$A$6)</f>
        <v>High Demand Tier</v>
      </c>
      <c r="F9775" s="10">
        <f t="shared" si="1"/>
        <v>0.6787085254</v>
      </c>
    </row>
    <row r="9776" ht="14.25" customHeight="1">
      <c r="A9776" s="2" t="s">
        <v>429</v>
      </c>
      <c r="B9776" s="2" t="s">
        <v>430</v>
      </c>
      <c r="C9776" s="2">
        <v>1981.0</v>
      </c>
      <c r="D9776" s="9">
        <v>50699.008</v>
      </c>
      <c r="E9776" s="10" t="str">
        <f t="array" ref="E9776">IFS(D9776&lt;=$G$3,'calculated data '!$A$3,D9776&lt;=$G$4,'calculated data '!$A$4,D9776&lt;=$G$6,'calculated data '!$A$5,D9776&gt;=$G$6,'calculated data '!$A$6)</f>
        <v>High Demand Tier</v>
      </c>
      <c r="F9776" s="10">
        <f t="shared" si="1"/>
        <v>0.6788186396</v>
      </c>
    </row>
    <row r="9777" ht="14.25" customHeight="1">
      <c r="A9777" s="2" t="s">
        <v>439</v>
      </c>
      <c r="B9777" s="2" t="s">
        <v>440</v>
      </c>
      <c r="C9777" s="2">
        <v>2020.0</v>
      </c>
      <c r="D9777" s="9">
        <v>50745.734</v>
      </c>
      <c r="E9777" s="10" t="str">
        <f t="array" ref="E9777">IFS(D9777&lt;=$G$3,'calculated data '!$A$3,D9777&lt;=$G$4,'calculated data '!$A$4,D9777&lt;=$G$6,'calculated data '!$A$5,D9777&gt;=$G$6,'calculated data '!$A$6)</f>
        <v>High Demand Tier</v>
      </c>
      <c r="F9777" s="10">
        <f t="shared" si="1"/>
        <v>0.6800554652</v>
      </c>
    </row>
    <row r="9778" ht="14.25" customHeight="1">
      <c r="A9778" s="2" t="s">
        <v>439</v>
      </c>
      <c r="B9778" s="2" t="s">
        <v>440</v>
      </c>
      <c r="C9778" s="2">
        <v>1999.0</v>
      </c>
      <c r="D9778" s="9">
        <v>50774.543</v>
      </c>
      <c r="E9778" s="10" t="str">
        <f t="array" ref="E9778">IFS(D9778&lt;=$G$3,'calculated data '!$A$3,D9778&lt;=$G$4,'calculated data '!$A$4,D9778&lt;=$G$6,'calculated data '!$A$5,D9778&gt;=$G$6,'calculated data '!$A$6)</f>
        <v>High Demand Tier</v>
      </c>
      <c r="F9778" s="10">
        <f t="shared" si="1"/>
        <v>0.6808180322</v>
      </c>
    </row>
    <row r="9779" ht="14.25" customHeight="1">
      <c r="A9779" s="2" t="s">
        <v>439</v>
      </c>
      <c r="B9779" s="2" t="s">
        <v>440</v>
      </c>
      <c r="C9779" s="2">
        <v>2009.0</v>
      </c>
      <c r="D9779" s="9">
        <v>50808.47</v>
      </c>
      <c r="E9779" s="10" t="str">
        <f t="array" ref="E9779">IFS(D9779&lt;=$G$3,'calculated data '!$A$3,D9779&lt;=$G$4,'calculated data '!$A$4,D9779&lt;=$G$6,'calculated data '!$A$5,D9779&gt;=$G$6,'calculated data '!$A$6)</f>
        <v>High Demand Tier</v>
      </c>
      <c r="F9779" s="10">
        <f t="shared" si="1"/>
        <v>0.6817160715</v>
      </c>
    </row>
    <row r="9780" ht="14.25" customHeight="1">
      <c r="A9780" s="2" t="s">
        <v>473</v>
      </c>
      <c r="B9780" s="2" t="s">
        <v>474</v>
      </c>
      <c r="C9780" s="2">
        <v>2005.0</v>
      </c>
      <c r="D9780" s="9">
        <v>50816.855</v>
      </c>
      <c r="E9780" s="10" t="str">
        <f t="array" ref="E9780">IFS(D9780&lt;=$G$3,'calculated data '!$A$3,D9780&lt;=$G$4,'calculated data '!$A$4,D9780&lt;=$G$6,'calculated data '!$A$5,D9780&gt;=$G$6,'calculated data '!$A$6)</f>
        <v>High Demand Tier</v>
      </c>
      <c r="F9780" s="10">
        <f t="shared" si="1"/>
        <v>0.6819380203</v>
      </c>
    </row>
    <row r="9781" ht="14.25" customHeight="1">
      <c r="A9781" s="2" t="s">
        <v>435</v>
      </c>
      <c r="B9781" s="2" t="s">
        <v>436</v>
      </c>
      <c r="C9781" s="2">
        <v>2000.0</v>
      </c>
      <c r="D9781" s="9">
        <v>50835.836</v>
      </c>
      <c r="E9781" s="10" t="str">
        <f t="array" ref="E9781">IFS(D9781&lt;=$G$3,'calculated data '!$A$3,D9781&lt;=$G$4,'calculated data '!$A$4,D9781&lt;=$G$6,'calculated data '!$A$5,D9781&gt;=$G$6,'calculated data '!$A$6)</f>
        <v>High Demand Tier</v>
      </c>
      <c r="F9781" s="10">
        <f t="shared" si="1"/>
        <v>0.6824404427</v>
      </c>
    </row>
    <row r="9782" ht="14.25" customHeight="1">
      <c r="A9782" s="2" t="s">
        <v>433</v>
      </c>
      <c r="B9782" s="2" t="s">
        <v>434</v>
      </c>
      <c r="C9782" s="2">
        <v>2006.0</v>
      </c>
      <c r="D9782" s="9">
        <v>50851.95</v>
      </c>
      <c r="E9782" s="10" t="str">
        <f t="array" ref="E9782">IFS(D9782&lt;=$G$3,'calculated data '!$A$3,D9782&lt;=$G$4,'calculated data '!$A$4,D9782&lt;=$G$6,'calculated data '!$A$5,D9782&gt;=$G$6,'calculated data '!$A$6)</f>
        <v>High Demand Tier</v>
      </c>
      <c r="F9782" s="10">
        <f t="shared" si="1"/>
        <v>0.6828669762</v>
      </c>
    </row>
    <row r="9783" ht="14.25" customHeight="1">
      <c r="A9783" s="2" t="s">
        <v>433</v>
      </c>
      <c r="B9783" s="2" t="s">
        <v>434</v>
      </c>
      <c r="C9783" s="2">
        <v>1998.0</v>
      </c>
      <c r="D9783" s="9">
        <v>50869.188</v>
      </c>
      <c r="E9783" s="10" t="str">
        <f t="array" ref="E9783">IFS(D9783&lt;=$G$3,'calculated data '!$A$3,D9783&lt;=$G$4,'calculated data '!$A$4,D9783&lt;=$G$6,'calculated data '!$A$5,D9783&gt;=$G$6,'calculated data '!$A$6)</f>
        <v>High Demand Tier</v>
      </c>
      <c r="F9783" s="10">
        <f t="shared" si="1"/>
        <v>0.6833232618</v>
      </c>
    </row>
    <row r="9784" ht="14.25" customHeight="1">
      <c r="A9784" s="2" t="s">
        <v>475</v>
      </c>
      <c r="B9784" s="2" t="s">
        <v>476</v>
      </c>
      <c r="C9784" s="2">
        <v>2016.0</v>
      </c>
      <c r="D9784" s="9">
        <v>50875.37</v>
      </c>
      <c r="E9784" s="10" t="str">
        <f t="array" ref="E9784">IFS(D9784&lt;=$G$3,'calculated data '!$A$3,D9784&lt;=$G$4,'calculated data '!$A$4,D9784&lt;=$G$6,'calculated data '!$A$5,D9784&gt;=$G$6,'calculated data '!$A$6)</f>
        <v>High Demand Tier</v>
      </c>
      <c r="F9784" s="10">
        <f t="shared" si="1"/>
        <v>0.6834868978</v>
      </c>
    </row>
    <row r="9785" ht="14.25" customHeight="1">
      <c r="A9785" s="2" t="s">
        <v>471</v>
      </c>
      <c r="B9785" s="2" t="s">
        <v>472</v>
      </c>
      <c r="C9785" s="2">
        <v>2015.0</v>
      </c>
      <c r="D9785" s="9">
        <v>50881.44</v>
      </c>
      <c r="E9785" s="10" t="str">
        <f t="array" ref="E9785">IFS(D9785&lt;=$G$3,'calculated data '!$A$3,D9785&lt;=$G$4,'calculated data '!$A$4,D9785&lt;=$G$6,'calculated data '!$A$5,D9785&gt;=$G$6,'calculated data '!$A$6)</f>
        <v>High Demand Tier</v>
      </c>
      <c r="F9785" s="10">
        <f t="shared" si="1"/>
        <v>0.6836475692</v>
      </c>
    </row>
    <row r="9786" ht="14.25" customHeight="1">
      <c r="A9786" s="2" t="s">
        <v>459</v>
      </c>
      <c r="B9786" s="2" t="s">
        <v>460</v>
      </c>
      <c r="C9786" s="2">
        <v>1991.0</v>
      </c>
      <c r="D9786" s="9">
        <v>50902.08</v>
      </c>
      <c r="E9786" s="10" t="str">
        <f t="array" ref="E9786">IFS(D9786&lt;=$G$3,'calculated data '!$A$3,D9786&lt;=$G$4,'calculated data '!$A$4,D9786&lt;=$G$6,'calculated data '!$A$5,D9786&gt;=$G$6,'calculated data '!$A$6)</f>
        <v>High Demand Tier</v>
      </c>
      <c r="F9786" s="10">
        <f t="shared" si="1"/>
        <v>0.6841939048</v>
      </c>
    </row>
    <row r="9787" ht="14.25" customHeight="1">
      <c r="A9787" s="2" t="s">
        <v>267</v>
      </c>
      <c r="B9787" s="2" t="s">
        <v>268</v>
      </c>
      <c r="C9787" s="2">
        <v>2008.0</v>
      </c>
      <c r="D9787" s="9">
        <v>50905.336</v>
      </c>
      <c r="E9787" s="10" t="str">
        <f t="array" ref="E9787">IFS(D9787&lt;=$G$3,'calculated data '!$A$3,D9787&lt;=$G$4,'calculated data '!$A$4,D9787&lt;=$G$6,'calculated data '!$A$5,D9787&gt;=$G$6,'calculated data '!$A$6)</f>
        <v>High Demand Tier</v>
      </c>
      <c r="F9787" s="10">
        <f t="shared" si="1"/>
        <v>0.6842800904</v>
      </c>
    </row>
    <row r="9788" ht="14.25" customHeight="1">
      <c r="A9788" s="2" t="s">
        <v>459</v>
      </c>
      <c r="B9788" s="2" t="s">
        <v>460</v>
      </c>
      <c r="C9788" s="2">
        <v>1977.0</v>
      </c>
      <c r="D9788" s="9">
        <v>50911.37</v>
      </c>
      <c r="E9788" s="10" t="str">
        <f t="array" ref="E9788">IFS(D9788&lt;=$G$3,'calculated data '!$A$3,D9788&lt;=$G$4,'calculated data '!$A$4,D9788&lt;=$G$6,'calculated data '!$A$5,D9788&gt;=$G$6,'calculated data '!$A$6)</f>
        <v>High Demand Tier</v>
      </c>
      <c r="F9788" s="10">
        <f t="shared" si="1"/>
        <v>0.6844398088</v>
      </c>
    </row>
    <row r="9789" ht="14.25" customHeight="1">
      <c r="A9789" s="2" t="s">
        <v>427</v>
      </c>
      <c r="B9789" s="2" t="s">
        <v>428</v>
      </c>
      <c r="C9789" s="2">
        <v>2016.0</v>
      </c>
      <c r="D9789" s="9">
        <v>50928.246</v>
      </c>
      <c r="E9789" s="10" t="str">
        <f t="array" ref="E9789">IFS(D9789&lt;=$G$3,'calculated data '!$A$3,D9789&lt;=$G$4,'calculated data '!$A$4,D9789&lt;=$G$6,'calculated data '!$A$5,D9789&gt;=$G$6,'calculated data '!$A$6)</f>
        <v>High Demand Tier</v>
      </c>
      <c r="F9789" s="10">
        <f t="shared" si="1"/>
        <v>0.6848865123</v>
      </c>
    </row>
    <row r="9790" ht="14.25" customHeight="1">
      <c r="A9790" s="2" t="s">
        <v>343</v>
      </c>
      <c r="B9790" s="2" t="s">
        <v>344</v>
      </c>
      <c r="C9790" s="2">
        <v>2006.0</v>
      </c>
      <c r="D9790" s="9">
        <v>50950.824</v>
      </c>
      <c r="E9790" s="10" t="str">
        <f t="array" ref="E9790">IFS(D9790&lt;=$G$3,'calculated data '!$A$3,D9790&lt;=$G$4,'calculated data '!$A$4,D9790&lt;=$G$6,'calculated data '!$A$5,D9790&gt;=$G$6,'calculated data '!$A$6)</f>
        <v>High Demand Tier</v>
      </c>
      <c r="F9790" s="10">
        <f t="shared" si="1"/>
        <v>0.6854841464</v>
      </c>
    </row>
    <row r="9791" ht="14.25" customHeight="1">
      <c r="A9791" s="2" t="s">
        <v>445</v>
      </c>
      <c r="B9791" s="2" t="s">
        <v>446</v>
      </c>
      <c r="C9791" s="2">
        <v>1982.0</v>
      </c>
      <c r="D9791" s="9">
        <v>50957.37</v>
      </c>
      <c r="E9791" s="10" t="str">
        <f t="array" ref="E9791">IFS(D9791&lt;=$G$3,'calculated data '!$A$3,D9791&lt;=$G$4,'calculated data '!$A$4,D9791&lt;=$G$6,'calculated data '!$A$5,D9791&gt;=$G$6,'calculated data '!$A$6)</f>
        <v>High Demand Tier</v>
      </c>
      <c r="F9791" s="10">
        <f t="shared" si="1"/>
        <v>0.6856574174</v>
      </c>
    </row>
    <row r="9792" ht="14.25" customHeight="1">
      <c r="A9792" s="2" t="s">
        <v>477</v>
      </c>
      <c r="B9792" s="2" t="s">
        <v>478</v>
      </c>
      <c r="C9792" s="2">
        <v>1983.0</v>
      </c>
      <c r="D9792" s="9">
        <v>50962.47</v>
      </c>
      <c r="E9792" s="10" t="str">
        <f t="array" ref="E9792">IFS(D9792&lt;=$G$3,'calculated data '!$A$3,D9792&lt;=$G$4,'calculated data '!$A$4,D9792&lt;=$G$6,'calculated data '!$A$5,D9792&gt;=$G$6,'calculated data '!$A$6)</f>
        <v>High Demand Tier</v>
      </c>
      <c r="F9792" s="10">
        <f t="shared" si="1"/>
        <v>0.6857924131</v>
      </c>
    </row>
    <row r="9793" ht="14.25" customHeight="1">
      <c r="A9793" s="2" t="s">
        <v>433</v>
      </c>
      <c r="B9793" s="2" t="s">
        <v>434</v>
      </c>
      <c r="C9793" s="2">
        <v>1999.0</v>
      </c>
      <c r="D9793" s="9">
        <v>50970.8</v>
      </c>
      <c r="E9793" s="10" t="str">
        <f t="array" ref="E9793">IFS(D9793&lt;=$G$3,'calculated data '!$A$3,D9793&lt;=$G$4,'calculated data '!$A$4,D9793&lt;=$G$6,'calculated data '!$A$5,D9793&gt;=$G$6,'calculated data '!$A$6)</f>
        <v>High Demand Tier</v>
      </c>
      <c r="F9793" s="10">
        <f t="shared" si="1"/>
        <v>0.6860129061</v>
      </c>
    </row>
    <row r="9794" ht="14.25" customHeight="1">
      <c r="A9794" s="2" t="s">
        <v>459</v>
      </c>
      <c r="B9794" s="2" t="s">
        <v>460</v>
      </c>
      <c r="C9794" s="2">
        <v>1976.0</v>
      </c>
      <c r="D9794" s="9">
        <v>50983.457</v>
      </c>
      <c r="E9794" s="10" t="str">
        <f t="array" ref="E9794">IFS(D9794&lt;=$G$3,'calculated data '!$A$3,D9794&lt;=$G$4,'calculated data '!$A$4,D9794&lt;=$G$6,'calculated data '!$A$5,D9794&gt;=$G$6,'calculated data '!$A$6)</f>
        <v>High Demand Tier</v>
      </c>
      <c r="F9794" s="10">
        <f t="shared" si="1"/>
        <v>0.6863479338</v>
      </c>
    </row>
    <row r="9795" ht="14.25" customHeight="1">
      <c r="A9795" s="2" t="s">
        <v>393</v>
      </c>
      <c r="B9795" s="2" t="s">
        <v>394</v>
      </c>
      <c r="C9795" s="2">
        <v>1985.0</v>
      </c>
      <c r="D9795" s="9">
        <v>51019.34</v>
      </c>
      <c r="E9795" s="10" t="str">
        <f t="array" ref="E9795">IFS(D9795&lt;=$G$3,'calculated data '!$A$3,D9795&lt;=$G$4,'calculated data '!$A$4,D9795&lt;=$G$6,'calculated data '!$A$5,D9795&gt;=$G$6,'calculated data '!$A$6)</f>
        <v>High Demand Tier</v>
      </c>
      <c r="F9795" s="10">
        <f t="shared" si="1"/>
        <v>0.6872977478</v>
      </c>
    </row>
    <row r="9796" ht="14.25" customHeight="1">
      <c r="A9796" s="2" t="s">
        <v>451</v>
      </c>
      <c r="B9796" s="2" t="s">
        <v>452</v>
      </c>
      <c r="C9796" s="2">
        <v>1985.0</v>
      </c>
      <c r="D9796" s="9">
        <v>51043.164</v>
      </c>
      <c r="E9796" s="10" t="str">
        <f t="array" ref="E9796">IFS(D9796&lt;=$G$3,'calculated data '!$A$3,D9796&lt;=$G$4,'calculated data '!$A$4,D9796&lt;=$G$6,'calculated data '!$A$5,D9796&gt;=$G$6,'calculated data '!$A$6)</f>
        <v>High Demand Tier</v>
      </c>
      <c r="F9796" s="10">
        <f t="shared" si="1"/>
        <v>0.6879283632</v>
      </c>
    </row>
    <row r="9797" ht="14.25" customHeight="1">
      <c r="A9797" s="2" t="s">
        <v>469</v>
      </c>
      <c r="B9797" s="2" t="s">
        <v>470</v>
      </c>
      <c r="C9797" s="2">
        <v>1986.0</v>
      </c>
      <c r="D9797" s="9">
        <v>51072.656</v>
      </c>
      <c r="E9797" s="10" t="str">
        <f t="array" ref="E9797">IFS(D9797&lt;=$G$3,'calculated data '!$A$3,D9797&lt;=$G$4,'calculated data '!$A$4,D9797&lt;=$G$6,'calculated data '!$A$5,D9797&gt;=$G$6,'calculated data '!$A$6)</f>
        <v>High Demand Tier</v>
      </c>
      <c r="F9797" s="10">
        <f t="shared" si="1"/>
        <v>0.6887090091</v>
      </c>
    </row>
    <row r="9798" ht="14.25" customHeight="1">
      <c r="A9798" s="2" t="s">
        <v>459</v>
      </c>
      <c r="B9798" s="2" t="s">
        <v>460</v>
      </c>
      <c r="C9798" s="2">
        <v>1983.0</v>
      </c>
      <c r="D9798" s="9">
        <v>51092.83</v>
      </c>
      <c r="E9798" s="10" t="str">
        <f t="array" ref="E9798">IFS(D9798&lt;=$G$3,'calculated data '!$A$3,D9798&lt;=$G$4,'calculated data '!$A$4,D9798&lt;=$G$6,'calculated data '!$A$5,D9798&gt;=$G$6,'calculated data '!$A$6)</f>
        <v>High Demand Tier</v>
      </c>
      <c r="F9798" s="10">
        <f t="shared" si="1"/>
        <v>0.6892430098</v>
      </c>
    </row>
    <row r="9799" ht="14.25" customHeight="1">
      <c r="A9799" s="2" t="s">
        <v>429</v>
      </c>
      <c r="B9799" s="2" t="s">
        <v>430</v>
      </c>
      <c r="C9799" s="2">
        <v>1984.0</v>
      </c>
      <c r="D9799" s="9">
        <v>51123.16</v>
      </c>
      <c r="E9799" s="10" t="str">
        <f t="array" ref="E9799">IFS(D9799&lt;=$G$3,'calculated data '!$A$3,D9799&lt;=$G$4,'calculated data '!$A$4,D9799&lt;=$G$6,'calculated data '!$A$5,D9799&gt;=$G$6,'calculated data '!$A$6)</f>
        <v>High Demand Tier</v>
      </c>
      <c r="F9799" s="10">
        <f t="shared" si="1"/>
        <v>0.6900458374</v>
      </c>
    </row>
    <row r="9800" ht="14.25" customHeight="1">
      <c r="A9800" s="2" t="s">
        <v>475</v>
      </c>
      <c r="B9800" s="2" t="s">
        <v>476</v>
      </c>
      <c r="C9800" s="2">
        <v>1975.0</v>
      </c>
      <c r="D9800" s="9">
        <v>51133.33</v>
      </c>
      <c r="E9800" s="10" t="str">
        <f t="array" ref="E9800">IFS(D9800&lt;=$G$3,'calculated data '!$A$3,D9800&lt;=$G$4,'calculated data '!$A$4,D9800&lt;=$G$6,'calculated data '!$A$5,D9800&gt;=$G$6,'calculated data '!$A$6)</f>
        <v>High Demand Tier</v>
      </c>
      <c r="F9800" s="10">
        <f t="shared" si="1"/>
        <v>0.6903150347</v>
      </c>
    </row>
    <row r="9801" ht="14.25" customHeight="1">
      <c r="A9801" s="2" t="s">
        <v>267</v>
      </c>
      <c r="B9801" s="2" t="s">
        <v>268</v>
      </c>
      <c r="C9801" s="2">
        <v>2015.0</v>
      </c>
      <c r="D9801" s="9">
        <v>51149.113</v>
      </c>
      <c r="E9801" s="10" t="str">
        <f t="array" ref="E9801">IFS(D9801&lt;=$G$3,'calculated data '!$A$3,D9801&lt;=$G$4,'calculated data '!$A$4,D9801&lt;=$G$6,'calculated data '!$A$5,D9801&gt;=$G$6,'calculated data '!$A$6)</f>
        <v>High Demand Tier</v>
      </c>
      <c r="F9801" s="10">
        <f t="shared" si="1"/>
        <v>0.6907328068</v>
      </c>
    </row>
    <row r="9802" ht="14.25" customHeight="1">
      <c r="A9802" s="2" t="s">
        <v>475</v>
      </c>
      <c r="B9802" s="2" t="s">
        <v>476</v>
      </c>
      <c r="C9802" s="2">
        <v>2019.0</v>
      </c>
      <c r="D9802" s="9">
        <v>51171.383</v>
      </c>
      <c r="E9802" s="10" t="str">
        <f t="array" ref="E9802">IFS(D9802&lt;=$G$3,'calculated data '!$A$3,D9802&lt;=$G$4,'calculated data '!$A$4,D9802&lt;=$G$6,'calculated data '!$A$5,D9802&gt;=$G$6,'calculated data '!$A$6)</f>
        <v>High Demand Tier</v>
      </c>
      <c r="F9802" s="10">
        <f t="shared" si="1"/>
        <v>0.6913222882</v>
      </c>
    </row>
    <row r="9803" ht="14.25" customHeight="1">
      <c r="A9803" s="2" t="s">
        <v>439</v>
      </c>
      <c r="B9803" s="2" t="s">
        <v>440</v>
      </c>
      <c r="C9803" s="2">
        <v>2008.0</v>
      </c>
      <c r="D9803" s="9">
        <v>51177.094</v>
      </c>
      <c r="E9803" s="10" t="str">
        <f t="array" ref="E9803">IFS(D9803&lt;=$G$3,'calculated data '!$A$3,D9803&lt;=$G$4,'calculated data '!$A$4,D9803&lt;=$G$6,'calculated data '!$A$5,D9803&gt;=$G$6,'calculated data '!$A$6)</f>
        <v>High Demand Tier</v>
      </c>
      <c r="F9803" s="10">
        <f t="shared" si="1"/>
        <v>0.6914734569</v>
      </c>
    </row>
    <row r="9804" ht="14.25" customHeight="1">
      <c r="A9804" s="2" t="s">
        <v>435</v>
      </c>
      <c r="B9804" s="2" t="s">
        <v>436</v>
      </c>
      <c r="C9804" s="2">
        <v>2001.0</v>
      </c>
      <c r="D9804" s="9">
        <v>51177.742</v>
      </c>
      <c r="E9804" s="10" t="str">
        <f t="array" ref="E9804">IFS(D9804&lt;=$G$3,'calculated data '!$A$3,D9804&lt;=$G$4,'calculated data '!$A$4,D9804&lt;=$G$6,'calculated data '!$A$5,D9804&gt;=$G$6,'calculated data '!$A$6)</f>
        <v>High Demand Tier</v>
      </c>
      <c r="F9804" s="10">
        <f t="shared" si="1"/>
        <v>0.6914906093</v>
      </c>
    </row>
    <row r="9805" ht="14.25" customHeight="1">
      <c r="A9805" s="2" t="s">
        <v>397</v>
      </c>
      <c r="B9805" s="2" t="s">
        <v>398</v>
      </c>
      <c r="C9805" s="2">
        <v>1984.0</v>
      </c>
      <c r="D9805" s="9">
        <v>51215.85</v>
      </c>
      <c r="E9805" s="10" t="str">
        <f t="array" ref="E9805">IFS(D9805&lt;=$G$3,'calculated data '!$A$3,D9805&lt;=$G$4,'calculated data '!$A$4,D9805&lt;=$G$6,'calculated data '!$A$5,D9805&gt;=$G$6,'calculated data '!$A$6)</f>
        <v>High Demand Tier</v>
      </c>
      <c r="F9805" s="10">
        <f t="shared" si="1"/>
        <v>0.6924993186</v>
      </c>
    </row>
    <row r="9806" ht="14.25" customHeight="1">
      <c r="A9806" s="2" t="s">
        <v>279</v>
      </c>
      <c r="B9806" s="2" t="s">
        <v>280</v>
      </c>
      <c r="C9806" s="2">
        <v>2025.0</v>
      </c>
      <c r="D9806" s="9">
        <v>51231.188</v>
      </c>
      <c r="E9806" s="10" t="str">
        <f t="array" ref="E9806">IFS(D9806&lt;=$G$3,'calculated data '!$A$3,D9806&lt;=$G$4,'calculated data '!$A$4,D9806&lt;=$G$6,'calculated data '!$A$5,D9806&gt;=$G$6,'calculated data '!$A$6)</f>
        <v>High Demand Tier</v>
      </c>
      <c r="F9806" s="10">
        <f t="shared" si="1"/>
        <v>0.6929053116</v>
      </c>
    </row>
    <row r="9807" ht="14.25" customHeight="1">
      <c r="A9807" s="2" t="s">
        <v>473</v>
      </c>
      <c r="B9807" s="2" t="s">
        <v>474</v>
      </c>
      <c r="C9807" s="2">
        <v>2007.0</v>
      </c>
      <c r="D9807" s="9">
        <v>51239.793</v>
      </c>
      <c r="E9807" s="10" t="str">
        <f t="array" ref="E9807">IFS(D9807&lt;=$G$3,'calculated data '!$A$3,D9807&lt;=$G$4,'calculated data '!$A$4,D9807&lt;=$G$6,'calculated data '!$A$5,D9807&gt;=$G$6,'calculated data '!$A$6)</f>
        <v>High Demand Tier</v>
      </c>
      <c r="F9807" s="10">
        <f t="shared" si="1"/>
        <v>0.6931330838</v>
      </c>
    </row>
    <row r="9808" ht="14.25" customHeight="1">
      <c r="A9808" s="2" t="s">
        <v>427</v>
      </c>
      <c r="B9808" s="2" t="s">
        <v>428</v>
      </c>
      <c r="C9808" s="2">
        <v>2024.0</v>
      </c>
      <c r="D9808" s="9">
        <v>51292.87</v>
      </c>
      <c r="E9808" s="10" t="str">
        <f t="array" ref="E9808">IFS(D9808&lt;=$G$3,'calculated data '!$A$3,D9808&lt;=$G$4,'calculated data '!$A$4,D9808&lt;=$G$6,'calculated data '!$A$5,D9808&gt;=$G$6,'calculated data '!$A$6)</f>
        <v>High Demand Tier</v>
      </c>
      <c r="F9808" s="10">
        <f t="shared" si="1"/>
        <v>0.6945380188</v>
      </c>
    </row>
    <row r="9809" ht="14.25" customHeight="1">
      <c r="A9809" s="2" t="s">
        <v>391</v>
      </c>
      <c r="B9809" s="2" t="s">
        <v>392</v>
      </c>
      <c r="C9809" s="2">
        <v>2001.0</v>
      </c>
      <c r="D9809" s="9">
        <v>51305.06</v>
      </c>
      <c r="E9809" s="10" t="str">
        <f t="array" ref="E9809">IFS(D9809&lt;=$G$3,'calculated data '!$A$3,D9809&lt;=$G$4,'calculated data '!$A$4,D9809&lt;=$G$6,'calculated data '!$A$5,D9809&gt;=$G$6,'calculated data '!$A$6)</f>
        <v>High Demand Tier</v>
      </c>
      <c r="F9809" s="10">
        <f t="shared" si="1"/>
        <v>0.6948606851</v>
      </c>
    </row>
    <row r="9810" ht="14.25" customHeight="1">
      <c r="A9810" s="2" t="s">
        <v>427</v>
      </c>
      <c r="B9810" s="2" t="s">
        <v>428</v>
      </c>
      <c r="C9810" s="2">
        <v>1987.0</v>
      </c>
      <c r="D9810" s="9">
        <v>51315.06</v>
      </c>
      <c r="E9810" s="10" t="str">
        <f t="array" ref="E9810">IFS(D9810&lt;=$G$3,'calculated data '!$A$3,D9810&lt;=$G$4,'calculated data '!$A$4,D9810&lt;=$G$6,'calculated data '!$A$5,D9810&gt;=$G$6,'calculated data '!$A$6)</f>
        <v>High Demand Tier</v>
      </c>
      <c r="F9810" s="10">
        <f t="shared" si="1"/>
        <v>0.6951253826</v>
      </c>
    </row>
    <row r="9811" ht="14.25" customHeight="1">
      <c r="A9811" s="2" t="s">
        <v>467</v>
      </c>
      <c r="B9811" s="2" t="s">
        <v>468</v>
      </c>
      <c r="C9811" s="2">
        <v>1976.0</v>
      </c>
      <c r="D9811" s="9">
        <v>51350.703</v>
      </c>
      <c r="E9811" s="10" t="str">
        <f t="array" ref="E9811">IFS(D9811&lt;=$G$3,'calculated data '!$A$3,D9811&lt;=$G$4,'calculated data '!$A$4,D9811&lt;=$G$6,'calculated data '!$A$5,D9811&gt;=$G$6,'calculated data '!$A$6)</f>
        <v>High Demand Tier</v>
      </c>
      <c r="F9811" s="10">
        <f t="shared" si="1"/>
        <v>0.6960688439</v>
      </c>
    </row>
    <row r="9812" ht="14.25" customHeight="1">
      <c r="A9812" s="2" t="s">
        <v>453</v>
      </c>
      <c r="B9812" s="2" t="s">
        <v>454</v>
      </c>
      <c r="C9812" s="2">
        <v>2010.0</v>
      </c>
      <c r="D9812" s="9">
        <v>51369.234</v>
      </c>
      <c r="E9812" s="10" t="str">
        <f t="array" ref="E9812">IFS(D9812&lt;=$G$3,'calculated data '!$A$3,D9812&lt;=$G$4,'calculated data '!$A$4,D9812&lt;=$G$6,'calculated data '!$A$5,D9812&gt;=$G$6,'calculated data '!$A$6)</f>
        <v>High Demand Tier</v>
      </c>
      <c r="F9812" s="10">
        <f t="shared" si="1"/>
        <v>0.6965593549</v>
      </c>
    </row>
    <row r="9813" ht="14.25" customHeight="1">
      <c r="A9813" s="2" t="s">
        <v>403</v>
      </c>
      <c r="B9813" s="2" t="s">
        <v>404</v>
      </c>
      <c r="C9813" s="2">
        <v>2005.0</v>
      </c>
      <c r="D9813" s="9">
        <v>51383.215</v>
      </c>
      <c r="E9813" s="10" t="str">
        <f t="array" ref="E9813">IFS(D9813&lt;=$G$3,'calculated data '!$A$3,D9813&lt;=$G$4,'calculated data '!$A$4,D9813&lt;=$G$6,'calculated data '!$A$5,D9813&gt;=$G$6,'calculated data '!$A$6)</f>
        <v>High Demand Tier</v>
      </c>
      <c r="F9813" s="10">
        <f t="shared" si="1"/>
        <v>0.6969294285</v>
      </c>
    </row>
    <row r="9814" ht="14.25" customHeight="1">
      <c r="A9814" s="2" t="s">
        <v>391</v>
      </c>
      <c r="B9814" s="2" t="s">
        <v>392</v>
      </c>
      <c r="C9814" s="2">
        <v>2002.0</v>
      </c>
      <c r="D9814" s="9">
        <v>51401.34</v>
      </c>
      <c r="E9814" s="10" t="str">
        <f t="array" ref="E9814">IFS(D9814&lt;=$G$3,'calculated data '!$A$3,D9814&lt;=$G$4,'calculated data '!$A$4,D9814&lt;=$G$6,'calculated data '!$A$5,D9814&gt;=$G$6,'calculated data '!$A$6)</f>
        <v>High Demand Tier</v>
      </c>
      <c r="F9814" s="10">
        <f t="shared" si="1"/>
        <v>0.6974091927</v>
      </c>
    </row>
    <row r="9815" ht="14.25" customHeight="1">
      <c r="A9815" s="2" t="s">
        <v>473</v>
      </c>
      <c r="B9815" s="2" t="s">
        <v>474</v>
      </c>
      <c r="C9815" s="2">
        <v>1969.0</v>
      </c>
      <c r="D9815" s="9">
        <v>51409.89</v>
      </c>
      <c r="E9815" s="10" t="str">
        <f t="array" ref="E9815">IFS(D9815&lt;=$G$3,'calculated data '!$A$3,D9815&lt;=$G$4,'calculated data '!$A$4,D9815&lt;=$G$6,'calculated data '!$A$5,D9815&gt;=$G$6,'calculated data '!$A$6)</f>
        <v>High Demand Tier</v>
      </c>
      <c r="F9815" s="10">
        <f t="shared" si="1"/>
        <v>0.6976355091</v>
      </c>
    </row>
    <row r="9816" ht="14.25" customHeight="1">
      <c r="A9816" s="2" t="s">
        <v>433</v>
      </c>
      <c r="B9816" s="2" t="s">
        <v>434</v>
      </c>
      <c r="C9816" s="2">
        <v>2002.0</v>
      </c>
      <c r="D9816" s="9">
        <v>51421.645</v>
      </c>
      <c r="E9816" s="10" t="str">
        <f t="array" ref="E9816">IFS(D9816&lt;=$G$3,'calculated data '!$A$3,D9816&lt;=$G$4,'calculated data '!$A$4,D9816&lt;=$G$6,'calculated data '!$A$5,D9816&gt;=$G$6,'calculated data '!$A$6)</f>
        <v>High Demand Tier</v>
      </c>
      <c r="F9816" s="10">
        <f t="shared" si="1"/>
        <v>0.697946661</v>
      </c>
    </row>
    <row r="9817" ht="14.25" customHeight="1">
      <c r="A9817" s="2" t="s">
        <v>397</v>
      </c>
      <c r="B9817" s="2" t="s">
        <v>398</v>
      </c>
      <c r="C9817" s="2">
        <v>1980.0</v>
      </c>
      <c r="D9817" s="9">
        <v>51473.926</v>
      </c>
      <c r="E9817" s="10" t="str">
        <f t="array" ref="E9817">IFS(D9817&lt;=$G$3,'calculated data '!$A$3,D9817&lt;=$G$4,'calculated data '!$A$4,D9817&lt;=$G$6,'calculated data '!$A$5,D9817&gt;=$G$6,'calculated data '!$A$6)</f>
        <v>High Demand Tier</v>
      </c>
      <c r="F9817" s="10">
        <f t="shared" si="1"/>
        <v>0.699330526</v>
      </c>
    </row>
    <row r="9818" ht="14.25" customHeight="1">
      <c r="A9818" s="2" t="s">
        <v>475</v>
      </c>
      <c r="B9818" s="2" t="s">
        <v>476</v>
      </c>
      <c r="C9818" s="2">
        <v>2009.0</v>
      </c>
      <c r="D9818" s="9">
        <v>51501.96</v>
      </c>
      <c r="E9818" s="10" t="str">
        <f t="array" ref="E9818">IFS(D9818&lt;=$G$3,'calculated data '!$A$3,D9818&lt;=$G$4,'calculated data '!$A$4,D9818&lt;=$G$6,'calculated data '!$A$5,D9818&gt;=$G$6,'calculated data '!$A$6)</f>
        <v>High Demand Tier</v>
      </c>
      <c r="F9818" s="10">
        <f t="shared" si="1"/>
        <v>0.700072579</v>
      </c>
    </row>
    <row r="9819" ht="14.25" customHeight="1">
      <c r="A9819" s="2" t="s">
        <v>475</v>
      </c>
      <c r="B9819" s="2" t="s">
        <v>476</v>
      </c>
      <c r="C9819" s="2">
        <v>2017.0</v>
      </c>
      <c r="D9819" s="9">
        <v>51520.035</v>
      </c>
      <c r="E9819" s="10" t="str">
        <f t="array" ref="E9819">IFS(D9819&lt;=$G$3,'calculated data '!$A$3,D9819&lt;=$G$4,'calculated data '!$A$4,D9819&lt;=$G$6,'calculated data '!$A$5,D9819&gt;=$G$6,'calculated data '!$A$6)</f>
        <v>High Demand Tier</v>
      </c>
      <c r="F9819" s="10">
        <f t="shared" si="1"/>
        <v>0.7005510198</v>
      </c>
    </row>
    <row r="9820" ht="14.25" customHeight="1">
      <c r="A9820" s="2" t="s">
        <v>381</v>
      </c>
      <c r="B9820" s="2" t="s">
        <v>382</v>
      </c>
      <c r="C9820" s="2">
        <v>2016.0</v>
      </c>
      <c r="D9820" s="9">
        <v>51527.22</v>
      </c>
      <c r="E9820" s="10" t="str">
        <f t="array" ref="E9820">IFS(D9820&lt;=$G$3,'calculated data '!$A$3,D9820&lt;=$G$4,'calculated data '!$A$4,D9820&lt;=$G$6,'calculated data '!$A$5,D9820&gt;=$G$6,'calculated data '!$A$6)</f>
        <v>High Demand Tier</v>
      </c>
      <c r="F9820" s="10">
        <f t="shared" si="1"/>
        <v>0.7007412049</v>
      </c>
    </row>
    <row r="9821" ht="14.25" customHeight="1">
      <c r="A9821" s="2" t="s">
        <v>381</v>
      </c>
      <c r="B9821" s="2" t="s">
        <v>382</v>
      </c>
      <c r="C9821" s="2">
        <v>2015.0</v>
      </c>
      <c r="D9821" s="9">
        <v>51530.76</v>
      </c>
      <c r="E9821" s="10" t="str">
        <f t="array" ref="E9821">IFS(D9821&lt;=$G$3,'calculated data '!$A$3,D9821&lt;=$G$4,'calculated data '!$A$4,D9821&lt;=$G$6,'calculated data '!$A$5,D9821&gt;=$G$6,'calculated data '!$A$6)</f>
        <v>High Demand Tier</v>
      </c>
      <c r="F9821" s="10">
        <f t="shared" si="1"/>
        <v>0.7008349079</v>
      </c>
    </row>
    <row r="9822" ht="14.25" customHeight="1">
      <c r="A9822" s="2" t="s">
        <v>445</v>
      </c>
      <c r="B9822" s="2" t="s">
        <v>446</v>
      </c>
      <c r="C9822" s="2">
        <v>1983.0</v>
      </c>
      <c r="D9822" s="9">
        <v>51533.016</v>
      </c>
      <c r="E9822" s="10" t="str">
        <f t="array" ref="E9822">IFS(D9822&lt;=$G$3,'calculated data '!$A$3,D9822&lt;=$G$4,'calculated data '!$A$4,D9822&lt;=$G$6,'calculated data '!$A$5,D9822&gt;=$G$6,'calculated data '!$A$6)</f>
        <v>High Demand Tier</v>
      </c>
      <c r="F9822" s="10">
        <f t="shared" si="1"/>
        <v>0.7008946236</v>
      </c>
    </row>
    <row r="9823" ht="14.25" customHeight="1">
      <c r="A9823" s="2" t="s">
        <v>433</v>
      </c>
      <c r="B9823" s="2" t="s">
        <v>434</v>
      </c>
      <c r="C9823" s="2">
        <v>2001.0</v>
      </c>
      <c r="D9823" s="9">
        <v>51535.855</v>
      </c>
      <c r="E9823" s="10" t="str">
        <f t="array" ref="E9823">IFS(D9823&lt;=$G$3,'calculated data '!$A$3,D9823&lt;=$G$4,'calculated data '!$A$4,D9823&lt;=$G$6,'calculated data '!$A$5,D9823&gt;=$G$6,'calculated data '!$A$6)</f>
        <v>High Demand Tier</v>
      </c>
      <c r="F9823" s="10">
        <f t="shared" si="1"/>
        <v>0.7009697712</v>
      </c>
    </row>
    <row r="9824" ht="14.25" customHeight="1">
      <c r="A9824" s="2" t="s">
        <v>307</v>
      </c>
      <c r="B9824" s="2" t="s">
        <v>308</v>
      </c>
      <c r="C9824" s="2">
        <v>2010.0</v>
      </c>
      <c r="D9824" s="9">
        <v>51540.53</v>
      </c>
      <c r="E9824" s="10" t="str">
        <f t="array" ref="E9824">IFS(D9824&lt;=$G$3,'calculated data '!$A$3,D9824&lt;=$G$4,'calculated data '!$A$4,D9824&lt;=$G$6,'calculated data '!$A$5,D9824&gt;=$G$6,'calculated data '!$A$6)</f>
        <v>High Demand Tier</v>
      </c>
      <c r="F9824" s="10">
        <f t="shared" si="1"/>
        <v>0.7010935173</v>
      </c>
    </row>
    <row r="9825" ht="14.25" customHeight="1">
      <c r="A9825" s="2" t="s">
        <v>433</v>
      </c>
      <c r="B9825" s="2" t="s">
        <v>434</v>
      </c>
      <c r="C9825" s="2">
        <v>2000.0</v>
      </c>
      <c r="D9825" s="9">
        <v>51568.535</v>
      </c>
      <c r="E9825" s="10" t="str">
        <f t="array" ref="E9825">IFS(D9825&lt;=$G$3,'calculated data '!$A$3,D9825&lt;=$G$4,'calculated data '!$A$4,D9825&lt;=$G$6,'calculated data '!$A$5,D9825&gt;=$G$6,'calculated data '!$A$6)</f>
        <v>High Demand Tier</v>
      </c>
      <c r="F9825" s="10">
        <f t="shared" si="1"/>
        <v>0.7018348027</v>
      </c>
    </row>
    <row r="9826" ht="14.25" customHeight="1">
      <c r="A9826" s="2" t="s">
        <v>451</v>
      </c>
      <c r="B9826" s="2" t="s">
        <v>452</v>
      </c>
      <c r="C9826" s="2">
        <v>1986.0</v>
      </c>
      <c r="D9826" s="9">
        <v>51570.176</v>
      </c>
      <c r="E9826" s="10" t="str">
        <f t="array" ref="E9826">IFS(D9826&lt;=$G$3,'calculated data '!$A$3,D9826&lt;=$G$4,'calculated data '!$A$4,D9826&lt;=$G$6,'calculated data '!$A$5,D9826&gt;=$G$6,'calculated data '!$A$6)</f>
        <v>High Demand Tier</v>
      </c>
      <c r="F9826" s="10">
        <f t="shared" si="1"/>
        <v>0.7018782396</v>
      </c>
    </row>
    <row r="9827" ht="14.25" customHeight="1">
      <c r="A9827" s="2" t="s">
        <v>465</v>
      </c>
      <c r="B9827" s="2" t="s">
        <v>466</v>
      </c>
      <c r="C9827" s="2">
        <v>1990.0</v>
      </c>
      <c r="D9827" s="9">
        <v>51571.426</v>
      </c>
      <c r="E9827" s="10" t="str">
        <f t="array" ref="E9827">IFS(D9827&lt;=$G$3,'calculated data '!$A$3,D9827&lt;=$G$4,'calculated data '!$A$4,D9827&lt;=$G$6,'calculated data '!$A$5,D9827&gt;=$G$6,'calculated data '!$A$6)</f>
        <v>High Demand Tier</v>
      </c>
      <c r="F9827" s="10">
        <f t="shared" si="1"/>
        <v>0.7019113268</v>
      </c>
    </row>
    <row r="9828" ht="14.25" customHeight="1">
      <c r="A9828" s="2" t="s">
        <v>403</v>
      </c>
      <c r="B9828" s="2" t="s">
        <v>404</v>
      </c>
      <c r="C9828" s="2">
        <v>2004.0</v>
      </c>
      <c r="D9828" s="9">
        <v>51574.113</v>
      </c>
      <c r="E9828" s="10" t="str">
        <f t="array" ref="E9828">IFS(D9828&lt;=$G$3,'calculated data '!$A$3,D9828&lt;=$G$4,'calculated data '!$A$4,D9828&lt;=$G$6,'calculated data '!$A$5,D9828&gt;=$G$6,'calculated data '!$A$6)</f>
        <v>High Demand Tier</v>
      </c>
      <c r="F9828" s="10">
        <f t="shared" si="1"/>
        <v>0.701982451</v>
      </c>
    </row>
    <row r="9829" ht="14.25" customHeight="1">
      <c r="A9829" s="2" t="s">
        <v>397</v>
      </c>
      <c r="B9829" s="2" t="s">
        <v>398</v>
      </c>
      <c r="C9829" s="2">
        <v>1979.0</v>
      </c>
      <c r="D9829" s="9">
        <v>51603.812</v>
      </c>
      <c r="E9829" s="10" t="str">
        <f t="array" ref="E9829">IFS(D9829&lt;=$G$3,'calculated data '!$A$3,D9829&lt;=$G$4,'calculated data '!$A$4,D9829&lt;=$G$6,'calculated data '!$A$5,D9829&gt;=$G$6,'calculated data '!$A$6)</f>
        <v>High Demand Tier</v>
      </c>
      <c r="F9829" s="10">
        <f t="shared" si="1"/>
        <v>0.7027685761</v>
      </c>
    </row>
    <row r="9830" ht="14.25" customHeight="1">
      <c r="A9830" s="2" t="s">
        <v>469</v>
      </c>
      <c r="B9830" s="2" t="s">
        <v>470</v>
      </c>
      <c r="C9830" s="2">
        <v>1978.0</v>
      </c>
      <c r="D9830" s="9">
        <v>51610.793</v>
      </c>
      <c r="E9830" s="10" t="str">
        <f t="array" ref="E9830">IFS(D9830&lt;=$G$3,'calculated data '!$A$3,D9830&lt;=$G$4,'calculated data '!$A$4,D9830&lt;=$G$6,'calculated data '!$A$5,D9830&gt;=$G$6,'calculated data '!$A$6)</f>
        <v>High Demand Tier</v>
      </c>
      <c r="F9830" s="10">
        <f t="shared" si="1"/>
        <v>0.7029533614</v>
      </c>
    </row>
    <row r="9831" ht="14.25" customHeight="1">
      <c r="A9831" s="2" t="s">
        <v>381</v>
      </c>
      <c r="B9831" s="2" t="s">
        <v>382</v>
      </c>
      <c r="C9831" s="2">
        <v>2017.0</v>
      </c>
      <c r="D9831" s="9">
        <v>51618.42</v>
      </c>
      <c r="E9831" s="10" t="str">
        <f t="array" ref="E9831">IFS(D9831&lt;=$G$3,'calculated data '!$A$3,D9831&lt;=$G$4,'calculated data '!$A$4,D9831&lt;=$G$6,'calculated data '!$A$5,D9831&gt;=$G$6,'calculated data '!$A$6)</f>
        <v>High Demand Tier</v>
      </c>
      <c r="F9831" s="10">
        <f t="shared" si="1"/>
        <v>0.7031552462</v>
      </c>
    </row>
    <row r="9832" ht="14.25" customHeight="1">
      <c r="A9832" s="2" t="s">
        <v>221</v>
      </c>
      <c r="B9832" s="2" t="s">
        <v>222</v>
      </c>
      <c r="C9832" s="2">
        <v>2002.0</v>
      </c>
      <c r="D9832" s="9">
        <v>51623.883</v>
      </c>
      <c r="E9832" s="10" t="str">
        <f t="array" ref="E9832">IFS(D9832&lt;=$G$3,'calculated data '!$A$3,D9832&lt;=$G$4,'calculated data '!$A$4,D9832&lt;=$G$6,'calculated data '!$A$5,D9832&gt;=$G$6,'calculated data '!$A$6)</f>
        <v>High Demand Tier</v>
      </c>
      <c r="F9832" s="10">
        <f t="shared" si="1"/>
        <v>0.7032998505</v>
      </c>
    </row>
    <row r="9833" ht="14.25" customHeight="1">
      <c r="A9833" s="2" t="s">
        <v>487</v>
      </c>
      <c r="B9833" s="2" t="s">
        <v>488</v>
      </c>
      <c r="C9833" s="2">
        <v>1994.0</v>
      </c>
      <c r="D9833" s="9">
        <v>51641.887</v>
      </c>
      <c r="E9833" s="10" t="str">
        <f t="array" ref="E9833">IFS(D9833&lt;=$G$3,'calculated data '!$A$3,D9833&lt;=$G$4,'calculated data '!$A$4,D9833&lt;=$G$6,'calculated data '!$A$5,D9833&gt;=$G$6,'calculated data '!$A$6)</f>
        <v>High Demand Tier</v>
      </c>
      <c r="F9833" s="10">
        <f t="shared" si="1"/>
        <v>0.7037764119</v>
      </c>
    </row>
    <row r="9834" ht="14.25" customHeight="1">
      <c r="A9834" s="2" t="s">
        <v>457</v>
      </c>
      <c r="B9834" s="2" t="s">
        <v>458</v>
      </c>
      <c r="C9834" s="2">
        <v>1985.0</v>
      </c>
      <c r="D9834" s="9">
        <v>51646.992</v>
      </c>
      <c r="E9834" s="10" t="str">
        <f t="array" ref="E9834">IFS(D9834&lt;=$G$3,'calculated data '!$A$3,D9834&lt;=$G$4,'calculated data '!$A$4,D9834&lt;=$G$6,'calculated data '!$A$5,D9834&gt;=$G$6,'calculated data '!$A$6)</f>
        <v>High Demand Tier</v>
      </c>
      <c r="F9834" s="10">
        <f t="shared" si="1"/>
        <v>0.70391154</v>
      </c>
    </row>
    <row r="9835" ht="14.25" customHeight="1">
      <c r="A9835" s="2" t="s">
        <v>433</v>
      </c>
      <c r="B9835" s="2" t="s">
        <v>434</v>
      </c>
      <c r="C9835" s="2">
        <v>2005.0</v>
      </c>
      <c r="D9835" s="9">
        <v>51656.055</v>
      </c>
      <c r="E9835" s="10" t="str">
        <f t="array" ref="E9835">IFS(D9835&lt;=$G$3,'calculated data '!$A$3,D9835&lt;=$G$4,'calculated data '!$A$4,D9835&lt;=$G$6,'calculated data '!$A$5,D9835&gt;=$G$6,'calculated data '!$A$6)</f>
        <v>High Demand Tier</v>
      </c>
      <c r="F9835" s="10">
        <f t="shared" si="1"/>
        <v>0.7041514353</v>
      </c>
    </row>
    <row r="9836" ht="14.25" customHeight="1">
      <c r="A9836" s="2" t="s">
        <v>307</v>
      </c>
      <c r="B9836" s="2" t="s">
        <v>308</v>
      </c>
      <c r="C9836" s="2">
        <v>2002.0</v>
      </c>
      <c r="D9836" s="9">
        <v>51697.395</v>
      </c>
      <c r="E9836" s="10" t="str">
        <f t="array" ref="E9836">IFS(D9836&lt;=$G$3,'calculated data '!$A$3,D9836&lt;=$G$4,'calculated data '!$A$4,D9836&lt;=$G$6,'calculated data '!$A$5,D9836&gt;=$G$6,'calculated data '!$A$6)</f>
        <v>High Demand Tier</v>
      </c>
      <c r="F9836" s="10">
        <f t="shared" si="1"/>
        <v>0.7052456948</v>
      </c>
    </row>
    <row r="9837" ht="14.25" customHeight="1">
      <c r="A9837" s="2" t="s">
        <v>397</v>
      </c>
      <c r="B9837" s="2" t="s">
        <v>398</v>
      </c>
      <c r="C9837" s="2">
        <v>2020.0</v>
      </c>
      <c r="D9837" s="9">
        <v>51709.22</v>
      </c>
      <c r="E9837" s="10" t="str">
        <f t="array" ref="E9837">IFS(D9837&lt;=$G$3,'calculated data '!$A$3,D9837&lt;=$G$4,'calculated data '!$A$4,D9837&lt;=$G$6,'calculated data '!$A$5,D9837&gt;=$G$6,'calculated data '!$A$6)</f>
        <v>High Demand Tier</v>
      </c>
      <c r="F9837" s="10">
        <f t="shared" si="1"/>
        <v>0.7055586996</v>
      </c>
    </row>
    <row r="9838" ht="14.25" customHeight="1">
      <c r="A9838" s="2" t="s">
        <v>279</v>
      </c>
      <c r="B9838" s="2" t="s">
        <v>280</v>
      </c>
      <c r="C9838" s="2">
        <v>2024.0</v>
      </c>
      <c r="D9838" s="9">
        <v>51711.848</v>
      </c>
      <c r="E9838" s="10" t="str">
        <f t="array" ref="E9838">IFS(D9838&lt;=$G$3,'calculated data '!$A$3,D9838&lt;=$G$4,'calculated data '!$A$4,D9838&lt;=$G$6,'calculated data '!$A$5,D9838&gt;=$G$6,'calculated data '!$A$6)</f>
        <v>High Demand Tier</v>
      </c>
      <c r="F9838" s="10">
        <f t="shared" si="1"/>
        <v>0.7056282621</v>
      </c>
    </row>
    <row r="9839" ht="14.25" customHeight="1">
      <c r="A9839" s="2" t="s">
        <v>451</v>
      </c>
      <c r="B9839" s="2" t="s">
        <v>452</v>
      </c>
      <c r="C9839" s="2">
        <v>2023.0</v>
      </c>
      <c r="D9839" s="9">
        <v>51735.1</v>
      </c>
      <c r="E9839" s="10" t="str">
        <f t="array" ref="E9839">IFS(D9839&lt;=$G$3,'calculated data '!$A$3,D9839&lt;=$G$4,'calculated data '!$A$4,D9839&lt;=$G$6,'calculated data '!$A$5,D9839&gt;=$G$6,'calculated data '!$A$6)</f>
        <v>High Demand Tier</v>
      </c>
      <c r="F9839" s="10">
        <f t="shared" si="1"/>
        <v>0.7062437368</v>
      </c>
    </row>
    <row r="9840" ht="14.25" customHeight="1">
      <c r="A9840" s="2" t="s">
        <v>473</v>
      </c>
      <c r="B9840" s="2" t="s">
        <v>474</v>
      </c>
      <c r="C9840" s="2">
        <v>2006.0</v>
      </c>
      <c r="D9840" s="9">
        <v>51772.496</v>
      </c>
      <c r="E9840" s="10" t="str">
        <f t="array" ref="E9840">IFS(D9840&lt;=$G$3,'calculated data '!$A$3,D9840&lt;=$G$4,'calculated data '!$A$4,D9840&lt;=$G$6,'calculated data '!$A$5,D9840&gt;=$G$6,'calculated data '!$A$6)</f>
        <v>High Demand Tier</v>
      </c>
      <c r="F9840" s="10">
        <f t="shared" si="1"/>
        <v>0.7072335996</v>
      </c>
    </row>
    <row r="9841" ht="14.25" customHeight="1">
      <c r="A9841" s="2" t="s">
        <v>453</v>
      </c>
      <c r="B9841" s="2" t="s">
        <v>454</v>
      </c>
      <c r="C9841" s="2">
        <v>1987.0</v>
      </c>
      <c r="D9841" s="9">
        <v>51793.965</v>
      </c>
      <c r="E9841" s="10" t="str">
        <f t="array" ref="E9841">IFS(D9841&lt;=$G$3,'calculated data '!$A$3,D9841&lt;=$G$4,'calculated data '!$A$4,D9841&lt;=$G$6,'calculated data '!$A$5,D9841&gt;=$G$6,'calculated data '!$A$6)</f>
        <v>High Demand Tier</v>
      </c>
      <c r="F9841" s="10">
        <f t="shared" si="1"/>
        <v>0.7078018787</v>
      </c>
    </row>
    <row r="9842" ht="14.25" customHeight="1">
      <c r="A9842" s="2" t="s">
        <v>469</v>
      </c>
      <c r="B9842" s="2" t="s">
        <v>470</v>
      </c>
      <c r="C9842" s="2">
        <v>1982.0</v>
      </c>
      <c r="D9842" s="9">
        <v>51798.105</v>
      </c>
      <c r="E9842" s="10" t="str">
        <f t="array" ref="E9842">IFS(D9842&lt;=$G$3,'calculated data '!$A$3,D9842&lt;=$G$4,'calculated data '!$A$4,D9842&lt;=$G$6,'calculated data '!$A$5,D9842&gt;=$G$6,'calculated data '!$A$6)</f>
        <v>High Demand Tier</v>
      </c>
      <c r="F9842" s="10">
        <f t="shared" si="1"/>
        <v>0.7079114634</v>
      </c>
    </row>
    <row r="9843" ht="14.25" customHeight="1">
      <c r="A9843" s="2" t="s">
        <v>469</v>
      </c>
      <c r="B9843" s="2" t="s">
        <v>470</v>
      </c>
      <c r="C9843" s="2">
        <v>1988.0</v>
      </c>
      <c r="D9843" s="9">
        <v>51825.984</v>
      </c>
      <c r="E9843" s="10" t="str">
        <f t="array" ref="E9843">IFS(D9843&lt;=$G$3,'calculated data '!$A$3,D9843&lt;=$G$4,'calculated data '!$A$4,D9843&lt;=$G$6,'calculated data '!$A$5,D9843&gt;=$G$6,'calculated data '!$A$6)</f>
        <v>High Demand Tier</v>
      </c>
      <c r="F9843" s="10">
        <f t="shared" si="1"/>
        <v>0.7086494136</v>
      </c>
    </row>
    <row r="9844" ht="14.25" customHeight="1">
      <c r="A9844" s="2" t="s">
        <v>433</v>
      </c>
      <c r="B9844" s="2" t="s">
        <v>434</v>
      </c>
      <c r="C9844" s="2">
        <v>2003.0</v>
      </c>
      <c r="D9844" s="9">
        <v>51839.516</v>
      </c>
      <c r="E9844" s="10" t="str">
        <f t="array" ref="E9844">IFS(D9844&lt;=$G$3,'calculated data '!$A$3,D9844&lt;=$G$4,'calculated data '!$A$4,D9844&lt;=$G$6,'calculated data '!$A$5,D9844&gt;=$G$6,'calculated data '!$A$6)</f>
        <v>High Demand Tier</v>
      </c>
      <c r="F9844" s="10">
        <f t="shared" si="1"/>
        <v>0.7090076023</v>
      </c>
    </row>
    <row r="9845" ht="14.25" customHeight="1">
      <c r="A9845" s="2" t="s">
        <v>441</v>
      </c>
      <c r="B9845" s="2" t="s">
        <v>442</v>
      </c>
      <c r="C9845" s="2">
        <v>2019.0</v>
      </c>
      <c r="D9845" s="9">
        <v>51840.15</v>
      </c>
      <c r="E9845" s="10" t="str">
        <f t="array" ref="E9845">IFS(D9845&lt;=$G$3,'calculated data '!$A$3,D9845&lt;=$G$4,'calculated data '!$A$4,D9845&lt;=$G$6,'calculated data '!$A$5,D9845&gt;=$G$6,'calculated data '!$A$6)</f>
        <v>High Demand Tier</v>
      </c>
      <c r="F9845" s="10">
        <f t="shared" si="1"/>
        <v>0.7090243841</v>
      </c>
    </row>
    <row r="9846" ht="14.25" customHeight="1">
      <c r="A9846" s="2" t="s">
        <v>473</v>
      </c>
      <c r="B9846" s="2" t="s">
        <v>474</v>
      </c>
      <c r="C9846" s="2">
        <v>2004.0</v>
      </c>
      <c r="D9846" s="9">
        <v>51853.895</v>
      </c>
      <c r="E9846" s="10" t="str">
        <f t="array" ref="E9846">IFS(D9846&lt;=$G$3,'calculated data '!$A$3,D9846&lt;=$G$4,'calculated data '!$A$4,D9846&lt;=$G$6,'calculated data '!$A$5,D9846&gt;=$G$6,'calculated data '!$A$6)</f>
        <v>High Demand Tier</v>
      </c>
      <c r="F9846" s="10">
        <f t="shared" si="1"/>
        <v>0.7093882108</v>
      </c>
    </row>
    <row r="9847" ht="14.25" customHeight="1">
      <c r="A9847" s="2" t="s">
        <v>429</v>
      </c>
      <c r="B9847" s="2" t="s">
        <v>430</v>
      </c>
      <c r="C9847" s="2">
        <v>1985.0</v>
      </c>
      <c r="D9847" s="9">
        <v>51880.066</v>
      </c>
      <c r="E9847" s="10" t="str">
        <f t="array" ref="E9847">IFS(D9847&lt;=$G$3,'calculated data '!$A$3,D9847&lt;=$G$4,'calculated data '!$A$4,D9847&lt;=$G$6,'calculated data '!$A$5,D9847&gt;=$G$6,'calculated data '!$A$6)</f>
        <v>High Demand Tier</v>
      </c>
      <c r="F9847" s="10">
        <f t="shared" si="1"/>
        <v>0.7100809507</v>
      </c>
    </row>
    <row r="9848" ht="14.25" customHeight="1">
      <c r="A9848" s="2" t="s">
        <v>469</v>
      </c>
      <c r="B9848" s="2" t="s">
        <v>470</v>
      </c>
      <c r="C9848" s="2">
        <v>1977.0</v>
      </c>
      <c r="D9848" s="9">
        <v>51916.062</v>
      </c>
      <c r="E9848" s="10" t="str">
        <f t="array" ref="E9848">IFS(D9848&lt;=$G$3,'calculated data '!$A$3,D9848&lt;=$G$4,'calculated data '!$A$4,D9848&lt;=$G$6,'calculated data '!$A$5,D9848&gt;=$G$6,'calculated data '!$A$6)</f>
        <v>High Demand Tier</v>
      </c>
      <c r="F9848" s="10">
        <f t="shared" si="1"/>
        <v>0.7110337558</v>
      </c>
    </row>
    <row r="9849" ht="14.25" customHeight="1">
      <c r="A9849" s="2" t="s">
        <v>427</v>
      </c>
      <c r="B9849" s="2" t="s">
        <v>428</v>
      </c>
      <c r="C9849" s="2">
        <v>2019.0</v>
      </c>
      <c r="D9849" s="9">
        <v>51969.2</v>
      </c>
      <c r="E9849" s="10" t="str">
        <f t="array" ref="E9849">IFS(D9849&lt;=$G$3,'calculated data '!$A$3,D9849&lt;=$G$4,'calculated data '!$A$4,D9849&lt;=$G$6,'calculated data '!$A$5,D9849&gt;=$G$6,'calculated data '!$A$6)</f>
        <v>High Demand Tier</v>
      </c>
      <c r="F9849" s="10">
        <f t="shared" si="1"/>
        <v>0.7124403055</v>
      </c>
    </row>
    <row r="9850" ht="14.25" customHeight="1">
      <c r="A9850" s="2" t="s">
        <v>475</v>
      </c>
      <c r="B9850" s="2" t="s">
        <v>476</v>
      </c>
      <c r="C9850" s="2">
        <v>1973.0</v>
      </c>
      <c r="D9850" s="9">
        <v>51985.56</v>
      </c>
      <c r="E9850" s="10" t="str">
        <f t="array" ref="E9850">IFS(D9850&lt;=$G$3,'calculated data '!$A$3,D9850&lt;=$G$4,'calculated data '!$A$4,D9850&lt;=$G$6,'calculated data '!$A$5,D9850&gt;=$G$6,'calculated data '!$A$6)</f>
        <v>High Demand Tier</v>
      </c>
      <c r="F9850" s="10">
        <f t="shared" si="1"/>
        <v>0.7128733506</v>
      </c>
    </row>
    <row r="9851" ht="14.25" customHeight="1">
      <c r="A9851" s="2" t="s">
        <v>475</v>
      </c>
      <c r="B9851" s="2" t="s">
        <v>476</v>
      </c>
      <c r="C9851" s="2">
        <v>2014.0</v>
      </c>
      <c r="D9851" s="9">
        <v>51987.9</v>
      </c>
      <c r="E9851" s="10" t="str">
        <f t="array" ref="E9851">IFS(D9851&lt;=$G$3,'calculated data '!$A$3,D9851&lt;=$G$4,'calculated data '!$A$4,D9851&lt;=$G$6,'calculated data '!$A$5,D9851&gt;=$G$6,'calculated data '!$A$6)</f>
        <v>High Demand Tier</v>
      </c>
      <c r="F9851" s="10">
        <f t="shared" si="1"/>
        <v>0.7129352898</v>
      </c>
    </row>
    <row r="9852" ht="14.25" customHeight="1">
      <c r="A9852" s="2" t="s">
        <v>459</v>
      </c>
      <c r="B9852" s="2" t="s">
        <v>460</v>
      </c>
      <c r="C9852" s="2">
        <v>1981.0</v>
      </c>
      <c r="D9852" s="9">
        <v>52016.625</v>
      </c>
      <c r="E9852" s="10" t="str">
        <f t="array" ref="E9852">IFS(D9852&lt;=$G$3,'calculated data '!$A$3,D9852&lt;=$G$4,'calculated data '!$A$4,D9852&lt;=$G$6,'calculated data '!$A$5,D9852&gt;=$G$6,'calculated data '!$A$6)</f>
        <v>High Demand Tier</v>
      </c>
      <c r="F9852" s="10">
        <f t="shared" si="1"/>
        <v>0.7136956334</v>
      </c>
    </row>
    <row r="9853" ht="14.25" customHeight="1">
      <c r="A9853" s="2" t="s">
        <v>477</v>
      </c>
      <c r="B9853" s="2" t="s">
        <v>478</v>
      </c>
      <c r="C9853" s="2">
        <v>2025.0</v>
      </c>
      <c r="D9853" s="9">
        <v>52019.527</v>
      </c>
      <c r="E9853" s="10" t="str">
        <f t="array" ref="E9853">IFS(D9853&lt;=$G$3,'calculated data '!$A$3,D9853&lt;=$G$4,'calculated data '!$A$4,D9853&lt;=$G$6,'calculated data '!$A$5,D9853&gt;=$G$6,'calculated data '!$A$6)</f>
        <v>High Demand Tier</v>
      </c>
      <c r="F9853" s="10">
        <f t="shared" si="1"/>
        <v>0.7137724486</v>
      </c>
    </row>
    <row r="9854" ht="14.25" customHeight="1">
      <c r="A9854" s="2" t="s">
        <v>441</v>
      </c>
      <c r="B9854" s="2" t="s">
        <v>442</v>
      </c>
      <c r="C9854" s="2">
        <v>2023.0</v>
      </c>
      <c r="D9854" s="9">
        <v>52049.77</v>
      </c>
      <c r="E9854" s="10" t="str">
        <f t="array" ref="E9854">IFS(D9854&lt;=$G$3,'calculated data '!$A$3,D9854&lt;=$G$4,'calculated data '!$A$4,D9854&lt;=$G$6,'calculated data '!$A$5,D9854&gt;=$G$6,'calculated data '!$A$6)</f>
        <v>High Demand Tier</v>
      </c>
      <c r="F9854" s="10">
        <f t="shared" si="1"/>
        <v>0.7145729733</v>
      </c>
    </row>
    <row r="9855" ht="14.25" customHeight="1">
      <c r="A9855" s="2" t="s">
        <v>433</v>
      </c>
      <c r="B9855" s="2" t="s">
        <v>434</v>
      </c>
      <c r="C9855" s="2">
        <v>2004.0</v>
      </c>
      <c r="D9855" s="9">
        <v>52065.848</v>
      </c>
      <c r="E9855" s="10" t="str">
        <f t="array" ref="E9855">IFS(D9855&lt;=$G$3,'calculated data '!$A$3,D9855&lt;=$G$4,'calculated data '!$A$4,D9855&lt;=$G$6,'calculated data '!$A$5,D9855&gt;=$G$6,'calculated data '!$A$6)</f>
        <v>High Demand Tier</v>
      </c>
      <c r="F9855" s="10">
        <f t="shared" si="1"/>
        <v>0.714998554</v>
      </c>
    </row>
    <row r="9856" ht="14.25" customHeight="1">
      <c r="A9856" s="2" t="s">
        <v>449</v>
      </c>
      <c r="B9856" s="2" t="s">
        <v>450</v>
      </c>
      <c r="C9856" s="2">
        <v>2011.0</v>
      </c>
      <c r="D9856" s="9">
        <v>52115.16</v>
      </c>
      <c r="E9856" s="10" t="str">
        <f t="array" ref="E9856">IFS(D9856&lt;=$G$3,'calculated data '!$A$3,D9856&lt;=$G$4,'calculated data '!$A$4,D9856&lt;=$G$6,'calculated data '!$A$5,D9856&gt;=$G$6,'calculated data '!$A$6)</f>
        <v>High Demand Tier</v>
      </c>
      <c r="F9856" s="10">
        <f t="shared" si="1"/>
        <v>0.7163038303</v>
      </c>
    </row>
    <row r="9857" ht="14.25" customHeight="1">
      <c r="A9857" s="2" t="s">
        <v>455</v>
      </c>
      <c r="B9857" s="2" t="s">
        <v>456</v>
      </c>
      <c r="C9857" s="2">
        <v>1982.0</v>
      </c>
      <c r="D9857" s="9">
        <v>52119.395</v>
      </c>
      <c r="E9857" s="10" t="str">
        <f t="array" ref="E9857">IFS(D9857&lt;=$G$3,'calculated data '!$A$3,D9857&lt;=$G$4,'calculated data '!$A$4,D9857&lt;=$G$6,'calculated data '!$A$5,D9857&gt;=$G$6,'calculated data '!$A$6)</f>
        <v>High Demand Tier</v>
      </c>
      <c r="F9857" s="10">
        <f t="shared" si="1"/>
        <v>0.7164159297</v>
      </c>
    </row>
    <row r="9858" ht="14.25" customHeight="1">
      <c r="A9858" s="2" t="s">
        <v>485</v>
      </c>
      <c r="B9858" s="2" t="s">
        <v>486</v>
      </c>
      <c r="C9858" s="2">
        <v>2023.0</v>
      </c>
      <c r="D9858" s="9">
        <v>52229.438</v>
      </c>
      <c r="E9858" s="10" t="str">
        <f t="array" ref="E9858">IFS(D9858&lt;=$G$3,'calculated data '!$A$3,D9858&lt;=$G$4,'calculated data '!$A$4,D9858&lt;=$G$6,'calculated data '!$A$5,D9858&gt;=$G$6,'calculated data '!$A$6)</f>
        <v>High Demand Tier</v>
      </c>
      <c r="F9858" s="10">
        <f t="shared" si="1"/>
        <v>0.7193287405</v>
      </c>
    </row>
    <row r="9859" ht="14.25" customHeight="1">
      <c r="A9859" s="2" t="s">
        <v>451</v>
      </c>
      <c r="B9859" s="2" t="s">
        <v>452</v>
      </c>
      <c r="C9859" s="2">
        <v>2024.0</v>
      </c>
      <c r="D9859" s="9">
        <v>52236.492</v>
      </c>
      <c r="E9859" s="10" t="str">
        <f t="array" ref="E9859">IFS(D9859&lt;=$G$3,'calculated data '!$A$3,D9859&lt;=$G$4,'calculated data '!$A$4,D9859&lt;=$G$6,'calculated data '!$A$5,D9859&gt;=$G$6,'calculated data '!$A$6)</f>
        <v>High Demand Tier</v>
      </c>
      <c r="F9859" s="10">
        <f t="shared" si="1"/>
        <v>0.7195154581</v>
      </c>
    </row>
    <row r="9860" ht="14.25" customHeight="1">
      <c r="A9860" s="2" t="s">
        <v>381</v>
      </c>
      <c r="B9860" s="2" t="s">
        <v>382</v>
      </c>
      <c r="C9860" s="2">
        <v>2013.0</v>
      </c>
      <c r="D9860" s="9">
        <v>52265.43</v>
      </c>
      <c r="E9860" s="10" t="str">
        <f t="array" ref="E9860">IFS(D9860&lt;=$G$3,'calculated data '!$A$3,D9860&lt;=$G$4,'calculated data '!$A$4,D9860&lt;=$G$6,'calculated data '!$A$5,D9860&gt;=$G$6,'calculated data '!$A$6)</f>
        <v>High Demand Tier</v>
      </c>
      <c r="F9860" s="10">
        <f t="shared" si="1"/>
        <v>0.7202814398</v>
      </c>
    </row>
    <row r="9861" ht="14.25" customHeight="1">
      <c r="A9861" s="2" t="s">
        <v>485</v>
      </c>
      <c r="B9861" s="2" t="s">
        <v>486</v>
      </c>
      <c r="C9861" s="2">
        <v>2024.0</v>
      </c>
      <c r="D9861" s="9">
        <v>52288.508</v>
      </c>
      <c r="E9861" s="10" t="str">
        <f t="array" ref="E9861">IFS(D9861&lt;=$G$3,'calculated data '!$A$3,D9861&lt;=$G$4,'calculated data '!$A$4,D9861&lt;=$G$6,'calculated data '!$A$5,D9861&gt;=$G$6,'calculated data '!$A$6)</f>
        <v>High Demand Tier</v>
      </c>
      <c r="F9861" s="10">
        <f t="shared" si="1"/>
        <v>0.7208923087</v>
      </c>
    </row>
    <row r="9862" ht="14.25" customHeight="1">
      <c r="A9862" s="2" t="s">
        <v>397</v>
      </c>
      <c r="B9862" s="2" t="s">
        <v>398</v>
      </c>
      <c r="C9862" s="2">
        <v>2022.0</v>
      </c>
      <c r="D9862" s="9">
        <v>52294.41</v>
      </c>
      <c r="E9862" s="10" t="str">
        <f t="array" ref="E9862">IFS(D9862&lt;=$G$3,'calculated data '!$A$3,D9862&lt;=$G$4,'calculated data '!$A$4,D9862&lt;=$G$6,'calculated data '!$A$5,D9862&gt;=$G$6,'calculated data '!$A$6)</f>
        <v>High Demand Tier</v>
      </c>
      <c r="F9862" s="10">
        <f t="shared" si="1"/>
        <v>0.7210485332</v>
      </c>
    </row>
    <row r="9863" ht="14.25" customHeight="1">
      <c r="A9863" s="2" t="s">
        <v>457</v>
      </c>
      <c r="B9863" s="2" t="s">
        <v>458</v>
      </c>
      <c r="C9863" s="2">
        <v>1984.0</v>
      </c>
      <c r="D9863" s="9">
        <v>52321.55</v>
      </c>
      <c r="E9863" s="10" t="str">
        <f t="array" ref="E9863">IFS(D9863&lt;=$G$3,'calculated data '!$A$3,D9863&lt;=$G$4,'calculated data '!$A$4,D9863&lt;=$G$6,'calculated data '!$A$5,D9863&gt;=$G$6,'calculated data '!$A$6)</f>
        <v>High Demand Tier</v>
      </c>
      <c r="F9863" s="10">
        <f t="shared" si="1"/>
        <v>0.7217669222</v>
      </c>
    </row>
    <row r="9864" ht="14.25" customHeight="1">
      <c r="A9864" s="2" t="s">
        <v>487</v>
      </c>
      <c r="B9864" s="2" t="s">
        <v>488</v>
      </c>
      <c r="C9864" s="2">
        <v>1998.0</v>
      </c>
      <c r="D9864" s="9">
        <v>52323.48</v>
      </c>
      <c r="E9864" s="10" t="str">
        <f t="array" ref="E9864">IFS(D9864&lt;=$G$3,'calculated data '!$A$3,D9864&lt;=$G$4,'calculated data '!$A$4,D9864&lt;=$G$6,'calculated data '!$A$5,D9864&gt;=$G$6,'calculated data '!$A$6)</f>
        <v>High Demand Tier</v>
      </c>
      <c r="F9864" s="10">
        <f t="shared" si="1"/>
        <v>0.7218180088</v>
      </c>
    </row>
    <row r="9865" ht="14.25" customHeight="1">
      <c r="A9865" s="2" t="s">
        <v>485</v>
      </c>
      <c r="B9865" s="2" t="s">
        <v>486</v>
      </c>
      <c r="C9865" s="2">
        <v>2021.0</v>
      </c>
      <c r="D9865" s="9">
        <v>52354.766</v>
      </c>
      <c r="E9865" s="10" t="str">
        <f t="array" ref="E9865">IFS(D9865&lt;=$G$3,'calculated data '!$A$3,D9865&lt;=$G$4,'calculated data '!$A$4,D9865&lt;=$G$6,'calculated data '!$A$5,D9865&gt;=$G$6,'calculated data '!$A$6)</f>
        <v>High Demand Tier</v>
      </c>
      <c r="F9865" s="10">
        <f t="shared" si="1"/>
        <v>0.7226461415</v>
      </c>
    </row>
    <row r="9866" ht="14.25" customHeight="1">
      <c r="A9866" s="2" t="s">
        <v>279</v>
      </c>
      <c r="B9866" s="2" t="s">
        <v>280</v>
      </c>
      <c r="C9866" s="2">
        <v>2023.0</v>
      </c>
      <c r="D9866" s="9">
        <v>52355.598</v>
      </c>
      <c r="E9866" s="10" t="str">
        <f t="array" ref="E9866">IFS(D9866&lt;=$G$3,'calculated data '!$A$3,D9866&lt;=$G$4,'calculated data '!$A$4,D9866&lt;=$G$6,'calculated data '!$A$5,D9866&gt;=$G$6,'calculated data '!$A$6)</f>
        <v>High Demand Tier</v>
      </c>
      <c r="F9866" s="10">
        <f t="shared" si="1"/>
        <v>0.7226681643</v>
      </c>
    </row>
    <row r="9867" ht="14.25" customHeight="1">
      <c r="A9867" s="2" t="s">
        <v>439</v>
      </c>
      <c r="B9867" s="2" t="s">
        <v>440</v>
      </c>
      <c r="C9867" s="2">
        <v>2000.0</v>
      </c>
      <c r="D9867" s="9">
        <v>52402.355</v>
      </c>
      <c r="E9867" s="10" t="str">
        <f t="array" ref="E9867">IFS(D9867&lt;=$G$3,'calculated data '!$A$3,D9867&lt;=$G$4,'calculated data '!$A$4,D9867&lt;=$G$6,'calculated data '!$A$5,D9867&gt;=$G$6,'calculated data '!$A$6)</f>
        <v>High Demand Tier</v>
      </c>
      <c r="F9867" s="10">
        <f t="shared" si="1"/>
        <v>0.7239058104</v>
      </c>
    </row>
    <row r="9868" ht="14.25" customHeight="1">
      <c r="A9868" s="2" t="s">
        <v>391</v>
      </c>
      <c r="B9868" s="2" t="s">
        <v>392</v>
      </c>
      <c r="C9868" s="2">
        <v>2008.0</v>
      </c>
      <c r="D9868" s="9">
        <v>52415.633</v>
      </c>
      <c r="E9868" s="10" t="str">
        <f t="array" ref="E9868">IFS(D9868&lt;=$G$3,'calculated data '!$A$3,D9868&lt;=$G$4,'calculated data '!$A$4,D9868&lt;=$G$6,'calculated data '!$A$5,D9868&gt;=$G$6,'calculated data '!$A$6)</f>
        <v>High Demand Tier</v>
      </c>
      <c r="F9868" s="10">
        <f t="shared" si="1"/>
        <v>0.7242572758</v>
      </c>
    </row>
    <row r="9869" ht="14.25" customHeight="1">
      <c r="A9869" s="2" t="s">
        <v>427</v>
      </c>
      <c r="B9869" s="2" t="s">
        <v>428</v>
      </c>
      <c r="C9869" s="2">
        <v>2012.0</v>
      </c>
      <c r="D9869" s="9">
        <v>52423.375</v>
      </c>
      <c r="E9869" s="10" t="str">
        <f t="array" ref="E9869">IFS(D9869&lt;=$G$3,'calculated data '!$A$3,D9869&lt;=$G$4,'calculated data '!$A$4,D9869&lt;=$G$6,'calculated data '!$A$5,D9869&gt;=$G$6,'calculated data '!$A$6)</f>
        <v>High Demand Tier</v>
      </c>
      <c r="F9869" s="10">
        <f t="shared" si="1"/>
        <v>0.7244622046</v>
      </c>
    </row>
    <row r="9870" ht="14.25" customHeight="1">
      <c r="A9870" s="2" t="s">
        <v>279</v>
      </c>
      <c r="B9870" s="2" t="s">
        <v>280</v>
      </c>
      <c r="C9870" s="2">
        <v>2009.0</v>
      </c>
      <c r="D9870" s="9">
        <v>52426.863</v>
      </c>
      <c r="E9870" s="10" t="str">
        <f t="array" ref="E9870">IFS(D9870&lt;=$G$3,'calculated data '!$A$3,D9870&lt;=$G$4,'calculated data '!$A$4,D9870&lt;=$G$6,'calculated data '!$A$5,D9870&gt;=$G$6,'calculated data '!$A$6)</f>
        <v>High Demand Tier</v>
      </c>
      <c r="F9870" s="10">
        <f t="shared" si="1"/>
        <v>0.7245545311</v>
      </c>
    </row>
    <row r="9871" ht="14.25" customHeight="1">
      <c r="A9871" s="2" t="s">
        <v>381</v>
      </c>
      <c r="B9871" s="2" t="s">
        <v>382</v>
      </c>
      <c r="C9871" s="2">
        <v>2009.0</v>
      </c>
      <c r="D9871" s="9">
        <v>52438.996</v>
      </c>
      <c r="E9871" s="10" t="str">
        <f t="array" ref="E9871">IFS(D9871&lt;=$G$3,'calculated data '!$A$3,D9871&lt;=$G$4,'calculated data '!$A$4,D9871&lt;=$G$6,'calculated data '!$A$5,D9871&gt;=$G$6,'calculated data '!$A$6)</f>
        <v>High Demand Tier</v>
      </c>
      <c r="F9871" s="10">
        <f t="shared" si="1"/>
        <v>0.7248756886</v>
      </c>
    </row>
    <row r="9872" ht="14.25" customHeight="1">
      <c r="A9872" s="2" t="s">
        <v>477</v>
      </c>
      <c r="B9872" s="2" t="s">
        <v>478</v>
      </c>
      <c r="C9872" s="2">
        <v>1982.0</v>
      </c>
      <c r="D9872" s="9">
        <v>52446.1</v>
      </c>
      <c r="E9872" s="10" t="str">
        <f t="array" ref="E9872">IFS(D9872&lt;=$G$3,'calculated data '!$A$3,D9872&lt;=$G$4,'calculated data '!$A$4,D9872&lt;=$G$6,'calculated data '!$A$5,D9872&gt;=$G$6,'calculated data '!$A$6)</f>
        <v>High Demand Tier</v>
      </c>
      <c r="F9872" s="10">
        <f t="shared" si="1"/>
        <v>0.7250637297</v>
      </c>
    </row>
    <row r="9873" ht="14.25" customHeight="1">
      <c r="A9873" s="2" t="s">
        <v>439</v>
      </c>
      <c r="B9873" s="2" t="s">
        <v>440</v>
      </c>
      <c r="C9873" s="2">
        <v>2002.0</v>
      </c>
      <c r="D9873" s="9">
        <v>52463.992</v>
      </c>
      <c r="E9873" s="10" t="str">
        <f t="array" ref="E9873">IFS(D9873&lt;=$G$3,'calculated data '!$A$3,D9873&lt;=$G$4,'calculated data '!$A$4,D9873&lt;=$G$6,'calculated data '!$A$5,D9873&gt;=$G$6,'calculated data '!$A$6)</f>
        <v>High Demand Tier</v>
      </c>
      <c r="F9873" s="10">
        <f t="shared" si="1"/>
        <v>0.7255373265</v>
      </c>
    </row>
    <row r="9874" ht="14.25" customHeight="1">
      <c r="A9874" s="2" t="s">
        <v>391</v>
      </c>
      <c r="B9874" s="2" t="s">
        <v>392</v>
      </c>
      <c r="C9874" s="2">
        <v>2000.0</v>
      </c>
      <c r="D9874" s="9">
        <v>52464.555</v>
      </c>
      <c r="E9874" s="10" t="str">
        <f t="array" ref="E9874">IFS(D9874&lt;=$G$3,'calculated data '!$A$3,D9874&lt;=$G$4,'calculated data '!$A$4,D9874&lt;=$G$6,'calculated data '!$A$5,D9874&gt;=$G$6,'calculated data '!$A$6)</f>
        <v>High Demand Tier</v>
      </c>
      <c r="F9874" s="10">
        <f t="shared" si="1"/>
        <v>0.7255522289</v>
      </c>
    </row>
    <row r="9875" ht="14.25" customHeight="1">
      <c r="A9875" s="2" t="s">
        <v>435</v>
      </c>
      <c r="B9875" s="2" t="s">
        <v>436</v>
      </c>
      <c r="C9875" s="2">
        <v>2002.0</v>
      </c>
      <c r="D9875" s="9">
        <v>52474.273</v>
      </c>
      <c r="E9875" s="10" t="str">
        <f t="array" ref="E9875">IFS(D9875&lt;=$G$3,'calculated data '!$A$3,D9875&lt;=$G$4,'calculated data '!$A$4,D9875&lt;=$G$6,'calculated data '!$A$5,D9875&gt;=$G$6,'calculated data '!$A$6)</f>
        <v>High Demand Tier</v>
      </c>
      <c r="F9875" s="10">
        <f t="shared" si="1"/>
        <v>0.725809462</v>
      </c>
    </row>
    <row r="9876" ht="14.25" customHeight="1">
      <c r="A9876" s="2" t="s">
        <v>367</v>
      </c>
      <c r="B9876" s="2" t="s">
        <v>368</v>
      </c>
      <c r="C9876" s="2">
        <v>1989.0</v>
      </c>
      <c r="D9876" s="9">
        <v>52487.9</v>
      </c>
      <c r="E9876" s="10" t="str">
        <f t="array" ref="E9876">IFS(D9876&lt;=$G$3,'calculated data '!$A$3,D9876&lt;=$G$4,'calculated data '!$A$4,D9876&lt;=$G$6,'calculated data '!$A$5,D9876&gt;=$G$6,'calculated data '!$A$6)</f>
        <v>High Demand Tier</v>
      </c>
      <c r="F9876" s="10">
        <f t="shared" si="1"/>
        <v>0.7261701653</v>
      </c>
    </row>
    <row r="9877" ht="14.25" customHeight="1">
      <c r="A9877" s="2" t="s">
        <v>451</v>
      </c>
      <c r="B9877" s="2" t="s">
        <v>452</v>
      </c>
      <c r="C9877" s="2">
        <v>2025.0</v>
      </c>
      <c r="D9877" s="9">
        <v>52511.64</v>
      </c>
      <c r="E9877" s="10" t="str">
        <f t="array" ref="E9877">IFS(D9877&lt;=$G$3,'calculated data '!$A$3,D9877&lt;=$G$4,'calculated data '!$A$4,D9877&lt;=$G$6,'calculated data '!$A$5,D9877&gt;=$G$6,'calculated data '!$A$6)</f>
        <v>High Demand Tier</v>
      </c>
      <c r="F9877" s="10">
        <f t="shared" si="1"/>
        <v>0.7267985572</v>
      </c>
    </row>
    <row r="9878" ht="14.25" customHeight="1">
      <c r="A9878" s="2" t="s">
        <v>337</v>
      </c>
      <c r="B9878" s="2" t="s">
        <v>338</v>
      </c>
      <c r="C9878" s="2">
        <v>2006.0</v>
      </c>
      <c r="D9878" s="9">
        <v>52513.86</v>
      </c>
      <c r="E9878" s="10" t="str">
        <f t="array" ref="E9878">IFS(D9878&lt;=$G$3,'calculated data '!$A$3,D9878&lt;=$G$4,'calculated data '!$A$4,D9878&lt;=$G$6,'calculated data '!$A$5,D9878&gt;=$G$6,'calculated data '!$A$6)</f>
        <v>High Demand Tier</v>
      </c>
      <c r="F9878" s="10">
        <f t="shared" si="1"/>
        <v>0.72685732</v>
      </c>
    </row>
    <row r="9879" ht="14.25" customHeight="1">
      <c r="A9879" s="2" t="s">
        <v>479</v>
      </c>
      <c r="B9879" s="2" t="s">
        <v>480</v>
      </c>
      <c r="C9879" s="2">
        <v>2006.0</v>
      </c>
      <c r="D9879" s="9">
        <v>52513.875</v>
      </c>
      <c r="E9879" s="10" t="str">
        <f t="array" ref="E9879">IFS(D9879&lt;=$G$3,'calculated data '!$A$3,D9879&lt;=$G$4,'calculated data '!$A$4,D9879&lt;=$G$6,'calculated data '!$A$5,D9879&gt;=$G$6,'calculated data '!$A$6)</f>
        <v>High Demand Tier</v>
      </c>
      <c r="F9879" s="10">
        <f t="shared" si="1"/>
        <v>0.7268577171</v>
      </c>
    </row>
    <row r="9880" ht="14.25" customHeight="1">
      <c r="A9880" s="2" t="s">
        <v>459</v>
      </c>
      <c r="B9880" s="2" t="s">
        <v>460</v>
      </c>
      <c r="C9880" s="2">
        <v>1990.0</v>
      </c>
      <c r="D9880" s="9">
        <v>52538.594</v>
      </c>
      <c r="E9880" s="10" t="str">
        <f t="array" ref="E9880">IFS(D9880&lt;=$G$3,'calculated data '!$A$3,D9880&lt;=$G$4,'calculated data '!$A$4,D9880&lt;=$G$6,'calculated data '!$A$5,D9880&gt;=$G$6,'calculated data '!$A$6)</f>
        <v>High Demand Tier</v>
      </c>
      <c r="F9880" s="10">
        <f t="shared" si="1"/>
        <v>0.7275120228</v>
      </c>
    </row>
    <row r="9881" ht="14.25" customHeight="1">
      <c r="A9881" s="2" t="s">
        <v>391</v>
      </c>
      <c r="B9881" s="2" t="s">
        <v>392</v>
      </c>
      <c r="C9881" s="2">
        <v>2007.0</v>
      </c>
      <c r="D9881" s="9">
        <v>52547.55</v>
      </c>
      <c r="E9881" s="10" t="str">
        <f t="array" ref="E9881">IFS(D9881&lt;=$G$3,'calculated data '!$A$3,D9881&lt;=$G$4,'calculated data '!$A$4,D9881&lt;=$G$6,'calculated data '!$A$5,D9881&gt;=$G$6,'calculated data '!$A$6)</f>
        <v>High Demand Tier</v>
      </c>
      <c r="F9881" s="10">
        <f t="shared" si="1"/>
        <v>0.7277490859</v>
      </c>
    </row>
    <row r="9882" ht="14.25" customHeight="1">
      <c r="A9882" s="2" t="s">
        <v>451</v>
      </c>
      <c r="B9882" s="2" t="s">
        <v>452</v>
      </c>
      <c r="C9882" s="2">
        <v>2021.0</v>
      </c>
      <c r="D9882" s="9">
        <v>52619.67</v>
      </c>
      <c r="E9882" s="10" t="str">
        <f t="array" ref="E9882">IFS(D9882&lt;=$G$3,'calculated data '!$A$3,D9882&lt;=$G$4,'calculated data '!$A$4,D9882&lt;=$G$6,'calculated data '!$A$5,D9882&gt;=$G$6,'calculated data '!$A$6)</f>
        <v>High Demand Tier</v>
      </c>
      <c r="F9882" s="10">
        <f t="shared" si="1"/>
        <v>0.7296580844</v>
      </c>
    </row>
    <row r="9883" ht="14.25" customHeight="1">
      <c r="A9883" s="2" t="s">
        <v>279</v>
      </c>
      <c r="B9883" s="2" t="s">
        <v>280</v>
      </c>
      <c r="C9883" s="2">
        <v>2004.0</v>
      </c>
      <c r="D9883" s="9">
        <v>52642.15</v>
      </c>
      <c r="E9883" s="10" t="str">
        <f t="array" ref="E9883">IFS(D9883&lt;=$G$3,'calculated data '!$A$3,D9883&lt;=$G$4,'calculated data '!$A$4,D9883&lt;=$G$6,'calculated data '!$A$5,D9883&gt;=$G$6,'calculated data '!$A$6)</f>
        <v>High Demand Tier</v>
      </c>
      <c r="F9883" s="10">
        <f t="shared" si="1"/>
        <v>0.7302531244</v>
      </c>
    </row>
    <row r="9884" ht="14.25" customHeight="1">
      <c r="A9884" s="2" t="s">
        <v>451</v>
      </c>
      <c r="B9884" s="2" t="s">
        <v>452</v>
      </c>
      <c r="C9884" s="2">
        <v>2022.0</v>
      </c>
      <c r="D9884" s="9">
        <v>52660.406</v>
      </c>
      <c r="E9884" s="10" t="str">
        <f t="array" ref="E9884">IFS(D9884&lt;=$G$3,'calculated data '!$A$3,D9884&lt;=$G$4,'calculated data '!$A$4,D9884&lt;=$G$6,'calculated data '!$A$5,D9884&gt;=$G$6,'calculated data '!$A$6)</f>
        <v>High Demand Tier</v>
      </c>
      <c r="F9884" s="10">
        <f t="shared" si="1"/>
        <v>0.7307363561</v>
      </c>
    </row>
    <row r="9885" ht="14.25" customHeight="1">
      <c r="A9885" s="2" t="s">
        <v>461</v>
      </c>
      <c r="B9885" s="2" t="s">
        <v>462</v>
      </c>
      <c r="C9885" s="2">
        <v>1971.0</v>
      </c>
      <c r="D9885" s="9">
        <v>52682.56</v>
      </c>
      <c r="E9885" s="10" t="str">
        <f t="array" ref="E9885">IFS(D9885&lt;=$G$3,'calculated data '!$A$3,D9885&lt;=$G$4,'calculated data '!$A$4,D9885&lt;=$G$6,'calculated data '!$A$5,D9885&gt;=$G$6,'calculated data '!$A$6)</f>
        <v>High Demand Tier</v>
      </c>
      <c r="F9885" s="10">
        <f t="shared" si="1"/>
        <v>0.731322767</v>
      </c>
    </row>
    <row r="9886" ht="14.25" customHeight="1">
      <c r="A9886" s="2" t="s">
        <v>381</v>
      </c>
      <c r="B9886" s="2" t="s">
        <v>382</v>
      </c>
      <c r="C9886" s="2">
        <v>2012.0</v>
      </c>
      <c r="D9886" s="9">
        <v>52684.74</v>
      </c>
      <c r="E9886" s="10" t="str">
        <f t="array" ref="E9886">IFS(D9886&lt;=$G$3,'calculated data '!$A$3,D9886&lt;=$G$4,'calculated data '!$A$4,D9886&lt;=$G$6,'calculated data '!$A$5,D9886&gt;=$G$6,'calculated data '!$A$6)</f>
        <v>High Demand Tier</v>
      </c>
      <c r="F9886" s="10">
        <f t="shared" si="1"/>
        <v>0.731380471</v>
      </c>
    </row>
    <row r="9887" ht="14.25" customHeight="1">
      <c r="A9887" s="2" t="s">
        <v>455</v>
      </c>
      <c r="B9887" s="2" t="s">
        <v>456</v>
      </c>
      <c r="C9887" s="2">
        <v>1980.0</v>
      </c>
      <c r="D9887" s="9">
        <v>52690.39</v>
      </c>
      <c r="E9887" s="10" t="str">
        <f t="array" ref="E9887">IFS(D9887&lt;=$G$3,'calculated data '!$A$3,D9887&lt;=$G$4,'calculated data '!$A$4,D9887&lt;=$G$6,'calculated data '!$A$5,D9887&gt;=$G$6,'calculated data '!$A$6)</f>
        <v>High Demand Tier</v>
      </c>
      <c r="F9887" s="10">
        <f t="shared" si="1"/>
        <v>0.7315300251</v>
      </c>
    </row>
    <row r="9888" ht="14.25" customHeight="1">
      <c r="A9888" s="2" t="s">
        <v>479</v>
      </c>
      <c r="B9888" s="2" t="s">
        <v>480</v>
      </c>
      <c r="C9888" s="2">
        <v>2010.0</v>
      </c>
      <c r="D9888" s="9">
        <v>52696.27</v>
      </c>
      <c r="E9888" s="10" t="str">
        <f t="array" ref="E9888">IFS(D9888&lt;=$G$3,'calculated data '!$A$3,D9888&lt;=$G$4,'calculated data '!$A$4,D9888&lt;=$G$6,'calculated data '!$A$5,D9888&gt;=$G$6,'calculated data '!$A$6)</f>
        <v>High Demand Tier</v>
      </c>
      <c r="F9888" s="10">
        <f t="shared" si="1"/>
        <v>0.7316856673</v>
      </c>
    </row>
    <row r="9889" ht="14.25" customHeight="1">
      <c r="A9889" s="2" t="s">
        <v>455</v>
      </c>
      <c r="B9889" s="2" t="s">
        <v>456</v>
      </c>
      <c r="C9889" s="2">
        <v>1978.0</v>
      </c>
      <c r="D9889" s="9">
        <v>52704.26</v>
      </c>
      <c r="E9889" s="10" t="str">
        <f t="array" ref="E9889">IFS(D9889&lt;=$G$3,'calculated data '!$A$3,D9889&lt;=$G$4,'calculated data '!$A$4,D9889&lt;=$G$6,'calculated data '!$A$5,D9889&gt;=$G$6,'calculated data '!$A$6)</f>
        <v>High Demand Tier</v>
      </c>
      <c r="F9889" s="10">
        <f t="shared" si="1"/>
        <v>0.7318971606</v>
      </c>
    </row>
    <row r="9890" ht="14.25" customHeight="1">
      <c r="A9890" s="2" t="s">
        <v>479</v>
      </c>
      <c r="B9890" s="2" t="s">
        <v>480</v>
      </c>
      <c r="C9890" s="2">
        <v>1994.0</v>
      </c>
      <c r="D9890" s="9">
        <v>52720.49</v>
      </c>
      <c r="E9890" s="10" t="str">
        <f t="array" ref="E9890">IFS(D9890&lt;=$G$3,'calculated data '!$A$3,D9890&lt;=$G$4,'calculated data '!$A$4,D9890&lt;=$G$6,'calculated data '!$A$5,D9890&gt;=$G$6,'calculated data '!$A$6)</f>
        <v>High Demand Tier</v>
      </c>
      <c r="F9890" s="10">
        <f t="shared" si="1"/>
        <v>0.7323267646</v>
      </c>
    </row>
    <row r="9891" ht="14.25" customHeight="1">
      <c r="A9891" s="2" t="s">
        <v>439</v>
      </c>
      <c r="B9891" s="2" t="s">
        <v>440</v>
      </c>
      <c r="C9891" s="2">
        <v>2001.0</v>
      </c>
      <c r="D9891" s="9">
        <v>52759.11</v>
      </c>
      <c r="E9891" s="10" t="str">
        <f t="array" ref="E9891">IFS(D9891&lt;=$G$3,'calculated data '!$A$3,D9891&lt;=$G$4,'calculated data '!$A$4,D9891&lt;=$G$6,'calculated data '!$A$5,D9891&gt;=$G$6,'calculated data '!$A$6)</f>
        <v>High Demand Tier</v>
      </c>
      <c r="F9891" s="10">
        <f t="shared" si="1"/>
        <v>0.7333490264</v>
      </c>
    </row>
    <row r="9892" ht="14.25" customHeight="1">
      <c r="A9892" s="2" t="s">
        <v>397</v>
      </c>
      <c r="B9892" s="2" t="s">
        <v>398</v>
      </c>
      <c r="C9892" s="2">
        <v>2025.0</v>
      </c>
      <c r="D9892" s="9">
        <v>52774.688</v>
      </c>
      <c r="E9892" s="10" t="str">
        <f t="array" ref="E9892">IFS(D9892&lt;=$G$3,'calculated data '!$A$3,D9892&lt;=$G$4,'calculated data '!$A$4,D9892&lt;=$G$6,'calculated data '!$A$5,D9892&gt;=$G$6,'calculated data '!$A$6)</f>
        <v>High Demand Tier</v>
      </c>
      <c r="F9892" s="10">
        <f t="shared" si="1"/>
        <v>0.7337613722</v>
      </c>
    </row>
    <row r="9893" ht="14.25" customHeight="1">
      <c r="A9893" s="2" t="s">
        <v>459</v>
      </c>
      <c r="B9893" s="2" t="s">
        <v>460</v>
      </c>
      <c r="C9893" s="2">
        <v>1978.0</v>
      </c>
      <c r="D9893" s="9">
        <v>52799.95</v>
      </c>
      <c r="E9893" s="10" t="str">
        <f t="array" ref="E9893">IFS(D9893&lt;=$G$3,'calculated data '!$A$3,D9893&lt;=$G$4,'calculated data '!$A$4,D9893&lt;=$G$6,'calculated data '!$A$5,D9893&gt;=$G$6,'calculated data '!$A$6)</f>
        <v>High Demand Tier</v>
      </c>
      <c r="F9893" s="10">
        <f t="shared" si="1"/>
        <v>0.7344300511</v>
      </c>
    </row>
    <row r="9894" ht="14.25" customHeight="1">
      <c r="A9894" s="2" t="s">
        <v>471</v>
      </c>
      <c r="B9894" s="2" t="s">
        <v>472</v>
      </c>
      <c r="C9894" s="2">
        <v>2016.0</v>
      </c>
      <c r="D9894" s="9">
        <v>52801.836</v>
      </c>
      <c r="E9894" s="10" t="str">
        <f t="array" ref="E9894">IFS(D9894&lt;=$G$3,'calculated data '!$A$3,D9894&lt;=$G$4,'calculated data '!$A$4,D9894&lt;=$G$6,'calculated data '!$A$5,D9894&gt;=$G$6,'calculated data '!$A$6)</f>
        <v>High Demand Tier</v>
      </c>
      <c r="F9894" s="10">
        <f t="shared" si="1"/>
        <v>0.734479973</v>
      </c>
    </row>
    <row r="9895" ht="14.25" customHeight="1">
      <c r="A9895" s="2" t="s">
        <v>485</v>
      </c>
      <c r="B9895" s="2" t="s">
        <v>486</v>
      </c>
      <c r="C9895" s="2">
        <v>2025.0</v>
      </c>
      <c r="D9895" s="9">
        <v>52819.027</v>
      </c>
      <c r="E9895" s="10" t="str">
        <f t="array" ref="E9895">IFS(D9895&lt;=$G$3,'calculated data '!$A$3,D9895&lt;=$G$4,'calculated data '!$A$4,D9895&lt;=$G$6,'calculated data '!$A$5,D9895&gt;=$G$6,'calculated data '!$A$6)</f>
        <v>High Demand Tier</v>
      </c>
      <c r="F9895" s="10">
        <f t="shared" si="1"/>
        <v>0.7349350145</v>
      </c>
    </row>
    <row r="9896" ht="14.25" customHeight="1">
      <c r="A9896" s="2" t="s">
        <v>471</v>
      </c>
      <c r="B9896" s="2" t="s">
        <v>472</v>
      </c>
      <c r="C9896" s="2">
        <v>1992.0</v>
      </c>
      <c r="D9896" s="9">
        <v>52825.766</v>
      </c>
      <c r="E9896" s="10" t="str">
        <f t="array" ref="E9896">IFS(D9896&lt;=$G$3,'calculated data '!$A$3,D9896&lt;=$G$4,'calculated data '!$A$4,D9896&lt;=$G$6,'calculated data '!$A$5,D9896&gt;=$G$6,'calculated data '!$A$6)</f>
        <v>High Demand Tier</v>
      </c>
      <c r="F9896" s="10">
        <f t="shared" si="1"/>
        <v>0.7351133941</v>
      </c>
    </row>
    <row r="9897" ht="14.25" customHeight="1">
      <c r="A9897" s="2" t="s">
        <v>445</v>
      </c>
      <c r="B9897" s="2" t="s">
        <v>446</v>
      </c>
      <c r="C9897" s="2">
        <v>1984.0</v>
      </c>
      <c r="D9897" s="9">
        <v>52869.527</v>
      </c>
      <c r="E9897" s="10" t="str">
        <f t="array" ref="E9897">IFS(D9897&lt;=$G$3,'calculated data '!$A$3,D9897&lt;=$G$4,'calculated data '!$A$4,D9897&lt;=$G$6,'calculated data '!$A$5,D9897&gt;=$G$6,'calculated data '!$A$6)</f>
        <v>High Demand Tier</v>
      </c>
      <c r="F9897" s="10">
        <f t="shared" si="1"/>
        <v>0.7362717369</v>
      </c>
    </row>
    <row r="9898" ht="14.25" customHeight="1">
      <c r="A9898" s="2" t="s">
        <v>451</v>
      </c>
      <c r="B9898" s="2" t="s">
        <v>452</v>
      </c>
      <c r="C9898" s="2">
        <v>1987.0</v>
      </c>
      <c r="D9898" s="9">
        <v>52872.17</v>
      </c>
      <c r="E9898" s="10" t="str">
        <f t="array" ref="E9898">IFS(D9898&lt;=$G$3,'calculated data '!$A$3,D9898&lt;=$G$4,'calculated data '!$A$4,D9898&lt;=$G$6,'calculated data '!$A$5,D9898&gt;=$G$6,'calculated data '!$A$6)</f>
        <v>High Demand Tier</v>
      </c>
      <c r="F9898" s="10">
        <f t="shared" si="1"/>
        <v>0.7363416965</v>
      </c>
    </row>
    <row r="9899" ht="14.25" customHeight="1">
      <c r="A9899" s="2" t="s">
        <v>479</v>
      </c>
      <c r="B9899" s="2" t="s">
        <v>480</v>
      </c>
      <c r="C9899" s="2">
        <v>2007.0</v>
      </c>
      <c r="D9899" s="9">
        <v>52891.105</v>
      </c>
      <c r="E9899" s="10" t="str">
        <f t="array" ref="E9899">IFS(D9899&lt;=$G$3,'calculated data '!$A$3,D9899&lt;=$G$4,'calculated data '!$A$4,D9899&lt;=$G$6,'calculated data '!$A$5,D9899&gt;=$G$6,'calculated data '!$A$6)</f>
        <v>High Demand Tier</v>
      </c>
      <c r="F9899" s="10">
        <f t="shared" si="1"/>
        <v>0.7368429012</v>
      </c>
    </row>
    <row r="9900" ht="14.25" customHeight="1">
      <c r="A9900" s="2" t="s">
        <v>403</v>
      </c>
      <c r="B9900" s="2" t="s">
        <v>404</v>
      </c>
      <c r="C9900" s="2">
        <v>2017.0</v>
      </c>
      <c r="D9900" s="9">
        <v>52980.16</v>
      </c>
      <c r="E9900" s="10" t="str">
        <f t="array" ref="E9900">IFS(D9900&lt;=$G$3,'calculated data '!$A$3,D9900&lt;=$G$4,'calculated data '!$A$4,D9900&lt;=$G$6,'calculated data '!$A$5,D9900&gt;=$G$6,'calculated data '!$A$6)</f>
        <v>High Demand Tier</v>
      </c>
      <c r="F9900" s="10">
        <f t="shared" si="1"/>
        <v>0.7392001649</v>
      </c>
    </row>
    <row r="9901" ht="14.25" customHeight="1">
      <c r="A9901" s="2" t="s">
        <v>485</v>
      </c>
      <c r="B9901" s="2" t="s">
        <v>486</v>
      </c>
      <c r="C9901" s="2">
        <v>2022.0</v>
      </c>
      <c r="D9901" s="9">
        <v>53011.395</v>
      </c>
      <c r="E9901" s="10" t="str">
        <f t="array" ref="E9901">IFS(D9901&lt;=$G$3,'calculated data '!$A$3,D9901&lt;=$G$4,'calculated data '!$A$4,D9901&lt;=$G$6,'calculated data '!$A$5,D9901&gt;=$G$6,'calculated data '!$A$6)</f>
        <v>High Demand Tier</v>
      </c>
      <c r="F9901" s="10">
        <f t="shared" si="1"/>
        <v>0.7400269475</v>
      </c>
    </row>
    <row r="9902" ht="14.25" customHeight="1">
      <c r="A9902" s="2" t="s">
        <v>467</v>
      </c>
      <c r="B9902" s="2" t="s">
        <v>468</v>
      </c>
      <c r="C9902" s="2">
        <v>1983.0</v>
      </c>
      <c r="D9902" s="9">
        <v>53051.04</v>
      </c>
      <c r="E9902" s="10" t="str">
        <f t="array" ref="E9902">IFS(D9902&lt;=$G$3,'calculated data '!$A$3,D9902&lt;=$G$4,'calculated data '!$A$4,D9902&lt;=$G$6,'calculated data '!$A$5,D9902&gt;=$G$6,'calculated data '!$A$6)</f>
        <v>High Demand Tier</v>
      </c>
      <c r="F9902" s="10">
        <f t="shared" si="1"/>
        <v>0.7410763408</v>
      </c>
    </row>
    <row r="9903" ht="14.25" customHeight="1">
      <c r="A9903" s="2" t="s">
        <v>221</v>
      </c>
      <c r="B9903" s="2" t="s">
        <v>222</v>
      </c>
      <c r="C9903" s="2">
        <v>2003.0</v>
      </c>
      <c r="D9903" s="9">
        <v>53052.18</v>
      </c>
      <c r="E9903" s="10" t="str">
        <f t="array" ref="E9903">IFS(D9903&lt;=$G$3,'calculated data '!$A$3,D9903&lt;=$G$4,'calculated data '!$A$4,D9903&lt;=$G$6,'calculated data '!$A$5,D9903&gt;=$G$6,'calculated data '!$A$6)</f>
        <v>High Demand Tier</v>
      </c>
      <c r="F9903" s="10">
        <f t="shared" si="1"/>
        <v>0.7411065163</v>
      </c>
    </row>
    <row r="9904" ht="14.25" customHeight="1">
      <c r="A9904" s="2" t="s">
        <v>149</v>
      </c>
      <c r="B9904" s="2" t="s">
        <v>150</v>
      </c>
      <c r="C9904" s="2">
        <v>1989.0</v>
      </c>
      <c r="D9904" s="9">
        <v>53054.97</v>
      </c>
      <c r="E9904" s="10" t="str">
        <f t="array" ref="E9904">IFS(D9904&lt;=$G$3,'calculated data '!$A$3,D9904&lt;=$G$4,'calculated data '!$A$4,D9904&lt;=$G$6,'calculated data '!$A$5,D9904&gt;=$G$6,'calculated data '!$A$6)</f>
        <v>High Demand Tier</v>
      </c>
      <c r="F9904" s="10">
        <f t="shared" si="1"/>
        <v>0.7411803669</v>
      </c>
    </row>
    <row r="9905" ht="14.25" customHeight="1">
      <c r="A9905" s="2" t="s">
        <v>397</v>
      </c>
      <c r="B9905" s="2" t="s">
        <v>398</v>
      </c>
      <c r="C9905" s="2">
        <v>2024.0</v>
      </c>
      <c r="D9905" s="9">
        <v>53056.117</v>
      </c>
      <c r="E9905" s="10" t="str">
        <f t="array" ref="E9905">IFS(D9905&lt;=$G$3,'calculated data '!$A$3,D9905&lt;=$G$4,'calculated data '!$A$4,D9905&lt;=$G$6,'calculated data '!$A$5,D9905&gt;=$G$6,'calculated data '!$A$6)</f>
        <v>High Demand Tier</v>
      </c>
      <c r="F9905" s="10">
        <f t="shared" si="1"/>
        <v>0.7412107277</v>
      </c>
    </row>
    <row r="9906" ht="14.25" customHeight="1">
      <c r="A9906" s="2" t="s">
        <v>279</v>
      </c>
      <c r="B9906" s="2" t="s">
        <v>280</v>
      </c>
      <c r="C9906" s="2">
        <v>2005.0</v>
      </c>
      <c r="D9906" s="9">
        <v>53099.344</v>
      </c>
      <c r="E9906" s="10" t="str">
        <f t="array" ref="E9906">IFS(D9906&lt;=$G$3,'calculated data '!$A$3,D9906&lt;=$G$4,'calculated data '!$A$4,D9906&lt;=$G$6,'calculated data '!$A$5,D9906&gt;=$G$6,'calculated data '!$A$6)</f>
        <v>High Demand Tier</v>
      </c>
      <c r="F9906" s="10">
        <f t="shared" si="1"/>
        <v>0.7423549357</v>
      </c>
    </row>
    <row r="9907" ht="14.25" customHeight="1">
      <c r="A9907" s="2" t="s">
        <v>485</v>
      </c>
      <c r="B9907" s="2" t="s">
        <v>486</v>
      </c>
      <c r="C9907" s="2">
        <v>1965.0</v>
      </c>
      <c r="D9907" s="9">
        <v>53111.24</v>
      </c>
      <c r="E9907" s="10" t="str">
        <f t="array" ref="E9907">IFS(D9907&lt;=$G$3,'calculated data '!$A$3,D9907&lt;=$G$4,'calculated data '!$A$4,D9907&lt;=$G$6,'calculated data '!$A$5,D9907&gt;=$G$6,'calculated data '!$A$6)</f>
        <v>High Demand Tier</v>
      </c>
      <c r="F9907" s="10">
        <f t="shared" si="1"/>
        <v>0.7426698198</v>
      </c>
    </row>
    <row r="9908" ht="14.25" customHeight="1">
      <c r="A9908" s="2" t="s">
        <v>439</v>
      </c>
      <c r="B9908" s="2" t="s">
        <v>440</v>
      </c>
      <c r="C9908" s="2">
        <v>2010.0</v>
      </c>
      <c r="D9908" s="9">
        <v>53158.395</v>
      </c>
      <c r="E9908" s="10" t="str">
        <f t="array" ref="E9908">IFS(D9908&lt;=$G$3,'calculated data '!$A$3,D9908&lt;=$G$4,'calculated data '!$A$4,D9908&lt;=$G$6,'calculated data '!$A$5,D9908&gt;=$G$6,'calculated data '!$A$6)</f>
        <v>High Demand Tier</v>
      </c>
      <c r="F9908" s="10">
        <f t="shared" si="1"/>
        <v>0.7439180009</v>
      </c>
    </row>
    <row r="9909" ht="14.25" customHeight="1">
      <c r="A9909" s="2" t="s">
        <v>489</v>
      </c>
      <c r="B9909" s="2" t="s">
        <v>490</v>
      </c>
      <c r="C9909" s="2">
        <v>1990.0</v>
      </c>
      <c r="D9909" s="9">
        <v>53170.547</v>
      </c>
      <c r="E9909" s="10" t="str">
        <f t="array" ref="E9909">IFS(D9909&lt;=$G$3,'calculated data '!$A$3,D9909&lt;=$G$4,'calculated data '!$A$4,D9909&lt;=$G$6,'calculated data '!$A$5,D9909&gt;=$G$6,'calculated data '!$A$6)</f>
        <v>High Demand Tier</v>
      </c>
      <c r="F9909" s="10">
        <f t="shared" si="1"/>
        <v>0.7442396613</v>
      </c>
    </row>
    <row r="9910" ht="14.25" customHeight="1">
      <c r="A9910" s="2" t="s">
        <v>427</v>
      </c>
      <c r="B9910" s="2" t="s">
        <v>428</v>
      </c>
      <c r="C9910" s="2">
        <v>1986.0</v>
      </c>
      <c r="D9910" s="9">
        <v>53199.37</v>
      </c>
      <c r="E9910" s="10" t="str">
        <f t="array" ref="E9910">IFS(D9910&lt;=$G$3,'calculated data '!$A$3,D9910&lt;=$G$4,'calculated data '!$A$4,D9910&lt;=$G$6,'calculated data '!$A$5,D9910&gt;=$G$6,'calculated data '!$A$6)</f>
        <v>High Demand Tier</v>
      </c>
      <c r="F9910" s="10">
        <f t="shared" si="1"/>
        <v>0.745002599</v>
      </c>
    </row>
    <row r="9911" ht="14.25" customHeight="1">
      <c r="A9911" s="2" t="s">
        <v>459</v>
      </c>
      <c r="B9911" s="2" t="s">
        <v>460</v>
      </c>
      <c r="C9911" s="2">
        <v>1984.0</v>
      </c>
      <c r="D9911" s="9">
        <v>53214.977</v>
      </c>
      <c r="E9911" s="10" t="str">
        <f t="array" ref="E9911">IFS(D9911&lt;=$G$3,'calculated data '!$A$3,D9911&lt;=$G$4,'calculated data '!$A$4,D9911&lt;=$G$6,'calculated data '!$A$5,D9911&gt;=$G$6,'calculated data '!$A$6)</f>
        <v>High Demand Tier</v>
      </c>
      <c r="F9911" s="10">
        <f t="shared" si="1"/>
        <v>0.7454157124</v>
      </c>
    </row>
    <row r="9912" ht="14.25" customHeight="1">
      <c r="A9912" s="2" t="s">
        <v>477</v>
      </c>
      <c r="B9912" s="2" t="s">
        <v>478</v>
      </c>
      <c r="C9912" s="2">
        <v>1969.0</v>
      </c>
      <c r="D9912" s="9">
        <v>53219.195</v>
      </c>
      <c r="E9912" s="10" t="str">
        <f t="array" ref="E9912">IFS(D9912&lt;=$G$3,'calculated data '!$A$3,D9912&lt;=$G$4,'calculated data '!$A$4,D9912&lt;=$G$6,'calculated data '!$A$5,D9912&gt;=$G$6,'calculated data '!$A$6)</f>
        <v>High Demand Tier</v>
      </c>
      <c r="F9912" s="10">
        <f t="shared" si="1"/>
        <v>0.7455273618</v>
      </c>
    </row>
    <row r="9913" ht="14.25" customHeight="1">
      <c r="A9913" s="2" t="s">
        <v>477</v>
      </c>
      <c r="B9913" s="2" t="s">
        <v>478</v>
      </c>
      <c r="C9913" s="2">
        <v>1975.0</v>
      </c>
      <c r="D9913" s="9">
        <v>53234.547</v>
      </c>
      <c r="E9913" s="10" t="str">
        <f t="array" ref="E9913">IFS(D9913&lt;=$G$3,'calculated data '!$A$3,D9913&lt;=$G$4,'calculated data '!$A$4,D9913&lt;=$G$6,'calculated data '!$A$5,D9913&gt;=$G$6,'calculated data '!$A$6)</f>
        <v>High Demand Tier</v>
      </c>
      <c r="F9913" s="10">
        <f t="shared" si="1"/>
        <v>0.7459337254</v>
      </c>
    </row>
    <row r="9914" ht="14.25" customHeight="1">
      <c r="A9914" s="2" t="s">
        <v>479</v>
      </c>
      <c r="B9914" s="2" t="s">
        <v>480</v>
      </c>
      <c r="C9914" s="2">
        <v>2015.0</v>
      </c>
      <c r="D9914" s="9">
        <v>53237.926</v>
      </c>
      <c r="E9914" s="10" t="str">
        <f t="array" ref="E9914">IFS(D9914&lt;=$G$3,'calculated data '!$A$3,D9914&lt;=$G$4,'calculated data '!$A$4,D9914&lt;=$G$6,'calculated data '!$A$5,D9914&gt;=$G$6,'calculated data '!$A$6)</f>
        <v>High Demand Tier</v>
      </c>
      <c r="F9914" s="10">
        <f t="shared" si="1"/>
        <v>0.7460231667</v>
      </c>
    </row>
    <row r="9915" ht="14.25" customHeight="1">
      <c r="A9915" s="2" t="s">
        <v>465</v>
      </c>
      <c r="B9915" s="2" t="s">
        <v>466</v>
      </c>
      <c r="C9915" s="2">
        <v>1980.0</v>
      </c>
      <c r="D9915" s="9">
        <v>53261.195</v>
      </c>
      <c r="E9915" s="10" t="str">
        <f t="array" ref="E9915">IFS(D9915&lt;=$G$3,'calculated data '!$A$3,D9915&lt;=$G$4,'calculated data '!$A$4,D9915&lt;=$G$6,'calculated data '!$A$5,D9915&gt;=$G$6,'calculated data '!$A$6)</f>
        <v>High Demand Tier</v>
      </c>
      <c r="F9915" s="10">
        <f t="shared" si="1"/>
        <v>0.7466390913</v>
      </c>
    </row>
    <row r="9916" ht="14.25" customHeight="1">
      <c r="A9916" s="2" t="s">
        <v>381</v>
      </c>
      <c r="B9916" s="2" t="s">
        <v>382</v>
      </c>
      <c r="C9916" s="2">
        <v>2005.0</v>
      </c>
      <c r="D9916" s="9">
        <v>53274.004</v>
      </c>
      <c r="E9916" s="10" t="str">
        <f t="array" ref="E9916">IFS(D9916&lt;=$G$3,'calculated data '!$A$3,D9916&lt;=$G$4,'calculated data '!$A$4,D9916&lt;=$G$6,'calculated data '!$A$5,D9916&gt;=$G$6,'calculated data '!$A$6)</f>
        <v>High Demand Tier</v>
      </c>
      <c r="F9916" s="10">
        <f t="shared" si="1"/>
        <v>0.7469781424</v>
      </c>
    </row>
    <row r="9917" ht="14.25" customHeight="1">
      <c r="A9917" s="2" t="s">
        <v>403</v>
      </c>
      <c r="B9917" s="2" t="s">
        <v>404</v>
      </c>
      <c r="C9917" s="2">
        <v>1989.0</v>
      </c>
      <c r="D9917" s="9">
        <v>53279.67</v>
      </c>
      <c r="E9917" s="10" t="str">
        <f t="array" ref="E9917">IFS(D9917&lt;=$G$3,'calculated data '!$A$3,D9917&lt;=$G$4,'calculated data '!$A$4,D9917&lt;=$G$6,'calculated data '!$A$5,D9917&gt;=$G$6,'calculated data '!$A$6)</f>
        <v>High Demand Tier</v>
      </c>
      <c r="F9917" s="10">
        <f t="shared" si="1"/>
        <v>0.74712812</v>
      </c>
    </row>
    <row r="9918" ht="14.25" customHeight="1">
      <c r="A9918" s="2" t="s">
        <v>477</v>
      </c>
      <c r="B9918" s="2" t="s">
        <v>478</v>
      </c>
      <c r="C9918" s="2">
        <v>1984.0</v>
      </c>
      <c r="D9918" s="9">
        <v>53281.68</v>
      </c>
      <c r="E9918" s="10" t="str">
        <f t="array" ref="E9918">IFS(D9918&lt;=$G$3,'calculated data '!$A$3,D9918&lt;=$G$4,'calculated data '!$A$4,D9918&lt;=$G$6,'calculated data '!$A$5,D9918&gt;=$G$6,'calculated data '!$A$6)</f>
        <v>High Demand Tier</v>
      </c>
      <c r="F9918" s="10">
        <f t="shared" si="1"/>
        <v>0.7471813242</v>
      </c>
    </row>
    <row r="9919" ht="14.25" customHeight="1">
      <c r="A9919" s="2" t="s">
        <v>483</v>
      </c>
      <c r="B9919" s="2" t="s">
        <v>484</v>
      </c>
      <c r="C9919" s="2">
        <v>2024.0</v>
      </c>
      <c r="D9919" s="9">
        <v>53291.38</v>
      </c>
      <c r="E9919" s="10" t="str">
        <f t="array" ref="E9919">IFS(D9919&lt;=$G$3,'calculated data '!$A$3,D9919&lt;=$G$4,'calculated data '!$A$4,D9919&lt;=$G$6,'calculated data '!$A$5,D9919&gt;=$G$6,'calculated data '!$A$6)</f>
        <v>High Demand Tier</v>
      </c>
      <c r="F9919" s="10">
        <f t="shared" si="1"/>
        <v>0.7474380808</v>
      </c>
    </row>
    <row r="9920" ht="14.25" customHeight="1">
      <c r="A9920" s="2" t="s">
        <v>455</v>
      </c>
      <c r="B9920" s="2" t="s">
        <v>456</v>
      </c>
      <c r="C9920" s="2">
        <v>1981.0</v>
      </c>
      <c r="D9920" s="9">
        <v>53296.02</v>
      </c>
      <c r="E9920" s="10" t="str">
        <f t="array" ref="E9920">IFS(D9920&lt;=$G$3,'calculated data '!$A$3,D9920&lt;=$G$4,'calculated data '!$A$4,D9920&lt;=$G$6,'calculated data '!$A$5,D9920&gt;=$G$6,'calculated data '!$A$6)</f>
        <v>High Demand Tier</v>
      </c>
      <c r="F9920" s="10">
        <f t="shared" si="1"/>
        <v>0.7475609004</v>
      </c>
    </row>
    <row r="9921" ht="14.25" customHeight="1">
      <c r="A9921" s="2" t="s">
        <v>71</v>
      </c>
      <c r="B9921" s="2" t="s">
        <v>72</v>
      </c>
      <c r="C9921" s="2">
        <v>2001.0</v>
      </c>
      <c r="D9921" s="9">
        <v>53324.785</v>
      </c>
      <c r="E9921" s="10" t="str">
        <f t="array" ref="E9921">IFS(D9921&lt;=$G$3,'calculated data '!$A$3,D9921&lt;=$G$4,'calculated data '!$A$4,D9921&lt;=$G$6,'calculated data '!$A$5,D9921&gt;=$G$6,'calculated data '!$A$6)</f>
        <v>High Demand Tier</v>
      </c>
      <c r="F9921" s="10">
        <f t="shared" si="1"/>
        <v>0.7483223028</v>
      </c>
    </row>
    <row r="9922" ht="14.25" customHeight="1">
      <c r="A9922" s="2" t="s">
        <v>427</v>
      </c>
      <c r="B9922" s="2" t="s">
        <v>428</v>
      </c>
      <c r="C9922" s="2">
        <v>2015.0</v>
      </c>
      <c r="D9922" s="9">
        <v>53356.105</v>
      </c>
      <c r="E9922" s="10" t="str">
        <f t="array" ref="E9922">IFS(D9922&lt;=$G$3,'calculated data '!$A$3,D9922&lt;=$G$4,'calculated data '!$A$4,D9922&lt;=$G$6,'calculated data '!$A$5,D9922&gt;=$G$6,'calculated data '!$A$6)</f>
        <v>High Demand Tier</v>
      </c>
      <c r="F9922" s="10">
        <f t="shared" si="1"/>
        <v>0.7491513354</v>
      </c>
    </row>
    <row r="9923" ht="14.25" customHeight="1">
      <c r="A9923" s="2" t="s">
        <v>479</v>
      </c>
      <c r="B9923" s="2" t="s">
        <v>480</v>
      </c>
      <c r="C9923" s="2">
        <v>2008.0</v>
      </c>
      <c r="D9923" s="9">
        <v>53362.64</v>
      </c>
      <c r="E9923" s="10" t="str">
        <f t="array" ref="E9923">IFS(D9923&lt;=$G$3,'calculated data '!$A$3,D9923&lt;=$G$4,'calculated data '!$A$4,D9923&lt;=$G$6,'calculated data '!$A$5,D9923&gt;=$G$6,'calculated data '!$A$6)</f>
        <v>High Demand Tier</v>
      </c>
      <c r="F9923" s="10">
        <f t="shared" si="1"/>
        <v>0.7493243152</v>
      </c>
    </row>
    <row r="9924" ht="14.25" customHeight="1">
      <c r="A9924" s="2" t="s">
        <v>397</v>
      </c>
      <c r="B9924" s="2" t="s">
        <v>398</v>
      </c>
      <c r="C9924" s="2">
        <v>2021.0</v>
      </c>
      <c r="D9924" s="9">
        <v>53364.996</v>
      </c>
      <c r="E9924" s="10" t="str">
        <f t="array" ref="E9924">IFS(D9924&lt;=$G$3,'calculated data '!$A$3,D9924&lt;=$G$4,'calculated data '!$A$4,D9924&lt;=$G$6,'calculated data '!$A$5,D9924&gt;=$G$6,'calculated data '!$A$6)</f>
        <v>High Demand Tier</v>
      </c>
      <c r="F9924" s="10">
        <f t="shared" si="1"/>
        <v>0.7493866779</v>
      </c>
    </row>
    <row r="9925" ht="14.25" customHeight="1">
      <c r="A9925" s="2" t="s">
        <v>439</v>
      </c>
      <c r="B9925" s="2" t="s">
        <v>440</v>
      </c>
      <c r="C9925" s="2">
        <v>2011.0</v>
      </c>
      <c r="D9925" s="9">
        <v>53368.938</v>
      </c>
      <c r="E9925" s="10" t="str">
        <f t="array" ref="E9925">IFS(D9925&lt;=$G$3,'calculated data '!$A$3,D9925&lt;=$G$4,'calculated data '!$A$4,D9925&lt;=$G$6,'calculated data '!$A$5,D9925&gt;=$G$6,'calculated data '!$A$6)</f>
        <v>High Demand Tier</v>
      </c>
      <c r="F9925" s="10">
        <f t="shared" si="1"/>
        <v>0.7494910217</v>
      </c>
    </row>
    <row r="9926" ht="14.25" customHeight="1">
      <c r="A9926" s="2" t="s">
        <v>461</v>
      </c>
      <c r="B9926" s="2" t="s">
        <v>462</v>
      </c>
      <c r="C9926" s="2">
        <v>1982.0</v>
      </c>
      <c r="D9926" s="9">
        <v>53378.645</v>
      </c>
      <c r="E9926" s="10" t="str">
        <f t="array" ref="E9926">IFS(D9926&lt;=$G$3,'calculated data '!$A$3,D9926&lt;=$G$4,'calculated data '!$A$4,D9926&lt;=$G$6,'calculated data '!$A$5,D9926&gt;=$G$6,'calculated data '!$A$6)</f>
        <v>High Demand Tier</v>
      </c>
      <c r="F9926" s="10">
        <f t="shared" si="1"/>
        <v>0.7497479636</v>
      </c>
    </row>
    <row r="9927" ht="14.25" customHeight="1">
      <c r="A9927" s="2" t="s">
        <v>475</v>
      </c>
      <c r="B9927" s="2" t="s">
        <v>476</v>
      </c>
      <c r="C9927" s="2">
        <v>2013.0</v>
      </c>
      <c r="D9927" s="9">
        <v>53385.98</v>
      </c>
      <c r="E9927" s="10" t="str">
        <f t="array" ref="E9927">IFS(D9927&lt;=$G$3,'calculated data '!$A$3,D9927&lt;=$G$4,'calculated data '!$A$4,D9927&lt;=$G$6,'calculated data '!$A$5,D9927&gt;=$G$6,'calculated data '!$A$6)</f>
        <v>High Demand Tier</v>
      </c>
      <c r="F9927" s="10">
        <f t="shared" si="1"/>
        <v>0.7499421192</v>
      </c>
    </row>
    <row r="9928" ht="14.25" customHeight="1">
      <c r="A9928" s="2" t="s">
        <v>441</v>
      </c>
      <c r="B9928" s="2" t="s">
        <v>442</v>
      </c>
      <c r="C9928" s="2">
        <v>2024.0</v>
      </c>
      <c r="D9928" s="9">
        <v>53392.555</v>
      </c>
      <c r="E9928" s="10" t="str">
        <f t="array" ref="E9928">IFS(D9928&lt;=$G$3,'calculated data '!$A$3,D9928&lt;=$G$4,'calculated data '!$A$4,D9928&lt;=$G$6,'calculated data '!$A$5,D9928&gt;=$G$6,'calculated data '!$A$6)</f>
        <v>High Demand Tier</v>
      </c>
      <c r="F9928" s="10">
        <f t="shared" si="1"/>
        <v>0.7501161578</v>
      </c>
    </row>
    <row r="9929" ht="14.25" customHeight="1">
      <c r="A9929" s="2" t="s">
        <v>461</v>
      </c>
      <c r="B9929" s="2" t="s">
        <v>462</v>
      </c>
      <c r="C9929" s="2">
        <v>1983.0</v>
      </c>
      <c r="D9929" s="9">
        <v>53394.93</v>
      </c>
      <c r="E9929" s="10" t="str">
        <f t="array" ref="E9929">IFS(D9929&lt;=$G$3,'calculated data '!$A$3,D9929&lt;=$G$4,'calculated data '!$A$4,D9929&lt;=$G$6,'calculated data '!$A$5,D9929&gt;=$G$6,'calculated data '!$A$6)</f>
        <v>High Demand Tier</v>
      </c>
      <c r="F9929" s="10">
        <f t="shared" si="1"/>
        <v>0.7501790235</v>
      </c>
    </row>
    <row r="9930" ht="14.25" customHeight="1">
      <c r="A9930" s="2" t="s">
        <v>473</v>
      </c>
      <c r="B9930" s="2" t="s">
        <v>474</v>
      </c>
      <c r="C9930" s="2">
        <v>1970.0</v>
      </c>
      <c r="D9930" s="9">
        <v>53414.035</v>
      </c>
      <c r="E9930" s="10" t="str">
        <f t="array" ref="E9930">IFS(D9930&lt;=$G$3,'calculated data '!$A$3,D9930&lt;=$G$4,'calculated data '!$A$4,D9930&lt;=$G$6,'calculated data '!$A$5,D9930&gt;=$G$6,'calculated data '!$A$6)</f>
        <v>High Demand Tier</v>
      </c>
      <c r="F9930" s="10">
        <f t="shared" si="1"/>
        <v>0.7506847281</v>
      </c>
    </row>
    <row r="9931" ht="14.25" customHeight="1">
      <c r="A9931" s="2" t="s">
        <v>477</v>
      </c>
      <c r="B9931" s="2" t="s">
        <v>478</v>
      </c>
      <c r="C9931" s="2">
        <v>2024.0</v>
      </c>
      <c r="D9931" s="9">
        <v>53428.062</v>
      </c>
      <c r="E9931" s="10" t="str">
        <f t="array" ref="E9931">IFS(D9931&lt;=$G$3,'calculated data '!$A$3,D9931&lt;=$G$4,'calculated data '!$A$4,D9931&lt;=$G$6,'calculated data '!$A$5,D9931&gt;=$G$6,'calculated data '!$A$6)</f>
        <v>High Demand Tier</v>
      </c>
      <c r="F9931" s="10">
        <f t="shared" si="1"/>
        <v>0.7510560193</v>
      </c>
    </row>
    <row r="9932" ht="14.25" customHeight="1">
      <c r="A9932" s="2" t="s">
        <v>467</v>
      </c>
      <c r="B9932" s="2" t="s">
        <v>468</v>
      </c>
      <c r="C9932" s="2">
        <v>1977.0</v>
      </c>
      <c r="D9932" s="9">
        <v>53465.207</v>
      </c>
      <c r="E9932" s="10" t="str">
        <f t="array" ref="E9932">IFS(D9932&lt;=$G$3,'calculated data '!$A$3,D9932&lt;=$G$4,'calculated data '!$A$4,D9932&lt;=$G$6,'calculated data '!$A$5,D9932&gt;=$G$6,'calculated data '!$A$6)</f>
        <v>High Demand Tier</v>
      </c>
      <c r="F9932" s="10">
        <f t="shared" si="1"/>
        <v>0.7520392382</v>
      </c>
    </row>
    <row r="9933" ht="14.25" customHeight="1">
      <c r="A9933" s="2" t="s">
        <v>479</v>
      </c>
      <c r="B9933" s="2" t="s">
        <v>480</v>
      </c>
      <c r="C9933" s="2">
        <v>2020.0</v>
      </c>
      <c r="D9933" s="9">
        <v>53552.72</v>
      </c>
      <c r="E9933" s="10" t="str">
        <f t="array" ref="E9933">IFS(D9933&lt;=$G$3,'calculated data '!$A$3,D9933&lt;=$G$4,'calculated data '!$A$4,D9933&lt;=$G$6,'calculated data '!$A$5,D9933&gt;=$G$6,'calculated data '!$A$6)</f>
        <v>High Demand Tier</v>
      </c>
      <c r="F9933" s="10">
        <f t="shared" si="1"/>
        <v>0.7543556855</v>
      </c>
    </row>
    <row r="9934" ht="14.25" customHeight="1">
      <c r="A9934" s="2" t="s">
        <v>427</v>
      </c>
      <c r="B9934" s="2" t="s">
        <v>428</v>
      </c>
      <c r="C9934" s="2">
        <v>2018.0</v>
      </c>
      <c r="D9934" s="9">
        <v>53657.133</v>
      </c>
      <c r="E9934" s="10" t="str">
        <f t="array" ref="E9934">IFS(D9934&lt;=$G$3,'calculated data '!$A$3,D9934&lt;=$G$4,'calculated data '!$A$4,D9934&lt;=$G$6,'calculated data '!$A$5,D9934&gt;=$G$6,'calculated data '!$A$6)</f>
        <v>High Demand Tier</v>
      </c>
      <c r="F9934" s="10">
        <f t="shared" si="1"/>
        <v>0.7571194716</v>
      </c>
    </row>
    <row r="9935" ht="14.25" customHeight="1">
      <c r="A9935" s="2" t="s">
        <v>393</v>
      </c>
      <c r="B9935" s="2" t="s">
        <v>394</v>
      </c>
      <c r="C9935" s="2">
        <v>1990.0</v>
      </c>
      <c r="D9935" s="9">
        <v>53731.62</v>
      </c>
      <c r="E9935" s="10" t="str">
        <f t="array" ref="E9935">IFS(D9935&lt;=$G$3,'calculated data '!$A$3,D9935&lt;=$G$4,'calculated data '!$A$4,D9935&lt;=$G$6,'calculated data '!$A$5,D9935&gt;=$G$6,'calculated data '!$A$6)</f>
        <v>High Demand Tier</v>
      </c>
      <c r="F9935" s="10">
        <f t="shared" si="1"/>
        <v>0.7590911239</v>
      </c>
    </row>
    <row r="9936" ht="14.25" customHeight="1">
      <c r="A9936" s="2" t="s">
        <v>441</v>
      </c>
      <c r="B9936" s="2" t="s">
        <v>442</v>
      </c>
      <c r="C9936" s="2">
        <v>2004.0</v>
      </c>
      <c r="D9936" s="9">
        <v>53739.86</v>
      </c>
      <c r="E9936" s="10" t="str">
        <f t="array" ref="E9936">IFS(D9936&lt;=$G$3,'calculated data '!$A$3,D9936&lt;=$G$4,'calculated data '!$A$4,D9936&lt;=$G$6,'calculated data '!$A$5,D9936&gt;=$G$6,'calculated data '!$A$6)</f>
        <v>High Demand Tier</v>
      </c>
      <c r="F9936" s="10">
        <f t="shared" si="1"/>
        <v>0.7593092347</v>
      </c>
    </row>
    <row r="9937" ht="14.25" customHeight="1">
      <c r="A9937" s="2" t="s">
        <v>475</v>
      </c>
      <c r="B9937" s="2" t="s">
        <v>476</v>
      </c>
      <c r="C9937" s="2">
        <v>2011.0</v>
      </c>
      <c r="D9937" s="9">
        <v>53746.69</v>
      </c>
      <c r="E9937" s="10" t="str">
        <f t="array" ref="E9937">IFS(D9937&lt;=$G$3,'calculated data '!$A$3,D9937&lt;=$G$4,'calculated data '!$A$4,D9937&lt;=$G$6,'calculated data '!$A$5,D9937&gt;=$G$6,'calculated data '!$A$6)</f>
        <v>High Demand Tier</v>
      </c>
      <c r="F9937" s="10">
        <f t="shared" si="1"/>
        <v>0.7594900231</v>
      </c>
    </row>
    <row r="9938" ht="14.25" customHeight="1">
      <c r="A9938" s="2" t="s">
        <v>477</v>
      </c>
      <c r="B9938" s="2" t="s">
        <v>478</v>
      </c>
      <c r="C9938" s="2">
        <v>2023.0</v>
      </c>
      <c r="D9938" s="9">
        <v>53769.926</v>
      </c>
      <c r="E9938" s="10" t="str">
        <f t="array" ref="E9938">IFS(D9938&lt;=$G$3,'calculated data '!$A$3,D9938&lt;=$G$4,'calculated data '!$A$4,D9938&lt;=$G$6,'calculated data '!$A$5,D9938&gt;=$G$6,'calculated data '!$A$6)</f>
        <v>High Demand Tier</v>
      </c>
      <c r="F9938" s="10">
        <f t="shared" si="1"/>
        <v>0.7601050742</v>
      </c>
    </row>
    <row r="9939" ht="14.25" customHeight="1">
      <c r="A9939" s="2" t="s">
        <v>473</v>
      </c>
      <c r="B9939" s="2" t="s">
        <v>474</v>
      </c>
      <c r="C9939" s="2">
        <v>1990.0</v>
      </c>
      <c r="D9939" s="9">
        <v>53771.645</v>
      </c>
      <c r="E9939" s="10" t="str">
        <f t="array" ref="E9939">IFS(D9939&lt;=$G$3,'calculated data '!$A$3,D9939&lt;=$G$4,'calculated data '!$A$4,D9939&lt;=$G$6,'calculated data '!$A$5,D9939&gt;=$G$6,'calculated data '!$A$6)</f>
        <v>High Demand Tier</v>
      </c>
      <c r="F9939" s="10">
        <f t="shared" si="1"/>
        <v>0.7601505757</v>
      </c>
    </row>
    <row r="9940" ht="14.25" customHeight="1">
      <c r="A9940" s="2" t="s">
        <v>471</v>
      </c>
      <c r="B9940" s="2" t="s">
        <v>472</v>
      </c>
      <c r="C9940" s="2">
        <v>2010.0</v>
      </c>
      <c r="D9940" s="9">
        <v>53774.96</v>
      </c>
      <c r="E9940" s="10" t="str">
        <f t="array" ref="E9940">IFS(D9940&lt;=$G$3,'calculated data '!$A$3,D9940&lt;=$G$4,'calculated data '!$A$4,D9940&lt;=$G$6,'calculated data '!$A$5,D9940&gt;=$G$6,'calculated data '!$A$6)</f>
        <v>High Demand Tier</v>
      </c>
      <c r="F9940" s="10">
        <f t="shared" si="1"/>
        <v>0.7602383229</v>
      </c>
    </row>
    <row r="9941" ht="14.25" customHeight="1">
      <c r="A9941" s="2" t="s">
        <v>397</v>
      </c>
      <c r="B9941" s="2" t="s">
        <v>398</v>
      </c>
      <c r="C9941" s="2">
        <v>2023.0</v>
      </c>
      <c r="D9941" s="9">
        <v>53786.12</v>
      </c>
      <c r="E9941" s="10" t="str">
        <f t="array" ref="E9941">IFS(D9941&lt;=$G$3,'calculated data '!$A$3,D9941&lt;=$G$4,'calculated data '!$A$4,D9941&lt;=$G$6,'calculated data '!$A$5,D9941&gt;=$G$6,'calculated data '!$A$6)</f>
        <v>High Demand Tier</v>
      </c>
      <c r="F9941" s="10">
        <f t="shared" si="1"/>
        <v>0.7605337253</v>
      </c>
    </row>
    <row r="9942" ht="14.25" customHeight="1">
      <c r="A9942" s="2" t="s">
        <v>459</v>
      </c>
      <c r="B9942" s="2" t="s">
        <v>460</v>
      </c>
      <c r="C9942" s="2">
        <v>1980.0</v>
      </c>
      <c r="D9942" s="9">
        <v>53786.54</v>
      </c>
      <c r="E9942" s="10" t="str">
        <f t="array" ref="E9942">IFS(D9942&lt;=$G$3,'calculated data '!$A$3,D9942&lt;=$G$4,'calculated data '!$A$4,D9942&lt;=$G$6,'calculated data '!$A$5,D9942&gt;=$G$6,'calculated data '!$A$6)</f>
        <v>High Demand Tier</v>
      </c>
      <c r="F9942" s="10">
        <f t="shared" si="1"/>
        <v>0.7605448426</v>
      </c>
    </row>
    <row r="9943" ht="14.25" customHeight="1">
      <c r="A9943" s="2" t="s">
        <v>471</v>
      </c>
      <c r="B9943" s="2" t="s">
        <v>472</v>
      </c>
      <c r="C9943" s="2">
        <v>2011.0</v>
      </c>
      <c r="D9943" s="9">
        <v>53843.414</v>
      </c>
      <c r="E9943" s="10" t="str">
        <f t="array" ref="E9943">IFS(D9943&lt;=$G$3,'calculated data '!$A$3,D9943&lt;=$G$4,'calculated data '!$A$4,D9943&lt;=$G$6,'calculated data '!$A$5,D9943&gt;=$G$6,'calculated data '!$A$6)</f>
        <v>High Demand Tier</v>
      </c>
      <c r="F9943" s="10">
        <f t="shared" si="1"/>
        <v>0.7620502832</v>
      </c>
    </row>
    <row r="9944" ht="14.25" customHeight="1">
      <c r="A9944" s="2" t="s">
        <v>403</v>
      </c>
      <c r="B9944" s="2" t="s">
        <v>404</v>
      </c>
      <c r="C9944" s="2">
        <v>2014.0</v>
      </c>
      <c r="D9944" s="9">
        <v>53847.508</v>
      </c>
      <c r="E9944" s="10" t="str">
        <f t="array" ref="E9944">IFS(D9944&lt;=$G$3,'calculated data '!$A$3,D9944&lt;=$G$4,'calculated data '!$A$4,D9944&lt;=$G$6,'calculated data '!$A$5,D9944&gt;=$G$6,'calculated data '!$A$6)</f>
        <v>High Demand Tier</v>
      </c>
      <c r="F9944" s="10">
        <f t="shared" si="1"/>
        <v>0.7621586504</v>
      </c>
    </row>
    <row r="9945" ht="14.25" customHeight="1">
      <c r="A9945" s="2" t="s">
        <v>459</v>
      </c>
      <c r="B9945" s="2" t="s">
        <v>460</v>
      </c>
      <c r="C9945" s="2">
        <v>1989.0</v>
      </c>
      <c r="D9945" s="9">
        <v>53860.004</v>
      </c>
      <c r="E9945" s="10" t="str">
        <f t="array" ref="E9945">IFS(D9945&lt;=$G$3,'calculated data '!$A$3,D9945&lt;=$G$4,'calculated data '!$A$4,D9945&lt;=$G$6,'calculated data '!$A$5,D9945&gt;=$G$6,'calculated data '!$A$6)</f>
        <v>High Demand Tier</v>
      </c>
      <c r="F9945" s="10">
        <f t="shared" si="1"/>
        <v>0.7624894164</v>
      </c>
    </row>
    <row r="9946" ht="14.25" customHeight="1">
      <c r="A9946" s="2" t="s">
        <v>479</v>
      </c>
      <c r="B9946" s="2" t="s">
        <v>480</v>
      </c>
      <c r="C9946" s="2">
        <v>2013.0</v>
      </c>
      <c r="D9946" s="9">
        <v>53904.45</v>
      </c>
      <c r="E9946" s="10" t="str">
        <f t="array" ref="E9946">IFS(D9946&lt;=$G$3,'calculated data '!$A$3,D9946&lt;=$G$4,'calculated data '!$A$4,D9946&lt;=$G$6,'calculated data '!$A$5,D9946&gt;=$G$6,'calculated data '!$A$6)</f>
        <v>High Demand Tier</v>
      </c>
      <c r="F9946" s="10">
        <f t="shared" si="1"/>
        <v>0.763665891</v>
      </c>
    </row>
    <row r="9947" ht="14.25" customHeight="1">
      <c r="A9947" s="2" t="s">
        <v>461</v>
      </c>
      <c r="B9947" s="2" t="s">
        <v>462</v>
      </c>
      <c r="C9947" s="2">
        <v>2020.0</v>
      </c>
      <c r="D9947" s="9">
        <v>53907.52</v>
      </c>
      <c r="E9947" s="10" t="str">
        <f t="array" ref="E9947">IFS(D9947&lt;=$G$3,'calculated data '!$A$3,D9947&lt;=$G$4,'calculated data '!$A$4,D9947&lt;=$G$6,'calculated data '!$A$5,D9947&gt;=$G$6,'calculated data '!$A$6)</f>
        <v>High Demand Tier</v>
      </c>
      <c r="F9947" s="10">
        <f t="shared" si="1"/>
        <v>0.7637471531</v>
      </c>
    </row>
    <row r="9948" ht="14.25" customHeight="1">
      <c r="A9948" s="2" t="s">
        <v>479</v>
      </c>
      <c r="B9948" s="2" t="s">
        <v>480</v>
      </c>
      <c r="C9948" s="2">
        <v>2016.0</v>
      </c>
      <c r="D9948" s="9">
        <v>53980.617</v>
      </c>
      <c r="E9948" s="10" t="str">
        <f t="array" ref="E9948">IFS(D9948&lt;=$G$3,'calculated data '!$A$3,D9948&lt;=$G$4,'calculated data '!$A$4,D9948&lt;=$G$6,'calculated data '!$A$5,D9948&gt;=$G$6,'calculated data '!$A$6)</f>
        <v>High Demand Tier</v>
      </c>
      <c r="F9948" s="10">
        <f t="shared" si="1"/>
        <v>0.7656820125</v>
      </c>
    </row>
    <row r="9949" ht="14.25" customHeight="1">
      <c r="A9949" s="2" t="s">
        <v>279</v>
      </c>
      <c r="B9949" s="2" t="s">
        <v>280</v>
      </c>
      <c r="C9949" s="2">
        <v>2020.0</v>
      </c>
      <c r="D9949" s="9">
        <v>53982.605</v>
      </c>
      <c r="E9949" s="10" t="str">
        <f t="array" ref="E9949">IFS(D9949&lt;=$G$3,'calculated data '!$A$3,D9949&lt;=$G$4,'calculated data '!$A$4,D9949&lt;=$G$6,'calculated data '!$A$5,D9949&gt;=$G$6,'calculated data '!$A$6)</f>
        <v>High Demand Tier</v>
      </c>
      <c r="F9949" s="10">
        <f t="shared" si="1"/>
        <v>0.7657346343</v>
      </c>
    </row>
    <row r="9950" ht="14.25" customHeight="1">
      <c r="A9950" s="2" t="s">
        <v>465</v>
      </c>
      <c r="B9950" s="2" t="s">
        <v>466</v>
      </c>
      <c r="C9950" s="2">
        <v>1984.0</v>
      </c>
      <c r="D9950" s="9">
        <v>54006.67</v>
      </c>
      <c r="E9950" s="10" t="str">
        <f t="array" ref="E9950">IFS(D9950&lt;=$G$3,'calculated data '!$A$3,D9950&lt;=$G$4,'calculated data '!$A$4,D9950&lt;=$G$6,'calculated data '!$A$5,D9950&gt;=$G$6,'calculated data '!$A$6)</f>
        <v>High Demand Tier</v>
      </c>
      <c r="F9950" s="10">
        <f t="shared" si="1"/>
        <v>0.7663716289</v>
      </c>
    </row>
    <row r="9951" ht="14.25" customHeight="1">
      <c r="A9951" s="2" t="s">
        <v>471</v>
      </c>
      <c r="B9951" s="2" t="s">
        <v>472</v>
      </c>
      <c r="C9951" s="2">
        <v>2007.0</v>
      </c>
      <c r="D9951" s="9">
        <v>54030.047</v>
      </c>
      <c r="E9951" s="10" t="str">
        <f t="array" ref="E9951">IFS(D9951&lt;=$G$3,'calculated data '!$A$3,D9951&lt;=$G$4,'calculated data '!$A$4,D9951&lt;=$G$6,'calculated data '!$A$5,D9951&gt;=$G$6,'calculated data '!$A$6)</f>
        <v>High Demand Tier</v>
      </c>
      <c r="F9951" s="10">
        <f t="shared" si="1"/>
        <v>0.7669904123</v>
      </c>
    </row>
    <row r="9952" ht="14.25" customHeight="1">
      <c r="A9952" s="2" t="s">
        <v>451</v>
      </c>
      <c r="B9952" s="2" t="s">
        <v>452</v>
      </c>
      <c r="C9952" s="2">
        <v>1993.0</v>
      </c>
      <c r="D9952" s="9">
        <v>54032.723</v>
      </c>
      <c r="E9952" s="10" t="str">
        <f t="array" ref="E9952">IFS(D9952&lt;=$G$3,'calculated data '!$A$3,D9952&lt;=$G$4,'calculated data '!$A$4,D9952&lt;=$G$6,'calculated data '!$A$5,D9952&gt;=$G$6,'calculated data '!$A$6)</f>
        <v>High Demand Tier</v>
      </c>
      <c r="F9952" s="10">
        <f t="shared" si="1"/>
        <v>0.7670612453</v>
      </c>
    </row>
    <row r="9953" ht="14.25" customHeight="1">
      <c r="A9953" s="2" t="s">
        <v>451</v>
      </c>
      <c r="B9953" s="2" t="s">
        <v>452</v>
      </c>
      <c r="C9953" s="2">
        <v>1994.0</v>
      </c>
      <c r="D9953" s="9">
        <v>54094.332</v>
      </c>
      <c r="E9953" s="10" t="str">
        <f t="array" ref="E9953">IFS(D9953&lt;=$G$3,'calculated data '!$A$3,D9953&lt;=$G$4,'calculated data '!$A$4,D9953&lt;=$G$6,'calculated data '!$A$5,D9953&gt;=$G$6,'calculated data '!$A$6)</f>
        <v>High Demand Tier</v>
      </c>
      <c r="F9953" s="10">
        <f t="shared" si="1"/>
        <v>0.7686920202</v>
      </c>
    </row>
    <row r="9954" ht="14.25" customHeight="1">
      <c r="A9954" s="2" t="s">
        <v>397</v>
      </c>
      <c r="B9954" s="2" t="s">
        <v>398</v>
      </c>
      <c r="C9954" s="2">
        <v>1985.0</v>
      </c>
      <c r="D9954" s="9">
        <v>54108.03</v>
      </c>
      <c r="E9954" s="10" t="str">
        <f t="array" ref="E9954">IFS(D9954&lt;=$G$3,'calculated data '!$A$3,D9954&lt;=$G$4,'calculated data '!$A$4,D9954&lt;=$G$6,'calculated data '!$A$5,D9954&gt;=$G$6,'calculated data '!$A$6)</f>
        <v>High Demand Tier</v>
      </c>
      <c r="F9954" s="10">
        <f t="shared" si="1"/>
        <v>0.7690546029</v>
      </c>
    </row>
    <row r="9955" ht="14.25" customHeight="1">
      <c r="A9955" s="2" t="s">
        <v>479</v>
      </c>
      <c r="B9955" s="2" t="s">
        <v>480</v>
      </c>
      <c r="C9955" s="2">
        <v>2014.0</v>
      </c>
      <c r="D9955" s="9">
        <v>54115.184</v>
      </c>
      <c r="E9955" s="10" t="str">
        <f t="array" ref="E9955">IFS(D9955&lt;=$G$3,'calculated data '!$A$3,D9955&lt;=$G$4,'calculated data '!$A$4,D9955&lt;=$G$6,'calculated data '!$A$5,D9955&gt;=$G$6,'calculated data '!$A$6)</f>
        <v>High Demand Tier</v>
      </c>
      <c r="F9955" s="10">
        <f t="shared" si="1"/>
        <v>0.7692439675</v>
      </c>
    </row>
    <row r="9956" ht="14.25" customHeight="1">
      <c r="A9956" s="2" t="s">
        <v>279</v>
      </c>
      <c r="B9956" s="2" t="s">
        <v>280</v>
      </c>
      <c r="C9956" s="2">
        <v>2008.0</v>
      </c>
      <c r="D9956" s="9">
        <v>54119.594</v>
      </c>
      <c r="E9956" s="10" t="str">
        <f t="array" ref="E9956">IFS(D9956&lt;=$G$3,'calculated data '!$A$3,D9956&lt;=$G$4,'calculated data '!$A$4,D9956&lt;=$G$6,'calculated data '!$A$5,D9956&gt;=$G$6,'calculated data '!$A$6)</f>
        <v>High Demand Tier</v>
      </c>
      <c r="F9956" s="10">
        <f t="shared" si="1"/>
        <v>0.7693606991</v>
      </c>
    </row>
    <row r="9957" ht="14.25" customHeight="1">
      <c r="A9957" s="2" t="s">
        <v>467</v>
      </c>
      <c r="B9957" s="2" t="s">
        <v>468</v>
      </c>
      <c r="C9957" s="2">
        <v>1984.0</v>
      </c>
      <c r="D9957" s="9">
        <v>54133.246</v>
      </c>
      <c r="E9957" s="10" t="str">
        <f t="array" ref="E9957">IFS(D9957&lt;=$G$3,'calculated data '!$A$3,D9957&lt;=$G$4,'calculated data '!$A$4,D9957&lt;=$G$6,'calculated data '!$A$5,D9957&gt;=$G$6,'calculated data '!$A$6)</f>
        <v>High Demand Tier</v>
      </c>
      <c r="F9957" s="10">
        <f t="shared" si="1"/>
        <v>0.7697220641</v>
      </c>
    </row>
    <row r="9958" ht="14.25" customHeight="1">
      <c r="A9958" s="2" t="s">
        <v>149</v>
      </c>
      <c r="B9958" s="2" t="s">
        <v>150</v>
      </c>
      <c r="C9958" s="2">
        <v>1991.0</v>
      </c>
      <c r="D9958" s="9">
        <v>54151.16</v>
      </c>
      <c r="E9958" s="10" t="str">
        <f t="array" ref="E9958">IFS(D9958&lt;=$G$3,'calculated data '!$A$3,D9958&lt;=$G$4,'calculated data '!$A$4,D9958&lt;=$G$6,'calculated data '!$A$5,D9958&gt;=$G$6,'calculated data '!$A$6)</f>
        <v>High Demand Tier</v>
      </c>
      <c r="F9958" s="10">
        <f t="shared" si="1"/>
        <v>0.7701962432</v>
      </c>
    </row>
    <row r="9959" ht="14.25" customHeight="1">
      <c r="A9959" s="2" t="s">
        <v>367</v>
      </c>
      <c r="B9959" s="2" t="s">
        <v>368</v>
      </c>
      <c r="C9959" s="2">
        <v>1986.0</v>
      </c>
      <c r="D9959" s="9">
        <v>54177.65</v>
      </c>
      <c r="E9959" s="10" t="str">
        <f t="array" ref="E9959">IFS(D9959&lt;=$G$3,'calculated data '!$A$3,D9959&lt;=$G$4,'calculated data '!$A$4,D9959&lt;=$G$6,'calculated data '!$A$5,D9959&gt;=$G$6,'calculated data '!$A$6)</f>
        <v>High Demand Tier</v>
      </c>
      <c r="F9959" s="10">
        <f t="shared" si="1"/>
        <v>0.7708974269</v>
      </c>
    </row>
    <row r="9960" ht="14.25" customHeight="1">
      <c r="A9960" s="2" t="s">
        <v>451</v>
      </c>
      <c r="B9960" s="2" t="s">
        <v>452</v>
      </c>
      <c r="C9960" s="2">
        <v>1992.0</v>
      </c>
      <c r="D9960" s="9">
        <v>54192.05</v>
      </c>
      <c r="E9960" s="10" t="str">
        <f t="array" ref="E9960">IFS(D9960&lt;=$G$3,'calculated data '!$A$3,D9960&lt;=$G$4,'calculated data '!$A$4,D9960&lt;=$G$6,'calculated data '!$A$5,D9960&gt;=$G$6,'calculated data '!$A$6)</f>
        <v>High Demand Tier</v>
      </c>
      <c r="F9960" s="10">
        <f t="shared" si="1"/>
        <v>0.7712785913</v>
      </c>
    </row>
    <row r="9961" ht="14.25" customHeight="1">
      <c r="A9961" s="2" t="s">
        <v>367</v>
      </c>
      <c r="B9961" s="2" t="s">
        <v>368</v>
      </c>
      <c r="C9961" s="2">
        <v>1985.0</v>
      </c>
      <c r="D9961" s="9">
        <v>54197.586</v>
      </c>
      <c r="E9961" s="10" t="str">
        <f t="array" ref="E9961">IFS(D9961&lt;=$G$3,'calculated data '!$A$3,D9961&lt;=$G$4,'calculated data '!$A$4,D9961&lt;=$G$6,'calculated data '!$A$5,D9961&gt;=$G$6,'calculated data '!$A$6)</f>
        <v>High Demand Tier</v>
      </c>
      <c r="F9961" s="10">
        <f t="shared" si="1"/>
        <v>0.7714251279</v>
      </c>
    </row>
    <row r="9962" ht="14.25" customHeight="1">
      <c r="A9962" s="2" t="s">
        <v>479</v>
      </c>
      <c r="B9962" s="2" t="s">
        <v>480</v>
      </c>
      <c r="C9962" s="2">
        <v>2017.0</v>
      </c>
      <c r="D9962" s="9">
        <v>54225.34</v>
      </c>
      <c r="E9962" s="10" t="str">
        <f t="array" ref="E9962">IFS(D9962&lt;=$G$3,'calculated data '!$A$3,D9962&lt;=$G$4,'calculated data '!$A$4,D9962&lt;=$G$6,'calculated data '!$A$5,D9962&gt;=$G$6,'calculated data '!$A$6)</f>
        <v>High Demand Tier</v>
      </c>
      <c r="F9962" s="10">
        <f t="shared" si="1"/>
        <v>0.7721597693</v>
      </c>
    </row>
    <row r="9963" ht="14.25" customHeight="1">
      <c r="A9963" s="2" t="s">
        <v>471</v>
      </c>
      <c r="B9963" s="2" t="s">
        <v>472</v>
      </c>
      <c r="C9963" s="2">
        <v>2012.0</v>
      </c>
      <c r="D9963" s="9">
        <v>54253.086</v>
      </c>
      <c r="E9963" s="10" t="str">
        <f t="array" ref="E9963">IFS(D9963&lt;=$G$3,'calculated data '!$A$3,D9963&lt;=$G$4,'calculated data '!$A$4,D9963&lt;=$G$6,'calculated data '!$A$5,D9963&gt;=$G$6,'calculated data '!$A$6)</f>
        <v>High Demand Tier</v>
      </c>
      <c r="F9963" s="10">
        <f t="shared" si="1"/>
        <v>0.7728941991</v>
      </c>
    </row>
    <row r="9964" ht="14.25" customHeight="1">
      <c r="A9964" s="2" t="s">
        <v>451</v>
      </c>
      <c r="B9964" s="2" t="s">
        <v>452</v>
      </c>
      <c r="C9964" s="2">
        <v>1988.0</v>
      </c>
      <c r="D9964" s="9">
        <v>54262.656</v>
      </c>
      <c r="E9964" s="10" t="str">
        <f t="array" ref="E9964">IFS(D9964&lt;=$G$3,'calculated data '!$A$3,D9964&lt;=$G$4,'calculated data '!$A$4,D9964&lt;=$G$6,'calculated data '!$A$5,D9964&gt;=$G$6,'calculated data '!$A$6)</f>
        <v>High Demand Tier</v>
      </c>
      <c r="F9964" s="10">
        <f t="shared" si="1"/>
        <v>0.7731475146</v>
      </c>
    </row>
    <row r="9965" ht="14.25" customHeight="1">
      <c r="A9965" s="2" t="s">
        <v>467</v>
      </c>
      <c r="B9965" s="2" t="s">
        <v>468</v>
      </c>
      <c r="C9965" s="2">
        <v>1982.0</v>
      </c>
      <c r="D9965" s="9">
        <v>54292.93</v>
      </c>
      <c r="E9965" s="10" t="str">
        <f t="array" ref="E9965">IFS(D9965&lt;=$G$3,'calculated data '!$A$3,D9965&lt;=$G$4,'calculated data '!$A$4,D9965&lt;=$G$6,'calculated data '!$A$5,D9965&gt;=$G$6,'calculated data '!$A$6)</f>
        <v>High Demand Tier</v>
      </c>
      <c r="F9965" s="10">
        <f t="shared" si="1"/>
        <v>0.7739488598</v>
      </c>
    </row>
    <row r="9966" ht="14.25" customHeight="1">
      <c r="A9966" s="2" t="s">
        <v>463</v>
      </c>
      <c r="B9966" s="2" t="s">
        <v>464</v>
      </c>
      <c r="C9966" s="2">
        <v>1990.0</v>
      </c>
      <c r="D9966" s="9">
        <v>54303.707</v>
      </c>
      <c r="E9966" s="10" t="str">
        <f t="array" ref="E9966">IFS(D9966&lt;=$G$3,'calculated data '!$A$3,D9966&lt;=$G$4,'calculated data '!$A$4,D9966&lt;=$G$6,'calculated data '!$A$5,D9966&gt;=$G$6,'calculated data '!$A$6)</f>
        <v>High Demand Tier</v>
      </c>
      <c r="F9966" s="10">
        <f t="shared" si="1"/>
        <v>0.7742341243</v>
      </c>
    </row>
    <row r="9967" ht="14.25" customHeight="1">
      <c r="A9967" s="2" t="s">
        <v>279</v>
      </c>
      <c r="B9967" s="2" t="s">
        <v>280</v>
      </c>
      <c r="C9967" s="2">
        <v>2006.0</v>
      </c>
      <c r="D9967" s="9">
        <v>54318.84</v>
      </c>
      <c r="E9967" s="10" t="str">
        <f t="array" ref="E9967">IFS(D9967&lt;=$G$3,'calculated data '!$A$3,D9967&lt;=$G$4,'calculated data '!$A$4,D9967&lt;=$G$6,'calculated data '!$A$5,D9967&gt;=$G$6,'calculated data '!$A$6)</f>
        <v>High Demand Tier</v>
      </c>
      <c r="F9967" s="10">
        <f t="shared" si="1"/>
        <v>0.7746346911</v>
      </c>
    </row>
    <row r="9968" ht="14.25" customHeight="1">
      <c r="A9968" s="2" t="s">
        <v>221</v>
      </c>
      <c r="B9968" s="2" t="s">
        <v>222</v>
      </c>
      <c r="C9968" s="2">
        <v>2004.0</v>
      </c>
      <c r="D9968" s="9">
        <v>54334.062</v>
      </c>
      <c r="E9968" s="10" t="str">
        <f t="array" ref="E9968">IFS(D9968&lt;=$G$3,'calculated data '!$A$3,D9968&lt;=$G$4,'calculated data '!$A$4,D9968&lt;=$G$6,'calculated data '!$A$5,D9968&gt;=$G$6,'calculated data '!$A$6)</f>
        <v>High Demand Tier</v>
      </c>
      <c r="F9968" s="10">
        <f t="shared" si="1"/>
        <v>0.7750376136</v>
      </c>
    </row>
    <row r="9969" ht="14.25" customHeight="1">
      <c r="A9969" s="2" t="s">
        <v>451</v>
      </c>
      <c r="B9969" s="2" t="s">
        <v>452</v>
      </c>
      <c r="C9969" s="2">
        <v>1991.0</v>
      </c>
      <c r="D9969" s="9">
        <v>54361.543</v>
      </c>
      <c r="E9969" s="10" t="str">
        <f t="array" ref="E9969">IFS(D9969&lt;=$G$3,'calculated data '!$A$3,D9969&lt;=$G$4,'calculated data '!$A$4,D9969&lt;=$G$6,'calculated data '!$A$5,D9969&gt;=$G$6,'calculated data '!$A$6)</f>
        <v>High Demand Tier</v>
      </c>
      <c r="F9969" s="10">
        <f t="shared" si="1"/>
        <v>0.7757650288</v>
      </c>
    </row>
    <row r="9970" ht="14.25" customHeight="1">
      <c r="A9970" s="2" t="s">
        <v>449</v>
      </c>
      <c r="B9970" s="2" t="s">
        <v>450</v>
      </c>
      <c r="C9970" s="2">
        <v>2012.0</v>
      </c>
      <c r="D9970" s="9">
        <v>54380.004</v>
      </c>
      <c r="E9970" s="10" t="str">
        <f t="array" ref="E9970">IFS(D9970&lt;=$G$3,'calculated data '!$A$3,D9970&lt;=$G$4,'calculated data '!$A$4,D9970&lt;=$G$6,'calculated data '!$A$5,D9970&gt;=$G$6,'calculated data '!$A$6)</f>
        <v>High Demand Tier</v>
      </c>
      <c r="F9970" s="10">
        <f t="shared" si="1"/>
        <v>0.7762536869</v>
      </c>
    </row>
    <row r="9971" ht="14.25" customHeight="1">
      <c r="A9971" s="2" t="s">
        <v>393</v>
      </c>
      <c r="B9971" s="2" t="s">
        <v>394</v>
      </c>
      <c r="C9971" s="2">
        <v>1989.0</v>
      </c>
      <c r="D9971" s="9">
        <v>54389.777</v>
      </c>
      <c r="E9971" s="10" t="str">
        <f t="array" ref="E9971">IFS(D9971&lt;=$G$3,'calculated data '!$A$3,D9971&lt;=$G$4,'calculated data '!$A$4,D9971&lt;=$G$6,'calculated data '!$A$5,D9971&gt;=$G$6,'calculated data '!$A$6)</f>
        <v>High Demand Tier</v>
      </c>
      <c r="F9971" s="10">
        <f t="shared" si="1"/>
        <v>0.7765123758</v>
      </c>
    </row>
    <row r="9972" ht="14.25" customHeight="1">
      <c r="A9972" s="2" t="s">
        <v>451</v>
      </c>
      <c r="B9972" s="2" t="s">
        <v>452</v>
      </c>
      <c r="C9972" s="2">
        <v>2019.0</v>
      </c>
      <c r="D9972" s="9">
        <v>54428.113</v>
      </c>
      <c r="E9972" s="10" t="str">
        <f t="array" ref="E9972">IFS(D9972&lt;=$G$3,'calculated data '!$A$3,D9972&lt;=$G$4,'calculated data '!$A$4,D9972&lt;=$G$6,'calculated data '!$A$5,D9972&gt;=$G$6,'calculated data '!$A$6)</f>
        <v>High Demand Tier</v>
      </c>
      <c r="F9972" s="10">
        <f t="shared" si="1"/>
        <v>0.7775271201</v>
      </c>
    </row>
    <row r="9973" ht="14.25" customHeight="1">
      <c r="A9973" s="2" t="s">
        <v>459</v>
      </c>
      <c r="B9973" s="2" t="s">
        <v>460</v>
      </c>
      <c r="C9973" s="2">
        <v>1986.0</v>
      </c>
      <c r="D9973" s="9">
        <v>54453.547</v>
      </c>
      <c r="E9973" s="10" t="str">
        <f t="array" ref="E9973">IFS(D9973&lt;=$G$3,'calculated data '!$A$3,D9973&lt;=$G$4,'calculated data '!$A$4,D9973&lt;=$G$6,'calculated data '!$A$5,D9973&gt;=$G$6,'calculated data '!$A$6)</f>
        <v>High Demand Tier</v>
      </c>
      <c r="F9973" s="10">
        <f t="shared" si="1"/>
        <v>0.7782003518</v>
      </c>
    </row>
    <row r="9974" ht="14.25" customHeight="1">
      <c r="A9974" s="2" t="s">
        <v>467</v>
      </c>
      <c r="B9974" s="2" t="s">
        <v>468</v>
      </c>
      <c r="C9974" s="2">
        <v>1978.0</v>
      </c>
      <c r="D9974" s="9">
        <v>54460.25</v>
      </c>
      <c r="E9974" s="10" t="str">
        <f t="array" ref="E9974">IFS(D9974&lt;=$G$3,'calculated data '!$A$3,D9974&lt;=$G$4,'calculated data '!$A$4,D9974&lt;=$G$6,'calculated data '!$A$5,D9974&gt;=$G$6,'calculated data '!$A$6)</f>
        <v>High Demand Tier</v>
      </c>
      <c r="F9974" s="10">
        <f t="shared" si="1"/>
        <v>0.7783777785</v>
      </c>
    </row>
    <row r="9975" ht="14.25" customHeight="1">
      <c r="A9975" s="2" t="s">
        <v>449</v>
      </c>
      <c r="B9975" s="2" t="s">
        <v>450</v>
      </c>
      <c r="C9975" s="2">
        <v>2010.0</v>
      </c>
      <c r="D9975" s="9">
        <v>54476.797</v>
      </c>
      <c r="E9975" s="10" t="str">
        <f t="array" ref="E9975">IFS(D9975&lt;=$G$3,'calculated data '!$A$3,D9975&lt;=$G$4,'calculated data '!$A$4,D9975&lt;=$G$6,'calculated data '!$A$5,D9975&gt;=$G$6,'calculated data '!$A$6)</f>
        <v>High Demand Tier</v>
      </c>
      <c r="F9975" s="10">
        <f t="shared" si="1"/>
        <v>0.7788157735</v>
      </c>
    </row>
    <row r="9976" ht="14.25" customHeight="1">
      <c r="A9976" s="2" t="s">
        <v>457</v>
      </c>
      <c r="B9976" s="2" t="s">
        <v>458</v>
      </c>
      <c r="C9976" s="2">
        <v>1986.0</v>
      </c>
      <c r="D9976" s="9">
        <v>54491.016</v>
      </c>
      <c r="E9976" s="10" t="str">
        <f t="array" ref="E9976">IFS(D9976&lt;=$G$3,'calculated data '!$A$3,D9976&lt;=$G$4,'calculated data '!$A$4,D9976&lt;=$G$6,'calculated data '!$A$5,D9976&gt;=$G$6,'calculated data '!$A$6)</f>
        <v>High Demand Tier</v>
      </c>
      <c r="F9976" s="10">
        <f t="shared" si="1"/>
        <v>0.7791921469</v>
      </c>
    </row>
    <row r="9977" ht="14.25" customHeight="1">
      <c r="A9977" s="2" t="s">
        <v>451</v>
      </c>
      <c r="B9977" s="2" t="s">
        <v>452</v>
      </c>
      <c r="C9977" s="2">
        <v>1990.0</v>
      </c>
      <c r="D9977" s="9">
        <v>54505.46</v>
      </c>
      <c r="E9977" s="10" t="str">
        <f t="array" ref="E9977">IFS(D9977&lt;=$G$3,'calculated data '!$A$3,D9977&lt;=$G$4,'calculated data '!$A$4,D9977&lt;=$G$6,'calculated data '!$A$5,D9977&gt;=$G$6,'calculated data '!$A$6)</f>
        <v>High Demand Tier</v>
      </c>
      <c r="F9977" s="10">
        <f t="shared" si="1"/>
        <v>0.779574476</v>
      </c>
    </row>
    <row r="9978" ht="14.25" customHeight="1">
      <c r="A9978" s="2" t="s">
        <v>483</v>
      </c>
      <c r="B9978" s="2" t="s">
        <v>484</v>
      </c>
      <c r="C9978" s="2">
        <v>2023.0</v>
      </c>
      <c r="D9978" s="9">
        <v>54551.355</v>
      </c>
      <c r="E9978" s="10" t="str">
        <f t="array" ref="E9978">IFS(D9978&lt;=$G$3,'calculated data '!$A$3,D9978&lt;=$G$4,'calculated data '!$A$4,D9978&lt;=$G$6,'calculated data '!$A$5,D9978&gt;=$G$6,'calculated data '!$A$6)</f>
        <v>High Demand Tier</v>
      </c>
      <c r="F9978" s="10">
        <f t="shared" si="1"/>
        <v>0.7807893052</v>
      </c>
    </row>
    <row r="9979" ht="14.25" customHeight="1">
      <c r="A9979" s="2" t="s">
        <v>397</v>
      </c>
      <c r="B9979" s="2" t="s">
        <v>398</v>
      </c>
      <c r="C9979" s="2">
        <v>1986.0</v>
      </c>
      <c r="D9979" s="9">
        <v>54578.723</v>
      </c>
      <c r="E9979" s="10" t="str">
        <f t="array" ref="E9979">IFS(D9979&lt;=$G$3,'calculated data '!$A$3,D9979&lt;=$G$4,'calculated data '!$A$4,D9979&lt;=$G$6,'calculated data '!$A$5,D9979&gt;=$G$6,'calculated data '!$A$6)</f>
        <v>High Demand Tier</v>
      </c>
      <c r="F9979" s="10">
        <f t="shared" si="1"/>
        <v>0.7815137293</v>
      </c>
    </row>
    <row r="9980" ht="14.25" customHeight="1">
      <c r="A9980" s="2" t="s">
        <v>451</v>
      </c>
      <c r="B9980" s="2" t="s">
        <v>452</v>
      </c>
      <c r="C9980" s="2">
        <v>1995.0</v>
      </c>
      <c r="D9980" s="9">
        <v>54586.75</v>
      </c>
      <c r="E9980" s="10" t="str">
        <f t="array" ref="E9980">IFS(D9980&lt;=$G$3,'calculated data '!$A$3,D9980&lt;=$G$4,'calculated data '!$A$4,D9980&lt;=$G$6,'calculated data '!$A$5,D9980&gt;=$G$6,'calculated data '!$A$6)</f>
        <v>High Demand Tier</v>
      </c>
      <c r="F9980" s="10">
        <f t="shared" si="1"/>
        <v>0.781726202</v>
      </c>
    </row>
    <row r="9981" ht="14.25" customHeight="1">
      <c r="A9981" s="2" t="s">
        <v>479</v>
      </c>
      <c r="B9981" s="2" t="s">
        <v>480</v>
      </c>
      <c r="C9981" s="2">
        <v>2011.0</v>
      </c>
      <c r="D9981" s="9">
        <v>54593.598</v>
      </c>
      <c r="E9981" s="10" t="str">
        <f t="array" ref="E9981">IFS(D9981&lt;=$G$3,'calculated data '!$A$3,D9981&lt;=$G$4,'calculated data '!$A$4,D9981&lt;=$G$6,'calculated data '!$A$5,D9981&gt;=$G$6,'calculated data '!$A$6)</f>
        <v>High Demand Tier</v>
      </c>
      <c r="F9981" s="10">
        <f t="shared" si="1"/>
        <v>0.7819074669</v>
      </c>
    </row>
    <row r="9982" ht="14.25" customHeight="1">
      <c r="A9982" s="2" t="s">
        <v>461</v>
      </c>
      <c r="B9982" s="2" t="s">
        <v>462</v>
      </c>
      <c r="C9982" s="2">
        <v>2021.0</v>
      </c>
      <c r="D9982" s="9">
        <v>54596.01</v>
      </c>
      <c r="E9982" s="10" t="str">
        <f t="array" ref="E9982">IFS(D9982&lt;=$G$3,'calculated data '!$A$3,D9982&lt;=$G$4,'calculated data '!$A$4,D9982&lt;=$G$6,'calculated data '!$A$5,D9982&gt;=$G$6,'calculated data '!$A$6)</f>
        <v>High Demand Tier</v>
      </c>
      <c r="F9982" s="10">
        <f t="shared" si="1"/>
        <v>0.7819713119</v>
      </c>
    </row>
    <row r="9983" ht="14.25" customHeight="1">
      <c r="A9983" s="2" t="s">
        <v>481</v>
      </c>
      <c r="B9983" s="2" t="s">
        <v>482</v>
      </c>
      <c r="C9983" s="2">
        <v>1991.0</v>
      </c>
      <c r="D9983" s="9">
        <v>54612.066</v>
      </c>
      <c r="E9983" s="10" t="str">
        <f t="array" ref="E9983">IFS(D9983&lt;=$G$3,'calculated data '!$A$3,D9983&lt;=$G$4,'calculated data '!$A$4,D9983&lt;=$G$6,'calculated data '!$A$5,D9983&gt;=$G$6,'calculated data '!$A$6)</f>
        <v>High Demand Tier</v>
      </c>
      <c r="F9983" s="10">
        <f t="shared" si="1"/>
        <v>0.7823963102</v>
      </c>
    </row>
    <row r="9984" ht="14.25" customHeight="1">
      <c r="A9984" s="2" t="s">
        <v>451</v>
      </c>
      <c r="B9984" s="2" t="s">
        <v>452</v>
      </c>
      <c r="C9984" s="2">
        <v>2016.0</v>
      </c>
      <c r="D9984" s="9">
        <v>54694.6</v>
      </c>
      <c r="E9984" s="10" t="str">
        <f t="array" ref="E9984">IFS(D9984&lt;=$G$3,'calculated data '!$A$3,D9984&lt;=$G$4,'calculated data '!$A$4,D9984&lt;=$G$6,'calculated data '!$A$5,D9984&gt;=$G$6,'calculated data '!$A$6)</f>
        <v>High Demand Tier</v>
      </c>
      <c r="F9984" s="10">
        <f t="shared" si="1"/>
        <v>0.7845809647</v>
      </c>
    </row>
    <row r="9985" ht="14.25" customHeight="1">
      <c r="A9985" s="2" t="s">
        <v>415</v>
      </c>
      <c r="B9985" s="2" t="s">
        <v>416</v>
      </c>
      <c r="C9985" s="2">
        <v>1996.0</v>
      </c>
      <c r="D9985" s="9">
        <v>54705.066</v>
      </c>
      <c r="E9985" s="10" t="str">
        <f t="array" ref="E9985">IFS(D9985&lt;=$G$3,'calculated data '!$A$3,D9985&lt;=$G$4,'calculated data '!$A$4,D9985&lt;=$G$6,'calculated data '!$A$5,D9985&gt;=$G$6,'calculated data '!$A$6)</f>
        <v>High Demand Tier</v>
      </c>
      <c r="F9985" s="10">
        <f t="shared" si="1"/>
        <v>0.7848579971</v>
      </c>
    </row>
    <row r="9986" ht="14.25" customHeight="1">
      <c r="A9986" s="2" t="s">
        <v>439</v>
      </c>
      <c r="B9986" s="2" t="s">
        <v>440</v>
      </c>
      <c r="C9986" s="2">
        <v>2012.0</v>
      </c>
      <c r="D9986" s="9">
        <v>54717.812</v>
      </c>
      <c r="E9986" s="10" t="str">
        <f t="array" ref="E9986">IFS(D9986&lt;=$G$3,'calculated data '!$A$3,D9986&lt;=$G$4,'calculated data '!$A$4,D9986&lt;=$G$6,'calculated data '!$A$5,D9986&gt;=$G$6,'calculated data '!$A$6)</f>
        <v>High Demand Tier</v>
      </c>
      <c r="F9986" s="10">
        <f t="shared" si="1"/>
        <v>0.7851953805</v>
      </c>
    </row>
    <row r="9987" ht="14.25" customHeight="1">
      <c r="A9987" s="2" t="s">
        <v>485</v>
      </c>
      <c r="B9987" s="2" t="s">
        <v>486</v>
      </c>
      <c r="C9987" s="2">
        <v>2017.0</v>
      </c>
      <c r="D9987" s="9">
        <v>54718.02</v>
      </c>
      <c r="E9987" s="10" t="str">
        <f t="array" ref="E9987">IFS(D9987&lt;=$G$3,'calculated data '!$A$3,D9987&lt;=$G$4,'calculated data '!$A$4,D9987&lt;=$G$6,'calculated data '!$A$5,D9987&gt;=$G$6,'calculated data '!$A$6)</f>
        <v>High Demand Tier</v>
      </c>
      <c r="F9987" s="10">
        <f t="shared" si="1"/>
        <v>0.7852008862</v>
      </c>
    </row>
    <row r="9988" ht="14.25" customHeight="1">
      <c r="A9988" s="2" t="s">
        <v>403</v>
      </c>
      <c r="B9988" s="2" t="s">
        <v>404</v>
      </c>
      <c r="C9988" s="2">
        <v>2015.0</v>
      </c>
      <c r="D9988" s="9">
        <v>54723.48</v>
      </c>
      <c r="E9988" s="10" t="str">
        <f t="array" ref="E9988">IFS(D9988&lt;=$G$3,'calculated data '!$A$3,D9988&lt;=$G$4,'calculated data '!$A$4,D9988&lt;=$G$6,'calculated data '!$A$5,D9988&gt;=$G$6,'calculated data '!$A$6)</f>
        <v>High Demand Tier</v>
      </c>
      <c r="F9988" s="10">
        <f t="shared" si="1"/>
        <v>0.7853454111</v>
      </c>
    </row>
    <row r="9989" ht="14.25" customHeight="1">
      <c r="A9989" s="2" t="s">
        <v>477</v>
      </c>
      <c r="B9989" s="2" t="s">
        <v>478</v>
      </c>
      <c r="C9989" s="2">
        <v>1971.0</v>
      </c>
      <c r="D9989" s="9">
        <v>54732.41</v>
      </c>
      <c r="E9989" s="10" t="str">
        <f t="array" ref="E9989">IFS(D9989&lt;=$G$3,'calculated data '!$A$3,D9989&lt;=$G$4,'calculated data '!$A$4,D9989&lt;=$G$6,'calculated data '!$A$5,D9989&gt;=$G$6,'calculated data '!$A$6)</f>
        <v>High Demand Tier</v>
      </c>
      <c r="F9989" s="10">
        <f t="shared" si="1"/>
        <v>0.7855817859</v>
      </c>
    </row>
    <row r="9990" ht="14.25" customHeight="1">
      <c r="A9990" s="2" t="s">
        <v>455</v>
      </c>
      <c r="B9990" s="2" t="s">
        <v>456</v>
      </c>
      <c r="C9990" s="2">
        <v>2024.0</v>
      </c>
      <c r="D9990" s="9">
        <v>54735.5</v>
      </c>
      <c r="E9990" s="10" t="str">
        <f t="array" ref="E9990">IFS(D9990&lt;=$G$3,'calculated data '!$A$3,D9990&lt;=$G$4,'calculated data '!$A$4,D9990&lt;=$G$6,'calculated data '!$A$5,D9990&gt;=$G$6,'calculated data '!$A$6)</f>
        <v>High Demand Tier</v>
      </c>
      <c r="F9990" s="10">
        <f t="shared" si="1"/>
        <v>0.7856635775</v>
      </c>
    </row>
    <row r="9991" ht="14.25" customHeight="1">
      <c r="A9991" s="2" t="s">
        <v>451</v>
      </c>
      <c r="B9991" s="2" t="s">
        <v>452</v>
      </c>
      <c r="C9991" s="2">
        <v>2017.0</v>
      </c>
      <c r="D9991" s="9">
        <v>54768.9</v>
      </c>
      <c r="E9991" s="10" t="str">
        <f t="array" ref="E9991">IFS(D9991&lt;=$G$3,'calculated data '!$A$3,D9991&lt;=$G$4,'calculated data '!$A$4,D9991&lt;=$G$6,'calculated data '!$A$5,D9991&gt;=$G$6,'calculated data '!$A$6)</f>
        <v>High Demand Tier</v>
      </c>
      <c r="F9991" s="10">
        <f t="shared" si="1"/>
        <v>0.7865476672</v>
      </c>
    </row>
    <row r="9992" ht="14.25" customHeight="1">
      <c r="A9992" s="2" t="s">
        <v>451</v>
      </c>
      <c r="B9992" s="2" t="s">
        <v>452</v>
      </c>
      <c r="C9992" s="2">
        <v>2015.0</v>
      </c>
      <c r="D9992" s="9">
        <v>54784.523</v>
      </c>
      <c r="E9992" s="10" t="str">
        <f t="array" ref="E9992">IFS(D9992&lt;=$G$3,'calculated data '!$A$3,D9992&lt;=$G$4,'calculated data '!$A$4,D9992&lt;=$G$6,'calculated data '!$A$5,D9992&gt;=$G$6,'calculated data '!$A$6)</f>
        <v>High Demand Tier</v>
      </c>
      <c r="F9992" s="10">
        <f t="shared" si="1"/>
        <v>0.7869612041</v>
      </c>
    </row>
    <row r="9993" ht="14.25" customHeight="1">
      <c r="A9993" s="2" t="s">
        <v>459</v>
      </c>
      <c r="B9993" s="2" t="s">
        <v>460</v>
      </c>
      <c r="C9993" s="2">
        <v>1987.0</v>
      </c>
      <c r="D9993" s="9">
        <v>54808.16</v>
      </c>
      <c r="E9993" s="10" t="str">
        <f t="array" ref="E9993">IFS(D9993&lt;=$G$3,'calculated data '!$A$3,D9993&lt;=$G$4,'calculated data '!$A$4,D9993&lt;=$G$6,'calculated data '!$A$5,D9993&gt;=$G$6,'calculated data '!$A$6)</f>
        <v>High Demand Tier</v>
      </c>
      <c r="F9993" s="10">
        <f t="shared" si="1"/>
        <v>0.7875868696</v>
      </c>
    </row>
    <row r="9994" ht="14.25" customHeight="1">
      <c r="A9994" s="2" t="s">
        <v>459</v>
      </c>
      <c r="B9994" s="2" t="s">
        <v>460</v>
      </c>
      <c r="C9994" s="2">
        <v>1988.0</v>
      </c>
      <c r="D9994" s="9">
        <v>54811.098</v>
      </c>
      <c r="E9994" s="10" t="str">
        <f t="array" ref="E9994">IFS(D9994&lt;=$G$3,'calculated data '!$A$3,D9994&lt;=$G$4,'calculated data '!$A$4,D9994&lt;=$G$6,'calculated data '!$A$5,D9994&gt;=$G$6,'calculated data '!$A$6)</f>
        <v>High Demand Tier</v>
      </c>
      <c r="F9994" s="10">
        <f t="shared" si="1"/>
        <v>0.7876646377</v>
      </c>
    </row>
    <row r="9995" ht="14.25" customHeight="1">
      <c r="A9995" s="2" t="s">
        <v>477</v>
      </c>
      <c r="B9995" s="2" t="s">
        <v>478</v>
      </c>
      <c r="C9995" s="2">
        <v>1981.0</v>
      </c>
      <c r="D9995" s="9">
        <v>54816.91</v>
      </c>
      <c r="E9995" s="10" t="str">
        <f t="array" ref="E9995">IFS(D9995&lt;=$G$3,'calculated data '!$A$3,D9995&lt;=$G$4,'calculated data '!$A$4,D9995&lt;=$G$6,'calculated data '!$A$5,D9995&gt;=$G$6,'calculated data '!$A$6)</f>
        <v>High Demand Tier</v>
      </c>
      <c r="F9995" s="10">
        <f t="shared" si="1"/>
        <v>0.7878184799</v>
      </c>
    </row>
    <row r="9996" ht="14.25" customHeight="1">
      <c r="A9996" s="2" t="s">
        <v>451</v>
      </c>
      <c r="B9996" s="2" t="s">
        <v>452</v>
      </c>
      <c r="C9996" s="2">
        <v>2009.0</v>
      </c>
      <c r="D9996" s="9">
        <v>54846.656</v>
      </c>
      <c r="E9996" s="10" t="str">
        <f t="array" ref="E9996">IFS(D9996&lt;=$G$3,'calculated data '!$A$3,D9996&lt;=$G$4,'calculated data '!$A$4,D9996&lt;=$G$6,'calculated data '!$A$5,D9996&gt;=$G$6,'calculated data '!$A$6)</f>
        <v>High Demand Tier</v>
      </c>
      <c r="F9996" s="10">
        <f t="shared" si="1"/>
        <v>0.7886058491</v>
      </c>
    </row>
    <row r="9997" ht="14.25" customHeight="1">
      <c r="A9997" s="2" t="s">
        <v>467</v>
      </c>
      <c r="B9997" s="2" t="s">
        <v>468</v>
      </c>
      <c r="C9997" s="2">
        <v>1985.0</v>
      </c>
      <c r="D9997" s="9">
        <v>54871.938</v>
      </c>
      <c r="E9997" s="10" t="str">
        <f t="array" ref="E9997">IFS(D9997&lt;=$G$3,'calculated data '!$A$3,D9997&lt;=$G$4,'calculated data '!$A$4,D9997&lt;=$G$6,'calculated data '!$A$5,D9997&gt;=$G$6,'calculated data '!$A$6)</f>
        <v>High Demand Tier</v>
      </c>
      <c r="F9997" s="10">
        <f t="shared" si="1"/>
        <v>0.7892750574</v>
      </c>
    </row>
    <row r="9998" ht="14.25" customHeight="1">
      <c r="A9998" s="2" t="s">
        <v>451</v>
      </c>
      <c r="B9998" s="2" t="s">
        <v>452</v>
      </c>
      <c r="C9998" s="2">
        <v>1989.0</v>
      </c>
      <c r="D9998" s="9">
        <v>54872.832</v>
      </c>
      <c r="E9998" s="10" t="str">
        <f t="array" ref="E9998">IFS(D9998&lt;=$G$3,'calculated data '!$A$3,D9998&lt;=$G$4,'calculated data '!$A$4,D9998&lt;=$G$6,'calculated data '!$A$5,D9998&gt;=$G$6,'calculated data '!$A$6)</f>
        <v>High Demand Tier</v>
      </c>
      <c r="F9998" s="10">
        <f t="shared" si="1"/>
        <v>0.7892987213</v>
      </c>
    </row>
    <row r="9999" ht="14.25" customHeight="1">
      <c r="A9999" s="2" t="s">
        <v>479</v>
      </c>
      <c r="B9999" s="2" t="s">
        <v>480</v>
      </c>
      <c r="C9999" s="2">
        <v>2012.0</v>
      </c>
      <c r="D9999" s="9">
        <v>54874.16</v>
      </c>
      <c r="E9999" s="10" t="str">
        <f t="array" ref="E9999">IFS(D9999&lt;=$G$3,'calculated data '!$A$3,D9999&lt;=$G$4,'calculated data '!$A$4,D9999&lt;=$G$6,'calculated data '!$A$5,D9999&gt;=$G$6,'calculated data '!$A$6)</f>
        <v>High Demand Tier</v>
      </c>
      <c r="F9999" s="10">
        <f t="shared" si="1"/>
        <v>0.7893338731</v>
      </c>
    </row>
    <row r="10000" ht="14.25" customHeight="1">
      <c r="A10000" s="2" t="s">
        <v>485</v>
      </c>
      <c r="B10000" s="2" t="s">
        <v>486</v>
      </c>
      <c r="C10000" s="2">
        <v>2019.0</v>
      </c>
      <c r="D10000" s="9">
        <v>54890.34</v>
      </c>
      <c r="E10000" s="10" t="str">
        <f t="array" ref="E10000">IFS(D10000&lt;=$G$3,'calculated data '!$A$3,D10000&lt;=$G$4,'calculated data '!$A$4,D10000&lt;=$G$6,'calculated data '!$A$5,D10000&gt;=$G$6,'calculated data '!$A$6)</f>
        <v>High Demand Tier</v>
      </c>
      <c r="F10000" s="10">
        <f t="shared" si="1"/>
        <v>0.7897621537</v>
      </c>
    </row>
    <row r="10001" ht="14.25" customHeight="1">
      <c r="A10001" s="2" t="s">
        <v>279</v>
      </c>
      <c r="B10001" s="2" t="s">
        <v>280</v>
      </c>
      <c r="C10001" s="2">
        <v>2012.0</v>
      </c>
      <c r="D10001" s="9">
        <v>54939.125</v>
      </c>
      <c r="E10001" s="10" t="str">
        <f t="array" ref="E10001">IFS(D10001&lt;=$G$3,'calculated data '!$A$3,D10001&lt;=$G$4,'calculated data '!$A$4,D10001&lt;=$G$6,'calculated data '!$A$5,D10001&gt;=$G$6,'calculated data '!$A$6)</f>
        <v>High Demand Tier</v>
      </c>
      <c r="F10001" s="10">
        <f t="shared" si="1"/>
        <v>0.7910534805</v>
      </c>
    </row>
    <row r="10002" ht="14.25" customHeight="1">
      <c r="A10002" s="2" t="s">
        <v>451</v>
      </c>
      <c r="B10002" s="2" t="s">
        <v>452</v>
      </c>
      <c r="C10002" s="2">
        <v>2014.0</v>
      </c>
      <c r="D10002" s="9">
        <v>54945.75</v>
      </c>
      <c r="E10002" s="10" t="str">
        <f t="array" ref="E10002">IFS(D10002&lt;=$G$3,'calculated data '!$A$3,D10002&lt;=$G$4,'calculated data '!$A$4,D10002&lt;=$G$6,'calculated data '!$A$5,D10002&gt;=$G$6,'calculated data '!$A$6)</f>
        <v>High Demand Tier</v>
      </c>
      <c r="F10002" s="10">
        <f t="shared" si="1"/>
        <v>0.7912288426</v>
      </c>
    </row>
    <row r="10003" ht="14.25" customHeight="1">
      <c r="A10003" s="2" t="s">
        <v>405</v>
      </c>
      <c r="B10003" s="2" t="s">
        <v>406</v>
      </c>
      <c r="C10003" s="2">
        <v>1994.0</v>
      </c>
      <c r="D10003" s="9">
        <v>54960.42</v>
      </c>
      <c r="E10003" s="10" t="str">
        <f t="array" ref="E10003">IFS(D10003&lt;=$G$3,'calculated data '!$A$3,D10003&lt;=$G$4,'calculated data '!$A$4,D10003&lt;=$G$6,'calculated data '!$A$5,D10003&gt;=$G$6,'calculated data '!$A$6)</f>
        <v>High Demand Tier</v>
      </c>
      <c r="F10003" s="10">
        <f t="shared" si="1"/>
        <v>0.7916171539</v>
      </c>
    </row>
    <row r="10004" ht="14.25" customHeight="1">
      <c r="A10004" s="2" t="s">
        <v>469</v>
      </c>
      <c r="B10004" s="2" t="s">
        <v>470</v>
      </c>
      <c r="C10004" s="2">
        <v>1991.0</v>
      </c>
      <c r="D10004" s="9">
        <v>54972.47</v>
      </c>
      <c r="E10004" s="10" t="str">
        <f t="array" ref="E10004">IFS(D10004&lt;=$G$3,'calculated data '!$A$3,D10004&lt;=$G$4,'calculated data '!$A$4,D10004&lt;=$G$6,'calculated data '!$A$5,D10004&gt;=$G$6,'calculated data '!$A$6)</f>
        <v>High Demand Tier</v>
      </c>
      <c r="F10004" s="10">
        <f t="shared" si="1"/>
        <v>0.7919361144</v>
      </c>
    </row>
    <row r="10005" ht="14.25" customHeight="1">
      <c r="A10005" s="2" t="s">
        <v>403</v>
      </c>
      <c r="B10005" s="2" t="s">
        <v>404</v>
      </c>
      <c r="C10005" s="2">
        <v>2011.0</v>
      </c>
      <c r="D10005" s="9">
        <v>54974.348</v>
      </c>
      <c r="E10005" s="10" t="str">
        <f t="array" ref="E10005">IFS(D10005&lt;=$G$3,'calculated data '!$A$3,D10005&lt;=$G$4,'calculated data '!$A$4,D10005&lt;=$G$6,'calculated data '!$A$5,D10005&gt;=$G$6,'calculated data '!$A$6)</f>
        <v>High Demand Tier</v>
      </c>
      <c r="F10005" s="10">
        <f t="shared" si="1"/>
        <v>0.7919858246</v>
      </c>
    </row>
    <row r="10006" ht="14.25" customHeight="1">
      <c r="A10006" s="2" t="s">
        <v>279</v>
      </c>
      <c r="B10006" s="2" t="s">
        <v>280</v>
      </c>
      <c r="C10006" s="2">
        <v>2022.0</v>
      </c>
      <c r="D10006" s="9">
        <v>54993.316</v>
      </c>
      <c r="E10006" s="10" t="str">
        <f t="array" ref="E10006">IFS(D10006&lt;=$G$3,'calculated data '!$A$3,D10006&lt;=$G$4,'calculated data '!$A$4,D10006&lt;=$G$6,'calculated data '!$A$5,D10006&gt;=$G$6,'calculated data '!$A$6)</f>
        <v>High Demand Tier</v>
      </c>
      <c r="F10006" s="10">
        <f t="shared" si="1"/>
        <v>0.7924879028</v>
      </c>
    </row>
    <row r="10007" ht="14.25" customHeight="1">
      <c r="A10007" s="2" t="s">
        <v>459</v>
      </c>
      <c r="B10007" s="2" t="s">
        <v>460</v>
      </c>
      <c r="C10007" s="2">
        <v>1985.0</v>
      </c>
      <c r="D10007" s="9">
        <v>55003.203</v>
      </c>
      <c r="E10007" s="10" t="str">
        <f t="array" ref="E10007">IFS(D10007&lt;=$G$3,'calculated data '!$A$3,D10007&lt;=$G$4,'calculated data '!$A$4,D10007&lt;=$G$6,'calculated data '!$A$5,D10007&gt;=$G$6,'calculated data '!$A$6)</f>
        <v>High Demand Tier</v>
      </c>
      <c r="F10007" s="10">
        <f t="shared" si="1"/>
        <v>0.7927496092</v>
      </c>
    </row>
    <row r="10008" ht="14.25" customHeight="1">
      <c r="A10008" s="2" t="s">
        <v>403</v>
      </c>
      <c r="B10008" s="2" t="s">
        <v>404</v>
      </c>
      <c r="C10008" s="2">
        <v>2013.0</v>
      </c>
      <c r="D10008" s="9">
        <v>55009.215</v>
      </c>
      <c r="E10008" s="10" t="str">
        <f t="array" ref="E10008">IFS(D10008&lt;=$G$3,'calculated data '!$A$3,D10008&lt;=$G$4,'calculated data '!$A$4,D10008&lt;=$G$6,'calculated data '!$A$5,D10008&gt;=$G$6,'calculated data '!$A$6)</f>
        <v>High Demand Tier</v>
      </c>
      <c r="F10008" s="10">
        <f t="shared" si="1"/>
        <v>0.7929087454</v>
      </c>
    </row>
    <row r="10009" ht="14.25" customHeight="1">
      <c r="A10009" s="2" t="s">
        <v>367</v>
      </c>
      <c r="B10009" s="2" t="s">
        <v>368</v>
      </c>
      <c r="C10009" s="2">
        <v>1988.0</v>
      </c>
      <c r="D10009" s="9">
        <v>55019.582</v>
      </c>
      <c r="E10009" s="10" t="str">
        <f t="array" ref="E10009">IFS(D10009&lt;=$G$3,'calculated data '!$A$3,D10009&lt;=$G$4,'calculated data '!$A$4,D10009&lt;=$G$6,'calculated data '!$A$5,D10009&gt;=$G$6,'calculated data '!$A$6)</f>
        <v>High Demand Tier</v>
      </c>
      <c r="F10009" s="10">
        <f t="shared" si="1"/>
        <v>0.7931831573</v>
      </c>
    </row>
    <row r="10010" ht="14.25" customHeight="1">
      <c r="A10010" s="2" t="s">
        <v>467</v>
      </c>
      <c r="B10010" s="2" t="s">
        <v>468</v>
      </c>
      <c r="C10010" s="2">
        <v>1986.0</v>
      </c>
      <c r="D10010" s="9">
        <v>55065.883</v>
      </c>
      <c r="E10010" s="10" t="str">
        <f t="array" ref="E10010">IFS(D10010&lt;=$G$3,'calculated data '!$A$3,D10010&lt;=$G$4,'calculated data '!$A$4,D10010&lt;=$G$6,'calculated data '!$A$5,D10010&gt;=$G$6,'calculated data '!$A$6)</f>
        <v>High Demand Tier</v>
      </c>
      <c r="F10010" s="10">
        <f t="shared" si="1"/>
        <v>0.7944087332</v>
      </c>
    </row>
    <row r="10011" ht="14.25" customHeight="1">
      <c r="A10011" s="2" t="s">
        <v>475</v>
      </c>
      <c r="B10011" s="2" t="s">
        <v>476</v>
      </c>
      <c r="C10011" s="2">
        <v>1977.0</v>
      </c>
      <c r="D10011" s="9">
        <v>55074.816</v>
      </c>
      <c r="E10011" s="10" t="str">
        <f t="array" ref="E10011">IFS(D10011&lt;=$G$3,'calculated data '!$A$3,D10011&lt;=$G$4,'calculated data '!$A$4,D10011&lt;=$G$6,'calculated data '!$A$5,D10011&gt;=$G$6,'calculated data '!$A$6)</f>
        <v>High Demand Tier</v>
      </c>
      <c r="F10011" s="10">
        <f t="shared" si="1"/>
        <v>0.7946451875</v>
      </c>
    </row>
    <row r="10012" ht="14.25" customHeight="1">
      <c r="A10012" s="2" t="s">
        <v>487</v>
      </c>
      <c r="B10012" s="2" t="s">
        <v>488</v>
      </c>
      <c r="C10012" s="2">
        <v>1993.0</v>
      </c>
      <c r="D10012" s="9">
        <v>55113.656</v>
      </c>
      <c r="E10012" s="10" t="str">
        <f t="array" ref="E10012">IFS(D10012&lt;=$G$3,'calculated data '!$A$3,D10012&lt;=$G$4,'calculated data '!$A$4,D10012&lt;=$G$6,'calculated data '!$A$5,D10012&gt;=$G$6,'calculated data '!$A$6)</f>
        <v>High Demand Tier</v>
      </c>
      <c r="F10012" s="10">
        <f t="shared" si="1"/>
        <v>0.7956732726</v>
      </c>
    </row>
    <row r="10013" ht="14.25" customHeight="1">
      <c r="A10013" s="2" t="s">
        <v>485</v>
      </c>
      <c r="B10013" s="2" t="s">
        <v>486</v>
      </c>
      <c r="C10013" s="2">
        <v>2016.0</v>
      </c>
      <c r="D10013" s="9">
        <v>55118.66</v>
      </c>
      <c r="E10013" s="10" t="str">
        <f t="array" ref="E10013">IFS(D10013&lt;=$G$3,'calculated data '!$A$3,D10013&lt;=$G$4,'calculated data '!$A$4,D10013&lt;=$G$6,'calculated data '!$A$5,D10013&gt;=$G$6,'calculated data '!$A$6)</f>
        <v>High Demand Tier</v>
      </c>
      <c r="F10013" s="10">
        <f t="shared" si="1"/>
        <v>0.7958057272</v>
      </c>
    </row>
    <row r="10014" ht="14.25" customHeight="1">
      <c r="A10014" s="2" t="s">
        <v>485</v>
      </c>
      <c r="B10014" s="2" t="s">
        <v>486</v>
      </c>
      <c r="C10014" s="2">
        <v>1966.0</v>
      </c>
      <c r="D10014" s="9">
        <v>55136.465</v>
      </c>
      <c r="E10014" s="10" t="str">
        <f t="array" ref="E10014">IFS(D10014&lt;=$G$3,'calculated data '!$A$3,D10014&lt;=$G$4,'calculated data '!$A$4,D10014&lt;=$G$6,'calculated data '!$A$5,D10014&gt;=$G$6,'calculated data '!$A$6)</f>
        <v>High Demand Tier</v>
      </c>
      <c r="F10014" s="10">
        <f t="shared" si="1"/>
        <v>0.7962770212</v>
      </c>
    </row>
    <row r="10015" ht="14.25" customHeight="1">
      <c r="A10015" s="2" t="s">
        <v>399</v>
      </c>
      <c r="B10015" s="2" t="s">
        <v>400</v>
      </c>
      <c r="C10015" s="2">
        <v>1990.0</v>
      </c>
      <c r="D10015" s="9">
        <v>55152.137</v>
      </c>
      <c r="E10015" s="10" t="str">
        <f t="array" ref="E10015">IFS(D10015&lt;=$G$3,'calculated data '!$A$3,D10015&lt;=$G$4,'calculated data '!$A$4,D10015&lt;=$G$6,'calculated data '!$A$5,D10015&gt;=$G$6,'calculated data '!$A$6)</f>
        <v>High Demand Tier</v>
      </c>
      <c r="F10015" s="10">
        <f t="shared" si="1"/>
        <v>0.7966918551</v>
      </c>
    </row>
    <row r="10016" ht="14.25" customHeight="1">
      <c r="A10016" s="2" t="s">
        <v>455</v>
      </c>
      <c r="B10016" s="2" t="s">
        <v>456</v>
      </c>
      <c r="C10016" s="2">
        <v>1979.0</v>
      </c>
      <c r="D10016" s="9">
        <v>55157.31</v>
      </c>
      <c r="E10016" s="10" t="str">
        <f t="array" ref="E10016">IFS(D10016&lt;=$G$3,'calculated data '!$A$3,D10016&lt;=$G$4,'calculated data '!$A$4,D10016&lt;=$G$6,'calculated data '!$A$5,D10016&gt;=$G$6,'calculated data '!$A$6)</f>
        <v>High Demand Tier</v>
      </c>
      <c r="F10016" s="10">
        <f t="shared" si="1"/>
        <v>0.7968287831</v>
      </c>
    </row>
    <row r="10017" ht="14.25" customHeight="1">
      <c r="A10017" s="2" t="s">
        <v>405</v>
      </c>
      <c r="B10017" s="2" t="s">
        <v>406</v>
      </c>
      <c r="C10017" s="2">
        <v>1993.0</v>
      </c>
      <c r="D10017" s="9">
        <v>55177.59</v>
      </c>
      <c r="E10017" s="10" t="str">
        <f t="array" ref="E10017">IFS(D10017&lt;=$G$3,'calculated data '!$A$3,D10017&lt;=$G$4,'calculated data '!$A$4,D10017&lt;=$G$6,'calculated data '!$A$5,D10017&gt;=$G$6,'calculated data '!$A$6)</f>
        <v>High Demand Tier</v>
      </c>
      <c r="F10017" s="10">
        <f t="shared" si="1"/>
        <v>0.7973655897</v>
      </c>
    </row>
    <row r="10018" ht="14.25" customHeight="1">
      <c r="A10018" s="2" t="s">
        <v>461</v>
      </c>
      <c r="B10018" s="2" t="s">
        <v>462</v>
      </c>
      <c r="C10018" s="2">
        <v>1984.0</v>
      </c>
      <c r="D10018" s="9">
        <v>55181.645</v>
      </c>
      <c r="E10018" s="10" t="str">
        <f t="array" ref="E10018">IFS(D10018&lt;=$G$3,'calculated data '!$A$3,D10018&lt;=$G$4,'calculated data '!$A$4,D10018&lt;=$G$6,'calculated data '!$A$5,D10018&gt;=$G$6,'calculated data '!$A$6)</f>
        <v>High Demand Tier</v>
      </c>
      <c r="F10018" s="10">
        <f t="shared" si="1"/>
        <v>0.7974729245</v>
      </c>
    </row>
    <row r="10019" ht="14.25" customHeight="1">
      <c r="A10019" s="2" t="s">
        <v>149</v>
      </c>
      <c r="B10019" s="2" t="s">
        <v>150</v>
      </c>
      <c r="C10019" s="2">
        <v>1992.0</v>
      </c>
      <c r="D10019" s="9">
        <v>55193.527</v>
      </c>
      <c r="E10019" s="10" t="str">
        <f t="array" ref="E10019">IFS(D10019&lt;=$G$3,'calculated data '!$A$3,D10019&lt;=$G$4,'calculated data '!$A$4,D10019&lt;=$G$6,'calculated data '!$A$5,D10019&gt;=$G$6,'calculated data '!$A$6)</f>
        <v>High Demand Tier</v>
      </c>
      <c r="F10019" s="10">
        <f t="shared" si="1"/>
        <v>0.7977874381</v>
      </c>
    </row>
    <row r="10020" ht="14.25" customHeight="1">
      <c r="A10020" s="2" t="s">
        <v>367</v>
      </c>
      <c r="B10020" s="2" t="s">
        <v>368</v>
      </c>
      <c r="C10020" s="2">
        <v>1987.0</v>
      </c>
      <c r="D10020" s="9">
        <v>55195.4</v>
      </c>
      <c r="E10020" s="10" t="str">
        <f t="array" ref="E10020">IFS(D10020&lt;=$G$3,'calculated data '!$A$3,D10020&lt;=$G$4,'calculated data '!$A$4,D10020&lt;=$G$6,'calculated data '!$A$5,D10020&gt;=$G$6,'calculated data '!$A$6)</f>
        <v>High Demand Tier</v>
      </c>
      <c r="F10020" s="10">
        <f t="shared" si="1"/>
        <v>0.7978370159</v>
      </c>
    </row>
    <row r="10021" ht="14.25" customHeight="1">
      <c r="A10021" s="2" t="s">
        <v>455</v>
      </c>
      <c r="B10021" s="2" t="s">
        <v>456</v>
      </c>
      <c r="C10021" s="2">
        <v>1983.0</v>
      </c>
      <c r="D10021" s="9">
        <v>55212.066</v>
      </c>
      <c r="E10021" s="10" t="str">
        <f t="array" ref="E10021">IFS(D10021&lt;=$G$3,'calculated data '!$A$3,D10021&lt;=$G$4,'calculated data '!$A$4,D10021&lt;=$G$6,'calculated data '!$A$5,D10021&gt;=$G$6,'calculated data '!$A$6)</f>
        <v>High Demand Tier</v>
      </c>
      <c r="F10021" s="10">
        <f t="shared" si="1"/>
        <v>0.7982781608</v>
      </c>
    </row>
    <row r="10022" ht="14.25" customHeight="1">
      <c r="A10022" s="2" t="s">
        <v>471</v>
      </c>
      <c r="B10022" s="2" t="s">
        <v>472</v>
      </c>
      <c r="C10022" s="2">
        <v>2014.0</v>
      </c>
      <c r="D10022" s="9">
        <v>55232.918</v>
      </c>
      <c r="E10022" s="10" t="str">
        <f t="array" ref="E10022">IFS(D10022&lt;=$G$3,'calculated data '!$A$3,D10022&lt;=$G$4,'calculated data '!$A$4,D10022&lt;=$G$6,'calculated data '!$A$5,D10022&gt;=$G$6,'calculated data '!$A$6)</f>
        <v>High Demand Tier</v>
      </c>
      <c r="F10022" s="10">
        <f t="shared" si="1"/>
        <v>0.7988301081</v>
      </c>
    </row>
    <row r="10023" ht="14.25" customHeight="1">
      <c r="A10023" s="2" t="s">
        <v>343</v>
      </c>
      <c r="B10023" s="2" t="s">
        <v>344</v>
      </c>
      <c r="C10023" s="2">
        <v>2007.0</v>
      </c>
      <c r="D10023" s="9">
        <v>55272.4</v>
      </c>
      <c r="E10023" s="10" t="str">
        <f t="array" ref="E10023">IFS(D10023&lt;=$G$3,'calculated data '!$A$3,D10023&lt;=$G$4,'calculated data '!$A$4,D10023&lt;=$G$6,'calculated data '!$A$5,D10023&gt;=$G$6,'calculated data '!$A$6)</f>
        <v>High Demand Tier</v>
      </c>
      <c r="F10023" s="10">
        <f t="shared" si="1"/>
        <v>0.7998751868</v>
      </c>
    </row>
    <row r="10024" ht="14.25" customHeight="1">
      <c r="A10024" s="2" t="s">
        <v>439</v>
      </c>
      <c r="B10024" s="2" t="s">
        <v>440</v>
      </c>
      <c r="C10024" s="2">
        <v>2013.0</v>
      </c>
      <c r="D10024" s="9">
        <v>55302.973</v>
      </c>
      <c r="E10024" s="10" t="str">
        <f t="array" ref="E10024">IFS(D10024&lt;=$G$3,'calculated data '!$A$3,D10024&lt;=$G$4,'calculated data '!$A$4,D10024&lt;=$G$6,'calculated data '!$A$5,D10024&gt;=$G$6,'calculated data '!$A$6)</f>
        <v>High Demand Tier</v>
      </c>
      <c r="F10024" s="10">
        <f t="shared" si="1"/>
        <v>0.8006844465</v>
      </c>
    </row>
    <row r="10025" ht="14.25" customHeight="1">
      <c r="A10025" s="2" t="s">
        <v>475</v>
      </c>
      <c r="B10025" s="2" t="s">
        <v>476</v>
      </c>
      <c r="C10025" s="2">
        <v>2012.0</v>
      </c>
      <c r="D10025" s="9">
        <v>55314.88</v>
      </c>
      <c r="E10025" s="10" t="str">
        <f t="array" ref="E10025">IFS(D10025&lt;=$G$3,'calculated data '!$A$3,D10025&lt;=$G$4,'calculated data '!$A$4,D10025&lt;=$G$6,'calculated data '!$A$5,D10025&gt;=$G$6,'calculated data '!$A$6)</f>
        <v>High Demand Tier</v>
      </c>
      <c r="F10025" s="10">
        <f t="shared" si="1"/>
        <v>0.8009996218</v>
      </c>
    </row>
    <row r="10026" ht="14.25" customHeight="1">
      <c r="A10026" s="2" t="s">
        <v>149</v>
      </c>
      <c r="B10026" s="2" t="s">
        <v>150</v>
      </c>
      <c r="C10026" s="2">
        <v>1993.0</v>
      </c>
      <c r="D10026" s="9">
        <v>55315.523</v>
      </c>
      <c r="E10026" s="10" t="str">
        <f t="array" ref="E10026">IFS(D10026&lt;=$G$3,'calculated data '!$A$3,D10026&lt;=$G$4,'calculated data '!$A$4,D10026&lt;=$G$6,'calculated data '!$A$5,D10026&gt;=$G$6,'calculated data '!$A$6)</f>
        <v>High Demand Tier</v>
      </c>
      <c r="F10026" s="10">
        <f t="shared" si="1"/>
        <v>0.8010166418</v>
      </c>
    </row>
    <row r="10027" ht="14.25" customHeight="1">
      <c r="A10027" s="2" t="s">
        <v>451</v>
      </c>
      <c r="B10027" s="2" t="s">
        <v>452</v>
      </c>
      <c r="C10027" s="2">
        <v>2018.0</v>
      </c>
      <c r="D10027" s="9">
        <v>55317.96</v>
      </c>
      <c r="E10027" s="10" t="str">
        <f t="array" ref="E10027">IFS(D10027&lt;=$G$3,'calculated data '!$A$3,D10027&lt;=$G$4,'calculated data '!$A$4,D10027&lt;=$G$6,'calculated data '!$A$5,D10027&gt;=$G$6,'calculated data '!$A$6)</f>
        <v>High Demand Tier</v>
      </c>
      <c r="F10027" s="10">
        <f t="shared" si="1"/>
        <v>0.8010811486</v>
      </c>
    </row>
    <row r="10028" ht="14.25" customHeight="1">
      <c r="A10028" s="2" t="s">
        <v>397</v>
      </c>
      <c r="B10028" s="2" t="s">
        <v>398</v>
      </c>
      <c r="C10028" s="2">
        <v>2017.0</v>
      </c>
      <c r="D10028" s="9">
        <v>55383.605</v>
      </c>
      <c r="E10028" s="10" t="str">
        <f t="array" ref="E10028">IFS(D10028&lt;=$G$3,'calculated data '!$A$3,D10028&lt;=$G$4,'calculated data '!$A$4,D10028&lt;=$G$6,'calculated data '!$A$5,D10028&gt;=$G$6,'calculated data '!$A$6)</f>
        <v>High Demand Tier</v>
      </c>
      <c r="F10028" s="10">
        <f t="shared" si="1"/>
        <v>0.8028187554</v>
      </c>
    </row>
    <row r="10029" ht="14.25" customHeight="1">
      <c r="A10029" s="2" t="s">
        <v>451</v>
      </c>
      <c r="B10029" s="2" t="s">
        <v>452</v>
      </c>
      <c r="C10029" s="2">
        <v>2012.0</v>
      </c>
      <c r="D10029" s="9">
        <v>55387.4</v>
      </c>
      <c r="E10029" s="10" t="str">
        <f t="array" ref="E10029">IFS(D10029&lt;=$G$3,'calculated data '!$A$3,D10029&lt;=$G$4,'calculated data '!$A$4,D10029&lt;=$G$6,'calculated data '!$A$5,D10029&gt;=$G$6,'calculated data '!$A$6)</f>
        <v>High Demand Tier</v>
      </c>
      <c r="F10029" s="10">
        <f t="shared" si="1"/>
        <v>0.8029192081</v>
      </c>
    </row>
    <row r="10030" ht="14.25" customHeight="1">
      <c r="A10030" s="2" t="s">
        <v>441</v>
      </c>
      <c r="B10030" s="2" t="s">
        <v>442</v>
      </c>
      <c r="C10030" s="2">
        <v>2003.0</v>
      </c>
      <c r="D10030" s="9">
        <v>55412.055</v>
      </c>
      <c r="E10030" s="10" t="str">
        <f t="array" ref="E10030">IFS(D10030&lt;=$G$3,'calculated data '!$A$3,D10030&lt;=$G$4,'calculated data '!$A$4,D10030&lt;=$G$6,'calculated data '!$A$5,D10030&gt;=$G$6,'calculated data '!$A$6)</f>
        <v>High Demand Tier</v>
      </c>
      <c r="F10030" s="10">
        <f t="shared" si="1"/>
        <v>0.8035718198</v>
      </c>
    </row>
    <row r="10031" ht="14.25" customHeight="1">
      <c r="A10031" s="2" t="s">
        <v>451</v>
      </c>
      <c r="B10031" s="2" t="s">
        <v>452</v>
      </c>
      <c r="C10031" s="2">
        <v>2013.0</v>
      </c>
      <c r="D10031" s="9">
        <v>55462.984</v>
      </c>
      <c r="E10031" s="10" t="str">
        <f t="array" ref="E10031">IFS(D10031&lt;=$G$3,'calculated data '!$A$3,D10031&lt;=$G$4,'calculated data '!$A$4,D10031&lt;=$G$6,'calculated data '!$A$5,D10031&gt;=$G$6,'calculated data '!$A$6)</f>
        <v>High Demand Tier</v>
      </c>
      <c r="F10031" s="10">
        <f t="shared" si="1"/>
        <v>0.8049198978</v>
      </c>
    </row>
    <row r="10032" ht="14.25" customHeight="1">
      <c r="A10032" s="2" t="s">
        <v>479</v>
      </c>
      <c r="B10032" s="2" t="s">
        <v>480</v>
      </c>
      <c r="C10032" s="2">
        <v>2021.0</v>
      </c>
      <c r="D10032" s="9">
        <v>55508.6</v>
      </c>
      <c r="E10032" s="10" t="str">
        <f t="array" ref="E10032">IFS(D10032&lt;=$G$3,'calculated data '!$A$3,D10032&lt;=$G$4,'calculated data '!$A$4,D10032&lt;=$G$6,'calculated data '!$A$5,D10032&gt;=$G$6,'calculated data '!$A$6)</f>
        <v>High Demand Tier</v>
      </c>
      <c r="F10032" s="10">
        <f t="shared" si="1"/>
        <v>0.8061273419</v>
      </c>
    </row>
    <row r="10033" ht="14.25" customHeight="1">
      <c r="A10033" s="2" t="s">
        <v>475</v>
      </c>
      <c r="B10033" s="2" t="s">
        <v>476</v>
      </c>
      <c r="C10033" s="2">
        <v>2010.0</v>
      </c>
      <c r="D10033" s="9">
        <v>55513.22</v>
      </c>
      <c r="E10033" s="10" t="str">
        <f t="array" ref="E10033">IFS(D10033&lt;=$G$3,'calculated data '!$A$3,D10033&lt;=$G$4,'calculated data '!$A$4,D10033&lt;=$G$6,'calculated data '!$A$5,D10033&gt;=$G$6,'calculated data '!$A$6)</f>
        <v>High Demand Tier</v>
      </c>
      <c r="F10033" s="10">
        <f t="shared" si="1"/>
        <v>0.8062496322</v>
      </c>
    </row>
    <row r="10034" ht="14.25" customHeight="1">
      <c r="A10034" s="2" t="s">
        <v>451</v>
      </c>
      <c r="B10034" s="2" t="s">
        <v>452</v>
      </c>
      <c r="C10034" s="2">
        <v>1998.0</v>
      </c>
      <c r="D10034" s="9">
        <v>55515.938</v>
      </c>
      <c r="E10034" s="10" t="str">
        <f t="array" ref="E10034">IFS(D10034&lt;=$G$3,'calculated data '!$A$3,D10034&lt;=$G$4,'calculated data '!$A$4,D10034&lt;=$G$6,'calculated data '!$A$5,D10034&gt;=$G$6,'calculated data '!$A$6)</f>
        <v>High Demand Tier</v>
      </c>
      <c r="F10034" s="10">
        <f t="shared" si="1"/>
        <v>0.806321577</v>
      </c>
    </row>
    <row r="10035" ht="14.25" customHeight="1">
      <c r="A10035" s="2" t="s">
        <v>451</v>
      </c>
      <c r="B10035" s="2" t="s">
        <v>452</v>
      </c>
      <c r="C10035" s="2">
        <v>1997.0</v>
      </c>
      <c r="D10035" s="9">
        <v>55541.316</v>
      </c>
      <c r="E10035" s="10" t="str">
        <f t="array" ref="E10035">IFS(D10035&lt;=$G$3,'calculated data '!$A$3,D10035&lt;=$G$4,'calculated data '!$A$4,D10035&lt;=$G$6,'calculated data '!$A$5,D10035&gt;=$G$6,'calculated data '!$A$6)</f>
        <v>High Demand Tier</v>
      </c>
      <c r="F10035" s="10">
        <f t="shared" si="1"/>
        <v>0.8069933263</v>
      </c>
    </row>
    <row r="10036" ht="14.25" customHeight="1">
      <c r="A10036" s="2" t="s">
        <v>439</v>
      </c>
      <c r="B10036" s="2" t="s">
        <v>440</v>
      </c>
      <c r="C10036" s="2">
        <v>2018.0</v>
      </c>
      <c r="D10036" s="9">
        <v>55542.43</v>
      </c>
      <c r="E10036" s="10" t="str">
        <f t="array" ref="E10036">IFS(D10036&lt;=$G$3,'calculated data '!$A$3,D10036&lt;=$G$4,'calculated data '!$A$4,D10036&lt;=$G$6,'calculated data '!$A$5,D10036&gt;=$G$6,'calculated data '!$A$6)</f>
        <v>High Demand Tier</v>
      </c>
      <c r="F10036" s="10">
        <f t="shared" si="1"/>
        <v>0.8070228136</v>
      </c>
    </row>
    <row r="10037" ht="14.25" customHeight="1">
      <c r="A10037" s="2" t="s">
        <v>467</v>
      </c>
      <c r="B10037" s="2" t="s">
        <v>468</v>
      </c>
      <c r="C10037" s="2">
        <v>1980.0</v>
      </c>
      <c r="D10037" s="9">
        <v>55554.07</v>
      </c>
      <c r="E10037" s="10" t="str">
        <f t="array" ref="E10037">IFS(D10037&lt;=$G$3,'calculated data '!$A$3,D10037&lt;=$G$4,'calculated data '!$A$4,D10037&lt;=$G$6,'calculated data '!$A$5,D10037&gt;=$G$6,'calculated data '!$A$6)</f>
        <v>High Demand Tier</v>
      </c>
      <c r="F10037" s="10">
        <f t="shared" si="1"/>
        <v>0.8073309215</v>
      </c>
    </row>
    <row r="10038" ht="14.25" customHeight="1">
      <c r="A10038" s="2" t="s">
        <v>467</v>
      </c>
      <c r="B10038" s="2" t="s">
        <v>468</v>
      </c>
      <c r="C10038" s="2">
        <v>1981.0</v>
      </c>
      <c r="D10038" s="9">
        <v>55560.94</v>
      </c>
      <c r="E10038" s="10" t="str">
        <f t="array" ref="E10038">IFS(D10038&lt;=$G$3,'calculated data '!$A$3,D10038&lt;=$G$4,'calculated data '!$A$4,D10038&lt;=$G$6,'calculated data '!$A$5,D10038&gt;=$G$6,'calculated data '!$A$6)</f>
        <v>High Demand Tier</v>
      </c>
      <c r="F10038" s="10">
        <f t="shared" si="1"/>
        <v>0.8075127687</v>
      </c>
    </row>
    <row r="10039" ht="14.25" customHeight="1">
      <c r="A10039" s="2" t="s">
        <v>279</v>
      </c>
      <c r="B10039" s="2" t="s">
        <v>280</v>
      </c>
      <c r="C10039" s="2">
        <v>2019.0</v>
      </c>
      <c r="D10039" s="9">
        <v>55566.133</v>
      </c>
      <c r="E10039" s="10" t="str">
        <f t="array" ref="E10039">IFS(D10039&lt;=$G$3,'calculated data '!$A$3,D10039&lt;=$G$4,'calculated data '!$A$4,D10039&lt;=$G$6,'calculated data '!$A$5,D10039&gt;=$G$6,'calculated data '!$A$6)</f>
        <v>High Demand Tier</v>
      </c>
      <c r="F10039" s="10">
        <f t="shared" si="1"/>
        <v>0.8076502261</v>
      </c>
    </row>
    <row r="10040" ht="14.25" customHeight="1">
      <c r="A10040" s="2" t="s">
        <v>469</v>
      </c>
      <c r="B10040" s="2" t="s">
        <v>470</v>
      </c>
      <c r="C10040" s="2">
        <v>1990.0</v>
      </c>
      <c r="D10040" s="9">
        <v>55577.46</v>
      </c>
      <c r="E10040" s="10" t="str">
        <f t="array" ref="E10040">IFS(D10040&lt;=$G$3,'calculated data '!$A$3,D10040&lt;=$G$4,'calculated data '!$A$4,D10040&lt;=$G$6,'calculated data '!$A$5,D10040&gt;=$G$6,'calculated data '!$A$6)</f>
        <v>High Demand Tier</v>
      </c>
      <c r="F10040" s="10">
        <f t="shared" si="1"/>
        <v>0.807950049</v>
      </c>
    </row>
    <row r="10041" ht="14.25" customHeight="1">
      <c r="A10041" s="2" t="s">
        <v>491</v>
      </c>
      <c r="B10041" s="2" t="s">
        <v>492</v>
      </c>
      <c r="C10041" s="2">
        <v>1975.0</v>
      </c>
      <c r="D10041" s="9">
        <v>55584.895</v>
      </c>
      <c r="E10041" s="10" t="str">
        <f t="array" ref="E10041">IFS(D10041&lt;=$G$3,'calculated data '!$A$3,D10041&lt;=$G$4,'calculated data '!$A$4,D10041&lt;=$G$6,'calculated data '!$A$5,D10041&gt;=$G$6,'calculated data '!$A$6)</f>
        <v>High Demand Tier</v>
      </c>
      <c r="F10041" s="10">
        <f t="shared" si="1"/>
        <v>0.8081468516</v>
      </c>
    </row>
    <row r="10042" ht="14.25" customHeight="1">
      <c r="A10042" s="2" t="s">
        <v>337</v>
      </c>
      <c r="B10042" s="2" t="s">
        <v>338</v>
      </c>
      <c r="C10042" s="2">
        <v>2004.0</v>
      </c>
      <c r="D10042" s="9">
        <v>55627.305</v>
      </c>
      <c r="E10042" s="10" t="str">
        <f t="array" ref="E10042">IFS(D10042&lt;=$G$3,'calculated data '!$A$3,D10042&lt;=$G$4,'calculated data '!$A$4,D10042&lt;=$G$6,'calculated data '!$A$5,D10042&gt;=$G$6,'calculated data '!$A$6)</f>
        <v>High Demand Tier</v>
      </c>
      <c r="F10042" s="10">
        <f t="shared" si="1"/>
        <v>0.8092694337</v>
      </c>
    </row>
    <row r="10043" ht="14.25" customHeight="1">
      <c r="A10043" s="2" t="s">
        <v>455</v>
      </c>
      <c r="B10043" s="2" t="s">
        <v>456</v>
      </c>
      <c r="C10043" s="2">
        <v>2025.0</v>
      </c>
      <c r="D10043" s="9">
        <v>55629.28</v>
      </c>
      <c r="E10043" s="10" t="str">
        <f t="array" ref="E10043">IFS(D10043&lt;=$G$3,'calculated data '!$A$3,D10043&lt;=$G$4,'calculated data '!$A$4,D10043&lt;=$G$6,'calculated data '!$A$5,D10043&gt;=$G$6,'calculated data '!$A$6)</f>
        <v>High Demand Tier</v>
      </c>
      <c r="F10043" s="10">
        <f t="shared" si="1"/>
        <v>0.8093217115</v>
      </c>
    </row>
    <row r="10044" ht="14.25" customHeight="1">
      <c r="A10044" s="2" t="s">
        <v>479</v>
      </c>
      <c r="B10044" s="2" t="s">
        <v>480</v>
      </c>
      <c r="C10044" s="2">
        <v>2019.0</v>
      </c>
      <c r="D10044" s="9">
        <v>55671.926</v>
      </c>
      <c r="E10044" s="10" t="str">
        <f t="array" ref="E10044">IFS(D10044&lt;=$G$3,'calculated data '!$A$3,D10044&lt;=$G$4,'calculated data '!$A$4,D10044&lt;=$G$6,'calculated data '!$A$5,D10044&gt;=$G$6,'calculated data '!$A$6)</f>
        <v>High Demand Tier</v>
      </c>
      <c r="F10044" s="10">
        <f t="shared" si="1"/>
        <v>0.8104505405</v>
      </c>
    </row>
    <row r="10045" ht="14.25" customHeight="1">
      <c r="A10045" s="2" t="s">
        <v>451</v>
      </c>
      <c r="B10045" s="2" t="s">
        <v>452</v>
      </c>
      <c r="C10045" s="2">
        <v>1996.0</v>
      </c>
      <c r="D10045" s="9">
        <v>55692.31</v>
      </c>
      <c r="E10045" s="10" t="str">
        <f t="array" ref="E10045">IFS(D10045&lt;=$G$3,'calculated data '!$A$3,D10045&lt;=$G$4,'calculated data '!$A$4,D10045&lt;=$G$6,'calculated data '!$A$5,D10045&gt;=$G$6,'calculated data '!$A$6)</f>
        <v>High Demand Tier</v>
      </c>
      <c r="F10045" s="10">
        <f t="shared" si="1"/>
        <v>0.8109900999</v>
      </c>
    </row>
    <row r="10046" ht="14.25" customHeight="1">
      <c r="A10046" s="2" t="s">
        <v>279</v>
      </c>
      <c r="B10046" s="2" t="s">
        <v>280</v>
      </c>
      <c r="C10046" s="2">
        <v>2011.0</v>
      </c>
      <c r="D10046" s="9">
        <v>55696.375</v>
      </c>
      <c r="E10046" s="10" t="str">
        <f t="array" ref="E10046">IFS(D10046&lt;=$G$3,'calculated data '!$A$3,D10046&lt;=$G$4,'calculated data '!$A$4,D10046&lt;=$G$6,'calculated data '!$A$5,D10046&gt;=$G$6,'calculated data '!$A$6)</f>
        <v>High Demand Tier</v>
      </c>
      <c r="F10046" s="10">
        <f t="shared" si="1"/>
        <v>0.8110976994</v>
      </c>
    </row>
    <row r="10047" ht="14.25" customHeight="1">
      <c r="A10047" s="2" t="s">
        <v>381</v>
      </c>
      <c r="B10047" s="2" t="s">
        <v>382</v>
      </c>
      <c r="C10047" s="2">
        <v>2007.0</v>
      </c>
      <c r="D10047" s="9">
        <v>55708.375</v>
      </c>
      <c r="E10047" s="10" t="str">
        <f t="array" ref="E10047">IFS(D10047&lt;=$G$3,'calculated data '!$A$3,D10047&lt;=$G$4,'calculated data '!$A$4,D10047&lt;=$G$6,'calculated data '!$A$5,D10047&gt;=$G$6,'calculated data '!$A$6)</f>
        <v>High Demand Tier</v>
      </c>
      <c r="F10047" s="10">
        <f t="shared" si="1"/>
        <v>0.8114153364</v>
      </c>
    </row>
    <row r="10048" ht="14.25" customHeight="1">
      <c r="A10048" s="2" t="s">
        <v>477</v>
      </c>
      <c r="B10048" s="2" t="s">
        <v>478</v>
      </c>
      <c r="C10048" s="2">
        <v>1985.0</v>
      </c>
      <c r="D10048" s="9">
        <v>55713.547</v>
      </c>
      <c r="E10048" s="10" t="str">
        <f t="array" ref="E10048">IFS(D10048&lt;=$G$3,'calculated data '!$A$3,D10048&lt;=$G$4,'calculated data '!$A$4,D10048&lt;=$G$6,'calculated data '!$A$5,D10048&gt;=$G$6,'calculated data '!$A$6)</f>
        <v>High Demand Tier</v>
      </c>
      <c r="F10048" s="10">
        <f t="shared" si="1"/>
        <v>0.811552238</v>
      </c>
    </row>
    <row r="10049" ht="14.25" customHeight="1">
      <c r="A10049" s="2" t="s">
        <v>459</v>
      </c>
      <c r="B10049" s="2" t="s">
        <v>460</v>
      </c>
      <c r="C10049" s="2">
        <v>1979.0</v>
      </c>
      <c r="D10049" s="9">
        <v>55749.87</v>
      </c>
      <c r="E10049" s="10" t="str">
        <f t="array" ref="E10049">IFS(D10049&lt;=$G$3,'calculated data '!$A$3,D10049&lt;=$G$4,'calculated data '!$A$4,D10049&lt;=$G$6,'calculated data '!$A$5,D10049&gt;=$G$6,'calculated data '!$A$6)</f>
        <v>High Demand Tier</v>
      </c>
      <c r="F10049" s="10">
        <f t="shared" si="1"/>
        <v>0.8125136987</v>
      </c>
    </row>
    <row r="10050" ht="14.25" customHeight="1">
      <c r="A10050" s="2" t="s">
        <v>475</v>
      </c>
      <c r="B10050" s="2" t="s">
        <v>476</v>
      </c>
      <c r="C10050" s="2">
        <v>1976.0</v>
      </c>
      <c r="D10050" s="9">
        <v>55758.21</v>
      </c>
      <c r="E10050" s="10" t="str">
        <f t="array" ref="E10050">IFS(D10050&lt;=$G$3,'calculated data '!$A$3,D10050&lt;=$G$4,'calculated data '!$A$4,D10050&lt;=$G$6,'calculated data '!$A$5,D10050&gt;=$G$6,'calculated data '!$A$6)</f>
        <v>High Demand Tier</v>
      </c>
      <c r="F10050" s="10">
        <f t="shared" si="1"/>
        <v>0.8127344565</v>
      </c>
    </row>
    <row r="10051" ht="14.25" customHeight="1">
      <c r="A10051" s="2" t="s">
        <v>475</v>
      </c>
      <c r="B10051" s="2" t="s">
        <v>476</v>
      </c>
      <c r="C10051" s="2">
        <v>2000.0</v>
      </c>
      <c r="D10051" s="9">
        <v>55761.74</v>
      </c>
      <c r="E10051" s="10" t="str">
        <f t="array" ref="E10051">IFS(D10051&lt;=$G$3,'calculated data '!$A$3,D10051&lt;=$G$4,'calculated data '!$A$4,D10051&lt;=$G$6,'calculated data '!$A$5,D10051&gt;=$G$6,'calculated data '!$A$6)</f>
        <v>High Demand Tier</v>
      </c>
      <c r="F10051" s="10">
        <f t="shared" si="1"/>
        <v>0.8128278947</v>
      </c>
    </row>
    <row r="10052" ht="14.25" customHeight="1">
      <c r="A10052" s="2" t="s">
        <v>405</v>
      </c>
      <c r="B10052" s="2" t="s">
        <v>406</v>
      </c>
      <c r="C10052" s="2">
        <v>1992.0</v>
      </c>
      <c r="D10052" s="9">
        <v>55764.473</v>
      </c>
      <c r="E10052" s="10" t="str">
        <f t="array" ref="E10052">IFS(D10052&lt;=$G$3,'calculated data '!$A$3,D10052&lt;=$G$4,'calculated data '!$A$4,D10052&lt;=$G$6,'calculated data '!$A$5,D10052&gt;=$G$6,'calculated data '!$A$6)</f>
        <v>High Demand Tier</v>
      </c>
      <c r="F10052" s="10">
        <f t="shared" si="1"/>
        <v>0.8129002365</v>
      </c>
    </row>
    <row r="10053" ht="14.25" customHeight="1">
      <c r="A10053" s="2" t="s">
        <v>467</v>
      </c>
      <c r="B10053" s="2" t="s">
        <v>468</v>
      </c>
      <c r="C10053" s="2">
        <v>1987.0</v>
      </c>
      <c r="D10053" s="9">
        <v>55802.277</v>
      </c>
      <c r="E10053" s="10" t="str">
        <f t="array" ref="E10053">IFS(D10053&lt;=$G$3,'calculated data '!$A$3,D10053&lt;=$G$4,'calculated data '!$A$4,D10053&lt;=$G$6,'calculated data '!$A$5,D10053&gt;=$G$6,'calculated data '!$A$6)</f>
        <v>High Demand Tier</v>
      </c>
      <c r="F10053" s="10">
        <f t="shared" si="1"/>
        <v>0.813900899</v>
      </c>
    </row>
    <row r="10054" ht="14.25" customHeight="1">
      <c r="A10054" s="2" t="s">
        <v>453</v>
      </c>
      <c r="B10054" s="2" t="s">
        <v>454</v>
      </c>
      <c r="C10054" s="2">
        <v>2008.0</v>
      </c>
      <c r="D10054" s="9">
        <v>55838.457</v>
      </c>
      <c r="E10054" s="10" t="str">
        <f t="array" ref="E10054">IFS(D10054&lt;=$G$3,'calculated data '!$A$3,D10054&lt;=$G$4,'calculated data '!$A$4,D10054&lt;=$G$6,'calculated data '!$A$5,D10054&gt;=$G$6,'calculated data '!$A$6)</f>
        <v>High Demand Tier</v>
      </c>
      <c r="F10054" s="10">
        <f t="shared" si="1"/>
        <v>0.8148585746</v>
      </c>
    </row>
    <row r="10055" ht="14.25" customHeight="1">
      <c r="A10055" s="2" t="s">
        <v>485</v>
      </c>
      <c r="B10055" s="2" t="s">
        <v>486</v>
      </c>
      <c r="C10055" s="2">
        <v>2015.0</v>
      </c>
      <c r="D10055" s="9">
        <v>55838.594</v>
      </c>
      <c r="E10055" s="10" t="str">
        <f t="array" ref="E10055">IFS(D10055&lt;=$G$3,'calculated data '!$A$3,D10055&lt;=$G$4,'calculated data '!$A$4,D10055&lt;=$G$6,'calculated data '!$A$5,D10055&gt;=$G$6,'calculated data '!$A$6)</f>
        <v>High Demand Tier</v>
      </c>
      <c r="F10055" s="10">
        <f t="shared" si="1"/>
        <v>0.8148622009</v>
      </c>
    </row>
    <row r="10056" ht="14.25" customHeight="1">
      <c r="A10056" s="2" t="s">
        <v>485</v>
      </c>
      <c r="B10056" s="2" t="s">
        <v>486</v>
      </c>
      <c r="C10056" s="2">
        <v>2018.0</v>
      </c>
      <c r="D10056" s="9">
        <v>55862.95</v>
      </c>
      <c r="E10056" s="10" t="str">
        <f t="array" ref="E10056">IFS(D10056&lt;=$G$3,'calculated data '!$A$3,D10056&lt;=$G$4,'calculated data '!$A$4,D10056&lt;=$G$6,'calculated data '!$A$5,D10056&gt;=$G$6,'calculated data '!$A$6)</f>
        <v>High Demand Tier</v>
      </c>
      <c r="F10056" s="10">
        <f t="shared" si="1"/>
        <v>0.8155068982</v>
      </c>
    </row>
    <row r="10057" ht="14.25" customHeight="1">
      <c r="A10057" s="2" t="s">
        <v>279</v>
      </c>
      <c r="B10057" s="2" t="s">
        <v>280</v>
      </c>
      <c r="C10057" s="2">
        <v>2013.0</v>
      </c>
      <c r="D10057" s="9">
        <v>55897.68</v>
      </c>
      <c r="E10057" s="10" t="str">
        <f t="array" ref="E10057">IFS(D10057&lt;=$G$3,'calculated data '!$A$3,D10057&lt;=$G$4,'calculated data '!$A$4,D10057&lt;=$G$6,'calculated data '!$A$5,D10057&gt;=$G$6,'calculated data '!$A$6)</f>
        <v>High Demand Tier</v>
      </c>
      <c r="F10057" s="10">
        <f t="shared" si="1"/>
        <v>0.8164261926</v>
      </c>
    </row>
    <row r="10058" ht="14.25" customHeight="1">
      <c r="A10058" s="2" t="s">
        <v>439</v>
      </c>
      <c r="B10058" s="2" t="s">
        <v>440</v>
      </c>
      <c r="C10058" s="2">
        <v>2019.0</v>
      </c>
      <c r="D10058" s="9">
        <v>55911.137</v>
      </c>
      <c r="E10058" s="10" t="str">
        <f t="array" ref="E10058">IFS(D10058&lt;=$G$3,'calculated data '!$A$3,D10058&lt;=$G$4,'calculated data '!$A$4,D10058&lt;=$G$6,'calculated data '!$A$5,D10058&gt;=$G$6,'calculated data '!$A$6)</f>
        <v>High Demand Tier</v>
      </c>
      <c r="F10058" s="10">
        <f t="shared" si="1"/>
        <v>0.8167823961</v>
      </c>
    </row>
    <row r="10059" ht="14.25" customHeight="1">
      <c r="A10059" s="2" t="s">
        <v>455</v>
      </c>
      <c r="B10059" s="2" t="s">
        <v>456</v>
      </c>
      <c r="C10059" s="2">
        <v>2022.0</v>
      </c>
      <c r="D10059" s="9">
        <v>55920.33</v>
      </c>
      <c r="E10059" s="10" t="str">
        <f t="array" ref="E10059">IFS(D10059&lt;=$G$3,'calculated data '!$A$3,D10059&lt;=$G$4,'calculated data '!$A$4,D10059&lt;=$G$6,'calculated data '!$A$5,D10059&gt;=$G$6,'calculated data '!$A$6)</f>
        <v>High Demand Tier</v>
      </c>
      <c r="F10059" s="10">
        <f t="shared" si="1"/>
        <v>0.8170257325</v>
      </c>
    </row>
    <row r="10060" ht="14.25" customHeight="1">
      <c r="A10060" s="2" t="s">
        <v>403</v>
      </c>
      <c r="B10060" s="2" t="s">
        <v>404</v>
      </c>
      <c r="C10060" s="2">
        <v>2016.0</v>
      </c>
      <c r="D10060" s="9">
        <v>55943.04</v>
      </c>
      <c r="E10060" s="10" t="str">
        <f t="array" ref="E10060">IFS(D10060&lt;=$G$3,'calculated data '!$A$3,D10060&lt;=$G$4,'calculated data '!$A$4,D10060&lt;=$G$6,'calculated data '!$A$5,D10060&gt;=$G$6,'calculated data '!$A$6)</f>
        <v>High Demand Tier</v>
      </c>
      <c r="F10060" s="10">
        <f t="shared" si="1"/>
        <v>0.8176268605</v>
      </c>
    </row>
    <row r="10061" ht="14.25" customHeight="1">
      <c r="A10061" s="2" t="s">
        <v>221</v>
      </c>
      <c r="B10061" s="2" t="s">
        <v>222</v>
      </c>
      <c r="C10061" s="2">
        <v>2005.0</v>
      </c>
      <c r="D10061" s="9">
        <v>55948.54</v>
      </c>
      <c r="E10061" s="10" t="str">
        <f t="array" ref="E10061">IFS(D10061&lt;=$G$3,'calculated data '!$A$3,D10061&lt;=$G$4,'calculated data '!$A$4,D10061&lt;=$G$6,'calculated data '!$A$5,D10061&gt;=$G$6,'calculated data '!$A$6)</f>
        <v>High Demand Tier</v>
      </c>
      <c r="F10061" s="10">
        <f t="shared" si="1"/>
        <v>0.8177724442</v>
      </c>
    </row>
    <row r="10062" ht="14.25" customHeight="1">
      <c r="A10062" s="2" t="s">
        <v>397</v>
      </c>
      <c r="B10062" s="2" t="s">
        <v>398</v>
      </c>
      <c r="C10062" s="2">
        <v>2019.0</v>
      </c>
      <c r="D10062" s="9">
        <v>55954.652</v>
      </c>
      <c r="E10062" s="10" t="str">
        <f t="array" ref="E10062">IFS(D10062&lt;=$G$3,'calculated data '!$A$3,D10062&lt;=$G$4,'calculated data '!$A$4,D10062&lt;=$G$6,'calculated data '!$A$5,D10062&gt;=$G$6,'calculated data '!$A$6)</f>
        <v>High Demand Tier</v>
      </c>
      <c r="F10062" s="10">
        <f t="shared" si="1"/>
        <v>0.8179342273</v>
      </c>
    </row>
    <row r="10063" ht="14.25" customHeight="1">
      <c r="A10063" s="2" t="s">
        <v>467</v>
      </c>
      <c r="B10063" s="2" t="s">
        <v>468</v>
      </c>
      <c r="C10063" s="2">
        <v>1979.0</v>
      </c>
      <c r="D10063" s="9">
        <v>55965.215</v>
      </c>
      <c r="E10063" s="10" t="str">
        <f t="array" ref="E10063">IFS(D10063&lt;=$G$3,'calculated data '!$A$3,D10063&lt;=$G$4,'calculated data '!$A$4,D10063&lt;=$G$6,'calculated data '!$A$5,D10063&gt;=$G$6,'calculated data '!$A$6)</f>
        <v>High Demand Tier</v>
      </c>
      <c r="F10063" s="10">
        <f t="shared" si="1"/>
        <v>0.8182138273</v>
      </c>
    </row>
    <row r="10064" ht="14.25" customHeight="1">
      <c r="A10064" s="2" t="s">
        <v>477</v>
      </c>
      <c r="B10064" s="2" t="s">
        <v>478</v>
      </c>
      <c r="C10064" s="2">
        <v>1970.0</v>
      </c>
      <c r="D10064" s="9">
        <v>55980.496</v>
      </c>
      <c r="E10064" s="10" t="str">
        <f t="array" ref="E10064">IFS(D10064&lt;=$G$3,'calculated data '!$A$3,D10064&lt;=$G$4,'calculated data '!$A$4,D10064&lt;=$G$6,'calculated data '!$A$5,D10064&gt;=$G$6,'calculated data '!$A$6)</f>
        <v>High Demand Tier</v>
      </c>
      <c r="F10064" s="10">
        <f t="shared" si="1"/>
        <v>0.8186183115</v>
      </c>
    </row>
    <row r="10065" ht="14.25" customHeight="1">
      <c r="A10065" s="2" t="s">
        <v>485</v>
      </c>
      <c r="B10065" s="2" t="s">
        <v>486</v>
      </c>
      <c r="C10065" s="2">
        <v>2012.0</v>
      </c>
      <c r="D10065" s="9">
        <v>55981.152</v>
      </c>
      <c r="E10065" s="10" t="str">
        <f t="array" ref="E10065">IFS(D10065&lt;=$G$3,'calculated data '!$A$3,D10065&lt;=$G$4,'calculated data '!$A$4,D10065&lt;=$G$6,'calculated data '!$A$5,D10065&gt;=$G$6,'calculated data '!$A$6)</f>
        <v>High Demand Tier</v>
      </c>
      <c r="F10065" s="10">
        <f t="shared" si="1"/>
        <v>0.8186356757</v>
      </c>
    </row>
    <row r="10066" ht="14.25" customHeight="1">
      <c r="A10066" s="2" t="s">
        <v>279</v>
      </c>
      <c r="B10066" s="2" t="s">
        <v>280</v>
      </c>
      <c r="C10066" s="2">
        <v>2010.0</v>
      </c>
      <c r="D10066" s="9">
        <v>55985.22</v>
      </c>
      <c r="E10066" s="10" t="str">
        <f t="array" ref="E10066">IFS(D10066&lt;=$G$3,'calculated data '!$A$3,D10066&lt;=$G$4,'calculated data '!$A$4,D10066&lt;=$G$6,'calculated data '!$A$5,D10066&gt;=$G$6,'calculated data '!$A$6)</f>
        <v>High Demand Tier</v>
      </c>
      <c r="F10066" s="10">
        <f t="shared" si="1"/>
        <v>0.8187433546</v>
      </c>
    </row>
    <row r="10067" ht="14.25" customHeight="1">
      <c r="A10067" s="2" t="s">
        <v>485</v>
      </c>
      <c r="B10067" s="2" t="s">
        <v>486</v>
      </c>
      <c r="C10067" s="2">
        <v>1967.0</v>
      </c>
      <c r="D10067" s="9">
        <v>56018.367</v>
      </c>
      <c r="E10067" s="10" t="str">
        <f t="array" ref="E10067">IFS(D10067&lt;=$G$3,'calculated data '!$A$3,D10067&lt;=$G$4,'calculated data '!$A$4,D10067&lt;=$G$6,'calculated data '!$A$5,D10067&gt;=$G$6,'calculated data '!$A$6)</f>
        <v>High Demand Tier</v>
      </c>
      <c r="F10067" s="10">
        <f t="shared" si="1"/>
        <v>0.8196207475</v>
      </c>
    </row>
    <row r="10068" ht="14.25" customHeight="1">
      <c r="A10068" s="2" t="s">
        <v>403</v>
      </c>
      <c r="B10068" s="2" t="s">
        <v>404</v>
      </c>
      <c r="C10068" s="2">
        <v>2010.0</v>
      </c>
      <c r="D10068" s="9">
        <v>56021.105</v>
      </c>
      <c r="E10068" s="10" t="str">
        <f t="array" ref="E10068">IFS(D10068&lt;=$G$3,'calculated data '!$A$3,D10068&lt;=$G$4,'calculated data '!$A$4,D10068&lt;=$G$6,'calculated data '!$A$5,D10068&gt;=$G$6,'calculated data '!$A$6)</f>
        <v>High Demand Tier</v>
      </c>
      <c r="F10068" s="10">
        <f t="shared" si="1"/>
        <v>0.8196932216</v>
      </c>
    </row>
    <row r="10069" ht="14.25" customHeight="1">
      <c r="A10069" s="2" t="s">
        <v>451</v>
      </c>
      <c r="B10069" s="2" t="s">
        <v>452</v>
      </c>
      <c r="C10069" s="2">
        <v>1999.0</v>
      </c>
      <c r="D10069" s="9">
        <v>56088.664</v>
      </c>
      <c r="E10069" s="10" t="str">
        <f t="array" ref="E10069">IFS(D10069&lt;=$G$3,'calculated data '!$A$3,D10069&lt;=$G$4,'calculated data '!$A$4,D10069&lt;=$G$6,'calculated data '!$A$5,D10069&gt;=$G$6,'calculated data '!$A$6)</f>
        <v>High Demand Tier</v>
      </c>
      <c r="F10069" s="10">
        <f t="shared" si="1"/>
        <v>0.8214814915</v>
      </c>
    </row>
    <row r="10070" ht="14.25" customHeight="1">
      <c r="A10070" s="2" t="s">
        <v>267</v>
      </c>
      <c r="B10070" s="2" t="s">
        <v>268</v>
      </c>
      <c r="C10070" s="2">
        <v>2010.0</v>
      </c>
      <c r="D10070" s="9">
        <v>56092.406</v>
      </c>
      <c r="E10070" s="10" t="str">
        <f t="array" ref="E10070">IFS(D10070&lt;=$G$3,'calculated data '!$A$3,D10070&lt;=$G$4,'calculated data '!$A$4,D10070&lt;=$G$6,'calculated data '!$A$5,D10070&gt;=$G$6,'calculated data '!$A$6)</f>
        <v>High Demand Tier</v>
      </c>
      <c r="F10070" s="10">
        <f t="shared" si="1"/>
        <v>0.8215805413</v>
      </c>
    </row>
    <row r="10071" ht="14.25" customHeight="1">
      <c r="A10071" s="2" t="s">
        <v>453</v>
      </c>
      <c r="B10071" s="2" t="s">
        <v>454</v>
      </c>
      <c r="C10071" s="2">
        <v>1988.0</v>
      </c>
      <c r="D10071" s="9">
        <v>56098.984</v>
      </c>
      <c r="E10071" s="10" t="str">
        <f t="array" ref="E10071">IFS(D10071&lt;=$G$3,'calculated data '!$A$3,D10071&lt;=$G$4,'calculated data '!$A$4,D10071&lt;=$G$6,'calculated data '!$A$5,D10071&gt;=$G$6,'calculated data '!$A$6)</f>
        <v>High Demand Tier</v>
      </c>
      <c r="F10071" s="10">
        <f t="shared" si="1"/>
        <v>0.8217546594</v>
      </c>
    </row>
    <row r="10072" ht="14.25" customHeight="1">
      <c r="A10072" s="2" t="s">
        <v>71</v>
      </c>
      <c r="B10072" s="2" t="s">
        <v>72</v>
      </c>
      <c r="C10072" s="2">
        <v>2002.0</v>
      </c>
      <c r="D10072" s="9">
        <v>56120.254</v>
      </c>
      <c r="E10072" s="10" t="str">
        <f t="array" ref="E10072">IFS(D10072&lt;=$G$3,'calculated data '!$A$3,D10072&lt;=$G$4,'calculated data '!$A$4,D10072&lt;=$G$6,'calculated data '!$A$5,D10072&gt;=$G$6,'calculated data '!$A$6)</f>
        <v>High Demand Tier</v>
      </c>
      <c r="F10072" s="10">
        <f t="shared" si="1"/>
        <v>0.822317671</v>
      </c>
    </row>
    <row r="10073" ht="14.25" customHeight="1">
      <c r="A10073" s="2" t="s">
        <v>473</v>
      </c>
      <c r="B10073" s="2" t="s">
        <v>474</v>
      </c>
      <c r="C10073" s="2">
        <v>1971.0</v>
      </c>
      <c r="D10073" s="9">
        <v>56128.4</v>
      </c>
      <c r="E10073" s="10" t="str">
        <f t="array" ref="E10073">IFS(D10073&lt;=$G$3,'calculated data '!$A$3,D10073&lt;=$G$4,'calculated data '!$A$4,D10073&lt;=$G$6,'calculated data '!$A$5,D10073&gt;=$G$6,'calculated data '!$A$6)</f>
        <v>High Demand Tier</v>
      </c>
      <c r="F10073" s="10">
        <f t="shared" si="1"/>
        <v>0.8225332936</v>
      </c>
    </row>
    <row r="10074" ht="14.25" customHeight="1">
      <c r="A10074" s="2" t="s">
        <v>479</v>
      </c>
      <c r="B10074" s="2" t="s">
        <v>480</v>
      </c>
      <c r="C10074" s="2">
        <v>2018.0</v>
      </c>
      <c r="D10074" s="9">
        <v>56141.51</v>
      </c>
      <c r="E10074" s="10" t="str">
        <f t="array" ref="E10074">IFS(D10074&lt;=$G$3,'calculated data '!$A$3,D10074&lt;=$G$4,'calculated data '!$A$4,D10074&lt;=$G$6,'calculated data '!$A$5,D10074&gt;=$G$6,'calculated data '!$A$6)</f>
        <v>High Demand Tier</v>
      </c>
      <c r="F10074" s="10">
        <f t="shared" si="1"/>
        <v>0.822880312</v>
      </c>
    </row>
    <row r="10075" ht="14.25" customHeight="1">
      <c r="A10075" s="2" t="s">
        <v>427</v>
      </c>
      <c r="B10075" s="2" t="s">
        <v>428</v>
      </c>
      <c r="C10075" s="2">
        <v>2025.0</v>
      </c>
      <c r="D10075" s="9">
        <v>56144.746</v>
      </c>
      <c r="E10075" s="10" t="str">
        <f t="array" ref="E10075">IFS(D10075&lt;=$G$3,'calculated data '!$A$3,D10075&lt;=$G$4,'calculated data '!$A$4,D10075&lt;=$G$6,'calculated data '!$A$5,D10075&gt;=$G$6,'calculated data '!$A$6)</f>
        <v>High Demand Tier</v>
      </c>
      <c r="F10075" s="10">
        <f t="shared" si="1"/>
        <v>0.8229659681</v>
      </c>
    </row>
    <row r="10076" ht="14.25" customHeight="1">
      <c r="A10076" s="2" t="s">
        <v>451</v>
      </c>
      <c r="B10076" s="2" t="s">
        <v>452</v>
      </c>
      <c r="C10076" s="2">
        <v>2011.0</v>
      </c>
      <c r="D10076" s="9">
        <v>56168.234</v>
      </c>
      <c r="E10076" s="10" t="str">
        <f t="array" ref="E10076">IFS(D10076&lt;=$G$3,'calculated data '!$A$3,D10076&lt;=$G$4,'calculated data '!$A$4,D10076&lt;=$G$6,'calculated data '!$A$5,D10076&gt;=$G$6,'calculated data '!$A$6)</f>
        <v>High Demand Tier</v>
      </c>
      <c r="F10076" s="10">
        <f t="shared" si="1"/>
        <v>0.8235876896</v>
      </c>
    </row>
    <row r="10077" ht="14.25" customHeight="1">
      <c r="A10077" s="2" t="s">
        <v>403</v>
      </c>
      <c r="B10077" s="2" t="s">
        <v>404</v>
      </c>
      <c r="C10077" s="2">
        <v>2012.0</v>
      </c>
      <c r="D10077" s="9">
        <v>56169.82</v>
      </c>
      <c r="E10077" s="10" t="str">
        <f t="array" ref="E10077">IFS(D10077&lt;=$G$3,'calculated data '!$A$3,D10077&lt;=$G$4,'calculated data '!$A$4,D10077&lt;=$G$6,'calculated data '!$A$5,D10077&gt;=$G$6,'calculated data '!$A$6)</f>
        <v>High Demand Tier</v>
      </c>
      <c r="F10077" s="10">
        <f t="shared" si="1"/>
        <v>0.8236296706</v>
      </c>
    </row>
    <row r="10078" ht="14.25" customHeight="1">
      <c r="A10078" s="2" t="s">
        <v>397</v>
      </c>
      <c r="B10078" s="2" t="s">
        <v>398</v>
      </c>
      <c r="C10078" s="2">
        <v>2015.0</v>
      </c>
      <c r="D10078" s="9">
        <v>56196.72</v>
      </c>
      <c r="E10078" s="10" t="str">
        <f t="array" ref="E10078">IFS(D10078&lt;=$G$3,'calculated data '!$A$3,D10078&lt;=$G$4,'calculated data '!$A$4,D10078&lt;=$G$6,'calculated data '!$A$5,D10078&gt;=$G$6,'calculated data '!$A$6)</f>
        <v>High Demand Tier</v>
      </c>
      <c r="F10078" s="10">
        <f t="shared" si="1"/>
        <v>0.8243417069</v>
      </c>
    </row>
    <row r="10079" ht="14.25" customHeight="1">
      <c r="A10079" s="2" t="s">
        <v>473</v>
      </c>
      <c r="B10079" s="2" t="s">
        <v>474</v>
      </c>
      <c r="C10079" s="2">
        <v>1972.0</v>
      </c>
      <c r="D10079" s="9">
        <v>56235.32</v>
      </c>
      <c r="E10079" s="10" t="str">
        <f t="array" ref="E10079">IFS(D10079&lt;=$G$3,'calculated data '!$A$3,D10079&lt;=$G$4,'calculated data '!$A$4,D10079&lt;=$G$6,'calculated data '!$A$5,D10079&gt;=$G$6,'calculated data '!$A$6)</f>
        <v>High Demand Tier</v>
      </c>
      <c r="F10079" s="10">
        <f t="shared" si="1"/>
        <v>0.8253634393</v>
      </c>
    </row>
    <row r="10080" ht="14.25" customHeight="1">
      <c r="A10080" s="2" t="s">
        <v>441</v>
      </c>
      <c r="B10080" s="2" t="s">
        <v>442</v>
      </c>
      <c r="C10080" s="2">
        <v>2005.0</v>
      </c>
      <c r="D10080" s="9">
        <v>56269.547</v>
      </c>
      <c r="E10080" s="10" t="str">
        <f t="array" ref="E10080">IFS(D10080&lt;=$G$3,'calculated data '!$A$3,D10080&lt;=$G$4,'calculated data '!$A$4,D10080&lt;=$G$6,'calculated data '!$A$5,D10080&gt;=$G$6,'calculated data '!$A$6)</f>
        <v>High Demand Tier</v>
      </c>
      <c r="F10080" s="10">
        <f t="shared" si="1"/>
        <v>0.8262694195</v>
      </c>
    </row>
    <row r="10081" ht="14.25" customHeight="1">
      <c r="A10081" s="2" t="s">
        <v>455</v>
      </c>
      <c r="B10081" s="2" t="s">
        <v>456</v>
      </c>
      <c r="C10081" s="2">
        <v>1984.0</v>
      </c>
      <c r="D10081" s="9">
        <v>56272.32</v>
      </c>
      <c r="E10081" s="10" t="str">
        <f t="array" ref="E10081">IFS(D10081&lt;=$G$3,'calculated data '!$A$3,D10081&lt;=$G$4,'calculated data '!$A$4,D10081&lt;=$G$6,'calculated data '!$A$5,D10081&gt;=$G$6,'calculated data '!$A$6)</f>
        <v>High Demand Tier</v>
      </c>
      <c r="F10081" s="10">
        <f t="shared" si="1"/>
        <v>0.8263428201</v>
      </c>
    </row>
    <row r="10082" ht="14.25" customHeight="1">
      <c r="A10082" s="2" t="s">
        <v>463</v>
      </c>
      <c r="B10082" s="2" t="s">
        <v>464</v>
      </c>
      <c r="C10082" s="2">
        <v>1980.0</v>
      </c>
      <c r="D10082" s="9">
        <v>56302.957</v>
      </c>
      <c r="E10082" s="10" t="str">
        <f t="array" ref="E10082">IFS(D10082&lt;=$G$3,'calculated data '!$A$3,D10082&lt;=$G$4,'calculated data '!$A$4,D10082&lt;=$G$6,'calculated data '!$A$5,D10082&gt;=$G$6,'calculated data '!$A$6)</f>
        <v>High Demand Tier</v>
      </c>
      <c r="F10082" s="10">
        <f t="shared" si="1"/>
        <v>0.8271537739</v>
      </c>
    </row>
    <row r="10083" ht="14.25" customHeight="1">
      <c r="A10083" s="2" t="s">
        <v>473</v>
      </c>
      <c r="B10083" s="2" t="s">
        <v>474</v>
      </c>
      <c r="C10083" s="2">
        <v>1973.0</v>
      </c>
      <c r="D10083" s="9">
        <v>56333.234</v>
      </c>
      <c r="E10083" s="10" t="str">
        <f t="array" ref="E10083">IFS(D10083&lt;=$G$3,'calculated data '!$A$3,D10083&lt;=$G$4,'calculated data '!$A$4,D10083&lt;=$G$6,'calculated data '!$A$5,D10083&gt;=$G$6,'calculated data '!$A$6)</f>
        <v>High Demand Tier</v>
      </c>
      <c r="F10083" s="10">
        <f t="shared" si="1"/>
        <v>0.8279551985</v>
      </c>
    </row>
    <row r="10084" ht="14.25" customHeight="1">
      <c r="A10084" s="2" t="s">
        <v>455</v>
      </c>
      <c r="B10084" s="2" t="s">
        <v>456</v>
      </c>
      <c r="C10084" s="2">
        <v>2023.0</v>
      </c>
      <c r="D10084" s="9">
        <v>56344.117</v>
      </c>
      <c r="E10084" s="10" t="str">
        <f t="array" ref="E10084">IFS(D10084&lt;=$G$3,'calculated data '!$A$3,D10084&lt;=$G$4,'calculated data '!$A$4,D10084&lt;=$G$6,'calculated data '!$A$5,D10084&gt;=$G$6,'calculated data '!$A$6)</f>
        <v>High Demand Tier</v>
      </c>
      <c r="F10084" s="10">
        <f t="shared" si="1"/>
        <v>0.8282432688</v>
      </c>
    </row>
    <row r="10085" ht="14.25" customHeight="1">
      <c r="A10085" s="2" t="s">
        <v>279</v>
      </c>
      <c r="B10085" s="2" t="s">
        <v>280</v>
      </c>
      <c r="C10085" s="2">
        <v>2007.0</v>
      </c>
      <c r="D10085" s="9">
        <v>56352.46</v>
      </c>
      <c r="E10085" s="10" t="str">
        <f t="array" ref="E10085">IFS(D10085&lt;=$G$3,'calculated data '!$A$3,D10085&lt;=$G$4,'calculated data '!$A$4,D10085&lt;=$G$6,'calculated data '!$A$5,D10085&gt;=$G$6,'calculated data '!$A$6)</f>
        <v>High Demand Tier</v>
      </c>
      <c r="F10085" s="10">
        <f t="shared" si="1"/>
        <v>0.828464106</v>
      </c>
    </row>
    <row r="10086" ht="14.25" customHeight="1">
      <c r="A10086" s="2" t="s">
        <v>477</v>
      </c>
      <c r="B10086" s="2" t="s">
        <v>478</v>
      </c>
      <c r="C10086" s="2">
        <v>2020.0</v>
      </c>
      <c r="D10086" s="9">
        <v>56426.082</v>
      </c>
      <c r="E10086" s="10" t="str">
        <f t="array" ref="E10086">IFS(D10086&lt;=$G$3,'calculated data '!$A$3,D10086&lt;=$G$4,'calculated data '!$A$4,D10086&lt;=$G$6,'calculated data '!$A$5,D10086&gt;=$G$6,'calculated data '!$A$6)</f>
        <v>High Demand Tier</v>
      </c>
      <c r="F10086" s="10">
        <f t="shared" si="1"/>
        <v>0.830412862</v>
      </c>
    </row>
    <row r="10087" ht="14.25" customHeight="1">
      <c r="A10087" s="2" t="s">
        <v>457</v>
      </c>
      <c r="B10087" s="2" t="s">
        <v>458</v>
      </c>
      <c r="C10087" s="2">
        <v>1987.0</v>
      </c>
      <c r="D10087" s="9">
        <v>56428.504</v>
      </c>
      <c r="E10087" s="10" t="str">
        <f t="array" ref="E10087">IFS(D10087&lt;=$G$3,'calculated data '!$A$3,D10087&lt;=$G$4,'calculated data '!$A$4,D10087&lt;=$G$6,'calculated data '!$A$5,D10087&gt;=$G$6,'calculated data '!$A$6)</f>
        <v>High Demand Tier</v>
      </c>
      <c r="F10087" s="10">
        <f t="shared" si="1"/>
        <v>0.8304769717</v>
      </c>
    </row>
    <row r="10088" ht="14.25" customHeight="1">
      <c r="A10088" s="2" t="s">
        <v>473</v>
      </c>
      <c r="B10088" s="2" t="s">
        <v>474</v>
      </c>
      <c r="C10088" s="2">
        <v>1974.0</v>
      </c>
      <c r="D10088" s="9">
        <v>56453.395</v>
      </c>
      <c r="E10088" s="10" t="str">
        <f t="array" ref="E10088">IFS(D10088&lt;=$G$3,'calculated data '!$A$3,D10088&lt;=$G$4,'calculated data '!$A$4,D10088&lt;=$G$6,'calculated data '!$A$5,D10088&gt;=$G$6,'calculated data '!$A$6)</f>
        <v>High Demand Tier</v>
      </c>
      <c r="F10088" s="10">
        <f t="shared" si="1"/>
        <v>0.8311358303</v>
      </c>
    </row>
    <row r="10089" ht="14.25" customHeight="1">
      <c r="A10089" s="2" t="s">
        <v>477</v>
      </c>
      <c r="B10089" s="2" t="s">
        <v>478</v>
      </c>
      <c r="C10089" s="2">
        <v>1976.0</v>
      </c>
      <c r="D10089" s="9">
        <v>56491.137</v>
      </c>
      <c r="E10089" s="10" t="str">
        <f t="array" ref="E10089">IFS(D10089&lt;=$G$3,'calculated data '!$A$3,D10089&lt;=$G$4,'calculated data '!$A$4,D10089&lt;=$G$6,'calculated data '!$A$5,D10089&gt;=$G$6,'calculated data '!$A$6)</f>
        <v>High Demand Tier</v>
      </c>
      <c r="F10089" s="10">
        <f t="shared" si="1"/>
        <v>0.8321348516</v>
      </c>
    </row>
    <row r="10090" ht="14.25" customHeight="1">
      <c r="A10090" s="2" t="s">
        <v>393</v>
      </c>
      <c r="B10090" s="2" t="s">
        <v>394</v>
      </c>
      <c r="C10090" s="2">
        <v>1991.0</v>
      </c>
      <c r="D10090" s="9">
        <v>56512.09</v>
      </c>
      <c r="E10090" s="10" t="str">
        <f t="array" ref="E10090">IFS(D10090&lt;=$G$3,'calculated data '!$A$3,D10090&lt;=$G$4,'calculated data '!$A$4,D10090&lt;=$G$6,'calculated data '!$A$5,D10090&gt;=$G$6,'calculated data '!$A$6)</f>
        <v>High Demand Tier</v>
      </c>
      <c r="F10090" s="10">
        <f t="shared" si="1"/>
        <v>0.8326894723</v>
      </c>
    </row>
    <row r="10091" ht="14.25" customHeight="1">
      <c r="A10091" s="2" t="s">
        <v>477</v>
      </c>
      <c r="B10091" s="2" t="s">
        <v>478</v>
      </c>
      <c r="C10091" s="2">
        <v>1977.0</v>
      </c>
      <c r="D10091" s="9">
        <v>56519.824</v>
      </c>
      <c r="E10091" s="10" t="str">
        <f t="array" ref="E10091">IFS(D10091&lt;=$G$3,'calculated data '!$A$3,D10091&lt;=$G$4,'calculated data '!$A$4,D10091&lt;=$G$6,'calculated data '!$A$5,D10091&gt;=$G$6,'calculated data '!$A$6)</f>
        <v>High Demand Tier</v>
      </c>
      <c r="F10091" s="10">
        <f t="shared" si="1"/>
        <v>0.8328941893</v>
      </c>
    </row>
    <row r="10092" ht="14.25" customHeight="1">
      <c r="A10092" s="2" t="s">
        <v>477</v>
      </c>
      <c r="B10092" s="2" t="s">
        <v>478</v>
      </c>
      <c r="C10092" s="2">
        <v>1974.0</v>
      </c>
      <c r="D10092" s="9">
        <v>56525.758</v>
      </c>
      <c r="E10092" s="10" t="str">
        <f t="array" ref="E10092">IFS(D10092&lt;=$G$3,'calculated data '!$A$3,D10092&lt;=$G$4,'calculated data '!$A$4,D10092&lt;=$G$6,'calculated data '!$A$5,D10092&gt;=$G$6,'calculated data '!$A$6)</f>
        <v>High Demand Tier</v>
      </c>
      <c r="F10092" s="10">
        <f t="shared" si="1"/>
        <v>0.8330512609</v>
      </c>
    </row>
    <row r="10093" ht="14.25" customHeight="1">
      <c r="A10093" s="2" t="s">
        <v>397</v>
      </c>
      <c r="B10093" s="2" t="s">
        <v>398</v>
      </c>
      <c r="C10093" s="2">
        <v>2018.0</v>
      </c>
      <c r="D10093" s="9">
        <v>56535.566</v>
      </c>
      <c r="E10093" s="10" t="str">
        <f t="array" ref="E10093">IFS(D10093&lt;=$G$3,'calculated data '!$A$3,D10093&lt;=$G$4,'calculated data '!$A$4,D10093&lt;=$G$6,'calculated data '!$A$5,D10093&gt;=$G$6,'calculated data '!$A$6)</f>
        <v>High Demand Tier</v>
      </c>
      <c r="F10093" s="10">
        <f t="shared" si="1"/>
        <v>0.8333108762</v>
      </c>
    </row>
    <row r="10094" ht="14.25" customHeight="1">
      <c r="A10094" s="2" t="s">
        <v>279</v>
      </c>
      <c r="B10094" s="2" t="s">
        <v>280</v>
      </c>
      <c r="C10094" s="2">
        <v>2017.0</v>
      </c>
      <c r="D10094" s="9">
        <v>56551.645</v>
      </c>
      <c r="E10094" s="10" t="str">
        <f t="array" ref="E10094">IFS(D10094&lt;=$G$3,'calculated data '!$A$3,D10094&lt;=$G$4,'calculated data '!$A$4,D10094&lt;=$G$6,'calculated data '!$A$5,D10094&gt;=$G$6,'calculated data '!$A$6)</f>
        <v>High Demand Tier</v>
      </c>
      <c r="F10094" s="10">
        <f t="shared" si="1"/>
        <v>0.8337364833</v>
      </c>
    </row>
    <row r="10095" ht="14.25" customHeight="1">
      <c r="A10095" s="2" t="s">
        <v>405</v>
      </c>
      <c r="B10095" s="2" t="s">
        <v>406</v>
      </c>
      <c r="C10095" s="2">
        <v>1991.0</v>
      </c>
      <c r="D10095" s="9">
        <v>56574.773</v>
      </c>
      <c r="E10095" s="10" t="str">
        <f t="array" ref="E10095">IFS(D10095&lt;=$G$3,'calculated data '!$A$3,D10095&lt;=$G$4,'calculated data '!$A$4,D10095&lt;=$G$6,'calculated data '!$A$5,D10095&gt;=$G$6,'calculated data '!$A$6)</f>
        <v>High Demand Tier</v>
      </c>
      <c r="F10095" s="10">
        <f t="shared" si="1"/>
        <v>0.8343486757</v>
      </c>
    </row>
    <row r="10096" ht="14.25" customHeight="1">
      <c r="A10096" s="2" t="s">
        <v>397</v>
      </c>
      <c r="B10096" s="2" t="s">
        <v>398</v>
      </c>
      <c r="C10096" s="2">
        <v>1988.0</v>
      </c>
      <c r="D10096" s="9">
        <v>56584.32</v>
      </c>
      <c r="E10096" s="10" t="str">
        <f t="array" ref="E10096">IFS(D10096&lt;=$G$3,'calculated data '!$A$3,D10096&lt;=$G$4,'calculated data '!$A$4,D10096&lt;=$G$6,'calculated data '!$A$5,D10096&gt;=$G$6,'calculated data '!$A$6)</f>
        <v>High Demand Tier</v>
      </c>
      <c r="F10096" s="10">
        <f t="shared" si="1"/>
        <v>0.8346013824</v>
      </c>
    </row>
    <row r="10097" ht="14.25" customHeight="1">
      <c r="A10097" s="2" t="s">
        <v>467</v>
      </c>
      <c r="B10097" s="2" t="s">
        <v>468</v>
      </c>
      <c r="C10097" s="2">
        <v>2021.0</v>
      </c>
      <c r="D10097" s="9">
        <v>56598.79</v>
      </c>
      <c r="E10097" s="10" t="str">
        <f t="array" ref="E10097">IFS(D10097&lt;=$G$3,'calculated data '!$A$3,D10097&lt;=$G$4,'calculated data '!$A$4,D10097&lt;=$G$6,'calculated data '!$A$5,D10097&gt;=$G$6,'calculated data '!$A$6)</f>
        <v>High Demand Tier</v>
      </c>
      <c r="F10097" s="10">
        <f t="shared" si="1"/>
        <v>0.8349843997</v>
      </c>
    </row>
    <row r="10098" ht="14.25" customHeight="1">
      <c r="A10098" s="2" t="s">
        <v>455</v>
      </c>
      <c r="B10098" s="2" t="s">
        <v>456</v>
      </c>
      <c r="C10098" s="2">
        <v>1985.0</v>
      </c>
      <c r="D10098" s="9">
        <v>56613.496</v>
      </c>
      <c r="E10098" s="10" t="str">
        <f t="array" ref="E10098">IFS(D10098&lt;=$G$3,'calculated data '!$A$3,D10098&lt;=$G$4,'calculated data '!$A$4,D10098&lt;=$G$6,'calculated data '!$A$5,D10098&gt;=$G$6,'calculated data '!$A$6)</f>
        <v>High Demand Tier</v>
      </c>
      <c r="F10098" s="10">
        <f t="shared" si="1"/>
        <v>0.8353736639</v>
      </c>
    </row>
    <row r="10099" ht="14.25" customHeight="1">
      <c r="A10099" s="2" t="s">
        <v>461</v>
      </c>
      <c r="B10099" s="2" t="s">
        <v>462</v>
      </c>
      <c r="C10099" s="2">
        <v>1985.0</v>
      </c>
      <c r="D10099" s="9">
        <v>56642.477</v>
      </c>
      <c r="E10099" s="10" t="str">
        <f t="array" ref="E10099">IFS(D10099&lt;=$G$3,'calculated data '!$A$3,D10099&lt;=$G$4,'calculated data '!$A$4,D10099&lt;=$G$6,'calculated data '!$A$5,D10099&gt;=$G$6,'calculated data '!$A$6)</f>
        <v>High Demand Tier</v>
      </c>
      <c r="F10099" s="10">
        <f t="shared" si="1"/>
        <v>0.8361407837</v>
      </c>
    </row>
    <row r="10100" ht="14.25" customHeight="1">
      <c r="A10100" s="2" t="s">
        <v>343</v>
      </c>
      <c r="B10100" s="2" t="s">
        <v>344</v>
      </c>
      <c r="C10100" s="2">
        <v>2003.0</v>
      </c>
      <c r="D10100" s="9">
        <v>56651.1</v>
      </c>
      <c r="E10100" s="10" t="str">
        <f t="array" ref="E10100">IFS(D10100&lt;=$G$3,'calculated data '!$A$3,D10100&lt;=$G$4,'calculated data '!$A$4,D10100&lt;=$G$6,'calculated data '!$A$5,D10100&gt;=$G$6,'calculated data '!$A$6)</f>
        <v>High Demand Tier</v>
      </c>
      <c r="F10100" s="10">
        <f t="shared" si="1"/>
        <v>0.8363690324</v>
      </c>
    </row>
    <row r="10101" ht="14.25" customHeight="1">
      <c r="A10101" s="2" t="s">
        <v>487</v>
      </c>
      <c r="B10101" s="2" t="s">
        <v>488</v>
      </c>
      <c r="C10101" s="2">
        <v>1996.0</v>
      </c>
      <c r="D10101" s="9">
        <v>56655.473</v>
      </c>
      <c r="E10101" s="10" t="str">
        <f t="array" ref="E10101">IFS(D10101&lt;=$G$3,'calculated data '!$A$3,D10101&lt;=$G$4,'calculated data '!$A$4,D10101&lt;=$G$6,'calculated data '!$A$5,D10101&gt;=$G$6,'calculated data '!$A$6)</f>
        <v>High Demand Tier</v>
      </c>
      <c r="F10101" s="10">
        <f t="shared" si="1"/>
        <v>0.8364847846</v>
      </c>
    </row>
    <row r="10102" ht="14.25" customHeight="1">
      <c r="A10102" s="2" t="s">
        <v>441</v>
      </c>
      <c r="B10102" s="2" t="s">
        <v>442</v>
      </c>
      <c r="C10102" s="2">
        <v>2006.0</v>
      </c>
      <c r="D10102" s="9">
        <v>56685.06</v>
      </c>
      <c r="E10102" s="10" t="str">
        <f t="array" ref="E10102">IFS(D10102&lt;=$G$3,'calculated data '!$A$3,D10102&lt;=$G$4,'calculated data '!$A$4,D10102&lt;=$G$6,'calculated data '!$A$5,D10102&gt;=$G$6,'calculated data '!$A$6)</f>
        <v>High Demand Tier</v>
      </c>
      <c r="F10102" s="10">
        <f t="shared" si="1"/>
        <v>0.8372679451</v>
      </c>
    </row>
    <row r="10103" ht="14.25" customHeight="1">
      <c r="A10103" s="2" t="s">
        <v>485</v>
      </c>
      <c r="B10103" s="2" t="s">
        <v>486</v>
      </c>
      <c r="C10103" s="2">
        <v>2014.0</v>
      </c>
      <c r="D10103" s="9">
        <v>56691.8</v>
      </c>
      <c r="E10103" s="10" t="str">
        <f t="array" ref="E10103">IFS(D10103&lt;=$G$3,'calculated data '!$A$3,D10103&lt;=$G$4,'calculated data '!$A$4,D10103&lt;=$G$6,'calculated data '!$A$5,D10103&gt;=$G$6,'calculated data '!$A$6)</f>
        <v>High Demand Tier</v>
      </c>
      <c r="F10103" s="10">
        <f t="shared" si="1"/>
        <v>0.8374463512</v>
      </c>
    </row>
    <row r="10104" ht="14.25" customHeight="1">
      <c r="A10104" s="2" t="s">
        <v>475</v>
      </c>
      <c r="B10104" s="2" t="s">
        <v>476</v>
      </c>
      <c r="C10104" s="2">
        <v>1993.0</v>
      </c>
      <c r="D10104" s="9">
        <v>56729.242</v>
      </c>
      <c r="E10104" s="10" t="str">
        <f t="array" ref="E10104">IFS(D10104&lt;=$G$3,'calculated data '!$A$3,D10104&lt;=$G$4,'calculated data '!$A$4,D10104&lt;=$G$6,'calculated data '!$A$5,D10104&gt;=$G$6,'calculated data '!$A$6)</f>
        <v>High Demand Tier</v>
      </c>
      <c r="F10104" s="10">
        <f t="shared" si="1"/>
        <v>0.8384374317</v>
      </c>
    </row>
    <row r="10105" ht="14.25" customHeight="1">
      <c r="A10105" s="2" t="s">
        <v>461</v>
      </c>
      <c r="B10105" s="2" t="s">
        <v>462</v>
      </c>
      <c r="C10105" s="2">
        <v>2019.0</v>
      </c>
      <c r="D10105" s="9">
        <v>56731.285</v>
      </c>
      <c r="E10105" s="10" t="str">
        <f t="array" ref="E10105">IFS(D10105&lt;=$G$3,'calculated data '!$A$3,D10105&lt;=$G$4,'calculated data '!$A$4,D10105&lt;=$G$6,'calculated data '!$A$5,D10105&gt;=$G$6,'calculated data '!$A$6)</f>
        <v>High Demand Tier</v>
      </c>
      <c r="F10105" s="10">
        <f t="shared" si="1"/>
        <v>0.8384915094</v>
      </c>
    </row>
    <row r="10106" ht="14.25" customHeight="1">
      <c r="A10106" s="2" t="s">
        <v>397</v>
      </c>
      <c r="B10106" s="2" t="s">
        <v>398</v>
      </c>
      <c r="C10106" s="2">
        <v>1989.0</v>
      </c>
      <c r="D10106" s="9">
        <v>56756.355</v>
      </c>
      <c r="E10106" s="10" t="str">
        <f t="array" ref="E10106">IFS(D10106&lt;=$G$3,'calculated data '!$A$3,D10106&lt;=$G$4,'calculated data '!$A$4,D10106&lt;=$G$6,'calculated data '!$A$5,D10106&gt;=$G$6,'calculated data '!$A$6)</f>
        <v>High Demand Tier</v>
      </c>
      <c r="F10106" s="10">
        <f t="shared" si="1"/>
        <v>0.839155106</v>
      </c>
    </row>
    <row r="10107" ht="14.25" customHeight="1">
      <c r="A10107" s="2" t="s">
        <v>279</v>
      </c>
      <c r="B10107" s="2" t="s">
        <v>280</v>
      </c>
      <c r="C10107" s="2">
        <v>2016.0</v>
      </c>
      <c r="D10107" s="9">
        <v>56760.07</v>
      </c>
      <c r="E10107" s="10" t="str">
        <f t="array" ref="E10107">IFS(D10107&lt;=$G$3,'calculated data '!$A$3,D10107&lt;=$G$4,'calculated data '!$A$4,D10107&lt;=$G$6,'calculated data '!$A$5,D10107&gt;=$G$6,'calculated data '!$A$6)</f>
        <v>High Demand Tier</v>
      </c>
      <c r="F10107" s="10">
        <f t="shared" si="1"/>
        <v>0.8392534411</v>
      </c>
    </row>
    <row r="10108" ht="14.25" customHeight="1">
      <c r="A10108" s="2" t="s">
        <v>455</v>
      </c>
      <c r="B10108" s="2" t="s">
        <v>456</v>
      </c>
      <c r="C10108" s="2">
        <v>1986.0</v>
      </c>
      <c r="D10108" s="9">
        <v>56769.87</v>
      </c>
      <c r="E10108" s="10" t="str">
        <f t="array" ref="E10108">IFS(D10108&lt;=$G$3,'calculated data '!$A$3,D10108&lt;=$G$4,'calculated data '!$A$4,D10108&lt;=$G$6,'calculated data '!$A$5,D10108&gt;=$G$6,'calculated data '!$A$6)</f>
        <v>High Demand Tier</v>
      </c>
      <c r="F10108" s="10">
        <f t="shared" si="1"/>
        <v>0.8395128447</v>
      </c>
    </row>
    <row r="10109" ht="14.25" customHeight="1">
      <c r="A10109" s="2" t="s">
        <v>279</v>
      </c>
      <c r="B10109" s="2" t="s">
        <v>280</v>
      </c>
      <c r="C10109" s="2">
        <v>2018.0</v>
      </c>
      <c r="D10109" s="9">
        <v>56773.023</v>
      </c>
      <c r="E10109" s="10" t="str">
        <f t="array" ref="E10109">IFS(D10109&lt;=$G$3,'calculated data '!$A$3,D10109&lt;=$G$4,'calculated data '!$A$4,D10109&lt;=$G$6,'calculated data '!$A$5,D10109&gt;=$G$6,'calculated data '!$A$6)</f>
        <v>High Demand Tier</v>
      </c>
      <c r="F10109" s="10">
        <f t="shared" si="1"/>
        <v>0.8395963038</v>
      </c>
    </row>
    <row r="10110" ht="14.25" customHeight="1">
      <c r="A10110" s="2" t="s">
        <v>485</v>
      </c>
      <c r="B10110" s="2" t="s">
        <v>486</v>
      </c>
      <c r="C10110" s="2">
        <v>2013.0</v>
      </c>
      <c r="D10110" s="9">
        <v>56777.06</v>
      </c>
      <c r="E10110" s="10" t="str">
        <f t="array" ref="E10110">IFS(D10110&lt;=$G$3,'calculated data '!$A$3,D10110&lt;=$G$4,'calculated data '!$A$4,D10110&lt;=$G$6,'calculated data '!$A$5,D10110&gt;=$G$6,'calculated data '!$A$6)</f>
        <v>High Demand Tier</v>
      </c>
      <c r="F10110" s="10">
        <f t="shared" si="1"/>
        <v>0.8397031622</v>
      </c>
    </row>
    <row r="10111" ht="14.25" customHeight="1">
      <c r="A10111" s="2" t="s">
        <v>279</v>
      </c>
      <c r="B10111" s="2" t="s">
        <v>280</v>
      </c>
      <c r="C10111" s="2">
        <v>2015.0</v>
      </c>
      <c r="D10111" s="9">
        <v>56836.375</v>
      </c>
      <c r="E10111" s="10" t="str">
        <f t="array" ref="E10111">IFS(D10111&lt;=$G$3,'calculated data '!$A$3,D10111&lt;=$G$4,'calculated data '!$A$4,D10111&lt;=$G$6,'calculated data '!$A$5,D10111&gt;=$G$6,'calculated data '!$A$6)</f>
        <v>High Demand Tier</v>
      </c>
      <c r="F10111" s="10">
        <f t="shared" si="1"/>
        <v>0.8412732155</v>
      </c>
    </row>
    <row r="10112" ht="14.25" customHeight="1">
      <c r="A10112" s="2" t="s">
        <v>451</v>
      </c>
      <c r="B10112" s="2" t="s">
        <v>452</v>
      </c>
      <c r="C10112" s="2">
        <v>2001.0</v>
      </c>
      <c r="D10112" s="9">
        <v>56859.215</v>
      </c>
      <c r="E10112" s="10" t="str">
        <f t="array" ref="E10112">IFS(D10112&lt;=$G$3,'calculated data '!$A$3,D10112&lt;=$G$4,'calculated data '!$A$4,D10112&lt;=$G$6,'calculated data '!$A$5,D10112&gt;=$G$6,'calculated data '!$A$6)</f>
        <v>High Demand Tier</v>
      </c>
      <c r="F10112" s="10">
        <f t="shared" si="1"/>
        <v>0.8418777846</v>
      </c>
    </row>
    <row r="10113" ht="14.25" customHeight="1">
      <c r="A10113" s="2" t="s">
        <v>451</v>
      </c>
      <c r="B10113" s="2" t="s">
        <v>452</v>
      </c>
      <c r="C10113" s="2">
        <v>2010.0</v>
      </c>
      <c r="D10113" s="9">
        <v>56887.617</v>
      </c>
      <c r="E10113" s="10" t="str">
        <f t="array" ref="E10113">IFS(D10113&lt;=$G$3,'calculated data '!$A$3,D10113&lt;=$G$4,'calculated data '!$A$4,D10113&lt;=$G$6,'calculated data '!$A$5,D10113&gt;=$G$6,'calculated data '!$A$6)</f>
        <v>High Demand Tier</v>
      </c>
      <c r="F10113" s="10">
        <f t="shared" si="1"/>
        <v>0.8426295785</v>
      </c>
    </row>
    <row r="10114" ht="14.25" customHeight="1">
      <c r="A10114" s="2" t="s">
        <v>221</v>
      </c>
      <c r="B10114" s="2" t="s">
        <v>222</v>
      </c>
      <c r="C10114" s="2">
        <v>2006.0</v>
      </c>
      <c r="D10114" s="9">
        <v>56891.87</v>
      </c>
      <c r="E10114" s="10" t="str">
        <f t="array" ref="E10114">IFS(D10114&lt;=$G$3,'calculated data '!$A$3,D10114&lt;=$G$4,'calculated data '!$A$4,D10114&lt;=$G$6,'calculated data '!$A$5,D10114&gt;=$G$6,'calculated data '!$A$6)</f>
        <v>High Demand Tier</v>
      </c>
      <c r="F10114" s="10">
        <f t="shared" si="1"/>
        <v>0.8427421543</v>
      </c>
    </row>
    <row r="10115" ht="14.25" customHeight="1">
      <c r="A10115" s="2" t="s">
        <v>467</v>
      </c>
      <c r="B10115" s="2" t="s">
        <v>468</v>
      </c>
      <c r="C10115" s="2">
        <v>2025.0</v>
      </c>
      <c r="D10115" s="9">
        <v>56926.508</v>
      </c>
      <c r="E10115" s="10" t="str">
        <f t="array" ref="E10115">IFS(D10115&lt;=$G$3,'calculated data '!$A$3,D10115&lt;=$G$4,'calculated data '!$A$4,D10115&lt;=$G$6,'calculated data '!$A$5,D10115&gt;=$G$6,'calculated data '!$A$6)</f>
        <v>High Demand Tier</v>
      </c>
      <c r="F10115" s="10">
        <f t="shared" si="1"/>
        <v>0.8436590135</v>
      </c>
    </row>
    <row r="10116" ht="14.25" customHeight="1">
      <c r="A10116" s="2" t="s">
        <v>475</v>
      </c>
      <c r="B10116" s="2" t="s">
        <v>476</v>
      </c>
      <c r="C10116" s="2">
        <v>1992.0</v>
      </c>
      <c r="D10116" s="9">
        <v>56962.44</v>
      </c>
      <c r="E10116" s="10" t="str">
        <f t="array" ref="E10116">IFS(D10116&lt;=$G$3,'calculated data '!$A$3,D10116&lt;=$G$4,'calculated data '!$A$4,D10116&lt;=$G$6,'calculated data '!$A$5,D10116&gt;=$G$6,'calculated data '!$A$6)</f>
        <v>High Demand Tier</v>
      </c>
      <c r="F10116" s="10">
        <f t="shared" si="1"/>
        <v>0.8446101246</v>
      </c>
    </row>
    <row r="10117" ht="14.25" customHeight="1">
      <c r="A10117" s="2" t="s">
        <v>439</v>
      </c>
      <c r="B10117" s="2" t="s">
        <v>440</v>
      </c>
      <c r="C10117" s="2">
        <v>2016.0</v>
      </c>
      <c r="D10117" s="9">
        <v>56963.152</v>
      </c>
      <c r="E10117" s="10" t="str">
        <f t="array" ref="E10117">IFS(D10117&lt;=$G$3,'calculated data '!$A$3,D10117&lt;=$G$4,'calculated data '!$A$4,D10117&lt;=$G$6,'calculated data '!$A$5,D10117&gt;=$G$6,'calculated data '!$A$6)</f>
        <v>High Demand Tier</v>
      </c>
      <c r="F10117" s="10">
        <f t="shared" si="1"/>
        <v>0.8446289711</v>
      </c>
    </row>
    <row r="10118" ht="14.25" customHeight="1">
      <c r="A10118" s="2" t="s">
        <v>451</v>
      </c>
      <c r="B10118" s="2" t="s">
        <v>452</v>
      </c>
      <c r="C10118" s="2">
        <v>2000.0</v>
      </c>
      <c r="D10118" s="9">
        <v>56972.973</v>
      </c>
      <c r="E10118" s="10" t="str">
        <f t="array" ref="E10118">IFS(D10118&lt;=$G$3,'calculated data '!$A$3,D10118&lt;=$G$4,'calculated data '!$A$4,D10118&lt;=$G$6,'calculated data '!$A$5,D10118&gt;=$G$6,'calculated data '!$A$6)</f>
        <v>High Demand Tier</v>
      </c>
      <c r="F10118" s="10">
        <f t="shared" si="1"/>
        <v>0.8448889305</v>
      </c>
    </row>
    <row r="10119" ht="14.25" customHeight="1">
      <c r="A10119" s="2" t="s">
        <v>397</v>
      </c>
      <c r="B10119" s="2" t="s">
        <v>398</v>
      </c>
      <c r="C10119" s="2">
        <v>1987.0</v>
      </c>
      <c r="D10119" s="9">
        <v>56984.562</v>
      </c>
      <c r="E10119" s="10" t="str">
        <f t="array" ref="E10119">IFS(D10119&lt;=$G$3,'calculated data '!$A$3,D10119&lt;=$G$4,'calculated data '!$A$4,D10119&lt;=$G$6,'calculated data '!$A$5,D10119&gt;=$G$6,'calculated data '!$A$6)</f>
        <v>High Demand Tier</v>
      </c>
      <c r="F10119" s="10">
        <f t="shared" si="1"/>
        <v>0.8451956885</v>
      </c>
    </row>
    <row r="10120" ht="14.25" customHeight="1">
      <c r="A10120" s="2" t="s">
        <v>307</v>
      </c>
      <c r="B10120" s="2" t="s">
        <v>308</v>
      </c>
      <c r="C10120" s="2">
        <v>2003.0</v>
      </c>
      <c r="D10120" s="9">
        <v>56989.5</v>
      </c>
      <c r="E10120" s="10" t="str">
        <f t="array" ref="E10120">IFS(D10120&lt;=$G$3,'calculated data '!$A$3,D10120&lt;=$G$4,'calculated data '!$A$4,D10120&lt;=$G$6,'calculated data '!$A$5,D10120&gt;=$G$6,'calculated data '!$A$6)</f>
        <v>High Demand Tier</v>
      </c>
      <c r="F10120" s="10">
        <f t="shared" si="1"/>
        <v>0.8453263961</v>
      </c>
    </row>
    <row r="10121" ht="14.25" customHeight="1">
      <c r="A10121" s="2" t="s">
        <v>343</v>
      </c>
      <c r="B10121" s="2" t="s">
        <v>344</v>
      </c>
      <c r="C10121" s="2">
        <v>2008.0</v>
      </c>
      <c r="D10121" s="9">
        <v>57001.21</v>
      </c>
      <c r="E10121" s="10" t="str">
        <f t="array" ref="E10121">IFS(D10121&lt;=$G$3,'calculated data '!$A$3,D10121&lt;=$G$4,'calculated data '!$A$4,D10121&lt;=$G$6,'calculated data '!$A$5,D10121&gt;=$G$6,'calculated data '!$A$6)</f>
        <v>High Demand Tier</v>
      </c>
      <c r="F10121" s="10">
        <f t="shared" si="1"/>
        <v>0.8456363569</v>
      </c>
    </row>
    <row r="10122" ht="14.25" customHeight="1">
      <c r="A10122" s="2" t="s">
        <v>449</v>
      </c>
      <c r="B10122" s="2" t="s">
        <v>450</v>
      </c>
      <c r="C10122" s="2">
        <v>2013.0</v>
      </c>
      <c r="D10122" s="9">
        <v>57012.297</v>
      </c>
      <c r="E10122" s="10" t="str">
        <f t="array" ref="E10122">IFS(D10122&lt;=$G$3,'calculated data '!$A$3,D10122&lt;=$G$4,'calculated data '!$A$4,D10122&lt;=$G$6,'calculated data '!$A$5,D10122&gt;=$G$6,'calculated data '!$A$6)</f>
        <v>High Demand Tier</v>
      </c>
      <c r="F10122" s="10">
        <f t="shared" si="1"/>
        <v>0.845929827</v>
      </c>
    </row>
    <row r="10123" ht="14.25" customHeight="1">
      <c r="A10123" s="2" t="s">
        <v>307</v>
      </c>
      <c r="B10123" s="2" t="s">
        <v>308</v>
      </c>
      <c r="C10123" s="2">
        <v>2009.0</v>
      </c>
      <c r="D10123" s="9">
        <v>57065.062</v>
      </c>
      <c r="E10123" s="10" t="str">
        <f t="array" ref="E10123">IFS(D10123&lt;=$G$3,'calculated data '!$A$3,D10123&lt;=$G$4,'calculated data '!$A$4,D10123&lt;=$G$6,'calculated data '!$A$5,D10123&gt;=$G$6,'calculated data '!$A$6)</f>
        <v>High Demand Tier</v>
      </c>
      <c r="F10123" s="10">
        <f t="shared" si="1"/>
        <v>0.8473265034</v>
      </c>
    </row>
    <row r="10124" ht="14.25" customHeight="1">
      <c r="A10124" s="2" t="s">
        <v>485</v>
      </c>
      <c r="B10124" s="2" t="s">
        <v>486</v>
      </c>
      <c r="C10124" s="2">
        <v>1983.0</v>
      </c>
      <c r="D10124" s="9">
        <v>57078.645</v>
      </c>
      <c r="E10124" s="10" t="str">
        <f t="array" ref="E10124">IFS(D10124&lt;=$G$3,'calculated data '!$A$3,D10124&lt;=$G$4,'calculated data '!$A$4,D10124&lt;=$G$6,'calculated data '!$A$5,D10124&gt;=$G$6,'calculated data '!$A$6)</f>
        <v>High Demand Tier</v>
      </c>
      <c r="F10124" s="10">
        <f t="shared" si="1"/>
        <v>0.847686042</v>
      </c>
    </row>
    <row r="10125" ht="14.25" customHeight="1">
      <c r="A10125" s="2" t="s">
        <v>467</v>
      </c>
      <c r="B10125" s="2" t="s">
        <v>468</v>
      </c>
      <c r="C10125" s="2">
        <v>2023.0</v>
      </c>
      <c r="D10125" s="9">
        <v>57098.45</v>
      </c>
      <c r="E10125" s="10" t="str">
        <f t="array" ref="E10125">IFS(D10125&lt;=$G$3,'calculated data '!$A$3,D10125&lt;=$G$4,'calculated data '!$A$4,D10125&lt;=$G$6,'calculated data '!$A$5,D10125&gt;=$G$6,'calculated data '!$A$6)</f>
        <v>High Demand Tier</v>
      </c>
      <c r="F10125" s="10">
        <f t="shared" si="1"/>
        <v>0.8482102755</v>
      </c>
    </row>
    <row r="10126" ht="14.25" customHeight="1">
      <c r="A10126" s="2" t="s">
        <v>451</v>
      </c>
      <c r="B10126" s="2" t="s">
        <v>452</v>
      </c>
      <c r="C10126" s="2">
        <v>2002.0</v>
      </c>
      <c r="D10126" s="9">
        <v>57107.145</v>
      </c>
      <c r="E10126" s="10" t="str">
        <f t="array" ref="E10126">IFS(D10126&lt;=$G$3,'calculated data '!$A$3,D10126&lt;=$G$4,'calculated data '!$A$4,D10126&lt;=$G$6,'calculated data '!$A$5,D10126&gt;=$G$6,'calculated data '!$A$6)</f>
        <v>High Demand Tier</v>
      </c>
      <c r="F10126" s="10">
        <f t="shared" si="1"/>
        <v>0.8484404299</v>
      </c>
    </row>
    <row r="10127" ht="14.25" customHeight="1">
      <c r="A10127" s="2" t="s">
        <v>397</v>
      </c>
      <c r="B10127" s="2" t="s">
        <v>398</v>
      </c>
      <c r="C10127" s="2">
        <v>2016.0</v>
      </c>
      <c r="D10127" s="9">
        <v>57126.125</v>
      </c>
      <c r="E10127" s="10" t="str">
        <f t="array" ref="E10127">IFS(D10127&lt;=$G$3,'calculated data '!$A$3,D10127&lt;=$G$4,'calculated data '!$A$4,D10127&lt;=$G$6,'calculated data '!$A$5,D10127&gt;=$G$6,'calculated data '!$A$6)</f>
        <v>High Demand Tier</v>
      </c>
      <c r="F10127" s="10">
        <f t="shared" si="1"/>
        <v>0.8489428258</v>
      </c>
    </row>
    <row r="10128" ht="14.25" customHeight="1">
      <c r="A10128" s="2" t="s">
        <v>279</v>
      </c>
      <c r="B10128" s="2" t="s">
        <v>280</v>
      </c>
      <c r="C10128" s="2">
        <v>2014.0</v>
      </c>
      <c r="D10128" s="9">
        <v>57129.28</v>
      </c>
      <c r="E10128" s="10" t="str">
        <f t="array" ref="E10128">IFS(D10128&lt;=$G$3,'calculated data '!$A$3,D10128&lt;=$G$4,'calculated data '!$A$4,D10128&lt;=$G$6,'calculated data '!$A$5,D10128&gt;=$G$6,'calculated data '!$A$6)</f>
        <v>High Demand Tier</v>
      </c>
      <c r="F10128" s="10">
        <f t="shared" si="1"/>
        <v>0.8490263379</v>
      </c>
    </row>
    <row r="10129" ht="14.25" customHeight="1">
      <c r="A10129" s="2" t="s">
        <v>469</v>
      </c>
      <c r="B10129" s="2" t="s">
        <v>470</v>
      </c>
      <c r="C10129" s="2">
        <v>1974.0</v>
      </c>
      <c r="D10129" s="9">
        <v>57131.53</v>
      </c>
      <c r="E10129" s="10" t="str">
        <f t="array" ref="E10129">IFS(D10129&lt;=$G$3,'calculated data '!$A$3,D10129&lt;=$G$4,'calculated data '!$A$4,D10129&lt;=$G$6,'calculated data '!$A$5,D10129&gt;=$G$6,'calculated data '!$A$6)</f>
        <v>High Demand Tier</v>
      </c>
      <c r="F10129" s="10">
        <f t="shared" si="1"/>
        <v>0.8490858948</v>
      </c>
    </row>
    <row r="10130" ht="14.25" customHeight="1">
      <c r="A10130" s="2" t="s">
        <v>439</v>
      </c>
      <c r="B10130" s="2" t="s">
        <v>440</v>
      </c>
      <c r="C10130" s="2">
        <v>2017.0</v>
      </c>
      <c r="D10130" s="9">
        <v>57168.207</v>
      </c>
      <c r="E10130" s="10" t="str">
        <f t="array" ref="E10130">IFS(D10130&lt;=$G$3,'calculated data '!$A$3,D10130&lt;=$G$4,'calculated data '!$A$4,D10130&lt;=$G$6,'calculated data '!$A$5,D10130&gt;=$G$6,'calculated data '!$A$6)</f>
        <v>High Demand Tier</v>
      </c>
      <c r="F10130" s="10">
        <f t="shared" si="1"/>
        <v>0.8500567259</v>
      </c>
    </row>
    <row r="10131" ht="14.25" customHeight="1">
      <c r="A10131" s="2" t="s">
        <v>455</v>
      </c>
      <c r="B10131" s="2" t="s">
        <v>456</v>
      </c>
      <c r="C10131" s="2">
        <v>2019.0</v>
      </c>
      <c r="D10131" s="9">
        <v>57209.87</v>
      </c>
      <c r="E10131" s="10" t="str">
        <f t="array" ref="E10131">IFS(D10131&lt;=$G$3,'calculated data '!$A$3,D10131&lt;=$G$4,'calculated data '!$A$4,D10131&lt;=$G$6,'calculated data '!$A$5,D10131&gt;=$G$6,'calculated data '!$A$6)</f>
        <v>High Demand Tier</v>
      </c>
      <c r="F10131" s="10">
        <f t="shared" si="1"/>
        <v>0.8511595351</v>
      </c>
    </row>
    <row r="10132" ht="14.25" customHeight="1">
      <c r="A10132" s="2" t="s">
        <v>439</v>
      </c>
      <c r="B10132" s="2" t="s">
        <v>440</v>
      </c>
      <c r="C10132" s="2">
        <v>2014.0</v>
      </c>
      <c r="D10132" s="9">
        <v>57237.086</v>
      </c>
      <c r="E10132" s="10" t="str">
        <f t="array" ref="E10132">IFS(D10132&lt;=$G$3,'calculated data '!$A$3,D10132&lt;=$G$4,'calculated data '!$A$4,D10132&lt;=$G$6,'calculated data '!$A$5,D10132&gt;=$G$6,'calculated data '!$A$6)</f>
        <v>High Demand Tier</v>
      </c>
      <c r="F10132" s="10">
        <f t="shared" si="1"/>
        <v>0.8518799358</v>
      </c>
    </row>
    <row r="10133" ht="14.25" customHeight="1">
      <c r="A10133" s="2" t="s">
        <v>367</v>
      </c>
      <c r="B10133" s="2" t="s">
        <v>368</v>
      </c>
      <c r="C10133" s="2">
        <v>1991.0</v>
      </c>
      <c r="D10133" s="9">
        <v>57237.504</v>
      </c>
      <c r="E10133" s="10" t="str">
        <f t="array" ref="E10133">IFS(D10133&lt;=$G$3,'calculated data '!$A$3,D10133&lt;=$G$4,'calculated data '!$A$4,D10133&lt;=$G$6,'calculated data '!$A$5,D10133&gt;=$G$6,'calculated data '!$A$6)</f>
        <v>High Demand Tier</v>
      </c>
      <c r="F10133" s="10">
        <f t="shared" si="1"/>
        <v>0.8518910002</v>
      </c>
    </row>
    <row r="10134" ht="14.25" customHeight="1">
      <c r="A10134" s="2" t="s">
        <v>439</v>
      </c>
      <c r="B10134" s="2" t="s">
        <v>440</v>
      </c>
      <c r="C10134" s="2">
        <v>2015.0</v>
      </c>
      <c r="D10134" s="9">
        <v>57347.39</v>
      </c>
      <c r="E10134" s="10" t="str">
        <f t="array" ref="E10134">IFS(D10134&lt;=$G$3,'calculated data '!$A$3,D10134&lt;=$G$4,'calculated data '!$A$4,D10134&lt;=$G$6,'calculated data '!$A$5,D10134&gt;=$G$6,'calculated data '!$A$6)</f>
        <v>High Demand Tier</v>
      </c>
      <c r="F10134" s="10">
        <f t="shared" si="1"/>
        <v>0.8547996553</v>
      </c>
    </row>
    <row r="10135" ht="14.25" customHeight="1">
      <c r="A10135" s="2" t="s">
        <v>279</v>
      </c>
      <c r="B10135" s="2" t="s">
        <v>280</v>
      </c>
      <c r="C10135" s="2">
        <v>2021.0</v>
      </c>
      <c r="D10135" s="9">
        <v>57429.69</v>
      </c>
      <c r="E10135" s="10" t="str">
        <f t="array" ref="E10135">IFS(D10135&lt;=$G$3,'calculated data '!$A$3,D10135&lt;=$G$4,'calculated data '!$A$4,D10135&lt;=$G$6,'calculated data '!$A$5,D10135&gt;=$G$6,'calculated data '!$A$6)</f>
        <v>High Demand Tier</v>
      </c>
      <c r="F10135" s="10">
        <f t="shared" si="1"/>
        <v>0.8569781158</v>
      </c>
    </row>
    <row r="10136" ht="14.25" customHeight="1">
      <c r="A10136" s="2" t="s">
        <v>467</v>
      </c>
      <c r="B10136" s="2" t="s">
        <v>468</v>
      </c>
      <c r="C10136" s="2">
        <v>1988.0</v>
      </c>
      <c r="D10136" s="9">
        <v>57438.688</v>
      </c>
      <c r="E10136" s="10" t="str">
        <f t="array" ref="E10136">IFS(D10136&lt;=$G$3,'calculated data '!$A$3,D10136&lt;=$G$4,'calculated data '!$A$4,D10136&lt;=$G$6,'calculated data '!$A$5,D10136&gt;=$G$6,'calculated data '!$A$6)</f>
        <v>High Demand Tier</v>
      </c>
      <c r="F10136" s="10">
        <f t="shared" si="1"/>
        <v>0.8572162906</v>
      </c>
    </row>
    <row r="10137" ht="14.25" customHeight="1">
      <c r="A10137" s="2" t="s">
        <v>471</v>
      </c>
      <c r="B10137" s="2" t="s">
        <v>472</v>
      </c>
      <c r="C10137" s="2">
        <v>2013.0</v>
      </c>
      <c r="D10137" s="9">
        <v>57462.71</v>
      </c>
      <c r="E10137" s="10" t="str">
        <f t="array" ref="E10137">IFS(D10137&lt;=$G$3,'calculated data '!$A$3,D10137&lt;=$G$4,'calculated data '!$A$4,D10137&lt;=$G$6,'calculated data '!$A$5,D10137&gt;=$G$6,'calculated data '!$A$6)</f>
        <v>High Demand Tier</v>
      </c>
      <c r="F10137" s="10">
        <f t="shared" si="1"/>
        <v>0.8578521469</v>
      </c>
    </row>
    <row r="10138" ht="14.25" customHeight="1">
      <c r="A10138" s="2" t="s">
        <v>485</v>
      </c>
      <c r="B10138" s="2" t="s">
        <v>486</v>
      </c>
      <c r="C10138" s="2">
        <v>2009.0</v>
      </c>
      <c r="D10138" s="9">
        <v>57486.17</v>
      </c>
      <c r="E10138" s="10" t="str">
        <f t="array" ref="E10138">IFS(D10138&lt;=$G$3,'calculated data '!$A$3,D10138&lt;=$G$4,'calculated data '!$A$4,D10138&lt;=$G$6,'calculated data '!$A$5,D10138&gt;=$G$6,'calculated data '!$A$6)</f>
        <v>High Demand Tier</v>
      </c>
      <c r="F10138" s="10">
        <f t="shared" si="1"/>
        <v>0.8584731273</v>
      </c>
    </row>
    <row r="10139" ht="14.25" customHeight="1">
      <c r="A10139" s="2" t="s">
        <v>455</v>
      </c>
      <c r="B10139" s="2" t="s">
        <v>456</v>
      </c>
      <c r="C10139" s="2">
        <v>1991.0</v>
      </c>
      <c r="D10139" s="9">
        <v>57504.32</v>
      </c>
      <c r="E10139" s="10" t="str">
        <f t="array" ref="E10139">IFS(D10139&lt;=$G$3,'calculated data '!$A$3,D10139&lt;=$G$4,'calculated data '!$A$4,D10139&lt;=$G$6,'calculated data '!$A$5,D10139&gt;=$G$6,'calculated data '!$A$6)</f>
        <v>High Demand Tier</v>
      </c>
      <c r="F10139" s="10">
        <f t="shared" si="1"/>
        <v>0.8589535533</v>
      </c>
    </row>
    <row r="10140" ht="14.25" customHeight="1">
      <c r="A10140" s="2" t="s">
        <v>477</v>
      </c>
      <c r="B10140" s="2" t="s">
        <v>478</v>
      </c>
      <c r="C10140" s="2">
        <v>1986.0</v>
      </c>
      <c r="D10140" s="9">
        <v>57512.81</v>
      </c>
      <c r="E10140" s="10" t="str">
        <f t="array" ref="E10140">IFS(D10140&lt;=$G$3,'calculated data '!$A$3,D10140&lt;=$G$4,'calculated data '!$A$4,D10140&lt;=$G$6,'calculated data '!$A$5,D10140&gt;=$G$6,'calculated data '!$A$6)</f>
        <v>High Demand Tier</v>
      </c>
      <c r="F10140" s="10">
        <f t="shared" si="1"/>
        <v>0.8591782815</v>
      </c>
    </row>
    <row r="10141" ht="14.25" customHeight="1">
      <c r="A10141" s="2" t="s">
        <v>451</v>
      </c>
      <c r="B10141" s="2" t="s">
        <v>452</v>
      </c>
      <c r="C10141" s="2">
        <v>2003.0</v>
      </c>
      <c r="D10141" s="9">
        <v>57547.727</v>
      </c>
      <c r="E10141" s="10" t="str">
        <f t="array" ref="E10141">IFS(D10141&lt;=$G$3,'calculated data '!$A$3,D10141&lt;=$G$4,'calculated data '!$A$4,D10141&lt;=$G$6,'calculated data '!$A$5,D10141&gt;=$G$6,'calculated data '!$A$6)</f>
        <v>High Demand Tier</v>
      </c>
      <c r="F10141" s="10">
        <f t="shared" si="1"/>
        <v>0.8601025257</v>
      </c>
    </row>
    <row r="10142" ht="14.25" customHeight="1">
      <c r="A10142" s="2" t="s">
        <v>71</v>
      </c>
      <c r="B10142" s="2" t="s">
        <v>72</v>
      </c>
      <c r="C10142" s="2">
        <v>2003.0</v>
      </c>
      <c r="D10142" s="9">
        <v>57588.85</v>
      </c>
      <c r="E10142" s="10" t="str">
        <f t="array" ref="E10142">IFS(D10142&lt;=$G$3,'calculated data '!$A$3,D10142&lt;=$G$4,'calculated data '!$A$4,D10142&lt;=$G$6,'calculated data '!$A$5,D10142&gt;=$G$6,'calculated data '!$A$6)</f>
        <v>High Demand Tier</v>
      </c>
      <c r="F10142" s="10">
        <f t="shared" si="1"/>
        <v>0.8611910413</v>
      </c>
    </row>
    <row r="10143" ht="14.25" customHeight="1">
      <c r="A10143" s="2" t="s">
        <v>461</v>
      </c>
      <c r="B10143" s="2" t="s">
        <v>462</v>
      </c>
      <c r="C10143" s="2">
        <v>2018.0</v>
      </c>
      <c r="D10143" s="9">
        <v>57608.97</v>
      </c>
      <c r="E10143" s="10" t="str">
        <f t="array" ref="E10143">IFS(D10143&lt;=$G$3,'calculated data '!$A$3,D10143&lt;=$G$4,'calculated data '!$A$4,D10143&lt;=$G$6,'calculated data '!$A$5,D10143&gt;=$G$6,'calculated data '!$A$6)</f>
        <v>High Demand Tier</v>
      </c>
      <c r="F10143" s="10">
        <f t="shared" si="1"/>
        <v>0.8617236127</v>
      </c>
    </row>
    <row r="10144" ht="14.25" customHeight="1">
      <c r="A10144" s="2" t="s">
        <v>35</v>
      </c>
      <c r="B10144" s="2" t="s">
        <v>36</v>
      </c>
      <c r="C10144" s="2">
        <v>2013.0</v>
      </c>
      <c r="D10144" s="9">
        <v>57659.027</v>
      </c>
      <c r="E10144" s="10" t="str">
        <f t="array" ref="E10144">IFS(D10144&lt;=$G$3,'calculated data '!$A$3,D10144&lt;=$G$4,'calculated data '!$A$4,D10144&lt;=$G$6,'calculated data '!$A$5,D10144&gt;=$G$6,'calculated data '!$A$6)</f>
        <v>High Demand Tier</v>
      </c>
      <c r="F10144" s="10">
        <f t="shared" si="1"/>
        <v>0.863048609</v>
      </c>
    </row>
    <row r="10145" ht="14.25" customHeight="1">
      <c r="A10145" s="2" t="s">
        <v>467</v>
      </c>
      <c r="B10145" s="2" t="s">
        <v>468</v>
      </c>
      <c r="C10145" s="2">
        <v>2020.0</v>
      </c>
      <c r="D10145" s="9">
        <v>57710.99</v>
      </c>
      <c r="E10145" s="10" t="str">
        <f t="array" ref="E10145">IFS(D10145&lt;=$G$3,'calculated data '!$A$3,D10145&lt;=$G$4,'calculated data '!$A$4,D10145&lt;=$G$6,'calculated data '!$A$5,D10145&gt;=$G$6,'calculated data '!$A$6)</f>
        <v>High Demand Tier</v>
      </c>
      <c r="F10145" s="10">
        <f t="shared" si="1"/>
        <v>0.8644240567</v>
      </c>
    </row>
    <row r="10146" ht="14.25" customHeight="1">
      <c r="A10146" s="2" t="s">
        <v>467</v>
      </c>
      <c r="B10146" s="2" t="s">
        <v>468</v>
      </c>
      <c r="C10146" s="2">
        <v>2024.0</v>
      </c>
      <c r="D10146" s="9">
        <v>57727.06</v>
      </c>
      <c r="E10146" s="10" t="str">
        <f t="array" ref="E10146">IFS(D10146&lt;=$G$3,'calculated data '!$A$3,D10146&lt;=$G$4,'calculated data '!$A$4,D10146&lt;=$G$6,'calculated data '!$A$5,D10146&gt;=$G$6,'calculated data '!$A$6)</f>
        <v>High Demand Tier</v>
      </c>
      <c r="F10146" s="10">
        <f t="shared" si="1"/>
        <v>0.8648494256</v>
      </c>
    </row>
    <row r="10147" ht="14.25" customHeight="1">
      <c r="A10147" s="2" t="s">
        <v>469</v>
      </c>
      <c r="B10147" s="2" t="s">
        <v>470</v>
      </c>
      <c r="C10147" s="2">
        <v>1992.0</v>
      </c>
      <c r="D10147" s="9">
        <v>57751.582</v>
      </c>
      <c r="E10147" s="10" t="str">
        <f t="array" ref="E10147">IFS(D10147&lt;=$G$3,'calculated data '!$A$3,D10147&lt;=$G$4,'calculated data '!$A$4,D10147&lt;=$G$6,'calculated data '!$A$5,D10147&gt;=$G$6,'calculated data '!$A$6)</f>
        <v>High Demand Tier</v>
      </c>
      <c r="F10147" s="10">
        <f t="shared" si="1"/>
        <v>0.8654985168</v>
      </c>
    </row>
    <row r="10148" ht="14.25" customHeight="1">
      <c r="A10148" s="2" t="s">
        <v>477</v>
      </c>
      <c r="B10148" s="2" t="s">
        <v>478</v>
      </c>
      <c r="C10148" s="2">
        <v>1980.0</v>
      </c>
      <c r="D10148" s="9">
        <v>57757.312</v>
      </c>
      <c r="E10148" s="10" t="str">
        <f t="array" ref="E10148">IFS(D10148&lt;=$G$3,'calculated data '!$A$3,D10148&lt;=$G$4,'calculated data '!$A$4,D10148&lt;=$G$6,'calculated data '!$A$5,D10148&gt;=$G$6,'calculated data '!$A$6)</f>
        <v>High Demand Tier</v>
      </c>
      <c r="F10148" s="10">
        <f t="shared" si="1"/>
        <v>0.8656501885</v>
      </c>
    </row>
    <row r="10149" ht="14.25" customHeight="1">
      <c r="A10149" s="2" t="s">
        <v>485</v>
      </c>
      <c r="B10149" s="2" t="s">
        <v>486</v>
      </c>
      <c r="C10149" s="2">
        <v>2011.0</v>
      </c>
      <c r="D10149" s="9">
        <v>57767.18</v>
      </c>
      <c r="E10149" s="10" t="str">
        <f t="array" ref="E10149">IFS(D10149&lt;=$G$3,'calculated data '!$A$3,D10149&lt;=$G$4,'calculated data '!$A$4,D10149&lt;=$G$6,'calculated data '!$A$5,D10149&gt;=$G$6,'calculated data '!$A$6)</f>
        <v>High Demand Tier</v>
      </c>
      <c r="F10149" s="10">
        <f t="shared" si="1"/>
        <v>0.865911392</v>
      </c>
    </row>
    <row r="10150" ht="14.25" customHeight="1">
      <c r="A10150" s="2" t="s">
        <v>483</v>
      </c>
      <c r="B10150" s="2" t="s">
        <v>484</v>
      </c>
      <c r="C10150" s="2">
        <v>2022.0</v>
      </c>
      <c r="D10150" s="9">
        <v>57774.023</v>
      </c>
      <c r="E10150" s="10" t="str">
        <f t="array" ref="E10150">IFS(D10150&lt;=$G$3,'calculated data '!$A$3,D10150&lt;=$G$4,'calculated data '!$A$4,D10150&lt;=$G$6,'calculated data '!$A$5,D10150&gt;=$G$6,'calculated data '!$A$6)</f>
        <v>High Demand Tier</v>
      </c>
      <c r="F10150" s="10">
        <f t="shared" si="1"/>
        <v>0.8660925245</v>
      </c>
    </row>
    <row r="10151" ht="14.25" customHeight="1">
      <c r="A10151" s="2" t="s">
        <v>479</v>
      </c>
      <c r="B10151" s="2" t="s">
        <v>480</v>
      </c>
      <c r="C10151" s="2">
        <v>2022.0</v>
      </c>
      <c r="D10151" s="9">
        <v>57837.67</v>
      </c>
      <c r="E10151" s="10" t="str">
        <f t="array" ref="E10151">IFS(D10151&lt;=$G$3,'calculated data '!$A$3,D10151&lt;=$G$4,'calculated data '!$A$4,D10151&lt;=$G$6,'calculated data '!$A$5,D10151&gt;=$G$6,'calculated data '!$A$6)</f>
        <v>High Demand Tier</v>
      </c>
      <c r="F10151" s="10">
        <f t="shared" si="1"/>
        <v>0.8677772447</v>
      </c>
    </row>
    <row r="10152" ht="14.25" customHeight="1">
      <c r="A10152" s="2" t="s">
        <v>397</v>
      </c>
      <c r="B10152" s="2" t="s">
        <v>398</v>
      </c>
      <c r="C10152" s="2">
        <v>2014.0</v>
      </c>
      <c r="D10152" s="9">
        <v>57865.88</v>
      </c>
      <c r="E10152" s="10" t="str">
        <f t="array" ref="E10152">IFS(D10152&lt;=$G$3,'calculated data '!$A$3,D10152&lt;=$G$4,'calculated data '!$A$4,D10152&lt;=$G$6,'calculated data '!$A$5,D10152&gt;=$G$6,'calculated data '!$A$6)</f>
        <v>High Demand Tier</v>
      </c>
      <c r="F10152" s="10">
        <f t="shared" si="1"/>
        <v>0.8685239564</v>
      </c>
    </row>
    <row r="10153" ht="14.25" customHeight="1">
      <c r="A10153" s="2" t="s">
        <v>471</v>
      </c>
      <c r="B10153" s="2" t="s">
        <v>472</v>
      </c>
      <c r="C10153" s="2">
        <v>2018.0</v>
      </c>
      <c r="D10153" s="9">
        <v>57873.336</v>
      </c>
      <c r="E10153" s="10" t="str">
        <f t="array" ref="E10153">IFS(D10153&lt;=$G$3,'calculated data '!$A$3,D10153&lt;=$G$4,'calculated data '!$A$4,D10153&lt;=$G$6,'calculated data '!$A$5,D10153&gt;=$G$6,'calculated data '!$A$6)</f>
        <v>High Demand Tier</v>
      </c>
      <c r="F10153" s="10">
        <f t="shared" si="1"/>
        <v>0.8687213149</v>
      </c>
    </row>
    <row r="10154" ht="14.25" customHeight="1">
      <c r="A10154" s="2" t="s">
        <v>405</v>
      </c>
      <c r="B10154" s="2" t="s">
        <v>406</v>
      </c>
      <c r="C10154" s="2">
        <v>1990.0</v>
      </c>
      <c r="D10154" s="9">
        <v>57912.156</v>
      </c>
      <c r="E10154" s="10" t="str">
        <f t="array" ref="E10154">IFS(D10154&lt;=$G$3,'calculated data '!$A$3,D10154&lt;=$G$4,'calculated data '!$A$4,D10154&lt;=$G$6,'calculated data '!$A$5,D10154&gt;=$G$6,'calculated data '!$A$6)</f>
        <v>High Demand Tier</v>
      </c>
      <c r="F10154" s="10">
        <f t="shared" si="1"/>
        <v>0.8697488706</v>
      </c>
    </row>
    <row r="10155" ht="14.25" customHeight="1">
      <c r="A10155" s="2" t="s">
        <v>477</v>
      </c>
      <c r="B10155" s="2" t="s">
        <v>478</v>
      </c>
      <c r="C10155" s="2">
        <v>2015.0</v>
      </c>
      <c r="D10155" s="9">
        <v>57952.086</v>
      </c>
      <c r="E10155" s="10" t="str">
        <f t="array" ref="E10155">IFS(D10155&lt;=$G$3,'calculated data '!$A$3,D10155&lt;=$G$4,'calculated data '!$A$4,D10155&lt;=$G$6,'calculated data '!$A$5,D10155&gt;=$G$6,'calculated data '!$A$6)</f>
        <v>High Demand Tier</v>
      </c>
      <c r="F10155" s="10">
        <f t="shared" si="1"/>
        <v>0.8708058078</v>
      </c>
    </row>
    <row r="10156" ht="14.25" customHeight="1">
      <c r="A10156" s="2" t="s">
        <v>149</v>
      </c>
      <c r="B10156" s="2" t="s">
        <v>150</v>
      </c>
      <c r="C10156" s="2">
        <v>1994.0</v>
      </c>
      <c r="D10156" s="9">
        <v>57982.61</v>
      </c>
      <c r="E10156" s="10" t="str">
        <f t="array" ref="E10156">IFS(D10156&lt;=$G$3,'calculated data '!$A$3,D10156&lt;=$G$4,'calculated data '!$A$4,D10156&lt;=$G$6,'calculated data '!$A$5,D10156&gt;=$G$6,'calculated data '!$A$6)</f>
        <v>High Demand Tier</v>
      </c>
      <c r="F10156" s="10">
        <f t="shared" si="1"/>
        <v>0.8716137704</v>
      </c>
    </row>
    <row r="10157" ht="14.25" customHeight="1">
      <c r="A10157" s="2" t="s">
        <v>451</v>
      </c>
      <c r="B10157" s="2" t="s">
        <v>452</v>
      </c>
      <c r="C10157" s="2">
        <v>2008.0</v>
      </c>
      <c r="D10157" s="9">
        <v>57983.94</v>
      </c>
      <c r="E10157" s="10" t="str">
        <f t="array" ref="E10157">IFS(D10157&lt;=$G$3,'calculated data '!$A$3,D10157&lt;=$G$4,'calculated data '!$A$4,D10157&lt;=$G$6,'calculated data '!$A$5,D10157&gt;=$G$6,'calculated data '!$A$6)</f>
        <v>High Demand Tier</v>
      </c>
      <c r="F10157" s="10">
        <f t="shared" si="1"/>
        <v>0.8716489752</v>
      </c>
    </row>
    <row r="10158" ht="14.25" customHeight="1">
      <c r="A10158" s="2" t="s">
        <v>477</v>
      </c>
      <c r="B10158" s="2" t="s">
        <v>478</v>
      </c>
      <c r="C10158" s="2">
        <v>1972.0</v>
      </c>
      <c r="D10158" s="9">
        <v>58008.383</v>
      </c>
      <c r="E10158" s="10" t="str">
        <f t="array" ref="E10158">IFS(D10158&lt;=$G$3,'calculated data '!$A$3,D10158&lt;=$G$4,'calculated data '!$A$4,D10158&lt;=$G$6,'calculated data '!$A$5,D10158&gt;=$G$6,'calculated data '!$A$6)</f>
        <v>High Demand Tier</v>
      </c>
      <c r="F10158" s="10">
        <f t="shared" si="1"/>
        <v>0.8722959753</v>
      </c>
    </row>
    <row r="10159" ht="14.25" customHeight="1">
      <c r="A10159" s="2" t="s">
        <v>461</v>
      </c>
      <c r="B10159" s="2" t="s">
        <v>462</v>
      </c>
      <c r="C10159" s="2">
        <v>1981.0</v>
      </c>
      <c r="D10159" s="9">
        <v>58027.59</v>
      </c>
      <c r="E10159" s="10" t="str">
        <f t="array" ref="E10159">IFS(D10159&lt;=$G$3,'calculated data '!$A$3,D10159&lt;=$G$4,'calculated data '!$A$4,D10159&lt;=$G$6,'calculated data '!$A$5,D10159&gt;=$G$6,'calculated data '!$A$6)</f>
        <v>High Demand Tier</v>
      </c>
      <c r="F10159" s="10">
        <f t="shared" si="1"/>
        <v>0.8728043798</v>
      </c>
    </row>
    <row r="10160" ht="14.25" customHeight="1">
      <c r="A10160" s="2" t="s">
        <v>479</v>
      </c>
      <c r="B10160" s="2" t="s">
        <v>480</v>
      </c>
      <c r="C10160" s="2">
        <v>1993.0</v>
      </c>
      <c r="D10160" s="9">
        <v>58063.234</v>
      </c>
      <c r="E10160" s="10" t="str">
        <f t="array" ref="E10160">IFS(D10160&lt;=$G$3,'calculated data '!$A$3,D10160&lt;=$G$4,'calculated data '!$A$4,D10160&lt;=$G$6,'calculated data '!$A$5,D10160&gt;=$G$6,'calculated data '!$A$6)</f>
        <v>High Demand Tier</v>
      </c>
      <c r="F10160" s="10">
        <f t="shared" si="1"/>
        <v>0.8737478676</v>
      </c>
    </row>
    <row r="10161" ht="14.25" customHeight="1">
      <c r="A10161" s="2" t="s">
        <v>149</v>
      </c>
      <c r="B10161" s="2" t="s">
        <v>150</v>
      </c>
      <c r="C10161" s="2">
        <v>1990.0</v>
      </c>
      <c r="D10161" s="9">
        <v>58111.695</v>
      </c>
      <c r="E10161" s="10" t="str">
        <f t="array" ref="E10161">IFS(D10161&lt;=$G$3,'calculated data '!$A$3,D10161&lt;=$G$4,'calculated data '!$A$4,D10161&lt;=$G$6,'calculated data '!$A$5,D10161&gt;=$G$6,'calculated data '!$A$6)</f>
        <v>High Demand Tier</v>
      </c>
      <c r="F10161" s="10">
        <f t="shared" si="1"/>
        <v>0.8750306182</v>
      </c>
    </row>
    <row r="10162" ht="14.25" customHeight="1">
      <c r="A10162" s="2" t="s">
        <v>477</v>
      </c>
      <c r="B10162" s="2" t="s">
        <v>478</v>
      </c>
      <c r="C10162" s="2">
        <v>2014.0</v>
      </c>
      <c r="D10162" s="9">
        <v>58129.49</v>
      </c>
      <c r="E10162" s="10" t="str">
        <f t="array" ref="E10162">IFS(D10162&lt;=$G$3,'calculated data '!$A$3,D10162&lt;=$G$4,'calculated data '!$A$4,D10162&lt;=$G$6,'calculated data '!$A$5,D10162&gt;=$G$6,'calculated data '!$A$6)</f>
        <v>High Demand Tier</v>
      </c>
      <c r="F10162" s="10">
        <f t="shared" si="1"/>
        <v>0.8755016475</v>
      </c>
    </row>
    <row r="10163" ht="14.25" customHeight="1">
      <c r="A10163" s="2" t="s">
        <v>467</v>
      </c>
      <c r="B10163" s="2" t="s">
        <v>468</v>
      </c>
      <c r="C10163" s="2">
        <v>2022.0</v>
      </c>
      <c r="D10163" s="9">
        <v>58190.547</v>
      </c>
      <c r="E10163" s="10" t="str">
        <f t="array" ref="E10163">IFS(D10163&lt;=$G$3,'calculated data '!$A$3,D10163&lt;=$G$4,'calculated data '!$A$4,D10163&lt;=$G$6,'calculated data '!$A$5,D10163&gt;=$G$6,'calculated data '!$A$6)</f>
        <v>High Demand Tier</v>
      </c>
      <c r="F10163" s="10">
        <f t="shared" si="1"/>
        <v>0.877117811</v>
      </c>
    </row>
    <row r="10164" ht="14.25" customHeight="1">
      <c r="A10164" s="2" t="s">
        <v>475</v>
      </c>
      <c r="B10164" s="2" t="s">
        <v>476</v>
      </c>
      <c r="C10164" s="2">
        <v>1983.0</v>
      </c>
      <c r="D10164" s="9">
        <v>58191.004</v>
      </c>
      <c r="E10164" s="10" t="str">
        <f t="array" ref="E10164">IFS(D10164&lt;=$G$3,'calculated data '!$A$3,D10164&lt;=$G$4,'calculated data '!$A$4,D10164&lt;=$G$6,'calculated data '!$A$5,D10164&gt;=$G$6,'calculated data '!$A$6)</f>
        <v>High Demand Tier</v>
      </c>
      <c r="F10164" s="10">
        <f t="shared" si="1"/>
        <v>0.8771299077</v>
      </c>
    </row>
    <row r="10165" ht="14.25" customHeight="1">
      <c r="A10165" s="2" t="s">
        <v>221</v>
      </c>
      <c r="B10165" s="2" t="s">
        <v>222</v>
      </c>
      <c r="C10165" s="2">
        <v>2007.0</v>
      </c>
      <c r="D10165" s="9">
        <v>58211.574</v>
      </c>
      <c r="E10165" s="10" t="str">
        <f t="array" ref="E10165">IFS(D10165&lt;=$G$3,'calculated data '!$A$3,D10165&lt;=$G$4,'calculated data '!$A$4,D10165&lt;=$G$6,'calculated data '!$A$5,D10165&gt;=$G$6,'calculated data '!$A$6)</f>
        <v>High Demand Tier</v>
      </c>
      <c r="F10165" s="10">
        <f t="shared" si="1"/>
        <v>0.8776743905</v>
      </c>
    </row>
    <row r="10166" ht="14.25" customHeight="1">
      <c r="A10166" s="2" t="s">
        <v>485</v>
      </c>
      <c r="B10166" s="2" t="s">
        <v>486</v>
      </c>
      <c r="C10166" s="2">
        <v>1982.0</v>
      </c>
      <c r="D10166" s="9">
        <v>58242.426</v>
      </c>
      <c r="E10166" s="10" t="str">
        <f t="array" ref="E10166">IFS(D10166&lt;=$G$3,'calculated data '!$A$3,D10166&lt;=$G$4,'calculated data '!$A$4,D10166&lt;=$G$6,'calculated data '!$A$5,D10166&gt;=$G$6,'calculated data '!$A$6)</f>
        <v>High Demand Tier</v>
      </c>
      <c r="F10166" s="10">
        <f t="shared" si="1"/>
        <v>0.8784910353</v>
      </c>
    </row>
    <row r="10167" ht="14.25" customHeight="1">
      <c r="A10167" s="2" t="s">
        <v>457</v>
      </c>
      <c r="B10167" s="2" t="s">
        <v>458</v>
      </c>
      <c r="C10167" s="2">
        <v>1988.0</v>
      </c>
      <c r="D10167" s="9">
        <v>58290.137</v>
      </c>
      <c r="E10167" s="10" t="str">
        <f t="array" ref="E10167">IFS(D10167&lt;=$G$3,'calculated data '!$A$3,D10167&lt;=$G$4,'calculated data '!$A$4,D10167&lt;=$G$6,'calculated data '!$A$5,D10167&gt;=$G$6,'calculated data '!$A$6)</f>
        <v>High Demand Tier</v>
      </c>
      <c r="F10167" s="10">
        <f t="shared" si="1"/>
        <v>0.8797539335</v>
      </c>
    </row>
    <row r="10168" ht="14.25" customHeight="1">
      <c r="A10168" s="2" t="s">
        <v>455</v>
      </c>
      <c r="B10168" s="2" t="s">
        <v>456</v>
      </c>
      <c r="C10168" s="2">
        <v>2020.0</v>
      </c>
      <c r="D10168" s="9">
        <v>58326.98</v>
      </c>
      <c r="E10168" s="10" t="str">
        <f t="array" ref="E10168">IFS(D10168&lt;=$G$3,'calculated data '!$A$3,D10168&lt;=$G$4,'calculated data '!$A$4,D10168&lt;=$G$6,'calculated data '!$A$5,D10168&gt;=$G$6,'calculated data '!$A$6)</f>
        <v>High Demand Tier</v>
      </c>
      <c r="F10168" s="10">
        <f t="shared" si="1"/>
        <v>0.8807291586</v>
      </c>
    </row>
    <row r="10169" ht="14.25" customHeight="1">
      <c r="A10169" s="2" t="s">
        <v>455</v>
      </c>
      <c r="B10169" s="2" t="s">
        <v>456</v>
      </c>
      <c r="C10169" s="2">
        <v>1987.0</v>
      </c>
      <c r="D10169" s="9">
        <v>58336.203</v>
      </c>
      <c r="E10169" s="10" t="str">
        <f t="array" ref="E10169">IFS(D10169&lt;=$G$3,'calculated data '!$A$3,D10169&lt;=$G$4,'calculated data '!$A$4,D10169&lt;=$G$6,'calculated data '!$A$5,D10169&gt;=$G$6,'calculated data '!$A$6)</f>
        <v>High Demand Tier</v>
      </c>
      <c r="F10169" s="10">
        <f t="shared" si="1"/>
        <v>0.8809732891</v>
      </c>
    </row>
    <row r="10170" ht="14.25" customHeight="1">
      <c r="A10170" s="2" t="s">
        <v>475</v>
      </c>
      <c r="B10170" s="2" t="s">
        <v>476</v>
      </c>
      <c r="C10170" s="2">
        <v>2008.0</v>
      </c>
      <c r="D10170" s="9">
        <v>58365.05</v>
      </c>
      <c r="E10170" s="10" t="str">
        <f t="array" ref="E10170">IFS(D10170&lt;=$G$3,'calculated data '!$A$3,D10170&lt;=$G$4,'calculated data '!$A$4,D10170&lt;=$G$6,'calculated data '!$A$5,D10170&gt;=$G$6,'calculated data '!$A$6)</f>
        <v>High Demand Tier</v>
      </c>
      <c r="F10170" s="10">
        <f t="shared" si="1"/>
        <v>0.881736862</v>
      </c>
    </row>
    <row r="10171" ht="14.25" customHeight="1">
      <c r="A10171" s="2" t="s">
        <v>427</v>
      </c>
      <c r="B10171" s="2" t="s">
        <v>428</v>
      </c>
      <c r="C10171" s="2">
        <v>2023.0</v>
      </c>
      <c r="D10171" s="9">
        <v>58384.38</v>
      </c>
      <c r="E10171" s="10" t="str">
        <f t="array" ref="E10171">IFS(D10171&lt;=$G$3,'calculated data '!$A$3,D10171&lt;=$G$4,'calculated data '!$A$4,D10171&lt;=$G$6,'calculated data '!$A$5,D10171&gt;=$G$6,'calculated data '!$A$6)</f>
        <v>High Demand Tier</v>
      </c>
      <c r="F10171" s="10">
        <f t="shared" si="1"/>
        <v>0.8822485223</v>
      </c>
    </row>
    <row r="10172" ht="14.25" customHeight="1">
      <c r="A10172" s="2" t="s">
        <v>467</v>
      </c>
      <c r="B10172" s="2" t="s">
        <v>468</v>
      </c>
      <c r="C10172" s="2">
        <v>1991.0</v>
      </c>
      <c r="D10172" s="9">
        <v>58385.74</v>
      </c>
      <c r="E10172" s="10" t="str">
        <f t="array" ref="E10172">IFS(D10172&lt;=$G$3,'calculated data '!$A$3,D10172&lt;=$G$4,'calculated data '!$A$4,D10172&lt;=$G$6,'calculated data '!$A$5,D10172&gt;=$G$6,'calculated data '!$A$6)</f>
        <v>High Demand Tier</v>
      </c>
      <c r="F10172" s="10">
        <f t="shared" si="1"/>
        <v>0.8822845211</v>
      </c>
    </row>
    <row r="10173" ht="14.25" customHeight="1">
      <c r="A10173" s="2" t="s">
        <v>473</v>
      </c>
      <c r="B10173" s="2" t="s">
        <v>474</v>
      </c>
      <c r="C10173" s="2">
        <v>1975.0</v>
      </c>
      <c r="D10173" s="9">
        <v>58395.184</v>
      </c>
      <c r="E10173" s="10" t="str">
        <f t="array" ref="E10173">IFS(D10173&lt;=$G$3,'calculated data '!$A$3,D10173&lt;=$G$4,'calculated data '!$A$4,D10173&lt;=$G$6,'calculated data '!$A$5,D10173&gt;=$G$6,'calculated data '!$A$6)</f>
        <v>High Demand Tier</v>
      </c>
      <c r="F10173" s="10">
        <f t="shared" si="1"/>
        <v>0.8825345015</v>
      </c>
    </row>
    <row r="10174" ht="14.25" customHeight="1">
      <c r="A10174" s="2" t="s">
        <v>451</v>
      </c>
      <c r="B10174" s="2" t="s">
        <v>452</v>
      </c>
      <c r="C10174" s="2">
        <v>2004.0</v>
      </c>
      <c r="D10174" s="9">
        <v>58432.094</v>
      </c>
      <c r="E10174" s="10" t="str">
        <f t="array" ref="E10174">IFS(D10174&lt;=$G$3,'calculated data '!$A$3,D10174&lt;=$G$4,'calculated data '!$A$4,D10174&lt;=$G$6,'calculated data '!$A$5,D10174&gt;=$G$6,'calculated data '!$A$6)</f>
        <v>High Demand Tier</v>
      </c>
      <c r="F10174" s="10">
        <f t="shared" si="1"/>
        <v>0.8835115</v>
      </c>
    </row>
    <row r="10175" ht="14.25" customHeight="1">
      <c r="A10175" s="2" t="s">
        <v>485</v>
      </c>
      <c r="B10175" s="2" t="s">
        <v>486</v>
      </c>
      <c r="C10175" s="2">
        <v>1968.0</v>
      </c>
      <c r="D10175" s="9">
        <v>58521.25</v>
      </c>
      <c r="E10175" s="10" t="str">
        <f t="array" ref="E10175">IFS(D10175&lt;=$G$3,'calculated data '!$A$3,D10175&lt;=$G$4,'calculated data '!$A$4,D10175&lt;=$G$6,'calculated data '!$A$5,D10175&gt;=$G$6,'calculated data '!$A$6)</f>
        <v>High Demand Tier</v>
      </c>
      <c r="F10175" s="10">
        <f t="shared" si="1"/>
        <v>0.8858714371</v>
      </c>
    </row>
    <row r="10176" ht="14.25" customHeight="1">
      <c r="A10176" s="2" t="s">
        <v>307</v>
      </c>
      <c r="B10176" s="2" t="s">
        <v>308</v>
      </c>
      <c r="C10176" s="2">
        <v>2008.0</v>
      </c>
      <c r="D10176" s="9">
        <v>58527.773</v>
      </c>
      <c r="E10176" s="10" t="str">
        <f t="array" ref="E10176">IFS(D10176&lt;=$G$3,'calculated data '!$A$3,D10176&lt;=$G$4,'calculated data '!$A$4,D10176&lt;=$G$6,'calculated data '!$A$5,D10176&gt;=$G$6,'calculated data '!$A$6)</f>
        <v>High Demand Tier</v>
      </c>
      <c r="F10176" s="10">
        <f t="shared" si="1"/>
        <v>0.8860440993</v>
      </c>
    </row>
    <row r="10177" ht="14.25" customHeight="1">
      <c r="A10177" s="2" t="s">
        <v>451</v>
      </c>
      <c r="B10177" s="2" t="s">
        <v>452</v>
      </c>
      <c r="C10177" s="2">
        <v>2005.0</v>
      </c>
      <c r="D10177" s="9">
        <v>58533.633</v>
      </c>
      <c r="E10177" s="10" t="str">
        <f t="array" ref="E10177">IFS(D10177&lt;=$G$3,'calculated data '!$A$3,D10177&lt;=$G$4,'calculated data '!$A$4,D10177&lt;=$G$6,'calculated data '!$A$5,D10177&gt;=$G$6,'calculated data '!$A$6)</f>
        <v>High Demand Tier</v>
      </c>
      <c r="F10177" s="10">
        <f t="shared" si="1"/>
        <v>0.886199212</v>
      </c>
    </row>
    <row r="10178" ht="14.25" customHeight="1">
      <c r="A10178" s="2" t="s">
        <v>471</v>
      </c>
      <c r="B10178" s="2" t="s">
        <v>472</v>
      </c>
      <c r="C10178" s="2">
        <v>2017.0</v>
      </c>
      <c r="D10178" s="9">
        <v>58549.34</v>
      </c>
      <c r="E10178" s="10" t="str">
        <f t="array" ref="E10178">IFS(D10178&lt;=$G$3,'calculated data '!$A$3,D10178&lt;=$G$4,'calculated data '!$A$4,D10178&lt;=$G$6,'calculated data '!$A$5,D10178&gt;=$G$6,'calculated data '!$A$6)</f>
        <v>High Demand Tier</v>
      </c>
      <c r="F10178" s="10">
        <f t="shared" si="1"/>
        <v>0.8866149724</v>
      </c>
    </row>
    <row r="10179" ht="14.25" customHeight="1">
      <c r="A10179" s="2" t="s">
        <v>467</v>
      </c>
      <c r="B10179" s="2" t="s">
        <v>468</v>
      </c>
      <c r="C10179" s="2">
        <v>1992.0</v>
      </c>
      <c r="D10179" s="9">
        <v>58640.03</v>
      </c>
      <c r="E10179" s="10" t="str">
        <f t="array" ref="E10179">IFS(D10179&lt;=$G$3,'calculated data '!$A$3,D10179&lt;=$G$4,'calculated data '!$A$4,D10179&lt;=$G$6,'calculated data '!$A$5,D10179&gt;=$G$6,'calculated data '!$A$6)</f>
        <v>High Demand Tier</v>
      </c>
      <c r="F10179" s="10">
        <f t="shared" si="1"/>
        <v>0.8890155141</v>
      </c>
    </row>
    <row r="10180" ht="14.25" customHeight="1">
      <c r="A10180" s="2" t="s">
        <v>477</v>
      </c>
      <c r="B10180" s="2" t="s">
        <v>478</v>
      </c>
      <c r="C10180" s="2">
        <v>1973.0</v>
      </c>
      <c r="D10180" s="9">
        <v>58652.53</v>
      </c>
      <c r="E10180" s="10" t="str">
        <f t="array" ref="E10180">IFS(D10180&lt;=$G$3,'calculated data '!$A$3,D10180&lt;=$G$4,'calculated data '!$A$4,D10180&lt;=$G$6,'calculated data '!$A$5,D10180&gt;=$G$6,'calculated data '!$A$6)</f>
        <v>High Demand Tier</v>
      </c>
      <c r="F10180" s="10">
        <f t="shared" si="1"/>
        <v>0.889346386</v>
      </c>
    </row>
    <row r="10181" ht="14.25" customHeight="1">
      <c r="A10181" s="2" t="s">
        <v>453</v>
      </c>
      <c r="B10181" s="2" t="s">
        <v>454</v>
      </c>
      <c r="C10181" s="2">
        <v>2007.0</v>
      </c>
      <c r="D10181" s="9">
        <v>58670.76</v>
      </c>
      <c r="E10181" s="10" t="str">
        <f t="array" ref="E10181">IFS(D10181&lt;=$G$3,'calculated data '!$A$3,D10181&lt;=$G$4,'calculated data '!$A$4,D10181&lt;=$G$6,'calculated data '!$A$5,D10181&gt;=$G$6,'calculated data '!$A$6)</f>
        <v>High Demand Tier</v>
      </c>
      <c r="F10181" s="10">
        <f t="shared" si="1"/>
        <v>0.8898289295</v>
      </c>
    </row>
    <row r="10182" ht="14.25" customHeight="1">
      <c r="A10182" s="2" t="s">
        <v>451</v>
      </c>
      <c r="B10182" s="2" t="s">
        <v>452</v>
      </c>
      <c r="C10182" s="2">
        <v>2006.0</v>
      </c>
      <c r="D10182" s="9">
        <v>58674.656</v>
      </c>
      <c r="E10182" s="10" t="str">
        <f t="array" ref="E10182">IFS(D10182&lt;=$G$3,'calculated data '!$A$3,D10182&lt;=$G$4,'calculated data '!$A$4,D10182&lt;=$G$6,'calculated data '!$A$5,D10182&gt;=$G$6,'calculated data '!$A$6)</f>
        <v>High Demand Tier</v>
      </c>
      <c r="F10182" s="10">
        <f t="shared" si="1"/>
        <v>0.8899320557</v>
      </c>
    </row>
    <row r="10183" ht="14.25" customHeight="1">
      <c r="A10183" s="2" t="s">
        <v>455</v>
      </c>
      <c r="B10183" s="2" t="s">
        <v>456</v>
      </c>
      <c r="C10183" s="2">
        <v>1988.0</v>
      </c>
      <c r="D10183" s="9">
        <v>58691.63</v>
      </c>
      <c r="E10183" s="10" t="str">
        <f t="array" ref="E10183">IFS(D10183&lt;=$G$3,'calculated data '!$A$3,D10183&lt;=$G$4,'calculated data '!$A$4,D10183&lt;=$G$6,'calculated data '!$A$5,D10183&gt;=$G$6,'calculated data '!$A$6)</f>
        <v>High Demand Tier</v>
      </c>
      <c r="F10183" s="10">
        <f t="shared" si="1"/>
        <v>0.8903813533</v>
      </c>
    </row>
    <row r="10184" ht="14.25" customHeight="1">
      <c r="A10184" s="2" t="s">
        <v>485</v>
      </c>
      <c r="B10184" s="2" t="s">
        <v>486</v>
      </c>
      <c r="C10184" s="2">
        <v>1986.0</v>
      </c>
      <c r="D10184" s="9">
        <v>58699.973</v>
      </c>
      <c r="E10184" s="10" t="str">
        <f t="array" ref="E10184">IFS(D10184&lt;=$G$3,'calculated data '!$A$3,D10184&lt;=$G$4,'calculated data '!$A$4,D10184&lt;=$G$6,'calculated data '!$A$5,D10184&gt;=$G$6,'calculated data '!$A$6)</f>
        <v>High Demand Tier</v>
      </c>
      <c r="F10184" s="10">
        <f t="shared" si="1"/>
        <v>0.8906021904</v>
      </c>
    </row>
    <row r="10185" ht="14.25" customHeight="1">
      <c r="A10185" s="2" t="s">
        <v>485</v>
      </c>
      <c r="B10185" s="2" t="s">
        <v>486</v>
      </c>
      <c r="C10185" s="2">
        <v>2010.0</v>
      </c>
      <c r="D10185" s="9">
        <v>58708.473</v>
      </c>
      <c r="E10185" s="10" t="str">
        <f t="array" ref="E10185">IFS(D10185&lt;=$G$3,'calculated data '!$A$3,D10185&lt;=$G$4,'calculated data '!$A$4,D10185&lt;=$G$6,'calculated data '!$A$5,D10185&gt;=$G$6,'calculated data '!$A$6)</f>
        <v>High Demand Tier</v>
      </c>
      <c r="F10185" s="10">
        <f t="shared" si="1"/>
        <v>0.8908271833</v>
      </c>
    </row>
    <row r="10186" ht="14.25" customHeight="1">
      <c r="A10186" s="2" t="s">
        <v>479</v>
      </c>
      <c r="B10186" s="2" t="s">
        <v>480</v>
      </c>
      <c r="C10186" s="2">
        <v>2023.0</v>
      </c>
      <c r="D10186" s="9">
        <v>58726.14</v>
      </c>
      <c r="E10186" s="10" t="str">
        <f t="array" ref="E10186">IFS(D10186&lt;=$G$3,'calculated data '!$A$3,D10186&lt;=$G$4,'calculated data '!$A$4,D10186&lt;=$G$6,'calculated data '!$A$5,D10186&gt;=$G$6,'calculated data '!$A$6)</f>
        <v>High Demand Tier</v>
      </c>
      <c r="F10186" s="10">
        <f t="shared" si="1"/>
        <v>0.8912948244</v>
      </c>
    </row>
    <row r="10187" ht="14.25" customHeight="1">
      <c r="A10187" s="2" t="s">
        <v>455</v>
      </c>
      <c r="B10187" s="2" t="s">
        <v>456</v>
      </c>
      <c r="C10187" s="2">
        <v>2021.0</v>
      </c>
      <c r="D10187" s="9">
        <v>58745.582</v>
      </c>
      <c r="E10187" s="10" t="str">
        <f t="array" ref="E10187">IFS(D10187&lt;=$G$3,'calculated data '!$A$3,D10187&lt;=$G$4,'calculated data '!$A$4,D10187&lt;=$G$6,'calculated data '!$A$5,D10187&gt;=$G$6,'calculated data '!$A$6)</f>
        <v>High Demand Tier</v>
      </c>
      <c r="F10187" s="10">
        <f t="shared" si="1"/>
        <v>0.8918094493</v>
      </c>
    </row>
    <row r="10188" ht="14.25" customHeight="1">
      <c r="A10188" s="2" t="s">
        <v>481</v>
      </c>
      <c r="B10188" s="2" t="s">
        <v>482</v>
      </c>
      <c r="C10188" s="2">
        <v>1981.0</v>
      </c>
      <c r="D10188" s="9">
        <v>58768.555</v>
      </c>
      <c r="E10188" s="10" t="str">
        <f t="array" ref="E10188">IFS(D10188&lt;=$G$3,'calculated data '!$A$3,D10188&lt;=$G$4,'calculated data '!$A$4,D10188&lt;=$G$6,'calculated data '!$A$5,D10188&gt;=$G$6,'calculated data '!$A$6)</f>
        <v>High Demand Tier</v>
      </c>
      <c r="F10188" s="10">
        <f t="shared" si="1"/>
        <v>0.8924175388</v>
      </c>
    </row>
    <row r="10189" ht="14.25" customHeight="1">
      <c r="A10189" s="2" t="s">
        <v>451</v>
      </c>
      <c r="B10189" s="2" t="s">
        <v>452</v>
      </c>
      <c r="C10189" s="2">
        <v>2007.0</v>
      </c>
      <c r="D10189" s="9">
        <v>58785.832</v>
      </c>
      <c r="E10189" s="10" t="str">
        <f t="array" ref="E10189">IFS(D10189&lt;=$G$3,'calculated data '!$A$3,D10189&lt;=$G$4,'calculated data '!$A$4,D10189&lt;=$G$6,'calculated data '!$A$5,D10189&gt;=$G$6,'calculated data '!$A$6)</f>
        <v>High Demand Tier</v>
      </c>
      <c r="F10189" s="10">
        <f t="shared" si="1"/>
        <v>0.8928748567</v>
      </c>
    </row>
    <row r="10190" ht="14.25" customHeight="1">
      <c r="A10190" s="2" t="s">
        <v>473</v>
      </c>
      <c r="B10190" s="2" t="s">
        <v>474</v>
      </c>
      <c r="C10190" s="2">
        <v>1982.0</v>
      </c>
      <c r="D10190" s="9">
        <v>58815.035</v>
      </c>
      <c r="E10190" s="10" t="str">
        <f t="array" ref="E10190">IFS(D10190&lt;=$G$3,'calculated data '!$A$3,D10190&lt;=$G$4,'calculated data '!$A$4,D10190&lt;=$G$6,'calculated data '!$A$5,D10190&gt;=$G$6,'calculated data '!$A$6)</f>
        <v>High Demand Tier</v>
      </c>
      <c r="F10190" s="10">
        <f t="shared" si="1"/>
        <v>0.8936478529</v>
      </c>
    </row>
    <row r="10191" ht="14.25" customHeight="1">
      <c r="A10191" s="2" t="s">
        <v>71</v>
      </c>
      <c r="B10191" s="2" t="s">
        <v>72</v>
      </c>
      <c r="C10191" s="2">
        <v>2004.0</v>
      </c>
      <c r="D10191" s="9">
        <v>58819.91</v>
      </c>
      <c r="E10191" s="10" t="str">
        <f t="array" ref="E10191">IFS(D10191&lt;=$G$3,'calculated data '!$A$3,D10191&lt;=$G$4,'calculated data '!$A$4,D10191&lt;=$G$6,'calculated data '!$A$5,D10191&gt;=$G$6,'calculated data '!$A$6)</f>
        <v>High Demand Tier</v>
      </c>
      <c r="F10191" s="10">
        <f t="shared" si="1"/>
        <v>0.8937768929</v>
      </c>
    </row>
    <row r="10192" ht="14.25" customHeight="1">
      <c r="A10192" s="2" t="s">
        <v>493</v>
      </c>
      <c r="B10192" s="2" t="s">
        <v>494</v>
      </c>
      <c r="C10192" s="2">
        <v>1965.0</v>
      </c>
      <c r="D10192" s="9">
        <v>58823.145</v>
      </c>
      <c r="E10192" s="10" t="str">
        <f t="array" ref="E10192">IFS(D10192&lt;=$G$3,'calculated data '!$A$3,D10192&lt;=$G$4,'calculated data '!$A$4,D10192&lt;=$G$6,'calculated data '!$A$5,D10192&gt;=$G$6,'calculated data '!$A$6)</f>
        <v>High Demand Tier</v>
      </c>
      <c r="F10192" s="10">
        <f t="shared" si="1"/>
        <v>0.8938625225</v>
      </c>
    </row>
    <row r="10193" ht="14.25" customHeight="1">
      <c r="A10193" s="2" t="s">
        <v>307</v>
      </c>
      <c r="B10193" s="2" t="s">
        <v>308</v>
      </c>
      <c r="C10193" s="2">
        <v>2004.0</v>
      </c>
      <c r="D10193" s="9">
        <v>58857.523</v>
      </c>
      <c r="E10193" s="10" t="str">
        <f t="array" ref="E10193">IFS(D10193&lt;=$G$3,'calculated data '!$A$3,D10193&lt;=$G$4,'calculated data '!$A$4,D10193&lt;=$G$6,'calculated data '!$A$5,D10193&gt;=$G$6,'calculated data '!$A$6)</f>
        <v>High Demand Tier</v>
      </c>
      <c r="F10193" s="10">
        <f t="shared" si="1"/>
        <v>0.8947724996</v>
      </c>
    </row>
    <row r="10194" ht="14.25" customHeight="1">
      <c r="A10194" s="2" t="s">
        <v>477</v>
      </c>
      <c r="B10194" s="2" t="s">
        <v>478</v>
      </c>
      <c r="C10194" s="2">
        <v>2022.0</v>
      </c>
      <c r="D10194" s="9">
        <v>58883.38</v>
      </c>
      <c r="E10194" s="10" t="str">
        <f t="array" ref="E10194">IFS(D10194&lt;=$G$3,'calculated data '!$A$3,D10194&lt;=$G$4,'calculated data '!$A$4,D10194&lt;=$G$6,'calculated data '!$A$5,D10194&gt;=$G$6,'calculated data '!$A$6)</f>
        <v>High Demand Tier</v>
      </c>
      <c r="F10194" s="10">
        <f t="shared" si="1"/>
        <v>0.895456928</v>
      </c>
    </row>
    <row r="10195" ht="14.25" customHeight="1">
      <c r="A10195" s="2" t="s">
        <v>477</v>
      </c>
      <c r="B10195" s="2" t="s">
        <v>478</v>
      </c>
      <c r="C10195" s="2">
        <v>1978.0</v>
      </c>
      <c r="D10195" s="9">
        <v>58890.85</v>
      </c>
      <c r="E10195" s="10" t="str">
        <f t="array" ref="E10195">IFS(D10195&lt;=$G$3,'calculated data '!$A$3,D10195&lt;=$G$4,'calculated data '!$A$4,D10195&lt;=$G$6,'calculated data '!$A$5,D10195&gt;=$G$6,'calculated data '!$A$6)</f>
        <v>High Demand Tier</v>
      </c>
      <c r="F10195" s="10">
        <f t="shared" si="1"/>
        <v>0.895654657</v>
      </c>
    </row>
    <row r="10196" ht="14.25" customHeight="1">
      <c r="A10196" s="2" t="s">
        <v>473</v>
      </c>
      <c r="B10196" s="2" t="s">
        <v>474</v>
      </c>
      <c r="C10196" s="2">
        <v>1983.0</v>
      </c>
      <c r="D10196" s="9">
        <v>58893.56</v>
      </c>
      <c r="E10196" s="10" t="str">
        <f t="array" ref="E10196">IFS(D10196&lt;=$G$3,'calculated data '!$A$3,D10196&lt;=$G$4,'calculated data '!$A$4,D10196&lt;=$G$6,'calculated data '!$A$5,D10196&gt;=$G$6,'calculated data '!$A$6)</f>
        <v>High Demand Tier</v>
      </c>
      <c r="F10196" s="10">
        <f t="shared" si="1"/>
        <v>0.8957263901</v>
      </c>
    </row>
    <row r="10197" ht="14.25" customHeight="1">
      <c r="A10197" s="2" t="s">
        <v>485</v>
      </c>
      <c r="B10197" s="2" t="s">
        <v>486</v>
      </c>
      <c r="C10197" s="2">
        <v>1985.0</v>
      </c>
      <c r="D10197" s="9">
        <v>58956.617</v>
      </c>
      <c r="E10197" s="10" t="str">
        <f t="array" ref="E10197">IFS(D10197&lt;=$G$3,'calculated data '!$A$3,D10197&lt;=$G$4,'calculated data '!$A$4,D10197&lt;=$G$6,'calculated data '!$A$5,D10197&gt;=$G$6,'calculated data '!$A$6)</f>
        <v>High Demand Tier</v>
      </c>
      <c r="F10197" s="10">
        <f t="shared" si="1"/>
        <v>0.8973954931</v>
      </c>
    </row>
    <row r="10198" ht="14.25" customHeight="1">
      <c r="A10198" s="2" t="s">
        <v>441</v>
      </c>
      <c r="B10198" s="2" t="s">
        <v>442</v>
      </c>
      <c r="C10198" s="2">
        <v>2007.0</v>
      </c>
      <c r="D10198" s="9">
        <v>58968.39</v>
      </c>
      <c r="E10198" s="10" t="str">
        <f t="array" ref="E10198">IFS(D10198&lt;=$G$3,'calculated data '!$A$3,D10198&lt;=$G$4,'calculated data '!$A$4,D10198&lt;=$G$6,'calculated data '!$A$5,D10198&gt;=$G$6,'calculated data '!$A$6)</f>
        <v>High Demand Tier</v>
      </c>
      <c r="F10198" s="10">
        <f t="shared" si="1"/>
        <v>0.8977071215</v>
      </c>
    </row>
    <row r="10199" ht="14.25" customHeight="1">
      <c r="A10199" s="2" t="s">
        <v>397</v>
      </c>
      <c r="B10199" s="2" t="s">
        <v>398</v>
      </c>
      <c r="C10199" s="2">
        <v>2012.0</v>
      </c>
      <c r="D10199" s="9">
        <v>59016.145</v>
      </c>
      <c r="E10199" s="10" t="str">
        <f t="array" ref="E10199">IFS(D10199&lt;=$G$3,'calculated data '!$A$3,D10199&lt;=$G$4,'calculated data '!$A$4,D10199&lt;=$G$6,'calculated data '!$A$5,D10199&gt;=$G$6,'calculated data '!$A$6)</f>
        <v>High Demand Tier</v>
      </c>
      <c r="F10199" s="10">
        <f t="shared" si="1"/>
        <v>0.8989711845</v>
      </c>
    </row>
    <row r="10200" ht="14.25" customHeight="1">
      <c r="A10200" s="2" t="s">
        <v>403</v>
      </c>
      <c r="B10200" s="2" t="s">
        <v>404</v>
      </c>
      <c r="C10200" s="2">
        <v>2006.0</v>
      </c>
      <c r="D10200" s="9">
        <v>59054.91</v>
      </c>
      <c r="E10200" s="10" t="str">
        <f t="array" ref="E10200">IFS(D10200&lt;=$G$3,'calculated data '!$A$3,D10200&lt;=$G$4,'calculated data '!$A$4,D10200&lt;=$G$6,'calculated data '!$A$5,D10200&gt;=$G$6,'calculated data '!$A$6)</f>
        <v>High Demand Tier</v>
      </c>
      <c r="F10200" s="10">
        <f t="shared" si="1"/>
        <v>0.8999972844</v>
      </c>
    </row>
    <row r="10201" ht="14.25" customHeight="1">
      <c r="A10201" s="2" t="s">
        <v>461</v>
      </c>
      <c r="B10201" s="2" t="s">
        <v>462</v>
      </c>
      <c r="C10201" s="2">
        <v>2014.0</v>
      </c>
      <c r="D10201" s="9">
        <v>59062.555</v>
      </c>
      <c r="E10201" s="10" t="str">
        <f t="array" ref="E10201">IFS(D10201&lt;=$G$3,'calculated data '!$A$3,D10201&lt;=$G$4,'calculated data '!$A$4,D10201&lt;=$G$6,'calculated data '!$A$5,D10201&gt;=$G$6,'calculated data '!$A$6)</f>
        <v>High Demand Tier</v>
      </c>
      <c r="F10201" s="10">
        <f t="shared" si="1"/>
        <v>0.9001996456</v>
      </c>
    </row>
    <row r="10202" ht="14.25" customHeight="1">
      <c r="A10202" s="2" t="s">
        <v>441</v>
      </c>
      <c r="B10202" s="2" t="s">
        <v>442</v>
      </c>
      <c r="C10202" s="2">
        <v>2008.0</v>
      </c>
      <c r="D10202" s="9">
        <v>59075.375</v>
      </c>
      <c r="E10202" s="10" t="str">
        <f t="array" ref="E10202">IFS(D10202&lt;=$G$3,'calculated data '!$A$3,D10202&lt;=$G$4,'calculated data '!$A$4,D10202&lt;=$G$6,'calculated data '!$A$5,D10202&gt;=$G$6,'calculated data '!$A$6)</f>
        <v>High Demand Tier</v>
      </c>
      <c r="F10202" s="10">
        <f t="shared" si="1"/>
        <v>0.9005389878</v>
      </c>
    </row>
    <row r="10203" ht="14.25" customHeight="1">
      <c r="A10203" s="2" t="s">
        <v>461</v>
      </c>
      <c r="B10203" s="2" t="s">
        <v>462</v>
      </c>
      <c r="C10203" s="2">
        <v>1986.0</v>
      </c>
      <c r="D10203" s="9">
        <v>59095.23</v>
      </c>
      <c r="E10203" s="10" t="str">
        <f t="array" ref="E10203">IFS(D10203&lt;=$G$3,'calculated data '!$A$3,D10203&lt;=$G$4,'calculated data '!$A$4,D10203&lt;=$G$6,'calculated data '!$A$5,D10203&gt;=$G$6,'calculated data '!$A$6)</f>
        <v>High Demand Tier</v>
      </c>
      <c r="F10203" s="10">
        <f t="shared" si="1"/>
        <v>0.9010645447</v>
      </c>
    </row>
    <row r="10204" ht="14.25" customHeight="1">
      <c r="A10204" s="2" t="s">
        <v>343</v>
      </c>
      <c r="B10204" s="2" t="s">
        <v>344</v>
      </c>
      <c r="C10204" s="2">
        <v>2004.0</v>
      </c>
      <c r="D10204" s="9">
        <v>59101.79</v>
      </c>
      <c r="E10204" s="10" t="str">
        <f t="array" ref="E10204">IFS(D10204&lt;=$G$3,'calculated data '!$A$3,D10204&lt;=$G$4,'calculated data '!$A$4,D10204&lt;=$G$6,'calculated data '!$A$5,D10204&gt;=$G$6,'calculated data '!$A$6)</f>
        <v>High Demand Tier</v>
      </c>
      <c r="F10204" s="10">
        <f t="shared" si="1"/>
        <v>0.9012381863</v>
      </c>
    </row>
    <row r="10205" ht="14.25" customHeight="1">
      <c r="A10205" s="2" t="s">
        <v>481</v>
      </c>
      <c r="B10205" s="2" t="s">
        <v>482</v>
      </c>
      <c r="C10205" s="2">
        <v>1982.0</v>
      </c>
      <c r="D10205" s="9">
        <v>59143.164</v>
      </c>
      <c r="E10205" s="10" t="str">
        <f t="array" ref="E10205">IFS(D10205&lt;=$G$3,'calculated data '!$A$3,D10205&lt;=$G$4,'calculated data '!$A$4,D10205&lt;=$G$6,'calculated data '!$A$5,D10205&gt;=$G$6,'calculated data '!$A$6)</f>
        <v>High Demand Tier</v>
      </c>
      <c r="F10205" s="10">
        <f t="shared" si="1"/>
        <v>0.9023333458</v>
      </c>
    </row>
    <row r="10206" ht="14.25" customHeight="1">
      <c r="A10206" s="2" t="s">
        <v>403</v>
      </c>
      <c r="B10206" s="2" t="s">
        <v>404</v>
      </c>
      <c r="C10206" s="2">
        <v>2007.0</v>
      </c>
      <c r="D10206" s="9">
        <v>59145.79</v>
      </c>
      <c r="E10206" s="10" t="str">
        <f t="array" ref="E10206">IFS(D10206&lt;=$G$3,'calculated data '!$A$3,D10206&lt;=$G$4,'calculated data '!$A$4,D10206&lt;=$G$6,'calculated data '!$A$5,D10206&gt;=$G$6,'calculated data '!$A$6)</f>
        <v>High Demand Tier</v>
      </c>
      <c r="F10206" s="10">
        <f t="shared" si="1"/>
        <v>0.9024028553</v>
      </c>
    </row>
    <row r="10207" ht="14.25" customHeight="1">
      <c r="A10207" s="2" t="s">
        <v>221</v>
      </c>
      <c r="B10207" s="2" t="s">
        <v>222</v>
      </c>
      <c r="C10207" s="2">
        <v>2008.0</v>
      </c>
      <c r="D10207" s="9">
        <v>59158.684</v>
      </c>
      <c r="E10207" s="10" t="str">
        <f t="array" ref="E10207">IFS(D10207&lt;=$G$3,'calculated data '!$A$3,D10207&lt;=$G$4,'calculated data '!$A$4,D10207&lt;=$G$6,'calculated data '!$A$5,D10207&gt;=$G$6,'calculated data '!$A$6)</f>
        <v>High Demand Tier</v>
      </c>
      <c r="F10207" s="10">
        <f t="shared" si="1"/>
        <v>0.9027441563</v>
      </c>
    </row>
    <row r="10208" ht="14.25" customHeight="1">
      <c r="A10208" s="2" t="s">
        <v>441</v>
      </c>
      <c r="B10208" s="2" t="s">
        <v>442</v>
      </c>
      <c r="C10208" s="2">
        <v>2009.0</v>
      </c>
      <c r="D10208" s="9">
        <v>59163.195</v>
      </c>
      <c r="E10208" s="10" t="str">
        <f t="array" ref="E10208">IFS(D10208&lt;=$G$3,'calculated data '!$A$3,D10208&lt;=$G$4,'calculated data '!$A$4,D10208&lt;=$G$6,'calculated data '!$A$5,D10208&gt;=$G$6,'calculated data '!$A$6)</f>
        <v>High Demand Tier</v>
      </c>
      <c r="F10208" s="10">
        <f t="shared" si="1"/>
        <v>0.9028635614</v>
      </c>
    </row>
    <row r="10209" ht="14.25" customHeight="1">
      <c r="A10209" s="2" t="s">
        <v>487</v>
      </c>
      <c r="B10209" s="2" t="s">
        <v>488</v>
      </c>
      <c r="C10209" s="2">
        <v>1997.0</v>
      </c>
      <c r="D10209" s="9">
        <v>59185.188</v>
      </c>
      <c r="E10209" s="10" t="str">
        <f t="array" ref="E10209">IFS(D10209&lt;=$G$3,'calculated data '!$A$3,D10209&lt;=$G$4,'calculated data '!$A$4,D10209&lt;=$G$6,'calculated data '!$A$5,D10209&gt;=$G$6,'calculated data '!$A$6)</f>
        <v>High Demand Tier</v>
      </c>
      <c r="F10209" s="10">
        <f t="shared" si="1"/>
        <v>0.9034457106</v>
      </c>
    </row>
    <row r="10210" ht="14.25" customHeight="1">
      <c r="A10210" s="2" t="s">
        <v>477</v>
      </c>
      <c r="B10210" s="2" t="s">
        <v>478</v>
      </c>
      <c r="C10210" s="2">
        <v>1987.0</v>
      </c>
      <c r="D10210" s="9">
        <v>59186.5</v>
      </c>
      <c r="E10210" s="10" t="str">
        <f t="array" ref="E10210">IFS(D10210&lt;=$G$3,'calculated data '!$A$3,D10210&lt;=$G$4,'calculated data '!$A$4,D10210&lt;=$G$6,'calculated data '!$A$5,D10210&gt;=$G$6,'calculated data '!$A$6)</f>
        <v>High Demand Tier</v>
      </c>
      <c r="F10210" s="10">
        <f t="shared" si="1"/>
        <v>0.9034804389</v>
      </c>
    </row>
    <row r="10211" ht="14.25" customHeight="1">
      <c r="A10211" s="2" t="s">
        <v>461</v>
      </c>
      <c r="B10211" s="2" t="s">
        <v>462</v>
      </c>
      <c r="C10211" s="2">
        <v>2015.0</v>
      </c>
      <c r="D10211" s="9">
        <v>59199.55</v>
      </c>
      <c r="E10211" s="10" t="str">
        <f t="array" ref="E10211">IFS(D10211&lt;=$G$3,'calculated data '!$A$3,D10211&lt;=$G$4,'calculated data '!$A$4,D10211&lt;=$G$6,'calculated data '!$A$5,D10211&gt;=$G$6,'calculated data '!$A$6)</f>
        <v>High Demand Tier</v>
      </c>
      <c r="F10211" s="10">
        <f t="shared" si="1"/>
        <v>0.9038258691</v>
      </c>
    </row>
    <row r="10212" ht="14.25" customHeight="1">
      <c r="A10212" s="2" t="s">
        <v>455</v>
      </c>
      <c r="B10212" s="2" t="s">
        <v>456</v>
      </c>
      <c r="C10212" s="2">
        <v>1992.0</v>
      </c>
      <c r="D10212" s="9">
        <v>59260.555</v>
      </c>
      <c r="E10212" s="10" t="str">
        <f t="array" ref="E10212">IFS(D10212&lt;=$G$3,'calculated data '!$A$3,D10212&lt;=$G$4,'calculated data '!$A$4,D10212&lt;=$G$6,'calculated data '!$A$5,D10212&gt;=$G$6,'calculated data '!$A$6)</f>
        <v>High Demand Tier</v>
      </c>
      <c r="F10212" s="10">
        <f t="shared" si="1"/>
        <v>0.9054406563</v>
      </c>
    </row>
    <row r="10213" ht="14.25" customHeight="1">
      <c r="A10213" s="2" t="s">
        <v>221</v>
      </c>
      <c r="B10213" s="2" t="s">
        <v>222</v>
      </c>
      <c r="C10213" s="2">
        <v>2009.0</v>
      </c>
      <c r="D10213" s="9">
        <v>59263.266</v>
      </c>
      <c r="E10213" s="10" t="str">
        <f t="array" ref="E10213">IFS(D10213&lt;=$G$3,'calculated data '!$A$3,D10213&lt;=$G$4,'calculated data '!$A$4,D10213&lt;=$G$6,'calculated data '!$A$5,D10213&gt;=$G$6,'calculated data '!$A$6)</f>
        <v>High Demand Tier</v>
      </c>
      <c r="F10213" s="10">
        <f t="shared" si="1"/>
        <v>0.9055124158</v>
      </c>
    </row>
    <row r="10214" ht="14.25" customHeight="1">
      <c r="A10214" s="2" t="s">
        <v>481</v>
      </c>
      <c r="B10214" s="2" t="s">
        <v>482</v>
      </c>
      <c r="C10214" s="2">
        <v>1980.0</v>
      </c>
      <c r="D10214" s="9">
        <v>59324.938</v>
      </c>
      <c r="E10214" s="10" t="str">
        <f t="array" ref="E10214">IFS(D10214&lt;=$G$3,'calculated data '!$A$3,D10214&lt;=$G$4,'calculated data '!$A$4,D10214&lt;=$G$6,'calculated data '!$A$5,D10214&gt;=$G$6,'calculated data '!$A$6)</f>
        <v>High Demand Tier</v>
      </c>
      <c r="F10214" s="10">
        <f t="shared" si="1"/>
        <v>0.9071448583</v>
      </c>
    </row>
    <row r="10215" ht="14.25" customHeight="1">
      <c r="A10215" s="2" t="s">
        <v>405</v>
      </c>
      <c r="B10215" s="2" t="s">
        <v>406</v>
      </c>
      <c r="C10215" s="2">
        <v>1989.0</v>
      </c>
      <c r="D10215" s="9">
        <v>59339.504</v>
      </c>
      <c r="E10215" s="10" t="str">
        <f t="array" ref="E10215">IFS(D10215&lt;=$G$3,'calculated data '!$A$3,D10215&lt;=$G$4,'calculated data '!$A$4,D10215&lt;=$G$6,'calculated data '!$A$5,D10215&gt;=$G$6,'calculated data '!$A$6)</f>
        <v>High Demand Tier</v>
      </c>
      <c r="F10215" s="10">
        <f t="shared" si="1"/>
        <v>0.9075304167</v>
      </c>
    </row>
    <row r="10216" ht="14.25" customHeight="1">
      <c r="A10216" s="2" t="s">
        <v>149</v>
      </c>
      <c r="B10216" s="2" t="s">
        <v>150</v>
      </c>
      <c r="C10216" s="2">
        <v>2009.0</v>
      </c>
      <c r="D10216" s="9">
        <v>59341.21</v>
      </c>
      <c r="E10216" s="10" t="str">
        <f t="array" ref="E10216">IFS(D10216&lt;=$G$3,'calculated data '!$A$3,D10216&lt;=$G$4,'calculated data '!$A$4,D10216&lt;=$G$6,'calculated data '!$A$5,D10216&gt;=$G$6,'calculated data '!$A$6)</f>
        <v>High Demand Tier</v>
      </c>
      <c r="F10216" s="10">
        <f t="shared" si="1"/>
        <v>0.9075755741</v>
      </c>
    </row>
    <row r="10217" ht="14.25" customHeight="1">
      <c r="A10217" s="2" t="s">
        <v>467</v>
      </c>
      <c r="B10217" s="2" t="s">
        <v>468</v>
      </c>
      <c r="C10217" s="2">
        <v>1993.0</v>
      </c>
      <c r="D10217" s="9">
        <v>59371.336</v>
      </c>
      <c r="E10217" s="10" t="str">
        <f t="array" ref="E10217">IFS(D10217&lt;=$G$3,'calculated data '!$A$3,D10217&lt;=$G$4,'calculated data '!$A$4,D10217&lt;=$G$6,'calculated data '!$A$5,D10217&gt;=$G$6,'calculated data '!$A$6)</f>
        <v>High Demand Tier</v>
      </c>
      <c r="F10217" s="10">
        <f t="shared" si="1"/>
        <v>0.9083730018</v>
      </c>
    </row>
    <row r="10218" ht="14.25" customHeight="1">
      <c r="A10218" s="2" t="s">
        <v>467</v>
      </c>
      <c r="B10218" s="2" t="s">
        <v>468</v>
      </c>
      <c r="C10218" s="2">
        <v>1989.0</v>
      </c>
      <c r="D10218" s="9">
        <v>59379.094</v>
      </c>
      <c r="E10218" s="10" t="str">
        <f t="array" ref="E10218">IFS(D10218&lt;=$G$3,'calculated data '!$A$3,D10218&lt;=$G$4,'calculated data '!$A$4,D10218&lt;=$G$6,'calculated data '!$A$5,D10218&gt;=$G$6,'calculated data '!$A$6)</f>
        <v>High Demand Tier</v>
      </c>
      <c r="F10218" s="10">
        <f t="shared" si="1"/>
        <v>0.9085783541</v>
      </c>
    </row>
    <row r="10219" ht="14.25" customHeight="1">
      <c r="A10219" s="2" t="s">
        <v>481</v>
      </c>
      <c r="B10219" s="2" t="s">
        <v>482</v>
      </c>
      <c r="C10219" s="2">
        <v>1983.0</v>
      </c>
      <c r="D10219" s="9">
        <v>59385.523</v>
      </c>
      <c r="E10219" s="10" t="str">
        <f t="array" ref="E10219">IFS(D10219&lt;=$G$3,'calculated data '!$A$3,D10219&lt;=$G$4,'calculated data '!$A$4,D10219&lt;=$G$6,'calculated data '!$A$5,D10219&gt;=$G$6,'calculated data '!$A$6)</f>
        <v>High Demand Tier</v>
      </c>
      <c r="F10219" s="10">
        <f t="shared" si="1"/>
        <v>0.9087485281</v>
      </c>
    </row>
    <row r="10220" ht="14.25" customHeight="1">
      <c r="A10220" s="2" t="s">
        <v>485</v>
      </c>
      <c r="B10220" s="2" t="s">
        <v>486</v>
      </c>
      <c r="C10220" s="2">
        <v>1984.0</v>
      </c>
      <c r="D10220" s="9">
        <v>59399.37</v>
      </c>
      <c r="E10220" s="10" t="str">
        <f t="array" ref="E10220">IFS(D10220&lt;=$G$3,'calculated data '!$A$3,D10220&lt;=$G$4,'calculated data '!$A$4,D10220&lt;=$G$6,'calculated data '!$A$5,D10220&gt;=$G$6,'calculated data '!$A$6)</f>
        <v>High Demand Tier</v>
      </c>
      <c r="F10220" s="10">
        <f t="shared" si="1"/>
        <v>0.9091150548</v>
      </c>
    </row>
    <row r="10221" ht="14.25" customHeight="1">
      <c r="A10221" s="2" t="s">
        <v>475</v>
      </c>
      <c r="B10221" s="2" t="s">
        <v>476</v>
      </c>
      <c r="C10221" s="2">
        <v>2003.0</v>
      </c>
      <c r="D10221" s="9">
        <v>59443.074</v>
      </c>
      <c r="E10221" s="10" t="str">
        <f t="array" ref="E10221">IFS(D10221&lt;=$G$3,'calculated data '!$A$3,D10221&lt;=$G$4,'calculated data '!$A$4,D10221&lt;=$G$6,'calculated data '!$A$5,D10221&gt;=$G$6,'calculated data '!$A$6)</f>
        <v>High Demand Tier</v>
      </c>
      <c r="F10221" s="10">
        <f t="shared" si="1"/>
        <v>0.9102718888</v>
      </c>
    </row>
    <row r="10222" ht="14.25" customHeight="1">
      <c r="A10222" s="2" t="s">
        <v>473</v>
      </c>
      <c r="B10222" s="2" t="s">
        <v>474</v>
      </c>
      <c r="C10222" s="2">
        <v>1981.0</v>
      </c>
      <c r="D10222" s="9">
        <v>59496.652</v>
      </c>
      <c r="E10222" s="10" t="str">
        <f t="array" ref="E10222">IFS(D10222&lt;=$G$3,'calculated data '!$A$3,D10222&lt;=$G$4,'calculated data '!$A$4,D10222&lt;=$G$6,'calculated data '!$A$5,D10222&gt;=$G$6,'calculated data '!$A$6)</f>
        <v>High Demand Tier</v>
      </c>
      <c r="F10222" s="10">
        <f t="shared" si="1"/>
        <v>0.9116900851</v>
      </c>
    </row>
    <row r="10223" ht="14.25" customHeight="1">
      <c r="A10223" s="2" t="s">
        <v>487</v>
      </c>
      <c r="B10223" s="2" t="s">
        <v>488</v>
      </c>
      <c r="C10223" s="2">
        <v>1992.0</v>
      </c>
      <c r="D10223" s="9">
        <v>59518.008</v>
      </c>
      <c r="E10223" s="10" t="str">
        <f t="array" ref="E10223">IFS(D10223&lt;=$G$3,'calculated data '!$A$3,D10223&lt;=$G$4,'calculated data '!$A$4,D10223&lt;=$G$6,'calculated data '!$A$5,D10223&gt;=$G$6,'calculated data '!$A$6)</f>
        <v>High Demand Tier</v>
      </c>
      <c r="F10223" s="10">
        <f t="shared" si="1"/>
        <v>0.9122553731</v>
      </c>
    </row>
    <row r="10224" ht="14.25" customHeight="1">
      <c r="A10224" s="2" t="s">
        <v>149</v>
      </c>
      <c r="B10224" s="2" t="s">
        <v>150</v>
      </c>
      <c r="C10224" s="2">
        <v>2011.0</v>
      </c>
      <c r="D10224" s="9">
        <v>59551.445</v>
      </c>
      <c r="E10224" s="10" t="str">
        <f t="array" ref="E10224">IFS(D10224&lt;=$G$3,'calculated data '!$A$3,D10224&lt;=$G$4,'calculated data '!$A$4,D10224&lt;=$G$6,'calculated data '!$A$5,D10224&gt;=$G$6,'calculated data '!$A$6)</f>
        <v>High Demand Tier</v>
      </c>
      <c r="F10224" s="10">
        <f t="shared" si="1"/>
        <v>0.9131404422</v>
      </c>
    </row>
    <row r="10225" ht="14.25" customHeight="1">
      <c r="A10225" s="2" t="s">
        <v>461</v>
      </c>
      <c r="B10225" s="2" t="s">
        <v>462</v>
      </c>
      <c r="C10225" s="2">
        <v>1989.0</v>
      </c>
      <c r="D10225" s="9">
        <v>59577.99</v>
      </c>
      <c r="E10225" s="10" t="str">
        <f t="array" ref="E10225">IFS(D10225&lt;=$G$3,'calculated data '!$A$3,D10225&lt;=$G$4,'calculated data '!$A$4,D10225&lt;=$G$6,'calculated data '!$A$5,D10225&gt;=$G$6,'calculated data '!$A$6)</f>
        <v>High Demand Tier</v>
      </c>
      <c r="F10225" s="10">
        <f t="shared" si="1"/>
        <v>0.9138430817</v>
      </c>
    </row>
    <row r="10226" ht="14.25" customHeight="1">
      <c r="A10226" s="2" t="s">
        <v>461</v>
      </c>
      <c r="B10226" s="2" t="s">
        <v>462</v>
      </c>
      <c r="C10226" s="2">
        <v>2017.0</v>
      </c>
      <c r="D10226" s="9">
        <v>59583.65</v>
      </c>
      <c r="E10226" s="10" t="str">
        <f t="array" ref="E10226">IFS(D10226&lt;=$G$3,'calculated data '!$A$3,D10226&lt;=$G$4,'calculated data '!$A$4,D10226&lt;=$G$6,'calculated data '!$A$5,D10226&gt;=$G$6,'calculated data '!$A$6)</f>
        <v>High Demand Tier</v>
      </c>
      <c r="F10226" s="10">
        <f t="shared" si="1"/>
        <v>0.9139929005</v>
      </c>
    </row>
    <row r="10227" ht="14.25" customHeight="1">
      <c r="A10227" s="2" t="s">
        <v>457</v>
      </c>
      <c r="B10227" s="2" t="s">
        <v>458</v>
      </c>
      <c r="C10227" s="2">
        <v>1991.0</v>
      </c>
      <c r="D10227" s="9">
        <v>59616.523</v>
      </c>
      <c r="E10227" s="10" t="str">
        <f t="array" ref="E10227">IFS(D10227&lt;=$G$3,'calculated data '!$A$3,D10227&lt;=$G$4,'calculated data '!$A$4,D10227&lt;=$G$6,'calculated data '!$A$5,D10227&gt;=$G$6,'calculated data '!$A$6)</f>
        <v>High Demand Tier</v>
      </c>
      <c r="F10227" s="10">
        <f t="shared" si="1"/>
        <v>0.9148630406</v>
      </c>
    </row>
    <row r="10228" ht="14.25" customHeight="1">
      <c r="A10228" s="2" t="s">
        <v>427</v>
      </c>
      <c r="B10228" s="2" t="s">
        <v>428</v>
      </c>
      <c r="C10228" s="2">
        <v>2020.0</v>
      </c>
      <c r="D10228" s="9">
        <v>59630.875</v>
      </c>
      <c r="E10228" s="10" t="str">
        <f t="array" ref="E10228">IFS(D10228&lt;=$G$3,'calculated data '!$A$3,D10228&lt;=$G$4,'calculated data '!$A$4,D10228&lt;=$G$6,'calculated data '!$A$5,D10228&gt;=$G$6,'calculated data '!$A$6)</f>
        <v>High Demand Tier</v>
      </c>
      <c r="F10228" s="10">
        <f t="shared" si="1"/>
        <v>0.9152429345</v>
      </c>
    </row>
    <row r="10229" ht="14.25" customHeight="1">
      <c r="A10229" s="2" t="s">
        <v>455</v>
      </c>
      <c r="B10229" s="2" t="s">
        <v>456</v>
      </c>
      <c r="C10229" s="2">
        <v>2015.0</v>
      </c>
      <c r="D10229" s="9">
        <v>59631.395</v>
      </c>
      <c r="E10229" s="10" t="str">
        <f t="array" ref="E10229">IFS(D10229&lt;=$G$3,'calculated data '!$A$3,D10229&lt;=$G$4,'calculated data '!$A$4,D10229&lt;=$G$6,'calculated data '!$A$5,D10229&gt;=$G$6,'calculated data '!$A$6)</f>
        <v>High Demand Tier</v>
      </c>
      <c r="F10229" s="10">
        <f t="shared" si="1"/>
        <v>0.9152566987</v>
      </c>
    </row>
    <row r="10230" ht="14.25" customHeight="1">
      <c r="A10230" s="2" t="s">
        <v>467</v>
      </c>
      <c r="B10230" s="2" t="s">
        <v>468</v>
      </c>
      <c r="C10230" s="2">
        <v>1990.0</v>
      </c>
      <c r="D10230" s="9">
        <v>59678.5</v>
      </c>
      <c r="E10230" s="10" t="str">
        <f t="array" ref="E10230">IFS(D10230&lt;=$G$3,'calculated data '!$A$3,D10230&lt;=$G$4,'calculated data '!$A$4,D10230&lt;=$G$6,'calculated data '!$A$5,D10230&gt;=$G$6,'calculated data '!$A$6)</f>
        <v>High Demand Tier</v>
      </c>
      <c r="F10230" s="10">
        <f t="shared" si="1"/>
        <v>0.9165035564</v>
      </c>
    </row>
    <row r="10231" ht="14.25" customHeight="1">
      <c r="A10231" s="2" t="s">
        <v>461</v>
      </c>
      <c r="B10231" s="2" t="s">
        <v>462</v>
      </c>
      <c r="C10231" s="2">
        <v>1988.0</v>
      </c>
      <c r="D10231" s="9">
        <v>59686.598</v>
      </c>
      <c r="E10231" s="10" t="str">
        <f t="array" ref="E10231">IFS(D10231&lt;=$G$3,'calculated data '!$A$3,D10231&lt;=$G$4,'calculated data '!$A$4,D10231&lt;=$G$6,'calculated data '!$A$5,D10231&gt;=$G$6,'calculated data '!$A$6)</f>
        <v>High Demand Tier</v>
      </c>
      <c r="F10231" s="10">
        <f t="shared" si="1"/>
        <v>0.9167179084</v>
      </c>
    </row>
    <row r="10232" ht="14.25" customHeight="1">
      <c r="A10232" s="2" t="s">
        <v>473</v>
      </c>
      <c r="B10232" s="2" t="s">
        <v>474</v>
      </c>
      <c r="C10232" s="2">
        <v>1976.0</v>
      </c>
      <c r="D10232" s="9">
        <v>59734.707</v>
      </c>
      <c r="E10232" s="10" t="str">
        <f t="array" ref="E10232">IFS(D10232&lt;=$G$3,'calculated data '!$A$3,D10232&lt;=$G$4,'calculated data '!$A$4,D10232&lt;=$G$6,'calculated data '!$A$5,D10232&gt;=$G$6,'calculated data '!$A$6)</f>
        <v>High Demand Tier</v>
      </c>
      <c r="F10232" s="10">
        <f t="shared" si="1"/>
        <v>0.9179913416</v>
      </c>
    </row>
    <row r="10233" ht="14.25" customHeight="1">
      <c r="A10233" s="2" t="s">
        <v>475</v>
      </c>
      <c r="B10233" s="2" t="s">
        <v>476</v>
      </c>
      <c r="C10233" s="2">
        <v>2007.0</v>
      </c>
      <c r="D10233" s="9">
        <v>59743.59</v>
      </c>
      <c r="E10233" s="10" t="str">
        <f t="array" ref="E10233">IFS(D10233&lt;=$G$3,'calculated data '!$A$3,D10233&lt;=$G$4,'calculated data '!$A$4,D10233&lt;=$G$6,'calculated data '!$A$5,D10233&gt;=$G$6,'calculated data '!$A$6)</f>
        <v>High Demand Tier</v>
      </c>
      <c r="F10233" s="10">
        <f t="shared" si="1"/>
        <v>0.9182264724</v>
      </c>
    </row>
    <row r="10234" ht="14.25" customHeight="1">
      <c r="A10234" s="2" t="s">
        <v>403</v>
      </c>
      <c r="B10234" s="2" t="s">
        <v>404</v>
      </c>
      <c r="C10234" s="2">
        <v>2008.0</v>
      </c>
      <c r="D10234" s="9">
        <v>59761.0</v>
      </c>
      <c r="E10234" s="10" t="str">
        <f t="array" ref="E10234">IFS(D10234&lt;=$G$3,'calculated data '!$A$3,D10234&lt;=$G$4,'calculated data '!$A$4,D10234&lt;=$G$6,'calculated data '!$A$5,D10234&gt;=$G$6,'calculated data '!$A$6)</f>
        <v>High Demand Tier</v>
      </c>
      <c r="F10234" s="10">
        <f t="shared" si="1"/>
        <v>0.9186873108</v>
      </c>
    </row>
    <row r="10235" ht="14.25" customHeight="1">
      <c r="A10235" s="2" t="s">
        <v>455</v>
      </c>
      <c r="B10235" s="2" t="s">
        <v>456</v>
      </c>
      <c r="C10235" s="2">
        <v>2013.0</v>
      </c>
      <c r="D10235" s="9">
        <v>59767.38</v>
      </c>
      <c r="E10235" s="10" t="str">
        <f t="array" ref="E10235">IFS(D10235&lt;=$G$3,'calculated data '!$A$3,D10235&lt;=$G$4,'calculated data '!$A$4,D10235&lt;=$G$6,'calculated data '!$A$5,D10235&gt;=$G$6,'calculated data '!$A$6)</f>
        <v>High Demand Tier</v>
      </c>
      <c r="F10235" s="10">
        <f t="shared" si="1"/>
        <v>0.9188561878</v>
      </c>
    </row>
    <row r="10236" ht="14.25" customHeight="1">
      <c r="A10236" s="2" t="s">
        <v>461</v>
      </c>
      <c r="B10236" s="2" t="s">
        <v>462</v>
      </c>
      <c r="C10236" s="2">
        <v>2016.0</v>
      </c>
      <c r="D10236" s="9">
        <v>59783.69</v>
      </c>
      <c r="E10236" s="10" t="str">
        <f t="array" ref="E10236">IFS(D10236&lt;=$G$3,'calculated data '!$A$3,D10236&lt;=$G$4,'calculated data '!$A$4,D10236&lt;=$G$6,'calculated data '!$A$5,D10236&gt;=$G$6,'calculated data '!$A$6)</f>
        <v>High Demand Tier</v>
      </c>
      <c r="F10236" s="10">
        <f t="shared" si="1"/>
        <v>0.9192879095</v>
      </c>
    </row>
    <row r="10237" ht="14.25" customHeight="1">
      <c r="A10237" s="2" t="s">
        <v>455</v>
      </c>
      <c r="B10237" s="2" t="s">
        <v>456</v>
      </c>
      <c r="C10237" s="2">
        <v>2018.0</v>
      </c>
      <c r="D10237" s="9">
        <v>59811.516</v>
      </c>
      <c r="E10237" s="10" t="str">
        <f t="array" ref="E10237">IFS(D10237&lt;=$G$3,'calculated data '!$A$3,D10237&lt;=$G$4,'calculated data '!$A$4,D10237&lt;=$G$6,'calculated data '!$A$5,D10237&gt;=$G$6,'calculated data '!$A$6)</f>
        <v>High Demand Tier</v>
      </c>
      <c r="F10237" s="10">
        <f t="shared" si="1"/>
        <v>0.9200244567</v>
      </c>
    </row>
    <row r="10238" ht="14.25" customHeight="1">
      <c r="A10238" s="2" t="s">
        <v>449</v>
      </c>
      <c r="B10238" s="2" t="s">
        <v>450</v>
      </c>
      <c r="C10238" s="2">
        <v>2021.0</v>
      </c>
      <c r="D10238" s="9">
        <v>59830.67</v>
      </c>
      <c r="E10238" s="10" t="str">
        <f t="array" ref="E10238">IFS(D10238&lt;=$G$3,'calculated data '!$A$3,D10238&lt;=$G$4,'calculated data '!$A$4,D10238&lt;=$G$6,'calculated data '!$A$5,D10238&gt;=$G$6,'calculated data '!$A$6)</f>
        <v>High Demand Tier</v>
      </c>
      <c r="F10238" s="10">
        <f t="shared" si="1"/>
        <v>0.9205314584</v>
      </c>
    </row>
    <row r="10239" ht="14.25" customHeight="1">
      <c r="A10239" s="2" t="s">
        <v>481</v>
      </c>
      <c r="B10239" s="2" t="s">
        <v>482</v>
      </c>
      <c r="C10239" s="2">
        <v>1984.0</v>
      </c>
      <c r="D10239" s="9">
        <v>59841.566</v>
      </c>
      <c r="E10239" s="10" t="str">
        <f t="array" ref="E10239">IFS(D10239&lt;=$G$3,'calculated data '!$A$3,D10239&lt;=$G$4,'calculated data '!$A$4,D10239&lt;=$G$6,'calculated data '!$A$5,D10239&gt;=$G$6,'calculated data '!$A$6)</f>
        <v>High Demand Tier</v>
      </c>
      <c r="F10239" s="10">
        <f t="shared" si="1"/>
        <v>0.9208198728</v>
      </c>
    </row>
    <row r="10240" ht="14.25" customHeight="1">
      <c r="A10240" s="2" t="s">
        <v>457</v>
      </c>
      <c r="B10240" s="2" t="s">
        <v>458</v>
      </c>
      <c r="C10240" s="2">
        <v>1992.0</v>
      </c>
      <c r="D10240" s="9">
        <v>59896.258</v>
      </c>
      <c r="E10240" s="10" t="str">
        <f t="array" ref="E10240">IFS(D10240&lt;=$G$3,'calculated data '!$A$3,D10240&lt;=$G$4,'calculated data '!$A$4,D10240&lt;=$G$6,'calculated data '!$A$5,D10240&gt;=$G$6,'calculated data '!$A$6)</f>
        <v>High Demand Tier</v>
      </c>
      <c r="F10240" s="10">
        <f t="shared" si="1"/>
        <v>0.9222675564</v>
      </c>
    </row>
    <row r="10241" ht="14.25" customHeight="1">
      <c r="A10241" s="2" t="s">
        <v>461</v>
      </c>
      <c r="B10241" s="2" t="s">
        <v>462</v>
      </c>
      <c r="C10241" s="2">
        <v>1987.0</v>
      </c>
      <c r="D10241" s="9">
        <v>59898.363</v>
      </c>
      <c r="E10241" s="10" t="str">
        <f t="array" ref="E10241">IFS(D10241&lt;=$G$3,'calculated data '!$A$3,D10241&lt;=$G$4,'calculated data '!$A$4,D10241&lt;=$G$6,'calculated data '!$A$5,D10241&gt;=$G$6,'calculated data '!$A$6)</f>
        <v>High Demand Tier</v>
      </c>
      <c r="F10241" s="10">
        <f t="shared" si="1"/>
        <v>0.9223232752</v>
      </c>
    </row>
    <row r="10242" ht="14.25" customHeight="1">
      <c r="A10242" s="2" t="s">
        <v>463</v>
      </c>
      <c r="B10242" s="2" t="s">
        <v>464</v>
      </c>
      <c r="C10242" s="2">
        <v>1993.0</v>
      </c>
      <c r="D10242" s="9">
        <v>59906.363</v>
      </c>
      <c r="E10242" s="10" t="str">
        <f t="array" ref="E10242">IFS(D10242&lt;=$G$3,'calculated data '!$A$3,D10242&lt;=$G$4,'calculated data '!$A$4,D10242&lt;=$G$6,'calculated data '!$A$5,D10242&gt;=$G$6,'calculated data '!$A$6)</f>
        <v>High Demand Tier</v>
      </c>
      <c r="F10242" s="10">
        <f t="shared" si="1"/>
        <v>0.9225350332</v>
      </c>
    </row>
    <row r="10243" ht="14.25" customHeight="1">
      <c r="A10243" s="2" t="s">
        <v>397</v>
      </c>
      <c r="B10243" s="2" t="s">
        <v>398</v>
      </c>
      <c r="C10243" s="2">
        <v>2013.0</v>
      </c>
      <c r="D10243" s="9">
        <v>59927.203</v>
      </c>
      <c r="E10243" s="10" t="str">
        <f t="array" ref="E10243">IFS(D10243&lt;=$G$3,'calculated data '!$A$3,D10243&lt;=$G$4,'calculated data '!$A$4,D10243&lt;=$G$6,'calculated data '!$A$5,D10243&gt;=$G$6,'calculated data '!$A$6)</f>
        <v>High Demand Tier</v>
      </c>
      <c r="F10243" s="10">
        <f t="shared" si="1"/>
        <v>0.9230866628</v>
      </c>
    </row>
    <row r="10244" ht="14.25" customHeight="1">
      <c r="A10244" s="2" t="s">
        <v>149</v>
      </c>
      <c r="B10244" s="2" t="s">
        <v>150</v>
      </c>
      <c r="C10244" s="2">
        <v>2014.0</v>
      </c>
      <c r="D10244" s="9">
        <v>59955.434</v>
      </c>
      <c r="E10244" s="10" t="str">
        <f t="array" ref="E10244">IFS(D10244&lt;=$G$3,'calculated data '!$A$3,D10244&lt;=$G$4,'calculated data '!$A$4,D10244&lt;=$G$6,'calculated data '!$A$5,D10244&gt;=$G$6,'calculated data '!$A$6)</f>
        <v>High Demand Tier</v>
      </c>
      <c r="F10244" s="10">
        <f t="shared" si="1"/>
        <v>0.9238339304</v>
      </c>
    </row>
    <row r="10245" ht="14.25" customHeight="1">
      <c r="A10245" s="2" t="s">
        <v>473</v>
      </c>
      <c r="B10245" s="2" t="s">
        <v>474</v>
      </c>
      <c r="C10245" s="2">
        <v>1980.0</v>
      </c>
      <c r="D10245" s="9">
        <v>59962.69</v>
      </c>
      <c r="E10245" s="10" t="str">
        <f t="array" ref="E10245">IFS(D10245&lt;=$G$3,'calculated data '!$A$3,D10245&lt;=$G$4,'calculated data '!$A$4,D10245&lt;=$G$6,'calculated data '!$A$5,D10245&gt;=$G$6,'calculated data '!$A$6)</f>
        <v>High Demand Tier</v>
      </c>
      <c r="F10245" s="10">
        <f t="shared" si="1"/>
        <v>0.9240259949</v>
      </c>
    </row>
    <row r="10246" ht="14.25" customHeight="1">
      <c r="A10246" s="2" t="s">
        <v>403</v>
      </c>
      <c r="B10246" s="2" t="s">
        <v>404</v>
      </c>
      <c r="C10246" s="2">
        <v>2009.0</v>
      </c>
      <c r="D10246" s="9">
        <v>59964.332</v>
      </c>
      <c r="E10246" s="10" t="str">
        <f t="array" ref="E10246">IFS(D10246&lt;=$G$3,'calculated data '!$A$3,D10246&lt;=$G$4,'calculated data '!$A$4,D10246&lt;=$G$6,'calculated data '!$A$5,D10246&gt;=$G$6,'calculated data '!$A$6)</f>
        <v>High Demand Tier</v>
      </c>
      <c r="F10246" s="10">
        <f t="shared" si="1"/>
        <v>0.9240694582</v>
      </c>
    </row>
    <row r="10247" ht="14.25" customHeight="1">
      <c r="A10247" s="2" t="s">
        <v>475</v>
      </c>
      <c r="B10247" s="2" t="s">
        <v>476</v>
      </c>
      <c r="C10247" s="2">
        <v>2006.0</v>
      </c>
      <c r="D10247" s="9">
        <v>60010.14</v>
      </c>
      <c r="E10247" s="10" t="str">
        <f t="array" ref="E10247">IFS(D10247&lt;=$G$3,'calculated data '!$A$3,D10247&lt;=$G$4,'calculated data '!$A$4,D10247&lt;=$G$6,'calculated data '!$A$5,D10247&gt;=$G$6,'calculated data '!$A$6)</f>
        <v>High Demand Tier</v>
      </c>
      <c r="F10247" s="10">
        <f t="shared" si="1"/>
        <v>0.9252819846</v>
      </c>
    </row>
    <row r="10248" ht="14.25" customHeight="1">
      <c r="A10248" s="2" t="s">
        <v>429</v>
      </c>
      <c r="B10248" s="2" t="s">
        <v>430</v>
      </c>
      <c r="C10248" s="2">
        <v>1986.0</v>
      </c>
      <c r="D10248" s="9">
        <v>60022.93</v>
      </c>
      <c r="E10248" s="10" t="str">
        <f t="array" ref="E10248">IFS(D10248&lt;=$G$3,'calculated data '!$A$3,D10248&lt;=$G$4,'calculated data '!$A$4,D10248&lt;=$G$6,'calculated data '!$A$5,D10248&gt;=$G$6,'calculated data '!$A$6)</f>
        <v>High Demand Tier</v>
      </c>
      <c r="F10248" s="10">
        <f t="shared" si="1"/>
        <v>0.9256205327</v>
      </c>
    </row>
    <row r="10249" ht="14.25" customHeight="1">
      <c r="A10249" s="2" t="s">
        <v>469</v>
      </c>
      <c r="B10249" s="2" t="s">
        <v>470</v>
      </c>
      <c r="C10249" s="2">
        <v>1973.0</v>
      </c>
      <c r="D10249" s="9">
        <v>60058.832</v>
      </c>
      <c r="E10249" s="10" t="str">
        <f t="array" ref="E10249">IFS(D10249&lt;=$G$3,'calculated data '!$A$3,D10249&lt;=$G$4,'calculated data '!$A$4,D10249&lt;=$G$6,'calculated data '!$A$5,D10249&gt;=$G$6,'calculated data '!$A$6)</f>
        <v>High Demand Tier</v>
      </c>
      <c r="F10249" s="10">
        <f t="shared" si="1"/>
        <v>0.9265708497</v>
      </c>
    </row>
    <row r="10250" ht="14.25" customHeight="1">
      <c r="A10250" s="2" t="s">
        <v>455</v>
      </c>
      <c r="B10250" s="2" t="s">
        <v>456</v>
      </c>
      <c r="C10250" s="2">
        <v>2014.0</v>
      </c>
      <c r="D10250" s="9">
        <v>60101.13</v>
      </c>
      <c r="E10250" s="10" t="str">
        <f t="array" ref="E10250">IFS(D10250&lt;=$G$3,'calculated data '!$A$3,D10250&lt;=$G$4,'calculated data '!$A$4,D10250&lt;=$G$6,'calculated data '!$A$5,D10250&gt;=$G$6,'calculated data '!$A$6)</f>
        <v>High Demand Tier</v>
      </c>
      <c r="F10250" s="10">
        <f t="shared" si="1"/>
        <v>0.9276904672</v>
      </c>
    </row>
    <row r="10251" ht="14.25" customHeight="1">
      <c r="A10251" s="2" t="s">
        <v>455</v>
      </c>
      <c r="B10251" s="2" t="s">
        <v>456</v>
      </c>
      <c r="C10251" s="2">
        <v>2010.0</v>
      </c>
      <c r="D10251" s="9">
        <v>60114.35</v>
      </c>
      <c r="E10251" s="10" t="str">
        <f t="array" ref="E10251">IFS(D10251&lt;=$G$3,'calculated data '!$A$3,D10251&lt;=$G$4,'calculated data '!$A$4,D10251&lt;=$G$6,'calculated data '!$A$5,D10251&gt;=$G$6,'calculated data '!$A$6)</f>
        <v>High Demand Tier</v>
      </c>
      <c r="F10251" s="10">
        <f t="shared" si="1"/>
        <v>0.9280403973</v>
      </c>
    </row>
    <row r="10252" ht="14.25" customHeight="1">
      <c r="A10252" s="2" t="s">
        <v>455</v>
      </c>
      <c r="B10252" s="2" t="s">
        <v>456</v>
      </c>
      <c r="C10252" s="2">
        <v>2016.0</v>
      </c>
      <c r="D10252" s="9">
        <v>60130.453</v>
      </c>
      <c r="E10252" s="10" t="str">
        <f t="array" ref="E10252">IFS(D10252&lt;=$G$3,'calculated data '!$A$3,D10252&lt;=$G$4,'calculated data '!$A$4,D10252&lt;=$G$6,'calculated data '!$A$5,D10252&gt;=$G$6,'calculated data '!$A$6)</f>
        <v>High Demand Tier</v>
      </c>
      <c r="F10252" s="10">
        <f t="shared" si="1"/>
        <v>0.9284666397</v>
      </c>
    </row>
    <row r="10253" ht="14.25" customHeight="1">
      <c r="A10253" s="2" t="s">
        <v>481</v>
      </c>
      <c r="B10253" s="2" t="s">
        <v>482</v>
      </c>
      <c r="C10253" s="2">
        <v>1985.0</v>
      </c>
      <c r="D10253" s="9">
        <v>60133.555</v>
      </c>
      <c r="E10253" s="10" t="str">
        <f t="array" ref="E10253">IFS(D10253&lt;=$G$3,'calculated data '!$A$3,D10253&lt;=$G$4,'calculated data '!$A$4,D10253&lt;=$G$6,'calculated data '!$A$5,D10253&gt;=$G$6,'calculated data '!$A$6)</f>
        <v>High Demand Tier</v>
      </c>
      <c r="F10253" s="10">
        <f t="shared" si="1"/>
        <v>0.9285487489</v>
      </c>
    </row>
    <row r="10254" ht="14.25" customHeight="1">
      <c r="A10254" s="2" t="s">
        <v>479</v>
      </c>
      <c r="B10254" s="2" t="s">
        <v>480</v>
      </c>
      <c r="C10254" s="2">
        <v>2025.0</v>
      </c>
      <c r="D10254" s="9">
        <v>60167.633</v>
      </c>
      <c r="E10254" s="10" t="str">
        <f t="array" ref="E10254">IFS(D10254&lt;=$G$3,'calculated data '!$A$3,D10254&lt;=$G$4,'calculated data '!$A$4,D10254&lt;=$G$6,'calculated data '!$A$5,D10254&gt;=$G$6,'calculated data '!$A$6)</f>
        <v>High Demand Tier</v>
      </c>
      <c r="F10254" s="10">
        <f t="shared" si="1"/>
        <v>0.929450785</v>
      </c>
    </row>
    <row r="10255" ht="14.25" customHeight="1">
      <c r="A10255" s="2" t="s">
        <v>461</v>
      </c>
      <c r="B10255" s="2" t="s">
        <v>462</v>
      </c>
      <c r="C10255" s="2">
        <v>1975.0</v>
      </c>
      <c r="D10255" s="9">
        <v>60186.875</v>
      </c>
      <c r="E10255" s="10" t="str">
        <f t="array" ref="E10255">IFS(D10255&lt;=$G$3,'calculated data '!$A$3,D10255&lt;=$G$4,'calculated data '!$A$4,D10255&lt;=$G$6,'calculated data '!$A$5,D10255&gt;=$G$6,'calculated data '!$A$6)</f>
        <v>High Demand Tier</v>
      </c>
      <c r="F10255" s="10">
        <f t="shared" si="1"/>
        <v>0.929960116</v>
      </c>
    </row>
    <row r="10256" ht="14.25" customHeight="1">
      <c r="A10256" s="2" t="s">
        <v>455</v>
      </c>
      <c r="B10256" s="2" t="s">
        <v>456</v>
      </c>
      <c r="C10256" s="2">
        <v>2011.0</v>
      </c>
      <c r="D10256" s="9">
        <v>60187.496</v>
      </c>
      <c r="E10256" s="10" t="str">
        <f t="array" ref="E10256">IFS(D10256&lt;=$G$3,'calculated data '!$A$3,D10256&lt;=$G$4,'calculated data '!$A$4,D10256&lt;=$G$6,'calculated data '!$A$5,D10256&gt;=$G$6,'calculated data '!$A$6)</f>
        <v>High Demand Tier</v>
      </c>
      <c r="F10256" s="10">
        <f t="shared" si="1"/>
        <v>0.9299765537</v>
      </c>
    </row>
    <row r="10257" ht="14.25" customHeight="1">
      <c r="A10257" s="2" t="s">
        <v>479</v>
      </c>
      <c r="B10257" s="2" t="s">
        <v>480</v>
      </c>
      <c r="C10257" s="2">
        <v>2024.0</v>
      </c>
      <c r="D10257" s="9">
        <v>60189.844</v>
      </c>
      <c r="E10257" s="10" t="str">
        <f t="array" ref="E10257">IFS(D10257&lt;=$G$3,'calculated data '!$A$3,D10257&lt;=$G$4,'calculated data '!$A$4,D10257&lt;=$G$6,'calculated data '!$A$5,D10257&gt;=$G$6,'calculated data '!$A$6)</f>
        <v>High Demand Tier</v>
      </c>
      <c r="F10257" s="10">
        <f t="shared" si="1"/>
        <v>0.9300387047</v>
      </c>
    </row>
    <row r="10258" ht="14.25" customHeight="1">
      <c r="A10258" s="2" t="s">
        <v>485</v>
      </c>
      <c r="B10258" s="2" t="s">
        <v>486</v>
      </c>
      <c r="C10258" s="2">
        <v>1987.0</v>
      </c>
      <c r="D10258" s="9">
        <v>60201.16</v>
      </c>
      <c r="E10258" s="10" t="str">
        <f t="array" ref="E10258">IFS(D10258&lt;=$G$3,'calculated data '!$A$3,D10258&lt;=$G$4,'calculated data '!$A$4,D10258&lt;=$G$6,'calculated data '!$A$5,D10258&gt;=$G$6,'calculated data '!$A$6)</f>
        <v>High Demand Tier</v>
      </c>
      <c r="F10258" s="10">
        <f t="shared" si="1"/>
        <v>0.9303382364</v>
      </c>
    </row>
    <row r="10259" ht="14.25" customHeight="1">
      <c r="A10259" s="2" t="s">
        <v>475</v>
      </c>
      <c r="B10259" s="2" t="s">
        <v>476</v>
      </c>
      <c r="C10259" s="2">
        <v>1990.0</v>
      </c>
      <c r="D10259" s="9">
        <v>60202.69</v>
      </c>
      <c r="E10259" s="10" t="str">
        <f t="array" ref="E10259">IFS(D10259&lt;=$G$3,'calculated data '!$A$3,D10259&lt;=$G$4,'calculated data '!$A$4,D10259&lt;=$G$6,'calculated data '!$A$5,D10259&gt;=$G$6,'calculated data '!$A$6)</f>
        <v>High Demand Tier</v>
      </c>
      <c r="F10259" s="10">
        <f t="shared" si="1"/>
        <v>0.9303787351</v>
      </c>
    </row>
    <row r="10260" ht="14.25" customHeight="1">
      <c r="A10260" s="2" t="s">
        <v>445</v>
      </c>
      <c r="B10260" s="2" t="s">
        <v>446</v>
      </c>
      <c r="C10260" s="2">
        <v>1985.0</v>
      </c>
      <c r="D10260" s="9">
        <v>60213.793</v>
      </c>
      <c r="E10260" s="10" t="str">
        <f t="array" ref="E10260">IFS(D10260&lt;=$G$3,'calculated data '!$A$3,D10260&lt;=$G$4,'calculated data '!$A$4,D10260&lt;=$G$6,'calculated data '!$A$5,D10260&gt;=$G$6,'calculated data '!$A$6)</f>
        <v>High Demand Tier</v>
      </c>
      <c r="F10260" s="10">
        <f t="shared" si="1"/>
        <v>0.9306726287</v>
      </c>
    </row>
    <row r="10261" ht="14.25" customHeight="1">
      <c r="A10261" s="2" t="s">
        <v>461</v>
      </c>
      <c r="B10261" s="2" t="s">
        <v>462</v>
      </c>
      <c r="C10261" s="2">
        <v>1974.0</v>
      </c>
      <c r="D10261" s="9">
        <v>60221.89</v>
      </c>
      <c r="E10261" s="10" t="str">
        <f t="array" ref="E10261">IFS(D10261&lt;=$G$3,'calculated data '!$A$3,D10261&lt;=$G$4,'calculated data '!$A$4,D10261&lt;=$G$6,'calculated data '!$A$5,D10261&gt;=$G$6,'calculated data '!$A$6)</f>
        <v>High Demand Tier</v>
      </c>
      <c r="F10261" s="10">
        <f t="shared" si="1"/>
        <v>0.9308869543</v>
      </c>
    </row>
    <row r="10262" ht="14.25" customHeight="1">
      <c r="A10262" s="2" t="s">
        <v>455</v>
      </c>
      <c r="B10262" s="2" t="s">
        <v>456</v>
      </c>
      <c r="C10262" s="2">
        <v>1994.0</v>
      </c>
      <c r="D10262" s="9">
        <v>60230.188</v>
      </c>
      <c r="E10262" s="10" t="str">
        <f t="array" ref="E10262">IFS(D10262&lt;=$G$3,'calculated data '!$A$3,D10262&lt;=$G$4,'calculated data '!$A$4,D10262&lt;=$G$6,'calculated data '!$A$5,D10262&gt;=$G$6,'calculated data '!$A$6)</f>
        <v>High Demand Tier</v>
      </c>
      <c r="F10262" s="10">
        <f t="shared" si="1"/>
        <v>0.9311066003</v>
      </c>
    </row>
    <row r="10263" ht="14.25" customHeight="1">
      <c r="A10263" s="2" t="s">
        <v>487</v>
      </c>
      <c r="B10263" s="2" t="s">
        <v>488</v>
      </c>
      <c r="C10263" s="2">
        <v>2000.0</v>
      </c>
      <c r="D10263" s="9">
        <v>60239.23</v>
      </c>
      <c r="E10263" s="10" t="str">
        <f t="array" ref="E10263">IFS(D10263&lt;=$G$3,'calculated data '!$A$3,D10263&lt;=$G$4,'calculated data '!$A$4,D10263&lt;=$G$6,'calculated data '!$A$5,D10263&gt;=$G$6,'calculated data '!$A$6)</f>
        <v>High Demand Tier</v>
      </c>
      <c r="F10263" s="10">
        <f t="shared" si="1"/>
        <v>0.9313459398</v>
      </c>
    </row>
    <row r="10264" ht="14.25" customHeight="1">
      <c r="A10264" s="2" t="s">
        <v>477</v>
      </c>
      <c r="B10264" s="2" t="s">
        <v>478</v>
      </c>
      <c r="C10264" s="2">
        <v>1988.0</v>
      </c>
      <c r="D10264" s="9">
        <v>60279.555</v>
      </c>
      <c r="E10264" s="10" t="str">
        <f t="array" ref="E10264">IFS(D10264&lt;=$G$3,'calculated data '!$A$3,D10264&lt;=$G$4,'calculated data '!$A$4,D10264&lt;=$G$6,'calculated data '!$A$5,D10264&gt;=$G$6,'calculated data '!$A$6)</f>
        <v>High Demand Tier</v>
      </c>
      <c r="F10264" s="10">
        <f t="shared" si="1"/>
        <v>0.9324133325</v>
      </c>
    </row>
    <row r="10265" ht="14.25" customHeight="1">
      <c r="A10265" s="2" t="s">
        <v>397</v>
      </c>
      <c r="B10265" s="2" t="s">
        <v>398</v>
      </c>
      <c r="C10265" s="2">
        <v>1992.0</v>
      </c>
      <c r="D10265" s="9">
        <v>60340.633</v>
      </c>
      <c r="E10265" s="10" t="str">
        <f t="array" ref="E10265">IFS(D10265&lt;=$G$3,'calculated data '!$A$3,D10265&lt;=$G$4,'calculated data '!$A$4,D10265&lt;=$G$6,'calculated data '!$A$5,D10265&gt;=$G$6,'calculated data '!$A$6)</f>
        <v>High Demand Tier</v>
      </c>
      <c r="F10265" s="10">
        <f t="shared" si="1"/>
        <v>0.934030052</v>
      </c>
    </row>
    <row r="10266" ht="14.25" customHeight="1">
      <c r="A10266" s="2" t="s">
        <v>487</v>
      </c>
      <c r="B10266" s="2" t="s">
        <v>488</v>
      </c>
      <c r="C10266" s="2">
        <v>1999.0</v>
      </c>
      <c r="D10266" s="9">
        <v>60379.188</v>
      </c>
      <c r="E10266" s="10" t="str">
        <f t="array" ref="E10266">IFS(D10266&lt;=$G$3,'calculated data '!$A$3,D10266&lt;=$G$4,'calculated data '!$A$4,D10266&lt;=$G$6,'calculated data '!$A$5,D10266&gt;=$G$6,'calculated data '!$A$6)</f>
        <v>High Demand Tier</v>
      </c>
      <c r="F10266" s="10">
        <f t="shared" si="1"/>
        <v>0.9350505932</v>
      </c>
    </row>
    <row r="10267" ht="14.25" customHeight="1">
      <c r="A10267" s="2" t="s">
        <v>465</v>
      </c>
      <c r="B10267" s="2" t="s">
        <v>466</v>
      </c>
      <c r="C10267" s="2">
        <v>1981.0</v>
      </c>
      <c r="D10267" s="9">
        <v>60404.395</v>
      </c>
      <c r="E10267" s="10" t="str">
        <f t="array" ref="E10267">IFS(D10267&lt;=$G$3,'calculated data '!$A$3,D10267&lt;=$G$4,'calculated data '!$A$4,D10267&lt;=$G$6,'calculated data '!$A$5,D10267&gt;=$G$6,'calculated data '!$A$6)</f>
        <v>High Demand Tier</v>
      </c>
      <c r="F10267" s="10">
        <f t="shared" si="1"/>
        <v>0.9357178162</v>
      </c>
    </row>
    <row r="10268" ht="14.25" customHeight="1">
      <c r="A10268" s="2" t="s">
        <v>457</v>
      </c>
      <c r="B10268" s="2" t="s">
        <v>458</v>
      </c>
      <c r="C10268" s="2">
        <v>1989.0</v>
      </c>
      <c r="D10268" s="9">
        <v>60417.88</v>
      </c>
      <c r="E10268" s="10" t="str">
        <f t="array" ref="E10268">IFS(D10268&lt;=$G$3,'calculated data '!$A$3,D10268&lt;=$G$4,'calculated data '!$A$4,D10268&lt;=$G$6,'calculated data '!$A$5,D10268&gt;=$G$6,'calculated data '!$A$6)</f>
        <v>High Demand Tier</v>
      </c>
      <c r="F10268" s="10">
        <f t="shared" si="1"/>
        <v>0.9360747608</v>
      </c>
    </row>
    <row r="10269" ht="14.25" customHeight="1">
      <c r="A10269" s="2" t="s">
        <v>481</v>
      </c>
      <c r="B10269" s="2" t="s">
        <v>482</v>
      </c>
      <c r="C10269" s="2">
        <v>1990.0</v>
      </c>
      <c r="D10269" s="9">
        <v>60430.977</v>
      </c>
      <c r="E10269" s="10" t="str">
        <f t="array" ref="E10269">IFS(D10269&lt;=$G$3,'calculated data '!$A$3,D10269&lt;=$G$4,'calculated data '!$A$4,D10269&lt;=$G$6,'calculated data '!$A$5,D10269&gt;=$G$6,'calculated data '!$A$6)</f>
        <v>High Demand Tier</v>
      </c>
      <c r="F10269" s="10">
        <f t="shared" si="1"/>
        <v>0.9364214351</v>
      </c>
    </row>
    <row r="10270" ht="14.25" customHeight="1">
      <c r="A10270" s="2" t="s">
        <v>477</v>
      </c>
      <c r="B10270" s="2" t="s">
        <v>478</v>
      </c>
      <c r="C10270" s="2">
        <v>1979.0</v>
      </c>
      <c r="D10270" s="9">
        <v>60441.438</v>
      </c>
      <c r="E10270" s="10" t="str">
        <f t="array" ref="E10270">IFS(D10270&lt;=$G$3,'calculated data '!$A$3,D10270&lt;=$G$4,'calculated data '!$A$4,D10270&lt;=$G$6,'calculated data '!$A$5,D10270&gt;=$G$6,'calculated data '!$A$6)</f>
        <v>High Demand Tier</v>
      </c>
      <c r="F10270" s="10">
        <f t="shared" si="1"/>
        <v>0.9366983352</v>
      </c>
    </row>
    <row r="10271" ht="14.25" customHeight="1">
      <c r="A10271" s="2" t="s">
        <v>445</v>
      </c>
      <c r="B10271" s="2" t="s">
        <v>446</v>
      </c>
      <c r="C10271" s="2">
        <v>1991.0</v>
      </c>
      <c r="D10271" s="9">
        <v>60451.203</v>
      </c>
      <c r="E10271" s="10" t="str">
        <f t="array" ref="E10271">IFS(D10271&lt;=$G$3,'calculated data '!$A$3,D10271&lt;=$G$4,'calculated data '!$A$4,D10271&lt;=$G$6,'calculated data '!$A$5,D10271&gt;=$G$6,'calculated data '!$A$6)</f>
        <v>High Demand Tier</v>
      </c>
      <c r="F10271" s="10">
        <f t="shared" si="1"/>
        <v>0.9369568123</v>
      </c>
    </row>
    <row r="10272" ht="14.25" customHeight="1">
      <c r="A10272" s="2" t="s">
        <v>469</v>
      </c>
      <c r="B10272" s="2" t="s">
        <v>470</v>
      </c>
      <c r="C10272" s="2">
        <v>1993.0</v>
      </c>
      <c r="D10272" s="9">
        <v>60456.516</v>
      </c>
      <c r="E10272" s="10" t="str">
        <f t="array" ref="E10272">IFS(D10272&lt;=$G$3,'calculated data '!$A$3,D10272&lt;=$G$4,'calculated data '!$A$4,D10272&lt;=$G$6,'calculated data '!$A$5,D10272&gt;=$G$6,'calculated data '!$A$6)</f>
        <v>High Demand Tier</v>
      </c>
      <c r="F10272" s="10">
        <f t="shared" si="1"/>
        <v>0.9370974461</v>
      </c>
    </row>
    <row r="10273" ht="14.25" customHeight="1">
      <c r="A10273" s="2" t="s">
        <v>343</v>
      </c>
      <c r="B10273" s="2" t="s">
        <v>344</v>
      </c>
      <c r="C10273" s="2">
        <v>2009.0</v>
      </c>
      <c r="D10273" s="9">
        <v>60474.445</v>
      </c>
      <c r="E10273" s="10" t="str">
        <f t="array" ref="E10273">IFS(D10273&lt;=$G$3,'calculated data '!$A$3,D10273&lt;=$G$4,'calculated data '!$A$4,D10273&lt;=$G$6,'calculated data '!$A$5,D10273&gt;=$G$6,'calculated data '!$A$6)</f>
        <v>High Demand Tier</v>
      </c>
      <c r="F10273" s="10">
        <f t="shared" si="1"/>
        <v>0.9375720223</v>
      </c>
    </row>
    <row r="10274" ht="14.25" customHeight="1">
      <c r="A10274" s="2" t="s">
        <v>455</v>
      </c>
      <c r="B10274" s="2" t="s">
        <v>456</v>
      </c>
      <c r="C10274" s="2">
        <v>1993.0</v>
      </c>
      <c r="D10274" s="9">
        <v>60488.88</v>
      </c>
      <c r="E10274" s="10" t="str">
        <f t="array" ref="E10274">IFS(D10274&lt;=$G$3,'calculated data '!$A$3,D10274&lt;=$G$4,'calculated data '!$A$4,D10274&lt;=$G$6,'calculated data '!$A$5,D10274&gt;=$G$6,'calculated data '!$A$6)</f>
        <v>High Demand Tier</v>
      </c>
      <c r="F10274" s="10">
        <f t="shared" si="1"/>
        <v>0.9379541131</v>
      </c>
    </row>
    <row r="10275" ht="14.25" customHeight="1">
      <c r="A10275" s="2" t="s">
        <v>485</v>
      </c>
      <c r="B10275" s="2" t="s">
        <v>486</v>
      </c>
      <c r="C10275" s="2">
        <v>1969.0</v>
      </c>
      <c r="D10275" s="9">
        <v>60492.258</v>
      </c>
      <c r="E10275" s="10" t="str">
        <f t="array" ref="E10275">IFS(D10275&lt;=$G$3,'calculated data '!$A$3,D10275&lt;=$G$4,'calculated data '!$A$4,D10275&lt;=$G$6,'calculated data '!$A$5,D10275&gt;=$G$6,'calculated data '!$A$6)</f>
        <v>High Demand Tier</v>
      </c>
      <c r="F10275" s="10">
        <f t="shared" si="1"/>
        <v>0.9380435279</v>
      </c>
    </row>
    <row r="10276" ht="14.25" customHeight="1">
      <c r="A10276" s="2" t="s">
        <v>481</v>
      </c>
      <c r="B10276" s="2" t="s">
        <v>482</v>
      </c>
      <c r="C10276" s="2">
        <v>1989.0</v>
      </c>
      <c r="D10276" s="9">
        <v>60503.754</v>
      </c>
      <c r="E10276" s="10" t="str">
        <f t="array" ref="E10276">IFS(D10276&lt;=$G$3,'calculated data '!$A$3,D10276&lt;=$G$4,'calculated data '!$A$4,D10276&lt;=$G$6,'calculated data '!$A$5,D10276&gt;=$G$6,'calculated data '!$A$6)</f>
        <v>High Demand Tier</v>
      </c>
      <c r="F10276" s="10">
        <f t="shared" si="1"/>
        <v>0.9383478242</v>
      </c>
    </row>
    <row r="10277" ht="14.25" customHeight="1">
      <c r="A10277" s="2" t="s">
        <v>475</v>
      </c>
      <c r="B10277" s="2" t="s">
        <v>476</v>
      </c>
      <c r="C10277" s="2">
        <v>1995.0</v>
      </c>
      <c r="D10277" s="9">
        <v>60545.2</v>
      </c>
      <c r="E10277" s="10" t="str">
        <f t="array" ref="E10277">IFS(D10277&lt;=$G$3,'calculated data '!$A$3,D10277&lt;=$G$4,'calculated data '!$A$4,D10277&lt;=$G$6,'calculated data '!$A$5,D10277&gt;=$G$6,'calculated data '!$A$6)</f>
        <v>High Demand Tier</v>
      </c>
      <c r="F10277" s="10">
        <f t="shared" si="1"/>
        <v>0.9394448895</v>
      </c>
    </row>
    <row r="10278" ht="14.25" customHeight="1">
      <c r="A10278" s="2" t="s">
        <v>427</v>
      </c>
      <c r="B10278" s="2" t="s">
        <v>428</v>
      </c>
      <c r="C10278" s="2">
        <v>2021.0</v>
      </c>
      <c r="D10278" s="9">
        <v>60552.074</v>
      </c>
      <c r="E10278" s="10" t="str">
        <f t="array" ref="E10278">IFS(D10278&lt;=$G$3,'calculated data '!$A$3,D10278&lt;=$G$4,'calculated data '!$A$4,D10278&lt;=$G$6,'calculated data '!$A$5,D10278&gt;=$G$6,'calculated data '!$A$6)</f>
        <v>High Demand Tier</v>
      </c>
      <c r="F10278" s="10">
        <f t="shared" si="1"/>
        <v>0.9396268426</v>
      </c>
    </row>
    <row r="10279" ht="14.25" customHeight="1">
      <c r="A10279" s="2" t="s">
        <v>477</v>
      </c>
      <c r="B10279" s="2" t="s">
        <v>478</v>
      </c>
      <c r="C10279" s="2">
        <v>1989.0</v>
      </c>
      <c r="D10279" s="9">
        <v>60571.688</v>
      </c>
      <c r="E10279" s="10" t="str">
        <f t="array" ref="E10279">IFS(D10279&lt;=$G$3,'calculated data '!$A$3,D10279&lt;=$G$4,'calculated data '!$A$4,D10279&lt;=$G$6,'calculated data '!$A$5,D10279&gt;=$G$6,'calculated data '!$A$6)</f>
        <v>High Demand Tier</v>
      </c>
      <c r="F10279" s="10">
        <f t="shared" si="1"/>
        <v>0.9401460203</v>
      </c>
    </row>
    <row r="10280" ht="14.25" customHeight="1">
      <c r="A10280" s="2" t="s">
        <v>461</v>
      </c>
      <c r="B10280" s="2" t="s">
        <v>462</v>
      </c>
      <c r="C10280" s="2">
        <v>1972.0</v>
      </c>
      <c r="D10280" s="9">
        <v>60572.164</v>
      </c>
      <c r="E10280" s="10" t="str">
        <f t="array" ref="E10280">IFS(D10280&lt;=$G$3,'calculated data '!$A$3,D10280&lt;=$G$4,'calculated data '!$A$4,D10280&lt;=$G$6,'calculated data '!$A$5,D10280&gt;=$G$6,'calculated data '!$A$6)</f>
        <v>High Demand Tier</v>
      </c>
      <c r="F10280" s="10">
        <f t="shared" si="1"/>
        <v>0.9401586199</v>
      </c>
    </row>
    <row r="10281" ht="14.25" customHeight="1">
      <c r="A10281" s="2" t="s">
        <v>475</v>
      </c>
      <c r="B10281" s="2" t="s">
        <v>476</v>
      </c>
      <c r="C10281" s="2">
        <v>1982.0</v>
      </c>
      <c r="D10281" s="9">
        <v>60599.074</v>
      </c>
      <c r="E10281" s="10" t="str">
        <f t="array" ref="E10281">IFS(D10281&lt;=$G$3,'calculated data '!$A$3,D10281&lt;=$G$4,'calculated data '!$A$4,D10281&lt;=$G$6,'calculated data '!$A$5,D10281&gt;=$G$6,'calculated data '!$A$6)</f>
        <v>High Demand Tier</v>
      </c>
      <c r="F10281" s="10">
        <f t="shared" si="1"/>
        <v>0.9408709209</v>
      </c>
    </row>
    <row r="10282" ht="14.25" customHeight="1">
      <c r="A10282" s="2" t="s">
        <v>475</v>
      </c>
      <c r="B10282" s="2" t="s">
        <v>476</v>
      </c>
      <c r="C10282" s="2">
        <v>2002.0</v>
      </c>
      <c r="D10282" s="9">
        <v>60608.508</v>
      </c>
      <c r="E10282" s="10" t="str">
        <f t="array" ref="E10282">IFS(D10282&lt;=$G$3,'calculated data '!$A$3,D10282&lt;=$G$4,'calculated data '!$A$4,D10282&lt;=$G$6,'calculated data '!$A$5,D10282&gt;=$G$6,'calculated data '!$A$6)</f>
        <v>High Demand Tier</v>
      </c>
      <c r="F10282" s="10">
        <f t="shared" si="1"/>
        <v>0.9411206365</v>
      </c>
    </row>
    <row r="10283" ht="14.25" customHeight="1">
      <c r="A10283" s="2" t="s">
        <v>149</v>
      </c>
      <c r="B10283" s="2" t="s">
        <v>150</v>
      </c>
      <c r="C10283" s="2">
        <v>2012.0</v>
      </c>
      <c r="D10283" s="9">
        <v>60721.0</v>
      </c>
      <c r="E10283" s="10" t="str">
        <f t="array" ref="E10283">IFS(D10283&lt;=$G$3,'calculated data '!$A$3,D10283&lt;=$G$4,'calculated data '!$A$4,D10283&lt;=$G$6,'calculated data '!$A$5,D10283&gt;=$G$6,'calculated data '!$A$6)</f>
        <v>High Demand Tier</v>
      </c>
      <c r="F10283" s="10">
        <f t="shared" si="1"/>
        <v>0.9440982717</v>
      </c>
    </row>
    <row r="10284" ht="14.25" customHeight="1">
      <c r="A10284" s="2" t="s">
        <v>455</v>
      </c>
      <c r="B10284" s="2" t="s">
        <v>456</v>
      </c>
      <c r="C10284" s="2">
        <v>2009.0</v>
      </c>
      <c r="D10284" s="9">
        <v>60768.516</v>
      </c>
      <c r="E10284" s="10" t="str">
        <f t="array" ref="E10284">IFS(D10284&lt;=$G$3,'calculated data '!$A$3,D10284&lt;=$G$4,'calculated data '!$A$4,D10284&lt;=$G$6,'calculated data '!$A$5,D10284&gt;=$G$6,'calculated data '!$A$6)</f>
        <v>High Demand Tier</v>
      </c>
      <c r="F10284" s="10">
        <f t="shared" si="1"/>
        <v>0.9453560084</v>
      </c>
    </row>
    <row r="10285" ht="14.25" customHeight="1">
      <c r="A10285" s="2" t="s">
        <v>399</v>
      </c>
      <c r="B10285" s="2" t="s">
        <v>400</v>
      </c>
      <c r="C10285" s="2">
        <v>1991.0</v>
      </c>
      <c r="D10285" s="9">
        <v>60780.098</v>
      </c>
      <c r="E10285" s="10" t="str">
        <f t="array" ref="E10285">IFS(D10285&lt;=$G$3,'calculated data '!$A$3,D10285&lt;=$G$4,'calculated data '!$A$4,D10285&lt;=$G$6,'calculated data '!$A$5,D10285&gt;=$G$6,'calculated data '!$A$6)</f>
        <v>High Demand Tier</v>
      </c>
      <c r="F10285" s="10">
        <f t="shared" si="1"/>
        <v>0.945662581</v>
      </c>
    </row>
    <row r="10286" ht="14.25" customHeight="1">
      <c r="A10286" s="2" t="s">
        <v>445</v>
      </c>
      <c r="B10286" s="2" t="s">
        <v>446</v>
      </c>
      <c r="C10286" s="2">
        <v>1986.0</v>
      </c>
      <c r="D10286" s="9">
        <v>60864.18</v>
      </c>
      <c r="E10286" s="10" t="str">
        <f t="array" ref="E10286">IFS(D10286&lt;=$G$3,'calculated data '!$A$3,D10286&lt;=$G$4,'calculated data '!$A$4,D10286&lt;=$G$6,'calculated data '!$A$5,D10286&gt;=$G$6,'calculated data '!$A$6)</f>
        <v>High Demand Tier</v>
      </c>
      <c r="F10286" s="10">
        <f t="shared" si="1"/>
        <v>0.9478882106</v>
      </c>
    </row>
    <row r="10287" ht="14.25" customHeight="1">
      <c r="A10287" s="2" t="s">
        <v>481</v>
      </c>
      <c r="B10287" s="2" t="s">
        <v>482</v>
      </c>
      <c r="C10287" s="2">
        <v>1986.0</v>
      </c>
      <c r="D10287" s="9">
        <v>60864.902</v>
      </c>
      <c r="E10287" s="10" t="str">
        <f t="array" ref="E10287">IFS(D10287&lt;=$G$3,'calculated data '!$A$3,D10287&lt;=$G$4,'calculated data '!$A$4,D10287&lt;=$G$6,'calculated data '!$A$5,D10287&gt;=$G$6,'calculated data '!$A$6)</f>
        <v>High Demand Tier</v>
      </c>
      <c r="F10287" s="10">
        <f t="shared" si="1"/>
        <v>0.9479073218</v>
      </c>
    </row>
    <row r="10288" ht="14.25" customHeight="1">
      <c r="A10288" s="2" t="s">
        <v>481</v>
      </c>
      <c r="B10288" s="2" t="s">
        <v>482</v>
      </c>
      <c r="C10288" s="2">
        <v>1988.0</v>
      </c>
      <c r="D10288" s="9">
        <v>60871.758</v>
      </c>
      <c r="E10288" s="10" t="str">
        <f t="array" ref="E10288">IFS(D10288&lt;=$G$3,'calculated data '!$A$3,D10288&lt;=$G$4,'calculated data '!$A$4,D10288&lt;=$G$6,'calculated data '!$A$5,D10288&gt;=$G$6,'calculated data '!$A$6)</f>
        <v>High Demand Tier</v>
      </c>
      <c r="F10288" s="10">
        <f t="shared" si="1"/>
        <v>0.9480887984</v>
      </c>
    </row>
    <row r="10289" ht="14.25" customHeight="1">
      <c r="A10289" s="2" t="s">
        <v>343</v>
      </c>
      <c r="B10289" s="2" t="s">
        <v>344</v>
      </c>
      <c r="C10289" s="2">
        <v>2013.0</v>
      </c>
      <c r="D10289" s="9">
        <v>60896.258</v>
      </c>
      <c r="E10289" s="10" t="str">
        <f t="array" ref="E10289">IFS(D10289&lt;=$G$3,'calculated data '!$A$3,D10289&lt;=$G$4,'calculated data '!$A$4,D10289&lt;=$G$6,'calculated data '!$A$5,D10289&gt;=$G$6,'calculated data '!$A$6)</f>
        <v>High Demand Tier</v>
      </c>
      <c r="F10289" s="10">
        <f t="shared" si="1"/>
        <v>0.9487373073</v>
      </c>
    </row>
    <row r="10290" ht="14.25" customHeight="1">
      <c r="A10290" s="2" t="s">
        <v>491</v>
      </c>
      <c r="B10290" s="2" t="s">
        <v>492</v>
      </c>
      <c r="C10290" s="2">
        <v>1976.0</v>
      </c>
      <c r="D10290" s="9">
        <v>60898.13</v>
      </c>
      <c r="E10290" s="10" t="str">
        <f t="array" ref="E10290">IFS(D10290&lt;=$G$3,'calculated data '!$A$3,D10290&lt;=$G$4,'calculated data '!$A$4,D10290&lt;=$G$6,'calculated data '!$A$5,D10290&gt;=$G$6,'calculated data '!$A$6)</f>
        <v>High Demand Tier</v>
      </c>
      <c r="F10290" s="10">
        <f t="shared" si="1"/>
        <v>0.9487868587</v>
      </c>
    </row>
    <row r="10291" ht="14.25" customHeight="1">
      <c r="A10291" s="2" t="s">
        <v>149</v>
      </c>
      <c r="B10291" s="2" t="s">
        <v>150</v>
      </c>
      <c r="C10291" s="2">
        <v>1999.0</v>
      </c>
      <c r="D10291" s="9">
        <v>60941.17</v>
      </c>
      <c r="E10291" s="10" t="str">
        <f t="array" ref="E10291">IFS(D10291&lt;=$G$3,'calculated data '!$A$3,D10291&lt;=$G$4,'calculated data '!$A$4,D10291&lt;=$G$6,'calculated data '!$A$5,D10291&gt;=$G$6,'calculated data '!$A$6)</f>
        <v>High Demand Tier</v>
      </c>
      <c r="F10291" s="10">
        <f t="shared" si="1"/>
        <v>0.9499261168</v>
      </c>
    </row>
    <row r="10292" ht="14.25" customHeight="1">
      <c r="A10292" s="2" t="s">
        <v>473</v>
      </c>
      <c r="B10292" s="2" t="s">
        <v>474</v>
      </c>
      <c r="C10292" s="2">
        <v>1984.0</v>
      </c>
      <c r="D10292" s="9">
        <v>60948.375</v>
      </c>
      <c r="E10292" s="10" t="str">
        <f t="array" ref="E10292">IFS(D10292&lt;=$G$3,'calculated data '!$A$3,D10292&lt;=$G$4,'calculated data '!$A$4,D10292&lt;=$G$6,'calculated data '!$A$5,D10292&gt;=$G$6,'calculated data '!$A$6)</f>
        <v>High Demand Tier</v>
      </c>
      <c r="F10292" s="10">
        <f t="shared" si="1"/>
        <v>0.9501168313</v>
      </c>
    </row>
    <row r="10293" ht="14.25" customHeight="1">
      <c r="A10293" s="2" t="s">
        <v>397</v>
      </c>
      <c r="B10293" s="2" t="s">
        <v>398</v>
      </c>
      <c r="C10293" s="2">
        <v>1993.0</v>
      </c>
      <c r="D10293" s="9">
        <v>60950.688</v>
      </c>
      <c r="E10293" s="10" t="str">
        <f t="array" ref="E10293">IFS(D10293&lt;=$G$3,'calculated data '!$A$3,D10293&lt;=$G$4,'calculated data '!$A$4,D10293&lt;=$G$6,'calculated data '!$A$5,D10293&gt;=$G$6,'calculated data '!$A$6)</f>
        <v>High Demand Tier</v>
      </c>
      <c r="F10293" s="10">
        <f t="shared" si="1"/>
        <v>0.9501780559</v>
      </c>
    </row>
    <row r="10294" ht="14.25" customHeight="1">
      <c r="A10294" s="2" t="s">
        <v>493</v>
      </c>
      <c r="B10294" s="2" t="s">
        <v>494</v>
      </c>
      <c r="C10294" s="2">
        <v>1966.0</v>
      </c>
      <c r="D10294" s="9">
        <v>60959.363</v>
      </c>
      <c r="E10294" s="10" t="str">
        <f t="array" ref="E10294">IFS(D10294&lt;=$G$3,'calculated data '!$A$3,D10294&lt;=$G$4,'calculated data '!$A$4,D10294&lt;=$G$6,'calculated data '!$A$5,D10294&gt;=$G$6,'calculated data '!$A$6)</f>
        <v>High Demand Tier</v>
      </c>
      <c r="F10294" s="10">
        <f t="shared" si="1"/>
        <v>0.950407681</v>
      </c>
    </row>
    <row r="10295" ht="14.25" customHeight="1">
      <c r="A10295" s="2" t="s">
        <v>475</v>
      </c>
      <c r="B10295" s="2" t="s">
        <v>476</v>
      </c>
      <c r="C10295" s="2">
        <v>1997.0</v>
      </c>
      <c r="D10295" s="9">
        <v>60973.406</v>
      </c>
      <c r="E10295" s="10" t="str">
        <f t="array" ref="E10295">IFS(D10295&lt;=$G$3,'calculated data '!$A$3,D10295&lt;=$G$4,'calculated data '!$A$4,D10295&lt;=$G$6,'calculated data '!$A$5,D10295&gt;=$G$6,'calculated data '!$A$6)</f>
        <v>High Demand Tier</v>
      </c>
      <c r="F10295" s="10">
        <f t="shared" si="1"/>
        <v>0.9507793957</v>
      </c>
    </row>
    <row r="10296" ht="14.25" customHeight="1">
      <c r="A10296" s="2" t="s">
        <v>405</v>
      </c>
      <c r="B10296" s="2" t="s">
        <v>406</v>
      </c>
      <c r="C10296" s="2">
        <v>1988.0</v>
      </c>
      <c r="D10296" s="9">
        <v>60980.816</v>
      </c>
      <c r="E10296" s="10" t="str">
        <f t="array" ref="E10296">IFS(D10296&lt;=$G$3,'calculated data '!$A$3,D10296&lt;=$G$4,'calculated data '!$A$4,D10296&lt;=$G$6,'calculated data '!$A$5,D10296&gt;=$G$6,'calculated data '!$A$6)</f>
        <v>High Demand Tier</v>
      </c>
      <c r="F10296" s="10">
        <f t="shared" si="1"/>
        <v>0.9509755365</v>
      </c>
    </row>
    <row r="10297" ht="14.25" customHeight="1">
      <c r="A10297" s="2" t="s">
        <v>475</v>
      </c>
      <c r="B10297" s="2" t="s">
        <v>476</v>
      </c>
      <c r="C10297" s="2">
        <v>1991.0</v>
      </c>
      <c r="D10297" s="9">
        <v>60991.55</v>
      </c>
      <c r="E10297" s="10" t="str">
        <f t="array" ref="E10297">IFS(D10297&lt;=$G$3,'calculated data '!$A$3,D10297&lt;=$G$4,'calculated data '!$A$4,D10297&lt;=$G$6,'calculated data '!$A$5,D10297&gt;=$G$6,'calculated data '!$A$6)</f>
        <v>High Demand Tier</v>
      </c>
      <c r="F10297" s="10">
        <f t="shared" si="1"/>
        <v>0.9512596628</v>
      </c>
    </row>
    <row r="10298" ht="14.25" customHeight="1">
      <c r="A10298" s="2" t="s">
        <v>473</v>
      </c>
      <c r="B10298" s="2" t="s">
        <v>474</v>
      </c>
      <c r="C10298" s="2">
        <v>1985.0</v>
      </c>
      <c r="D10298" s="9">
        <v>61008.562</v>
      </c>
      <c r="E10298" s="10" t="str">
        <f t="array" ref="E10298">IFS(D10298&lt;=$G$3,'calculated data '!$A$3,D10298&lt;=$G$4,'calculated data '!$A$4,D10298&lt;=$G$6,'calculated data '!$A$5,D10298&gt;=$G$6,'calculated data '!$A$6)</f>
        <v>High Demand Tier</v>
      </c>
      <c r="F10298" s="10">
        <f t="shared" si="1"/>
        <v>0.9517099662</v>
      </c>
    </row>
    <row r="10299" ht="14.25" customHeight="1">
      <c r="A10299" s="2" t="s">
        <v>485</v>
      </c>
      <c r="B10299" s="2" t="s">
        <v>486</v>
      </c>
      <c r="C10299" s="2">
        <v>2008.0</v>
      </c>
      <c r="D10299" s="9">
        <v>61026.688</v>
      </c>
      <c r="E10299" s="10" t="str">
        <f t="array" ref="E10299">IFS(D10299&lt;=$G$3,'calculated data '!$A$3,D10299&lt;=$G$4,'calculated data '!$A$4,D10299&lt;=$G$6,'calculated data '!$A$5,D10299&gt;=$G$6,'calculated data '!$A$6)</f>
        <v>High Demand Tier</v>
      </c>
      <c r="F10299" s="10">
        <f t="shared" si="1"/>
        <v>0.9521897569</v>
      </c>
    </row>
    <row r="10300" ht="14.25" customHeight="1">
      <c r="A10300" s="2" t="s">
        <v>467</v>
      </c>
      <c r="B10300" s="2" t="s">
        <v>468</v>
      </c>
      <c r="C10300" s="2">
        <v>1994.0</v>
      </c>
      <c r="D10300" s="9">
        <v>61114.266</v>
      </c>
      <c r="E10300" s="10" t="str">
        <f t="array" ref="E10300">IFS(D10300&lt;=$G$3,'calculated data '!$A$3,D10300&lt;=$G$4,'calculated data '!$A$4,D10300&lt;=$G$6,'calculated data '!$A$5,D10300&gt;=$G$6,'calculated data '!$A$6)</f>
        <v>High Demand Tier</v>
      </c>
      <c r="F10300" s="10">
        <f t="shared" si="1"/>
        <v>0.9545079248</v>
      </c>
    </row>
    <row r="10301" ht="14.25" customHeight="1">
      <c r="A10301" s="2" t="s">
        <v>455</v>
      </c>
      <c r="B10301" s="2" t="s">
        <v>456</v>
      </c>
      <c r="C10301" s="2">
        <v>1989.0</v>
      </c>
      <c r="D10301" s="9">
        <v>61149.945</v>
      </c>
      <c r="E10301" s="10" t="str">
        <f t="array" ref="E10301">IFS(D10301&lt;=$G$3,'calculated data '!$A$3,D10301&lt;=$G$4,'calculated data '!$A$4,D10301&lt;=$G$6,'calculated data '!$A$5,D10301&gt;=$G$6,'calculated data '!$A$6)</f>
        <v>High Demand Tier</v>
      </c>
      <c r="F10301" s="10">
        <f t="shared" si="1"/>
        <v>0.955452339</v>
      </c>
    </row>
    <row r="10302" ht="14.25" customHeight="1">
      <c r="A10302" s="2" t="s">
        <v>397</v>
      </c>
      <c r="B10302" s="2" t="s">
        <v>398</v>
      </c>
      <c r="C10302" s="2">
        <v>1990.0</v>
      </c>
      <c r="D10302" s="9">
        <v>61162.0</v>
      </c>
      <c r="E10302" s="10" t="str">
        <f t="array" ref="E10302">IFS(D10302&lt;=$G$3,'calculated data '!$A$3,D10302&lt;=$G$4,'calculated data '!$A$4,D10302&lt;=$G$6,'calculated data '!$A$5,D10302&gt;=$G$6,'calculated data '!$A$6)</f>
        <v>High Demand Tier</v>
      </c>
      <c r="F10302" s="10">
        <f t="shared" si="1"/>
        <v>0.9557714319</v>
      </c>
    </row>
    <row r="10303" ht="14.25" customHeight="1">
      <c r="A10303" s="2" t="s">
        <v>405</v>
      </c>
      <c r="B10303" s="2" t="s">
        <v>406</v>
      </c>
      <c r="C10303" s="2">
        <v>1998.0</v>
      </c>
      <c r="D10303" s="9">
        <v>61234.383</v>
      </c>
      <c r="E10303" s="10" t="str">
        <f t="array" ref="E10303">IFS(D10303&lt;=$G$3,'calculated data '!$A$3,D10303&lt;=$G$4,'calculated data '!$A$4,D10303&lt;=$G$6,'calculated data '!$A$5,D10303&gt;=$G$6,'calculated data '!$A$6)</f>
        <v>High Demand Tier</v>
      </c>
      <c r="F10303" s="10">
        <f t="shared" si="1"/>
        <v>0.9576873919</v>
      </c>
    </row>
    <row r="10304" ht="14.25" customHeight="1">
      <c r="A10304" s="2" t="s">
        <v>405</v>
      </c>
      <c r="B10304" s="2" t="s">
        <v>406</v>
      </c>
      <c r="C10304" s="2">
        <v>1997.0</v>
      </c>
      <c r="D10304" s="9">
        <v>61246.367</v>
      </c>
      <c r="E10304" s="10" t="str">
        <f t="array" ref="E10304">IFS(D10304&lt;=$G$3,'calculated data '!$A$3,D10304&lt;=$G$4,'calculated data '!$A$4,D10304&lt;=$G$6,'calculated data '!$A$5,D10304&gt;=$G$6,'calculated data '!$A$6)</f>
        <v>High Demand Tier</v>
      </c>
      <c r="F10304" s="10">
        <f t="shared" si="1"/>
        <v>0.9580046053</v>
      </c>
    </row>
    <row r="10305" ht="14.25" customHeight="1">
      <c r="A10305" s="2" t="s">
        <v>367</v>
      </c>
      <c r="B10305" s="2" t="s">
        <v>368</v>
      </c>
      <c r="C10305" s="2">
        <v>1990.0</v>
      </c>
      <c r="D10305" s="9">
        <v>61259.5</v>
      </c>
      <c r="E10305" s="10" t="str">
        <f t="array" ref="E10305">IFS(D10305&lt;=$G$3,'calculated data '!$A$3,D10305&lt;=$G$4,'calculated data '!$A$4,D10305&lt;=$G$6,'calculated data '!$A$5,D10305&gt;=$G$6,'calculated data '!$A$6)</f>
        <v>High Demand Tier</v>
      </c>
      <c r="F10305" s="10">
        <f t="shared" si="1"/>
        <v>0.9583522326</v>
      </c>
    </row>
    <row r="10306" ht="14.25" customHeight="1">
      <c r="A10306" s="2" t="s">
        <v>473</v>
      </c>
      <c r="B10306" s="2" t="s">
        <v>474</v>
      </c>
      <c r="C10306" s="2">
        <v>1977.0</v>
      </c>
      <c r="D10306" s="9">
        <v>61264.8</v>
      </c>
      <c r="E10306" s="10" t="str">
        <f t="array" ref="E10306">IFS(D10306&lt;=$G$3,'calculated data '!$A$3,D10306&lt;=$G$4,'calculated data '!$A$4,D10306&lt;=$G$6,'calculated data '!$A$5,D10306&gt;=$G$6,'calculated data '!$A$6)</f>
        <v>High Demand Tier</v>
      </c>
      <c r="F10306" s="10">
        <f t="shared" si="1"/>
        <v>0.9584925223</v>
      </c>
    </row>
    <row r="10307" ht="14.25" customHeight="1">
      <c r="A10307" s="2" t="s">
        <v>343</v>
      </c>
      <c r="B10307" s="2" t="s">
        <v>344</v>
      </c>
      <c r="C10307" s="2">
        <v>2014.0</v>
      </c>
      <c r="D10307" s="9">
        <v>61302.926</v>
      </c>
      <c r="E10307" s="10" t="str">
        <f t="array" ref="E10307">IFS(D10307&lt;=$G$3,'calculated data '!$A$3,D10307&lt;=$G$4,'calculated data '!$A$4,D10307&lt;=$G$6,'calculated data '!$A$5,D10307&gt;=$G$6,'calculated data '!$A$6)</f>
        <v>High Demand Tier</v>
      </c>
      <c r="F10307" s="10">
        <f t="shared" si="1"/>
        <v>0.959501708</v>
      </c>
    </row>
    <row r="10308" ht="14.25" customHeight="1">
      <c r="A10308" s="2" t="s">
        <v>405</v>
      </c>
      <c r="B10308" s="2" t="s">
        <v>406</v>
      </c>
      <c r="C10308" s="2">
        <v>1999.0</v>
      </c>
      <c r="D10308" s="9">
        <v>61312.684</v>
      </c>
      <c r="E10308" s="10" t="str">
        <f t="array" ref="E10308">IFS(D10308&lt;=$G$3,'calculated data '!$A$3,D10308&lt;=$G$4,'calculated data '!$A$4,D10308&lt;=$G$6,'calculated data '!$A$5,D10308&gt;=$G$6,'calculated data '!$A$6)</f>
        <v>High Demand Tier</v>
      </c>
      <c r="F10308" s="10">
        <f t="shared" si="1"/>
        <v>0.9597599998</v>
      </c>
    </row>
    <row r="10309" ht="14.25" customHeight="1">
      <c r="A10309" s="2" t="s">
        <v>475</v>
      </c>
      <c r="B10309" s="2" t="s">
        <v>476</v>
      </c>
      <c r="C10309" s="2">
        <v>1994.0</v>
      </c>
      <c r="D10309" s="9">
        <v>61314.605</v>
      </c>
      <c r="E10309" s="10" t="str">
        <f t="array" ref="E10309">IFS(D10309&lt;=$G$3,'calculated data '!$A$3,D10309&lt;=$G$4,'calculated data '!$A$4,D10309&lt;=$G$6,'calculated data '!$A$5,D10309&gt;=$G$6,'calculated data '!$A$6)</f>
        <v>High Demand Tier</v>
      </c>
      <c r="F10309" s="10">
        <f t="shared" si="1"/>
        <v>0.9598108482</v>
      </c>
    </row>
    <row r="10310" ht="14.25" customHeight="1">
      <c r="A10310" s="2" t="s">
        <v>469</v>
      </c>
      <c r="B10310" s="2" t="s">
        <v>470</v>
      </c>
      <c r="C10310" s="2">
        <v>1972.0</v>
      </c>
      <c r="D10310" s="9">
        <v>61323.1</v>
      </c>
      <c r="E10310" s="10" t="str">
        <f t="array" ref="E10310">IFS(D10310&lt;=$G$3,'calculated data '!$A$3,D10310&lt;=$G$4,'calculated data '!$A$4,D10310&lt;=$G$6,'calculated data '!$A$5,D10310&gt;=$G$6,'calculated data '!$A$6)</f>
        <v>High Demand Tier</v>
      </c>
      <c r="F10310" s="10">
        <f t="shared" si="1"/>
        <v>0.9600357087</v>
      </c>
    </row>
    <row r="10311" ht="14.25" customHeight="1">
      <c r="A10311" s="2" t="s">
        <v>485</v>
      </c>
      <c r="B10311" s="2" t="s">
        <v>486</v>
      </c>
      <c r="C10311" s="2">
        <v>1991.0</v>
      </c>
      <c r="D10311" s="9">
        <v>61345.12</v>
      </c>
      <c r="E10311" s="10" t="str">
        <f t="array" ref="E10311">IFS(D10311&lt;=$G$3,'calculated data '!$A$3,D10311&lt;=$G$4,'calculated data '!$A$4,D10311&lt;=$G$6,'calculated data '!$A$5,D10311&gt;=$G$6,'calculated data '!$A$6)</f>
        <v>High Demand Tier</v>
      </c>
      <c r="F10311" s="10">
        <f t="shared" si="1"/>
        <v>0.9606185727</v>
      </c>
    </row>
    <row r="10312" ht="14.25" customHeight="1">
      <c r="A10312" s="2" t="s">
        <v>397</v>
      </c>
      <c r="B10312" s="2" t="s">
        <v>398</v>
      </c>
      <c r="C10312" s="2">
        <v>1991.0</v>
      </c>
      <c r="D10312" s="9">
        <v>61428.375</v>
      </c>
      <c r="E10312" s="10" t="str">
        <f t="array" ref="E10312">IFS(D10312&lt;=$G$3,'calculated data '!$A$3,D10312&lt;=$G$4,'calculated data '!$A$4,D10312&lt;=$G$6,'calculated data '!$A$5,D10312&gt;=$G$6,'calculated data '!$A$6)</f>
        <v>High Demand Tier</v>
      </c>
      <c r="F10312" s="10">
        <f t="shared" si="1"/>
        <v>0.9628223118</v>
      </c>
    </row>
    <row r="10313" ht="14.25" customHeight="1">
      <c r="A10313" s="2" t="s">
        <v>405</v>
      </c>
      <c r="B10313" s="2" t="s">
        <v>406</v>
      </c>
      <c r="C10313" s="2">
        <v>1995.0</v>
      </c>
      <c r="D10313" s="9">
        <v>61432.746</v>
      </c>
      <c r="E10313" s="10" t="str">
        <f t="array" ref="E10313">IFS(D10313&lt;=$G$3,'calculated data '!$A$3,D10313&lt;=$G$4,'calculated data '!$A$4,D10313&lt;=$G$6,'calculated data '!$A$5,D10313&gt;=$G$6,'calculated data '!$A$6)</f>
        <v>High Demand Tier</v>
      </c>
      <c r="F10313" s="10">
        <f t="shared" si="1"/>
        <v>0.9629380111</v>
      </c>
    </row>
    <row r="10314" ht="14.25" customHeight="1">
      <c r="A10314" s="2" t="s">
        <v>455</v>
      </c>
      <c r="B10314" s="2" t="s">
        <v>456</v>
      </c>
      <c r="C10314" s="2">
        <v>1996.0</v>
      </c>
      <c r="D10314" s="9">
        <v>61457.2</v>
      </c>
      <c r="E10314" s="10" t="str">
        <f t="array" ref="E10314">IFS(D10314&lt;=$G$3,'calculated data '!$A$3,D10314&lt;=$G$4,'calculated data '!$A$4,D10314&lt;=$G$6,'calculated data '!$A$5,D10314&gt;=$G$6,'calculated data '!$A$6)</f>
        <v>High Demand Tier</v>
      </c>
      <c r="F10314" s="10">
        <f t="shared" si="1"/>
        <v>0.9635853023</v>
      </c>
    </row>
    <row r="10315" ht="14.25" customHeight="1">
      <c r="A10315" s="2" t="s">
        <v>405</v>
      </c>
      <c r="B10315" s="2" t="s">
        <v>406</v>
      </c>
      <c r="C10315" s="2">
        <v>1996.0</v>
      </c>
      <c r="D10315" s="9">
        <v>61475.965</v>
      </c>
      <c r="E10315" s="10" t="str">
        <f t="array" ref="E10315">IFS(D10315&lt;=$G$3,'calculated data '!$A$3,D10315&lt;=$G$4,'calculated data '!$A$4,D10315&lt;=$G$6,'calculated data '!$A$5,D10315&gt;=$G$6,'calculated data '!$A$6)</f>
        <v>High Demand Tier</v>
      </c>
      <c r="F10315" s="10">
        <f t="shared" si="1"/>
        <v>0.9640820072</v>
      </c>
    </row>
    <row r="10316" ht="14.25" customHeight="1">
      <c r="A10316" s="2" t="s">
        <v>441</v>
      </c>
      <c r="B10316" s="2" t="s">
        <v>442</v>
      </c>
      <c r="C10316" s="2">
        <v>2012.0</v>
      </c>
      <c r="D10316" s="9">
        <v>61532.176</v>
      </c>
      <c r="E10316" s="10" t="str">
        <f t="array" ref="E10316">IFS(D10316&lt;=$G$3,'calculated data '!$A$3,D10316&lt;=$G$4,'calculated data '!$A$4,D10316&lt;=$G$6,'calculated data '!$A$5,D10316&gt;=$G$6,'calculated data '!$A$6)</f>
        <v>High Demand Tier</v>
      </c>
      <c r="F10316" s="10">
        <f t="shared" si="1"/>
        <v>0.9655698984</v>
      </c>
    </row>
    <row r="10317" ht="14.25" customHeight="1">
      <c r="A10317" s="2" t="s">
        <v>149</v>
      </c>
      <c r="B10317" s="2" t="s">
        <v>150</v>
      </c>
      <c r="C10317" s="2">
        <v>1998.0</v>
      </c>
      <c r="D10317" s="9">
        <v>61534.535</v>
      </c>
      <c r="E10317" s="10" t="str">
        <f t="array" ref="E10317">IFS(D10317&lt;=$G$3,'calculated data '!$A$3,D10317&lt;=$G$4,'calculated data '!$A$4,D10317&lt;=$G$6,'calculated data '!$A$5,D10317&gt;=$G$6,'calculated data '!$A$6)</f>
        <v>High Demand Tier</v>
      </c>
      <c r="F10317" s="10">
        <f t="shared" si="1"/>
        <v>0.9656323405</v>
      </c>
    </row>
    <row r="10318" ht="14.25" customHeight="1">
      <c r="A10318" s="2" t="s">
        <v>475</v>
      </c>
      <c r="B10318" s="2" t="s">
        <v>476</v>
      </c>
      <c r="C10318" s="2">
        <v>1984.0</v>
      </c>
      <c r="D10318" s="9">
        <v>61570.96</v>
      </c>
      <c r="E10318" s="10" t="str">
        <f t="array" ref="E10318">IFS(D10318&lt;=$G$3,'calculated data '!$A$3,D10318&lt;=$G$4,'calculated data '!$A$4,D10318&lt;=$G$6,'calculated data '!$A$5,D10318&gt;=$G$6,'calculated data '!$A$6)</f>
        <v>High Demand Tier</v>
      </c>
      <c r="F10318" s="10">
        <f t="shared" si="1"/>
        <v>0.9665965012</v>
      </c>
    </row>
    <row r="10319" ht="14.25" customHeight="1">
      <c r="A10319" s="2" t="s">
        <v>485</v>
      </c>
      <c r="B10319" s="2" t="s">
        <v>486</v>
      </c>
      <c r="C10319" s="2">
        <v>1992.0</v>
      </c>
      <c r="D10319" s="9">
        <v>61576.99</v>
      </c>
      <c r="E10319" s="10" t="str">
        <f t="array" ref="E10319">IFS(D10319&lt;=$G$3,'calculated data '!$A$3,D10319&lt;=$G$4,'calculated data '!$A$4,D10319&lt;=$G$6,'calculated data '!$A$5,D10319&gt;=$G$6,'calculated data '!$A$6)</f>
        <v>High Demand Tier</v>
      </c>
      <c r="F10319" s="10">
        <f t="shared" si="1"/>
        <v>0.9667561138</v>
      </c>
    </row>
    <row r="10320" ht="14.25" customHeight="1">
      <c r="A10320" s="2" t="s">
        <v>397</v>
      </c>
      <c r="B10320" s="2" t="s">
        <v>398</v>
      </c>
      <c r="C10320" s="2">
        <v>1995.0</v>
      </c>
      <c r="D10320" s="9">
        <v>61581.582</v>
      </c>
      <c r="E10320" s="10" t="str">
        <f t="array" ref="E10320">IFS(D10320&lt;=$G$3,'calculated data '!$A$3,D10320&lt;=$G$4,'calculated data '!$A$4,D10320&lt;=$G$6,'calculated data '!$A$5,D10320&gt;=$G$6,'calculated data '!$A$6)</f>
        <v>High Demand Tier</v>
      </c>
      <c r="F10320" s="10">
        <f t="shared" si="1"/>
        <v>0.9668776629</v>
      </c>
    </row>
    <row r="10321" ht="14.25" customHeight="1">
      <c r="A10321" s="2" t="s">
        <v>485</v>
      </c>
      <c r="B10321" s="2" t="s">
        <v>486</v>
      </c>
      <c r="C10321" s="2">
        <v>1981.0</v>
      </c>
      <c r="D10321" s="9">
        <v>61599.848</v>
      </c>
      <c r="E10321" s="10" t="str">
        <f t="array" ref="E10321">IFS(D10321&lt;=$G$3,'calculated data '!$A$3,D10321&lt;=$G$4,'calculated data '!$A$4,D10321&lt;=$G$6,'calculated data '!$A$5,D10321&gt;=$G$6,'calculated data '!$A$6)</f>
        <v>High Demand Tier</v>
      </c>
      <c r="F10321" s="10">
        <f t="shared" si="1"/>
        <v>0.9673611594</v>
      </c>
    </row>
    <row r="10322" ht="14.25" customHeight="1">
      <c r="A10322" s="2" t="s">
        <v>461</v>
      </c>
      <c r="B10322" s="2" t="s">
        <v>462</v>
      </c>
      <c r="C10322" s="2">
        <v>1980.0</v>
      </c>
      <c r="D10322" s="9">
        <v>61629.49</v>
      </c>
      <c r="E10322" s="10" t="str">
        <f t="array" ref="E10322">IFS(D10322&lt;=$G$3,'calculated data '!$A$3,D10322&lt;=$G$4,'calculated data '!$A$4,D10322&lt;=$G$6,'calculated data '!$A$5,D10322&gt;=$G$6,'calculated data '!$A$6)</f>
        <v>High Demand Tier</v>
      </c>
      <c r="F10322" s="10">
        <f t="shared" si="1"/>
        <v>0.9681457757</v>
      </c>
    </row>
    <row r="10323" ht="14.25" customHeight="1">
      <c r="A10323" s="2" t="s">
        <v>473</v>
      </c>
      <c r="B10323" s="2" t="s">
        <v>474</v>
      </c>
      <c r="C10323" s="2">
        <v>1989.0</v>
      </c>
      <c r="D10323" s="9">
        <v>61634.277</v>
      </c>
      <c r="E10323" s="10" t="str">
        <f t="array" ref="E10323">IFS(D10323&lt;=$G$3,'calculated data '!$A$3,D10323&lt;=$G$4,'calculated data '!$A$4,D10323&lt;=$G$6,'calculated data '!$A$5,D10323&gt;=$G$6,'calculated data '!$A$6)</f>
        <v>High Demand Tier</v>
      </c>
      <c r="F10323" s="10">
        <f t="shared" si="1"/>
        <v>0.9682724864</v>
      </c>
    </row>
    <row r="10324" ht="14.25" customHeight="1">
      <c r="A10324" s="2" t="s">
        <v>457</v>
      </c>
      <c r="B10324" s="2" t="s">
        <v>458</v>
      </c>
      <c r="C10324" s="2">
        <v>1994.0</v>
      </c>
      <c r="D10324" s="9">
        <v>61647.637</v>
      </c>
      <c r="E10324" s="10" t="str">
        <f t="array" ref="E10324">IFS(D10324&lt;=$G$3,'calculated data '!$A$3,D10324&lt;=$G$4,'calculated data '!$A$4,D10324&lt;=$G$6,'calculated data '!$A$5,D10324&gt;=$G$6,'calculated data '!$A$6)</f>
        <v>High Demand Tier</v>
      </c>
      <c r="F10324" s="10">
        <f t="shared" si="1"/>
        <v>0.9686261223</v>
      </c>
    </row>
    <row r="10325" ht="14.25" customHeight="1">
      <c r="A10325" s="2" t="s">
        <v>475</v>
      </c>
      <c r="B10325" s="2" t="s">
        <v>476</v>
      </c>
      <c r="C10325" s="2">
        <v>1999.0</v>
      </c>
      <c r="D10325" s="9">
        <v>61657.87</v>
      </c>
      <c r="E10325" s="10" t="str">
        <f t="array" ref="E10325">IFS(D10325&lt;=$G$3,'calculated data '!$A$3,D10325&lt;=$G$4,'calculated data '!$A$4,D10325&lt;=$G$6,'calculated data '!$A$5,D10325&gt;=$G$6,'calculated data '!$A$6)</f>
        <v>High Demand Tier</v>
      </c>
      <c r="F10325" s="10">
        <f t="shared" si="1"/>
        <v>0.9688969873</v>
      </c>
    </row>
    <row r="10326" ht="14.25" customHeight="1">
      <c r="A10326" s="2" t="s">
        <v>441</v>
      </c>
      <c r="B10326" s="2" t="s">
        <v>442</v>
      </c>
      <c r="C10326" s="2">
        <v>2010.0</v>
      </c>
      <c r="D10326" s="9">
        <v>61668.473</v>
      </c>
      <c r="E10326" s="10" t="str">
        <f t="array" ref="E10326">IFS(D10326&lt;=$G$3,'calculated data '!$A$3,D10326&lt;=$G$4,'calculated data '!$A$4,D10326&lt;=$G$6,'calculated data '!$A$5,D10326&gt;=$G$6,'calculated data '!$A$6)</f>
        <v>High Demand Tier</v>
      </c>
      <c r="F10326" s="10">
        <f t="shared" si="1"/>
        <v>0.969177646</v>
      </c>
    </row>
    <row r="10327" ht="14.25" customHeight="1">
      <c r="A10327" s="2" t="s">
        <v>467</v>
      </c>
      <c r="B10327" s="2" t="s">
        <v>468</v>
      </c>
      <c r="C10327" s="2">
        <v>2018.0</v>
      </c>
      <c r="D10327" s="9">
        <v>61684.402</v>
      </c>
      <c r="E10327" s="10" t="str">
        <f t="array" ref="E10327">IFS(D10327&lt;=$G$3,'calculated data '!$A$3,D10327&lt;=$G$4,'calculated data '!$A$4,D10327&lt;=$G$6,'calculated data '!$A$5,D10327&gt;=$G$6,'calculated data '!$A$6)</f>
        <v>High Demand Tier</v>
      </c>
      <c r="F10327" s="10">
        <f t="shared" si="1"/>
        <v>0.9695992827</v>
      </c>
    </row>
    <row r="10328" ht="14.25" customHeight="1">
      <c r="A10328" s="2" t="s">
        <v>473</v>
      </c>
      <c r="B10328" s="2" t="s">
        <v>474</v>
      </c>
      <c r="C10328" s="2">
        <v>1986.0</v>
      </c>
      <c r="D10328" s="9">
        <v>61727.914</v>
      </c>
      <c r="E10328" s="10" t="str">
        <f t="array" ref="E10328">IFS(D10328&lt;=$G$3,'calculated data '!$A$3,D10328&lt;=$G$4,'calculated data '!$A$4,D10328&lt;=$G$6,'calculated data '!$A$5,D10328&gt;=$G$6,'calculated data '!$A$6)</f>
        <v>High Demand Tier</v>
      </c>
      <c r="F10328" s="10">
        <f t="shared" si="1"/>
        <v>0.9707510345</v>
      </c>
    </row>
    <row r="10329" ht="14.25" customHeight="1">
      <c r="A10329" s="2" t="s">
        <v>457</v>
      </c>
      <c r="B10329" s="2" t="s">
        <v>458</v>
      </c>
      <c r="C10329" s="2">
        <v>1993.0</v>
      </c>
      <c r="D10329" s="9">
        <v>61749.242</v>
      </c>
      <c r="E10329" s="10" t="str">
        <f t="array" ref="E10329">IFS(D10329&lt;=$G$3,'calculated data '!$A$3,D10329&lt;=$G$4,'calculated data '!$A$4,D10329&lt;=$G$6,'calculated data '!$A$5,D10329&gt;=$G$6,'calculated data '!$A$6)</f>
        <v>High Demand Tier</v>
      </c>
      <c r="F10329" s="10">
        <f t="shared" si="1"/>
        <v>0.9713155813</v>
      </c>
    </row>
    <row r="10330" ht="14.25" customHeight="1">
      <c r="A10330" s="2" t="s">
        <v>445</v>
      </c>
      <c r="B10330" s="2" t="s">
        <v>446</v>
      </c>
      <c r="C10330" s="2">
        <v>1990.0</v>
      </c>
      <c r="D10330" s="9">
        <v>61750.78</v>
      </c>
      <c r="E10330" s="10" t="str">
        <f t="array" ref="E10330">IFS(D10330&lt;=$G$3,'calculated data '!$A$3,D10330&lt;=$G$4,'calculated data '!$A$4,D10330&lt;=$G$6,'calculated data '!$A$5,D10330&gt;=$G$6,'calculated data '!$A$6)</f>
        <v>High Demand Tier</v>
      </c>
      <c r="F10330" s="10">
        <f t="shared" si="1"/>
        <v>0.9713562918</v>
      </c>
    </row>
    <row r="10331" ht="14.25" customHeight="1">
      <c r="A10331" s="2" t="s">
        <v>455</v>
      </c>
      <c r="B10331" s="2" t="s">
        <v>456</v>
      </c>
      <c r="C10331" s="2">
        <v>2017.0</v>
      </c>
      <c r="D10331" s="9">
        <v>61783.05</v>
      </c>
      <c r="E10331" s="10" t="str">
        <f t="array" ref="E10331">IFS(D10331&lt;=$G$3,'calculated data '!$A$3,D10331&lt;=$G$4,'calculated data '!$A$4,D10331&lt;=$G$6,'calculated data '!$A$5,D10331&gt;=$G$6,'calculated data '!$A$6)</f>
        <v>High Demand Tier</v>
      </c>
      <c r="F10331" s="10">
        <f t="shared" si="1"/>
        <v>0.9722104707</v>
      </c>
    </row>
    <row r="10332" ht="14.25" customHeight="1">
      <c r="A10332" s="2" t="s">
        <v>475</v>
      </c>
      <c r="B10332" s="2" t="s">
        <v>476</v>
      </c>
      <c r="C10332" s="2">
        <v>2001.0</v>
      </c>
      <c r="D10332" s="9">
        <v>61804.523</v>
      </c>
      <c r="E10332" s="10" t="str">
        <f t="array" ref="E10332">IFS(D10332&lt;=$G$3,'calculated data '!$A$3,D10332&lt;=$G$4,'calculated data '!$A$4,D10332&lt;=$G$6,'calculated data '!$A$5,D10332&gt;=$G$6,'calculated data '!$A$6)</f>
        <v>High Demand Tier</v>
      </c>
      <c r="F10332" s="10">
        <f t="shared" si="1"/>
        <v>0.9727788557</v>
      </c>
    </row>
    <row r="10333" ht="14.25" customHeight="1">
      <c r="A10333" s="2" t="s">
        <v>455</v>
      </c>
      <c r="B10333" s="2" t="s">
        <v>456</v>
      </c>
      <c r="C10333" s="2">
        <v>1990.0</v>
      </c>
      <c r="D10333" s="9">
        <v>61822.73</v>
      </c>
      <c r="E10333" s="10" t="str">
        <f t="array" ref="E10333">IFS(D10333&lt;=$G$3,'calculated data '!$A$3,D10333&lt;=$G$4,'calculated data '!$A$4,D10333&lt;=$G$6,'calculated data '!$A$5,D10333&gt;=$G$6,'calculated data '!$A$6)</f>
        <v>High Demand Tier</v>
      </c>
      <c r="F10333" s="10">
        <f t="shared" si="1"/>
        <v>0.9732607904</v>
      </c>
    </row>
    <row r="10334" ht="14.25" customHeight="1">
      <c r="A10334" s="2" t="s">
        <v>473</v>
      </c>
      <c r="B10334" s="2" t="s">
        <v>474</v>
      </c>
      <c r="C10334" s="2">
        <v>1978.0</v>
      </c>
      <c r="D10334" s="9">
        <v>61840.664</v>
      </c>
      <c r="E10334" s="10" t="str">
        <f t="array" ref="E10334">IFS(D10334&lt;=$G$3,'calculated data '!$A$3,D10334&lt;=$G$4,'calculated data '!$A$4,D10334&lt;=$G$6,'calculated data '!$A$5,D10334&gt;=$G$6,'calculated data '!$A$6)</f>
        <v>High Demand Tier</v>
      </c>
      <c r="F10334" s="10">
        <f t="shared" si="1"/>
        <v>0.9737354989</v>
      </c>
    </row>
    <row r="10335" ht="14.25" customHeight="1">
      <c r="A10335" s="2" t="s">
        <v>461</v>
      </c>
      <c r="B10335" s="2" t="s">
        <v>462</v>
      </c>
      <c r="C10335" s="2">
        <v>1990.0</v>
      </c>
      <c r="D10335" s="9">
        <v>61856.902</v>
      </c>
      <c r="E10335" s="10" t="str">
        <f t="array" ref="E10335">IFS(D10335&lt;=$G$3,'calculated data '!$A$3,D10335&lt;=$G$4,'calculated data '!$A$4,D10335&lt;=$G$6,'calculated data '!$A$5,D10335&gt;=$G$6,'calculated data '!$A$6)</f>
        <v>High Demand Tier</v>
      </c>
      <c r="F10335" s="10">
        <f t="shared" si="1"/>
        <v>0.9741653147</v>
      </c>
    </row>
    <row r="10336" ht="14.25" customHeight="1">
      <c r="A10336" s="2" t="s">
        <v>485</v>
      </c>
      <c r="B10336" s="2" t="s">
        <v>486</v>
      </c>
      <c r="C10336" s="2">
        <v>1993.0</v>
      </c>
      <c r="D10336" s="9">
        <v>61869.023</v>
      </c>
      <c r="E10336" s="10" t="str">
        <f t="array" ref="E10336">IFS(D10336&lt;=$G$3,'calculated data '!$A$3,D10336&lt;=$G$4,'calculated data '!$A$4,D10336&lt;=$G$6,'calculated data '!$A$5,D10336&gt;=$G$6,'calculated data '!$A$6)</f>
        <v>High Demand Tier</v>
      </c>
      <c r="F10336" s="10">
        <f t="shared" si="1"/>
        <v>0.9744861546</v>
      </c>
    </row>
    <row r="10337" ht="14.25" customHeight="1">
      <c r="A10337" s="2" t="s">
        <v>397</v>
      </c>
      <c r="B10337" s="2" t="s">
        <v>398</v>
      </c>
      <c r="C10337" s="2">
        <v>2009.0</v>
      </c>
      <c r="D10337" s="9">
        <v>61902.734</v>
      </c>
      <c r="E10337" s="10" t="str">
        <f t="array" ref="E10337">IFS(D10337&lt;=$G$3,'calculated data '!$A$3,D10337&lt;=$G$4,'calculated data '!$A$4,D10337&lt;=$G$6,'calculated data '!$A$5,D10337&gt;=$G$6,'calculated data '!$A$6)</f>
        <v>High Demand Tier</v>
      </c>
      <c r="F10337" s="10">
        <f t="shared" si="1"/>
        <v>0.9753784764</v>
      </c>
    </row>
    <row r="10338" ht="14.25" customHeight="1">
      <c r="A10338" s="2" t="s">
        <v>485</v>
      </c>
      <c r="B10338" s="2" t="s">
        <v>486</v>
      </c>
      <c r="C10338" s="2">
        <v>1970.0</v>
      </c>
      <c r="D10338" s="9">
        <v>61957.473</v>
      </c>
      <c r="E10338" s="10" t="str">
        <f t="array" ref="E10338">IFS(D10338&lt;=$G$3,'calculated data '!$A$3,D10338&lt;=$G$4,'calculated data '!$A$4,D10338&lt;=$G$6,'calculated data '!$A$5,D10338&gt;=$G$6,'calculated data '!$A$6)</f>
        <v>High Demand Tier</v>
      </c>
      <c r="F10338" s="10">
        <f t="shared" si="1"/>
        <v>0.9768274041</v>
      </c>
    </row>
    <row r="10339" ht="14.25" customHeight="1">
      <c r="A10339" s="2" t="s">
        <v>149</v>
      </c>
      <c r="B10339" s="2" t="s">
        <v>150</v>
      </c>
      <c r="C10339" s="2">
        <v>1997.0</v>
      </c>
      <c r="D10339" s="9">
        <v>61986.805</v>
      </c>
      <c r="E10339" s="10" t="str">
        <f t="array" ref="E10339">IFS(D10339&lt;=$G$3,'calculated data '!$A$3,D10339&lt;=$G$4,'calculated data '!$A$4,D10339&lt;=$G$6,'calculated data '!$A$5,D10339&gt;=$G$6,'calculated data '!$A$6)</f>
        <v>High Demand Tier</v>
      </c>
      <c r="F10339" s="10">
        <f t="shared" si="1"/>
        <v>0.9776038148</v>
      </c>
    </row>
    <row r="10340" ht="14.25" customHeight="1">
      <c r="A10340" s="2" t="s">
        <v>307</v>
      </c>
      <c r="B10340" s="2" t="s">
        <v>308</v>
      </c>
      <c r="C10340" s="2">
        <v>2006.0</v>
      </c>
      <c r="D10340" s="9">
        <v>61989.8</v>
      </c>
      <c r="E10340" s="10" t="str">
        <f t="array" ref="E10340">IFS(D10340&lt;=$G$3,'calculated data '!$A$3,D10340&lt;=$G$4,'calculated data '!$A$4,D10340&lt;=$G$6,'calculated data '!$A$5,D10340&gt;=$G$6,'calculated data '!$A$6)</f>
        <v>High Demand Tier</v>
      </c>
      <c r="F10340" s="10">
        <f t="shared" si="1"/>
        <v>0.9776830917</v>
      </c>
    </row>
    <row r="10341" ht="14.25" customHeight="1">
      <c r="A10341" s="2" t="s">
        <v>477</v>
      </c>
      <c r="B10341" s="2" t="s">
        <v>478</v>
      </c>
      <c r="C10341" s="2">
        <v>2018.0</v>
      </c>
      <c r="D10341" s="9">
        <v>61998.688</v>
      </c>
      <c r="E10341" s="10" t="str">
        <f t="array" ref="E10341">IFS(D10341&lt;=$G$3,'calculated data '!$A$3,D10341&lt;=$G$4,'calculated data '!$A$4,D10341&lt;=$G$6,'calculated data '!$A$5,D10341&gt;=$G$6,'calculated data '!$A$6)</f>
        <v>High Demand Tier</v>
      </c>
      <c r="F10341" s="10">
        <f t="shared" si="1"/>
        <v>0.9779183548</v>
      </c>
    </row>
    <row r="10342" ht="14.25" customHeight="1">
      <c r="A10342" s="2" t="s">
        <v>461</v>
      </c>
      <c r="B10342" s="2" t="s">
        <v>462</v>
      </c>
      <c r="C10342" s="2">
        <v>2013.0</v>
      </c>
      <c r="D10342" s="9">
        <v>62021.58</v>
      </c>
      <c r="E10342" s="10" t="str">
        <f t="array" ref="E10342">IFS(D10342&lt;=$G$3,'calculated data '!$A$3,D10342&lt;=$G$4,'calculated data '!$A$4,D10342&lt;=$G$6,'calculated data '!$A$5,D10342&gt;=$G$6,'calculated data '!$A$6)</f>
        <v>High Demand Tier</v>
      </c>
      <c r="F10342" s="10">
        <f t="shared" si="1"/>
        <v>0.9785243004</v>
      </c>
    </row>
    <row r="10343" ht="14.25" customHeight="1">
      <c r="A10343" s="2" t="s">
        <v>467</v>
      </c>
      <c r="B10343" s="2" t="s">
        <v>468</v>
      </c>
      <c r="C10343" s="2">
        <v>1995.0</v>
      </c>
      <c r="D10343" s="9">
        <v>62088.94</v>
      </c>
      <c r="E10343" s="10" t="str">
        <f t="array" ref="E10343">IFS(D10343&lt;=$G$3,'calculated data '!$A$3,D10343&lt;=$G$4,'calculated data '!$A$4,D10343&lt;=$G$6,'calculated data '!$A$5,D10343&gt;=$G$6,'calculated data '!$A$6)</f>
        <v>High Demand Tier</v>
      </c>
      <c r="F10343" s="10">
        <f t="shared" si="1"/>
        <v>0.9803073028</v>
      </c>
    </row>
    <row r="10344" ht="14.25" customHeight="1">
      <c r="A10344" s="2" t="s">
        <v>463</v>
      </c>
      <c r="B10344" s="2" t="s">
        <v>464</v>
      </c>
      <c r="C10344" s="2">
        <v>1987.0</v>
      </c>
      <c r="D10344" s="9">
        <v>62111.918</v>
      </c>
      <c r="E10344" s="10" t="str">
        <f t="array" ref="E10344">IFS(D10344&lt;=$G$3,'calculated data '!$A$3,D10344&lt;=$G$4,'calculated data '!$A$4,D10344&lt;=$G$6,'calculated data '!$A$5,D10344&gt;=$G$6,'calculated data '!$A$6)</f>
        <v>High Demand Tier</v>
      </c>
      <c r="F10344" s="10">
        <f t="shared" si="1"/>
        <v>0.9809155247</v>
      </c>
    </row>
    <row r="10345" ht="14.25" customHeight="1">
      <c r="A10345" s="2" t="s">
        <v>485</v>
      </c>
      <c r="B10345" s="2" t="s">
        <v>486</v>
      </c>
      <c r="C10345" s="2">
        <v>1975.0</v>
      </c>
      <c r="D10345" s="9">
        <v>62126.125</v>
      </c>
      <c r="E10345" s="10" t="str">
        <f t="array" ref="E10345">IFS(D10345&lt;=$G$3,'calculated data '!$A$3,D10345&lt;=$G$4,'calculated data '!$A$4,D10345&lt;=$G$6,'calculated data '!$A$5,D10345&gt;=$G$6,'calculated data '!$A$6)</f>
        <v>High Demand Tier</v>
      </c>
      <c r="F10345" s="10">
        <f t="shared" si="1"/>
        <v>0.9812915805</v>
      </c>
    </row>
    <row r="10346" ht="14.25" customHeight="1">
      <c r="A10346" s="2" t="s">
        <v>479</v>
      </c>
      <c r="B10346" s="2" t="s">
        <v>480</v>
      </c>
      <c r="C10346" s="2">
        <v>1992.0</v>
      </c>
      <c r="D10346" s="9">
        <v>62129.797</v>
      </c>
      <c r="E10346" s="10" t="str">
        <f t="array" ref="E10346">IFS(D10346&lt;=$G$3,'calculated data '!$A$3,D10346&lt;=$G$4,'calculated data '!$A$4,D10346&lt;=$G$6,'calculated data '!$A$5,D10346&gt;=$G$6,'calculated data '!$A$6)</f>
        <v>High Demand Tier</v>
      </c>
      <c r="F10346" s="10">
        <f t="shared" si="1"/>
        <v>0.9813887774</v>
      </c>
    </row>
    <row r="10347" ht="14.25" customHeight="1">
      <c r="A10347" s="2" t="s">
        <v>473</v>
      </c>
      <c r="B10347" s="2" t="s">
        <v>474</v>
      </c>
      <c r="C10347" s="2">
        <v>1979.0</v>
      </c>
      <c r="D10347" s="9">
        <v>62132.773</v>
      </c>
      <c r="E10347" s="10" t="str">
        <f t="array" ref="E10347">IFS(D10347&lt;=$G$3,'calculated data '!$A$3,D10347&lt;=$G$4,'calculated data '!$A$4,D10347&lt;=$G$6,'calculated data '!$A$5,D10347&gt;=$G$6,'calculated data '!$A$6)</f>
        <v>High Demand Tier</v>
      </c>
      <c r="F10347" s="10">
        <f t="shared" si="1"/>
        <v>0.9814675514</v>
      </c>
    </row>
    <row r="10348" ht="14.25" customHeight="1">
      <c r="A10348" s="2" t="s">
        <v>485</v>
      </c>
      <c r="B10348" s="2" t="s">
        <v>486</v>
      </c>
      <c r="C10348" s="2">
        <v>1990.0</v>
      </c>
      <c r="D10348" s="9">
        <v>62165.164</v>
      </c>
      <c r="E10348" s="10" t="str">
        <f t="array" ref="E10348">IFS(D10348&lt;=$G$3,'calculated data '!$A$3,D10348&lt;=$G$4,'calculated data '!$A$4,D10348&lt;=$G$6,'calculated data '!$A$5,D10348&gt;=$G$6,'calculated data '!$A$6)</f>
        <v>High Demand Tier</v>
      </c>
      <c r="F10348" s="10">
        <f t="shared" si="1"/>
        <v>0.9823249331</v>
      </c>
    </row>
    <row r="10349" ht="14.25" customHeight="1">
      <c r="A10349" s="2" t="s">
        <v>455</v>
      </c>
      <c r="B10349" s="2" t="s">
        <v>456</v>
      </c>
      <c r="C10349" s="2">
        <v>2003.0</v>
      </c>
      <c r="D10349" s="9">
        <v>62169.29</v>
      </c>
      <c r="E10349" s="10" t="str">
        <f t="array" ref="E10349">IFS(D10349&lt;=$G$3,'calculated data '!$A$3,D10349&lt;=$G$4,'calculated data '!$A$4,D10349&lt;=$G$6,'calculated data '!$A$5,D10349&gt;=$G$6,'calculated data '!$A$6)</f>
        <v>High Demand Tier</v>
      </c>
      <c r="F10349" s="10">
        <f t="shared" si="1"/>
        <v>0.9824341473</v>
      </c>
    </row>
    <row r="10350" ht="14.25" customHeight="1">
      <c r="A10350" s="2" t="s">
        <v>441</v>
      </c>
      <c r="B10350" s="2" t="s">
        <v>442</v>
      </c>
      <c r="C10350" s="2">
        <v>2011.0</v>
      </c>
      <c r="D10350" s="9">
        <v>62202.832</v>
      </c>
      <c r="E10350" s="10" t="str">
        <f t="array" ref="E10350">IFS(D10350&lt;=$G$3,'calculated data '!$A$3,D10350&lt;=$G$4,'calculated data '!$A$4,D10350&lt;=$G$6,'calculated data '!$A$5,D10350&gt;=$G$6,'calculated data '!$A$6)</f>
        <v>High Demand Tier</v>
      </c>
      <c r="F10350" s="10">
        <f t="shared" si="1"/>
        <v>0.9833219957</v>
      </c>
    </row>
    <row r="10351" ht="14.25" customHeight="1">
      <c r="A10351" s="2" t="s">
        <v>485</v>
      </c>
      <c r="B10351" s="2" t="s">
        <v>486</v>
      </c>
      <c r="C10351" s="2">
        <v>1971.0</v>
      </c>
      <c r="D10351" s="9">
        <v>62215.008</v>
      </c>
      <c r="E10351" s="10" t="str">
        <f t="array" ref="E10351">IFS(D10351&lt;=$G$3,'calculated data '!$A$3,D10351&lt;=$G$4,'calculated data '!$A$4,D10351&lt;=$G$6,'calculated data '!$A$5,D10351&gt;=$G$6,'calculated data '!$A$6)</f>
        <v>High Demand Tier</v>
      </c>
      <c r="F10351" s="10">
        <f t="shared" si="1"/>
        <v>0.9836442914</v>
      </c>
    </row>
    <row r="10352" ht="14.25" customHeight="1">
      <c r="A10352" s="2" t="s">
        <v>475</v>
      </c>
      <c r="B10352" s="2" t="s">
        <v>476</v>
      </c>
      <c r="C10352" s="2">
        <v>1996.0</v>
      </c>
      <c r="D10352" s="9">
        <v>62235.17</v>
      </c>
      <c r="E10352" s="10" t="str">
        <f t="array" ref="E10352">IFS(D10352&lt;=$G$3,'calculated data '!$A$3,D10352&lt;=$G$4,'calculated data '!$A$4,D10352&lt;=$G$6,'calculated data '!$A$5,D10352&gt;=$G$6,'calculated data '!$A$6)</f>
        <v>High Demand Tier</v>
      </c>
      <c r="F10352" s="10">
        <f t="shared" si="1"/>
        <v>0.9841779745</v>
      </c>
    </row>
    <row r="10353" ht="14.25" customHeight="1">
      <c r="A10353" s="2" t="s">
        <v>485</v>
      </c>
      <c r="B10353" s="2" t="s">
        <v>486</v>
      </c>
      <c r="C10353" s="2">
        <v>1988.0</v>
      </c>
      <c r="D10353" s="9">
        <v>62249.055</v>
      </c>
      <c r="E10353" s="10" t="str">
        <f t="array" ref="E10353">IFS(D10353&lt;=$G$3,'calculated data '!$A$3,D10353&lt;=$G$4,'calculated data '!$A$4,D10353&lt;=$G$6,'calculated data '!$A$5,D10353&gt;=$G$6,'calculated data '!$A$6)</f>
        <v>High Demand Tier</v>
      </c>
      <c r="F10353" s="10">
        <f t="shared" si="1"/>
        <v>0.984545507</v>
      </c>
    </row>
    <row r="10354" ht="14.25" customHeight="1">
      <c r="A10354" s="2" t="s">
        <v>477</v>
      </c>
      <c r="B10354" s="2" t="s">
        <v>478</v>
      </c>
      <c r="C10354" s="2">
        <v>2012.0</v>
      </c>
      <c r="D10354" s="9">
        <v>62255.11</v>
      </c>
      <c r="E10354" s="10" t="str">
        <f t="array" ref="E10354">IFS(D10354&lt;=$G$3,'calculated data '!$A$3,D10354&lt;=$G$4,'calculated data '!$A$4,D10354&lt;=$G$6,'calculated data '!$A$5,D10354&gt;=$G$6,'calculated data '!$A$6)</f>
        <v>High Demand Tier</v>
      </c>
      <c r="F10354" s="10">
        <f t="shared" si="1"/>
        <v>0.9847057813</v>
      </c>
    </row>
    <row r="10355" ht="14.25" customHeight="1">
      <c r="A10355" s="2" t="s">
        <v>405</v>
      </c>
      <c r="B10355" s="2" t="s">
        <v>406</v>
      </c>
      <c r="C10355" s="2">
        <v>1987.0</v>
      </c>
      <c r="D10355" s="9">
        <v>62256.215</v>
      </c>
      <c r="E10355" s="10" t="str">
        <f t="array" ref="E10355">IFS(D10355&lt;=$G$3,'calculated data '!$A$3,D10355&lt;=$G$4,'calculated data '!$A$4,D10355&lt;=$G$6,'calculated data '!$A$5,D10355&gt;=$G$6,'calculated data '!$A$6)</f>
        <v>High Demand Tier</v>
      </c>
      <c r="F10355" s="10">
        <f t="shared" si="1"/>
        <v>0.9847350304</v>
      </c>
    </row>
    <row r="10356" ht="14.25" customHeight="1">
      <c r="A10356" s="2" t="s">
        <v>429</v>
      </c>
      <c r="B10356" s="2" t="s">
        <v>430</v>
      </c>
      <c r="C10356" s="2">
        <v>1987.0</v>
      </c>
      <c r="D10356" s="9">
        <v>62274.004</v>
      </c>
      <c r="E10356" s="10" t="str">
        <f t="array" ref="E10356">IFS(D10356&lt;=$G$3,'calculated data '!$A$3,D10356&lt;=$G$4,'calculated data '!$A$4,D10356&lt;=$G$6,'calculated data '!$A$5,D10356&gt;=$G$6,'calculated data '!$A$6)</f>
        <v>High Demand Tier</v>
      </c>
      <c r="F10356" s="10">
        <f t="shared" si="1"/>
        <v>0.9852059008</v>
      </c>
    </row>
    <row r="10357" ht="14.25" customHeight="1">
      <c r="A10357" s="2" t="s">
        <v>445</v>
      </c>
      <c r="B10357" s="2" t="s">
        <v>446</v>
      </c>
      <c r="C10357" s="2">
        <v>1987.0</v>
      </c>
      <c r="D10357" s="9">
        <v>62297.098</v>
      </c>
      <c r="E10357" s="10" t="str">
        <f t="array" ref="E10357">IFS(D10357&lt;=$G$3,'calculated data '!$A$3,D10357&lt;=$G$4,'calculated data '!$A$4,D10357&lt;=$G$6,'calculated data '!$A$5,D10357&gt;=$G$6,'calculated data '!$A$6)</f>
        <v>High Demand Tier</v>
      </c>
      <c r="F10357" s="10">
        <f t="shared" si="1"/>
        <v>0.9858171932</v>
      </c>
    </row>
    <row r="10358" ht="14.25" customHeight="1">
      <c r="A10358" s="2" t="s">
        <v>481</v>
      </c>
      <c r="B10358" s="2" t="s">
        <v>482</v>
      </c>
      <c r="C10358" s="2">
        <v>1987.0</v>
      </c>
      <c r="D10358" s="9">
        <v>62303.324</v>
      </c>
      <c r="E10358" s="10" t="str">
        <f t="array" ref="E10358">IFS(D10358&lt;=$G$3,'calculated data '!$A$3,D10358&lt;=$G$4,'calculated data '!$A$4,D10358&lt;=$G$6,'calculated data '!$A$5,D10358&gt;=$G$6,'calculated data '!$A$6)</f>
        <v>High Demand Tier</v>
      </c>
      <c r="F10358" s="10">
        <f t="shared" si="1"/>
        <v>0.9859819939</v>
      </c>
    </row>
    <row r="10359" ht="14.25" customHeight="1">
      <c r="A10359" s="2" t="s">
        <v>487</v>
      </c>
      <c r="B10359" s="2" t="s">
        <v>488</v>
      </c>
      <c r="C10359" s="2">
        <v>1995.0</v>
      </c>
      <c r="D10359" s="9">
        <v>62311.766</v>
      </c>
      <c r="E10359" s="10" t="str">
        <f t="array" ref="E10359">IFS(D10359&lt;=$G$3,'calculated data '!$A$3,D10359&lt;=$G$4,'calculated data '!$A$4,D10359&lt;=$G$6,'calculated data '!$A$5,D10359&gt;=$G$6,'calculated data '!$A$6)</f>
        <v>High Demand Tier</v>
      </c>
      <c r="F10359" s="10">
        <f t="shared" si="1"/>
        <v>0.9862054515</v>
      </c>
    </row>
    <row r="10360" ht="14.25" customHeight="1">
      <c r="A10360" s="2" t="s">
        <v>455</v>
      </c>
      <c r="B10360" s="2" t="s">
        <v>456</v>
      </c>
      <c r="C10360" s="2">
        <v>2004.0</v>
      </c>
      <c r="D10360" s="9">
        <v>62344.344</v>
      </c>
      <c r="E10360" s="10" t="str">
        <f t="array" ref="E10360">IFS(D10360&lt;=$G$3,'calculated data '!$A$3,D10360&lt;=$G$4,'calculated data '!$A$4,D10360&lt;=$G$6,'calculated data '!$A$5,D10360&gt;=$G$6,'calculated data '!$A$6)</f>
        <v>High Demand Tier</v>
      </c>
      <c r="F10360" s="10">
        <f t="shared" si="1"/>
        <v>0.9870677831</v>
      </c>
    </row>
    <row r="10361" ht="14.25" customHeight="1">
      <c r="A10361" s="2" t="s">
        <v>467</v>
      </c>
      <c r="B10361" s="2" t="s">
        <v>468</v>
      </c>
      <c r="C10361" s="2">
        <v>2017.0</v>
      </c>
      <c r="D10361" s="9">
        <v>62353.055</v>
      </c>
      <c r="E10361" s="10" t="str">
        <f t="array" ref="E10361">IFS(D10361&lt;=$G$3,'calculated data '!$A$3,D10361&lt;=$G$4,'calculated data '!$A$4,D10361&lt;=$G$6,'calculated data '!$A$5,D10361&gt;=$G$6,'calculated data '!$A$6)</f>
        <v>High Demand Tier</v>
      </c>
      <c r="F10361" s="10">
        <f t="shared" si="1"/>
        <v>0.9872983611</v>
      </c>
    </row>
    <row r="10362" ht="14.25" customHeight="1">
      <c r="A10362" s="2" t="s">
        <v>463</v>
      </c>
      <c r="B10362" s="2" t="s">
        <v>464</v>
      </c>
      <c r="C10362" s="2">
        <v>1975.0</v>
      </c>
      <c r="D10362" s="9">
        <v>62457.03</v>
      </c>
      <c r="E10362" s="10" t="str">
        <f t="array" ref="E10362">IFS(D10362&lt;=$G$3,'calculated data '!$A$3,D10362&lt;=$G$4,'calculated data '!$A$4,D10362&lt;=$G$6,'calculated data '!$A$5,D10362&gt;=$G$6,'calculated data '!$A$6)</f>
        <v>High Demand Tier</v>
      </c>
      <c r="F10362" s="10">
        <f t="shared" si="1"/>
        <v>0.9900505534</v>
      </c>
    </row>
    <row r="10363" ht="14.25" customHeight="1">
      <c r="A10363" s="2" t="s">
        <v>457</v>
      </c>
      <c r="B10363" s="2" t="s">
        <v>458</v>
      </c>
      <c r="C10363" s="2">
        <v>1990.0</v>
      </c>
      <c r="D10363" s="9">
        <v>62507.363</v>
      </c>
      <c r="E10363" s="10" t="str">
        <f t="array" ref="E10363">IFS(D10363&lt;=$G$3,'calculated data '!$A$3,D10363&lt;=$G$4,'calculated data '!$A$4,D10363&lt;=$G$6,'calculated data '!$A$5,D10363&gt;=$G$6,'calculated data '!$A$6)</f>
        <v>High Demand Tier</v>
      </c>
      <c r="F10363" s="10">
        <f t="shared" si="1"/>
        <v>0.9913828554</v>
      </c>
    </row>
    <row r="10364" ht="14.25" customHeight="1">
      <c r="A10364" s="2" t="s">
        <v>149</v>
      </c>
      <c r="B10364" s="2" t="s">
        <v>150</v>
      </c>
      <c r="C10364" s="2">
        <v>1996.0</v>
      </c>
      <c r="D10364" s="9">
        <v>62541.395</v>
      </c>
      <c r="E10364" s="10" t="str">
        <f t="array" ref="E10364">IFS(D10364&lt;=$G$3,'calculated data '!$A$3,D10364&lt;=$G$4,'calculated data '!$A$4,D10364&lt;=$G$6,'calculated data '!$A$5,D10364&gt;=$G$6,'calculated data '!$A$6)</f>
        <v>High Demand Tier</v>
      </c>
      <c r="F10364" s="10">
        <f t="shared" si="1"/>
        <v>0.992283674</v>
      </c>
    </row>
    <row r="10365" ht="14.25" customHeight="1">
      <c r="A10365" s="2" t="s">
        <v>487</v>
      </c>
      <c r="B10365" s="2" t="s">
        <v>488</v>
      </c>
      <c r="C10365" s="2">
        <v>1991.0</v>
      </c>
      <c r="D10365" s="9">
        <v>62545.637</v>
      </c>
      <c r="E10365" s="10" t="str">
        <f t="array" ref="E10365">IFS(D10365&lt;=$G$3,'calculated data '!$A$3,D10365&lt;=$G$4,'calculated data '!$A$4,D10365&lt;=$G$6,'calculated data '!$A$5,D10365&gt;=$G$6,'calculated data '!$A$6)</f>
        <v>High Demand Tier</v>
      </c>
      <c r="F10365" s="10">
        <f t="shared" si="1"/>
        <v>0.9923959586</v>
      </c>
    </row>
    <row r="10366" ht="14.25" customHeight="1">
      <c r="A10366" s="2" t="s">
        <v>467</v>
      </c>
      <c r="B10366" s="2" t="s">
        <v>468</v>
      </c>
      <c r="C10366" s="2">
        <v>2019.0</v>
      </c>
      <c r="D10366" s="9">
        <v>62582.55</v>
      </c>
      <c r="E10366" s="10" t="str">
        <f t="array" ref="E10366">IFS(D10366&lt;=$G$3,'calculated data '!$A$3,D10366&lt;=$G$4,'calculated data '!$A$4,D10366&lt;=$G$6,'calculated data '!$A$5,D10366&gt;=$G$6,'calculated data '!$A$6)</f>
        <v>High Demand Tier</v>
      </c>
      <c r="F10366" s="10">
        <f t="shared" si="1"/>
        <v>0.9933730366</v>
      </c>
    </row>
    <row r="10367" ht="14.25" customHeight="1">
      <c r="A10367" s="2" t="s">
        <v>477</v>
      </c>
      <c r="B10367" s="2" t="s">
        <v>478</v>
      </c>
      <c r="C10367" s="2">
        <v>1990.0</v>
      </c>
      <c r="D10367" s="9">
        <v>62608.777</v>
      </c>
      <c r="E10367" s="10" t="str">
        <f t="array" ref="E10367">IFS(D10367&lt;=$G$3,'calculated data '!$A$3,D10367&lt;=$G$4,'calculated data '!$A$4,D10367&lt;=$G$6,'calculated data '!$A$5,D10367&gt;=$G$6,'calculated data '!$A$6)</f>
        <v>High Demand Tier</v>
      </c>
      <c r="F10367" s="10">
        <f t="shared" si="1"/>
        <v>0.9940672587</v>
      </c>
    </row>
    <row r="10368" ht="14.25" customHeight="1">
      <c r="A10368" s="2" t="s">
        <v>485</v>
      </c>
      <c r="B10368" s="2" t="s">
        <v>486</v>
      </c>
      <c r="C10368" s="2">
        <v>1994.0</v>
      </c>
      <c r="D10368" s="9">
        <v>62612.31</v>
      </c>
      <c r="E10368" s="10" t="str">
        <f t="array" ref="E10368">IFS(D10368&lt;=$G$3,'calculated data '!$A$3,D10368&lt;=$G$4,'calculated data '!$A$4,D10368&lt;=$G$6,'calculated data '!$A$5,D10368&gt;=$G$6,'calculated data '!$A$6)</f>
        <v>High Demand Tier</v>
      </c>
      <c r="F10368" s="10">
        <f t="shared" si="1"/>
        <v>0.9941607764</v>
      </c>
    </row>
    <row r="10369" ht="14.25" customHeight="1">
      <c r="A10369" s="2" t="s">
        <v>483</v>
      </c>
      <c r="B10369" s="2" t="s">
        <v>484</v>
      </c>
      <c r="C10369" s="2">
        <v>2020.0</v>
      </c>
      <c r="D10369" s="9">
        <v>62636.277</v>
      </c>
      <c r="E10369" s="10" t="str">
        <f t="array" ref="E10369">IFS(D10369&lt;=$G$3,'calculated data '!$A$3,D10369&lt;=$G$4,'calculated data '!$A$4,D10369&lt;=$G$6,'calculated data '!$A$5,D10369&gt;=$G$6,'calculated data '!$A$6)</f>
        <v>High Demand Tier</v>
      </c>
      <c r="F10369" s="10">
        <f t="shared" si="1"/>
        <v>0.9947951769</v>
      </c>
    </row>
    <row r="10370" ht="14.25" customHeight="1">
      <c r="A10370" s="2" t="s">
        <v>485</v>
      </c>
      <c r="B10370" s="2" t="s">
        <v>486</v>
      </c>
      <c r="C10370" s="2">
        <v>2006.0</v>
      </c>
      <c r="D10370" s="9">
        <v>62642.895</v>
      </c>
      <c r="E10370" s="10" t="str">
        <f t="array" ref="E10370">IFS(D10370&lt;=$G$3,'calculated data '!$A$3,D10370&lt;=$G$4,'calculated data '!$A$4,D10370&lt;=$G$6,'calculated data '!$A$5,D10370&gt;=$G$6,'calculated data '!$A$6)</f>
        <v>High Demand Tier</v>
      </c>
      <c r="F10370" s="10">
        <f t="shared" si="1"/>
        <v>0.9949703537</v>
      </c>
    </row>
    <row r="10371" ht="14.25" customHeight="1">
      <c r="A10371" s="2" t="s">
        <v>475</v>
      </c>
      <c r="B10371" s="2" t="s">
        <v>476</v>
      </c>
      <c r="C10371" s="2">
        <v>2005.0</v>
      </c>
      <c r="D10371" s="9">
        <v>62647.54</v>
      </c>
      <c r="E10371" s="10" t="str">
        <f t="array" ref="E10371">IFS(D10371&lt;=$G$3,'calculated data '!$A$3,D10371&lt;=$G$4,'calculated data '!$A$4,D10371&lt;=$G$6,'calculated data '!$A$5,D10371&gt;=$G$6,'calculated data '!$A$6)</f>
        <v>High Demand Tier</v>
      </c>
      <c r="F10371" s="10">
        <f t="shared" si="1"/>
        <v>0.9950933057</v>
      </c>
    </row>
    <row r="10372" ht="14.25" customHeight="1">
      <c r="A10372" s="2" t="s">
        <v>397</v>
      </c>
      <c r="B10372" s="2" t="s">
        <v>398</v>
      </c>
      <c r="C10372" s="2">
        <v>2011.0</v>
      </c>
      <c r="D10372" s="9">
        <v>62751.04</v>
      </c>
      <c r="E10372" s="10" t="str">
        <f t="array" ref="E10372">IFS(D10372&lt;=$G$3,'calculated data '!$A$3,D10372&lt;=$G$4,'calculated data '!$A$4,D10372&lt;=$G$6,'calculated data '!$A$5,D10372&gt;=$G$6,'calculated data '!$A$6)</f>
        <v>High Demand Tier</v>
      </c>
      <c r="F10372" s="10">
        <f t="shared" si="1"/>
        <v>0.9978329249</v>
      </c>
    </row>
    <row r="10373" ht="14.25" customHeight="1">
      <c r="A10373" s="2" t="s">
        <v>455</v>
      </c>
      <c r="B10373" s="2" t="s">
        <v>456</v>
      </c>
      <c r="C10373" s="2">
        <v>1995.0</v>
      </c>
      <c r="D10373" s="9">
        <v>62762.9</v>
      </c>
      <c r="E10373" s="10" t="str">
        <f t="array" ref="E10373">IFS(D10373&lt;=$G$3,'calculated data '!$A$3,D10373&lt;=$G$4,'calculated data '!$A$4,D10373&lt;=$G$6,'calculated data '!$A$5,D10373&gt;=$G$6,'calculated data '!$A$6)</f>
        <v>High Demand Tier</v>
      </c>
      <c r="F10373" s="10">
        <f t="shared" si="1"/>
        <v>0.9981468561</v>
      </c>
    </row>
    <row r="10374" ht="14.25" customHeight="1">
      <c r="A10374" s="2" t="s">
        <v>477</v>
      </c>
      <c r="B10374" s="2" t="s">
        <v>478</v>
      </c>
      <c r="C10374" s="2">
        <v>1993.0</v>
      </c>
      <c r="D10374" s="9">
        <v>62768.07</v>
      </c>
      <c r="E10374" s="10" t="str">
        <f t="array" ref="E10374">IFS(D10374&lt;=$G$3,'calculated data '!$A$3,D10374&lt;=$G$4,'calculated data '!$A$4,D10374&lt;=$G$6,'calculated data '!$A$5,D10374&gt;=$G$6,'calculated data '!$A$6)</f>
        <v>High Demand Tier</v>
      </c>
      <c r="F10374" s="10">
        <f t="shared" si="1"/>
        <v>0.9982837048</v>
      </c>
    </row>
    <row r="10375" ht="14.25" customHeight="1">
      <c r="A10375" s="2" t="s">
        <v>149</v>
      </c>
      <c r="B10375" s="2" t="s">
        <v>150</v>
      </c>
      <c r="C10375" s="2">
        <v>1995.0</v>
      </c>
      <c r="D10375" s="9">
        <v>62811.184</v>
      </c>
      <c r="E10375" s="10" t="str">
        <f t="array" ref="E10375">IFS(D10375&lt;=$G$3,'calculated data '!$A$3,D10375&lt;=$G$4,'calculated data '!$A$4,D10375&lt;=$G$6,'calculated data '!$A$5,D10375&gt;=$G$6,'calculated data '!$A$6)</f>
        <v>High Demand Tier</v>
      </c>
      <c r="F10375" s="10">
        <f t="shared" si="1"/>
        <v>0.9994249216</v>
      </c>
    </row>
    <row r="10376" ht="14.25" customHeight="1">
      <c r="A10376" s="2" t="s">
        <v>485</v>
      </c>
      <c r="B10376" s="2" t="s">
        <v>486</v>
      </c>
      <c r="C10376" s="2">
        <v>1995.0</v>
      </c>
      <c r="D10376" s="9">
        <v>62823.496</v>
      </c>
      <c r="E10376" s="10" t="str">
        <f t="array" ref="E10376">IFS(D10376&lt;=$G$3,'calculated data '!$A$3,D10376&lt;=$G$4,'calculated data '!$A$4,D10376&lt;=$G$6,'calculated data '!$A$5,D10376&gt;=$G$6,'calculated data '!$A$6)</f>
        <v>High Demand Tier</v>
      </c>
      <c r="F10376" s="10">
        <f t="shared" si="1"/>
        <v>0.9997508172</v>
      </c>
    </row>
    <row r="10377" ht="14.25" customHeight="1">
      <c r="A10377" s="2" t="s">
        <v>307</v>
      </c>
      <c r="B10377" s="2" t="s">
        <v>308</v>
      </c>
      <c r="C10377" s="2">
        <v>2005.0</v>
      </c>
      <c r="D10377" s="9">
        <v>62875.258</v>
      </c>
      <c r="E10377" s="10" t="str">
        <f t="array" ref="E10377">IFS(D10377&lt;=$G$3,'calculated data '!$A$3,D10377&lt;=$G$4,'calculated data '!$A$4,D10377&lt;=$G$6,'calculated data '!$A$5,D10377&gt;=$G$6,'calculated data '!$A$6)</f>
        <v>High Demand Tier</v>
      </c>
      <c r="F10377" s="10">
        <f t="shared" si="1"/>
        <v>1.001120944</v>
      </c>
    </row>
    <row r="10378" ht="14.25" customHeight="1">
      <c r="A10378" s="2" t="s">
        <v>445</v>
      </c>
      <c r="B10378" s="2" t="s">
        <v>446</v>
      </c>
      <c r="C10378" s="2">
        <v>1989.0</v>
      </c>
      <c r="D10378" s="9">
        <v>62888.113</v>
      </c>
      <c r="E10378" s="10" t="str">
        <f t="array" ref="E10378">IFS(D10378&lt;=$G$3,'calculated data '!$A$3,D10378&lt;=$G$4,'calculated data '!$A$4,D10378&lt;=$G$6,'calculated data '!$A$5,D10378&gt;=$G$6,'calculated data '!$A$6)</f>
        <v>High Demand Tier</v>
      </c>
      <c r="F10378" s="10">
        <f t="shared" si="1"/>
        <v>1.001461213</v>
      </c>
    </row>
    <row r="10379" ht="14.25" customHeight="1">
      <c r="A10379" s="2" t="s">
        <v>485</v>
      </c>
      <c r="B10379" s="2" t="s">
        <v>486</v>
      </c>
      <c r="C10379" s="2">
        <v>1989.0</v>
      </c>
      <c r="D10379" s="9">
        <v>62896.73</v>
      </c>
      <c r="E10379" s="10" t="str">
        <f t="array" ref="E10379">IFS(D10379&lt;=$G$3,'calculated data '!$A$3,D10379&lt;=$G$4,'calculated data '!$A$4,D10379&lt;=$G$6,'calculated data '!$A$5,D10379&gt;=$G$6,'calculated data '!$A$6)</f>
        <v>High Demand Tier</v>
      </c>
      <c r="F10379" s="10">
        <f t="shared" si="1"/>
        <v>1.001689303</v>
      </c>
    </row>
    <row r="10380" ht="14.25" customHeight="1">
      <c r="A10380" s="2" t="s">
        <v>493</v>
      </c>
      <c r="B10380" s="2" t="s">
        <v>494</v>
      </c>
      <c r="C10380" s="2">
        <v>1967.0</v>
      </c>
      <c r="D10380" s="9">
        <v>62925.535</v>
      </c>
      <c r="E10380" s="10" t="str">
        <f t="array" ref="E10380">IFS(D10380&lt;=$G$3,'calculated data '!$A$3,D10380&lt;=$G$4,'calculated data '!$A$4,D10380&lt;=$G$6,'calculated data '!$A$5,D10380&gt;=$G$6,'calculated data '!$A$6)</f>
        <v>High Demand Tier</v>
      </c>
      <c r="F10380" s="10">
        <f t="shared" si="1"/>
        <v>1.002451764</v>
      </c>
    </row>
    <row r="10381" ht="14.25" customHeight="1">
      <c r="A10381" s="2" t="s">
        <v>477</v>
      </c>
      <c r="B10381" s="2" t="s">
        <v>478</v>
      </c>
      <c r="C10381" s="2">
        <v>2016.0</v>
      </c>
      <c r="D10381" s="9">
        <v>63034.035</v>
      </c>
      <c r="E10381" s="10" t="str">
        <f t="array" ref="E10381">IFS(D10381&lt;=$G$3,'calculated data '!$A$3,D10381&lt;=$G$4,'calculated data '!$A$4,D10381&lt;=$G$6,'calculated data '!$A$5,D10381&gt;=$G$6,'calculated data '!$A$6)</f>
        <v>High Demand Tier</v>
      </c>
      <c r="F10381" s="10">
        <f t="shared" si="1"/>
        <v>1.005323732</v>
      </c>
    </row>
    <row r="10382" ht="14.25" customHeight="1">
      <c r="A10382" s="2" t="s">
        <v>149</v>
      </c>
      <c r="B10382" s="2" t="s">
        <v>150</v>
      </c>
      <c r="C10382" s="2">
        <v>2015.0</v>
      </c>
      <c r="D10382" s="9">
        <v>63065.277</v>
      </c>
      <c r="E10382" s="10" t="str">
        <f t="array" ref="E10382">IFS(D10382&lt;=$G$3,'calculated data '!$A$3,D10382&lt;=$G$4,'calculated data '!$A$4,D10382&lt;=$G$6,'calculated data '!$A$5,D10382&gt;=$G$6,'calculated data '!$A$6)</f>
        <v>High Demand Tier</v>
      </c>
      <c r="F10382" s="10">
        <f t="shared" si="1"/>
        <v>1.0061507</v>
      </c>
    </row>
    <row r="10383" ht="14.25" customHeight="1">
      <c r="A10383" s="2" t="s">
        <v>461</v>
      </c>
      <c r="B10383" s="2" t="s">
        <v>462</v>
      </c>
      <c r="C10383" s="2">
        <v>1992.0</v>
      </c>
      <c r="D10383" s="9">
        <v>63066.62</v>
      </c>
      <c r="E10383" s="10" t="str">
        <f t="array" ref="E10383">IFS(D10383&lt;=$G$3,'calculated data '!$A$3,D10383&lt;=$G$4,'calculated data '!$A$4,D10383&lt;=$G$6,'calculated data '!$A$5,D10383&gt;=$G$6,'calculated data '!$A$6)</f>
        <v>High Demand Tier</v>
      </c>
      <c r="F10383" s="10">
        <f t="shared" si="1"/>
        <v>1.006186249</v>
      </c>
    </row>
    <row r="10384" ht="14.25" customHeight="1">
      <c r="A10384" s="2" t="s">
        <v>307</v>
      </c>
      <c r="B10384" s="2" t="s">
        <v>308</v>
      </c>
      <c r="C10384" s="2">
        <v>2007.0</v>
      </c>
      <c r="D10384" s="9">
        <v>63084.914</v>
      </c>
      <c r="E10384" s="10" t="str">
        <f t="array" ref="E10384">IFS(D10384&lt;=$G$3,'calculated data '!$A$3,D10384&lt;=$G$4,'calculated data '!$A$4,D10384&lt;=$G$6,'calculated data '!$A$5,D10384&gt;=$G$6,'calculated data '!$A$6)</f>
        <v>High Demand Tier</v>
      </c>
      <c r="F10384" s="10">
        <f t="shared" si="1"/>
        <v>1.006670487</v>
      </c>
    </row>
    <row r="10385" ht="14.25" customHeight="1">
      <c r="A10385" s="2" t="s">
        <v>427</v>
      </c>
      <c r="B10385" s="2" t="s">
        <v>428</v>
      </c>
      <c r="C10385" s="2">
        <v>2022.0</v>
      </c>
      <c r="D10385" s="9">
        <v>63096.504</v>
      </c>
      <c r="E10385" s="10" t="str">
        <f t="array" ref="E10385">IFS(D10385&lt;=$G$3,'calculated data '!$A$3,D10385&lt;=$G$4,'calculated data '!$A$4,D10385&lt;=$G$6,'calculated data '!$A$5,D10385&gt;=$G$6,'calculated data '!$A$6)</f>
        <v>High Demand Tier</v>
      </c>
      <c r="F10385" s="10">
        <f t="shared" si="1"/>
        <v>1.006977271</v>
      </c>
    </row>
    <row r="10386" ht="14.25" customHeight="1">
      <c r="A10386" s="2" t="s">
        <v>485</v>
      </c>
      <c r="B10386" s="2" t="s">
        <v>486</v>
      </c>
      <c r="C10386" s="2">
        <v>2007.0</v>
      </c>
      <c r="D10386" s="9">
        <v>63113.223</v>
      </c>
      <c r="E10386" s="10" t="str">
        <f t="array" ref="E10386">IFS(D10386&lt;=$G$3,'calculated data '!$A$3,D10386&lt;=$G$4,'calculated data '!$A$4,D10386&lt;=$G$6,'calculated data '!$A$5,D10386&gt;=$G$6,'calculated data '!$A$6)</f>
        <v>High Demand Tier</v>
      </c>
      <c r="F10386" s="10">
        <f t="shared" si="1"/>
        <v>1.007419819</v>
      </c>
    </row>
    <row r="10387" ht="14.25" customHeight="1">
      <c r="A10387" s="2" t="s">
        <v>449</v>
      </c>
      <c r="B10387" s="2" t="s">
        <v>450</v>
      </c>
      <c r="C10387" s="2">
        <v>2022.0</v>
      </c>
      <c r="D10387" s="9">
        <v>63128.047</v>
      </c>
      <c r="E10387" s="10" t="str">
        <f t="array" ref="E10387">IFS(D10387&lt;=$G$3,'calculated data '!$A$3,D10387&lt;=$G$4,'calculated data '!$A$4,D10387&lt;=$G$6,'calculated data '!$A$5,D10387&gt;=$G$6,'calculated data '!$A$6)</f>
        <v>High Demand Tier</v>
      </c>
      <c r="F10387" s="10">
        <f t="shared" si="1"/>
        <v>1.007812206</v>
      </c>
    </row>
    <row r="10388" ht="14.25" customHeight="1">
      <c r="A10388" s="2" t="s">
        <v>473</v>
      </c>
      <c r="B10388" s="2" t="s">
        <v>474</v>
      </c>
      <c r="C10388" s="2">
        <v>1987.0</v>
      </c>
      <c r="D10388" s="9">
        <v>63133.797</v>
      </c>
      <c r="E10388" s="10" t="str">
        <f t="array" ref="E10388">IFS(D10388&lt;=$G$3,'calculated data '!$A$3,D10388&lt;=$G$4,'calculated data '!$A$4,D10388&lt;=$G$6,'calculated data '!$A$5,D10388&gt;=$G$6,'calculated data '!$A$6)</f>
        <v>High Demand Tier</v>
      </c>
      <c r="F10388" s="10">
        <f t="shared" si="1"/>
        <v>1.007964407</v>
      </c>
    </row>
    <row r="10389" ht="14.25" customHeight="1">
      <c r="A10389" s="2" t="s">
        <v>149</v>
      </c>
      <c r="B10389" s="2" t="s">
        <v>150</v>
      </c>
      <c r="C10389" s="2">
        <v>2016.0</v>
      </c>
      <c r="D10389" s="9">
        <v>63143.918</v>
      </c>
      <c r="E10389" s="10" t="str">
        <f t="array" ref="E10389">IFS(D10389&lt;=$G$3,'calculated data '!$A$3,D10389&lt;=$G$4,'calculated data '!$A$4,D10389&lt;=$G$6,'calculated data '!$A$5,D10389&gt;=$G$6,'calculated data '!$A$6)</f>
        <v>High Demand Tier</v>
      </c>
      <c r="F10389" s="10">
        <f t="shared" si="1"/>
        <v>1.008232308</v>
      </c>
    </row>
    <row r="10390" ht="14.25" customHeight="1">
      <c r="A10390" s="2" t="s">
        <v>149</v>
      </c>
      <c r="B10390" s="2" t="s">
        <v>150</v>
      </c>
      <c r="C10390" s="2">
        <v>2010.0</v>
      </c>
      <c r="D10390" s="9">
        <v>63168.363</v>
      </c>
      <c r="E10390" s="10" t="str">
        <f t="array" ref="E10390">IFS(D10390&lt;=$G$3,'calculated data '!$A$3,D10390&lt;=$G$4,'calculated data '!$A$4,D10390&lt;=$G$6,'calculated data '!$A$5,D10390&gt;=$G$6,'calculated data '!$A$6)</f>
        <v>High Demand Tier</v>
      </c>
      <c r="F10390" s="10">
        <f t="shared" si="1"/>
        <v>1.008879361</v>
      </c>
    </row>
    <row r="10391" ht="14.25" customHeight="1">
      <c r="A10391" s="2" t="s">
        <v>467</v>
      </c>
      <c r="B10391" s="2" t="s">
        <v>468</v>
      </c>
      <c r="C10391" s="2">
        <v>1996.0</v>
      </c>
      <c r="D10391" s="9">
        <v>63187.668</v>
      </c>
      <c r="E10391" s="10" t="str">
        <f t="array" ref="E10391">IFS(D10391&lt;=$G$3,'calculated data '!$A$3,D10391&lt;=$G$4,'calculated data '!$A$4,D10391&lt;=$G$6,'calculated data '!$A$5,D10391&gt;=$G$6,'calculated data '!$A$6)</f>
        <v>High Demand Tier</v>
      </c>
      <c r="F10391" s="10">
        <f t="shared" si="1"/>
        <v>1.009390359</v>
      </c>
    </row>
    <row r="10392" ht="14.25" customHeight="1">
      <c r="A10392" s="2" t="s">
        <v>461</v>
      </c>
      <c r="B10392" s="2" t="s">
        <v>462</v>
      </c>
      <c r="C10392" s="2">
        <v>1994.0</v>
      </c>
      <c r="D10392" s="9">
        <v>63209.016</v>
      </c>
      <c r="E10392" s="10" t="str">
        <f t="array" ref="E10392">IFS(D10392&lt;=$G$3,'calculated data '!$A$3,D10392&lt;=$G$4,'calculated data '!$A$4,D10392&lt;=$G$6,'calculated data '!$A$5,D10392&gt;=$G$6,'calculated data '!$A$6)</f>
        <v>High Demand Tier</v>
      </c>
      <c r="F10392" s="10">
        <f t="shared" si="1"/>
        <v>1.009955436</v>
      </c>
    </row>
    <row r="10393" ht="14.25" customHeight="1">
      <c r="A10393" s="2" t="s">
        <v>477</v>
      </c>
      <c r="B10393" s="2" t="s">
        <v>478</v>
      </c>
      <c r="C10393" s="2">
        <v>2017.0</v>
      </c>
      <c r="D10393" s="9">
        <v>63220.223</v>
      </c>
      <c r="E10393" s="10" t="str">
        <f t="array" ref="E10393">IFS(D10393&lt;=$G$3,'calculated data '!$A$3,D10393&lt;=$G$4,'calculated data '!$A$4,D10393&lt;=$G$6,'calculated data '!$A$5,D10393&gt;=$G$6,'calculated data '!$A$6)</f>
        <v>High Demand Tier</v>
      </c>
      <c r="F10393" s="10">
        <f t="shared" si="1"/>
        <v>1.010252082</v>
      </c>
    </row>
    <row r="10394" ht="14.25" customHeight="1">
      <c r="A10394" s="2" t="s">
        <v>441</v>
      </c>
      <c r="B10394" s="2" t="s">
        <v>442</v>
      </c>
      <c r="C10394" s="2">
        <v>2013.0</v>
      </c>
      <c r="D10394" s="9">
        <v>63223.348</v>
      </c>
      <c r="E10394" s="10" t="str">
        <f t="array" ref="E10394">IFS(D10394&lt;=$G$3,'calculated data '!$A$3,D10394&lt;=$G$4,'calculated data '!$A$4,D10394&lt;=$G$6,'calculated data '!$A$5,D10394&gt;=$G$6,'calculated data '!$A$6)</f>
        <v>High Demand Tier</v>
      </c>
      <c r="F10394" s="10">
        <f t="shared" si="1"/>
        <v>1.0103348</v>
      </c>
    </row>
    <row r="10395" ht="14.25" customHeight="1">
      <c r="A10395" s="2" t="s">
        <v>475</v>
      </c>
      <c r="B10395" s="2" t="s">
        <v>476</v>
      </c>
      <c r="C10395" s="2">
        <v>1998.0</v>
      </c>
      <c r="D10395" s="9">
        <v>63240.14</v>
      </c>
      <c r="E10395" s="10" t="str">
        <f t="array" ref="E10395">IFS(D10395&lt;=$G$3,'calculated data '!$A$3,D10395&lt;=$G$4,'calculated data '!$A$4,D10395&lt;=$G$6,'calculated data '!$A$5,D10395&gt;=$G$6,'calculated data '!$A$6)</f>
        <v>High Demand Tier</v>
      </c>
      <c r="F10395" s="10">
        <f t="shared" si="1"/>
        <v>1.01077928</v>
      </c>
    </row>
    <row r="10396" ht="14.25" customHeight="1">
      <c r="A10396" s="2" t="s">
        <v>475</v>
      </c>
      <c r="B10396" s="2" t="s">
        <v>476</v>
      </c>
      <c r="C10396" s="2">
        <v>1981.0</v>
      </c>
      <c r="D10396" s="9">
        <v>63249.598</v>
      </c>
      <c r="E10396" s="10" t="str">
        <f t="array" ref="E10396">IFS(D10396&lt;=$G$3,'calculated data '!$A$3,D10396&lt;=$G$4,'calculated data '!$A$4,D10396&lt;=$G$6,'calculated data '!$A$5,D10396&gt;=$G$6,'calculated data '!$A$6)</f>
        <v>High Demand Tier</v>
      </c>
      <c r="F10396" s="10">
        <f t="shared" si="1"/>
        <v>1.011029631</v>
      </c>
    </row>
    <row r="10397" ht="14.25" customHeight="1">
      <c r="A10397" s="2" t="s">
        <v>485</v>
      </c>
      <c r="B10397" s="2" t="s">
        <v>486</v>
      </c>
      <c r="C10397" s="2">
        <v>2003.0</v>
      </c>
      <c r="D10397" s="9">
        <v>63314.582</v>
      </c>
      <c r="E10397" s="10" t="str">
        <f t="array" ref="E10397">IFS(D10397&lt;=$G$3,'calculated data '!$A$3,D10397&lt;=$G$4,'calculated data '!$A$4,D10397&lt;=$G$6,'calculated data '!$A$5,D10397&gt;=$G$6,'calculated data '!$A$6)</f>
        <v>High Demand Tier</v>
      </c>
      <c r="F10397" s="10">
        <f t="shared" si="1"/>
        <v>1.012749741</v>
      </c>
    </row>
    <row r="10398" ht="14.25" customHeight="1">
      <c r="A10398" s="2" t="s">
        <v>461</v>
      </c>
      <c r="B10398" s="2" t="s">
        <v>462</v>
      </c>
      <c r="C10398" s="2">
        <v>1993.0</v>
      </c>
      <c r="D10398" s="9">
        <v>63347.414</v>
      </c>
      <c r="E10398" s="10" t="str">
        <f t="array" ref="E10398">IFS(D10398&lt;=$G$3,'calculated data '!$A$3,D10398&lt;=$G$4,'calculated data '!$A$4,D10398&lt;=$G$6,'calculated data '!$A$5,D10398&gt;=$G$6,'calculated data '!$A$6)</f>
        <v>High Demand Tier</v>
      </c>
      <c r="F10398" s="10">
        <f t="shared" si="1"/>
        <v>1.013618796</v>
      </c>
    </row>
    <row r="10399" ht="14.25" customHeight="1">
      <c r="A10399" s="2" t="s">
        <v>477</v>
      </c>
      <c r="B10399" s="2" t="s">
        <v>478</v>
      </c>
      <c r="C10399" s="2">
        <v>2013.0</v>
      </c>
      <c r="D10399" s="9">
        <v>63375.535</v>
      </c>
      <c r="E10399" s="10" t="str">
        <f t="array" ref="E10399">IFS(D10399&lt;=$G$3,'calculated data '!$A$3,D10399&lt;=$G$4,'calculated data '!$A$4,D10399&lt;=$G$6,'calculated data '!$A$5,D10399&gt;=$G$6,'calculated data '!$A$6)</f>
        <v>High Demand Tier</v>
      </c>
      <c r="F10399" s="10">
        <f t="shared" si="1"/>
        <v>1.014363152</v>
      </c>
    </row>
    <row r="10400" ht="14.25" customHeight="1">
      <c r="A10400" s="2" t="s">
        <v>455</v>
      </c>
      <c r="B10400" s="2" t="s">
        <v>456</v>
      </c>
      <c r="C10400" s="2">
        <v>2006.0</v>
      </c>
      <c r="D10400" s="9">
        <v>63386.21</v>
      </c>
      <c r="E10400" s="10" t="str">
        <f t="array" ref="E10400">IFS(D10400&lt;=$G$3,'calculated data '!$A$3,D10400&lt;=$G$4,'calculated data '!$A$4,D10400&lt;=$G$6,'calculated data '!$A$5,D10400&gt;=$G$6,'calculated data '!$A$6)</f>
        <v>High Demand Tier</v>
      </c>
      <c r="F10400" s="10">
        <f t="shared" si="1"/>
        <v>1.014645717</v>
      </c>
    </row>
    <row r="10401" ht="14.25" customHeight="1">
      <c r="A10401" s="2" t="s">
        <v>467</v>
      </c>
      <c r="B10401" s="2" t="s">
        <v>468</v>
      </c>
      <c r="C10401" s="2">
        <v>2016.0</v>
      </c>
      <c r="D10401" s="9">
        <v>63386.383</v>
      </c>
      <c r="E10401" s="10" t="str">
        <f t="array" ref="E10401">IFS(D10401&lt;=$G$3,'calculated data '!$A$3,D10401&lt;=$G$4,'calculated data '!$A$4,D10401&lt;=$G$6,'calculated data '!$A$5,D10401&gt;=$G$6,'calculated data '!$A$6)</f>
        <v>High Demand Tier</v>
      </c>
      <c r="F10401" s="10">
        <f t="shared" si="1"/>
        <v>1.014650296</v>
      </c>
    </row>
    <row r="10402" ht="14.25" customHeight="1">
      <c r="A10402" s="2" t="s">
        <v>449</v>
      </c>
      <c r="B10402" s="2" t="s">
        <v>450</v>
      </c>
      <c r="C10402" s="2">
        <v>2023.0</v>
      </c>
      <c r="D10402" s="9">
        <v>63397.098</v>
      </c>
      <c r="E10402" s="10" t="str">
        <f t="array" ref="E10402">IFS(D10402&lt;=$G$3,'calculated data '!$A$3,D10402&lt;=$G$4,'calculated data '!$A$4,D10402&lt;=$G$6,'calculated data '!$A$5,D10402&gt;=$G$6,'calculated data '!$A$6)</f>
        <v>High Demand Tier</v>
      </c>
      <c r="F10402" s="10">
        <f t="shared" si="1"/>
        <v>1.014933919</v>
      </c>
    </row>
    <row r="10403" ht="14.25" customHeight="1">
      <c r="A10403" s="2" t="s">
        <v>485</v>
      </c>
      <c r="B10403" s="2" t="s">
        <v>486</v>
      </c>
      <c r="C10403" s="2">
        <v>2001.0</v>
      </c>
      <c r="D10403" s="9">
        <v>63414.16</v>
      </c>
      <c r="E10403" s="10" t="str">
        <f t="array" ref="E10403">IFS(D10403&lt;=$G$3,'calculated data '!$A$3,D10403&lt;=$G$4,'calculated data '!$A$4,D10403&lt;=$G$6,'calculated data '!$A$5,D10403&gt;=$G$6,'calculated data '!$A$6)</f>
        <v>High Demand Tier</v>
      </c>
      <c r="F10403" s="10">
        <f t="shared" si="1"/>
        <v>1.015385546</v>
      </c>
    </row>
    <row r="10404" ht="14.25" customHeight="1">
      <c r="A10404" s="2" t="s">
        <v>455</v>
      </c>
      <c r="B10404" s="2" t="s">
        <v>456</v>
      </c>
      <c r="C10404" s="2">
        <v>1997.0</v>
      </c>
      <c r="D10404" s="9">
        <v>63465.727</v>
      </c>
      <c r="E10404" s="10" t="str">
        <f t="array" ref="E10404">IFS(D10404&lt;=$G$3,'calculated data '!$A$3,D10404&lt;=$G$4,'calculated data '!$A$4,D10404&lt;=$G$6,'calculated data '!$A$5,D10404&gt;=$G$6,'calculated data '!$A$6)</f>
        <v>High Demand Tier</v>
      </c>
      <c r="F10404" s="10">
        <f t="shared" si="1"/>
        <v>1.016750512</v>
      </c>
    </row>
    <row r="10405" ht="14.25" customHeight="1">
      <c r="A10405" s="2" t="s">
        <v>71</v>
      </c>
      <c r="B10405" s="2" t="s">
        <v>72</v>
      </c>
      <c r="C10405" s="2">
        <v>2005.0</v>
      </c>
      <c r="D10405" s="9">
        <v>63469.54</v>
      </c>
      <c r="E10405" s="10" t="str">
        <f t="array" ref="E10405">IFS(D10405&lt;=$G$3,'calculated data '!$A$3,D10405&lt;=$G$4,'calculated data '!$A$4,D10405&lt;=$G$6,'calculated data '!$A$5,D10405&gt;=$G$6,'calculated data '!$A$6)</f>
        <v>High Demand Tier</v>
      </c>
      <c r="F10405" s="10">
        <f t="shared" si="1"/>
        <v>1.016851441</v>
      </c>
    </row>
    <row r="10406" ht="14.25" customHeight="1">
      <c r="A10406" s="2" t="s">
        <v>477</v>
      </c>
      <c r="B10406" s="2" t="s">
        <v>478</v>
      </c>
      <c r="C10406" s="2">
        <v>2021.0</v>
      </c>
      <c r="D10406" s="9">
        <v>63478.348</v>
      </c>
      <c r="E10406" s="10" t="str">
        <f t="array" ref="E10406">IFS(D10406&lt;=$G$3,'calculated data '!$A$3,D10406&lt;=$G$4,'calculated data '!$A$4,D10406&lt;=$G$6,'calculated data '!$A$5,D10406&gt;=$G$6,'calculated data '!$A$6)</f>
        <v>High Demand Tier</v>
      </c>
      <c r="F10406" s="10">
        <f t="shared" si="1"/>
        <v>1.017084587</v>
      </c>
    </row>
    <row r="10407" ht="14.25" customHeight="1">
      <c r="A10407" s="2" t="s">
        <v>473</v>
      </c>
      <c r="B10407" s="2" t="s">
        <v>474</v>
      </c>
      <c r="C10407" s="2">
        <v>1988.0</v>
      </c>
      <c r="D10407" s="9">
        <v>63489.117</v>
      </c>
      <c r="E10407" s="10" t="str">
        <f t="array" ref="E10407">IFS(D10407&lt;=$G$3,'calculated data '!$A$3,D10407&lt;=$G$4,'calculated data '!$A$4,D10407&lt;=$G$6,'calculated data '!$A$5,D10407&gt;=$G$6,'calculated data '!$A$6)</f>
        <v>High Demand Tier</v>
      </c>
      <c r="F10407" s="10">
        <f t="shared" si="1"/>
        <v>1.017369639</v>
      </c>
    </row>
    <row r="10408" ht="14.25" customHeight="1">
      <c r="A10408" s="2" t="s">
        <v>397</v>
      </c>
      <c r="B10408" s="2" t="s">
        <v>398</v>
      </c>
      <c r="C10408" s="2">
        <v>1996.0</v>
      </c>
      <c r="D10408" s="9">
        <v>63500.18</v>
      </c>
      <c r="E10408" s="10" t="str">
        <f t="array" ref="E10408">IFS(D10408&lt;=$G$3,'calculated data '!$A$3,D10408&lt;=$G$4,'calculated data '!$A$4,D10408&lt;=$G$6,'calculated data '!$A$5,D10408&gt;=$G$6,'calculated data '!$A$6)</f>
        <v>High Demand Tier</v>
      </c>
      <c r="F10408" s="10">
        <f t="shared" si="1"/>
        <v>1.017662474</v>
      </c>
    </row>
    <row r="10409" ht="14.25" customHeight="1">
      <c r="A10409" s="2" t="s">
        <v>445</v>
      </c>
      <c r="B10409" s="2" t="s">
        <v>446</v>
      </c>
      <c r="C10409" s="2">
        <v>1988.0</v>
      </c>
      <c r="D10409" s="9">
        <v>63503.18</v>
      </c>
      <c r="E10409" s="10" t="str">
        <f t="array" ref="E10409">IFS(D10409&lt;=$G$3,'calculated data '!$A$3,D10409&lt;=$G$4,'calculated data '!$A$4,D10409&lt;=$G$6,'calculated data '!$A$5,D10409&gt;=$G$6,'calculated data '!$A$6)</f>
        <v>High Demand Tier</v>
      </c>
      <c r="F10409" s="10">
        <f t="shared" si="1"/>
        <v>1.017741883</v>
      </c>
    </row>
    <row r="10410" ht="14.25" customHeight="1">
      <c r="A10410" s="2" t="s">
        <v>455</v>
      </c>
      <c r="B10410" s="2" t="s">
        <v>456</v>
      </c>
      <c r="C10410" s="2">
        <v>2012.0</v>
      </c>
      <c r="D10410" s="9">
        <v>63575.4</v>
      </c>
      <c r="E10410" s="10" t="str">
        <f t="array" ref="E10410">IFS(D10410&lt;=$G$3,'calculated data '!$A$3,D10410&lt;=$G$4,'calculated data '!$A$4,D10410&lt;=$G$6,'calculated data '!$A$5,D10410&gt;=$G$6,'calculated data '!$A$6)</f>
        <v>High Demand Tier</v>
      </c>
      <c r="F10410" s="10">
        <f t="shared" si="1"/>
        <v>1.019653529</v>
      </c>
    </row>
    <row r="10411" ht="14.25" customHeight="1">
      <c r="A10411" s="2" t="s">
        <v>485</v>
      </c>
      <c r="B10411" s="2" t="s">
        <v>486</v>
      </c>
      <c r="C10411" s="2">
        <v>2005.0</v>
      </c>
      <c r="D10411" s="9">
        <v>63584.387</v>
      </c>
      <c r="E10411" s="10" t="str">
        <f t="array" ref="E10411">IFS(D10411&lt;=$G$3,'calculated data '!$A$3,D10411&lt;=$G$4,'calculated data '!$A$4,D10411&lt;=$G$6,'calculated data '!$A$5,D10411&gt;=$G$6,'calculated data '!$A$6)</f>
        <v>High Demand Tier</v>
      </c>
      <c r="F10411" s="10">
        <f t="shared" si="1"/>
        <v>1.019891412</v>
      </c>
    </row>
    <row r="10412" ht="14.25" customHeight="1">
      <c r="A10412" s="2" t="s">
        <v>221</v>
      </c>
      <c r="B10412" s="2" t="s">
        <v>222</v>
      </c>
      <c r="C10412" s="2">
        <v>2010.0</v>
      </c>
      <c r="D10412" s="9">
        <v>63584.418</v>
      </c>
      <c r="E10412" s="10" t="str">
        <f t="array" ref="E10412">IFS(D10412&lt;=$G$3,'calculated data '!$A$3,D10412&lt;=$G$4,'calculated data '!$A$4,D10412&lt;=$G$6,'calculated data '!$A$5,D10412&gt;=$G$6,'calculated data '!$A$6)</f>
        <v>High Demand Tier</v>
      </c>
      <c r="F10412" s="10">
        <f t="shared" si="1"/>
        <v>1.019892233</v>
      </c>
    </row>
    <row r="10413" ht="14.25" customHeight="1">
      <c r="A10413" s="2" t="s">
        <v>461</v>
      </c>
      <c r="B10413" s="2" t="s">
        <v>462</v>
      </c>
      <c r="C10413" s="2">
        <v>1977.0</v>
      </c>
      <c r="D10413" s="9">
        <v>63588.887</v>
      </c>
      <c r="E10413" s="10" t="str">
        <f t="array" ref="E10413">IFS(D10413&lt;=$G$3,'calculated data '!$A$3,D10413&lt;=$G$4,'calculated data '!$A$4,D10413&lt;=$G$6,'calculated data '!$A$5,D10413&gt;=$G$6,'calculated data '!$A$6)</f>
        <v>High Demand Tier</v>
      </c>
      <c r="F10413" s="10">
        <f t="shared" si="1"/>
        <v>1.020010526</v>
      </c>
    </row>
    <row r="10414" ht="14.25" customHeight="1">
      <c r="A10414" s="2" t="s">
        <v>463</v>
      </c>
      <c r="B10414" s="2" t="s">
        <v>464</v>
      </c>
      <c r="C10414" s="2">
        <v>1985.0</v>
      </c>
      <c r="D10414" s="9">
        <v>63642.48</v>
      </c>
      <c r="E10414" s="10" t="str">
        <f t="array" ref="E10414">IFS(D10414&lt;=$G$3,'calculated data '!$A$3,D10414&lt;=$G$4,'calculated data '!$A$4,D10414&lt;=$G$6,'calculated data '!$A$5,D10414&gt;=$G$6,'calculated data '!$A$6)</f>
        <v>High Demand Tier</v>
      </c>
      <c r="F10414" s="10">
        <f t="shared" si="1"/>
        <v>1.02142912</v>
      </c>
    </row>
    <row r="10415" ht="14.25" customHeight="1">
      <c r="A10415" s="2" t="s">
        <v>485</v>
      </c>
      <c r="B10415" s="2" t="s">
        <v>486</v>
      </c>
      <c r="C10415" s="2">
        <v>1998.0</v>
      </c>
      <c r="D10415" s="9">
        <v>63642.86</v>
      </c>
      <c r="E10415" s="10" t="str">
        <f t="array" ref="E10415">IFS(D10415&lt;=$G$3,'calculated data '!$A$3,D10415&lt;=$G$4,'calculated data '!$A$4,D10415&lt;=$G$6,'calculated data '!$A$5,D10415&gt;=$G$6,'calculated data '!$A$6)</f>
        <v>High Demand Tier</v>
      </c>
      <c r="F10415" s="10">
        <f t="shared" si="1"/>
        <v>1.021439178</v>
      </c>
    </row>
    <row r="10416" ht="14.25" customHeight="1">
      <c r="A10416" s="2" t="s">
        <v>469</v>
      </c>
      <c r="B10416" s="2" t="s">
        <v>470</v>
      </c>
      <c r="C10416" s="2">
        <v>1994.0</v>
      </c>
      <c r="D10416" s="9">
        <v>63676.72</v>
      </c>
      <c r="E10416" s="10" t="str">
        <f t="array" ref="E10416">IFS(D10416&lt;=$G$3,'calculated data '!$A$3,D10416&lt;=$G$4,'calculated data '!$A$4,D10416&lt;=$G$6,'calculated data '!$A$5,D10416&gt;=$G$6,'calculated data '!$A$6)</f>
        <v>High Demand Tier</v>
      </c>
      <c r="F10416" s="10">
        <f t="shared" si="1"/>
        <v>1.022335444</v>
      </c>
    </row>
    <row r="10417" ht="14.25" customHeight="1">
      <c r="A10417" s="2" t="s">
        <v>485</v>
      </c>
      <c r="B10417" s="2" t="s">
        <v>486</v>
      </c>
      <c r="C10417" s="2">
        <v>2002.0</v>
      </c>
      <c r="D10417" s="9">
        <v>63687.754</v>
      </c>
      <c r="E10417" s="10" t="str">
        <f t="array" ref="E10417">IFS(D10417&lt;=$G$3,'calculated data '!$A$3,D10417&lt;=$G$4,'calculated data '!$A$4,D10417&lt;=$G$6,'calculated data '!$A$5,D10417&gt;=$G$6,'calculated data '!$A$6)</f>
        <v>High Demand Tier</v>
      </c>
      <c r="F10417" s="10">
        <f t="shared" si="1"/>
        <v>1.022627511</v>
      </c>
    </row>
    <row r="10418" ht="14.25" customHeight="1">
      <c r="A10418" s="2" t="s">
        <v>485</v>
      </c>
      <c r="B10418" s="2" t="s">
        <v>486</v>
      </c>
      <c r="C10418" s="2">
        <v>1997.0</v>
      </c>
      <c r="D10418" s="9">
        <v>63702.35</v>
      </c>
      <c r="E10418" s="10" t="str">
        <f t="array" ref="E10418">IFS(D10418&lt;=$G$3,'calculated data '!$A$3,D10418&lt;=$G$4,'calculated data '!$A$4,D10418&lt;=$G$6,'calculated data '!$A$5,D10418&gt;=$G$6,'calculated data '!$A$6)</f>
        <v>High Demand Tier</v>
      </c>
      <c r="F10418" s="10">
        <f t="shared" si="1"/>
        <v>1.023013864</v>
      </c>
    </row>
    <row r="10419" ht="14.25" customHeight="1">
      <c r="A10419" s="2" t="s">
        <v>405</v>
      </c>
      <c r="B10419" s="2" t="s">
        <v>406</v>
      </c>
      <c r="C10419" s="2">
        <v>1986.0</v>
      </c>
      <c r="D10419" s="9">
        <v>63726.5</v>
      </c>
      <c r="E10419" s="10" t="str">
        <f t="array" ref="E10419">IFS(D10419&lt;=$G$3,'calculated data '!$A$3,D10419&lt;=$G$4,'calculated data '!$A$4,D10419&lt;=$G$6,'calculated data '!$A$5,D10419&gt;=$G$6,'calculated data '!$A$6)</f>
        <v>High Demand Tier</v>
      </c>
      <c r="F10419" s="10">
        <f t="shared" si="1"/>
        <v>1.023653108</v>
      </c>
    </row>
    <row r="10420" ht="14.25" customHeight="1">
      <c r="A10420" s="2" t="s">
        <v>461</v>
      </c>
      <c r="B10420" s="2" t="s">
        <v>462</v>
      </c>
      <c r="C10420" s="2">
        <v>1991.0</v>
      </c>
      <c r="D10420" s="9">
        <v>63807.05</v>
      </c>
      <c r="E10420" s="10" t="str">
        <f t="array" ref="E10420">IFS(D10420&lt;=$G$3,'calculated data '!$A$3,D10420&lt;=$G$4,'calculated data '!$A$4,D10420&lt;=$G$6,'calculated data '!$A$5,D10420&gt;=$G$6,'calculated data '!$A$6)</f>
        <v>High Demand Tier</v>
      </c>
      <c r="F10420" s="10">
        <f t="shared" si="1"/>
        <v>1.025785247</v>
      </c>
    </row>
    <row r="10421" ht="14.25" customHeight="1">
      <c r="A10421" s="2" t="s">
        <v>485</v>
      </c>
      <c r="B10421" s="2" t="s">
        <v>486</v>
      </c>
      <c r="C10421" s="2">
        <v>1980.0</v>
      </c>
      <c r="D10421" s="9">
        <v>63857.27</v>
      </c>
      <c r="E10421" s="10" t="str">
        <f t="array" ref="E10421">IFS(D10421&lt;=$G$3,'calculated data '!$A$3,D10421&lt;=$G$4,'calculated data '!$A$4,D10421&lt;=$G$6,'calculated data '!$A$5,D10421&gt;=$G$6,'calculated data '!$A$6)</f>
        <v>High Demand Tier</v>
      </c>
      <c r="F10421" s="10">
        <f t="shared" si="1"/>
        <v>1.027114557</v>
      </c>
    </row>
    <row r="10422" ht="14.25" customHeight="1">
      <c r="A10422" s="2" t="s">
        <v>475</v>
      </c>
      <c r="B10422" s="2" t="s">
        <v>476</v>
      </c>
      <c r="C10422" s="2">
        <v>1980.0</v>
      </c>
      <c r="D10422" s="9">
        <v>63873.0</v>
      </c>
      <c r="E10422" s="10" t="str">
        <f t="array" ref="E10422">IFS(D10422&lt;=$G$3,'calculated data '!$A$3,D10422&lt;=$G$4,'calculated data '!$A$4,D10422&lt;=$G$6,'calculated data '!$A$5,D10422&gt;=$G$6,'calculated data '!$A$6)</f>
        <v>High Demand Tier</v>
      </c>
      <c r="F10422" s="10">
        <f t="shared" si="1"/>
        <v>1.027530927</v>
      </c>
    </row>
    <row r="10423" ht="14.25" customHeight="1">
      <c r="A10423" s="2" t="s">
        <v>475</v>
      </c>
      <c r="B10423" s="2" t="s">
        <v>476</v>
      </c>
      <c r="C10423" s="2">
        <v>1989.0</v>
      </c>
      <c r="D10423" s="9">
        <v>63900.5</v>
      </c>
      <c r="E10423" s="10" t="str">
        <f t="array" ref="E10423">IFS(D10423&lt;=$G$3,'calculated data '!$A$3,D10423&lt;=$G$4,'calculated data '!$A$4,D10423&lt;=$G$6,'calculated data '!$A$5,D10423&gt;=$G$6,'calculated data '!$A$6)</f>
        <v>High Demand Tier</v>
      </c>
      <c r="F10423" s="10">
        <f t="shared" si="1"/>
        <v>1.028258845</v>
      </c>
    </row>
    <row r="10424" ht="14.25" customHeight="1">
      <c r="A10424" s="2" t="s">
        <v>485</v>
      </c>
      <c r="B10424" s="2" t="s">
        <v>486</v>
      </c>
      <c r="C10424" s="2">
        <v>1996.0</v>
      </c>
      <c r="D10424" s="9">
        <v>63913.64</v>
      </c>
      <c r="E10424" s="10" t="str">
        <f t="array" ref="E10424">IFS(D10424&lt;=$G$3,'calculated data '!$A$3,D10424&lt;=$G$4,'calculated data '!$A$4,D10424&lt;=$G$6,'calculated data '!$A$5,D10424&gt;=$G$6,'calculated data '!$A$6)</f>
        <v>High Demand Tier</v>
      </c>
      <c r="F10424" s="10">
        <f t="shared" si="1"/>
        <v>1.028606657</v>
      </c>
    </row>
    <row r="10425" ht="14.25" customHeight="1">
      <c r="A10425" s="2" t="s">
        <v>461</v>
      </c>
      <c r="B10425" s="2" t="s">
        <v>462</v>
      </c>
      <c r="C10425" s="2">
        <v>1973.0</v>
      </c>
      <c r="D10425" s="9">
        <v>63914.95</v>
      </c>
      <c r="E10425" s="10" t="str">
        <f t="array" ref="E10425">IFS(D10425&lt;=$G$3,'calculated data '!$A$3,D10425&lt;=$G$4,'calculated data '!$A$4,D10425&lt;=$G$6,'calculated data '!$A$5,D10425&gt;=$G$6,'calculated data '!$A$6)</f>
        <v>High Demand Tier</v>
      </c>
      <c r="F10425" s="10">
        <f t="shared" si="1"/>
        <v>1.028641333</v>
      </c>
    </row>
    <row r="10426" ht="14.25" customHeight="1">
      <c r="A10426" s="2" t="s">
        <v>477</v>
      </c>
      <c r="B10426" s="2" t="s">
        <v>478</v>
      </c>
      <c r="C10426" s="2">
        <v>2019.0</v>
      </c>
      <c r="D10426" s="9">
        <v>63984.17</v>
      </c>
      <c r="E10426" s="10" t="str">
        <f t="array" ref="E10426">IFS(D10426&lt;=$G$3,'calculated data '!$A$3,D10426&lt;=$G$4,'calculated data '!$A$4,D10426&lt;=$G$6,'calculated data '!$A$5,D10426&gt;=$G$6,'calculated data '!$A$6)</f>
        <v>High Demand Tier</v>
      </c>
      <c r="F10426" s="10">
        <f t="shared" si="1"/>
        <v>1.030473569</v>
      </c>
    </row>
    <row r="10427" ht="14.25" customHeight="1">
      <c r="A10427" s="2" t="s">
        <v>477</v>
      </c>
      <c r="B10427" s="2" t="s">
        <v>478</v>
      </c>
      <c r="C10427" s="2">
        <v>1992.0</v>
      </c>
      <c r="D10427" s="9">
        <v>64030.312</v>
      </c>
      <c r="E10427" s="10" t="str">
        <f t="array" ref="E10427">IFS(D10427&lt;=$G$3,'calculated data '!$A$3,D10427&lt;=$G$4,'calculated data '!$A$4,D10427&lt;=$G$6,'calculated data '!$A$5,D10427&gt;=$G$6,'calculated data '!$A$6)</f>
        <v>High Demand Tier</v>
      </c>
      <c r="F10427" s="10">
        <f t="shared" si="1"/>
        <v>1.031694936</v>
      </c>
    </row>
    <row r="10428" ht="14.25" customHeight="1">
      <c r="A10428" s="2" t="s">
        <v>485</v>
      </c>
      <c r="B10428" s="2" t="s">
        <v>486</v>
      </c>
      <c r="C10428" s="2">
        <v>2004.0</v>
      </c>
      <c r="D10428" s="9">
        <v>64064.42</v>
      </c>
      <c r="E10428" s="10" t="str">
        <f t="array" ref="E10428">IFS(D10428&lt;=$G$3,'calculated data '!$A$3,D10428&lt;=$G$4,'calculated data '!$A$4,D10428&lt;=$G$6,'calculated data '!$A$5,D10428&gt;=$G$6,'calculated data '!$A$6)</f>
        <v>High Demand Tier</v>
      </c>
      <c r="F10428" s="10">
        <f t="shared" si="1"/>
        <v>1.032597766</v>
      </c>
    </row>
    <row r="10429" ht="14.25" customHeight="1">
      <c r="A10429" s="2" t="s">
        <v>485</v>
      </c>
      <c r="B10429" s="2" t="s">
        <v>486</v>
      </c>
      <c r="C10429" s="2">
        <v>1999.0</v>
      </c>
      <c r="D10429" s="9">
        <v>64079.047</v>
      </c>
      <c r="E10429" s="10" t="str">
        <f t="array" ref="E10429">IFS(D10429&lt;=$G$3,'calculated data '!$A$3,D10429&lt;=$G$4,'calculated data '!$A$4,D10429&lt;=$G$6,'calculated data '!$A$5,D10429&gt;=$G$6,'calculated data '!$A$6)</f>
        <v>High Demand Tier</v>
      </c>
      <c r="F10429" s="10">
        <f t="shared" si="1"/>
        <v>1.032984939</v>
      </c>
    </row>
    <row r="10430" ht="14.25" customHeight="1">
      <c r="A10430" s="2" t="s">
        <v>467</v>
      </c>
      <c r="B10430" s="2" t="s">
        <v>468</v>
      </c>
      <c r="C10430" s="2">
        <v>1997.0</v>
      </c>
      <c r="D10430" s="9">
        <v>64082.08</v>
      </c>
      <c r="E10430" s="10" t="str">
        <f t="array" ref="E10430">IFS(D10430&lt;=$G$3,'calculated data '!$A$3,D10430&lt;=$G$4,'calculated data '!$A$4,D10430&lt;=$G$6,'calculated data '!$A$5,D10430&gt;=$G$6,'calculated data '!$A$6)</f>
        <v>High Demand Tier</v>
      </c>
      <c r="F10430" s="10">
        <f t="shared" si="1"/>
        <v>1.033065222</v>
      </c>
    </row>
    <row r="10431" ht="14.25" customHeight="1">
      <c r="A10431" s="2" t="s">
        <v>149</v>
      </c>
      <c r="B10431" s="2" t="s">
        <v>150</v>
      </c>
      <c r="C10431" s="2">
        <v>2008.0</v>
      </c>
      <c r="D10431" s="9">
        <v>64121.266</v>
      </c>
      <c r="E10431" s="10" t="str">
        <f t="array" ref="E10431">IFS(D10431&lt;=$G$3,'calculated data '!$A$3,D10431&lt;=$G$4,'calculated data '!$A$4,D10431&lt;=$G$6,'calculated data '!$A$5,D10431&gt;=$G$6,'calculated data '!$A$6)</f>
        <v>High Demand Tier</v>
      </c>
      <c r="F10431" s="10">
        <f t="shared" si="1"/>
        <v>1.034102466</v>
      </c>
    </row>
    <row r="10432" ht="14.25" customHeight="1">
      <c r="A10432" s="2" t="s">
        <v>397</v>
      </c>
      <c r="B10432" s="2" t="s">
        <v>398</v>
      </c>
      <c r="C10432" s="2">
        <v>1997.0</v>
      </c>
      <c r="D10432" s="9">
        <v>64215.83</v>
      </c>
      <c r="E10432" s="10" t="str">
        <f t="array" ref="E10432">IFS(D10432&lt;=$G$3,'calculated data '!$A$3,D10432&lt;=$G$4,'calculated data '!$A$4,D10432&lt;=$G$6,'calculated data '!$A$5,D10432&gt;=$G$6,'calculated data '!$A$6)</f>
        <v>High Demand Tier</v>
      </c>
      <c r="F10432" s="10">
        <f t="shared" si="1"/>
        <v>1.036605551</v>
      </c>
    </row>
    <row r="10433" ht="14.25" customHeight="1">
      <c r="A10433" s="2" t="s">
        <v>467</v>
      </c>
      <c r="B10433" s="2" t="s">
        <v>468</v>
      </c>
      <c r="C10433" s="2">
        <v>2014.0</v>
      </c>
      <c r="D10433" s="9">
        <v>64247.59</v>
      </c>
      <c r="E10433" s="10" t="str">
        <f t="array" ref="E10433">IFS(D10433&lt;=$G$3,'calculated data '!$A$3,D10433&lt;=$G$4,'calculated data '!$A$4,D10433&lt;=$G$6,'calculated data '!$A$5,D10433&gt;=$G$6,'calculated data '!$A$6)</f>
        <v>High Demand Tier</v>
      </c>
      <c r="F10433" s="10">
        <f t="shared" si="1"/>
        <v>1.037446231</v>
      </c>
    </row>
    <row r="10434" ht="14.25" customHeight="1">
      <c r="A10434" s="2" t="s">
        <v>461</v>
      </c>
      <c r="B10434" s="2" t="s">
        <v>462</v>
      </c>
      <c r="C10434" s="2">
        <v>2012.0</v>
      </c>
      <c r="D10434" s="9">
        <v>64249.574</v>
      </c>
      <c r="E10434" s="10" t="str">
        <f t="array" ref="E10434">IFS(D10434&lt;=$G$3,'calculated data '!$A$3,D10434&lt;=$G$4,'calculated data '!$A$4,D10434&lt;=$G$6,'calculated data '!$A$5,D10434&gt;=$G$6,'calculated data '!$A$6)</f>
        <v>High Demand Tier</v>
      </c>
      <c r="F10434" s="10">
        <f t="shared" si="1"/>
        <v>1.037498747</v>
      </c>
    </row>
    <row r="10435" ht="14.25" customHeight="1">
      <c r="A10435" s="2" t="s">
        <v>463</v>
      </c>
      <c r="B10435" s="2" t="s">
        <v>464</v>
      </c>
      <c r="C10435" s="2">
        <v>1982.0</v>
      </c>
      <c r="D10435" s="9">
        <v>64314.7</v>
      </c>
      <c r="E10435" s="10" t="str">
        <f t="array" ref="E10435">IFS(D10435&lt;=$G$3,'calculated data '!$A$3,D10435&lt;=$G$4,'calculated data '!$A$4,D10435&lt;=$G$6,'calculated data '!$A$5,D10435&gt;=$G$6,'calculated data '!$A$6)</f>
        <v>High Demand Tier</v>
      </c>
      <c r="F10435" s="10">
        <f t="shared" si="1"/>
        <v>1.039222616</v>
      </c>
    </row>
    <row r="10436" ht="14.25" customHeight="1">
      <c r="A10436" s="2" t="s">
        <v>461</v>
      </c>
      <c r="B10436" s="2" t="s">
        <v>462</v>
      </c>
      <c r="C10436" s="2">
        <v>1995.0</v>
      </c>
      <c r="D10436" s="9">
        <v>64425.594</v>
      </c>
      <c r="E10436" s="10" t="str">
        <f t="array" ref="E10436">IFS(D10436&lt;=$G$3,'calculated data '!$A$3,D10436&lt;=$G$4,'calculated data '!$A$4,D10436&lt;=$G$6,'calculated data '!$A$5,D10436&gt;=$G$6,'calculated data '!$A$6)</f>
        <v>High Demand Tier</v>
      </c>
      <c r="F10436" s="10">
        <f t="shared" si="1"/>
        <v>1.042157952</v>
      </c>
    </row>
    <row r="10437" ht="14.25" customHeight="1">
      <c r="A10437" s="2" t="s">
        <v>479</v>
      </c>
      <c r="B10437" s="2" t="s">
        <v>480</v>
      </c>
      <c r="C10437" s="2">
        <v>1991.0</v>
      </c>
      <c r="D10437" s="9">
        <v>64457.14</v>
      </c>
      <c r="E10437" s="10" t="str">
        <f t="array" ref="E10437">IFS(D10437&lt;=$G$3,'calculated data '!$A$3,D10437&lt;=$G$4,'calculated data '!$A$4,D10437&lt;=$G$6,'calculated data '!$A$5,D10437&gt;=$G$6,'calculated data '!$A$6)</f>
        <v>High Demand Tier</v>
      </c>
      <c r="F10437" s="10">
        <f t="shared" si="1"/>
        <v>1.042992967</v>
      </c>
    </row>
    <row r="10438" ht="14.25" customHeight="1">
      <c r="A10438" s="2" t="s">
        <v>485</v>
      </c>
      <c r="B10438" s="2" t="s">
        <v>486</v>
      </c>
      <c r="C10438" s="2">
        <v>1974.0</v>
      </c>
      <c r="D10438" s="9">
        <v>64458.977</v>
      </c>
      <c r="E10438" s="10" t="str">
        <f t="array" ref="E10438">IFS(D10438&lt;=$G$3,'calculated data '!$A$3,D10438&lt;=$G$4,'calculated data '!$A$4,D10438&lt;=$G$6,'calculated data '!$A$5,D10438&gt;=$G$6,'calculated data '!$A$6)</f>
        <v>High Demand Tier</v>
      </c>
      <c r="F10438" s="10">
        <f t="shared" si="1"/>
        <v>1.043041592</v>
      </c>
    </row>
    <row r="10439" ht="14.25" customHeight="1">
      <c r="A10439" s="2" t="s">
        <v>397</v>
      </c>
      <c r="B10439" s="2" t="s">
        <v>398</v>
      </c>
      <c r="C10439" s="2">
        <v>2000.0</v>
      </c>
      <c r="D10439" s="9">
        <v>64459.617</v>
      </c>
      <c r="E10439" s="10" t="str">
        <f t="array" ref="E10439">IFS(D10439&lt;=$G$3,'calculated data '!$A$3,D10439&lt;=$G$4,'calculated data '!$A$4,D10439&lt;=$G$6,'calculated data '!$A$5,D10439&gt;=$G$6,'calculated data '!$A$6)</f>
        <v>High Demand Tier</v>
      </c>
      <c r="F10439" s="10">
        <f t="shared" si="1"/>
        <v>1.043058533</v>
      </c>
    </row>
    <row r="10440" ht="14.25" customHeight="1">
      <c r="A10440" s="2" t="s">
        <v>343</v>
      </c>
      <c r="B10440" s="2" t="s">
        <v>344</v>
      </c>
      <c r="C10440" s="2">
        <v>2012.0</v>
      </c>
      <c r="D10440" s="9">
        <v>64478.266</v>
      </c>
      <c r="E10440" s="10" t="str">
        <f t="array" ref="E10440">IFS(D10440&lt;=$G$3,'calculated data '!$A$3,D10440&lt;=$G$4,'calculated data '!$A$4,D10440&lt;=$G$6,'calculated data '!$A$5,D10440&gt;=$G$6,'calculated data '!$A$6)</f>
        <v>High Demand Tier</v>
      </c>
      <c r="F10440" s="10">
        <f t="shared" si="1"/>
        <v>1.043552167</v>
      </c>
    </row>
    <row r="10441" ht="14.25" customHeight="1">
      <c r="A10441" s="2" t="s">
        <v>477</v>
      </c>
      <c r="B10441" s="2" t="s">
        <v>478</v>
      </c>
      <c r="C10441" s="2">
        <v>1991.0</v>
      </c>
      <c r="D10441" s="9">
        <v>64481.15</v>
      </c>
      <c r="E10441" s="10" t="str">
        <f t="array" ref="E10441">IFS(D10441&lt;=$G$3,'calculated data '!$A$3,D10441&lt;=$G$4,'calculated data '!$A$4,D10441&lt;=$G$6,'calculated data '!$A$5,D10441&gt;=$G$6,'calculated data '!$A$6)</f>
        <v>High Demand Tier</v>
      </c>
      <c r="F10441" s="10">
        <f t="shared" si="1"/>
        <v>1.043628506</v>
      </c>
    </row>
    <row r="10442" ht="14.25" customHeight="1">
      <c r="A10442" s="2" t="s">
        <v>461</v>
      </c>
      <c r="B10442" s="2" t="s">
        <v>462</v>
      </c>
      <c r="C10442" s="2">
        <v>1978.0</v>
      </c>
      <c r="D10442" s="9">
        <v>64481.316</v>
      </c>
      <c r="E10442" s="10" t="str">
        <f t="array" ref="E10442">IFS(D10442&lt;=$G$3,'calculated data '!$A$3,D10442&lt;=$G$4,'calculated data '!$A$4,D10442&lt;=$G$6,'calculated data '!$A$5,D10442&gt;=$G$6,'calculated data '!$A$6)</f>
        <v>High Demand Tier</v>
      </c>
      <c r="F10442" s="10">
        <f t="shared" si="1"/>
        <v>1.0436329</v>
      </c>
    </row>
    <row r="10443" ht="14.25" customHeight="1">
      <c r="A10443" s="2" t="s">
        <v>149</v>
      </c>
      <c r="B10443" s="2" t="s">
        <v>150</v>
      </c>
      <c r="C10443" s="2">
        <v>2022.0</v>
      </c>
      <c r="D10443" s="9">
        <v>64506.117</v>
      </c>
      <c r="E10443" s="10" t="str">
        <f t="array" ref="E10443">IFS(D10443&lt;=$G$3,'calculated data '!$A$3,D10443&lt;=$G$4,'calculated data '!$A$4,D10443&lt;=$G$6,'calculated data '!$A$5,D10443&gt;=$G$6,'calculated data '!$A$6)</f>
        <v>High Demand Tier</v>
      </c>
      <c r="F10443" s="10">
        <f t="shared" si="1"/>
        <v>1.044289376</v>
      </c>
    </row>
    <row r="10444" ht="14.25" customHeight="1">
      <c r="A10444" s="2" t="s">
        <v>479</v>
      </c>
      <c r="B10444" s="2" t="s">
        <v>480</v>
      </c>
      <c r="C10444" s="2">
        <v>1985.0</v>
      </c>
      <c r="D10444" s="9">
        <v>64510.293</v>
      </c>
      <c r="E10444" s="10" t="str">
        <f t="array" ref="E10444">IFS(D10444&lt;=$G$3,'calculated data '!$A$3,D10444&lt;=$G$4,'calculated data '!$A$4,D10444&lt;=$G$6,'calculated data '!$A$5,D10444&gt;=$G$6,'calculated data '!$A$6)</f>
        <v>High Demand Tier</v>
      </c>
      <c r="F10444" s="10">
        <f t="shared" si="1"/>
        <v>1.044399914</v>
      </c>
    </row>
    <row r="10445" ht="14.25" customHeight="1">
      <c r="A10445" s="2" t="s">
        <v>475</v>
      </c>
      <c r="B10445" s="2" t="s">
        <v>476</v>
      </c>
      <c r="C10445" s="2">
        <v>2004.0</v>
      </c>
      <c r="D10445" s="9">
        <v>64523.63</v>
      </c>
      <c r="E10445" s="10" t="str">
        <f t="array" ref="E10445">IFS(D10445&lt;=$G$3,'calculated data '!$A$3,D10445&lt;=$G$4,'calculated data '!$A$4,D10445&lt;=$G$6,'calculated data '!$A$5,D10445&gt;=$G$6,'calculated data '!$A$6)</f>
        <v>High Demand Tier</v>
      </c>
      <c r="F10445" s="10">
        <f t="shared" si="1"/>
        <v>1.044752941</v>
      </c>
    </row>
    <row r="10446" ht="14.25" customHeight="1">
      <c r="A10446" s="2" t="s">
        <v>467</v>
      </c>
      <c r="B10446" s="2" t="s">
        <v>468</v>
      </c>
      <c r="C10446" s="2">
        <v>2013.0</v>
      </c>
      <c r="D10446" s="9">
        <v>64532.73</v>
      </c>
      <c r="E10446" s="10" t="str">
        <f t="array" ref="E10446">IFS(D10446&lt;=$G$3,'calculated data '!$A$3,D10446&lt;=$G$4,'calculated data '!$A$4,D10446&lt;=$G$6,'calculated data '!$A$5,D10446&gt;=$G$6,'calculated data '!$A$6)</f>
        <v>High Demand Tier</v>
      </c>
      <c r="F10446" s="10">
        <f t="shared" si="1"/>
        <v>1.044993815</v>
      </c>
    </row>
    <row r="10447" ht="14.25" customHeight="1">
      <c r="A10447" s="2" t="s">
        <v>485</v>
      </c>
      <c r="B10447" s="2" t="s">
        <v>486</v>
      </c>
      <c r="C10447" s="2">
        <v>1972.0</v>
      </c>
      <c r="D10447" s="9">
        <v>64561.34</v>
      </c>
      <c r="E10447" s="10" t="str">
        <f t="array" ref="E10447">IFS(D10447&lt;=$G$3,'calculated data '!$A$3,D10447&lt;=$G$4,'calculated data '!$A$4,D10447&lt;=$G$6,'calculated data '!$A$5,D10447&gt;=$G$6,'calculated data '!$A$6)</f>
        <v>High Demand Tier</v>
      </c>
      <c r="F10447" s="10">
        <f t="shared" si="1"/>
        <v>1.045751115</v>
      </c>
    </row>
    <row r="10448" ht="14.25" customHeight="1">
      <c r="A10448" s="2" t="s">
        <v>467</v>
      </c>
      <c r="B10448" s="2" t="s">
        <v>468</v>
      </c>
      <c r="C10448" s="2">
        <v>2015.0</v>
      </c>
      <c r="D10448" s="9">
        <v>64575.875</v>
      </c>
      <c r="E10448" s="10" t="str">
        <f t="array" ref="E10448">IFS(D10448&lt;=$G$3,'calculated data '!$A$3,D10448&lt;=$G$4,'calculated data '!$A$4,D10448&lt;=$G$6,'calculated data '!$A$5,D10448&gt;=$G$6,'calculated data '!$A$6)</f>
        <v>High Demand Tier</v>
      </c>
      <c r="F10448" s="10">
        <f t="shared" si="1"/>
        <v>1.046135853</v>
      </c>
    </row>
    <row r="10449" ht="14.25" customHeight="1">
      <c r="A10449" s="2" t="s">
        <v>397</v>
      </c>
      <c r="B10449" s="2" t="s">
        <v>398</v>
      </c>
      <c r="C10449" s="2">
        <v>1994.0</v>
      </c>
      <c r="D10449" s="9">
        <v>64590.957</v>
      </c>
      <c r="E10449" s="10" t="str">
        <f t="array" ref="E10449">IFS(D10449&lt;=$G$3,'calculated data '!$A$3,D10449&lt;=$G$4,'calculated data '!$A$4,D10449&lt;=$G$6,'calculated data '!$A$5,D10449&gt;=$G$6,'calculated data '!$A$6)</f>
        <v>High Demand Tier</v>
      </c>
      <c r="F10449" s="10">
        <f t="shared" si="1"/>
        <v>1.04653507</v>
      </c>
    </row>
    <row r="10450" ht="14.25" customHeight="1">
      <c r="A10450" s="2" t="s">
        <v>455</v>
      </c>
      <c r="B10450" s="2" t="s">
        <v>456</v>
      </c>
      <c r="C10450" s="2">
        <v>2001.0</v>
      </c>
      <c r="D10450" s="9">
        <v>64598.457</v>
      </c>
      <c r="E10450" s="10" t="str">
        <f t="array" ref="E10450">IFS(D10450&lt;=$G$3,'calculated data '!$A$3,D10450&lt;=$G$4,'calculated data '!$A$4,D10450&lt;=$G$6,'calculated data '!$A$5,D10450&gt;=$G$6,'calculated data '!$A$6)</f>
        <v>High Demand Tier</v>
      </c>
      <c r="F10450" s="10">
        <f t="shared" si="1"/>
        <v>1.046733593</v>
      </c>
    </row>
    <row r="10451" ht="14.25" customHeight="1">
      <c r="A10451" s="2" t="s">
        <v>397</v>
      </c>
      <c r="B10451" s="2" t="s">
        <v>398</v>
      </c>
      <c r="C10451" s="2">
        <v>1999.0</v>
      </c>
      <c r="D10451" s="9">
        <v>64637.016</v>
      </c>
      <c r="E10451" s="10" t="str">
        <f t="array" ref="E10451">IFS(D10451&lt;=$G$3,'calculated data '!$A$3,D10451&lt;=$G$4,'calculated data '!$A$4,D10451&lt;=$G$6,'calculated data '!$A$5,D10451&gt;=$G$6,'calculated data '!$A$6)</f>
        <v>High Demand Tier</v>
      </c>
      <c r="F10451" s="10">
        <f t="shared" si="1"/>
        <v>1.04775424</v>
      </c>
    </row>
    <row r="10452" ht="14.25" customHeight="1">
      <c r="A10452" s="2" t="s">
        <v>149</v>
      </c>
      <c r="B10452" s="2" t="s">
        <v>150</v>
      </c>
      <c r="C10452" s="2">
        <v>2024.0</v>
      </c>
      <c r="D10452" s="9">
        <v>64641.76</v>
      </c>
      <c r="E10452" s="10" t="str">
        <f t="array" ref="E10452">IFS(D10452&lt;=$G$3,'calculated data '!$A$3,D10452&lt;=$G$4,'calculated data '!$A$4,D10452&lt;=$G$6,'calculated data '!$A$5,D10452&gt;=$G$6,'calculated data '!$A$6)</f>
        <v>High Demand Tier</v>
      </c>
      <c r="F10452" s="10">
        <f t="shared" si="1"/>
        <v>1.047879812</v>
      </c>
    </row>
    <row r="10453" ht="14.25" customHeight="1">
      <c r="A10453" s="2" t="s">
        <v>485</v>
      </c>
      <c r="B10453" s="2" t="s">
        <v>486</v>
      </c>
      <c r="C10453" s="2">
        <v>1976.0</v>
      </c>
      <c r="D10453" s="9">
        <v>64752.066</v>
      </c>
      <c r="E10453" s="10" t="str">
        <f t="array" ref="E10453">IFS(D10453&lt;=$G$3,'calculated data '!$A$3,D10453&lt;=$G$4,'calculated data '!$A$4,D10453&lt;=$G$6,'calculated data '!$A$5,D10453&gt;=$G$6,'calculated data '!$A$6)</f>
        <v>High Demand Tier</v>
      </c>
      <c r="F10453" s="10">
        <f t="shared" si="1"/>
        <v>1.050799585</v>
      </c>
    </row>
    <row r="10454" ht="14.25" customHeight="1">
      <c r="A10454" s="2" t="s">
        <v>461</v>
      </c>
      <c r="B10454" s="2" t="s">
        <v>462</v>
      </c>
      <c r="C10454" s="2">
        <v>1999.0</v>
      </c>
      <c r="D10454" s="9">
        <v>64752.242</v>
      </c>
      <c r="E10454" s="10" t="str">
        <f t="array" ref="E10454">IFS(D10454&lt;=$G$3,'calculated data '!$A$3,D10454&lt;=$G$4,'calculated data '!$A$4,D10454&lt;=$G$6,'calculated data '!$A$5,D10454&gt;=$G$6,'calculated data '!$A$6)</f>
        <v>High Demand Tier</v>
      </c>
      <c r="F10454" s="10">
        <f t="shared" si="1"/>
        <v>1.050804243</v>
      </c>
    </row>
    <row r="10455" ht="14.25" customHeight="1">
      <c r="A10455" s="2" t="s">
        <v>457</v>
      </c>
      <c r="B10455" s="2" t="s">
        <v>458</v>
      </c>
      <c r="C10455" s="2">
        <v>1995.0</v>
      </c>
      <c r="D10455" s="9">
        <v>64798.875</v>
      </c>
      <c r="E10455" s="10" t="str">
        <f t="array" ref="E10455">IFS(D10455&lt;=$G$3,'calculated data '!$A$3,D10455&lt;=$G$4,'calculated data '!$A$4,D10455&lt;=$G$6,'calculated data '!$A$5,D10455&gt;=$G$6,'calculated data '!$A$6)</f>
        <v>High Demand Tier</v>
      </c>
      <c r="F10455" s="10">
        <f t="shared" si="1"/>
        <v>1.052038607</v>
      </c>
    </row>
    <row r="10456" ht="14.25" customHeight="1">
      <c r="A10456" s="2" t="s">
        <v>397</v>
      </c>
      <c r="B10456" s="2" t="s">
        <v>398</v>
      </c>
      <c r="C10456" s="2">
        <v>2005.0</v>
      </c>
      <c r="D10456" s="9">
        <v>64841.484</v>
      </c>
      <c r="E10456" s="10" t="str">
        <f t="array" ref="E10456">IFS(D10456&lt;=$G$3,'calculated data '!$A$3,D10456&lt;=$G$4,'calculated data '!$A$4,D10456&lt;=$G$6,'calculated data '!$A$5,D10456&gt;=$G$6,'calculated data '!$A$6)</f>
        <v>High Demand Tier</v>
      </c>
      <c r="F10456" s="10">
        <f t="shared" si="1"/>
        <v>1.053166457</v>
      </c>
    </row>
    <row r="10457" ht="14.25" customHeight="1">
      <c r="A10457" s="2" t="s">
        <v>475</v>
      </c>
      <c r="B10457" s="2" t="s">
        <v>476</v>
      </c>
      <c r="C10457" s="2">
        <v>1978.0</v>
      </c>
      <c r="D10457" s="9">
        <v>64931.62</v>
      </c>
      <c r="E10457" s="10" t="str">
        <f t="array" ref="E10457">IFS(D10457&lt;=$G$3,'calculated data '!$A$3,D10457&lt;=$G$4,'calculated data '!$A$4,D10457&lt;=$G$6,'calculated data '!$A$5,D10457&gt;=$G$6,'calculated data '!$A$6)</f>
        <v>High Demand Tier</v>
      </c>
      <c r="F10457" s="10">
        <f t="shared" si="1"/>
        <v>1.055552334</v>
      </c>
    </row>
    <row r="10458" ht="14.25" customHeight="1">
      <c r="A10458" s="2" t="s">
        <v>467</v>
      </c>
      <c r="B10458" s="2" t="s">
        <v>468</v>
      </c>
      <c r="C10458" s="2">
        <v>1998.0</v>
      </c>
      <c r="D10458" s="9">
        <v>64974.496</v>
      </c>
      <c r="E10458" s="10" t="str">
        <f t="array" ref="E10458">IFS(D10458&lt;=$G$3,'calculated data '!$A$3,D10458&lt;=$G$4,'calculated data '!$A$4,D10458&lt;=$G$6,'calculated data '!$A$5,D10458&gt;=$G$6,'calculated data '!$A$6)</f>
        <v>High Demand Tier</v>
      </c>
      <c r="F10458" s="10">
        <f t="shared" si="1"/>
        <v>1.056687251</v>
      </c>
    </row>
    <row r="10459" ht="14.25" customHeight="1">
      <c r="A10459" s="2" t="s">
        <v>479</v>
      </c>
      <c r="B10459" s="2" t="s">
        <v>480</v>
      </c>
      <c r="C10459" s="2">
        <v>1986.0</v>
      </c>
      <c r="D10459" s="9">
        <v>65073.465</v>
      </c>
      <c r="E10459" s="10" t="str">
        <f t="array" ref="E10459">IFS(D10459&lt;=$G$3,'calculated data '!$A$3,D10459&lt;=$G$4,'calculated data '!$A$4,D10459&lt;=$G$6,'calculated data '!$A$5,D10459&gt;=$G$6,'calculated data '!$A$6)</f>
        <v>High Demand Tier</v>
      </c>
      <c r="F10459" s="10">
        <f t="shared" si="1"/>
        <v>1.059306936</v>
      </c>
    </row>
    <row r="10460" ht="14.25" customHeight="1">
      <c r="A10460" s="2" t="s">
        <v>381</v>
      </c>
      <c r="B10460" s="2" t="s">
        <v>382</v>
      </c>
      <c r="C10460" s="2">
        <v>2011.0</v>
      </c>
      <c r="D10460" s="9">
        <v>65084.87</v>
      </c>
      <c r="E10460" s="10" t="str">
        <f t="array" ref="E10460">IFS(D10460&lt;=$G$3,'calculated data '!$A$3,D10460&lt;=$G$4,'calculated data '!$A$4,D10460&lt;=$G$6,'calculated data '!$A$5,D10460&gt;=$G$6,'calculated data '!$A$6)</f>
        <v>High Demand Tier</v>
      </c>
      <c r="F10460" s="10">
        <f t="shared" si="1"/>
        <v>1.059608824</v>
      </c>
    </row>
    <row r="10461" ht="14.25" customHeight="1">
      <c r="A10461" s="2" t="s">
        <v>461</v>
      </c>
      <c r="B10461" s="2" t="s">
        <v>462</v>
      </c>
      <c r="C10461" s="2">
        <v>2000.0</v>
      </c>
      <c r="D10461" s="9">
        <v>65113.324</v>
      </c>
      <c r="E10461" s="10" t="str">
        <f t="array" ref="E10461">IFS(D10461&lt;=$G$3,'calculated data '!$A$3,D10461&lt;=$G$4,'calculated data '!$A$4,D10461&lt;=$G$6,'calculated data '!$A$5,D10461&gt;=$G$6,'calculated data '!$A$6)</f>
        <v>High Demand Tier</v>
      </c>
      <c r="F10461" s="10">
        <f t="shared" si="1"/>
        <v>1.060361994</v>
      </c>
    </row>
    <row r="10462" ht="14.25" customHeight="1">
      <c r="A10462" s="2" t="s">
        <v>467</v>
      </c>
      <c r="B10462" s="2" t="s">
        <v>468</v>
      </c>
      <c r="C10462" s="2">
        <v>2012.0</v>
      </c>
      <c r="D10462" s="9">
        <v>65125.13</v>
      </c>
      <c r="E10462" s="10" t="str">
        <f t="array" ref="E10462">IFS(D10462&lt;=$G$3,'calculated data '!$A$3,D10462&lt;=$G$4,'calculated data '!$A$4,D10462&lt;=$G$6,'calculated data '!$A$5,D10462&gt;=$G$6,'calculated data '!$A$6)</f>
        <v>High Demand Tier</v>
      </c>
      <c r="F10462" s="10">
        <f t="shared" si="1"/>
        <v>1.060674496</v>
      </c>
    </row>
    <row r="10463" ht="14.25" customHeight="1">
      <c r="A10463" s="2" t="s">
        <v>461</v>
      </c>
      <c r="B10463" s="2" t="s">
        <v>462</v>
      </c>
      <c r="C10463" s="2">
        <v>1976.0</v>
      </c>
      <c r="D10463" s="9">
        <v>65137.594</v>
      </c>
      <c r="E10463" s="10" t="str">
        <f t="array" ref="E10463">IFS(D10463&lt;=$G$3,'calculated data '!$A$3,D10463&lt;=$G$4,'calculated data '!$A$4,D10463&lt;=$G$6,'calculated data '!$A$5,D10463&gt;=$G$6,'calculated data '!$A$6)</f>
        <v>High Demand Tier</v>
      </c>
      <c r="F10463" s="10">
        <f t="shared" si="1"/>
        <v>1.061004415</v>
      </c>
    </row>
    <row r="10464" ht="14.25" customHeight="1">
      <c r="A10464" s="2" t="s">
        <v>485</v>
      </c>
      <c r="B10464" s="2" t="s">
        <v>486</v>
      </c>
      <c r="C10464" s="2">
        <v>2000.0</v>
      </c>
      <c r="D10464" s="9">
        <v>65142.125</v>
      </c>
      <c r="E10464" s="10" t="str">
        <f t="array" ref="E10464">IFS(D10464&lt;=$G$3,'calculated data '!$A$3,D10464&lt;=$G$4,'calculated data '!$A$4,D10464&lt;=$G$6,'calculated data '!$A$5,D10464&gt;=$G$6,'calculated data '!$A$6)</f>
        <v>High Demand Tier</v>
      </c>
      <c r="F10464" s="10">
        <f t="shared" si="1"/>
        <v>1.061124349</v>
      </c>
    </row>
    <row r="10465" ht="14.25" customHeight="1">
      <c r="A10465" s="2" t="s">
        <v>455</v>
      </c>
      <c r="B10465" s="2" t="s">
        <v>456</v>
      </c>
      <c r="C10465" s="2">
        <v>1998.0</v>
      </c>
      <c r="D10465" s="9">
        <v>65143.918</v>
      </c>
      <c r="E10465" s="10" t="str">
        <f t="array" ref="E10465">IFS(D10465&lt;=$G$3,'calculated data '!$A$3,D10465&lt;=$G$4,'calculated data '!$A$4,D10465&lt;=$G$6,'calculated data '!$A$5,D10465&gt;=$G$6,'calculated data '!$A$6)</f>
        <v>High Demand Tier</v>
      </c>
      <c r="F10465" s="10">
        <f t="shared" si="1"/>
        <v>1.06117181</v>
      </c>
    </row>
    <row r="10466" ht="14.25" customHeight="1">
      <c r="A10466" s="2" t="s">
        <v>149</v>
      </c>
      <c r="B10466" s="2" t="s">
        <v>150</v>
      </c>
      <c r="C10466" s="2">
        <v>2019.0</v>
      </c>
      <c r="D10466" s="9">
        <v>65248.836</v>
      </c>
      <c r="E10466" s="10" t="str">
        <f t="array" ref="E10466">IFS(D10466&lt;=$G$3,'calculated data '!$A$3,D10466&lt;=$G$4,'calculated data '!$A$4,D10466&lt;=$G$6,'calculated data '!$A$5,D10466&gt;=$G$6,'calculated data '!$A$6)</f>
        <v>High Demand Tier</v>
      </c>
      <c r="F10466" s="10">
        <f t="shared" si="1"/>
        <v>1.063948963</v>
      </c>
    </row>
    <row r="10467" ht="14.25" customHeight="1">
      <c r="A10467" s="2" t="s">
        <v>397</v>
      </c>
      <c r="B10467" s="2" t="s">
        <v>398</v>
      </c>
      <c r="C10467" s="2">
        <v>1998.0</v>
      </c>
      <c r="D10467" s="9">
        <v>65377.574</v>
      </c>
      <c r="E10467" s="10" t="str">
        <f t="array" ref="E10467">IFS(D10467&lt;=$G$3,'calculated data '!$A$3,D10467&lt;=$G$4,'calculated data '!$A$4,D10467&lt;=$G$6,'calculated data '!$A$5,D10467&gt;=$G$6,'calculated data '!$A$6)</f>
        <v>High Demand Tier</v>
      </c>
      <c r="F10467" s="10">
        <f t="shared" si="1"/>
        <v>1.067356626</v>
      </c>
    </row>
    <row r="10468" ht="14.25" customHeight="1">
      <c r="A10468" s="2" t="s">
        <v>435</v>
      </c>
      <c r="B10468" s="2" t="s">
        <v>436</v>
      </c>
      <c r="C10468" s="2">
        <v>1982.0</v>
      </c>
      <c r="D10468" s="9">
        <v>65409.484</v>
      </c>
      <c r="E10468" s="10" t="str">
        <f t="array" ref="E10468">IFS(D10468&lt;=$G$3,'calculated data '!$A$3,D10468&lt;=$G$4,'calculated data '!$A$4,D10468&lt;=$G$6,'calculated data '!$A$5,D10468&gt;=$G$6,'calculated data '!$A$6)</f>
        <v>High Demand Tier</v>
      </c>
      <c r="F10468" s="10">
        <f t="shared" si="1"/>
        <v>1.068201275</v>
      </c>
    </row>
    <row r="10469" ht="14.25" customHeight="1">
      <c r="A10469" s="2" t="s">
        <v>455</v>
      </c>
      <c r="B10469" s="2" t="s">
        <v>456</v>
      </c>
      <c r="C10469" s="2">
        <v>2008.0</v>
      </c>
      <c r="D10469" s="9">
        <v>65430.89</v>
      </c>
      <c r="E10469" s="10" t="str">
        <f t="array" ref="E10469">IFS(D10469&lt;=$G$3,'calculated data '!$A$3,D10469&lt;=$G$4,'calculated data '!$A$4,D10469&lt;=$G$6,'calculated data '!$A$5,D10469&gt;=$G$6,'calculated data '!$A$6)</f>
        <v>High Demand Tier</v>
      </c>
      <c r="F10469" s="10">
        <f t="shared" si="1"/>
        <v>1.068767887</v>
      </c>
    </row>
    <row r="10470" ht="14.25" customHeight="1">
      <c r="A10470" s="2" t="s">
        <v>343</v>
      </c>
      <c r="B10470" s="2" t="s">
        <v>344</v>
      </c>
      <c r="C10470" s="2">
        <v>2015.0</v>
      </c>
      <c r="D10470" s="9">
        <v>65432.043</v>
      </c>
      <c r="E10470" s="10" t="str">
        <f t="array" ref="E10470">IFS(D10470&lt;=$G$3,'calculated data '!$A$3,D10470&lt;=$G$4,'calculated data '!$A$4,D10470&lt;=$G$6,'calculated data '!$A$5,D10470&gt;=$G$6,'calculated data '!$A$6)</f>
        <v>High Demand Tier</v>
      </c>
      <c r="F10470" s="10">
        <f t="shared" si="1"/>
        <v>1.068798407</v>
      </c>
    </row>
    <row r="10471" ht="14.25" customHeight="1">
      <c r="A10471" s="2" t="s">
        <v>149</v>
      </c>
      <c r="B10471" s="2" t="s">
        <v>150</v>
      </c>
      <c r="C10471" s="2">
        <v>2023.0</v>
      </c>
      <c r="D10471" s="9">
        <v>65445.973</v>
      </c>
      <c r="E10471" s="10" t="str">
        <f t="array" ref="E10471">IFS(D10471&lt;=$G$3,'calculated data '!$A$3,D10471&lt;=$G$4,'calculated data '!$A$4,D10471&lt;=$G$6,'calculated data '!$A$5,D10471&gt;=$G$6,'calculated data '!$A$6)</f>
        <v>High Demand Tier</v>
      </c>
      <c r="F10471" s="10">
        <f t="shared" si="1"/>
        <v>1.06916713</v>
      </c>
    </row>
    <row r="10472" ht="14.25" customHeight="1">
      <c r="A10472" s="2" t="s">
        <v>455</v>
      </c>
      <c r="B10472" s="2" t="s">
        <v>456</v>
      </c>
      <c r="C10472" s="2">
        <v>1999.0</v>
      </c>
      <c r="D10472" s="9">
        <v>65496.992</v>
      </c>
      <c r="E10472" s="10" t="str">
        <f t="array" ref="E10472">IFS(D10472&lt;=$G$3,'calculated data '!$A$3,D10472&lt;=$G$4,'calculated data '!$A$4,D10472&lt;=$G$6,'calculated data '!$A$5,D10472&gt;=$G$6,'calculated data '!$A$6)</f>
        <v>High Demand Tier</v>
      </c>
      <c r="F10472" s="10">
        <f t="shared" si="1"/>
        <v>1.07051759</v>
      </c>
    </row>
    <row r="10473" ht="14.25" customHeight="1">
      <c r="A10473" s="2" t="s">
        <v>479</v>
      </c>
      <c r="B10473" s="2" t="s">
        <v>480</v>
      </c>
      <c r="C10473" s="2">
        <v>1990.0</v>
      </c>
      <c r="D10473" s="9">
        <v>65596.89</v>
      </c>
      <c r="E10473" s="10" t="str">
        <f t="array" ref="E10473">IFS(D10473&lt;=$G$3,'calculated data '!$A$3,D10473&lt;=$G$4,'calculated data '!$A$4,D10473&lt;=$G$6,'calculated data '!$A$5,D10473&gt;=$G$6,'calculated data '!$A$6)</f>
        <v>High Demand Tier</v>
      </c>
      <c r="F10473" s="10">
        <f t="shared" si="1"/>
        <v>1.073161866</v>
      </c>
    </row>
    <row r="10474" ht="14.25" customHeight="1">
      <c r="A10474" s="2" t="s">
        <v>221</v>
      </c>
      <c r="B10474" s="2" t="s">
        <v>222</v>
      </c>
      <c r="C10474" s="2">
        <v>2013.0</v>
      </c>
      <c r="D10474" s="9">
        <v>65630.78</v>
      </c>
      <c r="E10474" s="10" t="str">
        <f t="array" ref="E10474">IFS(D10474&lt;=$G$3,'calculated data '!$A$3,D10474&lt;=$G$4,'calculated data '!$A$4,D10474&lt;=$G$6,'calculated data '!$A$5,D10474&gt;=$G$6,'calculated data '!$A$6)</f>
        <v>High Demand Tier</v>
      </c>
      <c r="F10474" s="10">
        <f t="shared" si="1"/>
        <v>1.074058925</v>
      </c>
    </row>
    <row r="10475" ht="14.25" customHeight="1">
      <c r="A10475" s="2" t="s">
        <v>477</v>
      </c>
      <c r="B10475" s="2" t="s">
        <v>478</v>
      </c>
      <c r="C10475" s="2">
        <v>2011.0</v>
      </c>
      <c r="D10475" s="9">
        <v>65642.9</v>
      </c>
      <c r="E10475" s="10" t="str">
        <f t="array" ref="E10475">IFS(D10475&lt;=$G$3,'calculated data '!$A$3,D10475&lt;=$G$4,'calculated data '!$A$4,D10475&lt;=$G$6,'calculated data '!$A$5,D10475&gt;=$G$6,'calculated data '!$A$6)</f>
        <v>High Demand Tier</v>
      </c>
      <c r="F10475" s="10">
        <f t="shared" si="1"/>
        <v>1.074379739</v>
      </c>
    </row>
    <row r="10476" ht="14.25" customHeight="1">
      <c r="A10476" s="2" t="s">
        <v>461</v>
      </c>
      <c r="B10476" s="2" t="s">
        <v>462</v>
      </c>
      <c r="C10476" s="2">
        <v>2011.0</v>
      </c>
      <c r="D10476" s="9">
        <v>65650.78</v>
      </c>
      <c r="E10476" s="10" t="str">
        <f t="array" ref="E10476">IFS(D10476&lt;=$G$3,'calculated data '!$A$3,D10476&lt;=$G$4,'calculated data '!$A$4,D10476&lt;=$G$6,'calculated data '!$A$5,D10476&gt;=$G$6,'calculated data '!$A$6)</f>
        <v>High Demand Tier</v>
      </c>
      <c r="F10476" s="10">
        <f t="shared" si="1"/>
        <v>1.07458832</v>
      </c>
    </row>
    <row r="10477" ht="14.25" customHeight="1">
      <c r="A10477" s="2" t="s">
        <v>455</v>
      </c>
      <c r="B10477" s="2" t="s">
        <v>456</v>
      </c>
      <c r="C10477" s="2">
        <v>2002.0</v>
      </c>
      <c r="D10477" s="9">
        <v>65704.98</v>
      </c>
      <c r="E10477" s="10" t="str">
        <f t="array" ref="E10477">IFS(D10477&lt;=$G$3,'calculated data '!$A$3,D10477&lt;=$G$4,'calculated data '!$A$4,D10477&lt;=$G$6,'calculated data '!$A$5,D10477&gt;=$G$6,'calculated data '!$A$6)</f>
        <v>High Demand Tier</v>
      </c>
      <c r="F10477" s="10">
        <f t="shared" si="1"/>
        <v>1.076022981</v>
      </c>
    </row>
    <row r="10478" ht="14.25" customHeight="1">
      <c r="A10478" s="2" t="s">
        <v>397</v>
      </c>
      <c r="B10478" s="2" t="s">
        <v>398</v>
      </c>
      <c r="C10478" s="2">
        <v>2008.0</v>
      </c>
      <c r="D10478" s="9">
        <v>65748.95</v>
      </c>
      <c r="E10478" s="10" t="str">
        <f t="array" ref="E10478">IFS(D10478&lt;=$G$3,'calculated data '!$A$3,D10478&lt;=$G$4,'calculated data '!$A$4,D10478&lt;=$G$6,'calculated data '!$A$5,D10478&gt;=$G$6,'calculated data '!$A$6)</f>
        <v>High Demand Tier</v>
      </c>
      <c r="F10478" s="10">
        <f t="shared" si="1"/>
        <v>1.077186856</v>
      </c>
    </row>
    <row r="10479" ht="14.25" customHeight="1">
      <c r="A10479" s="2" t="s">
        <v>477</v>
      </c>
      <c r="B10479" s="2" t="s">
        <v>478</v>
      </c>
      <c r="C10479" s="2">
        <v>1994.0</v>
      </c>
      <c r="D10479" s="9">
        <v>65752.56</v>
      </c>
      <c r="E10479" s="10" t="str">
        <f t="array" ref="E10479">IFS(D10479&lt;=$G$3,'calculated data '!$A$3,D10479&lt;=$G$4,'calculated data '!$A$4,D10479&lt;=$G$6,'calculated data '!$A$5,D10479&gt;=$G$6,'calculated data '!$A$6)</f>
        <v>High Demand Tier</v>
      </c>
      <c r="F10479" s="10">
        <f t="shared" si="1"/>
        <v>1.077282412</v>
      </c>
    </row>
    <row r="10480" ht="14.25" customHeight="1">
      <c r="A10480" s="2" t="s">
        <v>221</v>
      </c>
      <c r="B10480" s="2" t="s">
        <v>222</v>
      </c>
      <c r="C10480" s="2">
        <v>2014.0</v>
      </c>
      <c r="D10480" s="9">
        <v>65765.28</v>
      </c>
      <c r="E10480" s="10" t="str">
        <f t="array" ref="E10480">IFS(D10480&lt;=$G$3,'calculated data '!$A$3,D10480&lt;=$G$4,'calculated data '!$A$4,D10480&lt;=$G$6,'calculated data '!$A$5,D10480&gt;=$G$6,'calculated data '!$A$6)</f>
        <v>High Demand Tier</v>
      </c>
      <c r="F10480" s="10">
        <f t="shared" si="1"/>
        <v>1.077619107</v>
      </c>
    </row>
    <row r="10481" ht="14.25" customHeight="1">
      <c r="A10481" s="2" t="s">
        <v>483</v>
      </c>
      <c r="B10481" s="2" t="s">
        <v>484</v>
      </c>
      <c r="C10481" s="2">
        <v>2021.0</v>
      </c>
      <c r="D10481" s="9">
        <v>65877.04</v>
      </c>
      <c r="E10481" s="10" t="str">
        <f t="array" ref="E10481">IFS(D10481&lt;=$G$3,'calculated data '!$A$3,D10481&lt;=$G$4,'calculated data '!$A$4,D10481&lt;=$G$6,'calculated data '!$A$5,D10481&gt;=$G$6,'calculated data '!$A$6)</f>
        <v>High Demand Tier</v>
      </c>
      <c r="F10481" s="10">
        <f t="shared" si="1"/>
        <v>1.080577366</v>
      </c>
    </row>
    <row r="10482" ht="14.25" customHeight="1">
      <c r="A10482" s="2" t="s">
        <v>461</v>
      </c>
      <c r="B10482" s="2" t="s">
        <v>462</v>
      </c>
      <c r="C10482" s="2">
        <v>1998.0</v>
      </c>
      <c r="D10482" s="9">
        <v>65885.73</v>
      </c>
      <c r="E10482" s="10" t="str">
        <f t="array" ref="E10482">IFS(D10482&lt;=$G$3,'calculated data '!$A$3,D10482&lt;=$G$4,'calculated data '!$A$4,D10482&lt;=$G$6,'calculated data '!$A$5,D10482&gt;=$G$6,'calculated data '!$A$6)</f>
        <v>High Demand Tier</v>
      </c>
      <c r="F10482" s="10">
        <f t="shared" si="1"/>
        <v>1.080807388</v>
      </c>
    </row>
    <row r="10483" ht="14.25" customHeight="1">
      <c r="A10483" s="2" t="s">
        <v>221</v>
      </c>
      <c r="B10483" s="2" t="s">
        <v>222</v>
      </c>
      <c r="C10483" s="2">
        <v>2020.0</v>
      </c>
      <c r="D10483" s="9">
        <v>65886.35</v>
      </c>
      <c r="E10483" s="10" t="str">
        <f t="array" ref="E10483">IFS(D10483&lt;=$G$3,'calculated data '!$A$3,D10483&lt;=$G$4,'calculated data '!$A$4,D10483&lt;=$G$6,'calculated data '!$A$5,D10483&gt;=$G$6,'calculated data '!$A$6)</f>
        <v>High Demand Tier</v>
      </c>
      <c r="F10483" s="10">
        <f t="shared" si="1"/>
        <v>1.0808238</v>
      </c>
    </row>
    <row r="10484" ht="14.25" customHeight="1">
      <c r="A10484" s="2" t="s">
        <v>487</v>
      </c>
      <c r="B10484" s="2" t="s">
        <v>488</v>
      </c>
      <c r="C10484" s="2">
        <v>1986.0</v>
      </c>
      <c r="D10484" s="9">
        <v>65972.91</v>
      </c>
      <c r="E10484" s="10" t="str">
        <f t="array" ref="E10484">IFS(D10484&lt;=$G$3,'calculated data '!$A$3,D10484&lt;=$G$4,'calculated data '!$A$4,D10484&lt;=$G$6,'calculated data '!$A$5,D10484&gt;=$G$6,'calculated data '!$A$6)</f>
        <v>High Demand Tier</v>
      </c>
      <c r="F10484" s="10">
        <f t="shared" si="1"/>
        <v>1.083115021</v>
      </c>
    </row>
    <row r="10485" ht="14.25" customHeight="1">
      <c r="A10485" s="2" t="s">
        <v>461</v>
      </c>
      <c r="B10485" s="2" t="s">
        <v>462</v>
      </c>
      <c r="C10485" s="2">
        <v>1997.0</v>
      </c>
      <c r="D10485" s="9">
        <v>65973.734</v>
      </c>
      <c r="E10485" s="10" t="str">
        <f t="array" ref="E10485">IFS(D10485&lt;=$G$3,'calculated data '!$A$3,D10485&lt;=$G$4,'calculated data '!$A$4,D10485&lt;=$G$6,'calculated data '!$A$5,D10485&gt;=$G$6,'calculated data '!$A$6)</f>
        <v>High Demand Tier</v>
      </c>
      <c r="F10485" s="10">
        <f t="shared" si="1"/>
        <v>1.083136832</v>
      </c>
    </row>
    <row r="10486" ht="14.25" customHeight="1">
      <c r="A10486" s="2" t="s">
        <v>449</v>
      </c>
      <c r="B10486" s="2" t="s">
        <v>450</v>
      </c>
      <c r="C10486" s="2">
        <v>2014.0</v>
      </c>
      <c r="D10486" s="9">
        <v>66096.52</v>
      </c>
      <c r="E10486" s="10" t="str">
        <f t="array" ref="E10486">IFS(D10486&lt;=$G$3,'calculated data '!$A$3,D10486&lt;=$G$4,'calculated data '!$A$4,D10486&lt;=$G$6,'calculated data '!$A$5,D10486&gt;=$G$6,'calculated data '!$A$6)</f>
        <v>High Demand Tier</v>
      </c>
      <c r="F10486" s="10">
        <f t="shared" si="1"/>
        <v>1.086386947</v>
      </c>
    </row>
    <row r="10487" ht="14.25" customHeight="1">
      <c r="A10487" s="2" t="s">
        <v>461</v>
      </c>
      <c r="B10487" s="2" t="s">
        <v>462</v>
      </c>
      <c r="C10487" s="2">
        <v>2009.0</v>
      </c>
      <c r="D10487" s="9">
        <v>66130.336</v>
      </c>
      <c r="E10487" s="10" t="str">
        <f t="array" ref="E10487">IFS(D10487&lt;=$G$3,'calculated data '!$A$3,D10487&lt;=$G$4,'calculated data '!$A$4,D10487&lt;=$G$6,'calculated data '!$A$5,D10487&gt;=$G$6,'calculated data '!$A$6)</f>
        <v>High Demand Tier</v>
      </c>
      <c r="F10487" s="10">
        <f t="shared" si="1"/>
        <v>1.087282048</v>
      </c>
    </row>
    <row r="10488" ht="14.25" customHeight="1">
      <c r="A10488" s="2" t="s">
        <v>461</v>
      </c>
      <c r="B10488" s="2" t="s">
        <v>462</v>
      </c>
      <c r="C10488" s="2">
        <v>1979.0</v>
      </c>
      <c r="D10488" s="9">
        <v>66146.23</v>
      </c>
      <c r="E10488" s="10" t="str">
        <f t="array" ref="E10488">IFS(D10488&lt;=$G$3,'calculated data '!$A$3,D10488&lt;=$G$4,'calculated data '!$A$4,D10488&lt;=$G$6,'calculated data '!$A$5,D10488&gt;=$G$6,'calculated data '!$A$6)</f>
        <v>High Demand Tier</v>
      </c>
      <c r="F10488" s="10">
        <f t="shared" si="1"/>
        <v>1.087702759</v>
      </c>
    </row>
    <row r="10489" ht="14.25" customHeight="1">
      <c r="A10489" s="2" t="s">
        <v>149</v>
      </c>
      <c r="B10489" s="2" t="s">
        <v>150</v>
      </c>
      <c r="C10489" s="2">
        <v>2013.0</v>
      </c>
      <c r="D10489" s="9">
        <v>66176.43</v>
      </c>
      <c r="E10489" s="10" t="str">
        <f t="array" ref="E10489">IFS(D10489&lt;=$G$3,'calculated data '!$A$3,D10489&lt;=$G$4,'calculated data '!$A$4,D10489&lt;=$G$6,'calculated data '!$A$5,D10489&gt;=$G$6,'calculated data '!$A$6)</f>
        <v>High Demand Tier</v>
      </c>
      <c r="F10489" s="10">
        <f t="shared" si="1"/>
        <v>1.088502145</v>
      </c>
    </row>
    <row r="10490" ht="14.25" customHeight="1">
      <c r="A10490" s="2" t="s">
        <v>485</v>
      </c>
      <c r="B10490" s="2" t="s">
        <v>486</v>
      </c>
      <c r="C10490" s="2">
        <v>1977.0</v>
      </c>
      <c r="D10490" s="9">
        <v>66186.055</v>
      </c>
      <c r="E10490" s="10" t="str">
        <f t="array" ref="E10490">IFS(D10490&lt;=$G$3,'calculated data '!$A$3,D10490&lt;=$G$4,'calculated data '!$A$4,D10490&lt;=$G$6,'calculated data '!$A$5,D10490&gt;=$G$6,'calculated data '!$A$6)</f>
        <v>High Demand Tier</v>
      </c>
      <c r="F10490" s="10">
        <f t="shared" si="1"/>
        <v>1.088756916</v>
      </c>
    </row>
    <row r="10491" ht="14.25" customHeight="1">
      <c r="A10491" s="2" t="s">
        <v>467</v>
      </c>
      <c r="B10491" s="2" t="s">
        <v>468</v>
      </c>
      <c r="C10491" s="2">
        <v>2001.0</v>
      </c>
      <c r="D10491" s="9">
        <v>66270.19</v>
      </c>
      <c r="E10491" s="10" t="str">
        <f t="array" ref="E10491">IFS(D10491&lt;=$G$3,'calculated data '!$A$3,D10491&lt;=$G$4,'calculated data '!$A$4,D10491&lt;=$G$6,'calculated data '!$A$5,D10491&gt;=$G$6,'calculated data '!$A$6)</f>
        <v>High Demand Tier</v>
      </c>
      <c r="F10491" s="10">
        <f t="shared" si="1"/>
        <v>1.090983949</v>
      </c>
    </row>
    <row r="10492" ht="14.25" customHeight="1">
      <c r="A10492" s="2" t="s">
        <v>221</v>
      </c>
      <c r="B10492" s="2" t="s">
        <v>222</v>
      </c>
      <c r="C10492" s="2">
        <v>2011.0</v>
      </c>
      <c r="D10492" s="9">
        <v>66282.95</v>
      </c>
      <c r="E10492" s="10" t="str">
        <f t="array" ref="E10492">IFS(D10492&lt;=$G$3,'calculated data '!$A$3,D10492&lt;=$G$4,'calculated data '!$A$4,D10492&lt;=$G$6,'calculated data '!$A$5,D10492&gt;=$G$6,'calculated data '!$A$6)</f>
        <v>High Demand Tier</v>
      </c>
      <c r="F10492" s="10">
        <f t="shared" si="1"/>
        <v>1.091321703</v>
      </c>
    </row>
    <row r="10493" ht="14.25" customHeight="1">
      <c r="A10493" s="2" t="s">
        <v>221</v>
      </c>
      <c r="B10493" s="2" t="s">
        <v>222</v>
      </c>
      <c r="C10493" s="2">
        <v>2015.0</v>
      </c>
      <c r="D10493" s="9">
        <v>66288.89</v>
      </c>
      <c r="E10493" s="10" t="str">
        <f t="array" ref="E10493">IFS(D10493&lt;=$G$3,'calculated data '!$A$3,D10493&lt;=$G$4,'calculated data '!$A$4,D10493&lt;=$G$6,'calculated data '!$A$5,D10493&gt;=$G$6,'calculated data '!$A$6)</f>
        <v>High Demand Tier</v>
      </c>
      <c r="F10493" s="10">
        <f t="shared" si="1"/>
        <v>1.091478933</v>
      </c>
    </row>
    <row r="10494" ht="14.25" customHeight="1">
      <c r="A10494" s="2" t="s">
        <v>221</v>
      </c>
      <c r="B10494" s="2" t="s">
        <v>222</v>
      </c>
      <c r="C10494" s="2">
        <v>2012.0</v>
      </c>
      <c r="D10494" s="9">
        <v>66348.22</v>
      </c>
      <c r="E10494" s="10" t="str">
        <f t="array" ref="E10494">IFS(D10494&lt;=$G$3,'calculated data '!$A$3,D10494&lt;=$G$4,'calculated data '!$A$4,D10494&lt;=$G$6,'calculated data '!$A$5,D10494&gt;=$G$6,'calculated data '!$A$6)</f>
        <v>High Demand Tier</v>
      </c>
      <c r="F10494" s="10">
        <f t="shared" si="1"/>
        <v>1.093049384</v>
      </c>
    </row>
    <row r="10495" ht="14.25" customHeight="1">
      <c r="A10495" s="2" t="s">
        <v>455</v>
      </c>
      <c r="B10495" s="2" t="s">
        <v>456</v>
      </c>
      <c r="C10495" s="2">
        <v>2007.0</v>
      </c>
      <c r="D10495" s="9">
        <v>66398.29</v>
      </c>
      <c r="E10495" s="10" t="str">
        <f t="array" ref="E10495">IFS(D10495&lt;=$G$3,'calculated data '!$A$3,D10495&lt;=$G$4,'calculated data '!$A$4,D10495&lt;=$G$6,'calculated data '!$A$5,D10495&gt;=$G$6,'calculated data '!$A$6)</f>
        <v>High Demand Tier</v>
      </c>
      <c r="F10495" s="10">
        <f t="shared" si="1"/>
        <v>1.094374724</v>
      </c>
    </row>
    <row r="10496" ht="14.25" customHeight="1">
      <c r="A10496" s="2" t="s">
        <v>149</v>
      </c>
      <c r="B10496" s="2" t="s">
        <v>150</v>
      </c>
      <c r="C10496" s="2">
        <v>2006.0</v>
      </c>
      <c r="D10496" s="9">
        <v>66438.36</v>
      </c>
      <c r="E10496" s="10" t="str">
        <f t="array" ref="E10496">IFS(D10496&lt;=$G$3,'calculated data '!$A$3,D10496&lt;=$G$4,'calculated data '!$A$4,D10496&lt;=$G$6,'calculated data '!$A$5,D10496&gt;=$G$6,'calculated data '!$A$6)</f>
        <v>High Demand Tier</v>
      </c>
      <c r="F10496" s="10">
        <f t="shared" si="1"/>
        <v>1.095435367</v>
      </c>
    </row>
    <row r="10497" ht="14.25" customHeight="1">
      <c r="A10497" s="2" t="s">
        <v>477</v>
      </c>
      <c r="B10497" s="2" t="s">
        <v>478</v>
      </c>
      <c r="C10497" s="2">
        <v>1995.0</v>
      </c>
      <c r="D10497" s="9">
        <v>66462.87</v>
      </c>
      <c r="E10497" s="10" t="str">
        <f t="array" ref="E10497">IFS(D10497&lt;=$G$3,'calculated data '!$A$3,D10497&lt;=$G$4,'calculated data '!$A$4,D10497&lt;=$G$6,'calculated data '!$A$5,D10497&gt;=$G$6,'calculated data '!$A$6)</f>
        <v>High Demand Tier</v>
      </c>
      <c r="F10497" s="10">
        <f t="shared" si="1"/>
        <v>1.096084141</v>
      </c>
    </row>
    <row r="10498" ht="14.25" customHeight="1">
      <c r="A10498" s="2" t="s">
        <v>467</v>
      </c>
      <c r="B10498" s="2" t="s">
        <v>468</v>
      </c>
      <c r="C10498" s="2">
        <v>2000.0</v>
      </c>
      <c r="D10498" s="9">
        <v>66511.9</v>
      </c>
      <c r="E10498" s="10" t="str">
        <f t="array" ref="E10498">IFS(D10498&lt;=$G$3,'calculated data '!$A$3,D10498&lt;=$G$4,'calculated data '!$A$4,D10498&lt;=$G$6,'calculated data '!$A$5,D10498&gt;=$G$6,'calculated data '!$A$6)</f>
        <v>High Demand Tier</v>
      </c>
      <c r="F10498" s="10">
        <f t="shared" si="1"/>
        <v>1.097381952</v>
      </c>
    </row>
    <row r="10499" ht="14.25" customHeight="1">
      <c r="A10499" s="2" t="s">
        <v>493</v>
      </c>
      <c r="B10499" s="2" t="s">
        <v>494</v>
      </c>
      <c r="C10499" s="2">
        <v>1968.0</v>
      </c>
      <c r="D10499" s="9">
        <v>66519.42</v>
      </c>
      <c r="E10499" s="10" t="str">
        <f t="array" ref="E10499">IFS(D10499&lt;=$G$3,'calculated data '!$A$3,D10499&lt;=$G$4,'calculated data '!$A$4,D10499&lt;=$G$6,'calculated data '!$A$5,D10499&gt;=$G$6,'calculated data '!$A$6)</f>
        <v>High Demand Tier</v>
      </c>
      <c r="F10499" s="10">
        <f t="shared" si="1"/>
        <v>1.097581005</v>
      </c>
    </row>
    <row r="10500" ht="14.25" customHeight="1">
      <c r="A10500" s="2" t="s">
        <v>467</v>
      </c>
      <c r="B10500" s="2" t="s">
        <v>468</v>
      </c>
      <c r="C10500" s="2">
        <v>2010.0</v>
      </c>
      <c r="D10500" s="9">
        <v>66546.83</v>
      </c>
      <c r="E10500" s="10" t="str">
        <f t="array" ref="E10500">IFS(D10500&lt;=$G$3,'calculated data '!$A$3,D10500&lt;=$G$4,'calculated data '!$A$4,D10500&lt;=$G$6,'calculated data '!$A$5,D10500&gt;=$G$6,'calculated data '!$A$6)</f>
        <v>High Demand Tier</v>
      </c>
      <c r="F10500" s="10">
        <f t="shared" si="1"/>
        <v>1.098306541</v>
      </c>
    </row>
    <row r="10501" ht="14.25" customHeight="1">
      <c r="A10501" s="2" t="s">
        <v>485</v>
      </c>
      <c r="B10501" s="2" t="s">
        <v>486</v>
      </c>
      <c r="C10501" s="2">
        <v>1978.0</v>
      </c>
      <c r="D10501" s="9">
        <v>66559.23</v>
      </c>
      <c r="E10501" s="10" t="str">
        <f t="array" ref="E10501">IFS(D10501&lt;=$G$3,'calculated data '!$A$3,D10501&lt;=$G$4,'calculated data '!$A$4,D10501&lt;=$G$6,'calculated data '!$A$5,D10501&gt;=$G$6,'calculated data '!$A$6)</f>
        <v>High Demand Tier</v>
      </c>
      <c r="F10501" s="10">
        <f t="shared" si="1"/>
        <v>1.098634766</v>
      </c>
    </row>
    <row r="10502" ht="14.25" customHeight="1">
      <c r="A10502" s="2" t="s">
        <v>475</v>
      </c>
      <c r="B10502" s="2" t="s">
        <v>476</v>
      </c>
      <c r="C10502" s="2">
        <v>1988.0</v>
      </c>
      <c r="D10502" s="9">
        <v>66641.64</v>
      </c>
      <c r="E10502" s="10" t="str">
        <f t="array" ref="E10502">IFS(D10502&lt;=$G$3,'calculated data '!$A$3,D10502&lt;=$G$4,'calculated data '!$A$4,D10502&lt;=$G$6,'calculated data '!$A$5,D10502&gt;=$G$6,'calculated data '!$A$6)</f>
        <v>High Demand Tier</v>
      </c>
      <c r="F10502" s="10">
        <f t="shared" si="1"/>
        <v>1.100816138</v>
      </c>
    </row>
    <row r="10503" ht="14.25" customHeight="1">
      <c r="A10503" s="2" t="s">
        <v>485</v>
      </c>
      <c r="B10503" s="2" t="s">
        <v>486</v>
      </c>
      <c r="C10503" s="2">
        <v>1979.0</v>
      </c>
      <c r="D10503" s="9">
        <v>66654.91</v>
      </c>
      <c r="E10503" s="10" t="str">
        <f t="array" ref="E10503">IFS(D10503&lt;=$G$3,'calculated data '!$A$3,D10503&lt;=$G$4,'calculated data '!$A$4,D10503&lt;=$G$6,'calculated data '!$A$5,D10503&gt;=$G$6,'calculated data '!$A$6)</f>
        <v>High Demand Tier</v>
      </c>
      <c r="F10503" s="10">
        <f t="shared" si="1"/>
        <v>1.101167391</v>
      </c>
    </row>
    <row r="10504" ht="14.25" customHeight="1">
      <c r="A10504" s="2" t="s">
        <v>441</v>
      </c>
      <c r="B10504" s="2" t="s">
        <v>442</v>
      </c>
      <c r="C10504" s="2">
        <v>2014.0</v>
      </c>
      <c r="D10504" s="9">
        <v>66678.836</v>
      </c>
      <c r="E10504" s="10" t="str">
        <f t="array" ref="E10504">IFS(D10504&lt;=$G$3,'calculated data '!$A$3,D10504&lt;=$G$4,'calculated data '!$A$4,D10504&lt;=$G$6,'calculated data '!$A$5,D10504&gt;=$G$6,'calculated data '!$A$6)</f>
        <v>High Demand Tier</v>
      </c>
      <c r="F10504" s="10">
        <f t="shared" si="1"/>
        <v>1.101800707</v>
      </c>
    </row>
    <row r="10505" ht="14.25" customHeight="1">
      <c r="A10505" s="2" t="s">
        <v>479</v>
      </c>
      <c r="B10505" s="2" t="s">
        <v>480</v>
      </c>
      <c r="C10505" s="2">
        <v>1987.0</v>
      </c>
      <c r="D10505" s="9">
        <v>66703.9</v>
      </c>
      <c r="E10505" s="10" t="str">
        <f t="array" ref="E10505">IFS(D10505&lt;=$G$3,'calculated data '!$A$3,D10505&lt;=$G$4,'calculated data '!$A$4,D10505&lt;=$G$6,'calculated data '!$A$5,D10505&gt;=$G$6,'calculated data '!$A$6)</f>
        <v>High Demand Tier</v>
      </c>
      <c r="F10505" s="10">
        <f t="shared" si="1"/>
        <v>1.102464145</v>
      </c>
    </row>
    <row r="10506" ht="14.25" customHeight="1">
      <c r="A10506" s="2" t="s">
        <v>485</v>
      </c>
      <c r="B10506" s="2" t="s">
        <v>486</v>
      </c>
      <c r="C10506" s="2">
        <v>1973.0</v>
      </c>
      <c r="D10506" s="9">
        <v>66742.27</v>
      </c>
      <c r="E10506" s="10" t="str">
        <f t="array" ref="E10506">IFS(D10506&lt;=$G$3,'calculated data '!$A$3,D10506&lt;=$G$4,'calculated data '!$A$4,D10506&lt;=$G$6,'calculated data '!$A$5,D10506&gt;=$G$6,'calculated data '!$A$6)</f>
        <v>High Demand Tier</v>
      </c>
      <c r="F10506" s="10">
        <f t="shared" si="1"/>
        <v>1.103479789</v>
      </c>
    </row>
    <row r="10507" ht="14.25" customHeight="1">
      <c r="A10507" s="2" t="s">
        <v>461</v>
      </c>
      <c r="B10507" s="2" t="s">
        <v>462</v>
      </c>
      <c r="C10507" s="2">
        <v>2001.0</v>
      </c>
      <c r="D10507" s="9">
        <v>66822.95</v>
      </c>
      <c r="E10507" s="10" t="str">
        <f t="array" ref="E10507">IFS(D10507&lt;=$G$3,'calculated data '!$A$3,D10507&lt;=$G$4,'calculated data '!$A$4,D10507&lt;=$G$6,'calculated data '!$A$5,D10507&gt;=$G$6,'calculated data '!$A$6)</f>
        <v>High Demand Tier</v>
      </c>
      <c r="F10507" s="10">
        <f t="shared" si="1"/>
        <v>1.105615368</v>
      </c>
    </row>
    <row r="10508" ht="14.25" customHeight="1">
      <c r="A10508" s="2" t="s">
        <v>441</v>
      </c>
      <c r="B10508" s="2" t="s">
        <v>442</v>
      </c>
      <c r="C10508" s="2">
        <v>2015.0</v>
      </c>
      <c r="D10508" s="9">
        <v>66824.01</v>
      </c>
      <c r="E10508" s="10" t="str">
        <f t="array" ref="E10508">IFS(D10508&lt;=$G$3,'calculated data '!$A$3,D10508&lt;=$G$4,'calculated data '!$A$4,D10508&lt;=$G$6,'calculated data '!$A$5,D10508&gt;=$G$6,'calculated data '!$A$6)</f>
        <v>High Demand Tier</v>
      </c>
      <c r="F10508" s="10">
        <f t="shared" si="1"/>
        <v>1.105643426</v>
      </c>
    </row>
    <row r="10509" ht="14.25" customHeight="1">
      <c r="A10509" s="2" t="s">
        <v>467</v>
      </c>
      <c r="B10509" s="2" t="s">
        <v>468</v>
      </c>
      <c r="C10509" s="2">
        <v>2002.0</v>
      </c>
      <c r="D10509" s="9">
        <v>66828.11</v>
      </c>
      <c r="E10509" s="10" t="str">
        <f t="array" ref="E10509">IFS(D10509&lt;=$G$3,'calculated data '!$A$3,D10509&lt;=$G$4,'calculated data '!$A$4,D10509&lt;=$G$6,'calculated data '!$A$5,D10509&gt;=$G$6,'calculated data '!$A$6)</f>
        <v>High Demand Tier</v>
      </c>
      <c r="F10509" s="10">
        <f t="shared" si="1"/>
        <v>1.105751952</v>
      </c>
    </row>
    <row r="10510" ht="14.25" customHeight="1">
      <c r="A10510" s="2" t="s">
        <v>463</v>
      </c>
      <c r="B10510" s="2" t="s">
        <v>464</v>
      </c>
      <c r="C10510" s="2">
        <v>1977.0</v>
      </c>
      <c r="D10510" s="9">
        <v>66881.82</v>
      </c>
      <c r="E10510" s="10" t="str">
        <f t="array" ref="E10510">IFS(D10510&lt;=$G$3,'calculated data '!$A$3,D10510&lt;=$G$4,'calculated data '!$A$4,D10510&lt;=$G$6,'calculated data '!$A$5,D10510&gt;=$G$6,'calculated data '!$A$6)</f>
        <v>High Demand Tier</v>
      </c>
      <c r="F10510" s="10">
        <f t="shared" si="1"/>
        <v>1.107173643</v>
      </c>
    </row>
    <row r="10511" ht="14.25" customHeight="1">
      <c r="A10511" s="2" t="s">
        <v>467</v>
      </c>
      <c r="B10511" s="2" t="s">
        <v>468</v>
      </c>
      <c r="C10511" s="2">
        <v>1999.0</v>
      </c>
      <c r="D10511" s="9">
        <v>66903.164</v>
      </c>
      <c r="E10511" s="10" t="str">
        <f t="array" ref="E10511">IFS(D10511&lt;=$G$3,'calculated data '!$A$3,D10511&lt;=$G$4,'calculated data '!$A$4,D10511&lt;=$G$6,'calculated data '!$A$5,D10511&gt;=$G$6,'calculated data '!$A$6)</f>
        <v>High Demand Tier</v>
      </c>
      <c r="F10511" s="10">
        <f t="shared" si="1"/>
        <v>1.107738613</v>
      </c>
    </row>
    <row r="10512" ht="14.25" customHeight="1">
      <c r="A10512" s="2" t="s">
        <v>71</v>
      </c>
      <c r="B10512" s="2" t="s">
        <v>72</v>
      </c>
      <c r="C10512" s="2">
        <v>2007.0</v>
      </c>
      <c r="D10512" s="9">
        <v>66942.75</v>
      </c>
      <c r="E10512" s="10" t="str">
        <f t="array" ref="E10512">IFS(D10512&lt;=$G$3,'calculated data '!$A$3,D10512&lt;=$G$4,'calculated data '!$A$4,D10512&lt;=$G$6,'calculated data '!$A$5,D10512&gt;=$G$6,'calculated data '!$A$6)</f>
        <v>High Demand Tier</v>
      </c>
      <c r="F10512" s="10">
        <f t="shared" si="1"/>
        <v>1.108786445</v>
      </c>
    </row>
    <row r="10513" ht="14.25" customHeight="1">
      <c r="A10513" s="2" t="s">
        <v>461</v>
      </c>
      <c r="B10513" s="2" t="s">
        <v>462</v>
      </c>
      <c r="C10513" s="2">
        <v>2002.0</v>
      </c>
      <c r="D10513" s="9">
        <v>66957.53</v>
      </c>
      <c r="E10513" s="10" t="str">
        <f t="array" ref="E10513">IFS(D10513&lt;=$G$3,'calculated data '!$A$3,D10513&lt;=$G$4,'calculated data '!$A$4,D10513&lt;=$G$6,'calculated data '!$A$5,D10513&gt;=$G$6,'calculated data '!$A$6)</f>
        <v>High Demand Tier</v>
      </c>
      <c r="F10513" s="10">
        <f t="shared" si="1"/>
        <v>1.109177668</v>
      </c>
    </row>
    <row r="10514" ht="14.25" customHeight="1">
      <c r="A10514" s="2" t="s">
        <v>449</v>
      </c>
      <c r="B10514" s="2" t="s">
        <v>450</v>
      </c>
      <c r="C10514" s="2">
        <v>2015.0</v>
      </c>
      <c r="D10514" s="9">
        <v>66969.8</v>
      </c>
      <c r="E10514" s="10" t="str">
        <f t="array" ref="E10514">IFS(D10514&lt;=$G$3,'calculated data '!$A$3,D10514&lt;=$G$4,'calculated data '!$A$4,D10514&lt;=$G$6,'calculated data '!$A$5,D10514&gt;=$G$6,'calculated data '!$A$6)</f>
        <v>High Demand Tier</v>
      </c>
      <c r="F10514" s="10">
        <f t="shared" si="1"/>
        <v>1.109502451</v>
      </c>
    </row>
    <row r="10515" ht="14.25" customHeight="1">
      <c r="A10515" s="2" t="s">
        <v>149</v>
      </c>
      <c r="B10515" s="2" t="s">
        <v>150</v>
      </c>
      <c r="C10515" s="2">
        <v>2000.0</v>
      </c>
      <c r="D10515" s="9">
        <v>66991.57</v>
      </c>
      <c r="E10515" s="10" t="str">
        <f t="array" ref="E10515">IFS(D10515&lt;=$G$3,'calculated data '!$A$3,D10515&lt;=$G$4,'calculated data '!$A$4,D10515&lt;=$G$6,'calculated data '!$A$5,D10515&gt;=$G$6,'calculated data '!$A$6)</f>
        <v>High Demand Tier</v>
      </c>
      <c r="F10515" s="10">
        <f t="shared" si="1"/>
        <v>1.110078698</v>
      </c>
    </row>
    <row r="10516" ht="14.25" customHeight="1">
      <c r="A10516" s="2" t="s">
        <v>467</v>
      </c>
      <c r="B10516" s="2" t="s">
        <v>468</v>
      </c>
      <c r="C10516" s="2">
        <v>2003.0</v>
      </c>
      <c r="D10516" s="9">
        <v>67021.555</v>
      </c>
      <c r="E10516" s="10" t="str">
        <f t="array" ref="E10516">IFS(D10516&lt;=$G$3,'calculated data '!$A$3,D10516&lt;=$G$4,'calculated data '!$A$4,D10516&lt;=$G$6,'calculated data '!$A$5,D10516&gt;=$G$6,'calculated data '!$A$6)</f>
        <v>High Demand Tier</v>
      </c>
      <c r="F10516" s="10">
        <f t="shared" si="1"/>
        <v>1.110872393</v>
      </c>
    </row>
    <row r="10517" ht="14.25" customHeight="1">
      <c r="A10517" s="2" t="s">
        <v>455</v>
      </c>
      <c r="B10517" s="2" t="s">
        <v>456</v>
      </c>
      <c r="C10517" s="2">
        <v>2005.0</v>
      </c>
      <c r="D10517" s="9">
        <v>67066.805</v>
      </c>
      <c r="E10517" s="10" t="str">
        <f t="array" ref="E10517">IFS(D10517&lt;=$G$3,'calculated data '!$A$3,D10517&lt;=$G$4,'calculated data '!$A$4,D10517&lt;=$G$6,'calculated data '!$A$5,D10517&gt;=$G$6,'calculated data '!$A$6)</f>
        <v>High Demand Tier</v>
      </c>
      <c r="F10517" s="10">
        <f t="shared" si="1"/>
        <v>1.11207015</v>
      </c>
    </row>
    <row r="10518" ht="14.25" customHeight="1">
      <c r="A10518" s="2" t="s">
        <v>487</v>
      </c>
      <c r="B10518" s="2" t="s">
        <v>488</v>
      </c>
      <c r="C10518" s="2">
        <v>2001.0</v>
      </c>
      <c r="D10518" s="9">
        <v>67067.914</v>
      </c>
      <c r="E10518" s="10" t="str">
        <f t="array" ref="E10518">IFS(D10518&lt;=$G$3,'calculated data '!$A$3,D10518&lt;=$G$4,'calculated data '!$A$4,D10518&lt;=$G$6,'calculated data '!$A$5,D10518&gt;=$G$6,'calculated data '!$A$6)</f>
        <v>High Demand Tier</v>
      </c>
      <c r="F10518" s="10">
        <f t="shared" si="1"/>
        <v>1.112099505</v>
      </c>
    </row>
    <row r="10519" ht="14.25" customHeight="1">
      <c r="A10519" s="2" t="s">
        <v>441</v>
      </c>
      <c r="B10519" s="2" t="s">
        <v>442</v>
      </c>
      <c r="C10519" s="2">
        <v>2017.0</v>
      </c>
      <c r="D10519" s="9">
        <v>67104.97</v>
      </c>
      <c r="E10519" s="10" t="str">
        <f t="array" ref="E10519">IFS(D10519&lt;=$G$3,'calculated data '!$A$3,D10519&lt;=$G$4,'calculated data '!$A$4,D10519&lt;=$G$6,'calculated data '!$A$5,D10519&gt;=$G$6,'calculated data '!$A$6)</f>
        <v>High Demand Tier</v>
      </c>
      <c r="F10519" s="10">
        <f t="shared" si="1"/>
        <v>1.113080368</v>
      </c>
    </row>
    <row r="10520" ht="14.25" customHeight="1">
      <c r="A10520" s="2" t="s">
        <v>467</v>
      </c>
      <c r="B10520" s="2" t="s">
        <v>468</v>
      </c>
      <c r="C10520" s="2">
        <v>2011.0</v>
      </c>
      <c r="D10520" s="9">
        <v>67120.84</v>
      </c>
      <c r="E10520" s="10" t="str">
        <f t="array" ref="E10520">IFS(D10520&lt;=$G$3,'calculated data '!$A$3,D10520&lt;=$G$4,'calculated data '!$A$4,D10520&lt;=$G$6,'calculated data '!$A$5,D10520&gt;=$G$6,'calculated data '!$A$6)</f>
        <v>High Demand Tier</v>
      </c>
      <c r="F10520" s="10">
        <f t="shared" si="1"/>
        <v>1.113500443</v>
      </c>
    </row>
    <row r="10521" ht="14.25" customHeight="1">
      <c r="A10521" s="2" t="s">
        <v>479</v>
      </c>
      <c r="B10521" s="2" t="s">
        <v>480</v>
      </c>
      <c r="C10521" s="2">
        <v>1989.0</v>
      </c>
      <c r="D10521" s="9">
        <v>67233.66</v>
      </c>
      <c r="E10521" s="10" t="str">
        <f t="array" ref="E10521">IFS(D10521&lt;=$G$3,'calculated data '!$A$3,D10521&lt;=$G$4,'calculated data '!$A$4,D10521&lt;=$G$6,'calculated data '!$A$5,D10521&gt;=$G$6,'calculated data '!$A$6)</f>
        <v>High Demand Tier</v>
      </c>
      <c r="F10521" s="10">
        <f t="shared" si="1"/>
        <v>1.11648676</v>
      </c>
    </row>
    <row r="10522" ht="14.25" customHeight="1">
      <c r="A10522" s="2" t="s">
        <v>397</v>
      </c>
      <c r="B10522" s="2" t="s">
        <v>398</v>
      </c>
      <c r="C10522" s="2">
        <v>2010.0</v>
      </c>
      <c r="D10522" s="9">
        <v>67269.82</v>
      </c>
      <c r="E10522" s="10" t="str">
        <f t="array" ref="E10522">IFS(D10522&lt;=$G$3,'calculated data '!$A$3,D10522&lt;=$G$4,'calculated data '!$A$4,D10522&lt;=$G$6,'calculated data '!$A$5,D10522&gt;=$G$6,'calculated data '!$A$6)</f>
        <v>High Demand Tier</v>
      </c>
      <c r="F10522" s="10">
        <f t="shared" si="1"/>
        <v>1.117443906</v>
      </c>
    </row>
    <row r="10523" ht="14.25" customHeight="1">
      <c r="A10523" s="2" t="s">
        <v>453</v>
      </c>
      <c r="B10523" s="2" t="s">
        <v>454</v>
      </c>
      <c r="C10523" s="2">
        <v>1989.0</v>
      </c>
      <c r="D10523" s="9">
        <v>67273.75</v>
      </c>
      <c r="E10523" s="10" t="str">
        <f t="array" ref="E10523">IFS(D10523&lt;=$G$3,'calculated data '!$A$3,D10523&lt;=$G$4,'calculated data '!$A$4,D10523&lt;=$G$6,'calculated data '!$A$5,D10523&gt;=$G$6,'calculated data '!$A$6)</f>
        <v>High Demand Tier</v>
      </c>
      <c r="F10523" s="10">
        <f t="shared" si="1"/>
        <v>1.117547932</v>
      </c>
    </row>
    <row r="10524" ht="14.25" customHeight="1">
      <c r="A10524" s="2" t="s">
        <v>477</v>
      </c>
      <c r="B10524" s="2" t="s">
        <v>478</v>
      </c>
      <c r="C10524" s="2">
        <v>2009.0</v>
      </c>
      <c r="D10524" s="9">
        <v>67320.48</v>
      </c>
      <c r="E10524" s="10" t="str">
        <f t="array" ref="E10524">IFS(D10524&lt;=$G$3,'calculated data '!$A$3,D10524&lt;=$G$4,'calculated data '!$A$4,D10524&lt;=$G$6,'calculated data '!$A$5,D10524&gt;=$G$6,'calculated data '!$A$6)</f>
        <v>High Demand Tier</v>
      </c>
      <c r="F10524" s="10">
        <f t="shared" si="1"/>
        <v>1.118784864</v>
      </c>
    </row>
    <row r="10525" ht="14.25" customHeight="1">
      <c r="A10525" s="2" t="s">
        <v>397</v>
      </c>
      <c r="B10525" s="2" t="s">
        <v>398</v>
      </c>
      <c r="C10525" s="2">
        <v>2001.0</v>
      </c>
      <c r="D10525" s="9">
        <v>67320.78</v>
      </c>
      <c r="E10525" s="10" t="str">
        <f t="array" ref="E10525">IFS(D10525&lt;=$G$3,'calculated data '!$A$3,D10525&lt;=$G$4,'calculated data '!$A$4,D10525&lt;=$G$6,'calculated data '!$A$5,D10525&gt;=$G$6,'calculated data '!$A$6)</f>
        <v>High Demand Tier</v>
      </c>
      <c r="F10525" s="10">
        <f t="shared" si="1"/>
        <v>1.118792805</v>
      </c>
    </row>
    <row r="10526" ht="14.25" customHeight="1">
      <c r="A10526" s="2" t="s">
        <v>343</v>
      </c>
      <c r="B10526" s="2" t="s">
        <v>344</v>
      </c>
      <c r="C10526" s="2">
        <v>2024.0</v>
      </c>
      <c r="D10526" s="9">
        <v>67320.945</v>
      </c>
      <c r="E10526" s="10" t="str">
        <f t="array" ref="E10526">IFS(D10526&lt;=$G$3,'calculated data '!$A$3,D10526&lt;=$G$4,'calculated data '!$A$4,D10526&lt;=$G$6,'calculated data '!$A$5,D10526&gt;=$G$6,'calculated data '!$A$6)</f>
        <v>High Demand Tier</v>
      </c>
      <c r="F10526" s="10">
        <f t="shared" si="1"/>
        <v>1.118797172</v>
      </c>
    </row>
    <row r="10527" ht="14.25" customHeight="1">
      <c r="A10527" s="2" t="s">
        <v>479</v>
      </c>
      <c r="B10527" s="2" t="s">
        <v>480</v>
      </c>
      <c r="C10527" s="2">
        <v>1988.0</v>
      </c>
      <c r="D10527" s="9">
        <v>67378.01</v>
      </c>
      <c r="E10527" s="10" t="str">
        <f t="array" ref="E10527">IFS(D10527&lt;=$G$3,'calculated data '!$A$3,D10527&lt;=$G$4,'calculated data '!$A$4,D10527&lt;=$G$6,'calculated data '!$A$5,D10527&gt;=$G$6,'calculated data '!$A$6)</f>
        <v>High Demand Tier</v>
      </c>
      <c r="F10527" s="10">
        <f t="shared" si="1"/>
        <v>1.120307668</v>
      </c>
    </row>
    <row r="10528" ht="14.25" customHeight="1">
      <c r="A10528" s="2" t="s">
        <v>149</v>
      </c>
      <c r="B10528" s="2" t="s">
        <v>150</v>
      </c>
      <c r="C10528" s="2">
        <v>2005.0</v>
      </c>
      <c r="D10528" s="9">
        <v>67423.7</v>
      </c>
      <c r="E10528" s="10" t="str">
        <f t="array" ref="E10528">IFS(D10528&lt;=$G$3,'calculated data '!$A$3,D10528&lt;=$G$4,'calculated data '!$A$4,D10528&lt;=$G$6,'calculated data '!$A$5,D10528&gt;=$G$6,'calculated data '!$A$6)</f>
        <v>High Demand Tier</v>
      </c>
      <c r="F10528" s="10">
        <f t="shared" si="1"/>
        <v>1.121517071</v>
      </c>
    </row>
    <row r="10529" ht="14.25" customHeight="1">
      <c r="A10529" s="2" t="s">
        <v>463</v>
      </c>
      <c r="B10529" s="2" t="s">
        <v>464</v>
      </c>
      <c r="C10529" s="2">
        <v>1988.0</v>
      </c>
      <c r="D10529" s="9">
        <v>67453.56</v>
      </c>
      <c r="E10529" s="10" t="str">
        <f t="array" ref="E10529">IFS(D10529&lt;=$G$3,'calculated data '!$A$3,D10529&lt;=$G$4,'calculated data '!$A$4,D10529&lt;=$G$6,'calculated data '!$A$5,D10529&gt;=$G$6,'calculated data '!$A$6)</f>
        <v>High Demand Tier</v>
      </c>
      <c r="F10529" s="10">
        <f t="shared" si="1"/>
        <v>1.122307458</v>
      </c>
    </row>
    <row r="10530" ht="14.25" customHeight="1">
      <c r="A10530" s="2" t="s">
        <v>475</v>
      </c>
      <c r="B10530" s="2" t="s">
        <v>476</v>
      </c>
      <c r="C10530" s="2">
        <v>1985.0</v>
      </c>
      <c r="D10530" s="9">
        <v>67505.695</v>
      </c>
      <c r="E10530" s="10" t="str">
        <f t="array" ref="E10530">IFS(D10530&lt;=$G$3,'calculated data '!$A$3,D10530&lt;=$G$4,'calculated data '!$A$4,D10530&lt;=$G$6,'calculated data '!$A$5,D10530&gt;=$G$6,'calculated data '!$A$6)</f>
        <v>High Demand Tier</v>
      </c>
      <c r="F10530" s="10">
        <f t="shared" si="1"/>
        <v>1.123687459</v>
      </c>
    </row>
    <row r="10531" ht="14.25" customHeight="1">
      <c r="A10531" s="2" t="s">
        <v>381</v>
      </c>
      <c r="B10531" s="2" t="s">
        <v>382</v>
      </c>
      <c r="C10531" s="2">
        <v>2010.0</v>
      </c>
      <c r="D10531" s="9">
        <v>67521.34</v>
      </c>
      <c r="E10531" s="10" t="str">
        <f t="array" ref="E10531">IFS(D10531&lt;=$G$3,'calculated data '!$A$3,D10531&lt;=$G$4,'calculated data '!$A$4,D10531&lt;=$G$6,'calculated data '!$A$5,D10531&gt;=$G$6,'calculated data '!$A$6)</f>
        <v>High Demand Tier</v>
      </c>
      <c r="F10531" s="10">
        <f t="shared" si="1"/>
        <v>1.124101578</v>
      </c>
    </row>
    <row r="10532" ht="14.25" customHeight="1">
      <c r="A10532" s="2" t="s">
        <v>343</v>
      </c>
      <c r="B10532" s="2" t="s">
        <v>344</v>
      </c>
      <c r="C10532" s="2">
        <v>2021.0</v>
      </c>
      <c r="D10532" s="9">
        <v>67572.73</v>
      </c>
      <c r="E10532" s="10" t="str">
        <f t="array" ref="E10532">IFS(D10532&lt;=$G$3,'calculated data '!$A$3,D10532&lt;=$G$4,'calculated data '!$A$4,D10532&lt;=$G$6,'calculated data '!$A$5,D10532&gt;=$G$6,'calculated data '!$A$6)</f>
        <v>High Demand Tier</v>
      </c>
      <c r="F10532" s="10">
        <f t="shared" si="1"/>
        <v>1.125461858</v>
      </c>
    </row>
    <row r="10533" ht="14.25" customHeight="1">
      <c r="A10533" s="2" t="s">
        <v>449</v>
      </c>
      <c r="B10533" s="2" t="s">
        <v>450</v>
      </c>
      <c r="C10533" s="2">
        <v>2020.0</v>
      </c>
      <c r="D10533" s="9">
        <v>67648.06</v>
      </c>
      <c r="E10533" s="10" t="str">
        <f t="array" ref="E10533">IFS(D10533&lt;=$G$3,'calculated data '!$A$3,D10533&lt;=$G$4,'calculated data '!$A$4,D10533&lt;=$G$6,'calculated data '!$A$5,D10533&gt;=$G$6,'calculated data '!$A$6)</f>
        <v>High Demand Tier</v>
      </c>
      <c r="F10533" s="10">
        <f t="shared" si="1"/>
        <v>1.127455825</v>
      </c>
    </row>
    <row r="10534" ht="14.25" customHeight="1">
      <c r="A10534" s="2" t="s">
        <v>461</v>
      </c>
      <c r="B10534" s="2" t="s">
        <v>462</v>
      </c>
      <c r="C10534" s="2">
        <v>1996.0</v>
      </c>
      <c r="D10534" s="9">
        <v>67651.24</v>
      </c>
      <c r="E10534" s="10" t="str">
        <f t="array" ref="E10534">IFS(D10534&lt;=$G$3,'calculated data '!$A$3,D10534&lt;=$G$4,'calculated data '!$A$4,D10534&lt;=$G$6,'calculated data '!$A$5,D10534&gt;=$G$6,'calculated data '!$A$6)</f>
        <v>High Demand Tier</v>
      </c>
      <c r="F10534" s="10">
        <f t="shared" si="1"/>
        <v>1.127539998</v>
      </c>
    </row>
    <row r="10535" ht="14.25" customHeight="1">
      <c r="A10535" s="2" t="s">
        <v>463</v>
      </c>
      <c r="B10535" s="2" t="s">
        <v>464</v>
      </c>
      <c r="C10535" s="2">
        <v>1983.0</v>
      </c>
      <c r="D10535" s="9">
        <v>67668.03</v>
      </c>
      <c r="E10535" s="10" t="str">
        <f t="array" ref="E10535">IFS(D10535&lt;=$G$3,'calculated data '!$A$3,D10535&lt;=$G$4,'calculated data '!$A$4,D10535&lt;=$G$6,'calculated data '!$A$5,D10535&gt;=$G$6,'calculated data '!$A$6)</f>
        <v>High Demand Tier</v>
      </c>
      <c r="F10535" s="10">
        <f t="shared" si="1"/>
        <v>1.127984426</v>
      </c>
    </row>
    <row r="10536" ht="14.25" customHeight="1">
      <c r="A10536" s="2" t="s">
        <v>71</v>
      </c>
      <c r="B10536" s="2" t="s">
        <v>72</v>
      </c>
      <c r="C10536" s="2">
        <v>2006.0</v>
      </c>
      <c r="D10536" s="9">
        <v>67833.375</v>
      </c>
      <c r="E10536" s="10" t="str">
        <f t="array" ref="E10536">IFS(D10536&lt;=$G$3,'calculated data '!$A$3,D10536&lt;=$G$4,'calculated data '!$A$4,D10536&lt;=$G$6,'calculated data '!$A$5,D10536&gt;=$G$6,'calculated data '!$A$6)</f>
        <v>High Demand Tier</v>
      </c>
      <c r="F10536" s="10">
        <f t="shared" si="1"/>
        <v>1.132361067</v>
      </c>
    </row>
    <row r="10537" ht="14.25" customHeight="1">
      <c r="A10537" s="2" t="s">
        <v>467</v>
      </c>
      <c r="B10537" s="2" t="s">
        <v>468</v>
      </c>
      <c r="C10537" s="2">
        <v>2009.0</v>
      </c>
      <c r="D10537" s="9">
        <v>67849.086</v>
      </c>
      <c r="E10537" s="10" t="str">
        <f t="array" ref="E10537">IFS(D10537&lt;=$G$3,'calculated data '!$A$3,D10537&lt;=$G$4,'calculated data '!$A$4,D10537&lt;=$G$6,'calculated data '!$A$5,D10537&gt;=$G$6,'calculated data '!$A$6)</f>
        <v>High Demand Tier</v>
      </c>
      <c r="F10537" s="10">
        <f t="shared" si="1"/>
        <v>1.132776933</v>
      </c>
    </row>
    <row r="10538" ht="14.25" customHeight="1">
      <c r="A10538" s="2" t="s">
        <v>461</v>
      </c>
      <c r="B10538" s="2" t="s">
        <v>462</v>
      </c>
      <c r="C10538" s="2">
        <v>2003.0</v>
      </c>
      <c r="D10538" s="9">
        <v>67875.5</v>
      </c>
      <c r="E10538" s="10" t="str">
        <f t="array" ref="E10538">IFS(D10538&lt;=$G$3,'calculated data '!$A$3,D10538&lt;=$G$4,'calculated data '!$A$4,D10538&lt;=$G$6,'calculated data '!$A$5,D10538&gt;=$G$6,'calculated data '!$A$6)</f>
        <v>High Demand Tier</v>
      </c>
      <c r="F10538" s="10">
        <f t="shared" si="1"/>
        <v>1.133476105</v>
      </c>
    </row>
    <row r="10539" ht="14.25" customHeight="1">
      <c r="A10539" s="2" t="s">
        <v>467</v>
      </c>
      <c r="B10539" s="2" t="s">
        <v>468</v>
      </c>
      <c r="C10539" s="2">
        <v>2005.0</v>
      </c>
      <c r="D10539" s="9">
        <v>67916.51</v>
      </c>
      <c r="E10539" s="10" t="str">
        <f t="array" ref="E10539">IFS(D10539&lt;=$G$3,'calculated data '!$A$3,D10539&lt;=$G$4,'calculated data '!$A$4,D10539&lt;=$G$6,'calculated data '!$A$5,D10539&gt;=$G$6,'calculated data '!$A$6)</f>
        <v>High Demand Tier</v>
      </c>
      <c r="F10539" s="10">
        <f t="shared" si="1"/>
        <v>1.134561629</v>
      </c>
    </row>
    <row r="10540" ht="14.25" customHeight="1">
      <c r="A10540" s="2" t="s">
        <v>461</v>
      </c>
      <c r="B10540" s="2" t="s">
        <v>462</v>
      </c>
      <c r="C10540" s="2">
        <v>2008.0</v>
      </c>
      <c r="D10540" s="9">
        <v>67989.39</v>
      </c>
      <c r="E10540" s="10" t="str">
        <f t="array" ref="E10540">IFS(D10540&lt;=$G$3,'calculated data '!$A$3,D10540&lt;=$G$4,'calculated data '!$A$4,D10540&lt;=$G$6,'calculated data '!$A$5,D10540&gt;=$G$6,'calculated data '!$A$6)</f>
        <v>High Demand Tier</v>
      </c>
      <c r="F10540" s="10">
        <f t="shared" si="1"/>
        <v>1.136490745</v>
      </c>
    </row>
    <row r="10541" ht="14.25" customHeight="1">
      <c r="A10541" s="2" t="s">
        <v>343</v>
      </c>
      <c r="B10541" s="2" t="s">
        <v>344</v>
      </c>
      <c r="C10541" s="2">
        <v>2011.0</v>
      </c>
      <c r="D10541" s="9">
        <v>67998.92</v>
      </c>
      <c r="E10541" s="10" t="str">
        <f t="array" ref="E10541">IFS(D10541&lt;=$G$3,'calculated data '!$A$3,D10541&lt;=$G$4,'calculated data '!$A$4,D10541&lt;=$G$6,'calculated data '!$A$5,D10541&gt;=$G$6,'calculated data '!$A$6)</f>
        <v>High Demand Tier</v>
      </c>
      <c r="F10541" s="10">
        <f t="shared" si="1"/>
        <v>1.136743001</v>
      </c>
    </row>
    <row r="10542" ht="14.25" customHeight="1">
      <c r="A10542" s="2" t="s">
        <v>491</v>
      </c>
      <c r="B10542" s="2" t="s">
        <v>492</v>
      </c>
      <c r="C10542" s="2">
        <v>1977.0</v>
      </c>
      <c r="D10542" s="9">
        <v>68022.74</v>
      </c>
      <c r="E10542" s="10" t="str">
        <f t="array" ref="E10542">IFS(D10542&lt;=$G$3,'calculated data '!$A$3,D10542&lt;=$G$4,'calculated data '!$A$4,D10542&lt;=$G$6,'calculated data '!$A$5,D10542&gt;=$G$6,'calculated data '!$A$6)</f>
        <v>High Demand Tier</v>
      </c>
      <c r="F10542" s="10">
        <f t="shared" si="1"/>
        <v>1.137373511</v>
      </c>
    </row>
    <row r="10543" ht="14.25" customHeight="1">
      <c r="A10543" s="2" t="s">
        <v>405</v>
      </c>
      <c r="B10543" s="2" t="s">
        <v>406</v>
      </c>
      <c r="C10543" s="2">
        <v>1985.0</v>
      </c>
      <c r="D10543" s="9">
        <v>68080.414</v>
      </c>
      <c r="E10543" s="10" t="str">
        <f t="array" ref="E10543">IFS(D10543&lt;=$G$3,'calculated data '!$A$3,D10543&lt;=$G$4,'calculated data '!$A$4,D10543&lt;=$G$6,'calculated data '!$A$5,D10543&gt;=$G$6,'calculated data '!$A$6)</f>
        <v>High Demand Tier</v>
      </c>
      <c r="F10543" s="10">
        <f t="shared" si="1"/>
        <v>1.138900127</v>
      </c>
    </row>
    <row r="10544" ht="14.25" customHeight="1">
      <c r="A10544" s="2" t="s">
        <v>221</v>
      </c>
      <c r="B10544" s="2" t="s">
        <v>222</v>
      </c>
      <c r="C10544" s="2">
        <v>2016.0</v>
      </c>
      <c r="D10544" s="9">
        <v>68139.57</v>
      </c>
      <c r="E10544" s="10" t="str">
        <f t="array" ref="E10544">IFS(D10544&lt;=$G$3,'calculated data '!$A$3,D10544&lt;=$G$4,'calculated data '!$A$4,D10544&lt;=$G$6,'calculated data '!$A$5,D10544&gt;=$G$6,'calculated data '!$A$6)</f>
        <v>High Demand Tier</v>
      </c>
      <c r="F10544" s="10">
        <f t="shared" si="1"/>
        <v>1.140465972</v>
      </c>
    </row>
    <row r="10545" ht="14.25" customHeight="1">
      <c r="A10545" s="2" t="s">
        <v>475</v>
      </c>
      <c r="B10545" s="2" t="s">
        <v>476</v>
      </c>
      <c r="C10545" s="2">
        <v>1979.0</v>
      </c>
      <c r="D10545" s="9">
        <v>68193.43</v>
      </c>
      <c r="E10545" s="10" t="str">
        <f t="array" ref="E10545">IFS(D10545&lt;=$G$3,'calculated data '!$A$3,D10545&lt;=$G$4,'calculated data '!$A$4,D10545&lt;=$G$6,'calculated data '!$A$5,D10545&gt;=$G$6,'calculated data '!$A$6)</f>
        <v>High Demand Tier</v>
      </c>
      <c r="F10545" s="10">
        <f t="shared" si="1"/>
        <v>1.141891633</v>
      </c>
    </row>
    <row r="10546" ht="14.25" customHeight="1">
      <c r="A10546" s="2" t="s">
        <v>441</v>
      </c>
      <c r="B10546" s="2" t="s">
        <v>442</v>
      </c>
      <c r="C10546" s="2">
        <v>2016.0</v>
      </c>
      <c r="D10546" s="9">
        <v>68195.56</v>
      </c>
      <c r="E10546" s="10" t="str">
        <f t="array" ref="E10546">IFS(D10546&lt;=$G$3,'calculated data '!$A$3,D10546&lt;=$G$4,'calculated data '!$A$4,D10546&lt;=$G$6,'calculated data '!$A$5,D10546&gt;=$G$6,'calculated data '!$A$6)</f>
        <v>High Demand Tier</v>
      </c>
      <c r="F10546" s="10">
        <f t="shared" si="1"/>
        <v>1.141948013</v>
      </c>
    </row>
    <row r="10547" ht="14.25" customHeight="1">
      <c r="A10547" s="2" t="s">
        <v>149</v>
      </c>
      <c r="B10547" s="2" t="s">
        <v>150</v>
      </c>
      <c r="C10547" s="2">
        <v>2020.0</v>
      </c>
      <c r="D10547" s="9">
        <v>68202.64</v>
      </c>
      <c r="E10547" s="10" t="str">
        <f t="array" ref="E10547">IFS(D10547&lt;=$G$3,'calculated data '!$A$3,D10547&lt;=$G$4,'calculated data '!$A$4,D10547&lt;=$G$6,'calculated data '!$A$5,D10547&gt;=$G$6,'calculated data '!$A$6)</f>
        <v>High Demand Tier</v>
      </c>
      <c r="F10547" s="10">
        <f t="shared" si="1"/>
        <v>1.142135419</v>
      </c>
    </row>
    <row r="10548" ht="14.25" customHeight="1">
      <c r="A10548" s="2" t="s">
        <v>457</v>
      </c>
      <c r="B10548" s="2" t="s">
        <v>458</v>
      </c>
      <c r="C10548" s="2">
        <v>1996.0</v>
      </c>
      <c r="D10548" s="9">
        <v>68304.805</v>
      </c>
      <c r="E10548" s="10" t="str">
        <f t="array" ref="E10548">IFS(D10548&lt;=$G$3,'calculated data '!$A$3,D10548&lt;=$G$4,'calculated data '!$A$4,D10548&lt;=$G$6,'calculated data '!$A$5,D10548&gt;=$G$6,'calculated data '!$A$6)</f>
        <v>High Demand Tier</v>
      </c>
      <c r="F10548" s="10">
        <f t="shared" si="1"/>
        <v>1.144839701</v>
      </c>
    </row>
    <row r="10549" ht="14.25" customHeight="1">
      <c r="A10549" s="2" t="s">
        <v>475</v>
      </c>
      <c r="B10549" s="2" t="s">
        <v>476</v>
      </c>
      <c r="C10549" s="2">
        <v>1987.0</v>
      </c>
      <c r="D10549" s="9">
        <v>68342.43</v>
      </c>
      <c r="E10549" s="10" t="str">
        <f t="array" ref="E10549">IFS(D10549&lt;=$G$3,'calculated data '!$A$3,D10549&lt;=$G$4,'calculated data '!$A$4,D10549&lt;=$G$6,'calculated data '!$A$5,D10549&gt;=$G$6,'calculated data '!$A$6)</f>
        <v>High Demand Tier</v>
      </c>
      <c r="F10549" s="10">
        <f t="shared" si="1"/>
        <v>1.145835626</v>
      </c>
    </row>
    <row r="10550" ht="14.25" customHeight="1">
      <c r="A10550" s="2" t="s">
        <v>397</v>
      </c>
      <c r="B10550" s="2" t="s">
        <v>398</v>
      </c>
      <c r="C10550" s="2">
        <v>2002.0</v>
      </c>
      <c r="D10550" s="9">
        <v>68465.33</v>
      </c>
      <c r="E10550" s="10" t="str">
        <f t="array" ref="E10550">IFS(D10550&lt;=$G$3,'calculated data '!$A$3,D10550&lt;=$G$4,'calculated data '!$A$4,D10550&lt;=$G$6,'calculated data '!$A$5,D10550&gt;=$G$6,'calculated data '!$A$6)</f>
        <v>High Demand Tier</v>
      </c>
      <c r="F10550" s="10">
        <f t="shared" si="1"/>
        <v>1.149088758</v>
      </c>
    </row>
    <row r="10551" ht="14.25" customHeight="1">
      <c r="A10551" s="2" t="s">
        <v>467</v>
      </c>
      <c r="B10551" s="2" t="s">
        <v>468</v>
      </c>
      <c r="C10551" s="2">
        <v>2004.0</v>
      </c>
      <c r="D10551" s="9">
        <v>68482.266</v>
      </c>
      <c r="E10551" s="10" t="str">
        <f t="array" ref="E10551">IFS(D10551&lt;=$G$3,'calculated data '!$A$3,D10551&lt;=$G$4,'calculated data '!$A$4,D10551&lt;=$G$6,'calculated data '!$A$5,D10551&gt;=$G$6,'calculated data '!$A$6)</f>
        <v>High Demand Tier</v>
      </c>
      <c r="F10551" s="10">
        <f t="shared" si="1"/>
        <v>1.14953705</v>
      </c>
    </row>
    <row r="10552" ht="14.25" customHeight="1">
      <c r="A10552" s="2" t="s">
        <v>221</v>
      </c>
      <c r="B10552" s="2" t="s">
        <v>222</v>
      </c>
      <c r="C10552" s="2">
        <v>2017.0</v>
      </c>
      <c r="D10552" s="9">
        <v>68494.03</v>
      </c>
      <c r="E10552" s="10" t="str">
        <f t="array" ref="E10552">IFS(D10552&lt;=$G$3,'calculated data '!$A$3,D10552&lt;=$G$4,'calculated data '!$A$4,D10552&lt;=$G$6,'calculated data '!$A$5,D10552&gt;=$G$6,'calculated data '!$A$6)</f>
        <v>High Demand Tier</v>
      </c>
      <c r="F10552" s="10">
        <f t="shared" si="1"/>
        <v>1.14984844</v>
      </c>
    </row>
    <row r="10553" ht="14.25" customHeight="1">
      <c r="A10553" s="2" t="s">
        <v>455</v>
      </c>
      <c r="B10553" s="2" t="s">
        <v>456</v>
      </c>
      <c r="C10553" s="2">
        <v>2000.0</v>
      </c>
      <c r="D10553" s="9">
        <v>68543.02</v>
      </c>
      <c r="E10553" s="10" t="str">
        <f t="array" ref="E10553">IFS(D10553&lt;=$G$3,'calculated data '!$A$3,D10553&lt;=$G$4,'calculated data '!$A$4,D10553&lt;=$G$6,'calculated data '!$A$5,D10553&gt;=$G$6,'calculated data '!$A$6)</f>
        <v>High Demand Tier</v>
      </c>
      <c r="F10553" s="10">
        <f t="shared" si="1"/>
        <v>1.151145193</v>
      </c>
    </row>
    <row r="10554" ht="14.25" customHeight="1">
      <c r="A10554" s="2" t="s">
        <v>221</v>
      </c>
      <c r="B10554" s="2" t="s">
        <v>222</v>
      </c>
      <c r="C10554" s="2">
        <v>2019.0</v>
      </c>
      <c r="D10554" s="9">
        <v>68649.26</v>
      </c>
      <c r="E10554" s="10" t="str">
        <f t="array" ref="E10554">IFS(D10554&lt;=$G$3,'calculated data '!$A$3,D10554&lt;=$G$4,'calculated data '!$A$4,D10554&lt;=$G$6,'calculated data '!$A$5,D10554&gt;=$G$6,'calculated data '!$A$6)</f>
        <v>High Demand Tier</v>
      </c>
      <c r="F10554" s="10">
        <f t="shared" si="1"/>
        <v>1.153957339</v>
      </c>
    </row>
    <row r="10555" ht="14.25" customHeight="1">
      <c r="A10555" s="2" t="s">
        <v>463</v>
      </c>
      <c r="B10555" s="2" t="s">
        <v>464</v>
      </c>
      <c r="C10555" s="2">
        <v>1981.0</v>
      </c>
      <c r="D10555" s="9">
        <v>68654.06</v>
      </c>
      <c r="E10555" s="10" t="str">
        <f t="array" ref="E10555">IFS(D10555&lt;=$G$3,'calculated data '!$A$3,D10555&lt;=$G$4,'calculated data '!$A$4,D10555&lt;=$G$6,'calculated data '!$A$5,D10555&gt;=$G$6,'calculated data '!$A$6)</f>
        <v>High Demand Tier</v>
      </c>
      <c r="F10555" s="10">
        <f t="shared" si="1"/>
        <v>1.154084394</v>
      </c>
    </row>
    <row r="10556" ht="14.25" customHeight="1">
      <c r="A10556" s="2" t="s">
        <v>469</v>
      </c>
      <c r="B10556" s="2" t="s">
        <v>470</v>
      </c>
      <c r="C10556" s="2">
        <v>1995.0</v>
      </c>
      <c r="D10556" s="9">
        <v>68691.234</v>
      </c>
      <c r="E10556" s="10" t="str">
        <f t="array" ref="E10556">IFS(D10556&lt;=$G$3,'calculated data '!$A$3,D10556&lt;=$G$4,'calculated data '!$A$4,D10556&lt;=$G$6,'calculated data '!$A$5,D10556&gt;=$G$6,'calculated data '!$A$6)</f>
        <v>High Demand Tier</v>
      </c>
      <c r="F10556" s="10">
        <f t="shared" si="1"/>
        <v>1.155068381</v>
      </c>
    </row>
    <row r="10557" ht="14.25" customHeight="1">
      <c r="A10557" s="2" t="s">
        <v>461</v>
      </c>
      <c r="B10557" s="2" t="s">
        <v>462</v>
      </c>
      <c r="C10557" s="2">
        <v>2006.0</v>
      </c>
      <c r="D10557" s="9">
        <v>68752.016</v>
      </c>
      <c r="E10557" s="10" t="str">
        <f t="array" ref="E10557">IFS(D10557&lt;=$G$3,'calculated data '!$A$3,D10557&lt;=$G$4,'calculated data '!$A$4,D10557&lt;=$G$6,'calculated data '!$A$5,D10557&gt;=$G$6,'calculated data '!$A$6)</f>
        <v>High Demand Tier</v>
      </c>
      <c r="F10557" s="10">
        <f t="shared" si="1"/>
        <v>1.156677265</v>
      </c>
    </row>
    <row r="10558" ht="14.25" customHeight="1">
      <c r="A10558" s="2" t="s">
        <v>463</v>
      </c>
      <c r="B10558" s="2" t="s">
        <v>464</v>
      </c>
      <c r="C10558" s="2">
        <v>1978.0</v>
      </c>
      <c r="D10558" s="9">
        <v>68948.34</v>
      </c>
      <c r="E10558" s="10" t="str">
        <f t="array" ref="E10558">IFS(D10558&lt;=$G$3,'calculated data '!$A$3,D10558&lt;=$G$4,'calculated data '!$A$4,D10558&lt;=$G$6,'calculated data '!$A$5,D10558&gt;=$G$6,'calculated data '!$A$6)</f>
        <v>High Demand Tier</v>
      </c>
      <c r="F10558" s="10">
        <f t="shared" si="1"/>
        <v>1.161873912</v>
      </c>
    </row>
    <row r="10559" ht="14.25" customHeight="1">
      <c r="A10559" s="2" t="s">
        <v>493</v>
      </c>
      <c r="B10559" s="2" t="s">
        <v>494</v>
      </c>
      <c r="C10559" s="2">
        <v>1969.0</v>
      </c>
      <c r="D10559" s="9">
        <v>68955.19</v>
      </c>
      <c r="E10559" s="10" t="str">
        <f t="array" ref="E10559">IFS(D10559&lt;=$G$3,'calculated data '!$A$3,D10559&lt;=$G$4,'calculated data '!$A$4,D10559&lt;=$G$6,'calculated data '!$A$5,D10559&gt;=$G$6,'calculated data '!$A$6)</f>
        <v>High Demand Tier</v>
      </c>
      <c r="F10559" s="10">
        <f t="shared" si="1"/>
        <v>1.16205523</v>
      </c>
    </row>
    <row r="10560" ht="14.25" customHeight="1">
      <c r="A10560" s="2" t="s">
        <v>149</v>
      </c>
      <c r="B10560" s="2" t="s">
        <v>150</v>
      </c>
      <c r="C10560" s="2">
        <v>2003.0</v>
      </c>
      <c r="D10560" s="9">
        <v>69047.695</v>
      </c>
      <c r="E10560" s="10" t="str">
        <f t="array" ref="E10560">IFS(D10560&lt;=$G$3,'calculated data '!$A$3,D10560&lt;=$G$4,'calculated data '!$A$4,D10560&lt;=$G$6,'calculated data '!$A$5,D10560&gt;=$G$6,'calculated data '!$A$6)</f>
        <v>High Demand Tier</v>
      </c>
      <c r="F10560" s="10">
        <f t="shared" si="1"/>
        <v>1.164503814</v>
      </c>
    </row>
    <row r="10561" ht="14.25" customHeight="1">
      <c r="A10561" s="2" t="s">
        <v>449</v>
      </c>
      <c r="B10561" s="2" t="s">
        <v>450</v>
      </c>
      <c r="C10561" s="2">
        <v>2017.0</v>
      </c>
      <c r="D10561" s="9">
        <v>69077.99</v>
      </c>
      <c r="E10561" s="10" t="str">
        <f t="array" ref="E10561">IFS(D10561&lt;=$G$3,'calculated data '!$A$3,D10561&lt;=$G$4,'calculated data '!$A$4,D10561&lt;=$G$6,'calculated data '!$A$5,D10561&gt;=$G$6,'calculated data '!$A$6)</f>
        <v>High Demand Tier</v>
      </c>
      <c r="F10561" s="10">
        <f t="shared" si="1"/>
        <v>1.165305716</v>
      </c>
    </row>
    <row r="10562" ht="14.25" customHeight="1">
      <c r="A10562" s="2" t="s">
        <v>461</v>
      </c>
      <c r="B10562" s="2" t="s">
        <v>462</v>
      </c>
      <c r="C10562" s="2">
        <v>2007.0</v>
      </c>
      <c r="D10562" s="9">
        <v>69078.984</v>
      </c>
      <c r="E10562" s="10" t="str">
        <f t="array" ref="E10562">IFS(D10562&lt;=$G$3,'calculated data '!$A$3,D10562&lt;=$G$4,'calculated data '!$A$4,D10562&lt;=$G$6,'calculated data '!$A$5,D10562&gt;=$G$6,'calculated data '!$A$6)</f>
        <v>High Demand Tier</v>
      </c>
      <c r="F10562" s="10">
        <f t="shared" si="1"/>
        <v>1.165332027</v>
      </c>
    </row>
    <row r="10563" ht="14.25" customHeight="1">
      <c r="A10563" s="2" t="s">
        <v>463</v>
      </c>
      <c r="B10563" s="2" t="s">
        <v>464</v>
      </c>
      <c r="C10563" s="2">
        <v>1984.0</v>
      </c>
      <c r="D10563" s="9">
        <v>69084.836</v>
      </c>
      <c r="E10563" s="10" t="str">
        <f t="array" ref="E10563">IFS(D10563&lt;=$G$3,'calculated data '!$A$3,D10563&lt;=$G$4,'calculated data '!$A$4,D10563&lt;=$G$6,'calculated data '!$A$5,D10563&gt;=$G$6,'calculated data '!$A$6)</f>
        <v>High Demand Tier</v>
      </c>
      <c r="F10563" s="10">
        <f t="shared" si="1"/>
        <v>1.165486927</v>
      </c>
    </row>
    <row r="10564" ht="14.25" customHeight="1">
      <c r="A10564" s="2" t="s">
        <v>221</v>
      </c>
      <c r="B10564" s="2" t="s">
        <v>222</v>
      </c>
      <c r="C10564" s="2">
        <v>2023.0</v>
      </c>
      <c r="D10564" s="9">
        <v>69195.65</v>
      </c>
      <c r="E10564" s="10" t="str">
        <f t="array" ref="E10564">IFS(D10564&lt;=$G$3,'calculated data '!$A$3,D10564&lt;=$G$4,'calculated data '!$A$4,D10564&lt;=$G$6,'calculated data '!$A$5,D10564&gt;=$G$6,'calculated data '!$A$6)</f>
        <v>High Demand Tier</v>
      </c>
      <c r="F10564" s="10">
        <f t="shared" si="1"/>
        <v>1.168420146</v>
      </c>
    </row>
    <row r="10565" ht="14.25" customHeight="1">
      <c r="A10565" s="2" t="s">
        <v>149</v>
      </c>
      <c r="B10565" s="2" t="s">
        <v>150</v>
      </c>
      <c r="C10565" s="2">
        <v>2007.0</v>
      </c>
      <c r="D10565" s="9">
        <v>69226.16</v>
      </c>
      <c r="E10565" s="10" t="str">
        <f t="array" ref="E10565">IFS(D10565&lt;=$G$3,'calculated data '!$A$3,D10565&lt;=$G$4,'calculated data '!$A$4,D10565&lt;=$G$6,'calculated data '!$A$5,D10565&gt;=$G$6,'calculated data '!$A$6)</f>
        <v>High Demand Tier</v>
      </c>
      <c r="F10565" s="10">
        <f t="shared" si="1"/>
        <v>1.169227739</v>
      </c>
    </row>
    <row r="10566" ht="14.25" customHeight="1">
      <c r="A10566" s="2" t="s">
        <v>461</v>
      </c>
      <c r="B10566" s="2" t="s">
        <v>462</v>
      </c>
      <c r="C10566" s="2">
        <v>2004.0</v>
      </c>
      <c r="D10566" s="9">
        <v>69312.58</v>
      </c>
      <c r="E10566" s="10" t="str">
        <f t="array" ref="E10566">IFS(D10566&lt;=$G$3,'calculated data '!$A$3,D10566&lt;=$G$4,'calculated data '!$A$4,D10566&lt;=$G$6,'calculated data '!$A$5,D10566&gt;=$G$6,'calculated data '!$A$6)</f>
        <v>High Demand Tier</v>
      </c>
      <c r="F10566" s="10">
        <f t="shared" si="1"/>
        <v>1.171515254</v>
      </c>
    </row>
    <row r="10567" ht="14.25" customHeight="1">
      <c r="A10567" s="2" t="s">
        <v>461</v>
      </c>
      <c r="B10567" s="2" t="s">
        <v>462</v>
      </c>
      <c r="C10567" s="2">
        <v>2005.0</v>
      </c>
      <c r="D10567" s="9">
        <v>69322.14</v>
      </c>
      <c r="E10567" s="10" t="str">
        <f t="array" ref="E10567">IFS(D10567&lt;=$G$3,'calculated data '!$A$3,D10567&lt;=$G$4,'calculated data '!$A$4,D10567&lt;=$G$6,'calculated data '!$A$5,D10567&gt;=$G$6,'calculated data '!$A$6)</f>
        <v>High Demand Tier</v>
      </c>
      <c r="F10567" s="10">
        <f t="shared" si="1"/>
        <v>1.171768305</v>
      </c>
    </row>
    <row r="10568" ht="14.25" customHeight="1">
      <c r="A10568" s="2" t="s">
        <v>461</v>
      </c>
      <c r="B10568" s="2" t="s">
        <v>462</v>
      </c>
      <c r="C10568" s="2">
        <v>2010.0</v>
      </c>
      <c r="D10568" s="9">
        <v>69379.74</v>
      </c>
      <c r="E10568" s="10" t="str">
        <f t="array" ref="E10568">IFS(D10568&lt;=$G$3,'calculated data '!$A$3,D10568&lt;=$G$4,'calculated data '!$A$4,D10568&lt;=$G$6,'calculated data '!$A$5,D10568&gt;=$G$6,'calculated data '!$A$6)</f>
        <v>High Demand Tier</v>
      </c>
      <c r="F10568" s="10">
        <f t="shared" si="1"/>
        <v>1.173292963</v>
      </c>
    </row>
    <row r="10569" ht="14.25" customHeight="1">
      <c r="A10569" s="2" t="s">
        <v>221</v>
      </c>
      <c r="B10569" s="2" t="s">
        <v>222</v>
      </c>
      <c r="C10569" s="2">
        <v>2021.0</v>
      </c>
      <c r="D10569" s="9">
        <v>69393.805</v>
      </c>
      <c r="E10569" s="10" t="str">
        <f t="array" ref="E10569">IFS(D10569&lt;=$G$3,'calculated data '!$A$3,D10569&lt;=$G$4,'calculated data '!$A$4,D10569&lt;=$G$6,'calculated data '!$A$5,D10569&gt;=$G$6,'calculated data '!$A$6)</f>
        <v>High Demand Tier</v>
      </c>
      <c r="F10569" s="10">
        <f t="shared" si="1"/>
        <v>1.17366526</v>
      </c>
    </row>
    <row r="10570" ht="14.25" customHeight="1">
      <c r="A10570" s="2" t="s">
        <v>491</v>
      </c>
      <c r="B10570" s="2" t="s">
        <v>492</v>
      </c>
      <c r="C10570" s="2">
        <v>1980.0</v>
      </c>
      <c r="D10570" s="9">
        <v>69430.64</v>
      </c>
      <c r="E10570" s="10" t="str">
        <f t="array" ref="E10570">IFS(D10570&lt;=$G$3,'calculated data '!$A$3,D10570&lt;=$G$4,'calculated data '!$A$4,D10570&lt;=$G$6,'calculated data '!$A$5,D10570&gt;=$G$6,'calculated data '!$A$6)</f>
        <v>High Demand Tier</v>
      </c>
      <c r="F10570" s="10">
        <f t="shared" si="1"/>
        <v>1.174640273</v>
      </c>
    </row>
    <row r="10571" ht="14.25" customHeight="1">
      <c r="A10571" s="2" t="s">
        <v>149</v>
      </c>
      <c r="B10571" s="2" t="s">
        <v>150</v>
      </c>
      <c r="C10571" s="2">
        <v>2004.0</v>
      </c>
      <c r="D10571" s="9">
        <v>69676.7</v>
      </c>
      <c r="E10571" s="10" t="str">
        <f t="array" ref="E10571">IFS(D10571&lt;=$G$3,'calculated data '!$A$3,D10571&lt;=$G$4,'calculated data '!$A$4,D10571&lt;=$G$6,'calculated data '!$A$5,D10571&gt;=$G$6,'calculated data '!$A$6)</f>
        <v>High Demand Tier</v>
      </c>
      <c r="F10571" s="10">
        <f t="shared" si="1"/>
        <v>1.18115342</v>
      </c>
    </row>
    <row r="10572" ht="14.25" customHeight="1">
      <c r="A10572" s="2" t="s">
        <v>405</v>
      </c>
      <c r="B10572" s="2" t="s">
        <v>406</v>
      </c>
      <c r="C10572" s="2">
        <v>1984.0</v>
      </c>
      <c r="D10572" s="9">
        <v>69689.5</v>
      </c>
      <c r="E10572" s="10" t="str">
        <f t="array" ref="E10572">IFS(D10572&lt;=$G$3,'calculated data '!$A$3,D10572&lt;=$G$4,'calculated data '!$A$4,D10572&lt;=$G$6,'calculated data '!$A$5,D10572&gt;=$G$6,'calculated data '!$A$6)</f>
        <v>High Demand Tier</v>
      </c>
      <c r="F10572" s="10">
        <f t="shared" si="1"/>
        <v>1.181492233</v>
      </c>
    </row>
    <row r="10573" ht="14.25" customHeight="1">
      <c r="A10573" s="2" t="s">
        <v>221</v>
      </c>
      <c r="B10573" s="2" t="s">
        <v>222</v>
      </c>
      <c r="C10573" s="2">
        <v>2018.0</v>
      </c>
      <c r="D10573" s="9">
        <v>69689.93</v>
      </c>
      <c r="E10573" s="10" t="str">
        <f t="array" ref="E10573">IFS(D10573&lt;=$G$3,'calculated data '!$A$3,D10573&lt;=$G$4,'calculated data '!$A$4,D10573&lt;=$G$6,'calculated data '!$A$5,D10573&gt;=$G$6,'calculated data '!$A$6)</f>
        <v>High Demand Tier</v>
      </c>
      <c r="F10573" s="10">
        <f t="shared" si="1"/>
        <v>1.181503615</v>
      </c>
    </row>
    <row r="10574" ht="14.25" customHeight="1">
      <c r="A10574" s="2" t="s">
        <v>221</v>
      </c>
      <c r="B10574" s="2" t="s">
        <v>222</v>
      </c>
      <c r="C10574" s="2">
        <v>2025.0</v>
      </c>
      <c r="D10574" s="9">
        <v>69745.05</v>
      </c>
      <c r="E10574" s="10" t="str">
        <f t="array" ref="E10574">IFS(D10574&lt;=$G$3,'calculated data '!$A$3,D10574&lt;=$G$4,'calculated data '!$A$4,D10574&lt;=$G$6,'calculated data '!$A$5,D10574&gt;=$G$6,'calculated data '!$A$6)</f>
        <v>High Demand Tier</v>
      </c>
      <c r="F10574" s="10">
        <f t="shared" si="1"/>
        <v>1.182962628</v>
      </c>
    </row>
    <row r="10575" ht="14.25" customHeight="1">
      <c r="A10575" s="2" t="s">
        <v>149</v>
      </c>
      <c r="B10575" s="2" t="s">
        <v>150</v>
      </c>
      <c r="C10575" s="2">
        <v>2002.0</v>
      </c>
      <c r="D10575" s="9">
        <v>69818.11</v>
      </c>
      <c r="E10575" s="10" t="str">
        <f t="array" ref="E10575">IFS(D10575&lt;=$G$3,'calculated data '!$A$3,D10575&lt;=$G$4,'calculated data '!$A$4,D10575&lt;=$G$6,'calculated data '!$A$5,D10575&gt;=$G$6,'calculated data '!$A$6)</f>
        <v>High Demand Tier</v>
      </c>
      <c r="F10575" s="10">
        <f t="shared" si="1"/>
        <v>1.184896508</v>
      </c>
    </row>
    <row r="10576" ht="14.25" customHeight="1">
      <c r="A10576" s="2" t="s">
        <v>463</v>
      </c>
      <c r="B10576" s="2" t="s">
        <v>464</v>
      </c>
      <c r="C10576" s="2">
        <v>1976.0</v>
      </c>
      <c r="D10576" s="9">
        <v>69820.375</v>
      </c>
      <c r="E10576" s="10" t="str">
        <f t="array" ref="E10576">IFS(D10576&lt;=$G$3,'calculated data '!$A$3,D10576&lt;=$G$4,'calculated data '!$A$4,D10576&lt;=$G$6,'calculated data '!$A$5,D10576&gt;=$G$6,'calculated data '!$A$6)</f>
        <v>High Demand Tier</v>
      </c>
      <c r="F10576" s="10">
        <f t="shared" si="1"/>
        <v>1.184956462</v>
      </c>
    </row>
    <row r="10577" ht="14.25" customHeight="1">
      <c r="A10577" s="2" t="s">
        <v>399</v>
      </c>
      <c r="B10577" s="2" t="s">
        <v>400</v>
      </c>
      <c r="C10577" s="2">
        <v>2003.0</v>
      </c>
      <c r="D10577" s="9">
        <v>69829.34</v>
      </c>
      <c r="E10577" s="10" t="str">
        <f t="array" ref="E10577">IFS(D10577&lt;=$G$3,'calculated data '!$A$3,D10577&lt;=$G$4,'calculated data '!$A$4,D10577&lt;=$G$6,'calculated data '!$A$5,D10577&gt;=$G$6,'calculated data '!$A$6)</f>
        <v>High Demand Tier</v>
      </c>
      <c r="F10577" s="10">
        <f t="shared" si="1"/>
        <v>1.185193763</v>
      </c>
    </row>
    <row r="10578" ht="14.25" customHeight="1">
      <c r="A10578" s="2" t="s">
        <v>149</v>
      </c>
      <c r="B10578" s="2" t="s">
        <v>150</v>
      </c>
      <c r="C10578" s="2">
        <v>2021.0</v>
      </c>
      <c r="D10578" s="9">
        <v>69850.24</v>
      </c>
      <c r="E10578" s="10" t="str">
        <f t="array" ref="E10578">IFS(D10578&lt;=$G$3,'calculated data '!$A$3,D10578&lt;=$G$4,'calculated data '!$A$4,D10578&lt;=$G$6,'calculated data '!$A$5,D10578&gt;=$G$6,'calculated data '!$A$6)</f>
        <v>High Demand Tier</v>
      </c>
      <c r="F10578" s="10">
        <f t="shared" si="1"/>
        <v>1.185746981</v>
      </c>
    </row>
    <row r="10579" ht="14.25" customHeight="1">
      <c r="A10579" s="2" t="s">
        <v>467</v>
      </c>
      <c r="B10579" s="2" t="s">
        <v>468</v>
      </c>
      <c r="C10579" s="2">
        <v>2006.0</v>
      </c>
      <c r="D10579" s="9">
        <v>69859.92</v>
      </c>
      <c r="E10579" s="10" t="str">
        <f t="array" ref="E10579">IFS(D10579&lt;=$G$3,'calculated data '!$A$3,D10579&lt;=$G$4,'calculated data '!$A$4,D10579&lt;=$G$6,'calculated data '!$A$5,D10579&gt;=$G$6,'calculated data '!$A$6)</f>
        <v>High Demand Tier</v>
      </c>
      <c r="F10579" s="10">
        <f t="shared" si="1"/>
        <v>1.186003208</v>
      </c>
    </row>
    <row r="10580" ht="14.25" customHeight="1">
      <c r="A10580" s="2" t="s">
        <v>283</v>
      </c>
      <c r="B10580" s="2" t="s">
        <v>284</v>
      </c>
      <c r="C10580" s="2">
        <v>1977.0</v>
      </c>
      <c r="D10580" s="9">
        <v>69882.26</v>
      </c>
      <c r="E10580" s="10" t="str">
        <f t="array" ref="E10580">IFS(D10580&lt;=$G$3,'calculated data '!$A$3,D10580&lt;=$G$4,'calculated data '!$A$4,D10580&lt;=$G$6,'calculated data '!$A$5,D10580&gt;=$G$6,'calculated data '!$A$6)</f>
        <v>High Demand Tier</v>
      </c>
      <c r="F10580" s="10">
        <f t="shared" si="1"/>
        <v>1.186594542</v>
      </c>
    </row>
    <row r="10581" ht="14.25" customHeight="1">
      <c r="A10581" s="2" t="s">
        <v>463</v>
      </c>
      <c r="B10581" s="2" t="s">
        <v>464</v>
      </c>
      <c r="C10581" s="2">
        <v>1989.0</v>
      </c>
      <c r="D10581" s="9">
        <v>69922.16</v>
      </c>
      <c r="E10581" s="10" t="str">
        <f t="array" ref="E10581">IFS(D10581&lt;=$G$3,'calculated data '!$A$3,D10581&lt;=$G$4,'calculated data '!$A$4,D10581&lt;=$G$6,'calculated data '!$A$5,D10581&gt;=$G$6,'calculated data '!$A$6)</f>
        <v>High Demand Tier</v>
      </c>
      <c r="F10581" s="10">
        <f t="shared" si="1"/>
        <v>1.187650685</v>
      </c>
    </row>
    <row r="10582" ht="14.25" customHeight="1">
      <c r="A10582" s="2" t="s">
        <v>463</v>
      </c>
      <c r="B10582" s="2" t="s">
        <v>464</v>
      </c>
      <c r="C10582" s="2">
        <v>1986.0</v>
      </c>
      <c r="D10582" s="9">
        <v>69985.805</v>
      </c>
      <c r="E10582" s="10" t="str">
        <f t="array" ref="E10582">IFS(D10582&lt;=$G$3,'calculated data '!$A$3,D10582&lt;=$G$4,'calculated data '!$A$4,D10582&lt;=$G$6,'calculated data '!$A$5,D10582&gt;=$G$6,'calculated data '!$A$6)</f>
        <v>High Demand Tier</v>
      </c>
      <c r="F10582" s="10">
        <f t="shared" si="1"/>
        <v>1.189335353</v>
      </c>
    </row>
    <row r="10583" ht="14.25" customHeight="1">
      <c r="A10583" s="2" t="s">
        <v>389</v>
      </c>
      <c r="B10583" s="2" t="s">
        <v>390</v>
      </c>
      <c r="C10583" s="2">
        <v>1968.0</v>
      </c>
      <c r="D10583" s="9">
        <v>70176.805</v>
      </c>
      <c r="E10583" s="10" t="str">
        <f t="array" ref="E10583">IFS(D10583&lt;=$G$3,'calculated data '!$A$3,D10583&lt;=$G$4,'calculated data '!$A$4,D10583&lt;=$G$6,'calculated data '!$A$5,D10583&gt;=$G$6,'calculated data '!$A$6)</f>
        <v>High Demand Tier</v>
      </c>
      <c r="F10583" s="10">
        <f t="shared" si="1"/>
        <v>1.194391075</v>
      </c>
    </row>
    <row r="10584" ht="14.25" customHeight="1">
      <c r="A10584" s="2" t="s">
        <v>463</v>
      </c>
      <c r="B10584" s="2" t="s">
        <v>464</v>
      </c>
      <c r="C10584" s="2">
        <v>1994.0</v>
      </c>
      <c r="D10584" s="9">
        <v>70257.48</v>
      </c>
      <c r="E10584" s="10" t="str">
        <f t="array" ref="E10584">IFS(D10584&lt;=$G$3,'calculated data '!$A$3,D10584&lt;=$G$4,'calculated data '!$A$4,D10584&lt;=$G$6,'calculated data '!$A$5,D10584&gt;=$G$6,'calculated data '!$A$6)</f>
        <v>High Demand Tier</v>
      </c>
      <c r="F10584" s="10">
        <f t="shared" si="1"/>
        <v>1.196526522</v>
      </c>
    </row>
    <row r="10585" ht="14.25" customHeight="1">
      <c r="A10585" s="2" t="s">
        <v>149</v>
      </c>
      <c r="B10585" s="2" t="s">
        <v>150</v>
      </c>
      <c r="C10585" s="2">
        <v>2017.0</v>
      </c>
      <c r="D10585" s="9">
        <v>70292.41</v>
      </c>
      <c r="E10585" s="10" t="str">
        <f t="array" ref="E10585">IFS(D10585&lt;=$G$3,'calculated data '!$A$3,D10585&lt;=$G$4,'calculated data '!$A$4,D10585&lt;=$G$6,'calculated data '!$A$5,D10585&gt;=$G$6,'calculated data '!$A$6)</f>
        <v>High Demand Tier</v>
      </c>
      <c r="F10585" s="10">
        <f t="shared" si="1"/>
        <v>1.197451111</v>
      </c>
    </row>
    <row r="10586" ht="14.25" customHeight="1">
      <c r="A10586" s="2" t="s">
        <v>397</v>
      </c>
      <c r="B10586" s="2" t="s">
        <v>398</v>
      </c>
      <c r="C10586" s="2">
        <v>2007.0</v>
      </c>
      <c r="D10586" s="9">
        <v>70316.68</v>
      </c>
      <c r="E10586" s="10" t="str">
        <f t="array" ref="E10586">IFS(D10586&lt;=$G$3,'calculated data '!$A$3,D10586&lt;=$G$4,'calculated data '!$A$4,D10586&lt;=$G$6,'calculated data '!$A$5,D10586&gt;=$G$6,'calculated data '!$A$6)</f>
        <v>High Demand Tier</v>
      </c>
      <c r="F10586" s="10">
        <f t="shared" si="1"/>
        <v>1.198093531</v>
      </c>
    </row>
    <row r="10587" ht="14.25" customHeight="1">
      <c r="A10587" s="2" t="s">
        <v>467</v>
      </c>
      <c r="B10587" s="2" t="s">
        <v>468</v>
      </c>
      <c r="C10587" s="2">
        <v>2008.0</v>
      </c>
      <c r="D10587" s="9">
        <v>70342.11</v>
      </c>
      <c r="E10587" s="10" t="str">
        <f t="array" ref="E10587">IFS(D10587&lt;=$G$3,'calculated data '!$A$3,D10587&lt;=$G$4,'calculated data '!$A$4,D10587&lt;=$G$6,'calculated data '!$A$5,D10587&gt;=$G$6,'calculated data '!$A$6)</f>
        <v>High Demand Tier</v>
      </c>
      <c r="F10587" s="10">
        <f t="shared" si="1"/>
        <v>1.198766657</v>
      </c>
    </row>
    <row r="10588" ht="14.25" customHeight="1">
      <c r="A10588" s="2" t="s">
        <v>429</v>
      </c>
      <c r="B10588" s="2" t="s">
        <v>430</v>
      </c>
      <c r="C10588" s="2">
        <v>1988.0</v>
      </c>
      <c r="D10588" s="9">
        <v>70344.97</v>
      </c>
      <c r="E10588" s="10" t="str">
        <f t="array" ref="E10588">IFS(D10588&lt;=$G$3,'calculated data '!$A$3,D10588&lt;=$G$4,'calculated data '!$A$4,D10588&lt;=$G$6,'calculated data '!$A$5,D10588&gt;=$G$6,'calculated data '!$A$6)</f>
        <v>High Demand Tier</v>
      </c>
      <c r="F10588" s="10">
        <f t="shared" si="1"/>
        <v>1.198842361</v>
      </c>
    </row>
    <row r="10589" ht="14.25" customHeight="1">
      <c r="A10589" s="2" t="s">
        <v>477</v>
      </c>
      <c r="B10589" s="2" t="s">
        <v>478</v>
      </c>
      <c r="C10589" s="2">
        <v>1996.0</v>
      </c>
      <c r="D10589" s="9">
        <v>70378.58</v>
      </c>
      <c r="E10589" s="10" t="str">
        <f t="array" ref="E10589">IFS(D10589&lt;=$G$3,'calculated data '!$A$3,D10589&lt;=$G$4,'calculated data '!$A$4,D10589&lt;=$G$6,'calculated data '!$A$5,D10589&gt;=$G$6,'calculated data '!$A$6)</f>
        <v>High Demand Tier</v>
      </c>
      <c r="F10589" s="10">
        <f t="shared" si="1"/>
        <v>1.199732009</v>
      </c>
    </row>
    <row r="10590" ht="14.25" customHeight="1">
      <c r="A10590" s="2" t="s">
        <v>221</v>
      </c>
      <c r="B10590" s="2" t="s">
        <v>222</v>
      </c>
      <c r="C10590" s="2">
        <v>2022.0</v>
      </c>
      <c r="D10590" s="9">
        <v>70405.78</v>
      </c>
      <c r="E10590" s="10" t="str">
        <f t="array" ref="E10590">IFS(D10590&lt;=$G$3,'calculated data '!$A$3,D10590&lt;=$G$4,'calculated data '!$A$4,D10590&lt;=$G$6,'calculated data '!$A$5,D10590&gt;=$G$6,'calculated data '!$A$6)</f>
        <v>High Demand Tier</v>
      </c>
      <c r="F10590" s="10">
        <f t="shared" si="1"/>
        <v>1.200451986</v>
      </c>
    </row>
    <row r="10591" ht="14.25" customHeight="1">
      <c r="A10591" s="2" t="s">
        <v>467</v>
      </c>
      <c r="B10591" s="2" t="s">
        <v>468</v>
      </c>
      <c r="C10591" s="2">
        <v>2007.0</v>
      </c>
      <c r="D10591" s="9">
        <v>70448.19</v>
      </c>
      <c r="E10591" s="10" t="str">
        <f t="array" ref="E10591">IFS(D10591&lt;=$G$3,'calculated data '!$A$3,D10591&lt;=$G$4,'calculated data '!$A$4,D10591&lt;=$G$6,'calculated data '!$A$5,D10591&gt;=$G$6,'calculated data '!$A$6)</f>
        <v>High Demand Tier</v>
      </c>
      <c r="F10591" s="10">
        <f t="shared" si="1"/>
        <v>1.201574568</v>
      </c>
    </row>
    <row r="10592" ht="14.25" customHeight="1">
      <c r="A10592" s="2" t="s">
        <v>495</v>
      </c>
      <c r="B10592" s="2" t="s">
        <v>496</v>
      </c>
      <c r="C10592" s="2">
        <v>2020.0</v>
      </c>
      <c r="D10592" s="9">
        <v>70529.56</v>
      </c>
      <c r="E10592" s="10" t="str">
        <f t="array" ref="E10592">IFS(D10592&lt;=$G$3,'calculated data '!$A$3,D10592&lt;=$G$4,'calculated data '!$A$4,D10592&lt;=$G$6,'calculated data '!$A$5,D10592&gt;=$G$6,'calculated data '!$A$6)</f>
        <v>High Demand Tier</v>
      </c>
      <c r="F10592" s="10">
        <f t="shared" si="1"/>
        <v>1.203728412</v>
      </c>
    </row>
    <row r="10593" ht="14.25" customHeight="1">
      <c r="A10593" s="2" t="s">
        <v>491</v>
      </c>
      <c r="B10593" s="2" t="s">
        <v>492</v>
      </c>
      <c r="C10593" s="2">
        <v>1971.0</v>
      </c>
      <c r="D10593" s="9">
        <v>70695.25</v>
      </c>
      <c r="E10593" s="10" t="str">
        <f t="array" ref="E10593">IFS(D10593&lt;=$G$3,'calculated data '!$A$3,D10593&lt;=$G$4,'calculated data '!$A$4,D10593&lt;=$G$6,'calculated data '!$A$5,D10593&gt;=$G$6,'calculated data '!$A$6)</f>
        <v>High Demand Tier</v>
      </c>
      <c r="F10593" s="10">
        <f t="shared" si="1"/>
        <v>1.208114185</v>
      </c>
    </row>
    <row r="10594" ht="14.25" customHeight="1">
      <c r="A10594" s="2" t="s">
        <v>221</v>
      </c>
      <c r="B10594" s="2" t="s">
        <v>222</v>
      </c>
      <c r="C10594" s="2">
        <v>2024.0</v>
      </c>
      <c r="D10594" s="9">
        <v>70773.44</v>
      </c>
      <c r="E10594" s="10" t="str">
        <f t="array" ref="E10594">IFS(D10594&lt;=$G$3,'calculated data '!$A$3,D10594&lt;=$G$4,'calculated data '!$A$4,D10594&lt;=$G$6,'calculated data '!$A$5,D10594&gt;=$G$6,'calculated data '!$A$6)</f>
        <v>High Demand Tier</v>
      </c>
      <c r="F10594" s="10">
        <f t="shared" si="1"/>
        <v>1.210183855</v>
      </c>
    </row>
    <row r="10595" ht="14.25" customHeight="1">
      <c r="A10595" s="2" t="s">
        <v>405</v>
      </c>
      <c r="B10595" s="2" t="s">
        <v>406</v>
      </c>
      <c r="C10595" s="2">
        <v>1983.0</v>
      </c>
      <c r="D10595" s="9">
        <v>70831.72</v>
      </c>
      <c r="E10595" s="10" t="str">
        <f t="array" ref="E10595">IFS(D10595&lt;=$G$3,'calculated data '!$A$3,D10595&lt;=$G$4,'calculated data '!$A$4,D10595&lt;=$G$6,'calculated data '!$A$5,D10595&gt;=$G$6,'calculated data '!$A$6)</f>
        <v>High Demand Tier</v>
      </c>
      <c r="F10595" s="10">
        <f t="shared" si="1"/>
        <v>1.211726512</v>
      </c>
    </row>
    <row r="10596" ht="14.25" customHeight="1">
      <c r="A10596" s="2" t="s">
        <v>477</v>
      </c>
      <c r="B10596" s="2" t="s">
        <v>478</v>
      </c>
      <c r="C10596" s="2">
        <v>1997.0</v>
      </c>
      <c r="D10596" s="9">
        <v>70931.234</v>
      </c>
      <c r="E10596" s="10" t="str">
        <f t="array" ref="E10596">IFS(D10596&lt;=$G$3,'calculated data '!$A$3,D10596&lt;=$G$4,'calculated data '!$A$4,D10596&lt;=$G$6,'calculated data '!$A$5,D10596&gt;=$G$6,'calculated data '!$A$6)</f>
        <v>High Demand Tier</v>
      </c>
      <c r="F10596" s="10">
        <f t="shared" si="1"/>
        <v>1.214360623</v>
      </c>
    </row>
    <row r="10597" ht="14.25" customHeight="1">
      <c r="A10597" s="2" t="s">
        <v>343</v>
      </c>
      <c r="B10597" s="2" t="s">
        <v>344</v>
      </c>
      <c r="C10597" s="2">
        <v>2016.0</v>
      </c>
      <c r="D10597" s="9">
        <v>71012.43</v>
      </c>
      <c r="E10597" s="10" t="str">
        <f t="array" ref="E10597">IFS(D10597&lt;=$G$3,'calculated data '!$A$3,D10597&lt;=$G$4,'calculated data '!$A$4,D10597&lt;=$G$6,'calculated data '!$A$5,D10597&gt;=$G$6,'calculated data '!$A$6)</f>
        <v>High Demand Tier</v>
      </c>
      <c r="F10597" s="10">
        <f t="shared" si="1"/>
        <v>1.216509861</v>
      </c>
    </row>
    <row r="10598" ht="14.25" customHeight="1">
      <c r="A10598" s="2" t="s">
        <v>283</v>
      </c>
      <c r="B10598" s="2" t="s">
        <v>284</v>
      </c>
      <c r="C10598" s="2">
        <v>1978.0</v>
      </c>
      <c r="D10598" s="9">
        <v>71051.375</v>
      </c>
      <c r="E10598" s="10" t="str">
        <f t="array" ref="E10598">IFS(D10598&lt;=$G$3,'calculated data '!$A$3,D10598&lt;=$G$4,'calculated data '!$A$4,D10598&lt;=$G$6,'calculated data '!$A$5,D10598&gt;=$G$6,'calculated data '!$A$6)</f>
        <v>High Demand Tier</v>
      </c>
      <c r="F10598" s="10">
        <f t="shared" si="1"/>
        <v>1.217540725</v>
      </c>
    </row>
    <row r="10599" ht="14.25" customHeight="1">
      <c r="A10599" s="2" t="s">
        <v>477</v>
      </c>
      <c r="B10599" s="2" t="s">
        <v>478</v>
      </c>
      <c r="C10599" s="2">
        <v>2010.0</v>
      </c>
      <c r="D10599" s="9">
        <v>71070.48</v>
      </c>
      <c r="E10599" s="10" t="str">
        <f t="array" ref="E10599">IFS(D10599&lt;=$G$3,'calculated data '!$A$3,D10599&lt;=$G$4,'calculated data '!$A$4,D10599&lt;=$G$6,'calculated data '!$A$5,D10599&gt;=$G$6,'calculated data '!$A$6)</f>
        <v>High Demand Tier</v>
      </c>
      <c r="F10599" s="10">
        <f t="shared" si="1"/>
        <v>1.21804643</v>
      </c>
    </row>
    <row r="10600" ht="14.25" customHeight="1">
      <c r="A10600" s="2" t="s">
        <v>399</v>
      </c>
      <c r="B10600" s="2" t="s">
        <v>400</v>
      </c>
      <c r="C10600" s="2">
        <v>2009.0</v>
      </c>
      <c r="D10600" s="9">
        <v>71118.86</v>
      </c>
      <c r="E10600" s="10" t="str">
        <f t="array" ref="E10600">IFS(D10600&lt;=$G$3,'calculated data '!$A$3,D10600&lt;=$G$4,'calculated data '!$A$4,D10600&lt;=$G$6,'calculated data '!$A$5,D10600&gt;=$G$6,'calculated data '!$A$6)</f>
        <v>High Demand Tier</v>
      </c>
      <c r="F10600" s="10">
        <f t="shared" si="1"/>
        <v>1.219327036</v>
      </c>
    </row>
    <row r="10601" ht="14.25" customHeight="1">
      <c r="A10601" s="2" t="s">
        <v>149</v>
      </c>
      <c r="B10601" s="2" t="s">
        <v>150</v>
      </c>
      <c r="C10601" s="2">
        <v>2018.0</v>
      </c>
      <c r="D10601" s="9">
        <v>71303.8</v>
      </c>
      <c r="E10601" s="10" t="str">
        <f t="array" ref="E10601">IFS(D10601&lt;=$G$3,'calculated data '!$A$3,D10601&lt;=$G$4,'calculated data '!$A$4,D10601&lt;=$G$6,'calculated data '!$A$5,D10601&gt;=$G$6,'calculated data '!$A$6)</f>
        <v>High Demand Tier</v>
      </c>
      <c r="F10601" s="10">
        <f t="shared" si="1"/>
        <v>1.224222352</v>
      </c>
    </row>
    <row r="10602" ht="14.25" customHeight="1">
      <c r="A10602" s="2" t="s">
        <v>399</v>
      </c>
      <c r="B10602" s="2" t="s">
        <v>400</v>
      </c>
      <c r="C10602" s="2">
        <v>2007.0</v>
      </c>
      <c r="D10602" s="9">
        <v>71486.14</v>
      </c>
      <c r="E10602" s="10" t="str">
        <f t="array" ref="E10602">IFS(D10602&lt;=$G$3,'calculated data '!$A$3,D10602&lt;=$G$4,'calculated data '!$A$4,D10602&lt;=$G$6,'calculated data '!$A$5,D10602&gt;=$G$6,'calculated data '!$A$6)</f>
        <v>High Demand Tier</v>
      </c>
      <c r="F10602" s="10">
        <f t="shared" si="1"/>
        <v>1.229048846</v>
      </c>
    </row>
    <row r="10603" ht="14.25" customHeight="1">
      <c r="A10603" s="2" t="s">
        <v>477</v>
      </c>
      <c r="B10603" s="2" t="s">
        <v>478</v>
      </c>
      <c r="C10603" s="2">
        <v>2002.0</v>
      </c>
      <c r="D10603" s="9">
        <v>71528.91</v>
      </c>
      <c r="E10603" s="10" t="str">
        <f t="array" ref="E10603">IFS(D10603&lt;=$G$3,'calculated data '!$A$3,D10603&lt;=$G$4,'calculated data '!$A$4,D10603&lt;=$G$6,'calculated data '!$A$5,D10603&gt;=$G$6,'calculated data '!$A$6)</f>
        <v>High Demand Tier</v>
      </c>
      <c r="F10603" s="10">
        <f t="shared" si="1"/>
        <v>1.230180958</v>
      </c>
    </row>
    <row r="10604" ht="14.25" customHeight="1">
      <c r="A10604" s="2" t="s">
        <v>343</v>
      </c>
      <c r="B10604" s="2" t="s">
        <v>344</v>
      </c>
      <c r="C10604" s="2">
        <v>2020.0</v>
      </c>
      <c r="D10604" s="9">
        <v>71572.87</v>
      </c>
      <c r="E10604" s="10" t="str">
        <f t="array" ref="E10604">IFS(D10604&lt;=$G$3,'calculated data '!$A$3,D10604&lt;=$G$4,'calculated data '!$A$4,D10604&lt;=$G$6,'calculated data '!$A$5,D10604&gt;=$G$6,'calculated data '!$A$6)</f>
        <v>High Demand Tier</v>
      </c>
      <c r="F10604" s="10">
        <f t="shared" si="1"/>
        <v>1.231344568</v>
      </c>
    </row>
    <row r="10605" ht="14.25" customHeight="1">
      <c r="A10605" s="2" t="s">
        <v>491</v>
      </c>
      <c r="B10605" s="2" t="s">
        <v>492</v>
      </c>
      <c r="C10605" s="2">
        <v>1978.0</v>
      </c>
      <c r="D10605" s="9">
        <v>71598.445</v>
      </c>
      <c r="E10605" s="10" t="str">
        <f t="array" ref="E10605">IFS(D10605&lt;=$G$3,'calculated data '!$A$3,D10605&lt;=$G$4,'calculated data '!$A$4,D10605&lt;=$G$6,'calculated data '!$A$5,D10605&gt;=$G$6,'calculated data '!$A$6)</f>
        <v>High Demand Tier</v>
      </c>
      <c r="F10605" s="10">
        <f t="shared" si="1"/>
        <v>1.232021532</v>
      </c>
    </row>
    <row r="10606" ht="14.25" customHeight="1">
      <c r="A10606" s="2" t="s">
        <v>477</v>
      </c>
      <c r="B10606" s="2" t="s">
        <v>478</v>
      </c>
      <c r="C10606" s="2">
        <v>1999.0</v>
      </c>
      <c r="D10606" s="9">
        <v>71715.86</v>
      </c>
      <c r="E10606" s="10" t="str">
        <f t="array" ref="E10606">IFS(D10606&lt;=$G$3,'calculated data '!$A$3,D10606&lt;=$G$4,'calculated data '!$A$4,D10606&lt;=$G$6,'calculated data '!$A$5,D10606&gt;=$G$6,'calculated data '!$A$6)</f>
        <v>High Demand Tier</v>
      </c>
      <c r="F10606" s="10">
        <f t="shared" si="1"/>
        <v>1.235129477</v>
      </c>
    </row>
    <row r="10607" ht="14.25" customHeight="1">
      <c r="A10607" s="2" t="s">
        <v>397</v>
      </c>
      <c r="B10607" s="2" t="s">
        <v>398</v>
      </c>
      <c r="C10607" s="2">
        <v>2006.0</v>
      </c>
      <c r="D10607" s="9">
        <v>71739.484</v>
      </c>
      <c r="E10607" s="10" t="str">
        <f t="array" ref="E10607">IFS(D10607&lt;=$G$3,'calculated data '!$A$3,D10607&lt;=$G$4,'calculated data '!$A$4,D10607&lt;=$G$6,'calculated data '!$A$5,D10607&gt;=$G$6,'calculated data '!$A$6)</f>
        <v>High Demand Tier</v>
      </c>
      <c r="F10607" s="10">
        <f t="shared" si="1"/>
        <v>1.235754799</v>
      </c>
    </row>
    <row r="10608" ht="14.25" customHeight="1">
      <c r="A10608" s="2" t="s">
        <v>495</v>
      </c>
      <c r="B10608" s="2" t="s">
        <v>496</v>
      </c>
      <c r="C10608" s="2">
        <v>1965.0</v>
      </c>
      <c r="D10608" s="9">
        <v>71812.44</v>
      </c>
      <c r="E10608" s="10" t="str">
        <f t="array" ref="E10608">IFS(D10608&lt;=$G$3,'calculated data '!$A$3,D10608&lt;=$G$4,'calculated data '!$A$4,D10608&lt;=$G$6,'calculated data '!$A$5,D10608&gt;=$G$6,'calculated data '!$A$6)</f>
        <v>High Demand Tier</v>
      </c>
      <c r="F10608" s="10">
        <f t="shared" si="1"/>
        <v>1.237685926</v>
      </c>
    </row>
    <row r="10609" ht="14.25" customHeight="1">
      <c r="A10609" s="2" t="s">
        <v>483</v>
      </c>
      <c r="B10609" s="2" t="s">
        <v>484</v>
      </c>
      <c r="C10609" s="2">
        <v>2016.0</v>
      </c>
      <c r="D10609" s="9">
        <v>71814.64</v>
      </c>
      <c r="E10609" s="10" t="str">
        <f t="array" ref="E10609">IFS(D10609&lt;=$G$3,'calculated data '!$A$3,D10609&lt;=$G$4,'calculated data '!$A$4,D10609&lt;=$G$6,'calculated data '!$A$5,D10609&gt;=$G$6,'calculated data '!$A$6)</f>
        <v>High Demand Tier</v>
      </c>
      <c r="F10609" s="10">
        <f t="shared" si="1"/>
        <v>1.237744159</v>
      </c>
    </row>
    <row r="10610" ht="14.25" customHeight="1">
      <c r="A10610" s="2" t="s">
        <v>343</v>
      </c>
      <c r="B10610" s="2" t="s">
        <v>344</v>
      </c>
      <c r="C10610" s="2">
        <v>2022.0</v>
      </c>
      <c r="D10610" s="9">
        <v>71854.42</v>
      </c>
      <c r="E10610" s="10" t="str">
        <f t="array" ref="E10610">IFS(D10610&lt;=$G$3,'calculated data '!$A$3,D10610&lt;=$G$4,'calculated data '!$A$4,D10610&lt;=$G$6,'calculated data '!$A$5,D10610&gt;=$G$6,'calculated data '!$A$6)</f>
        <v>High Demand Tier</v>
      </c>
      <c r="F10610" s="10">
        <f t="shared" si="1"/>
        <v>1.238797126</v>
      </c>
    </row>
    <row r="10611" ht="14.25" customHeight="1">
      <c r="A10611" s="2" t="s">
        <v>343</v>
      </c>
      <c r="B10611" s="2" t="s">
        <v>344</v>
      </c>
      <c r="C10611" s="2">
        <v>2010.0</v>
      </c>
      <c r="D10611" s="9">
        <v>71871.52</v>
      </c>
      <c r="E10611" s="10" t="str">
        <f t="array" ref="E10611">IFS(D10611&lt;=$G$3,'calculated data '!$A$3,D10611&lt;=$G$4,'calculated data '!$A$4,D10611&lt;=$G$6,'calculated data '!$A$5,D10611&gt;=$G$6,'calculated data '!$A$6)</f>
        <v>High Demand Tier</v>
      </c>
      <c r="F10611" s="10">
        <f t="shared" si="1"/>
        <v>1.239249759</v>
      </c>
    </row>
    <row r="10612" ht="14.25" customHeight="1">
      <c r="A10612" s="2" t="s">
        <v>399</v>
      </c>
      <c r="B10612" s="2" t="s">
        <v>400</v>
      </c>
      <c r="C10612" s="2">
        <v>1992.0</v>
      </c>
      <c r="D10612" s="9">
        <v>71904.21</v>
      </c>
      <c r="E10612" s="10" t="str">
        <f t="array" ref="E10612">IFS(D10612&lt;=$G$3,'calculated data '!$A$3,D10612&lt;=$G$4,'calculated data '!$A$4,D10612&lt;=$G$6,'calculated data '!$A$5,D10612&gt;=$G$6,'calculated data '!$A$6)</f>
        <v>High Demand Tier</v>
      </c>
      <c r="F10612" s="10">
        <f t="shared" si="1"/>
        <v>1.240115055</v>
      </c>
    </row>
    <row r="10613" ht="14.25" customHeight="1">
      <c r="A10613" s="2" t="s">
        <v>477</v>
      </c>
      <c r="B10613" s="2" t="s">
        <v>478</v>
      </c>
      <c r="C10613" s="2">
        <v>2001.0</v>
      </c>
      <c r="D10613" s="9">
        <v>71989.58</v>
      </c>
      <c r="E10613" s="10" t="str">
        <f t="array" ref="E10613">IFS(D10613&lt;=$G$3,'calculated data '!$A$3,D10613&lt;=$G$4,'calculated data '!$A$4,D10613&lt;=$G$6,'calculated data '!$A$5,D10613&gt;=$G$6,'calculated data '!$A$6)</f>
        <v>High Demand Tier</v>
      </c>
      <c r="F10613" s="10">
        <f t="shared" si="1"/>
        <v>1.242374778</v>
      </c>
    </row>
    <row r="10614" ht="14.25" customHeight="1">
      <c r="A10614" s="2" t="s">
        <v>389</v>
      </c>
      <c r="B10614" s="2" t="s">
        <v>390</v>
      </c>
      <c r="C10614" s="2">
        <v>1976.0</v>
      </c>
      <c r="D10614" s="9">
        <v>72034.99</v>
      </c>
      <c r="E10614" s="10" t="str">
        <f t="array" ref="E10614">IFS(D10614&lt;=$G$3,'calculated data '!$A$3,D10614&lt;=$G$4,'calculated data '!$A$4,D10614&lt;=$G$6,'calculated data '!$A$5,D10614&gt;=$G$6,'calculated data '!$A$6)</f>
        <v>High Demand Tier</v>
      </c>
      <c r="F10614" s="10">
        <f t="shared" si="1"/>
        <v>1.243576769</v>
      </c>
    </row>
    <row r="10615" ht="14.25" customHeight="1">
      <c r="A10615" s="2" t="s">
        <v>457</v>
      </c>
      <c r="B10615" s="2" t="s">
        <v>458</v>
      </c>
      <c r="C10615" s="2">
        <v>1997.0</v>
      </c>
      <c r="D10615" s="9">
        <v>72150.63</v>
      </c>
      <c r="E10615" s="10" t="str">
        <f t="array" ref="E10615">IFS(D10615&lt;=$G$3,'calculated data '!$A$3,D10615&lt;=$G$4,'calculated data '!$A$4,D10615&lt;=$G$6,'calculated data '!$A$5,D10615&gt;=$G$6,'calculated data '!$A$6)</f>
        <v>High Demand Tier</v>
      </c>
      <c r="F10615" s="10">
        <f t="shared" si="1"/>
        <v>1.246637731</v>
      </c>
    </row>
    <row r="10616" ht="14.25" customHeight="1">
      <c r="A10616" s="2" t="s">
        <v>477</v>
      </c>
      <c r="B10616" s="2" t="s">
        <v>478</v>
      </c>
      <c r="C10616" s="2">
        <v>1998.0</v>
      </c>
      <c r="D10616" s="9">
        <v>72235.03</v>
      </c>
      <c r="E10616" s="10" t="str">
        <f t="array" ref="E10616">IFS(D10616&lt;=$G$3,'calculated data '!$A$3,D10616&lt;=$G$4,'calculated data '!$A$4,D10616&lt;=$G$6,'calculated data '!$A$5,D10616&gt;=$G$6,'calculated data '!$A$6)</f>
        <v>High Demand Tier</v>
      </c>
      <c r="F10616" s="10">
        <f t="shared" si="1"/>
        <v>1.248871778</v>
      </c>
    </row>
    <row r="10617" ht="14.25" customHeight="1">
      <c r="A10617" s="2" t="s">
        <v>491</v>
      </c>
      <c r="B10617" s="2" t="s">
        <v>492</v>
      </c>
      <c r="C10617" s="2">
        <v>1972.0</v>
      </c>
      <c r="D10617" s="9">
        <v>72244.92</v>
      </c>
      <c r="E10617" s="10" t="str">
        <f t="array" ref="E10617">IFS(D10617&lt;=$G$3,'calculated data '!$A$3,D10617&lt;=$G$4,'calculated data '!$A$4,D10617&lt;=$G$6,'calculated data '!$A$5,D10617&gt;=$G$6,'calculated data '!$A$6)</f>
        <v>High Demand Tier</v>
      </c>
      <c r="F10617" s="10">
        <f t="shared" si="1"/>
        <v>1.249133564</v>
      </c>
    </row>
    <row r="10618" ht="14.25" customHeight="1">
      <c r="A10618" s="2" t="s">
        <v>449</v>
      </c>
      <c r="B10618" s="2" t="s">
        <v>450</v>
      </c>
      <c r="C10618" s="2">
        <v>2016.0</v>
      </c>
      <c r="D10618" s="9">
        <v>72312.38</v>
      </c>
      <c r="E10618" s="10" t="str">
        <f t="array" ref="E10618">IFS(D10618&lt;=$G$3,'calculated data '!$A$3,D10618&lt;=$G$4,'calculated data '!$A$4,D10618&lt;=$G$6,'calculated data '!$A$5,D10618&gt;=$G$6,'calculated data '!$A$6)</f>
        <v>High Demand Tier</v>
      </c>
      <c r="F10618" s="10">
        <f t="shared" si="1"/>
        <v>1.250919213</v>
      </c>
    </row>
    <row r="10619" ht="14.25" customHeight="1">
      <c r="A10619" s="2" t="s">
        <v>405</v>
      </c>
      <c r="B10619" s="2" t="s">
        <v>406</v>
      </c>
      <c r="C10619" s="2">
        <v>1982.0</v>
      </c>
      <c r="D10619" s="9">
        <v>72422.555</v>
      </c>
      <c r="E10619" s="10" t="str">
        <f t="array" ref="E10619">IFS(D10619&lt;=$G$3,'calculated data '!$A$3,D10619&lt;=$G$4,'calculated data '!$A$4,D10619&lt;=$G$6,'calculated data '!$A$5,D10619&gt;=$G$6,'calculated data '!$A$6)</f>
        <v>High Demand Tier</v>
      </c>
      <c r="F10619" s="10">
        <f t="shared" si="1"/>
        <v>1.253835518</v>
      </c>
    </row>
    <row r="10620" ht="14.25" customHeight="1">
      <c r="A10620" s="2" t="s">
        <v>397</v>
      </c>
      <c r="B10620" s="2" t="s">
        <v>398</v>
      </c>
      <c r="C10620" s="2">
        <v>2004.0</v>
      </c>
      <c r="D10620" s="9">
        <v>72581.77</v>
      </c>
      <c r="E10620" s="10" t="str">
        <f t="array" ref="E10620">IFS(D10620&lt;=$G$3,'calculated data '!$A$3,D10620&lt;=$G$4,'calculated data '!$A$4,D10620&lt;=$G$6,'calculated data '!$A$5,D10620&gt;=$G$6,'calculated data '!$A$6)</f>
        <v>High Demand Tier</v>
      </c>
      <c r="F10620" s="10">
        <f t="shared" si="1"/>
        <v>1.2580499</v>
      </c>
    </row>
    <row r="10621" ht="14.25" customHeight="1">
      <c r="A10621" s="2" t="s">
        <v>493</v>
      </c>
      <c r="B10621" s="2" t="s">
        <v>494</v>
      </c>
      <c r="C10621" s="2">
        <v>1970.0</v>
      </c>
      <c r="D10621" s="9">
        <v>72728.05</v>
      </c>
      <c r="E10621" s="10" t="str">
        <f t="array" ref="E10621">IFS(D10621&lt;=$G$3,'calculated data '!$A$3,D10621&lt;=$G$4,'calculated data '!$A$4,D10621&lt;=$G$6,'calculated data '!$A$5,D10621&gt;=$G$6,'calculated data '!$A$6)</f>
        <v>High Demand Tier</v>
      </c>
      <c r="F10621" s="10">
        <f t="shared" si="1"/>
        <v>1.261921895</v>
      </c>
    </row>
    <row r="10622" ht="14.25" customHeight="1">
      <c r="A10622" s="2" t="s">
        <v>477</v>
      </c>
      <c r="B10622" s="2" t="s">
        <v>478</v>
      </c>
      <c r="C10622" s="2">
        <v>2006.0</v>
      </c>
      <c r="D10622" s="9">
        <v>72750.88</v>
      </c>
      <c r="E10622" s="10" t="str">
        <f t="array" ref="E10622">IFS(D10622&lt;=$G$3,'calculated data '!$A$3,D10622&lt;=$G$4,'calculated data '!$A$4,D10622&lt;=$G$6,'calculated data '!$A$5,D10622&gt;=$G$6,'calculated data '!$A$6)</f>
        <v>High Demand Tier</v>
      </c>
      <c r="F10622" s="10">
        <f t="shared" si="1"/>
        <v>1.262526199</v>
      </c>
    </row>
    <row r="10623" ht="14.25" customHeight="1">
      <c r="A10623" s="2" t="s">
        <v>477</v>
      </c>
      <c r="B10623" s="2" t="s">
        <v>478</v>
      </c>
      <c r="C10623" s="2">
        <v>2000.0</v>
      </c>
      <c r="D10623" s="9">
        <v>72772.84</v>
      </c>
      <c r="E10623" s="10" t="str">
        <f t="array" ref="E10623">IFS(D10623&lt;=$G$3,'calculated data '!$A$3,D10623&lt;=$G$4,'calculated data '!$A$4,D10623&lt;=$G$6,'calculated data '!$A$5,D10623&gt;=$G$6,'calculated data '!$A$6)</f>
        <v>High Demand Tier</v>
      </c>
      <c r="F10623" s="10">
        <f t="shared" si="1"/>
        <v>1.263107475</v>
      </c>
    </row>
    <row r="10624" ht="14.25" customHeight="1">
      <c r="A10624" s="2" t="s">
        <v>477</v>
      </c>
      <c r="B10624" s="2" t="s">
        <v>478</v>
      </c>
      <c r="C10624" s="2">
        <v>2007.0</v>
      </c>
      <c r="D10624" s="9">
        <v>72789.36</v>
      </c>
      <c r="E10624" s="10" t="str">
        <f t="array" ref="E10624">IFS(D10624&lt;=$G$3,'calculated data '!$A$3,D10624&lt;=$G$4,'calculated data '!$A$4,D10624&lt;=$G$6,'calculated data '!$A$5,D10624&gt;=$G$6,'calculated data '!$A$6)</f>
        <v>High Demand Tier</v>
      </c>
      <c r="F10624" s="10">
        <f t="shared" si="1"/>
        <v>1.263544755</v>
      </c>
    </row>
    <row r="10625" ht="14.25" customHeight="1">
      <c r="A10625" s="2" t="s">
        <v>449</v>
      </c>
      <c r="B10625" s="2" t="s">
        <v>450</v>
      </c>
      <c r="C10625" s="2">
        <v>2019.0</v>
      </c>
      <c r="D10625" s="9">
        <v>72879.4</v>
      </c>
      <c r="E10625" s="10" t="str">
        <f t="array" ref="E10625">IFS(D10625&lt;=$G$3,'calculated data '!$A$3,D10625&lt;=$G$4,'calculated data '!$A$4,D10625&lt;=$G$6,'calculated data '!$A$5,D10625&gt;=$G$6,'calculated data '!$A$6)</f>
        <v>High Demand Tier</v>
      </c>
      <c r="F10625" s="10">
        <f t="shared" si="1"/>
        <v>1.265928091</v>
      </c>
    </row>
    <row r="10626" ht="14.25" customHeight="1">
      <c r="A10626" s="2" t="s">
        <v>475</v>
      </c>
      <c r="B10626" s="2" t="s">
        <v>476</v>
      </c>
      <c r="C10626" s="2">
        <v>1986.0</v>
      </c>
      <c r="D10626" s="9">
        <v>72979.55</v>
      </c>
      <c r="E10626" s="10" t="str">
        <f t="array" ref="E10626">IFS(D10626&lt;=$G$3,'calculated data '!$A$3,D10626&lt;=$G$4,'calculated data '!$A$4,D10626&lt;=$G$6,'calculated data '!$A$5,D10626&gt;=$G$6,'calculated data '!$A$6)</f>
        <v>High Demand Tier</v>
      </c>
      <c r="F10626" s="10">
        <f t="shared" si="1"/>
        <v>1.268579037</v>
      </c>
    </row>
    <row r="10627" ht="14.25" customHeight="1">
      <c r="A10627" s="2" t="s">
        <v>477</v>
      </c>
      <c r="B10627" s="2" t="s">
        <v>478</v>
      </c>
      <c r="C10627" s="2">
        <v>2005.0</v>
      </c>
      <c r="D10627" s="9">
        <v>73009.45</v>
      </c>
      <c r="E10627" s="10" t="str">
        <f t="array" ref="E10627">IFS(D10627&lt;=$G$3,'calculated data '!$A$3,D10627&lt;=$G$4,'calculated data '!$A$4,D10627&lt;=$G$6,'calculated data '!$A$5,D10627&gt;=$G$6,'calculated data '!$A$6)</f>
        <v>High Demand Tier</v>
      </c>
      <c r="F10627" s="10">
        <f t="shared" si="1"/>
        <v>1.269370483</v>
      </c>
    </row>
    <row r="10628" ht="14.25" customHeight="1">
      <c r="A10628" s="2" t="s">
        <v>491</v>
      </c>
      <c r="B10628" s="2" t="s">
        <v>492</v>
      </c>
      <c r="C10628" s="2">
        <v>1969.0</v>
      </c>
      <c r="D10628" s="9">
        <v>73062.27</v>
      </c>
      <c r="E10628" s="10" t="str">
        <f t="array" ref="E10628">IFS(D10628&lt;=$G$3,'calculated data '!$A$3,D10628&lt;=$G$4,'calculated data '!$A$4,D10628&lt;=$G$6,'calculated data '!$A$5,D10628&gt;=$G$6,'calculated data '!$A$6)</f>
        <v>High Demand Tier</v>
      </c>
      <c r="F10628" s="10">
        <f t="shared" si="1"/>
        <v>1.270768615</v>
      </c>
    </row>
    <row r="10629" ht="14.25" customHeight="1">
      <c r="A10629" s="2" t="s">
        <v>149</v>
      </c>
      <c r="B10629" s="2" t="s">
        <v>150</v>
      </c>
      <c r="C10629" s="2">
        <v>2001.0</v>
      </c>
      <c r="D10629" s="9">
        <v>73115.35</v>
      </c>
      <c r="E10629" s="10" t="str">
        <f t="array" ref="E10629">IFS(D10629&lt;=$G$3,'calculated data '!$A$3,D10629&lt;=$G$4,'calculated data '!$A$4,D10629&lt;=$G$6,'calculated data '!$A$5,D10629&gt;=$G$6,'calculated data '!$A$6)</f>
        <v>High Demand Tier</v>
      </c>
      <c r="F10629" s="10">
        <f t="shared" si="1"/>
        <v>1.272173629</v>
      </c>
    </row>
    <row r="10630" ht="14.25" customHeight="1">
      <c r="A10630" s="2" t="s">
        <v>483</v>
      </c>
      <c r="B10630" s="2" t="s">
        <v>484</v>
      </c>
      <c r="C10630" s="2">
        <v>2017.0</v>
      </c>
      <c r="D10630" s="9">
        <v>73116.7</v>
      </c>
      <c r="E10630" s="10" t="str">
        <f t="array" ref="E10630">IFS(D10630&lt;=$G$3,'calculated data '!$A$3,D10630&lt;=$G$4,'calculated data '!$A$4,D10630&lt;=$G$6,'calculated data '!$A$5,D10630&gt;=$G$6,'calculated data '!$A$6)</f>
        <v>High Demand Tier</v>
      </c>
      <c r="F10630" s="10">
        <f t="shared" si="1"/>
        <v>1.272209363</v>
      </c>
    </row>
    <row r="10631" ht="14.25" customHeight="1">
      <c r="A10631" s="2" t="s">
        <v>491</v>
      </c>
      <c r="B10631" s="2" t="s">
        <v>492</v>
      </c>
      <c r="C10631" s="2">
        <v>1973.0</v>
      </c>
      <c r="D10631" s="9">
        <v>73301.26</v>
      </c>
      <c r="E10631" s="10" t="str">
        <f t="array" ref="E10631">IFS(D10631&lt;=$G$3,'calculated data '!$A$3,D10631&lt;=$G$4,'calculated data '!$A$4,D10631&lt;=$G$6,'calculated data '!$A$5,D10631&gt;=$G$6,'calculated data '!$A$6)</f>
        <v>High Demand Tier</v>
      </c>
      <c r="F10631" s="10">
        <f t="shared" si="1"/>
        <v>1.277094621</v>
      </c>
    </row>
    <row r="10632" ht="14.25" customHeight="1">
      <c r="A10632" s="2" t="s">
        <v>477</v>
      </c>
      <c r="B10632" s="2" t="s">
        <v>478</v>
      </c>
      <c r="C10632" s="2">
        <v>2008.0</v>
      </c>
      <c r="D10632" s="9">
        <v>73365.2</v>
      </c>
      <c r="E10632" s="10" t="str">
        <f t="array" ref="E10632">IFS(D10632&lt;=$G$3,'calculated data '!$A$3,D10632&lt;=$G$4,'calculated data '!$A$4,D10632&lt;=$G$6,'calculated data '!$A$5,D10632&gt;=$G$6,'calculated data '!$A$6)</f>
        <v>High Demand Tier</v>
      </c>
      <c r="F10632" s="10">
        <f t="shared" si="1"/>
        <v>1.278787096</v>
      </c>
    </row>
    <row r="10633" ht="14.25" customHeight="1">
      <c r="A10633" s="2" t="s">
        <v>397</v>
      </c>
      <c r="B10633" s="2" t="s">
        <v>398</v>
      </c>
      <c r="C10633" s="2">
        <v>2003.0</v>
      </c>
      <c r="D10633" s="9">
        <v>73427.625</v>
      </c>
      <c r="E10633" s="10" t="str">
        <f t="array" ref="E10633">IFS(D10633&lt;=$G$3,'calculated data '!$A$3,D10633&lt;=$G$4,'calculated data '!$A$4,D10633&lt;=$G$6,'calculated data '!$A$5,D10633&gt;=$G$6,'calculated data '!$A$6)</f>
        <v>High Demand Tier</v>
      </c>
      <c r="F10633" s="10">
        <f t="shared" si="1"/>
        <v>1.280439471</v>
      </c>
    </row>
    <row r="10634" ht="14.25" customHeight="1">
      <c r="A10634" s="2" t="s">
        <v>493</v>
      </c>
      <c r="B10634" s="2" t="s">
        <v>494</v>
      </c>
      <c r="C10634" s="2">
        <v>1971.0</v>
      </c>
      <c r="D10634" s="9">
        <v>73531.98</v>
      </c>
      <c r="E10634" s="10" t="str">
        <f t="array" ref="E10634">IFS(D10634&lt;=$G$3,'calculated data '!$A$3,D10634&lt;=$G$4,'calculated data '!$A$4,D10634&lt;=$G$6,'calculated data '!$A$5,D10634&gt;=$G$6,'calculated data '!$A$6)</f>
        <v>High Demand Tier</v>
      </c>
      <c r="F10634" s="10">
        <f t="shared" si="1"/>
        <v>1.283201722</v>
      </c>
    </row>
    <row r="10635" ht="14.25" customHeight="1">
      <c r="A10635" s="2" t="s">
        <v>471</v>
      </c>
      <c r="B10635" s="2" t="s">
        <v>472</v>
      </c>
      <c r="C10635" s="2">
        <v>1991.0</v>
      </c>
      <c r="D10635" s="9">
        <v>73648.234</v>
      </c>
      <c r="E10635" s="10" t="str">
        <f t="array" ref="E10635">IFS(D10635&lt;=$G$3,'calculated data '!$A$3,D10635&lt;=$G$4,'calculated data '!$A$4,D10635&lt;=$G$6,'calculated data '!$A$5,D10635&gt;=$G$6,'calculated data '!$A$6)</f>
        <v>High Demand Tier</v>
      </c>
      <c r="F10635" s="10">
        <f t="shared" si="1"/>
        <v>1.286278936</v>
      </c>
    </row>
    <row r="10636" ht="14.25" customHeight="1">
      <c r="A10636" s="2" t="s">
        <v>495</v>
      </c>
      <c r="B10636" s="2" t="s">
        <v>496</v>
      </c>
      <c r="C10636" s="2">
        <v>2023.0</v>
      </c>
      <c r="D10636" s="9">
        <v>73724.625</v>
      </c>
      <c r="E10636" s="10" t="str">
        <f t="array" ref="E10636">IFS(D10636&lt;=$G$3,'calculated data '!$A$3,D10636&lt;=$G$4,'calculated data '!$A$4,D10636&lt;=$G$6,'calculated data '!$A$5,D10636&gt;=$G$6,'calculated data '!$A$6)</f>
        <v>High Demand Tier</v>
      </c>
      <c r="F10636" s="10">
        <f t="shared" si="1"/>
        <v>1.288300987</v>
      </c>
    </row>
    <row r="10637" ht="14.25" customHeight="1">
      <c r="A10637" s="2" t="s">
        <v>491</v>
      </c>
      <c r="B10637" s="2" t="s">
        <v>492</v>
      </c>
      <c r="C10637" s="2">
        <v>1970.0</v>
      </c>
      <c r="D10637" s="9">
        <v>73784.51</v>
      </c>
      <c r="E10637" s="10" t="str">
        <f t="array" ref="E10637">IFS(D10637&lt;=$G$3,'calculated data '!$A$3,D10637&lt;=$G$4,'calculated data '!$A$4,D10637&lt;=$G$6,'calculated data '!$A$5,D10637&gt;=$G$6,'calculated data '!$A$6)</f>
        <v>High Demand Tier</v>
      </c>
      <c r="F10637" s="10">
        <f t="shared" si="1"/>
        <v>1.289886128</v>
      </c>
    </row>
    <row r="10638" ht="14.25" customHeight="1">
      <c r="A10638" s="2" t="s">
        <v>491</v>
      </c>
      <c r="B10638" s="2" t="s">
        <v>492</v>
      </c>
      <c r="C10638" s="2">
        <v>1974.0</v>
      </c>
      <c r="D10638" s="9">
        <v>73862.266</v>
      </c>
      <c r="E10638" s="10" t="str">
        <f t="array" ref="E10638">IFS(D10638&lt;=$G$3,'calculated data '!$A$3,D10638&lt;=$G$4,'calculated data '!$A$4,D10638&lt;=$G$6,'calculated data '!$A$5,D10638&gt;=$G$6,'calculated data '!$A$6)</f>
        <v>High Demand Tier</v>
      </c>
      <c r="F10638" s="10">
        <f t="shared" si="1"/>
        <v>1.29194431</v>
      </c>
    </row>
    <row r="10639" ht="14.25" customHeight="1">
      <c r="A10639" s="2" t="s">
        <v>477</v>
      </c>
      <c r="B10639" s="2" t="s">
        <v>478</v>
      </c>
      <c r="C10639" s="2">
        <v>2003.0</v>
      </c>
      <c r="D10639" s="9">
        <v>74006.555</v>
      </c>
      <c r="E10639" s="10" t="str">
        <f t="array" ref="E10639">IFS(D10639&lt;=$G$3,'calculated data '!$A$3,D10639&lt;=$G$4,'calculated data '!$A$4,D10639&lt;=$G$6,'calculated data '!$A$5,D10639&gt;=$G$6,'calculated data '!$A$6)</f>
        <v>High Demand Tier</v>
      </c>
      <c r="F10639" s="10">
        <f t="shared" si="1"/>
        <v>1.295763604</v>
      </c>
    </row>
    <row r="10640" ht="14.25" customHeight="1">
      <c r="A10640" s="2" t="s">
        <v>495</v>
      </c>
      <c r="B10640" s="2" t="s">
        <v>496</v>
      </c>
      <c r="C10640" s="2">
        <v>2024.0</v>
      </c>
      <c r="D10640" s="9">
        <v>74018.35</v>
      </c>
      <c r="E10640" s="10" t="str">
        <f t="array" ref="E10640">IFS(D10640&lt;=$G$3,'calculated data '!$A$3,D10640&lt;=$G$4,'calculated data '!$A$4,D10640&lt;=$G$6,'calculated data '!$A$5,D10640&gt;=$G$6,'calculated data '!$A$6)</f>
        <v>High Demand Tier</v>
      </c>
      <c r="F10640" s="10">
        <f t="shared" si="1"/>
        <v>1.296075814</v>
      </c>
    </row>
    <row r="10641" ht="14.25" customHeight="1">
      <c r="A10641" s="2" t="s">
        <v>477</v>
      </c>
      <c r="B10641" s="2" t="s">
        <v>478</v>
      </c>
      <c r="C10641" s="2">
        <v>2004.0</v>
      </c>
      <c r="D10641" s="9">
        <v>74031.96</v>
      </c>
      <c r="E10641" s="10" t="str">
        <f t="array" ref="E10641">IFS(D10641&lt;=$G$3,'calculated data '!$A$3,D10641&lt;=$G$4,'calculated data '!$A$4,D10641&lt;=$G$6,'calculated data '!$A$5,D10641&gt;=$G$6,'calculated data '!$A$6)</f>
        <v>High Demand Tier</v>
      </c>
      <c r="F10641" s="10">
        <f t="shared" si="1"/>
        <v>1.296436068</v>
      </c>
    </row>
    <row r="10642" ht="14.25" customHeight="1">
      <c r="A10642" s="2" t="s">
        <v>283</v>
      </c>
      <c r="B10642" s="2" t="s">
        <v>284</v>
      </c>
      <c r="C10642" s="2">
        <v>1979.0</v>
      </c>
      <c r="D10642" s="9">
        <v>74078.07</v>
      </c>
      <c r="E10642" s="10" t="str">
        <f t="array" ref="E10642">IFS(D10642&lt;=$G$3,'calculated data '!$A$3,D10642&lt;=$G$4,'calculated data '!$A$4,D10642&lt;=$G$6,'calculated data '!$A$5,D10642&gt;=$G$6,'calculated data '!$A$6)</f>
        <v>High Demand Tier</v>
      </c>
      <c r="F10642" s="10">
        <f t="shared" si="1"/>
        <v>1.297656588</v>
      </c>
    </row>
    <row r="10643" ht="14.25" customHeight="1">
      <c r="A10643" s="2" t="s">
        <v>495</v>
      </c>
      <c r="B10643" s="2" t="s">
        <v>496</v>
      </c>
      <c r="C10643" s="2">
        <v>2021.0</v>
      </c>
      <c r="D10643" s="9">
        <v>74114.03</v>
      </c>
      <c r="E10643" s="10" t="str">
        <f t="array" ref="E10643">IFS(D10643&lt;=$G$3,'calculated data '!$A$3,D10643&lt;=$G$4,'calculated data '!$A$4,D10643&lt;=$G$6,'calculated data '!$A$5,D10643&gt;=$G$6,'calculated data '!$A$6)</f>
        <v>High Demand Tier</v>
      </c>
      <c r="F10643" s="10">
        <f t="shared" si="1"/>
        <v>1.29860844</v>
      </c>
    </row>
    <row r="10644" ht="14.25" customHeight="1">
      <c r="A10644" s="2" t="s">
        <v>405</v>
      </c>
      <c r="B10644" s="2" t="s">
        <v>406</v>
      </c>
      <c r="C10644" s="2">
        <v>1981.0</v>
      </c>
      <c r="D10644" s="9">
        <v>74199.516</v>
      </c>
      <c r="E10644" s="10" t="str">
        <f t="array" ref="E10644">IFS(D10644&lt;=$G$3,'calculated data '!$A$3,D10644&lt;=$G$4,'calculated data '!$A$4,D10644&lt;=$G$6,'calculated data '!$A$5,D10644&gt;=$G$6,'calculated data '!$A$6)</f>
        <v>High Demand Tier</v>
      </c>
      <c r="F10644" s="10">
        <f t="shared" si="1"/>
        <v>1.300871233</v>
      </c>
    </row>
    <row r="10645" ht="14.25" customHeight="1">
      <c r="A10645" s="2" t="s">
        <v>71</v>
      </c>
      <c r="B10645" s="2" t="s">
        <v>72</v>
      </c>
      <c r="C10645" s="2">
        <v>2009.0</v>
      </c>
      <c r="D10645" s="9">
        <v>74281.89</v>
      </c>
      <c r="E10645" s="10" t="str">
        <f t="array" ref="E10645">IFS(D10645&lt;=$G$3,'calculated data '!$A$3,D10645&lt;=$G$4,'calculated data '!$A$4,D10645&lt;=$G$6,'calculated data '!$A$5,D10645&gt;=$G$6,'calculated data '!$A$6)</f>
        <v>High Demand Tier</v>
      </c>
      <c r="F10645" s="10">
        <f t="shared" si="1"/>
        <v>1.303051652</v>
      </c>
    </row>
    <row r="10646" ht="14.25" customHeight="1">
      <c r="A10646" s="2" t="s">
        <v>463</v>
      </c>
      <c r="B10646" s="2" t="s">
        <v>464</v>
      </c>
      <c r="C10646" s="2">
        <v>1974.0</v>
      </c>
      <c r="D10646" s="9">
        <v>74542.09</v>
      </c>
      <c r="E10646" s="10" t="str">
        <f t="array" ref="E10646">IFS(D10646&lt;=$G$3,'calculated data '!$A$3,D10646&lt;=$G$4,'calculated data '!$A$4,D10646&lt;=$G$6,'calculated data '!$A$5,D10646&gt;=$G$6,'calculated data '!$A$6)</f>
        <v>High Demand Tier</v>
      </c>
      <c r="F10646" s="10">
        <f t="shared" si="1"/>
        <v>1.309939082</v>
      </c>
    </row>
    <row r="10647" ht="14.25" customHeight="1">
      <c r="A10647" s="2" t="s">
        <v>483</v>
      </c>
      <c r="B10647" s="2" t="s">
        <v>484</v>
      </c>
      <c r="C10647" s="2">
        <v>2015.0</v>
      </c>
      <c r="D10647" s="9">
        <v>74618.11</v>
      </c>
      <c r="E10647" s="10" t="str">
        <f t="array" ref="E10647">IFS(D10647&lt;=$G$3,'calculated data '!$A$3,D10647&lt;=$G$4,'calculated data '!$A$4,D10647&lt;=$G$6,'calculated data '!$A$5,D10647&gt;=$G$6,'calculated data '!$A$6)</f>
        <v>High Demand Tier</v>
      </c>
      <c r="F10647" s="10">
        <f t="shared" si="1"/>
        <v>1.311951312</v>
      </c>
    </row>
    <row r="10648" ht="14.25" customHeight="1">
      <c r="A10648" s="2" t="s">
        <v>491</v>
      </c>
      <c r="B10648" s="2" t="s">
        <v>492</v>
      </c>
      <c r="C10648" s="2">
        <v>1968.0</v>
      </c>
      <c r="D10648" s="9">
        <v>74791.336</v>
      </c>
      <c r="E10648" s="10" t="str">
        <f t="array" ref="E10648">IFS(D10648&lt;=$G$3,'calculated data '!$A$3,D10648&lt;=$G$4,'calculated data '!$A$4,D10648&lt;=$G$6,'calculated data '!$A$5,D10648&gt;=$G$6,'calculated data '!$A$6)</f>
        <v>High Demand Tier</v>
      </c>
      <c r="F10648" s="10">
        <f t="shared" si="1"/>
        <v>1.316536561</v>
      </c>
    </row>
    <row r="10649" ht="14.25" customHeight="1">
      <c r="A10649" s="2" t="s">
        <v>483</v>
      </c>
      <c r="B10649" s="2" t="s">
        <v>484</v>
      </c>
      <c r="C10649" s="2">
        <v>2019.0</v>
      </c>
      <c r="D10649" s="9">
        <v>74810.23</v>
      </c>
      <c r="E10649" s="10" t="str">
        <f t="array" ref="E10649">IFS(D10649&lt;=$G$3,'calculated data '!$A$3,D10649&lt;=$G$4,'calculated data '!$A$4,D10649&lt;=$G$6,'calculated data '!$A$5,D10649&gt;=$G$6,'calculated data '!$A$6)</f>
        <v>High Demand Tier</v>
      </c>
      <c r="F10649" s="10">
        <f t="shared" si="1"/>
        <v>1.317036681</v>
      </c>
    </row>
    <row r="10650" ht="14.25" customHeight="1">
      <c r="A10650" s="2" t="s">
        <v>495</v>
      </c>
      <c r="B10650" s="2" t="s">
        <v>496</v>
      </c>
      <c r="C10650" s="2">
        <v>1966.0</v>
      </c>
      <c r="D10650" s="9">
        <v>74931.914</v>
      </c>
      <c r="E10650" s="10" t="str">
        <f t="array" ref="E10650">IFS(D10650&lt;=$G$3,'calculated data '!$A$3,D10650&lt;=$G$4,'calculated data '!$A$4,D10650&lt;=$G$6,'calculated data '!$A$5,D10650&gt;=$G$6,'calculated data '!$A$6)</f>
        <v>High Demand Tier</v>
      </c>
      <c r="F10650" s="10">
        <f t="shared" si="1"/>
        <v>1.320257626</v>
      </c>
    </row>
    <row r="10651" ht="14.25" customHeight="1">
      <c r="A10651" s="2" t="s">
        <v>495</v>
      </c>
      <c r="B10651" s="2" t="s">
        <v>496</v>
      </c>
      <c r="C10651" s="2">
        <v>2022.0</v>
      </c>
      <c r="D10651" s="9">
        <v>75007.14</v>
      </c>
      <c r="E10651" s="10" t="str">
        <f t="array" ref="E10651">IFS(D10651&lt;=$G$3,'calculated data '!$A$3,D10651&lt;=$G$4,'calculated data '!$A$4,D10651&lt;=$G$6,'calculated data '!$A$5,D10651&gt;=$G$6,'calculated data '!$A$6)</f>
        <v>High Demand Tier</v>
      </c>
      <c r="F10651" s="10">
        <f t="shared" si="1"/>
        <v>1.322248839</v>
      </c>
    </row>
    <row r="10652" ht="14.25" customHeight="1">
      <c r="A10652" s="2" t="s">
        <v>483</v>
      </c>
      <c r="B10652" s="2" t="s">
        <v>484</v>
      </c>
      <c r="C10652" s="2">
        <v>2018.0</v>
      </c>
      <c r="D10652" s="9">
        <v>75033.84</v>
      </c>
      <c r="E10652" s="10" t="str">
        <f t="array" ref="E10652">IFS(D10652&lt;=$G$3,'calculated data '!$A$3,D10652&lt;=$G$4,'calculated data '!$A$4,D10652&lt;=$G$6,'calculated data '!$A$5,D10652&gt;=$G$6,'calculated data '!$A$6)</f>
        <v>High Demand Tier</v>
      </c>
      <c r="F10652" s="10">
        <f t="shared" si="1"/>
        <v>1.322955582</v>
      </c>
    </row>
    <row r="10653" ht="14.25" customHeight="1">
      <c r="A10653" s="2" t="s">
        <v>495</v>
      </c>
      <c r="B10653" s="2" t="s">
        <v>496</v>
      </c>
      <c r="C10653" s="2">
        <v>2025.0</v>
      </c>
      <c r="D10653" s="9">
        <v>75051.33</v>
      </c>
      <c r="E10653" s="10" t="str">
        <f t="array" ref="E10653">IFS(D10653&lt;=$G$3,'calculated data '!$A$3,D10653&lt;=$G$4,'calculated data '!$A$4,D10653&lt;=$G$6,'calculated data '!$A$5,D10653&gt;=$G$6,'calculated data '!$A$6)</f>
        <v>High Demand Tier</v>
      </c>
      <c r="F10653" s="10">
        <f t="shared" si="1"/>
        <v>1.323418538</v>
      </c>
    </row>
    <row r="10654" ht="14.25" customHeight="1">
      <c r="A10654" s="2" t="s">
        <v>471</v>
      </c>
      <c r="B10654" s="2" t="s">
        <v>472</v>
      </c>
      <c r="C10654" s="2">
        <v>1988.0</v>
      </c>
      <c r="D10654" s="9">
        <v>75449.164</v>
      </c>
      <c r="E10654" s="10" t="str">
        <f t="array" ref="E10654">IFS(D10654&lt;=$G$3,'calculated data '!$A$3,D10654&lt;=$G$4,'calculated data '!$A$4,D10654&lt;=$G$6,'calculated data '!$A$5,D10654&gt;=$G$6,'calculated data '!$A$6)</f>
        <v>High Demand Tier</v>
      </c>
      <c r="F10654" s="10">
        <f t="shared" si="1"/>
        <v>1.333949105</v>
      </c>
    </row>
    <row r="10655" ht="14.25" customHeight="1">
      <c r="A10655" s="2" t="s">
        <v>343</v>
      </c>
      <c r="B10655" s="2" t="s">
        <v>344</v>
      </c>
      <c r="C10655" s="2">
        <v>2023.0</v>
      </c>
      <c r="D10655" s="9">
        <v>75718.19</v>
      </c>
      <c r="E10655" s="10" t="str">
        <f t="array" ref="E10655">IFS(D10655&lt;=$G$3,'calculated data '!$A$3,D10655&lt;=$G$4,'calculated data '!$A$4,D10655&lt;=$G$6,'calculated data '!$A$5,D10655&gt;=$G$6,'calculated data '!$A$6)</f>
        <v>High Demand Tier</v>
      </c>
      <c r="F10655" s="10">
        <f t="shared" si="1"/>
        <v>1.341070156</v>
      </c>
    </row>
    <row r="10656" ht="14.25" customHeight="1">
      <c r="A10656" s="2" t="s">
        <v>435</v>
      </c>
      <c r="B10656" s="2" t="s">
        <v>436</v>
      </c>
      <c r="C10656" s="2">
        <v>1980.0</v>
      </c>
      <c r="D10656" s="9">
        <v>76013.06</v>
      </c>
      <c r="E10656" s="10" t="str">
        <f t="array" ref="E10656">IFS(D10656&lt;=$G$3,'calculated data '!$A$3,D10656&lt;=$G$4,'calculated data '!$A$4,D10656&lt;=$G$6,'calculated data '!$A$5,D10656&gt;=$G$6,'calculated data '!$A$6)</f>
        <v>High Demand Tier</v>
      </c>
      <c r="F10656" s="10">
        <f t="shared" si="1"/>
        <v>1.348875291</v>
      </c>
    </row>
    <row r="10657" ht="14.25" customHeight="1">
      <c r="A10657" s="2" t="s">
        <v>495</v>
      </c>
      <c r="B10657" s="2" t="s">
        <v>496</v>
      </c>
      <c r="C10657" s="2">
        <v>2017.0</v>
      </c>
      <c r="D10657" s="9">
        <v>76127.68</v>
      </c>
      <c r="E10657" s="10" t="str">
        <f t="array" ref="E10657">IFS(D10657&lt;=$G$3,'calculated data '!$A$3,D10657&lt;=$G$4,'calculated data '!$A$4,D10657&lt;=$G$6,'calculated data '!$A$5,D10657&gt;=$G$6,'calculated data '!$A$6)</f>
        <v>High Demand Tier</v>
      </c>
      <c r="F10657" s="10">
        <f t="shared" si="1"/>
        <v>1.351909254</v>
      </c>
    </row>
    <row r="10658" ht="14.25" customHeight="1">
      <c r="A10658" s="2" t="s">
        <v>405</v>
      </c>
      <c r="B10658" s="2" t="s">
        <v>406</v>
      </c>
      <c r="C10658" s="2">
        <v>1980.0</v>
      </c>
      <c r="D10658" s="9">
        <v>76304.09</v>
      </c>
      <c r="E10658" s="10" t="str">
        <f t="array" ref="E10658">IFS(D10658&lt;=$G$3,'calculated data '!$A$3,D10658&lt;=$G$4,'calculated data '!$A$4,D10658&lt;=$G$6,'calculated data '!$A$5,D10658&gt;=$G$6,'calculated data '!$A$6)</f>
        <v>High Demand Tier</v>
      </c>
      <c r="F10658" s="10">
        <f t="shared" si="1"/>
        <v>1.356578783</v>
      </c>
    </row>
    <row r="10659" ht="14.25" customHeight="1">
      <c r="A10659" s="2" t="s">
        <v>495</v>
      </c>
      <c r="B10659" s="2" t="s">
        <v>496</v>
      </c>
      <c r="C10659" s="2">
        <v>1967.0</v>
      </c>
      <c r="D10659" s="9">
        <v>76410.7</v>
      </c>
      <c r="E10659" s="10" t="str">
        <f t="array" ref="E10659">IFS(D10659&lt;=$G$3,'calculated data '!$A$3,D10659&lt;=$G$4,'calculated data '!$A$4,D10659&lt;=$G$6,'calculated data '!$A$5,D10659&gt;=$G$6,'calculated data '!$A$6)</f>
        <v>High Demand Tier</v>
      </c>
      <c r="F10659" s="10">
        <f t="shared" si="1"/>
        <v>1.359400723</v>
      </c>
    </row>
    <row r="10660" ht="14.25" customHeight="1">
      <c r="A10660" s="2" t="s">
        <v>71</v>
      </c>
      <c r="B10660" s="2" t="s">
        <v>72</v>
      </c>
      <c r="C10660" s="2">
        <v>2008.0</v>
      </c>
      <c r="D10660" s="9">
        <v>76528.73</v>
      </c>
      <c r="E10660" s="10" t="str">
        <f t="array" ref="E10660">IFS(D10660&lt;=$G$3,'calculated data '!$A$3,D10660&lt;=$G$4,'calculated data '!$A$4,D10660&lt;=$G$6,'calculated data '!$A$5,D10660&gt;=$G$6,'calculated data '!$A$6)</f>
        <v>High Demand Tier</v>
      </c>
      <c r="F10660" s="10">
        <f t="shared" si="1"/>
        <v>1.362524948</v>
      </c>
    </row>
    <row r="10661" ht="14.25" customHeight="1">
      <c r="A10661" s="2" t="s">
        <v>491</v>
      </c>
      <c r="B10661" s="2" t="s">
        <v>492</v>
      </c>
      <c r="C10661" s="2">
        <v>1967.0</v>
      </c>
      <c r="D10661" s="9">
        <v>76574.586</v>
      </c>
      <c r="E10661" s="10" t="str">
        <f t="array" ref="E10661">IFS(D10661&lt;=$G$3,'calculated data '!$A$3,D10661&lt;=$G$4,'calculated data '!$A$4,D10661&lt;=$G$6,'calculated data '!$A$5,D10661&gt;=$G$6,'calculated data '!$A$6)</f>
        <v>High Demand Tier</v>
      </c>
      <c r="F10661" s="10">
        <f t="shared" si="1"/>
        <v>1.363738745</v>
      </c>
    </row>
    <row r="10662" ht="14.25" customHeight="1">
      <c r="A10662" s="2" t="s">
        <v>487</v>
      </c>
      <c r="B10662" s="2" t="s">
        <v>488</v>
      </c>
      <c r="C10662" s="2">
        <v>2002.0</v>
      </c>
      <c r="D10662" s="9">
        <v>76759.66</v>
      </c>
      <c r="E10662" s="10" t="str">
        <f t="array" ref="E10662">IFS(D10662&lt;=$G$3,'calculated data '!$A$3,D10662&lt;=$G$4,'calculated data '!$A$4,D10662&lt;=$G$6,'calculated data '!$A$5,D10662&gt;=$G$6,'calculated data '!$A$6)</f>
        <v>High Demand Tier</v>
      </c>
      <c r="F10662" s="10">
        <f t="shared" si="1"/>
        <v>1.368637607</v>
      </c>
    </row>
    <row r="10663" ht="14.25" customHeight="1">
      <c r="A10663" s="2" t="s">
        <v>471</v>
      </c>
      <c r="B10663" s="2" t="s">
        <v>472</v>
      </c>
      <c r="C10663" s="2">
        <v>1986.0</v>
      </c>
      <c r="D10663" s="9">
        <v>76766.94</v>
      </c>
      <c r="E10663" s="10" t="str">
        <f t="array" ref="E10663">IFS(D10663&lt;=$G$3,'calculated data '!$A$3,D10663&lt;=$G$4,'calculated data '!$A$4,D10663&lt;=$G$6,'calculated data '!$A$5,D10663&gt;=$G$6,'calculated data '!$A$6)</f>
        <v>High Demand Tier</v>
      </c>
      <c r="F10663" s="10">
        <f t="shared" si="1"/>
        <v>1.368830307</v>
      </c>
    </row>
    <row r="10664" ht="14.25" customHeight="1">
      <c r="A10664" s="2" t="s">
        <v>495</v>
      </c>
      <c r="B10664" s="2" t="s">
        <v>496</v>
      </c>
      <c r="C10664" s="2">
        <v>2016.0</v>
      </c>
      <c r="D10664" s="9">
        <v>76891.07</v>
      </c>
      <c r="E10664" s="10" t="str">
        <f t="array" ref="E10664">IFS(D10664&lt;=$G$3,'calculated data '!$A$3,D10664&lt;=$G$4,'calculated data '!$A$4,D10664&lt;=$G$6,'calculated data '!$A$5,D10664&gt;=$G$6,'calculated data '!$A$6)</f>
        <v>High Demand Tier</v>
      </c>
      <c r="F10664" s="10">
        <f t="shared" si="1"/>
        <v>1.372115997</v>
      </c>
    </row>
    <row r="10665" ht="14.25" customHeight="1">
      <c r="A10665" s="2" t="s">
        <v>495</v>
      </c>
      <c r="B10665" s="2" t="s">
        <v>496</v>
      </c>
      <c r="C10665" s="2">
        <v>2019.0</v>
      </c>
      <c r="D10665" s="9">
        <v>76923.016</v>
      </c>
      <c r="E10665" s="10" t="str">
        <f t="array" ref="E10665">IFS(D10665&lt;=$G$3,'calculated data '!$A$3,D10665&lt;=$G$4,'calculated data '!$A$4,D10665&lt;=$G$6,'calculated data '!$A$5,D10665&gt;=$G$6,'calculated data '!$A$6)</f>
        <v>High Demand Tier</v>
      </c>
      <c r="F10665" s="10">
        <f t="shared" si="1"/>
        <v>1.3729616</v>
      </c>
    </row>
    <row r="10666" ht="14.25" customHeight="1">
      <c r="A10666" s="2" t="s">
        <v>449</v>
      </c>
      <c r="B10666" s="2" t="s">
        <v>450</v>
      </c>
      <c r="C10666" s="2">
        <v>2018.0</v>
      </c>
      <c r="D10666" s="9">
        <v>77017.23</v>
      </c>
      <c r="E10666" s="10" t="str">
        <f t="array" ref="E10666">IFS(D10666&lt;=$G$3,'calculated data '!$A$3,D10666&lt;=$G$4,'calculated data '!$A$4,D10666&lt;=$G$6,'calculated data '!$A$5,D10666&gt;=$G$6,'calculated data '!$A$6)</f>
        <v>High Demand Tier</v>
      </c>
      <c r="F10666" s="10">
        <f t="shared" si="1"/>
        <v>1.375455421</v>
      </c>
    </row>
    <row r="10667" ht="14.25" customHeight="1">
      <c r="A10667" s="2" t="s">
        <v>435</v>
      </c>
      <c r="B10667" s="2" t="s">
        <v>436</v>
      </c>
      <c r="C10667" s="2">
        <v>1981.0</v>
      </c>
      <c r="D10667" s="9">
        <v>77156.97</v>
      </c>
      <c r="E10667" s="10" t="str">
        <f t="array" ref="E10667">IFS(D10667&lt;=$G$3,'calculated data '!$A$3,D10667&lt;=$G$4,'calculated data '!$A$4,D10667&lt;=$G$6,'calculated data '!$A$5,D10667&gt;=$G$6,'calculated data '!$A$6)</f>
        <v>High Demand Tier</v>
      </c>
      <c r="F10667" s="10">
        <f t="shared" si="1"/>
        <v>1.379154304</v>
      </c>
    </row>
    <row r="10668" ht="14.25" customHeight="1">
      <c r="A10668" s="2" t="s">
        <v>469</v>
      </c>
      <c r="B10668" s="2" t="s">
        <v>470</v>
      </c>
      <c r="C10668" s="2">
        <v>1997.0</v>
      </c>
      <c r="D10668" s="9">
        <v>77170.57</v>
      </c>
      <c r="E10668" s="10" t="str">
        <f t="array" ref="E10668">IFS(D10668&lt;=$G$3,'calculated data '!$A$3,D10668&lt;=$G$4,'calculated data '!$A$4,D10668&lt;=$G$6,'calculated data '!$A$5,D10668&gt;=$G$6,'calculated data '!$A$6)</f>
        <v>High Demand Tier</v>
      </c>
      <c r="F10668" s="10">
        <f t="shared" si="1"/>
        <v>1.379514293</v>
      </c>
    </row>
    <row r="10669" ht="14.25" customHeight="1">
      <c r="A10669" s="2" t="s">
        <v>483</v>
      </c>
      <c r="B10669" s="2" t="s">
        <v>484</v>
      </c>
      <c r="C10669" s="2">
        <v>1998.0</v>
      </c>
      <c r="D10669" s="9">
        <v>77184.44</v>
      </c>
      <c r="E10669" s="10" t="str">
        <f t="array" ref="E10669">IFS(D10669&lt;=$G$3,'calculated data '!$A$3,D10669&lt;=$G$4,'calculated data '!$A$4,D10669&lt;=$G$6,'calculated data '!$A$5,D10669&gt;=$G$6,'calculated data '!$A$6)</f>
        <v>High Demand Tier</v>
      </c>
      <c r="F10669" s="10">
        <f t="shared" si="1"/>
        <v>1.379881428</v>
      </c>
    </row>
    <row r="10670" ht="14.25" customHeight="1">
      <c r="A10670" s="2" t="s">
        <v>71</v>
      </c>
      <c r="B10670" s="2" t="s">
        <v>72</v>
      </c>
      <c r="C10670" s="2">
        <v>2016.0</v>
      </c>
      <c r="D10670" s="9">
        <v>77309.945</v>
      </c>
      <c r="E10670" s="10" t="str">
        <f t="array" ref="E10670">IFS(D10670&lt;=$G$3,'calculated data '!$A$3,D10670&lt;=$G$4,'calculated data '!$A$4,D10670&lt;=$G$6,'calculated data '!$A$5,D10670&gt;=$G$6,'calculated data '!$A$6)</f>
        <v>High Demand Tier</v>
      </c>
      <c r="F10670" s="10">
        <f t="shared" si="1"/>
        <v>1.383203514</v>
      </c>
    </row>
    <row r="10671" ht="14.25" customHeight="1">
      <c r="A10671" s="2" t="s">
        <v>471</v>
      </c>
      <c r="B10671" s="2" t="s">
        <v>472</v>
      </c>
      <c r="C10671" s="2">
        <v>1989.0</v>
      </c>
      <c r="D10671" s="9">
        <v>77332.12</v>
      </c>
      <c r="E10671" s="10" t="str">
        <f t="array" ref="E10671">IFS(D10671&lt;=$G$3,'calculated data '!$A$3,D10671&lt;=$G$4,'calculated data '!$A$4,D10671&lt;=$G$6,'calculated data '!$A$5,D10671&gt;=$G$6,'calculated data '!$A$6)</f>
        <v>High Demand Tier</v>
      </c>
      <c r="F10671" s="10">
        <f t="shared" si="1"/>
        <v>1.383790481</v>
      </c>
    </row>
    <row r="10672" ht="14.25" customHeight="1">
      <c r="A10672" s="2" t="s">
        <v>471</v>
      </c>
      <c r="B10672" s="2" t="s">
        <v>472</v>
      </c>
      <c r="C10672" s="2">
        <v>1987.0</v>
      </c>
      <c r="D10672" s="9">
        <v>77340.914</v>
      </c>
      <c r="E10672" s="10" t="str">
        <f t="array" ref="E10672">IFS(D10672&lt;=$G$3,'calculated data '!$A$3,D10672&lt;=$G$4,'calculated data '!$A$4,D10672&lt;=$G$6,'calculated data '!$A$5,D10672&gt;=$G$6,'calculated data '!$A$6)</f>
        <v>High Demand Tier</v>
      </c>
      <c r="F10672" s="10">
        <f t="shared" si="1"/>
        <v>1.384023256</v>
      </c>
    </row>
    <row r="10673" ht="14.25" customHeight="1">
      <c r="A10673" s="2" t="s">
        <v>493</v>
      </c>
      <c r="B10673" s="2" t="s">
        <v>494</v>
      </c>
      <c r="C10673" s="2">
        <v>1972.0</v>
      </c>
      <c r="D10673" s="9">
        <v>77378.71</v>
      </c>
      <c r="E10673" s="10" t="str">
        <f t="array" ref="E10673">IFS(D10673&lt;=$G$3,'calculated data '!$A$3,D10673&lt;=$G$4,'calculated data '!$A$4,D10673&lt;=$G$6,'calculated data '!$A$5,D10673&gt;=$G$6,'calculated data '!$A$6)</f>
        <v>High Demand Tier</v>
      </c>
      <c r="F10673" s="10">
        <f t="shared" si="1"/>
        <v>1.385023707</v>
      </c>
    </row>
    <row r="10674" ht="14.25" customHeight="1">
      <c r="A10674" s="2" t="s">
        <v>441</v>
      </c>
      <c r="B10674" s="2" t="s">
        <v>442</v>
      </c>
      <c r="C10674" s="2">
        <v>1993.0</v>
      </c>
      <c r="D10674" s="9">
        <v>77404.445</v>
      </c>
      <c r="E10674" s="10" t="str">
        <f t="array" ref="E10674">IFS(D10674&lt;=$G$3,'calculated data '!$A$3,D10674&lt;=$G$4,'calculated data '!$A$4,D10674&lt;=$G$6,'calculated data '!$A$5,D10674&gt;=$G$6,'calculated data '!$A$6)</f>
        <v>High Demand Tier</v>
      </c>
      <c r="F10674" s="10">
        <f t="shared" si="1"/>
        <v>1.385704906</v>
      </c>
    </row>
    <row r="10675" ht="14.25" customHeight="1">
      <c r="A10675" s="2" t="s">
        <v>71</v>
      </c>
      <c r="B10675" s="2" t="s">
        <v>72</v>
      </c>
      <c r="C10675" s="2">
        <v>2017.0</v>
      </c>
      <c r="D10675" s="9">
        <v>77413.75</v>
      </c>
      <c r="E10675" s="10" t="str">
        <f t="array" ref="E10675">IFS(D10675&lt;=$G$3,'calculated data '!$A$3,D10675&lt;=$G$4,'calculated data '!$A$4,D10675&lt;=$G$6,'calculated data '!$A$5,D10675&gt;=$G$6,'calculated data '!$A$6)</f>
        <v>High Demand Tier</v>
      </c>
      <c r="F10675" s="10">
        <f t="shared" si="1"/>
        <v>1.385951207</v>
      </c>
    </row>
    <row r="10676" ht="14.25" customHeight="1">
      <c r="A10676" s="2" t="s">
        <v>469</v>
      </c>
      <c r="B10676" s="2" t="s">
        <v>470</v>
      </c>
      <c r="C10676" s="2">
        <v>1996.0</v>
      </c>
      <c r="D10676" s="9">
        <v>77481.46</v>
      </c>
      <c r="E10676" s="10" t="str">
        <f t="array" ref="E10676">IFS(D10676&lt;=$G$3,'calculated data '!$A$3,D10676&lt;=$G$4,'calculated data '!$A$4,D10676&lt;=$G$6,'calculated data '!$A$5,D10676&gt;=$G$6,'calculated data '!$A$6)</f>
        <v>High Demand Tier</v>
      </c>
      <c r="F10676" s="10">
        <f t="shared" si="1"/>
        <v>1.387743473</v>
      </c>
    </row>
    <row r="10677" ht="14.25" customHeight="1">
      <c r="A10677" s="2" t="s">
        <v>471</v>
      </c>
      <c r="B10677" s="2" t="s">
        <v>472</v>
      </c>
      <c r="C10677" s="2">
        <v>1985.0</v>
      </c>
      <c r="D10677" s="9">
        <v>77659.53</v>
      </c>
      <c r="E10677" s="10" t="str">
        <f t="array" ref="E10677">IFS(D10677&lt;=$G$3,'calculated data '!$A$3,D10677&lt;=$G$4,'calculated data '!$A$4,D10677&lt;=$G$6,'calculated data '!$A$5,D10677&gt;=$G$6,'calculated data '!$A$6)</f>
        <v>High Demand Tier</v>
      </c>
      <c r="F10677" s="10">
        <f t="shared" si="1"/>
        <v>1.392456942</v>
      </c>
    </row>
    <row r="10678" ht="14.25" customHeight="1">
      <c r="A10678" s="2" t="s">
        <v>429</v>
      </c>
      <c r="B10678" s="2" t="s">
        <v>430</v>
      </c>
      <c r="C10678" s="2">
        <v>1989.0</v>
      </c>
      <c r="D10678" s="9">
        <v>77764.73</v>
      </c>
      <c r="E10678" s="10" t="str">
        <f t="array" ref="E10678">IFS(D10678&lt;=$G$3,'calculated data '!$A$3,D10678&lt;=$G$4,'calculated data '!$A$4,D10678&lt;=$G$6,'calculated data '!$A$5,D10678&gt;=$G$6,'calculated data '!$A$6)</f>
        <v>High Demand Tier</v>
      </c>
      <c r="F10678" s="10">
        <f t="shared" si="1"/>
        <v>1.39524156</v>
      </c>
    </row>
    <row r="10679" ht="14.25" customHeight="1">
      <c r="A10679" s="2" t="s">
        <v>487</v>
      </c>
      <c r="B10679" s="2" t="s">
        <v>488</v>
      </c>
      <c r="C10679" s="2">
        <v>2003.0</v>
      </c>
      <c r="D10679" s="9">
        <v>77912.984</v>
      </c>
      <c r="E10679" s="10" t="str">
        <f t="array" ref="E10679">IFS(D10679&lt;=$G$3,'calculated data '!$A$3,D10679&lt;=$G$4,'calculated data '!$A$4,D10679&lt;=$G$6,'calculated data '!$A$5,D10679&gt;=$G$6,'calculated data '!$A$6)</f>
        <v>High Demand Tier</v>
      </c>
      <c r="F10679" s="10">
        <f t="shared" si="1"/>
        <v>1.399165806</v>
      </c>
    </row>
    <row r="10680" ht="14.25" customHeight="1">
      <c r="A10680" s="2" t="s">
        <v>495</v>
      </c>
      <c r="B10680" s="2" t="s">
        <v>496</v>
      </c>
      <c r="C10680" s="2">
        <v>2015.0</v>
      </c>
      <c r="D10680" s="9">
        <v>77959.28</v>
      </c>
      <c r="E10680" s="10" t="str">
        <f t="array" ref="E10680">IFS(D10680&lt;=$G$3,'calculated data '!$A$3,D10680&lt;=$G$4,'calculated data '!$A$4,D10680&lt;=$G$6,'calculated data '!$A$5,D10680&gt;=$G$6,'calculated data '!$A$6)</f>
        <v>High Demand Tier</v>
      </c>
      <c r="F10680" s="10">
        <f t="shared" si="1"/>
        <v>1.40039125</v>
      </c>
    </row>
    <row r="10681" ht="14.25" customHeight="1">
      <c r="A10681" s="2" t="s">
        <v>495</v>
      </c>
      <c r="B10681" s="2" t="s">
        <v>496</v>
      </c>
      <c r="C10681" s="2">
        <v>2012.0</v>
      </c>
      <c r="D10681" s="9">
        <v>78021.15</v>
      </c>
      <c r="E10681" s="10" t="str">
        <f t="array" ref="E10681">IFS(D10681&lt;=$G$3,'calculated data '!$A$3,D10681&lt;=$G$4,'calculated data '!$A$4,D10681&lt;=$G$6,'calculated data '!$A$5,D10681&gt;=$G$6,'calculated data '!$A$6)</f>
        <v>High Demand Tier</v>
      </c>
      <c r="F10681" s="10">
        <f t="shared" si="1"/>
        <v>1.402028933</v>
      </c>
    </row>
    <row r="10682" ht="14.25" customHeight="1">
      <c r="A10682" s="2" t="s">
        <v>491</v>
      </c>
      <c r="B10682" s="2" t="s">
        <v>492</v>
      </c>
      <c r="C10682" s="2">
        <v>1981.0</v>
      </c>
      <c r="D10682" s="9">
        <v>78067.52</v>
      </c>
      <c r="E10682" s="10" t="str">
        <f t="array" ref="E10682">IFS(D10682&lt;=$G$3,'calculated data '!$A$3,D10682&lt;=$G$4,'calculated data '!$A$4,D10682&lt;=$G$6,'calculated data '!$A$5,D10682&gt;=$G$6,'calculated data '!$A$6)</f>
        <v>High Demand Tier</v>
      </c>
      <c r="F10682" s="10">
        <f t="shared" si="1"/>
        <v>1.403256336</v>
      </c>
    </row>
    <row r="10683" ht="14.25" customHeight="1">
      <c r="A10683" s="2" t="s">
        <v>469</v>
      </c>
      <c r="B10683" s="2" t="s">
        <v>470</v>
      </c>
      <c r="C10683" s="2">
        <v>1998.0</v>
      </c>
      <c r="D10683" s="9">
        <v>78069.055</v>
      </c>
      <c r="E10683" s="10" t="str">
        <f t="array" ref="E10683">IFS(D10683&lt;=$G$3,'calculated data '!$A$3,D10683&lt;=$G$4,'calculated data '!$A$4,D10683&lt;=$G$6,'calculated data '!$A$5,D10683&gt;=$G$6,'calculated data '!$A$6)</f>
        <v>High Demand Tier</v>
      </c>
      <c r="F10683" s="10">
        <f t="shared" si="1"/>
        <v>1.403296967</v>
      </c>
    </row>
    <row r="10684" ht="14.25" customHeight="1">
      <c r="A10684" s="2" t="s">
        <v>495</v>
      </c>
      <c r="B10684" s="2" t="s">
        <v>496</v>
      </c>
      <c r="C10684" s="2">
        <v>2018.0</v>
      </c>
      <c r="D10684" s="9">
        <v>78242.54</v>
      </c>
      <c r="E10684" s="10" t="str">
        <f t="array" ref="E10684">IFS(D10684&lt;=$G$3,'calculated data '!$A$3,D10684&lt;=$G$4,'calculated data '!$A$4,D10684&lt;=$G$6,'calculated data '!$A$5,D10684&gt;=$G$6,'calculated data '!$A$6)</f>
        <v>High Demand Tier</v>
      </c>
      <c r="F10684" s="10">
        <f t="shared" si="1"/>
        <v>1.407889072</v>
      </c>
    </row>
    <row r="10685" ht="14.25" customHeight="1">
      <c r="A10685" s="2" t="s">
        <v>491</v>
      </c>
      <c r="B10685" s="2" t="s">
        <v>492</v>
      </c>
      <c r="C10685" s="2">
        <v>1966.0</v>
      </c>
      <c r="D10685" s="9">
        <v>78398.07</v>
      </c>
      <c r="E10685" s="10" t="str">
        <f t="array" ref="E10685">IFS(D10685&lt;=$G$3,'calculated data '!$A$3,D10685&lt;=$G$4,'calculated data '!$A$4,D10685&lt;=$G$6,'calculated data '!$A$5,D10685&gt;=$G$6,'calculated data '!$A$6)</f>
        <v>High Demand Tier</v>
      </c>
      <c r="F10685" s="10">
        <f t="shared" si="1"/>
        <v>1.412005912</v>
      </c>
    </row>
    <row r="10686" ht="14.25" customHeight="1">
      <c r="A10686" s="2" t="s">
        <v>343</v>
      </c>
      <c r="B10686" s="2" t="s">
        <v>344</v>
      </c>
      <c r="C10686" s="2">
        <v>2017.0</v>
      </c>
      <c r="D10686" s="9">
        <v>78640.64</v>
      </c>
      <c r="E10686" s="10" t="str">
        <f t="array" ref="E10686">IFS(D10686&lt;=$G$3,'calculated data '!$A$3,D10686&lt;=$G$4,'calculated data '!$A$4,D10686&lt;=$G$6,'calculated data '!$A$5,D10686&gt;=$G$6,'calculated data '!$A$6)</f>
        <v>High Demand Tier</v>
      </c>
      <c r="F10686" s="10">
        <f t="shared" si="1"/>
        <v>1.418426679</v>
      </c>
    </row>
    <row r="10687" ht="14.25" customHeight="1">
      <c r="A10687" s="2" t="s">
        <v>483</v>
      </c>
      <c r="B10687" s="2" t="s">
        <v>484</v>
      </c>
      <c r="C10687" s="2">
        <v>2014.0</v>
      </c>
      <c r="D10687" s="9">
        <v>78687.9</v>
      </c>
      <c r="E10687" s="10" t="str">
        <f t="array" ref="E10687">IFS(D10687&lt;=$G$3,'calculated data '!$A$3,D10687&lt;=$G$4,'calculated data '!$A$4,D10687&lt;=$G$6,'calculated data '!$A$5,D10687&gt;=$G$6,'calculated data '!$A$6)</f>
        <v>High Demand Tier</v>
      </c>
      <c r="F10687" s="10">
        <f t="shared" si="1"/>
        <v>1.41967764</v>
      </c>
    </row>
    <row r="10688" ht="14.25" customHeight="1">
      <c r="A10688" s="2" t="s">
        <v>441</v>
      </c>
      <c r="B10688" s="2" t="s">
        <v>442</v>
      </c>
      <c r="C10688" s="2">
        <v>1994.0</v>
      </c>
      <c r="D10688" s="9">
        <v>78820.1</v>
      </c>
      <c r="E10688" s="10" t="str">
        <f t="array" ref="E10688">IFS(D10688&lt;=$G$3,'calculated data '!$A$3,D10688&lt;=$G$4,'calculated data '!$A$4,D10688&lt;=$G$6,'calculated data '!$A$5,D10688&gt;=$G$6,'calculated data '!$A$6)</f>
        <v>High Demand Tier</v>
      </c>
      <c r="F10688" s="10">
        <f t="shared" si="1"/>
        <v>1.423176941</v>
      </c>
    </row>
    <row r="10689" ht="14.25" customHeight="1">
      <c r="A10689" s="2" t="s">
        <v>495</v>
      </c>
      <c r="B10689" s="2" t="s">
        <v>496</v>
      </c>
      <c r="C10689" s="2">
        <v>1983.0</v>
      </c>
      <c r="D10689" s="9">
        <v>78862.52</v>
      </c>
      <c r="E10689" s="10" t="str">
        <f t="array" ref="E10689">IFS(D10689&lt;=$G$3,'calculated data '!$A$3,D10689&lt;=$G$4,'calculated data '!$A$4,D10689&lt;=$G$6,'calculated data '!$A$5,D10689&gt;=$G$6,'calculated data '!$A$6)</f>
        <v>High Demand Tier</v>
      </c>
      <c r="F10689" s="10">
        <f t="shared" si="1"/>
        <v>1.424299788</v>
      </c>
    </row>
    <row r="10690" ht="14.25" customHeight="1">
      <c r="A10690" s="2" t="s">
        <v>71</v>
      </c>
      <c r="B10690" s="2" t="s">
        <v>72</v>
      </c>
      <c r="C10690" s="2">
        <v>2014.0</v>
      </c>
      <c r="D10690" s="9">
        <v>78943.37</v>
      </c>
      <c r="E10690" s="10" t="str">
        <f t="array" ref="E10690">IFS(D10690&lt;=$G$3,'calculated data '!$A$3,D10690&lt;=$G$4,'calculated data '!$A$4,D10690&lt;=$G$6,'calculated data '!$A$5,D10690&gt;=$G$6,'calculated data '!$A$6)</f>
        <v>High Demand Tier</v>
      </c>
      <c r="F10690" s="10">
        <f t="shared" si="1"/>
        <v>1.426439867</v>
      </c>
    </row>
    <row r="10691" ht="14.25" customHeight="1">
      <c r="A10691" s="2" t="s">
        <v>399</v>
      </c>
      <c r="B10691" s="2" t="s">
        <v>400</v>
      </c>
      <c r="C10691" s="2">
        <v>1998.0</v>
      </c>
      <c r="D10691" s="9">
        <v>79027.62</v>
      </c>
      <c r="E10691" s="10" t="str">
        <f t="array" ref="E10691">IFS(D10691&lt;=$G$3,'calculated data '!$A$3,D10691&lt;=$G$4,'calculated data '!$A$4,D10691&lt;=$G$6,'calculated data '!$A$5,D10691&gt;=$G$6,'calculated data '!$A$6)</f>
        <v>High Demand Tier</v>
      </c>
      <c r="F10691" s="10">
        <f t="shared" si="1"/>
        <v>1.428669944</v>
      </c>
    </row>
    <row r="10692" ht="14.25" customHeight="1">
      <c r="A10692" s="2" t="s">
        <v>343</v>
      </c>
      <c r="B10692" s="2" t="s">
        <v>344</v>
      </c>
      <c r="C10692" s="2">
        <v>2018.0</v>
      </c>
      <c r="D10692" s="9">
        <v>79115.16</v>
      </c>
      <c r="E10692" s="10" t="str">
        <f t="array" ref="E10692">IFS(D10692&lt;=$G$3,'calculated data '!$A$3,D10692&lt;=$G$4,'calculated data '!$A$4,D10692&lt;=$G$6,'calculated data '!$A$5,D10692&gt;=$G$6,'calculated data '!$A$6)</f>
        <v>High Demand Tier</v>
      </c>
      <c r="F10692" s="10">
        <f t="shared" si="1"/>
        <v>1.430987106</v>
      </c>
    </row>
    <row r="10693" ht="14.25" customHeight="1">
      <c r="A10693" s="2" t="s">
        <v>463</v>
      </c>
      <c r="B10693" s="2" t="s">
        <v>464</v>
      </c>
      <c r="C10693" s="2">
        <v>1979.0</v>
      </c>
      <c r="D10693" s="9">
        <v>79188.91</v>
      </c>
      <c r="E10693" s="10" t="str">
        <f t="array" ref="E10693">IFS(D10693&lt;=$G$3,'calculated data '!$A$3,D10693&lt;=$G$4,'calculated data '!$A$4,D10693&lt;=$G$6,'calculated data '!$A$5,D10693&gt;=$G$6,'calculated data '!$A$6)</f>
        <v>High Demand Tier</v>
      </c>
      <c r="F10693" s="10">
        <f t="shared" si="1"/>
        <v>1.43293925</v>
      </c>
    </row>
    <row r="10694" ht="14.25" customHeight="1">
      <c r="A10694" s="2" t="s">
        <v>471</v>
      </c>
      <c r="B10694" s="2" t="s">
        <v>472</v>
      </c>
      <c r="C10694" s="2">
        <v>1990.0</v>
      </c>
      <c r="D10694" s="9">
        <v>79252.22</v>
      </c>
      <c r="E10694" s="10" t="str">
        <f t="array" ref="E10694">IFS(D10694&lt;=$G$3,'calculated data '!$A$3,D10694&lt;=$G$4,'calculated data '!$A$4,D10694&lt;=$G$6,'calculated data '!$A$5,D10694&gt;=$G$6,'calculated data '!$A$6)</f>
        <v>High Demand Tier</v>
      </c>
      <c r="F10694" s="10">
        <f t="shared" si="1"/>
        <v>1.43461505</v>
      </c>
    </row>
    <row r="10695" ht="14.25" customHeight="1">
      <c r="A10695" s="2" t="s">
        <v>343</v>
      </c>
      <c r="B10695" s="2" t="s">
        <v>344</v>
      </c>
      <c r="C10695" s="2">
        <v>2019.0</v>
      </c>
      <c r="D10695" s="9">
        <v>79261.164</v>
      </c>
      <c r="E10695" s="10" t="str">
        <f t="array" ref="E10695">IFS(D10695&lt;=$G$3,'calculated data '!$A$3,D10695&lt;=$G$4,'calculated data '!$A$4,D10695&lt;=$G$6,'calculated data '!$A$5,D10695&gt;=$G$6,'calculated data '!$A$6)</f>
        <v>High Demand Tier</v>
      </c>
      <c r="F10695" s="10">
        <f t="shared" si="1"/>
        <v>1.434851795</v>
      </c>
    </row>
    <row r="10696" ht="14.25" customHeight="1">
      <c r="A10696" s="2" t="s">
        <v>495</v>
      </c>
      <c r="B10696" s="2" t="s">
        <v>496</v>
      </c>
      <c r="C10696" s="2">
        <v>2013.0</v>
      </c>
      <c r="D10696" s="9">
        <v>79363.71</v>
      </c>
      <c r="E10696" s="10" t="str">
        <f t="array" ref="E10696">IFS(D10696&lt;=$G$3,'calculated data '!$A$3,D10696&lt;=$G$4,'calculated data '!$A$4,D10696&lt;=$G$6,'calculated data '!$A$5,D10696&gt;=$G$6,'calculated data '!$A$6)</f>
        <v>High Demand Tier</v>
      </c>
      <c r="F10696" s="10">
        <f t="shared" si="1"/>
        <v>1.437566162</v>
      </c>
    </row>
    <row r="10697" ht="14.25" customHeight="1">
      <c r="A10697" s="2" t="s">
        <v>483</v>
      </c>
      <c r="B10697" s="2" t="s">
        <v>484</v>
      </c>
      <c r="C10697" s="2">
        <v>1983.0</v>
      </c>
      <c r="D10697" s="9">
        <v>79410.48</v>
      </c>
      <c r="E10697" s="10" t="str">
        <f t="array" ref="E10697">IFS(D10697&lt;=$G$3,'calculated data '!$A$3,D10697&lt;=$G$4,'calculated data '!$A$4,D10697&lt;=$G$6,'calculated data '!$A$5,D10697&gt;=$G$6,'calculated data '!$A$6)</f>
        <v>High Demand Tier</v>
      </c>
      <c r="F10697" s="10">
        <f t="shared" si="1"/>
        <v>1.438804152</v>
      </c>
    </row>
    <row r="10698" ht="14.25" customHeight="1">
      <c r="A10698" s="2" t="s">
        <v>495</v>
      </c>
      <c r="B10698" s="2" t="s">
        <v>496</v>
      </c>
      <c r="C10698" s="2">
        <v>2014.0</v>
      </c>
      <c r="D10698" s="9">
        <v>79442.87</v>
      </c>
      <c r="E10698" s="10" t="str">
        <f t="array" ref="E10698">IFS(D10698&lt;=$G$3,'calculated data '!$A$3,D10698&lt;=$G$4,'calculated data '!$A$4,D10698&lt;=$G$6,'calculated data '!$A$5,D10698&gt;=$G$6,'calculated data '!$A$6)</f>
        <v>High Demand Tier</v>
      </c>
      <c r="F10698" s="10">
        <f t="shared" si="1"/>
        <v>1.439661508</v>
      </c>
    </row>
    <row r="10699" ht="14.25" customHeight="1">
      <c r="A10699" s="2" t="s">
        <v>71</v>
      </c>
      <c r="B10699" s="2" t="s">
        <v>72</v>
      </c>
      <c r="C10699" s="2">
        <v>2020.0</v>
      </c>
      <c r="D10699" s="9">
        <v>79887.9</v>
      </c>
      <c r="E10699" s="10" t="str">
        <f t="array" ref="E10699">IFS(D10699&lt;=$G$3,'calculated data '!$A$3,D10699&lt;=$G$4,'calculated data '!$A$4,D10699&lt;=$G$6,'calculated data '!$A$5,D10699&gt;=$G$6,'calculated data '!$A$6)</f>
        <v>High Demand Tier</v>
      </c>
      <c r="F10699" s="10">
        <f t="shared" si="1"/>
        <v>1.451441341</v>
      </c>
    </row>
    <row r="10700" ht="14.25" customHeight="1">
      <c r="A10700" s="2" t="s">
        <v>71</v>
      </c>
      <c r="B10700" s="2" t="s">
        <v>72</v>
      </c>
      <c r="C10700" s="2">
        <v>2012.0</v>
      </c>
      <c r="D10700" s="9">
        <v>79910.39</v>
      </c>
      <c r="E10700" s="10" t="str">
        <f t="array" ref="E10700">IFS(D10700&lt;=$G$3,'calculated data '!$A$3,D10700&lt;=$G$4,'calculated data '!$A$4,D10700&lt;=$G$6,'calculated data '!$A$5,D10700&gt;=$G$6,'calculated data '!$A$6)</f>
        <v>High Demand Tier</v>
      </c>
      <c r="F10700" s="10">
        <f t="shared" si="1"/>
        <v>1.452036646</v>
      </c>
    </row>
    <row r="10701" ht="14.25" customHeight="1">
      <c r="A10701" s="2" t="s">
        <v>483</v>
      </c>
      <c r="B10701" s="2" t="s">
        <v>484</v>
      </c>
      <c r="C10701" s="2">
        <v>1987.0</v>
      </c>
      <c r="D10701" s="9">
        <v>79916.06</v>
      </c>
      <c r="E10701" s="10" t="str">
        <f t="array" ref="E10701">IFS(D10701&lt;=$G$3,'calculated data '!$A$3,D10701&lt;=$G$4,'calculated data '!$A$4,D10701&lt;=$G$6,'calculated data '!$A$5,D10701&gt;=$G$6,'calculated data '!$A$6)</f>
        <v>High Demand Tier</v>
      </c>
      <c r="F10701" s="10">
        <f t="shared" si="1"/>
        <v>1.452186729</v>
      </c>
    </row>
    <row r="10702" ht="14.25" customHeight="1">
      <c r="A10702" s="2" t="s">
        <v>495</v>
      </c>
      <c r="B10702" s="2" t="s">
        <v>496</v>
      </c>
      <c r="C10702" s="2">
        <v>1982.0</v>
      </c>
      <c r="D10702" s="9">
        <v>80104.23</v>
      </c>
      <c r="E10702" s="10" t="str">
        <f t="array" ref="E10702">IFS(D10702&lt;=$G$3,'calculated data '!$A$3,D10702&lt;=$G$4,'calculated data '!$A$4,D10702&lt;=$G$6,'calculated data '!$A$5,D10702&gt;=$G$6,'calculated data '!$A$6)</f>
        <v>High Demand Tier</v>
      </c>
      <c r="F10702" s="10">
        <f t="shared" si="1"/>
        <v>1.457167542</v>
      </c>
    </row>
    <row r="10703" ht="14.25" customHeight="1">
      <c r="A10703" s="2" t="s">
        <v>495</v>
      </c>
      <c r="B10703" s="2" t="s">
        <v>496</v>
      </c>
      <c r="C10703" s="2">
        <v>1968.0</v>
      </c>
      <c r="D10703" s="9">
        <v>80174.56</v>
      </c>
      <c r="E10703" s="10" t="str">
        <f t="array" ref="E10703">IFS(D10703&lt;=$G$3,'calculated data '!$A$3,D10703&lt;=$G$4,'calculated data '!$A$4,D10703&lt;=$G$6,'calculated data '!$A$5,D10703&gt;=$G$6,'calculated data '!$A$6)</f>
        <v>High Demand Tier</v>
      </c>
      <c r="F10703" s="10">
        <f t="shared" si="1"/>
        <v>1.45902916</v>
      </c>
    </row>
    <row r="10704" ht="14.25" customHeight="1">
      <c r="A10704" s="2" t="s">
        <v>491</v>
      </c>
      <c r="B10704" s="2" t="s">
        <v>492</v>
      </c>
      <c r="C10704" s="2">
        <v>1965.0</v>
      </c>
      <c r="D10704" s="9">
        <v>80285.836</v>
      </c>
      <c r="E10704" s="10" t="str">
        <f t="array" ref="E10704">IFS(D10704&lt;=$G$3,'calculated data '!$A$3,D10704&lt;=$G$4,'calculated data '!$A$4,D10704&lt;=$G$6,'calculated data '!$A$5,D10704&gt;=$G$6,'calculated data '!$A$6)</f>
        <v>High Demand Tier</v>
      </c>
      <c r="F10704" s="10">
        <f t="shared" si="1"/>
        <v>1.461974608</v>
      </c>
    </row>
    <row r="10705" ht="14.25" customHeight="1">
      <c r="A10705" s="2" t="s">
        <v>487</v>
      </c>
      <c r="B10705" s="2" t="s">
        <v>488</v>
      </c>
      <c r="C10705" s="2">
        <v>1990.0</v>
      </c>
      <c r="D10705" s="9">
        <v>80499.37</v>
      </c>
      <c r="E10705" s="10" t="str">
        <f t="array" ref="E10705">IFS(D10705&lt;=$G$3,'calculated data '!$A$3,D10705&lt;=$G$4,'calculated data '!$A$4,D10705&lt;=$G$6,'calculated data '!$A$5,D10705&gt;=$G$6,'calculated data '!$A$6)</f>
        <v>High Demand Tier</v>
      </c>
      <c r="F10705" s="10">
        <f t="shared" si="1"/>
        <v>1.4676268</v>
      </c>
    </row>
    <row r="10706" ht="14.25" customHeight="1">
      <c r="A10706" s="2" t="s">
        <v>483</v>
      </c>
      <c r="B10706" s="2" t="s">
        <v>484</v>
      </c>
      <c r="C10706" s="2">
        <v>1999.0</v>
      </c>
      <c r="D10706" s="9">
        <v>80610.15</v>
      </c>
      <c r="E10706" s="10" t="str">
        <f t="array" ref="E10706">IFS(D10706&lt;=$G$3,'calculated data '!$A$3,D10706&lt;=$G$4,'calculated data '!$A$4,D10706&lt;=$G$6,'calculated data '!$A$5,D10706&gt;=$G$6,'calculated data '!$A$6)</f>
        <v>High Demand Tier</v>
      </c>
      <c r="F10706" s="10">
        <f t="shared" si="1"/>
        <v>1.470559119</v>
      </c>
    </row>
    <row r="10707" ht="14.25" customHeight="1">
      <c r="A10707" s="2" t="s">
        <v>71</v>
      </c>
      <c r="B10707" s="2" t="s">
        <v>72</v>
      </c>
      <c r="C10707" s="2">
        <v>2015.0</v>
      </c>
      <c r="D10707" s="9">
        <v>80627.58</v>
      </c>
      <c r="E10707" s="10" t="str">
        <f t="array" ref="E10707">IFS(D10707&lt;=$G$3,'calculated data '!$A$3,D10707&lt;=$G$4,'calculated data '!$A$4,D10707&lt;=$G$6,'calculated data '!$A$5,D10707&gt;=$G$6,'calculated data '!$A$6)</f>
        <v>High Demand Tier</v>
      </c>
      <c r="F10707" s="10">
        <f t="shared" si="1"/>
        <v>1.471020486</v>
      </c>
    </row>
    <row r="10708" ht="14.25" customHeight="1">
      <c r="A10708" s="2" t="s">
        <v>495</v>
      </c>
      <c r="B10708" s="2" t="s">
        <v>496</v>
      </c>
      <c r="C10708" s="2">
        <v>2009.0</v>
      </c>
      <c r="D10708" s="9">
        <v>80790.055</v>
      </c>
      <c r="E10708" s="10" t="str">
        <f t="array" ref="E10708">IFS(D10708&lt;=$G$3,'calculated data '!$A$3,D10708&lt;=$G$4,'calculated data '!$A$4,D10708&lt;=$G$6,'calculated data '!$A$5,D10708&gt;=$G$6,'calculated data '!$A$6)</f>
        <v>High Demand Tier</v>
      </c>
      <c r="F10708" s="10">
        <f t="shared" si="1"/>
        <v>1.475321159</v>
      </c>
    </row>
    <row r="10709" ht="14.25" customHeight="1">
      <c r="A10709" s="2" t="s">
        <v>495</v>
      </c>
      <c r="B10709" s="2" t="s">
        <v>496</v>
      </c>
      <c r="C10709" s="2">
        <v>2011.0</v>
      </c>
      <c r="D10709" s="9">
        <v>80796.16</v>
      </c>
      <c r="E10709" s="10" t="str">
        <f t="array" ref="E10709">IFS(D10709&lt;=$G$3,'calculated data '!$A$3,D10709&lt;=$G$4,'calculated data '!$A$4,D10709&lt;=$G$6,'calculated data '!$A$5,D10709&gt;=$G$6,'calculated data '!$A$6)</f>
        <v>High Demand Tier</v>
      </c>
      <c r="F10709" s="10">
        <f t="shared" si="1"/>
        <v>1.475482757</v>
      </c>
    </row>
    <row r="10710" ht="14.25" customHeight="1">
      <c r="A10710" s="2" t="s">
        <v>399</v>
      </c>
      <c r="B10710" s="2" t="s">
        <v>400</v>
      </c>
      <c r="C10710" s="2">
        <v>2004.0</v>
      </c>
      <c r="D10710" s="9">
        <v>80845.32</v>
      </c>
      <c r="E10710" s="10" t="str">
        <f t="array" ref="E10710">IFS(D10710&lt;=$G$3,'calculated data '!$A$3,D10710&lt;=$G$4,'calculated data '!$A$4,D10710&lt;=$G$6,'calculated data '!$A$5,D10710&gt;=$G$6,'calculated data '!$A$6)</f>
        <v>High Demand Tier</v>
      </c>
      <c r="F10710" s="10">
        <f t="shared" si="1"/>
        <v>1.47678401</v>
      </c>
    </row>
    <row r="10711" ht="14.25" customHeight="1">
      <c r="A10711" s="2" t="s">
        <v>491</v>
      </c>
      <c r="B10711" s="2" t="s">
        <v>492</v>
      </c>
      <c r="C10711" s="2">
        <v>1982.0</v>
      </c>
      <c r="D10711" s="9">
        <v>80863.69</v>
      </c>
      <c r="E10711" s="10" t="str">
        <f t="array" ref="E10711">IFS(D10711&lt;=$G$3,'calculated data '!$A$3,D10711&lt;=$G$4,'calculated data '!$A$4,D10711&lt;=$G$6,'calculated data '!$A$5,D10711&gt;=$G$6,'calculated data '!$A$6)</f>
        <v>High Demand Tier</v>
      </c>
      <c r="F10711" s="10">
        <f t="shared" si="1"/>
        <v>1.477270259</v>
      </c>
    </row>
    <row r="10712" ht="14.25" customHeight="1">
      <c r="A10712" s="2" t="s">
        <v>465</v>
      </c>
      <c r="B10712" s="2" t="s">
        <v>466</v>
      </c>
      <c r="C10712" s="2">
        <v>1982.0</v>
      </c>
      <c r="D10712" s="9">
        <v>80992.28</v>
      </c>
      <c r="E10712" s="10" t="str">
        <f t="array" ref="E10712">IFS(D10712&lt;=$G$3,'calculated data '!$A$3,D10712&lt;=$G$4,'calculated data '!$A$4,D10712&lt;=$G$6,'calculated data '!$A$5,D10712&gt;=$G$6,'calculated data '!$A$6)</f>
        <v>High Demand Tier</v>
      </c>
      <c r="F10712" s="10">
        <f t="shared" si="1"/>
        <v>1.480674004</v>
      </c>
    </row>
    <row r="10713" ht="14.25" customHeight="1">
      <c r="A10713" s="2" t="s">
        <v>483</v>
      </c>
      <c r="B10713" s="2" t="s">
        <v>484</v>
      </c>
      <c r="C10713" s="2">
        <v>1997.0</v>
      </c>
      <c r="D10713" s="9">
        <v>81121.664</v>
      </c>
      <c r="E10713" s="10" t="str">
        <f t="array" ref="E10713">IFS(D10713&lt;=$G$3,'calculated data '!$A$3,D10713&lt;=$G$4,'calculated data '!$A$4,D10713&lt;=$G$6,'calculated data '!$A$5,D10713&gt;=$G$6,'calculated data '!$A$6)</f>
        <v>High Demand Tier</v>
      </c>
      <c r="F10713" s="10">
        <f t="shared" si="1"/>
        <v>1.484098767</v>
      </c>
    </row>
    <row r="10714" ht="14.25" customHeight="1">
      <c r="A10714" s="2" t="s">
        <v>483</v>
      </c>
      <c r="B10714" s="2" t="s">
        <v>484</v>
      </c>
      <c r="C10714" s="2">
        <v>1988.0</v>
      </c>
      <c r="D10714" s="9">
        <v>81297.71</v>
      </c>
      <c r="E10714" s="10" t="str">
        <f t="array" ref="E10714">IFS(D10714&lt;=$G$3,'calculated data '!$A$3,D10714&lt;=$G$4,'calculated data '!$A$4,D10714&lt;=$G$6,'calculated data '!$A$5,D10714&gt;=$G$6,'calculated data '!$A$6)</f>
        <v>High Demand Tier</v>
      </c>
      <c r="F10714" s="10">
        <f t="shared" si="1"/>
        <v>1.48875866</v>
      </c>
    </row>
    <row r="10715" ht="14.25" customHeight="1">
      <c r="A10715" s="2" t="s">
        <v>71</v>
      </c>
      <c r="B10715" s="2" t="s">
        <v>72</v>
      </c>
      <c r="C10715" s="2">
        <v>2019.0</v>
      </c>
      <c r="D10715" s="9">
        <v>81419.91</v>
      </c>
      <c r="E10715" s="10" t="str">
        <f t="array" ref="E10715">IFS(D10715&lt;=$G$3,'calculated data '!$A$3,D10715&lt;=$G$4,'calculated data '!$A$4,D10715&lt;=$G$6,'calculated data '!$A$5,D10715&gt;=$G$6,'calculated data '!$A$6)</f>
        <v>High Demand Tier</v>
      </c>
      <c r="F10715" s="10">
        <f t="shared" si="1"/>
        <v>1.491993264</v>
      </c>
    </row>
    <row r="10716" ht="14.25" customHeight="1">
      <c r="A10716" s="2" t="s">
        <v>495</v>
      </c>
      <c r="B10716" s="2" t="s">
        <v>496</v>
      </c>
      <c r="C10716" s="2">
        <v>1986.0</v>
      </c>
      <c r="D10716" s="9">
        <v>81768.04</v>
      </c>
      <c r="E10716" s="10" t="str">
        <f t="array" ref="E10716">IFS(D10716&lt;=$G$3,'calculated data '!$A$3,D10716&lt;=$G$4,'calculated data '!$A$4,D10716&lt;=$G$6,'calculated data '!$A$5,D10716&gt;=$G$6,'calculated data '!$A$6)</f>
        <v>High Demand Tier</v>
      </c>
      <c r="F10716" s="10">
        <f t="shared" si="1"/>
        <v>1.501208178</v>
      </c>
    </row>
    <row r="10717" ht="14.25" customHeight="1">
      <c r="A10717" s="2" t="s">
        <v>495</v>
      </c>
      <c r="B10717" s="2" t="s">
        <v>496</v>
      </c>
      <c r="C10717" s="2">
        <v>1985.0</v>
      </c>
      <c r="D10717" s="9">
        <v>81782.586</v>
      </c>
      <c r="E10717" s="10" t="str">
        <f t="array" ref="E10717">IFS(D10717&lt;=$G$3,'calculated data '!$A$3,D10717&lt;=$G$4,'calculated data '!$A$4,D10717&lt;=$G$6,'calculated data '!$A$5,D10717&gt;=$G$6,'calculated data '!$A$6)</f>
        <v>High Demand Tier</v>
      </c>
      <c r="F10717" s="10">
        <f t="shared" si="1"/>
        <v>1.501593207</v>
      </c>
    </row>
    <row r="10718" ht="14.25" customHeight="1">
      <c r="A10718" s="2" t="s">
        <v>491</v>
      </c>
      <c r="B10718" s="2" t="s">
        <v>492</v>
      </c>
      <c r="C10718" s="2">
        <v>1979.0</v>
      </c>
      <c r="D10718" s="9">
        <v>81849.14</v>
      </c>
      <c r="E10718" s="10" t="str">
        <f t="array" ref="E10718">IFS(D10718&lt;=$G$3,'calculated data '!$A$3,D10718&lt;=$G$4,'calculated data '!$A$4,D10718&lt;=$G$6,'calculated data '!$A$5,D10718&gt;=$G$6,'calculated data '!$A$6)</f>
        <v>High Demand Tier</v>
      </c>
      <c r="F10718" s="10">
        <f t="shared" si="1"/>
        <v>1.503354875</v>
      </c>
    </row>
    <row r="10719" ht="14.25" customHeight="1">
      <c r="A10719" s="2" t="s">
        <v>493</v>
      </c>
      <c r="B10719" s="2" t="s">
        <v>494</v>
      </c>
      <c r="C10719" s="2">
        <v>1975.0</v>
      </c>
      <c r="D10719" s="9">
        <v>81866.63</v>
      </c>
      <c r="E10719" s="10" t="str">
        <f t="array" ref="E10719">IFS(D10719&lt;=$G$3,'calculated data '!$A$3,D10719&lt;=$G$4,'calculated data '!$A$4,D10719&lt;=$G$6,'calculated data '!$A$5,D10719&gt;=$G$6,'calculated data '!$A$6)</f>
        <v>High Demand Tier</v>
      </c>
      <c r="F10719" s="10">
        <f t="shared" si="1"/>
        <v>1.503817831</v>
      </c>
    </row>
    <row r="10720" ht="14.25" customHeight="1">
      <c r="A10720" s="2" t="s">
        <v>491</v>
      </c>
      <c r="B10720" s="2" t="s">
        <v>492</v>
      </c>
      <c r="C10720" s="2">
        <v>1993.0</v>
      </c>
      <c r="D10720" s="9">
        <v>82094.1</v>
      </c>
      <c r="E10720" s="10" t="str">
        <f t="array" ref="E10720">IFS(D10720&lt;=$G$3,'calculated data '!$A$3,D10720&lt;=$G$4,'calculated data '!$A$4,D10720&lt;=$G$6,'calculated data '!$A$5,D10720&gt;=$G$6,'calculated data '!$A$6)</f>
        <v>High Demand Tier</v>
      </c>
      <c r="F10720" s="10">
        <f t="shared" si="1"/>
        <v>1.509838905</v>
      </c>
    </row>
    <row r="10721" ht="14.25" customHeight="1">
      <c r="A10721" s="2" t="s">
        <v>71</v>
      </c>
      <c r="B10721" s="2" t="s">
        <v>72</v>
      </c>
      <c r="C10721" s="2">
        <v>2018.0</v>
      </c>
      <c r="D10721" s="9">
        <v>82195.9</v>
      </c>
      <c r="E10721" s="10" t="str">
        <f t="array" ref="E10721">IFS(D10721&lt;=$G$3,'calculated data '!$A$3,D10721&lt;=$G$4,'calculated data '!$A$4,D10721&lt;=$G$6,'calculated data '!$A$5,D10721&gt;=$G$6,'calculated data '!$A$6)</f>
        <v>High Demand Tier</v>
      </c>
      <c r="F10721" s="10">
        <f t="shared" si="1"/>
        <v>1.512533526</v>
      </c>
    </row>
    <row r="10722" ht="14.25" customHeight="1">
      <c r="A10722" s="2" t="s">
        <v>493</v>
      </c>
      <c r="B10722" s="2" t="s">
        <v>494</v>
      </c>
      <c r="C10722" s="2">
        <v>1983.0</v>
      </c>
      <c r="D10722" s="9">
        <v>82198.32</v>
      </c>
      <c r="E10722" s="10" t="str">
        <f t="array" ref="E10722">IFS(D10722&lt;=$G$3,'calculated data '!$A$3,D10722&lt;=$G$4,'calculated data '!$A$4,D10722&lt;=$G$6,'calculated data '!$A$5,D10722&gt;=$G$6,'calculated data '!$A$6)</f>
        <v>High Demand Tier</v>
      </c>
      <c r="F10722" s="10">
        <f t="shared" si="1"/>
        <v>1.512597583</v>
      </c>
    </row>
    <row r="10723" ht="14.25" customHeight="1">
      <c r="A10723" s="2" t="s">
        <v>495</v>
      </c>
      <c r="B10723" s="2" t="s">
        <v>496</v>
      </c>
      <c r="C10723" s="2">
        <v>1984.0</v>
      </c>
      <c r="D10723" s="9">
        <v>82367.484</v>
      </c>
      <c r="E10723" s="10" t="str">
        <f t="array" ref="E10723">IFS(D10723&lt;=$G$3,'calculated data '!$A$3,D10723&lt;=$G$4,'calculated data '!$A$4,D10723&lt;=$G$6,'calculated data '!$A$5,D10723&gt;=$G$6,'calculated data '!$A$6)</f>
        <v>High Demand Tier</v>
      </c>
      <c r="F10723" s="10">
        <f t="shared" si="1"/>
        <v>1.517075312</v>
      </c>
    </row>
    <row r="10724" ht="14.25" customHeight="1">
      <c r="A10724" s="2" t="s">
        <v>491</v>
      </c>
      <c r="B10724" s="2" t="s">
        <v>492</v>
      </c>
      <c r="C10724" s="2">
        <v>1999.0</v>
      </c>
      <c r="D10724" s="9">
        <v>82434.34</v>
      </c>
      <c r="E10724" s="10" t="str">
        <f t="array" ref="E10724">IFS(D10724&lt;=$G$3,'calculated data '!$A$3,D10724&lt;=$G$4,'calculated data '!$A$4,D10724&lt;=$G$6,'calculated data '!$A$5,D10724&gt;=$G$6,'calculated data '!$A$6)</f>
        <v>High Demand Tier</v>
      </c>
      <c r="F10724" s="10">
        <f t="shared" si="1"/>
        <v>1.518844974</v>
      </c>
    </row>
    <row r="10725" ht="14.25" customHeight="1">
      <c r="A10725" s="2" t="s">
        <v>491</v>
      </c>
      <c r="B10725" s="2" t="s">
        <v>492</v>
      </c>
      <c r="C10725" s="2">
        <v>1983.0</v>
      </c>
      <c r="D10725" s="9">
        <v>82446.766</v>
      </c>
      <c r="E10725" s="10" t="str">
        <f t="array" ref="E10725">IFS(D10725&lt;=$G$3,'calculated data '!$A$3,D10725&lt;=$G$4,'calculated data '!$A$4,D10725&lt;=$G$6,'calculated data '!$A$5,D10725&gt;=$G$6,'calculated data '!$A$6)</f>
        <v>High Demand Tier</v>
      </c>
      <c r="F10725" s="10">
        <f t="shared" si="1"/>
        <v>1.519173887</v>
      </c>
    </row>
    <row r="10726" ht="14.25" customHeight="1">
      <c r="A10726" s="2" t="s">
        <v>463</v>
      </c>
      <c r="B10726" s="2" t="s">
        <v>464</v>
      </c>
      <c r="C10726" s="2">
        <v>1973.0</v>
      </c>
      <c r="D10726" s="9">
        <v>82506.94</v>
      </c>
      <c r="E10726" s="10" t="str">
        <f t="array" ref="E10726">IFS(D10726&lt;=$G$3,'calculated data '!$A$3,D10726&lt;=$G$4,'calculated data '!$A$4,D10726&lt;=$G$6,'calculated data '!$A$5,D10726&gt;=$G$6,'calculated data '!$A$6)</f>
        <v>High Demand Tier</v>
      </c>
      <c r="F10726" s="10">
        <f t="shared" si="1"/>
        <v>1.520766677</v>
      </c>
    </row>
    <row r="10727" ht="14.25" customHeight="1">
      <c r="A10727" s="2" t="s">
        <v>491</v>
      </c>
      <c r="B10727" s="2" t="s">
        <v>492</v>
      </c>
      <c r="C10727" s="2">
        <v>2000.0</v>
      </c>
      <c r="D10727" s="9">
        <v>82513.39</v>
      </c>
      <c r="E10727" s="10" t="str">
        <f t="array" ref="E10727">IFS(D10727&lt;=$G$3,'calculated data '!$A$3,D10727&lt;=$G$4,'calculated data '!$A$4,D10727&lt;=$G$6,'calculated data '!$A$5,D10727&gt;=$G$6,'calculated data '!$A$6)</f>
        <v>High Demand Tier</v>
      </c>
      <c r="F10727" s="10">
        <f t="shared" si="1"/>
        <v>1.520937407</v>
      </c>
    </row>
    <row r="10728" ht="14.25" customHeight="1">
      <c r="A10728" s="2" t="s">
        <v>483</v>
      </c>
      <c r="B10728" s="2" t="s">
        <v>484</v>
      </c>
      <c r="C10728" s="2">
        <v>1995.0</v>
      </c>
      <c r="D10728" s="9">
        <v>82695.18</v>
      </c>
      <c r="E10728" s="10" t="str">
        <f t="array" ref="E10728">IFS(D10728&lt;=$G$3,'calculated data '!$A$3,D10728&lt;=$G$4,'calculated data '!$A$4,D10728&lt;=$G$6,'calculated data '!$A$5,D10728&gt;=$G$6,'calculated data '!$A$6)</f>
        <v>High Demand Tier</v>
      </c>
      <c r="F10728" s="10">
        <f t="shared" si="1"/>
        <v>1.525749343</v>
      </c>
    </row>
    <row r="10729" ht="14.25" customHeight="1">
      <c r="A10729" s="2" t="s">
        <v>491</v>
      </c>
      <c r="B10729" s="2" t="s">
        <v>492</v>
      </c>
      <c r="C10729" s="2">
        <v>2002.0</v>
      </c>
      <c r="D10729" s="9">
        <v>82708.41</v>
      </c>
      <c r="E10729" s="10" t="str">
        <f t="array" ref="E10729">IFS(D10729&lt;=$G$3,'calculated data '!$A$3,D10729&lt;=$G$4,'calculated data '!$A$4,D10729&lt;=$G$6,'calculated data '!$A$5,D10729&gt;=$G$6,'calculated data '!$A$6)</f>
        <v>High Demand Tier</v>
      </c>
      <c r="F10729" s="10">
        <f t="shared" si="1"/>
        <v>1.526099538</v>
      </c>
    </row>
    <row r="10730" ht="14.25" customHeight="1">
      <c r="A10730" s="2" t="s">
        <v>495</v>
      </c>
      <c r="B10730" s="2" t="s">
        <v>496</v>
      </c>
      <c r="C10730" s="2">
        <v>2010.0</v>
      </c>
      <c r="D10730" s="9">
        <v>82758.3</v>
      </c>
      <c r="E10730" s="10" t="str">
        <f t="array" ref="E10730">IFS(D10730&lt;=$G$3,'calculated data '!$A$3,D10730&lt;=$G$4,'calculated data '!$A$4,D10730&lt;=$G$6,'calculated data '!$A$5,D10730&gt;=$G$6,'calculated data '!$A$6)</f>
        <v>High Demand Tier</v>
      </c>
      <c r="F10730" s="10">
        <f t="shared" si="1"/>
        <v>1.527420114</v>
      </c>
    </row>
    <row r="10731" ht="14.25" customHeight="1">
      <c r="A10731" s="2" t="s">
        <v>491</v>
      </c>
      <c r="B10731" s="2" t="s">
        <v>492</v>
      </c>
      <c r="C10731" s="2">
        <v>1997.0</v>
      </c>
      <c r="D10731" s="9">
        <v>82800.234</v>
      </c>
      <c r="E10731" s="10" t="str">
        <f t="array" ref="E10731">IFS(D10731&lt;=$G$3,'calculated data '!$A$3,D10731&lt;=$G$4,'calculated data '!$A$4,D10731&lt;=$G$6,'calculated data '!$A$5,D10731&gt;=$G$6,'calculated data '!$A$6)</f>
        <v>High Demand Tier</v>
      </c>
      <c r="F10731" s="10">
        <f t="shared" si="1"/>
        <v>1.528530097</v>
      </c>
    </row>
    <row r="10732" ht="14.25" customHeight="1">
      <c r="A10732" s="2" t="s">
        <v>71</v>
      </c>
      <c r="B10732" s="2" t="s">
        <v>72</v>
      </c>
      <c r="C10732" s="2">
        <v>2013.0</v>
      </c>
      <c r="D10732" s="9">
        <v>82844.25</v>
      </c>
      <c r="E10732" s="10" t="str">
        <f t="array" ref="E10732">IFS(D10732&lt;=$G$3,'calculated data '!$A$3,D10732&lt;=$G$4,'calculated data '!$A$4,D10732&lt;=$G$6,'calculated data '!$A$5,D10732&gt;=$G$6,'calculated data '!$A$6)</f>
        <v>High Demand Tier</v>
      </c>
      <c r="F10732" s="10">
        <f t="shared" si="1"/>
        <v>1.529695189</v>
      </c>
    </row>
    <row r="10733" ht="14.25" customHeight="1">
      <c r="A10733" s="2" t="s">
        <v>399</v>
      </c>
      <c r="B10733" s="2" t="s">
        <v>400</v>
      </c>
      <c r="C10733" s="2">
        <v>2002.0</v>
      </c>
      <c r="D10733" s="9">
        <v>82897.836</v>
      </c>
      <c r="E10733" s="10" t="str">
        <f t="array" ref="E10733">IFS(D10733&lt;=$G$3,'calculated data '!$A$3,D10733&lt;=$G$4,'calculated data '!$A$4,D10733&lt;=$G$6,'calculated data '!$A$5,D10733&gt;=$G$6,'calculated data '!$A$6)</f>
        <v>High Demand Tier</v>
      </c>
      <c r="F10733" s="10">
        <f t="shared" si="1"/>
        <v>1.531113597</v>
      </c>
    </row>
    <row r="10734" ht="14.25" customHeight="1">
      <c r="A10734" s="2" t="s">
        <v>493</v>
      </c>
      <c r="B10734" s="2" t="s">
        <v>494</v>
      </c>
      <c r="C10734" s="2">
        <v>2024.0</v>
      </c>
      <c r="D10734" s="9">
        <v>83031.92</v>
      </c>
      <c r="E10734" s="10" t="str">
        <f t="array" ref="E10734">IFS(D10734&lt;=$G$3,'calculated data '!$A$3,D10734&lt;=$G$4,'calculated data '!$A$4,D10734&lt;=$G$6,'calculated data '!$A$5,D10734&gt;=$G$6,'calculated data '!$A$6)</f>
        <v>High Demand Tier</v>
      </c>
      <c r="F10734" s="10">
        <f t="shared" si="1"/>
        <v>1.534662767</v>
      </c>
    </row>
    <row r="10735" ht="14.25" customHeight="1">
      <c r="A10735" s="2" t="s">
        <v>483</v>
      </c>
      <c r="B10735" s="2" t="s">
        <v>484</v>
      </c>
      <c r="C10735" s="2">
        <v>2013.0</v>
      </c>
      <c r="D10735" s="9">
        <v>83188.19</v>
      </c>
      <c r="E10735" s="10" t="str">
        <f t="array" ref="E10735">IFS(D10735&lt;=$G$3,'calculated data '!$A$3,D10735&lt;=$G$4,'calculated data '!$A$4,D10735&lt;=$G$6,'calculated data '!$A$5,D10735&gt;=$G$6,'calculated data '!$A$6)</f>
        <v>High Demand Tier</v>
      </c>
      <c r="F10735" s="10">
        <f t="shared" si="1"/>
        <v>1.538799195</v>
      </c>
    </row>
    <row r="10736" ht="14.25" customHeight="1">
      <c r="A10736" s="2" t="s">
        <v>495</v>
      </c>
      <c r="B10736" s="2" t="s">
        <v>496</v>
      </c>
      <c r="C10736" s="2">
        <v>1969.0</v>
      </c>
      <c r="D10736" s="9">
        <v>83231.336</v>
      </c>
      <c r="E10736" s="10" t="str">
        <f t="array" ref="E10736">IFS(D10736&lt;=$G$3,'calculated data '!$A$3,D10736&lt;=$G$4,'calculated data '!$A$4,D10736&lt;=$G$6,'calculated data '!$A$5,D10736&gt;=$G$6,'calculated data '!$A$6)</f>
        <v>High Demand Tier</v>
      </c>
      <c r="F10736" s="10">
        <f t="shared" si="1"/>
        <v>1.539941259</v>
      </c>
    </row>
    <row r="10737" ht="14.25" customHeight="1">
      <c r="A10737" s="2" t="s">
        <v>389</v>
      </c>
      <c r="B10737" s="2" t="s">
        <v>390</v>
      </c>
      <c r="C10737" s="2">
        <v>1978.0</v>
      </c>
      <c r="D10737" s="9">
        <v>83237.37</v>
      </c>
      <c r="E10737" s="10" t="str">
        <f t="array" ref="E10737">IFS(D10737&lt;=$G$3,'calculated data '!$A$3,D10737&lt;=$G$4,'calculated data '!$A$4,D10737&lt;=$G$6,'calculated data '!$A$5,D10737&gt;=$G$6,'calculated data '!$A$6)</f>
        <v>High Demand Tier</v>
      </c>
      <c r="F10737" s="10">
        <f t="shared" si="1"/>
        <v>1.540100978</v>
      </c>
    </row>
    <row r="10738" ht="14.25" customHeight="1">
      <c r="A10738" s="2" t="s">
        <v>493</v>
      </c>
      <c r="B10738" s="2" t="s">
        <v>494</v>
      </c>
      <c r="C10738" s="2">
        <v>1973.0</v>
      </c>
      <c r="D10738" s="9">
        <v>83268.01</v>
      </c>
      <c r="E10738" s="10" t="str">
        <f t="array" ref="E10738">IFS(D10738&lt;=$G$3,'calculated data '!$A$3,D10738&lt;=$G$4,'calculated data '!$A$4,D10738&lt;=$G$6,'calculated data '!$A$5,D10738&gt;=$G$6,'calculated data '!$A$6)</f>
        <v>High Demand Tier</v>
      </c>
      <c r="F10738" s="10">
        <f t="shared" si="1"/>
        <v>1.540912011</v>
      </c>
    </row>
    <row r="10739" ht="14.25" customHeight="1">
      <c r="A10739" s="2" t="s">
        <v>493</v>
      </c>
      <c r="B10739" s="2" t="s">
        <v>494</v>
      </c>
      <c r="C10739" s="2">
        <v>2025.0</v>
      </c>
      <c r="D10739" s="9">
        <v>83452.28</v>
      </c>
      <c r="E10739" s="10" t="str">
        <f t="array" ref="E10739">IFS(D10739&lt;=$G$3,'calculated data '!$A$3,D10739&lt;=$G$4,'calculated data '!$A$4,D10739&lt;=$G$6,'calculated data '!$A$5,D10739&gt;=$G$6,'calculated data '!$A$6)</f>
        <v>High Demand Tier</v>
      </c>
      <c r="F10739" s="10">
        <f t="shared" si="1"/>
        <v>1.545789592</v>
      </c>
    </row>
    <row r="10740" ht="14.25" customHeight="1">
      <c r="A10740" s="2" t="s">
        <v>491</v>
      </c>
      <c r="B10740" s="2" t="s">
        <v>492</v>
      </c>
      <c r="C10740" s="2">
        <v>2001.0</v>
      </c>
      <c r="D10740" s="9">
        <v>83463.33</v>
      </c>
      <c r="E10740" s="10" t="str">
        <f t="array" ref="E10740">IFS(D10740&lt;=$G$3,'calculated data '!$A$3,D10740&lt;=$G$4,'calculated data '!$A$4,D10740&lt;=$G$6,'calculated data '!$A$5,D10740&gt;=$G$6,'calculated data '!$A$6)</f>
        <v>High Demand Tier</v>
      </c>
      <c r="F10740" s="10">
        <f t="shared" si="1"/>
        <v>1.546082083</v>
      </c>
    </row>
    <row r="10741" ht="14.25" customHeight="1">
      <c r="A10741" s="2" t="s">
        <v>491</v>
      </c>
      <c r="B10741" s="2" t="s">
        <v>492</v>
      </c>
      <c r="C10741" s="2">
        <v>2003.0</v>
      </c>
      <c r="D10741" s="9">
        <v>83526.375</v>
      </c>
      <c r="E10741" s="10" t="str">
        <f t="array" ref="E10741">IFS(D10741&lt;=$G$3,'calculated data '!$A$3,D10741&lt;=$G$4,'calculated data '!$A$4,D10741&lt;=$G$6,'calculated data '!$A$5,D10741&gt;=$G$6,'calculated data '!$A$6)</f>
        <v>High Demand Tier</v>
      </c>
      <c r="F10741" s="10">
        <f t="shared" si="1"/>
        <v>1.547750868</v>
      </c>
    </row>
    <row r="10742" ht="14.25" customHeight="1">
      <c r="A10742" s="2" t="s">
        <v>493</v>
      </c>
      <c r="B10742" s="2" t="s">
        <v>494</v>
      </c>
      <c r="C10742" s="2">
        <v>2020.0</v>
      </c>
      <c r="D10742" s="9">
        <v>83527.52</v>
      </c>
      <c r="E10742" s="10" t="str">
        <f t="array" ref="E10742">IFS(D10742&lt;=$G$3,'calculated data '!$A$3,D10742&lt;=$G$4,'calculated data '!$A$4,D10742&lt;=$G$6,'calculated data '!$A$5,D10742&gt;=$G$6,'calculated data '!$A$6)</f>
        <v>High Demand Tier</v>
      </c>
      <c r="F10742" s="10">
        <f t="shared" si="1"/>
        <v>1.547781176</v>
      </c>
    </row>
    <row r="10743" ht="14.25" customHeight="1">
      <c r="A10743" s="2" t="s">
        <v>493</v>
      </c>
      <c r="B10743" s="2" t="s">
        <v>494</v>
      </c>
      <c r="C10743" s="2">
        <v>2023.0</v>
      </c>
      <c r="D10743" s="9">
        <v>83564.14</v>
      </c>
      <c r="E10743" s="10" t="str">
        <f t="array" ref="E10743">IFS(D10743&lt;=$G$3,'calculated data '!$A$3,D10743&lt;=$G$4,'calculated data '!$A$4,D10743&lt;=$G$6,'calculated data '!$A$5,D10743&gt;=$G$6,'calculated data '!$A$6)</f>
        <v>High Demand Tier</v>
      </c>
      <c r="F10743" s="10">
        <f t="shared" si="1"/>
        <v>1.548750498</v>
      </c>
    </row>
    <row r="10744" ht="14.25" customHeight="1">
      <c r="A10744" s="2" t="s">
        <v>493</v>
      </c>
      <c r="B10744" s="2" t="s">
        <v>494</v>
      </c>
      <c r="C10744" s="2">
        <v>1974.0</v>
      </c>
      <c r="D10744" s="9">
        <v>83857.0</v>
      </c>
      <c r="E10744" s="10" t="str">
        <f t="array" ref="E10744">IFS(D10744&lt;=$G$3,'calculated data '!$A$3,D10744&lt;=$G$4,'calculated data '!$A$4,D10744&lt;=$G$6,'calculated data '!$A$5,D10744&gt;=$G$6,'calculated data '!$A$6)</f>
        <v>Outliers / Premium Tier</v>
      </c>
      <c r="F10744" s="10">
        <f t="shared" si="1"/>
        <v>1.556502429</v>
      </c>
    </row>
    <row r="10745" ht="14.25" customHeight="1">
      <c r="A10745" s="2" t="s">
        <v>493</v>
      </c>
      <c r="B10745" s="2" t="s">
        <v>494</v>
      </c>
      <c r="C10745" s="2">
        <v>2021.0</v>
      </c>
      <c r="D10745" s="9">
        <v>83905.41</v>
      </c>
      <c r="E10745" s="10" t="str">
        <f t="array" ref="E10745">IFS(D10745&lt;=$G$3,'calculated data '!$A$3,D10745&lt;=$G$4,'calculated data '!$A$4,D10745&lt;=$G$6,'calculated data '!$A$5,D10745&gt;=$G$6,'calculated data '!$A$6)</f>
        <v>Outliers / Premium Tier</v>
      </c>
      <c r="F10745" s="10">
        <f t="shared" si="1"/>
        <v>1.55778383</v>
      </c>
    </row>
    <row r="10746" ht="14.25" customHeight="1">
      <c r="A10746" s="2" t="s">
        <v>491</v>
      </c>
      <c r="B10746" s="2" t="s">
        <v>492</v>
      </c>
      <c r="C10746" s="2">
        <v>1998.0</v>
      </c>
      <c r="D10746" s="9">
        <v>83940.57</v>
      </c>
      <c r="E10746" s="10" t="str">
        <f t="array" ref="E10746">IFS(D10746&lt;=$G$3,'calculated data '!$A$3,D10746&lt;=$G$4,'calculated data '!$A$4,D10746&lt;=$G$6,'calculated data '!$A$5,D10746&gt;=$G$6,'calculated data '!$A$6)</f>
        <v>Outliers / Premium Tier</v>
      </c>
      <c r="F10746" s="10">
        <f t="shared" si="1"/>
        <v>1.558714506</v>
      </c>
    </row>
    <row r="10747" ht="14.25" customHeight="1">
      <c r="A10747" s="2" t="s">
        <v>491</v>
      </c>
      <c r="B10747" s="2" t="s">
        <v>492</v>
      </c>
      <c r="C10747" s="2">
        <v>1992.0</v>
      </c>
      <c r="D10747" s="9">
        <v>84006.414</v>
      </c>
      <c r="E10747" s="10" t="str">
        <f t="array" ref="E10747">IFS(D10747&lt;=$G$3,'calculated data '!$A$3,D10747&lt;=$G$4,'calculated data '!$A$4,D10747&lt;=$G$6,'calculated data '!$A$5,D10747&gt;=$G$6,'calculated data '!$A$6)</f>
        <v>Outliers / Premium Tier</v>
      </c>
      <c r="F10747" s="10">
        <f t="shared" si="1"/>
        <v>1.560457381</v>
      </c>
    </row>
    <row r="10748" ht="14.25" customHeight="1">
      <c r="A10748" s="2" t="s">
        <v>483</v>
      </c>
      <c r="B10748" s="2" t="s">
        <v>484</v>
      </c>
      <c r="C10748" s="2">
        <v>1996.0</v>
      </c>
      <c r="D10748" s="9">
        <v>84052.99</v>
      </c>
      <c r="E10748" s="10" t="str">
        <f t="array" ref="E10748">IFS(D10748&lt;=$G$3,'calculated data '!$A$3,D10748&lt;=$G$4,'calculated data '!$A$4,D10748&lt;=$G$6,'calculated data '!$A$5,D10748&gt;=$G$6,'calculated data '!$A$6)</f>
        <v>Outliers / Premium Tier</v>
      </c>
      <c r="F10748" s="10">
        <f t="shared" si="1"/>
        <v>1.561690236</v>
      </c>
    </row>
    <row r="10749" ht="14.25" customHeight="1">
      <c r="A10749" s="2" t="s">
        <v>495</v>
      </c>
      <c r="B10749" s="2" t="s">
        <v>496</v>
      </c>
      <c r="C10749" s="2">
        <v>1987.0</v>
      </c>
      <c r="D10749" s="9">
        <v>84188.555</v>
      </c>
      <c r="E10749" s="10" t="str">
        <f t="array" ref="E10749">IFS(D10749&lt;=$G$3,'calculated data '!$A$3,D10749&lt;=$G$4,'calculated data '!$A$4,D10749&lt;=$G$6,'calculated data '!$A$5,D10749&gt;=$G$6,'calculated data '!$A$6)</f>
        <v>Outliers / Premium Tier</v>
      </c>
      <c r="F10749" s="10">
        <f t="shared" si="1"/>
        <v>1.565278608</v>
      </c>
    </row>
    <row r="10750" ht="14.25" customHeight="1">
      <c r="A10750" s="2" t="s">
        <v>493</v>
      </c>
      <c r="B10750" s="2" t="s">
        <v>494</v>
      </c>
      <c r="C10750" s="2">
        <v>1982.0</v>
      </c>
      <c r="D10750" s="9">
        <v>84214.664</v>
      </c>
      <c r="E10750" s="10" t="str">
        <f t="array" ref="E10750">IFS(D10750&lt;=$G$3,'calculated data '!$A$3,D10750&lt;=$G$4,'calculated data '!$A$4,D10750&lt;=$G$6,'calculated data '!$A$5,D10750&gt;=$G$6,'calculated data '!$A$6)</f>
        <v>Outliers / Premium Tier</v>
      </c>
      <c r="F10750" s="10">
        <f t="shared" si="1"/>
        <v>1.565969706</v>
      </c>
    </row>
    <row r="10751" ht="14.25" customHeight="1">
      <c r="A10751" s="2" t="s">
        <v>457</v>
      </c>
      <c r="B10751" s="2" t="s">
        <v>458</v>
      </c>
      <c r="C10751" s="2">
        <v>1998.0</v>
      </c>
      <c r="D10751" s="9">
        <v>84237.734</v>
      </c>
      <c r="E10751" s="10" t="str">
        <f t="array" ref="E10751">IFS(D10751&lt;=$G$3,'calculated data '!$A$3,D10751&lt;=$G$4,'calculated data '!$A$4,D10751&lt;=$G$6,'calculated data '!$A$5,D10751&gt;=$G$6,'calculated data '!$A$6)</f>
        <v>Outliers / Premium Tier</v>
      </c>
      <c r="F10751" s="10">
        <f t="shared" si="1"/>
        <v>1.566580364</v>
      </c>
    </row>
    <row r="10752" ht="14.25" customHeight="1">
      <c r="A10752" s="2" t="s">
        <v>71</v>
      </c>
      <c r="B10752" s="2" t="s">
        <v>72</v>
      </c>
      <c r="C10752" s="2">
        <v>2011.0</v>
      </c>
      <c r="D10752" s="9">
        <v>84460.266</v>
      </c>
      <c r="E10752" s="10" t="str">
        <f t="array" ref="E10752">IFS(D10752&lt;=$G$3,'calculated data '!$A$3,D10752&lt;=$G$4,'calculated data '!$A$4,D10752&lt;=$G$6,'calculated data '!$A$5,D10752&gt;=$G$6,'calculated data '!$A$6)</f>
        <v>Outliers / Premium Tier</v>
      </c>
      <c r="F10752" s="10">
        <f t="shared" si="1"/>
        <v>1.57247073</v>
      </c>
    </row>
    <row r="10753" ht="14.25" customHeight="1">
      <c r="A10753" s="2" t="s">
        <v>491</v>
      </c>
      <c r="B10753" s="2" t="s">
        <v>492</v>
      </c>
      <c r="C10753" s="2">
        <v>1996.0</v>
      </c>
      <c r="D10753" s="9">
        <v>84487.94</v>
      </c>
      <c r="E10753" s="10" t="str">
        <f t="array" ref="E10753">IFS(D10753&lt;=$G$3,'calculated data '!$A$3,D10753&lt;=$G$4,'calculated data '!$A$4,D10753&lt;=$G$6,'calculated data '!$A$5,D10753&gt;=$G$6,'calculated data '!$A$6)</f>
        <v>Outliers / Premium Tier</v>
      </c>
      <c r="F10753" s="10">
        <f t="shared" si="1"/>
        <v>1.573203254</v>
      </c>
    </row>
    <row r="10754" ht="14.25" customHeight="1">
      <c r="A10754" s="2" t="s">
        <v>463</v>
      </c>
      <c r="B10754" s="2" t="s">
        <v>464</v>
      </c>
      <c r="C10754" s="2">
        <v>1971.0</v>
      </c>
      <c r="D10754" s="9">
        <v>84566.61</v>
      </c>
      <c r="E10754" s="10" t="str">
        <f t="array" ref="E10754">IFS(D10754&lt;=$G$3,'calculated data '!$A$3,D10754&lt;=$G$4,'calculated data '!$A$4,D10754&lt;=$G$6,'calculated data '!$A$5,D10754&gt;=$G$6,'calculated data '!$A$6)</f>
        <v>Outliers / Premium Tier</v>
      </c>
      <c r="F10754" s="10">
        <f t="shared" si="1"/>
        <v>1.575285629</v>
      </c>
    </row>
    <row r="10755" ht="14.25" customHeight="1">
      <c r="A10755" s="2" t="s">
        <v>491</v>
      </c>
      <c r="B10755" s="2" t="s">
        <v>492</v>
      </c>
      <c r="C10755" s="2">
        <v>1989.0</v>
      </c>
      <c r="D10755" s="9">
        <v>84568.69</v>
      </c>
      <c r="E10755" s="10" t="str">
        <f t="array" ref="E10755">IFS(D10755&lt;=$G$3,'calculated data '!$A$3,D10755&lt;=$G$4,'calculated data '!$A$4,D10755&lt;=$G$6,'calculated data '!$A$5,D10755&gt;=$G$6,'calculated data '!$A$6)</f>
        <v>Outliers / Premium Tier</v>
      </c>
      <c r="F10755" s="10">
        <f t="shared" si="1"/>
        <v>1.575340686</v>
      </c>
    </row>
    <row r="10756" ht="14.25" customHeight="1">
      <c r="A10756" s="2" t="s">
        <v>493</v>
      </c>
      <c r="B10756" s="2" t="s">
        <v>494</v>
      </c>
      <c r="C10756" s="2">
        <v>1976.0</v>
      </c>
      <c r="D10756" s="9">
        <v>84584.766</v>
      </c>
      <c r="E10756" s="10" t="str">
        <f t="array" ref="E10756">IFS(D10756&lt;=$G$3,'calculated data '!$A$3,D10756&lt;=$G$4,'calculated data '!$A$4,D10756&lt;=$G$6,'calculated data '!$A$5,D10756&gt;=$G$6,'calculated data '!$A$6)</f>
        <v>Outliers / Premium Tier</v>
      </c>
      <c r="F10756" s="10">
        <f t="shared" si="1"/>
        <v>1.575766214</v>
      </c>
    </row>
    <row r="10757" ht="14.25" customHeight="1">
      <c r="A10757" s="2" t="s">
        <v>483</v>
      </c>
      <c r="B10757" s="2" t="s">
        <v>484</v>
      </c>
      <c r="C10757" s="2">
        <v>2000.0</v>
      </c>
      <c r="D10757" s="9">
        <v>84629.28</v>
      </c>
      <c r="E10757" s="10" t="str">
        <f t="array" ref="E10757">IFS(D10757&lt;=$G$3,'calculated data '!$A$3,D10757&lt;=$G$4,'calculated data '!$A$4,D10757&lt;=$G$6,'calculated data '!$A$5,D10757&gt;=$G$6,'calculated data '!$A$6)</f>
        <v>Outliers / Premium Tier</v>
      </c>
      <c r="F10757" s="10">
        <f t="shared" si="1"/>
        <v>1.576944489</v>
      </c>
    </row>
    <row r="10758" ht="14.25" customHeight="1">
      <c r="A10758" s="2" t="s">
        <v>495</v>
      </c>
      <c r="B10758" s="2" t="s">
        <v>496</v>
      </c>
      <c r="C10758" s="2">
        <v>1981.0</v>
      </c>
      <c r="D10758" s="9">
        <v>84888.63</v>
      </c>
      <c r="E10758" s="10" t="str">
        <f t="array" ref="E10758">IFS(D10758&lt;=$G$3,'calculated data '!$A$3,D10758&lt;=$G$4,'calculated data '!$A$4,D10758&lt;=$G$6,'calculated data '!$A$5,D10758&gt;=$G$6,'calculated data '!$A$6)</f>
        <v>Outliers / Premium Tier</v>
      </c>
      <c r="F10758" s="10">
        <f t="shared" si="1"/>
        <v>1.583809419</v>
      </c>
    </row>
    <row r="10759" ht="14.25" customHeight="1">
      <c r="A10759" s="2" t="s">
        <v>487</v>
      </c>
      <c r="B10759" s="2" t="s">
        <v>488</v>
      </c>
      <c r="C10759" s="2">
        <v>2004.0</v>
      </c>
      <c r="D10759" s="9">
        <v>84982.734</v>
      </c>
      <c r="E10759" s="10" t="str">
        <f t="array" ref="E10759">IFS(D10759&lt;=$G$3,'calculated data '!$A$3,D10759&lt;=$G$4,'calculated data '!$A$4,D10759&lt;=$G$6,'calculated data '!$A$5,D10759&gt;=$G$6,'calculated data '!$A$6)</f>
        <v>Outliers / Premium Tier</v>
      </c>
      <c r="F10759" s="10">
        <f t="shared" si="1"/>
        <v>1.586300328</v>
      </c>
    </row>
    <row r="10760" ht="14.25" customHeight="1">
      <c r="A10760" s="2" t="s">
        <v>493</v>
      </c>
      <c r="B10760" s="2" t="s">
        <v>494</v>
      </c>
      <c r="C10760" s="2">
        <v>2022.0</v>
      </c>
      <c r="D10760" s="9">
        <v>85002.52</v>
      </c>
      <c r="E10760" s="10" t="str">
        <f t="array" ref="E10760">IFS(D10760&lt;=$G$3,'calculated data '!$A$3,D10760&lt;=$G$4,'calculated data '!$A$4,D10760&lt;=$G$6,'calculated data '!$A$5,D10760&gt;=$G$6,'calculated data '!$A$6)</f>
        <v>Outliers / Premium Tier</v>
      </c>
      <c r="F10760" s="10">
        <f t="shared" si="1"/>
        <v>1.586824058</v>
      </c>
    </row>
    <row r="10761" ht="14.25" customHeight="1">
      <c r="A10761" s="2" t="s">
        <v>491</v>
      </c>
      <c r="B10761" s="2" t="s">
        <v>492</v>
      </c>
      <c r="C10761" s="2">
        <v>1995.0</v>
      </c>
      <c r="D10761" s="9">
        <v>85031.6</v>
      </c>
      <c r="E10761" s="10" t="str">
        <f t="array" ref="E10761">IFS(D10761&lt;=$G$3,'calculated data '!$A$3,D10761&lt;=$G$4,'calculated data '!$A$4,D10761&lt;=$G$6,'calculated data '!$A$5,D10761&gt;=$G$6,'calculated data '!$A$6)</f>
        <v>Outliers / Premium Tier</v>
      </c>
      <c r="F10761" s="10">
        <f t="shared" si="1"/>
        <v>1.587593799</v>
      </c>
    </row>
    <row r="10762" ht="14.25" customHeight="1">
      <c r="A10762" s="2" t="s">
        <v>483</v>
      </c>
      <c r="B10762" s="2" t="s">
        <v>484</v>
      </c>
      <c r="C10762" s="2">
        <v>1982.0</v>
      </c>
      <c r="D10762" s="9">
        <v>85074.06</v>
      </c>
      <c r="E10762" s="10" t="str">
        <f t="array" ref="E10762">IFS(D10762&lt;=$G$3,'calculated data '!$A$3,D10762&lt;=$G$4,'calculated data '!$A$4,D10762&lt;=$G$6,'calculated data '!$A$5,D10762&gt;=$G$6,'calculated data '!$A$6)</f>
        <v>Outliers / Premium Tier</v>
      </c>
      <c r="F10762" s="10">
        <f t="shared" si="1"/>
        <v>1.588717704</v>
      </c>
    </row>
    <row r="10763" ht="14.25" customHeight="1">
      <c r="A10763" s="2" t="s">
        <v>483</v>
      </c>
      <c r="B10763" s="2" t="s">
        <v>484</v>
      </c>
      <c r="C10763" s="2">
        <v>1986.0</v>
      </c>
      <c r="D10763" s="9">
        <v>85212.055</v>
      </c>
      <c r="E10763" s="10" t="str">
        <f t="array" ref="E10763">IFS(D10763&lt;=$G$3,'calculated data '!$A$3,D10763&lt;=$G$4,'calculated data '!$A$4,D10763&lt;=$G$6,'calculated data '!$A$5,D10763&gt;=$G$6,'calculated data '!$A$6)</f>
        <v>Outliers / Premium Tier</v>
      </c>
      <c r="F10763" s="10">
        <f t="shared" si="1"/>
        <v>1.592370398</v>
      </c>
    </row>
    <row r="10764" ht="14.25" customHeight="1">
      <c r="A10764" s="2" t="s">
        <v>495</v>
      </c>
      <c r="B10764" s="2" t="s">
        <v>496</v>
      </c>
      <c r="C10764" s="2">
        <v>1970.0</v>
      </c>
      <c r="D10764" s="9">
        <v>85254.97</v>
      </c>
      <c r="E10764" s="10" t="str">
        <f t="array" ref="E10764">IFS(D10764&lt;=$G$3,'calculated data '!$A$3,D10764&lt;=$G$4,'calculated data '!$A$4,D10764&lt;=$G$6,'calculated data '!$A$5,D10764&gt;=$G$6,'calculated data '!$A$6)</f>
        <v>Outliers / Premium Tier</v>
      </c>
      <c r="F10764" s="10">
        <f t="shared" si="1"/>
        <v>1.593506347</v>
      </c>
    </row>
    <row r="10765" ht="14.25" customHeight="1">
      <c r="A10765" s="2" t="s">
        <v>483</v>
      </c>
      <c r="B10765" s="2" t="s">
        <v>484</v>
      </c>
      <c r="C10765" s="2">
        <v>1984.0</v>
      </c>
      <c r="D10765" s="9">
        <v>85467.31</v>
      </c>
      <c r="E10765" s="10" t="str">
        <f t="array" ref="E10765">IFS(D10765&lt;=$G$3,'calculated data '!$A$3,D10765&lt;=$G$4,'calculated data '!$A$4,D10765&lt;=$G$6,'calculated data '!$A$5,D10765&gt;=$G$6,'calculated data '!$A$6)</f>
        <v>Outliers / Premium Tier</v>
      </c>
      <c r="F10765" s="10">
        <f t="shared" si="1"/>
        <v>1.599126934</v>
      </c>
    </row>
    <row r="10766" ht="14.25" customHeight="1">
      <c r="A10766" s="2" t="s">
        <v>71</v>
      </c>
      <c r="B10766" s="2" t="s">
        <v>72</v>
      </c>
      <c r="C10766" s="2">
        <v>2024.0</v>
      </c>
      <c r="D10766" s="9">
        <v>85659.02</v>
      </c>
      <c r="E10766" s="10" t="str">
        <f t="array" ref="E10766">IFS(D10766&lt;=$G$3,'calculated data '!$A$3,D10766&lt;=$G$4,'calculated data '!$A$4,D10766&lt;=$G$6,'calculated data '!$A$5,D10766&gt;=$G$6,'calculated data '!$A$6)</f>
        <v>Outliers / Premium Tier</v>
      </c>
      <c r="F10766" s="10">
        <f t="shared" si="1"/>
        <v>1.60420145</v>
      </c>
    </row>
    <row r="10767" ht="14.25" customHeight="1">
      <c r="A10767" s="2" t="s">
        <v>495</v>
      </c>
      <c r="B10767" s="2" t="s">
        <v>496</v>
      </c>
      <c r="C10767" s="2">
        <v>1975.0</v>
      </c>
      <c r="D10767" s="9">
        <v>85689.4</v>
      </c>
      <c r="E10767" s="10" t="str">
        <f t="array" ref="E10767">IFS(D10767&lt;=$G$3,'calculated data '!$A$3,D10767&lt;=$G$4,'calculated data '!$A$4,D10767&lt;=$G$6,'calculated data '!$A$5,D10767&gt;=$G$6,'calculated data '!$A$6)</f>
        <v>Outliers / Premium Tier</v>
      </c>
      <c r="F10767" s="10">
        <f t="shared" si="1"/>
        <v>1.605005601</v>
      </c>
    </row>
    <row r="10768" ht="14.25" customHeight="1">
      <c r="A10768" s="2" t="s">
        <v>71</v>
      </c>
      <c r="B10768" s="2" t="s">
        <v>72</v>
      </c>
      <c r="C10768" s="2">
        <v>2023.0</v>
      </c>
      <c r="D10768" s="9">
        <v>85724.37</v>
      </c>
      <c r="E10768" s="10" t="str">
        <f t="array" ref="E10768">IFS(D10768&lt;=$G$3,'calculated data '!$A$3,D10768&lt;=$G$4,'calculated data '!$A$4,D10768&lt;=$G$6,'calculated data '!$A$5,D10768&gt;=$G$6,'calculated data '!$A$6)</f>
        <v>Outliers / Premium Tier</v>
      </c>
      <c r="F10768" s="10">
        <f t="shared" si="1"/>
        <v>1.605931248</v>
      </c>
    </row>
    <row r="10769" ht="14.25" customHeight="1">
      <c r="A10769" s="2" t="s">
        <v>487</v>
      </c>
      <c r="B10769" s="2" t="s">
        <v>488</v>
      </c>
      <c r="C10769" s="2">
        <v>1988.0</v>
      </c>
      <c r="D10769" s="9">
        <v>85808.805</v>
      </c>
      <c r="E10769" s="10" t="str">
        <f t="array" ref="E10769">IFS(D10769&lt;=$G$3,'calculated data '!$A$3,D10769&lt;=$G$4,'calculated data '!$A$4,D10769&lt;=$G$6,'calculated data '!$A$5,D10769&gt;=$G$6,'calculated data '!$A$6)</f>
        <v>Outliers / Premium Tier</v>
      </c>
      <c r="F10769" s="10">
        <f t="shared" si="1"/>
        <v>1.608166222</v>
      </c>
    </row>
    <row r="10770" ht="14.25" customHeight="1">
      <c r="A10770" s="2" t="s">
        <v>495</v>
      </c>
      <c r="B10770" s="2" t="s">
        <v>496</v>
      </c>
      <c r="C10770" s="2">
        <v>1971.0</v>
      </c>
      <c r="D10770" s="9">
        <v>85852.1</v>
      </c>
      <c r="E10770" s="10" t="str">
        <f t="array" ref="E10770">IFS(D10770&lt;=$G$3,'calculated data '!$A$3,D10770&lt;=$G$4,'calculated data '!$A$4,D10770&lt;=$G$6,'calculated data '!$A$5,D10770&gt;=$G$6,'calculated data '!$A$6)</f>
        <v>Outliers / Premium Tier</v>
      </c>
      <c r="F10770" s="10">
        <f t="shared" si="1"/>
        <v>1.609312229</v>
      </c>
    </row>
    <row r="10771" ht="14.25" customHeight="1">
      <c r="A10771" s="2" t="s">
        <v>71</v>
      </c>
      <c r="B10771" s="2" t="s">
        <v>72</v>
      </c>
      <c r="C10771" s="2">
        <v>2010.0</v>
      </c>
      <c r="D10771" s="9">
        <v>85979.016</v>
      </c>
      <c r="E10771" s="10" t="str">
        <f t="array" ref="E10771">IFS(D10771&lt;=$G$3,'calculated data '!$A$3,D10771&lt;=$G$4,'calculated data '!$A$4,D10771&lt;=$G$6,'calculated data '!$A$5,D10771&gt;=$G$6,'calculated data '!$A$6)</f>
        <v>Outliers / Premium Tier</v>
      </c>
      <c r="F10771" s="10">
        <f t="shared" si="1"/>
        <v>1.612671664</v>
      </c>
    </row>
    <row r="10772" ht="14.25" customHeight="1">
      <c r="A10772" s="2" t="s">
        <v>495</v>
      </c>
      <c r="B10772" s="2" t="s">
        <v>496</v>
      </c>
      <c r="C10772" s="2">
        <v>2008.0</v>
      </c>
      <c r="D10772" s="9">
        <v>86038.24</v>
      </c>
      <c r="E10772" s="10" t="str">
        <f t="array" ref="E10772">IFS(D10772&lt;=$G$3,'calculated data '!$A$3,D10772&lt;=$G$4,'calculated data '!$A$4,D10772&lt;=$G$6,'calculated data '!$A$5,D10772&gt;=$G$6,'calculated data '!$A$6)</f>
        <v>Outliers / Premium Tier</v>
      </c>
      <c r="F10772" s="10">
        <f t="shared" si="1"/>
        <v>1.614239309</v>
      </c>
    </row>
    <row r="10773" ht="14.25" customHeight="1">
      <c r="A10773" s="2" t="s">
        <v>463</v>
      </c>
      <c r="B10773" s="2" t="s">
        <v>464</v>
      </c>
      <c r="C10773" s="2">
        <v>1996.0</v>
      </c>
      <c r="D10773" s="9">
        <v>86126.09</v>
      </c>
      <c r="E10773" s="10" t="str">
        <f t="array" ref="E10773">IFS(D10773&lt;=$G$3,'calculated data '!$A$3,D10773&lt;=$G$4,'calculated data '!$A$4,D10773&lt;=$G$6,'calculated data '!$A$5,D10773&gt;=$G$6,'calculated data '!$A$6)</f>
        <v>Outliers / Premium Tier</v>
      </c>
      <c r="F10773" s="10">
        <f t="shared" si="1"/>
        <v>1.616564677</v>
      </c>
    </row>
    <row r="10774" ht="14.25" customHeight="1">
      <c r="A10774" s="2" t="s">
        <v>399</v>
      </c>
      <c r="B10774" s="2" t="s">
        <v>400</v>
      </c>
      <c r="C10774" s="2">
        <v>1996.0</v>
      </c>
      <c r="D10774" s="9">
        <v>86167.31</v>
      </c>
      <c r="E10774" s="10" t="str">
        <f t="array" ref="E10774">IFS(D10774&lt;=$G$3,'calculated data '!$A$3,D10774&lt;=$G$4,'calculated data '!$A$4,D10774&lt;=$G$6,'calculated data '!$A$5,D10774&gt;=$G$6,'calculated data '!$A$6)</f>
        <v>Outliers / Premium Tier</v>
      </c>
      <c r="F10774" s="10">
        <f t="shared" si="1"/>
        <v>1.61765576</v>
      </c>
    </row>
    <row r="10775" ht="14.25" customHeight="1">
      <c r="A10775" s="2" t="s">
        <v>493</v>
      </c>
      <c r="B10775" s="2" t="s">
        <v>494</v>
      </c>
      <c r="C10775" s="2">
        <v>1984.0</v>
      </c>
      <c r="D10775" s="9">
        <v>86321.69</v>
      </c>
      <c r="E10775" s="10" t="str">
        <f t="array" ref="E10775">IFS(D10775&lt;=$G$3,'calculated data '!$A$3,D10775&lt;=$G$4,'calculated data '!$A$4,D10775&lt;=$G$6,'calculated data '!$A$5,D10775&gt;=$G$6,'calculated data '!$A$6)</f>
        <v>Outliers / Premium Tier</v>
      </c>
      <c r="F10775" s="10">
        <f t="shared" si="1"/>
        <v>1.62174216</v>
      </c>
    </row>
    <row r="10776" ht="14.25" customHeight="1">
      <c r="A10776" s="2" t="s">
        <v>469</v>
      </c>
      <c r="B10776" s="2" t="s">
        <v>470</v>
      </c>
      <c r="C10776" s="2">
        <v>1999.0</v>
      </c>
      <c r="D10776" s="9">
        <v>86472.34</v>
      </c>
      <c r="E10776" s="10" t="str">
        <f t="array" ref="E10776">IFS(D10776&lt;=$G$3,'calculated data '!$A$3,D10776&lt;=$G$4,'calculated data '!$A$4,D10776&lt;=$G$6,'calculated data '!$A$5,D10776&gt;=$G$6,'calculated data '!$A$6)</f>
        <v>Outliers / Premium Tier</v>
      </c>
      <c r="F10776" s="10">
        <f t="shared" si="1"/>
        <v>1.625729828</v>
      </c>
    </row>
    <row r="10777" ht="14.25" customHeight="1">
      <c r="A10777" s="2" t="s">
        <v>493</v>
      </c>
      <c r="B10777" s="2" t="s">
        <v>494</v>
      </c>
      <c r="C10777" s="2">
        <v>1991.0</v>
      </c>
      <c r="D10777" s="9">
        <v>86482.56</v>
      </c>
      <c r="E10777" s="10" t="str">
        <f t="array" ref="E10777">IFS(D10777&lt;=$G$3,'calculated data '!$A$3,D10777&lt;=$G$4,'calculated data '!$A$4,D10777&lt;=$G$6,'calculated data '!$A$5,D10777&gt;=$G$6,'calculated data '!$A$6)</f>
        <v>Outliers / Premium Tier</v>
      </c>
      <c r="F10777" s="10">
        <f t="shared" si="1"/>
        <v>1.626000349</v>
      </c>
    </row>
    <row r="10778" ht="14.25" customHeight="1">
      <c r="A10778" s="2" t="s">
        <v>491</v>
      </c>
      <c r="B10778" s="2" t="s">
        <v>492</v>
      </c>
      <c r="C10778" s="2">
        <v>2004.0</v>
      </c>
      <c r="D10778" s="9">
        <v>86552.73</v>
      </c>
      <c r="E10778" s="10" t="str">
        <f t="array" ref="E10778">IFS(D10778&lt;=$G$3,'calculated data '!$A$3,D10778&lt;=$G$4,'calculated data '!$A$4,D10778&lt;=$G$6,'calculated data '!$A$5,D10778&gt;=$G$6,'calculated data '!$A$6)</f>
        <v>Outliers / Premium Tier</v>
      </c>
      <c r="F10778" s="10">
        <f t="shared" si="1"/>
        <v>1.627857731</v>
      </c>
    </row>
    <row r="10779" ht="14.25" customHeight="1">
      <c r="A10779" s="2" t="s">
        <v>389</v>
      </c>
      <c r="B10779" s="2" t="s">
        <v>390</v>
      </c>
      <c r="C10779" s="2">
        <v>1972.0</v>
      </c>
      <c r="D10779" s="9">
        <v>86685.16</v>
      </c>
      <c r="E10779" s="10" t="str">
        <f t="array" ref="E10779">IFS(D10779&lt;=$G$3,'calculated data '!$A$3,D10779&lt;=$G$4,'calculated data '!$A$4,D10779&lt;=$G$6,'calculated data '!$A$5,D10779&gt;=$G$6,'calculated data '!$A$6)</f>
        <v>Outliers / Premium Tier</v>
      </c>
      <c r="F10779" s="10">
        <f t="shared" si="1"/>
        <v>1.63136312</v>
      </c>
    </row>
    <row r="10780" ht="14.25" customHeight="1">
      <c r="A10780" s="2" t="s">
        <v>399</v>
      </c>
      <c r="B10780" s="2" t="s">
        <v>400</v>
      </c>
      <c r="C10780" s="2">
        <v>1999.0</v>
      </c>
      <c r="D10780" s="9">
        <v>86708.45</v>
      </c>
      <c r="E10780" s="10" t="str">
        <f t="array" ref="E10780">IFS(D10780&lt;=$G$3,'calculated data '!$A$3,D10780&lt;=$G$4,'calculated data '!$A$4,D10780&lt;=$G$6,'calculated data '!$A$5,D10780&gt;=$G$6,'calculated data '!$A$6)</f>
        <v>Outliers / Premium Tier</v>
      </c>
      <c r="F10780" s="10">
        <f t="shared" si="1"/>
        <v>1.631979601</v>
      </c>
    </row>
    <row r="10781" ht="14.25" customHeight="1">
      <c r="A10781" s="2" t="s">
        <v>463</v>
      </c>
      <c r="B10781" s="2" t="s">
        <v>464</v>
      </c>
      <c r="C10781" s="2">
        <v>1997.0</v>
      </c>
      <c r="D10781" s="9">
        <v>86732.64</v>
      </c>
      <c r="E10781" s="10" t="str">
        <f t="array" ref="E10781">IFS(D10781&lt;=$G$3,'calculated data '!$A$3,D10781&lt;=$G$4,'calculated data '!$A$4,D10781&lt;=$G$6,'calculated data '!$A$5,D10781&gt;=$G$6,'calculated data '!$A$6)</f>
        <v>Outliers / Premium Tier</v>
      </c>
      <c r="F10781" s="10">
        <f t="shared" si="1"/>
        <v>1.632619904</v>
      </c>
    </row>
    <row r="10782" ht="14.25" customHeight="1">
      <c r="A10782" s="2" t="s">
        <v>495</v>
      </c>
      <c r="B10782" s="2" t="s">
        <v>496</v>
      </c>
      <c r="C10782" s="2">
        <v>1991.0</v>
      </c>
      <c r="D10782" s="9">
        <v>86760.05</v>
      </c>
      <c r="E10782" s="10" t="str">
        <f t="array" ref="E10782">IFS(D10782&lt;=$G$3,'calculated data '!$A$3,D10782&lt;=$G$4,'calculated data '!$A$4,D10782&lt;=$G$6,'calculated data '!$A$5,D10782&gt;=$G$6,'calculated data '!$A$6)</f>
        <v>Outliers / Premium Tier</v>
      </c>
      <c r="F10782" s="10">
        <f t="shared" si="1"/>
        <v>1.63334544</v>
      </c>
    </row>
    <row r="10783" ht="14.25" customHeight="1">
      <c r="A10783" s="2" t="s">
        <v>491</v>
      </c>
      <c r="B10783" s="2" t="s">
        <v>492</v>
      </c>
      <c r="C10783" s="2">
        <v>2007.0</v>
      </c>
      <c r="D10783" s="9">
        <v>86911.2</v>
      </c>
      <c r="E10783" s="10" t="str">
        <f t="array" ref="E10783">IFS(D10783&lt;=$G$3,'calculated data '!$A$3,D10783&lt;=$G$4,'calculated data '!$A$4,D10783&lt;=$G$6,'calculated data '!$A$5,D10783&gt;=$G$6,'calculated data '!$A$6)</f>
        <v>Outliers / Premium Tier</v>
      </c>
      <c r="F10783" s="10">
        <f t="shared" si="1"/>
        <v>1.637346343</v>
      </c>
    </row>
    <row r="10784" ht="14.25" customHeight="1">
      <c r="A10784" s="2" t="s">
        <v>491</v>
      </c>
      <c r="B10784" s="2" t="s">
        <v>492</v>
      </c>
      <c r="C10784" s="2">
        <v>1991.0</v>
      </c>
      <c r="D10784" s="9">
        <v>87131.42</v>
      </c>
      <c r="E10784" s="10" t="str">
        <f t="array" ref="E10784">IFS(D10784&lt;=$G$3,'calculated data '!$A$3,D10784&lt;=$G$4,'calculated data '!$A$4,D10784&lt;=$G$6,'calculated data '!$A$5,D10784&gt;=$G$6,'calculated data '!$A$6)</f>
        <v>Outliers / Premium Tier</v>
      </c>
      <c r="F10784" s="10">
        <f t="shared" si="1"/>
        <v>1.643175511</v>
      </c>
    </row>
    <row r="10785" ht="14.25" customHeight="1">
      <c r="A10785" s="2" t="s">
        <v>491</v>
      </c>
      <c r="B10785" s="2" t="s">
        <v>492</v>
      </c>
      <c r="C10785" s="2">
        <v>1990.0</v>
      </c>
      <c r="D10785" s="9">
        <v>87244.01</v>
      </c>
      <c r="E10785" s="10" t="str">
        <f t="array" ref="E10785">IFS(D10785&lt;=$G$3,'calculated data '!$A$3,D10785&lt;=$G$4,'calculated data '!$A$4,D10785&lt;=$G$6,'calculated data '!$A$5,D10785&gt;=$G$6,'calculated data '!$A$6)</f>
        <v>Outliers / Premium Tier</v>
      </c>
      <c r="F10785" s="10">
        <f t="shared" si="1"/>
        <v>1.64615574</v>
      </c>
    </row>
    <row r="10786" ht="14.25" customHeight="1">
      <c r="A10786" s="2" t="s">
        <v>495</v>
      </c>
      <c r="B10786" s="2" t="s">
        <v>496</v>
      </c>
      <c r="C10786" s="2">
        <v>1992.0</v>
      </c>
      <c r="D10786" s="9">
        <v>87274.51</v>
      </c>
      <c r="E10786" s="10" t="str">
        <f t="array" ref="E10786">IFS(D10786&lt;=$G$3,'calculated data '!$A$3,D10786&lt;=$G$4,'calculated data '!$A$4,D10786&lt;=$G$6,'calculated data '!$A$5,D10786&gt;=$G$6,'calculated data '!$A$6)</f>
        <v>Outliers / Premium Tier</v>
      </c>
      <c r="F10786" s="10">
        <f t="shared" si="1"/>
        <v>1.646963068</v>
      </c>
    </row>
    <row r="10787" ht="14.25" customHeight="1">
      <c r="A10787" s="2" t="s">
        <v>399</v>
      </c>
      <c r="B10787" s="2" t="s">
        <v>400</v>
      </c>
      <c r="C10787" s="2">
        <v>2000.0</v>
      </c>
      <c r="D10787" s="9">
        <v>87347.41</v>
      </c>
      <c r="E10787" s="10" t="str">
        <f t="array" ref="E10787">IFS(D10787&lt;=$G$3,'calculated data '!$A$3,D10787&lt;=$G$4,'calculated data '!$A$4,D10787&lt;=$G$6,'calculated data '!$A$5,D10787&gt;=$G$6,'calculated data '!$A$6)</f>
        <v>Outliers / Premium Tier</v>
      </c>
      <c r="F10787" s="10">
        <f t="shared" si="1"/>
        <v>1.648892713</v>
      </c>
    </row>
    <row r="10788" ht="14.25" customHeight="1">
      <c r="A10788" s="2" t="s">
        <v>493</v>
      </c>
      <c r="B10788" s="2" t="s">
        <v>494</v>
      </c>
      <c r="C10788" s="2">
        <v>1986.0</v>
      </c>
      <c r="D10788" s="9">
        <v>87384.95</v>
      </c>
      <c r="E10788" s="10" t="str">
        <f t="array" ref="E10788">IFS(D10788&lt;=$G$3,'calculated data '!$A$3,D10788&lt;=$G$4,'calculated data '!$A$4,D10788&lt;=$G$6,'calculated data '!$A$5,D10788&gt;=$G$6,'calculated data '!$A$6)</f>
        <v>Outliers / Premium Tier</v>
      </c>
      <c r="F10788" s="10">
        <f t="shared" si="1"/>
        <v>1.649886387</v>
      </c>
    </row>
    <row r="10789" ht="14.25" customHeight="1">
      <c r="A10789" s="2" t="s">
        <v>389</v>
      </c>
      <c r="B10789" s="2" t="s">
        <v>390</v>
      </c>
      <c r="C10789" s="2">
        <v>1971.0</v>
      </c>
      <c r="D10789" s="9">
        <v>87405.586</v>
      </c>
      <c r="E10789" s="10" t="str">
        <f t="array" ref="E10789">IFS(D10789&lt;=$G$3,'calculated data '!$A$3,D10789&lt;=$G$4,'calculated data '!$A$4,D10789&lt;=$G$6,'calculated data '!$A$5,D10789&gt;=$G$6,'calculated data '!$A$6)</f>
        <v>Outliers / Premium Tier</v>
      </c>
      <c r="F10789" s="10">
        <f t="shared" si="1"/>
        <v>1.650432617</v>
      </c>
    </row>
    <row r="10790" ht="14.25" customHeight="1">
      <c r="A10790" s="2" t="s">
        <v>71</v>
      </c>
      <c r="B10790" s="2" t="s">
        <v>72</v>
      </c>
      <c r="C10790" s="2">
        <v>2025.0</v>
      </c>
      <c r="D10790" s="9">
        <v>87463.266</v>
      </c>
      <c r="E10790" s="10" t="str">
        <f t="array" ref="E10790">IFS(D10790&lt;=$G$3,'calculated data '!$A$3,D10790&lt;=$G$4,'calculated data '!$A$4,D10790&lt;=$G$6,'calculated data '!$A$5,D10790&gt;=$G$6,'calculated data '!$A$6)</f>
        <v>Outliers / Premium Tier</v>
      </c>
      <c r="F10790" s="10">
        <f t="shared" si="1"/>
        <v>1.651959392</v>
      </c>
    </row>
    <row r="10791" ht="14.25" customHeight="1">
      <c r="A10791" s="2" t="s">
        <v>495</v>
      </c>
      <c r="B10791" s="2" t="s">
        <v>496</v>
      </c>
      <c r="C10791" s="2">
        <v>1988.0</v>
      </c>
      <c r="D10791" s="9">
        <v>87551.125</v>
      </c>
      <c r="E10791" s="10" t="str">
        <f t="array" ref="E10791">IFS(D10791&lt;=$G$3,'calculated data '!$A$3,D10791&lt;=$G$4,'calculated data '!$A$4,D10791&lt;=$G$6,'calculated data '!$A$5,D10791&gt;=$G$6,'calculated data '!$A$6)</f>
        <v>Outliers / Premium Tier</v>
      </c>
      <c r="F10791" s="10">
        <f t="shared" si="1"/>
        <v>1.654284998</v>
      </c>
    </row>
    <row r="10792" ht="14.25" customHeight="1">
      <c r="A10792" s="2" t="s">
        <v>483</v>
      </c>
      <c r="B10792" s="2" t="s">
        <v>484</v>
      </c>
      <c r="C10792" s="2">
        <v>1985.0</v>
      </c>
      <c r="D10792" s="9">
        <v>87679.414</v>
      </c>
      <c r="E10792" s="10" t="str">
        <f t="array" ref="E10792">IFS(D10792&lt;=$G$3,'calculated data '!$A$3,D10792&lt;=$G$4,'calculated data '!$A$4,D10792&lt;=$G$6,'calculated data '!$A$5,D10792&gt;=$G$6,'calculated data '!$A$6)</f>
        <v>Outliers / Premium Tier</v>
      </c>
      <c r="F10792" s="10">
        <f t="shared" si="1"/>
        <v>1.657680776</v>
      </c>
    </row>
    <row r="10793" ht="14.25" customHeight="1">
      <c r="A10793" s="2" t="s">
        <v>493</v>
      </c>
      <c r="B10793" s="2" t="s">
        <v>494</v>
      </c>
      <c r="C10793" s="2">
        <v>1992.0</v>
      </c>
      <c r="D10793" s="9">
        <v>87702.14</v>
      </c>
      <c r="E10793" s="10" t="str">
        <f t="array" ref="E10793">IFS(D10793&lt;=$G$3,'calculated data '!$A$3,D10793&lt;=$G$4,'calculated data '!$A$4,D10793&lt;=$G$6,'calculated data '!$A$5,D10793&gt;=$G$6,'calculated data '!$A$6)</f>
        <v>Outliers / Premium Tier</v>
      </c>
      <c r="F10793" s="10">
        <f t="shared" si="1"/>
        <v>1.658282327</v>
      </c>
    </row>
    <row r="10794" ht="14.25" customHeight="1">
      <c r="A10794" s="2" t="s">
        <v>493</v>
      </c>
      <c r="B10794" s="2" t="s">
        <v>494</v>
      </c>
      <c r="C10794" s="2">
        <v>1985.0</v>
      </c>
      <c r="D10794" s="9">
        <v>87723.18</v>
      </c>
      <c r="E10794" s="10" t="str">
        <f t="array" ref="E10794">IFS(D10794&lt;=$G$3,'calculated data '!$A$3,D10794&lt;=$G$4,'calculated data '!$A$4,D10794&lt;=$G$6,'calculated data '!$A$5,D10794&gt;=$G$6,'calculated data '!$A$6)</f>
        <v>Outliers / Premium Tier</v>
      </c>
      <c r="F10794" s="10">
        <f t="shared" si="1"/>
        <v>1.658839251</v>
      </c>
    </row>
    <row r="10795" ht="14.25" customHeight="1">
      <c r="A10795" s="2" t="s">
        <v>493</v>
      </c>
      <c r="B10795" s="2" t="s">
        <v>494</v>
      </c>
      <c r="C10795" s="2">
        <v>1981.0</v>
      </c>
      <c r="D10795" s="9">
        <v>87848.695</v>
      </c>
      <c r="E10795" s="10" t="str">
        <f t="array" ref="E10795">IFS(D10795&lt;=$G$3,'calculated data '!$A$3,D10795&lt;=$G$4,'calculated data '!$A$4,D10795&lt;=$G$6,'calculated data '!$A$5,D10795&gt;=$G$6,'calculated data '!$A$6)</f>
        <v>Outliers / Premium Tier</v>
      </c>
      <c r="F10795" s="10">
        <f t="shared" si="1"/>
        <v>1.662161602</v>
      </c>
    </row>
    <row r="10796" ht="14.25" customHeight="1">
      <c r="A10796" s="2" t="s">
        <v>495</v>
      </c>
      <c r="B10796" s="2" t="s">
        <v>496</v>
      </c>
      <c r="C10796" s="2">
        <v>1990.0</v>
      </c>
      <c r="D10796" s="9">
        <v>87859.36</v>
      </c>
      <c r="E10796" s="10" t="str">
        <f t="array" ref="E10796">IFS(D10796&lt;=$G$3,'calculated data '!$A$3,D10796&lt;=$G$4,'calculated data '!$A$4,D10796&lt;=$G$6,'calculated data '!$A$5,D10796&gt;=$G$6,'calculated data '!$A$6)</f>
        <v>Outliers / Premium Tier</v>
      </c>
      <c r="F10796" s="10">
        <f t="shared" si="1"/>
        <v>1.662443902</v>
      </c>
    </row>
    <row r="10797" ht="14.25" customHeight="1">
      <c r="A10797" s="2" t="s">
        <v>495</v>
      </c>
      <c r="B10797" s="2" t="s">
        <v>496</v>
      </c>
      <c r="C10797" s="2">
        <v>1993.0</v>
      </c>
      <c r="D10797" s="9">
        <v>87906.98</v>
      </c>
      <c r="E10797" s="10" t="str">
        <f t="array" ref="E10797">IFS(D10797&lt;=$G$3,'calculated data '!$A$3,D10797&lt;=$G$4,'calculated data '!$A$4,D10797&lt;=$G$6,'calculated data '!$A$5,D10797&gt;=$G$6,'calculated data '!$A$6)</f>
        <v>Outliers / Premium Tier</v>
      </c>
      <c r="F10797" s="10">
        <f t="shared" si="1"/>
        <v>1.663704391</v>
      </c>
    </row>
    <row r="10798" ht="14.25" customHeight="1">
      <c r="A10798" s="2" t="s">
        <v>493</v>
      </c>
      <c r="B10798" s="2" t="s">
        <v>494</v>
      </c>
      <c r="C10798" s="2">
        <v>1990.0</v>
      </c>
      <c r="D10798" s="9">
        <v>87920.41</v>
      </c>
      <c r="E10798" s="10" t="str">
        <f t="array" ref="E10798">IFS(D10798&lt;=$G$3,'calculated data '!$A$3,D10798&lt;=$G$4,'calculated data '!$A$4,D10798&lt;=$G$6,'calculated data '!$A$5,D10798&gt;=$G$6,'calculated data '!$A$6)</f>
        <v>Outliers / Premium Tier</v>
      </c>
      <c r="F10798" s="10">
        <f t="shared" si="1"/>
        <v>1.66405988</v>
      </c>
    </row>
    <row r="10799" ht="14.25" customHeight="1">
      <c r="A10799" s="2" t="s">
        <v>71</v>
      </c>
      <c r="B10799" s="2" t="s">
        <v>72</v>
      </c>
      <c r="C10799" s="2">
        <v>2021.0</v>
      </c>
      <c r="D10799" s="9">
        <v>87932.914</v>
      </c>
      <c r="E10799" s="10" t="str">
        <f t="array" ref="E10799">IFS(D10799&lt;=$G$3,'calculated data '!$A$3,D10799&lt;=$G$4,'calculated data '!$A$4,D10799&lt;=$G$6,'calculated data '!$A$5,D10799&gt;=$G$6,'calculated data '!$A$6)</f>
        <v>Outliers / Premium Tier</v>
      </c>
      <c r="F10799" s="10">
        <f t="shared" si="1"/>
        <v>1.664390858</v>
      </c>
    </row>
    <row r="10800" ht="14.25" customHeight="1">
      <c r="A10800" s="2" t="s">
        <v>463</v>
      </c>
      <c r="B10800" s="2" t="s">
        <v>464</v>
      </c>
      <c r="C10800" s="2">
        <v>1972.0</v>
      </c>
      <c r="D10800" s="9">
        <v>87963.91</v>
      </c>
      <c r="E10800" s="10" t="str">
        <f t="array" ref="E10800">IFS(D10800&lt;=$G$3,'calculated data '!$A$3,D10800&lt;=$G$4,'calculated data '!$A$4,D10800&lt;=$G$6,'calculated data '!$A$5,D10800&gt;=$G$6,'calculated data '!$A$6)</f>
        <v>Outliers / Premium Tier</v>
      </c>
      <c r="F10800" s="10">
        <f t="shared" si="1"/>
        <v>1.665211314</v>
      </c>
    </row>
    <row r="10801" ht="14.25" customHeight="1">
      <c r="A10801" s="2" t="s">
        <v>491</v>
      </c>
      <c r="B10801" s="2" t="s">
        <v>492</v>
      </c>
      <c r="C10801" s="2">
        <v>2005.0</v>
      </c>
      <c r="D10801" s="9">
        <v>88089.3</v>
      </c>
      <c r="E10801" s="10" t="str">
        <f t="array" ref="E10801">IFS(D10801&lt;=$G$3,'calculated data '!$A$3,D10801&lt;=$G$4,'calculated data '!$A$4,D10801&lt;=$G$6,'calculated data '!$A$5,D10801&gt;=$G$6,'calculated data '!$A$6)</f>
        <v>Outliers / Premium Tier</v>
      </c>
      <c r="F10801" s="10">
        <f t="shared" si="1"/>
        <v>1.668530356</v>
      </c>
    </row>
    <row r="10802" ht="14.25" customHeight="1">
      <c r="A10802" s="2" t="s">
        <v>495</v>
      </c>
      <c r="B10802" s="2" t="s">
        <v>496</v>
      </c>
      <c r="C10802" s="2">
        <v>1980.0</v>
      </c>
      <c r="D10802" s="9">
        <v>88253.54</v>
      </c>
      <c r="E10802" s="10" t="str">
        <f t="array" ref="E10802">IFS(D10802&lt;=$G$3,'calculated data '!$A$3,D10802&lt;=$G$4,'calculated data '!$A$4,D10802&lt;=$G$6,'calculated data '!$A$5,D10802&gt;=$G$6,'calculated data '!$A$6)</f>
        <v>Outliers / Premium Tier</v>
      </c>
      <c r="F10802" s="10">
        <f t="shared" si="1"/>
        <v>1.672877748</v>
      </c>
    </row>
    <row r="10803" ht="14.25" customHeight="1">
      <c r="A10803" s="2" t="s">
        <v>491</v>
      </c>
      <c r="B10803" s="2" t="s">
        <v>492</v>
      </c>
      <c r="C10803" s="2">
        <v>2006.0</v>
      </c>
      <c r="D10803" s="9">
        <v>88548.27</v>
      </c>
      <c r="E10803" s="10" t="str">
        <f t="array" ref="E10803">IFS(D10803&lt;=$G$3,'calculated data '!$A$3,D10803&lt;=$G$4,'calculated data '!$A$4,D10803&lt;=$G$6,'calculated data '!$A$5,D10803&gt;=$G$6,'calculated data '!$A$6)</f>
        <v>Outliers / Premium Tier</v>
      </c>
      <c r="F10803" s="10">
        <f t="shared" si="1"/>
        <v>1.680679178</v>
      </c>
    </row>
    <row r="10804" ht="14.25" customHeight="1">
      <c r="A10804" s="2" t="s">
        <v>389</v>
      </c>
      <c r="B10804" s="2" t="s">
        <v>390</v>
      </c>
      <c r="C10804" s="2">
        <v>1974.0</v>
      </c>
      <c r="D10804" s="9">
        <v>88583.195</v>
      </c>
      <c r="E10804" s="10" t="str">
        <f t="array" ref="E10804">IFS(D10804&lt;=$G$3,'calculated data '!$A$3,D10804&lt;=$G$4,'calculated data '!$A$4,D10804&lt;=$G$6,'calculated data '!$A$5,D10804&gt;=$G$6,'calculated data '!$A$6)</f>
        <v>Outliers / Premium Tier</v>
      </c>
      <c r="F10804" s="10">
        <f t="shared" si="1"/>
        <v>1.681603634</v>
      </c>
    </row>
    <row r="10805" ht="14.25" customHeight="1">
      <c r="A10805" s="2" t="s">
        <v>495</v>
      </c>
      <c r="B10805" s="2" t="s">
        <v>496</v>
      </c>
      <c r="C10805" s="2">
        <v>2006.0</v>
      </c>
      <c r="D10805" s="9">
        <v>88619.46</v>
      </c>
      <c r="E10805" s="10" t="str">
        <f t="array" ref="E10805">IFS(D10805&lt;=$G$3,'calculated data '!$A$3,D10805&lt;=$G$4,'calculated data '!$A$4,D10805&lt;=$G$6,'calculated data '!$A$5,D10805&gt;=$G$6,'calculated data '!$A$6)</f>
        <v>Outliers / Premium Tier</v>
      </c>
      <c r="F10805" s="10">
        <f t="shared" si="1"/>
        <v>1.682563559</v>
      </c>
    </row>
    <row r="10806" ht="14.25" customHeight="1">
      <c r="A10806" s="2" t="s">
        <v>495</v>
      </c>
      <c r="B10806" s="2" t="s">
        <v>496</v>
      </c>
      <c r="C10806" s="2">
        <v>1989.0</v>
      </c>
      <c r="D10806" s="9">
        <v>88626.88</v>
      </c>
      <c r="E10806" s="10" t="str">
        <f t="array" ref="E10806">IFS(D10806&lt;=$G$3,'calculated data '!$A$3,D10806&lt;=$G$4,'calculated data '!$A$4,D10806&lt;=$G$6,'calculated data '!$A$5,D10806&gt;=$G$6,'calculated data '!$A$6)</f>
        <v>Outliers / Premium Tier</v>
      </c>
      <c r="F10806" s="10">
        <f t="shared" si="1"/>
        <v>1.682759965</v>
      </c>
    </row>
    <row r="10807" ht="14.25" customHeight="1">
      <c r="A10807" s="2" t="s">
        <v>495</v>
      </c>
      <c r="B10807" s="2" t="s">
        <v>496</v>
      </c>
      <c r="C10807" s="2">
        <v>1994.0</v>
      </c>
      <c r="D10807" s="9">
        <v>88713.945</v>
      </c>
      <c r="E10807" s="10" t="str">
        <f t="array" ref="E10807">IFS(D10807&lt;=$G$3,'calculated data '!$A$3,D10807&lt;=$G$4,'calculated data '!$A$4,D10807&lt;=$G$6,'calculated data '!$A$5,D10807&gt;=$G$6,'calculated data '!$A$6)</f>
        <v>Outliers / Premium Tier</v>
      </c>
      <c r="F10807" s="10">
        <f t="shared" si="1"/>
        <v>1.685064554</v>
      </c>
    </row>
    <row r="10808" ht="14.25" customHeight="1">
      <c r="A10808" s="2" t="s">
        <v>429</v>
      </c>
      <c r="B10808" s="2" t="s">
        <v>430</v>
      </c>
      <c r="C10808" s="2">
        <v>1991.0</v>
      </c>
      <c r="D10808" s="9">
        <v>88727.414</v>
      </c>
      <c r="E10808" s="10" t="str">
        <f t="array" ref="E10808">IFS(D10808&lt;=$G$3,'calculated data '!$A$3,D10808&lt;=$G$4,'calculated data '!$A$4,D10808&lt;=$G$6,'calculated data '!$A$5,D10808&gt;=$G$6,'calculated data '!$A$6)</f>
        <v>Outliers / Premium Tier</v>
      </c>
      <c r="F10808" s="10">
        <f t="shared" si="1"/>
        <v>1.685421075</v>
      </c>
    </row>
    <row r="10809" ht="14.25" customHeight="1">
      <c r="A10809" s="2" t="s">
        <v>493</v>
      </c>
      <c r="B10809" s="2" t="s">
        <v>494</v>
      </c>
      <c r="C10809" s="2">
        <v>1978.0</v>
      </c>
      <c r="D10809" s="9">
        <v>88814.45</v>
      </c>
      <c r="E10809" s="10" t="str">
        <f t="array" ref="E10809">IFS(D10809&lt;=$G$3,'calculated data '!$A$3,D10809&lt;=$G$4,'calculated data '!$A$4,D10809&lt;=$G$6,'calculated data '!$A$5,D10809&gt;=$G$6,'calculated data '!$A$6)</f>
        <v>Outliers / Premium Tier</v>
      </c>
      <c r="F10809" s="10">
        <f t="shared" si="1"/>
        <v>1.687724896</v>
      </c>
    </row>
    <row r="10810" ht="14.25" customHeight="1">
      <c r="A10810" s="2" t="s">
        <v>495</v>
      </c>
      <c r="B10810" s="2" t="s">
        <v>496</v>
      </c>
      <c r="C10810" s="2">
        <v>1974.0</v>
      </c>
      <c r="D10810" s="9">
        <v>88816.58</v>
      </c>
      <c r="E10810" s="10" t="str">
        <f t="array" ref="E10810">IFS(D10810&lt;=$G$3,'calculated data '!$A$3,D10810&lt;=$G$4,'calculated data '!$A$4,D10810&lt;=$G$6,'calculated data '!$A$5,D10810&gt;=$G$6,'calculated data '!$A$6)</f>
        <v>Outliers / Premium Tier</v>
      </c>
      <c r="F10810" s="10">
        <f t="shared" si="1"/>
        <v>1.687781277</v>
      </c>
    </row>
    <row r="10811" ht="14.25" customHeight="1">
      <c r="A10811" s="2" t="s">
        <v>441</v>
      </c>
      <c r="B10811" s="2" t="s">
        <v>442</v>
      </c>
      <c r="C10811" s="2">
        <v>1985.0</v>
      </c>
      <c r="D10811" s="9">
        <v>88879.1</v>
      </c>
      <c r="E10811" s="10" t="str">
        <f t="array" ref="E10811">IFS(D10811&lt;=$G$3,'calculated data '!$A$3,D10811&lt;=$G$4,'calculated data '!$A$4,D10811&lt;=$G$6,'calculated data '!$A$5,D10811&gt;=$G$6,'calculated data '!$A$6)</f>
        <v>Outliers / Premium Tier</v>
      </c>
      <c r="F10811" s="10">
        <f t="shared" si="1"/>
        <v>1.689436166</v>
      </c>
    </row>
    <row r="10812" ht="14.25" customHeight="1">
      <c r="A10812" s="2" t="s">
        <v>493</v>
      </c>
      <c r="B10812" s="2" t="s">
        <v>494</v>
      </c>
      <c r="C10812" s="2">
        <v>1977.0</v>
      </c>
      <c r="D10812" s="9">
        <v>88899.8</v>
      </c>
      <c r="E10812" s="10" t="str">
        <f t="array" ref="E10812">IFS(D10812&lt;=$G$3,'calculated data '!$A$3,D10812&lt;=$G$4,'calculated data '!$A$4,D10812&lt;=$G$6,'calculated data '!$A$5,D10812&gt;=$G$6,'calculated data '!$A$6)</f>
        <v>Outliers / Premium Tier</v>
      </c>
      <c r="F10812" s="10">
        <f t="shared" si="1"/>
        <v>1.689984089</v>
      </c>
    </row>
    <row r="10813" ht="14.25" customHeight="1">
      <c r="A10813" s="2" t="s">
        <v>493</v>
      </c>
      <c r="B10813" s="2" t="s">
        <v>494</v>
      </c>
      <c r="C10813" s="2">
        <v>1993.0</v>
      </c>
      <c r="D10813" s="9">
        <v>89020.664</v>
      </c>
      <c r="E10813" s="10" t="str">
        <f t="array" ref="E10813">IFS(D10813&lt;=$G$3,'calculated data '!$A$3,D10813&lt;=$G$4,'calculated data '!$A$4,D10813&lt;=$G$6,'calculated data '!$A$5,D10813&gt;=$G$6,'calculated data '!$A$6)</f>
        <v>Outliers / Premium Tier</v>
      </c>
      <c r="F10813" s="10">
        <f t="shared" si="1"/>
        <v>1.693183329</v>
      </c>
    </row>
    <row r="10814" ht="14.25" customHeight="1">
      <c r="A10814" s="2" t="s">
        <v>495</v>
      </c>
      <c r="B10814" s="2" t="s">
        <v>496</v>
      </c>
      <c r="C10814" s="2">
        <v>1972.0</v>
      </c>
      <c r="D10814" s="9">
        <v>89211.38</v>
      </c>
      <c r="E10814" s="10" t="str">
        <f t="array" ref="E10814">IFS(D10814&lt;=$G$3,'calculated data '!$A$3,D10814&lt;=$G$4,'calculated data '!$A$4,D10814&lt;=$G$6,'calculated data '!$A$5,D10814&gt;=$G$6,'calculated data '!$A$6)</f>
        <v>Outliers / Premium Tier</v>
      </c>
      <c r="F10814" s="10">
        <f t="shared" si="1"/>
        <v>1.698231534</v>
      </c>
    </row>
    <row r="10815" ht="14.25" customHeight="1">
      <c r="A10815" s="2" t="s">
        <v>495</v>
      </c>
      <c r="B10815" s="2" t="s">
        <v>496</v>
      </c>
      <c r="C10815" s="2">
        <v>2007.0</v>
      </c>
      <c r="D10815" s="9">
        <v>89215.78</v>
      </c>
      <c r="E10815" s="10" t="str">
        <f t="array" ref="E10815">IFS(D10815&lt;=$G$3,'calculated data '!$A$3,D10815&lt;=$G$4,'calculated data '!$A$4,D10815&lt;=$G$6,'calculated data '!$A$5,D10815&gt;=$G$6,'calculated data '!$A$6)</f>
        <v>Outliers / Premium Tier</v>
      </c>
      <c r="F10815" s="10">
        <f t="shared" si="1"/>
        <v>1.698348001</v>
      </c>
    </row>
    <row r="10816" ht="14.25" customHeight="1">
      <c r="A10816" s="2" t="s">
        <v>71</v>
      </c>
      <c r="B10816" s="2" t="s">
        <v>72</v>
      </c>
      <c r="C10816" s="2">
        <v>2022.0</v>
      </c>
      <c r="D10816" s="9">
        <v>89266.09</v>
      </c>
      <c r="E10816" s="10" t="str">
        <f t="array" ref="E10816">IFS(D10816&lt;=$G$3,'calculated data '!$A$3,D10816&lt;=$G$4,'calculated data '!$A$4,D10816&lt;=$G$6,'calculated data '!$A$5,D10816&gt;=$G$6,'calculated data '!$A$6)</f>
        <v>Outliers / Premium Tier</v>
      </c>
      <c r="F10816" s="10">
        <f t="shared" si="1"/>
        <v>1.699679694</v>
      </c>
    </row>
    <row r="10817" ht="14.25" customHeight="1">
      <c r="A10817" s="2" t="s">
        <v>487</v>
      </c>
      <c r="B10817" s="2" t="s">
        <v>488</v>
      </c>
      <c r="C10817" s="2">
        <v>1984.0</v>
      </c>
      <c r="D10817" s="9">
        <v>89276.96</v>
      </c>
      <c r="E10817" s="10" t="str">
        <f t="array" ref="E10817">IFS(D10817&lt;=$G$3,'calculated data '!$A$3,D10817&lt;=$G$4,'calculated data '!$A$4,D10817&lt;=$G$6,'calculated data '!$A$5,D10817&gt;=$G$6,'calculated data '!$A$6)</f>
        <v>Outliers / Premium Tier</v>
      </c>
      <c r="F10817" s="10">
        <f t="shared" si="1"/>
        <v>1.699967421</v>
      </c>
    </row>
    <row r="10818" ht="14.25" customHeight="1">
      <c r="A10818" s="2" t="s">
        <v>495</v>
      </c>
      <c r="B10818" s="2" t="s">
        <v>496</v>
      </c>
      <c r="C10818" s="2">
        <v>1995.0</v>
      </c>
      <c r="D10818" s="9">
        <v>89328.77</v>
      </c>
      <c r="E10818" s="10" t="str">
        <f t="array" ref="E10818">IFS(D10818&lt;=$G$3,'calculated data '!$A$3,D10818&lt;=$G$4,'calculated data '!$A$4,D10818&lt;=$G$6,'calculated data '!$A$5,D10818&gt;=$G$6,'calculated data '!$A$6)</f>
        <v>Outliers / Premium Tier</v>
      </c>
      <c r="F10818" s="10">
        <f t="shared" si="1"/>
        <v>1.701338818</v>
      </c>
    </row>
    <row r="10819" ht="14.25" customHeight="1">
      <c r="A10819" s="2" t="s">
        <v>493</v>
      </c>
      <c r="B10819" s="2" t="s">
        <v>494</v>
      </c>
      <c r="C10819" s="2">
        <v>1987.0</v>
      </c>
      <c r="D10819" s="9">
        <v>89421.2</v>
      </c>
      <c r="E10819" s="10" t="str">
        <f t="array" ref="E10819">IFS(D10819&lt;=$G$3,'calculated data '!$A$3,D10819&lt;=$G$4,'calculated data '!$A$4,D10819&lt;=$G$6,'calculated data '!$A$5,D10819&gt;=$G$6,'calculated data '!$A$6)</f>
        <v>Outliers / Premium Tier</v>
      </c>
      <c r="F10819" s="10">
        <f t="shared" si="1"/>
        <v>1.703785418</v>
      </c>
    </row>
    <row r="10820" ht="14.25" customHeight="1">
      <c r="A10820" s="2" t="s">
        <v>491</v>
      </c>
      <c r="B10820" s="2" t="s">
        <v>492</v>
      </c>
      <c r="C10820" s="2">
        <v>1985.0</v>
      </c>
      <c r="D10820" s="9">
        <v>89518.31</v>
      </c>
      <c r="E10820" s="10" t="str">
        <f t="array" ref="E10820">IFS(D10820&lt;=$G$3,'calculated data '!$A$3,D10820&lt;=$G$4,'calculated data '!$A$4,D10820&lt;=$G$6,'calculated data '!$A$5,D10820&gt;=$G$6,'calculated data '!$A$6)</f>
        <v>Outliers / Premium Tier</v>
      </c>
      <c r="F10820" s="10">
        <f t="shared" si="1"/>
        <v>1.706355895</v>
      </c>
    </row>
    <row r="10821" ht="14.25" customHeight="1">
      <c r="A10821" s="2" t="s">
        <v>463</v>
      </c>
      <c r="B10821" s="2" t="s">
        <v>464</v>
      </c>
      <c r="C10821" s="2">
        <v>1995.0</v>
      </c>
      <c r="D10821" s="9">
        <v>89532.055</v>
      </c>
      <c r="E10821" s="10" t="str">
        <f t="array" ref="E10821">IFS(D10821&lt;=$G$3,'calculated data '!$A$3,D10821&lt;=$G$4,'calculated data '!$A$4,D10821&lt;=$G$6,'calculated data '!$A$5,D10821&gt;=$G$6,'calculated data '!$A$6)</f>
        <v>Outliers / Premium Tier</v>
      </c>
      <c r="F10821" s="10">
        <f t="shared" si="1"/>
        <v>1.706719722</v>
      </c>
    </row>
    <row r="10822" ht="14.25" customHeight="1">
      <c r="A10822" s="2" t="s">
        <v>483</v>
      </c>
      <c r="B10822" s="2" t="s">
        <v>484</v>
      </c>
      <c r="C10822" s="2">
        <v>2012.0</v>
      </c>
      <c r="D10822" s="9">
        <v>89584.29</v>
      </c>
      <c r="E10822" s="10" t="str">
        <f t="array" ref="E10822">IFS(D10822&lt;=$G$3,'calculated data '!$A$3,D10822&lt;=$G$4,'calculated data '!$A$4,D10822&lt;=$G$6,'calculated data '!$A$5,D10822&gt;=$G$6,'calculated data '!$A$6)</f>
        <v>Outliers / Premium Tier</v>
      </c>
      <c r="F10822" s="10">
        <f t="shared" si="1"/>
        <v>1.708102369</v>
      </c>
    </row>
    <row r="10823" ht="14.25" customHeight="1">
      <c r="A10823" s="2" t="s">
        <v>483</v>
      </c>
      <c r="B10823" s="2" t="s">
        <v>484</v>
      </c>
      <c r="C10823" s="2">
        <v>2001.0</v>
      </c>
      <c r="D10823" s="9">
        <v>89614.82</v>
      </c>
      <c r="E10823" s="10" t="str">
        <f t="array" ref="E10823">IFS(D10823&lt;=$G$3,'calculated data '!$A$3,D10823&lt;=$G$4,'calculated data '!$A$4,D10823&lt;=$G$6,'calculated data '!$A$5,D10823&gt;=$G$6,'calculated data '!$A$6)</f>
        <v>Outliers / Premium Tier</v>
      </c>
      <c r="F10823" s="10">
        <f t="shared" si="1"/>
        <v>1.708910491</v>
      </c>
    </row>
    <row r="10824" ht="14.25" customHeight="1">
      <c r="A10824" s="2" t="s">
        <v>429</v>
      </c>
      <c r="B10824" s="2" t="s">
        <v>430</v>
      </c>
      <c r="C10824" s="2">
        <v>1990.0</v>
      </c>
      <c r="D10824" s="9">
        <v>89844.21</v>
      </c>
      <c r="E10824" s="10" t="str">
        <f t="array" ref="E10824">IFS(D10824&lt;=$G$3,'calculated data '!$A$3,D10824&lt;=$G$4,'calculated data '!$A$4,D10824&lt;=$G$6,'calculated data '!$A$5,D10824&gt;=$G$6,'calculated data '!$A$6)</f>
        <v>Outliers / Premium Tier</v>
      </c>
      <c r="F10824" s="10">
        <f t="shared" si="1"/>
        <v>1.714982387</v>
      </c>
    </row>
    <row r="10825" ht="14.25" customHeight="1">
      <c r="A10825" s="2" t="s">
        <v>495</v>
      </c>
      <c r="B10825" s="2" t="s">
        <v>496</v>
      </c>
      <c r="C10825" s="2">
        <v>1976.0</v>
      </c>
      <c r="D10825" s="9">
        <v>89851.484</v>
      </c>
      <c r="E10825" s="10" t="str">
        <f t="array" ref="E10825">IFS(D10825&lt;=$G$3,'calculated data '!$A$3,D10825&lt;=$G$4,'calculated data '!$A$4,D10825&lt;=$G$6,'calculated data '!$A$5,D10825&gt;=$G$6,'calculated data '!$A$6)</f>
        <v>Outliers / Premium Tier</v>
      </c>
      <c r="F10825" s="10">
        <f t="shared" si="1"/>
        <v>1.715174928</v>
      </c>
    </row>
    <row r="10826" ht="14.25" customHeight="1">
      <c r="A10826" s="2" t="s">
        <v>469</v>
      </c>
      <c r="B10826" s="2" t="s">
        <v>470</v>
      </c>
      <c r="C10826" s="2">
        <v>2000.0</v>
      </c>
      <c r="D10826" s="9">
        <v>90186.5</v>
      </c>
      <c r="E10826" s="10" t="str">
        <f t="array" ref="E10826">IFS(D10826&lt;=$G$3,'calculated data '!$A$3,D10826&lt;=$G$4,'calculated data '!$A$4,D10826&lt;=$G$6,'calculated data '!$A$5,D10826&gt;=$G$6,'calculated data '!$A$6)</f>
        <v>Outliers / Premium Tier</v>
      </c>
      <c r="F10826" s="10">
        <f t="shared" si="1"/>
        <v>1.724042718</v>
      </c>
    </row>
    <row r="10827" ht="14.25" customHeight="1">
      <c r="A10827" s="2" t="s">
        <v>495</v>
      </c>
      <c r="B10827" s="2" t="s">
        <v>496</v>
      </c>
      <c r="C10827" s="2">
        <v>2003.0</v>
      </c>
      <c r="D10827" s="9">
        <v>90189.17</v>
      </c>
      <c r="E10827" s="10" t="str">
        <f t="array" ref="E10827">IFS(D10827&lt;=$G$3,'calculated data '!$A$3,D10827&lt;=$G$4,'calculated data '!$A$4,D10827&lt;=$G$6,'calculated data '!$A$5,D10827&gt;=$G$6,'calculated data '!$A$6)</f>
        <v>Outliers / Premium Tier</v>
      </c>
      <c r="F10827" s="10">
        <f t="shared" si="1"/>
        <v>1.724113392</v>
      </c>
    </row>
    <row r="10828" ht="14.25" customHeight="1">
      <c r="A10828" s="2" t="s">
        <v>493</v>
      </c>
      <c r="B10828" s="2" t="s">
        <v>494</v>
      </c>
      <c r="C10828" s="2">
        <v>1979.0</v>
      </c>
      <c r="D10828" s="9">
        <v>90317.664</v>
      </c>
      <c r="E10828" s="10" t="str">
        <f t="array" ref="E10828">IFS(D10828&lt;=$G$3,'calculated data '!$A$3,D10828&lt;=$G$4,'calculated data '!$A$4,D10828&lt;=$G$6,'calculated data '!$A$5,D10828&gt;=$G$6,'calculated data '!$A$6)</f>
        <v>Outliers / Premium Tier</v>
      </c>
      <c r="F10828" s="10">
        <f t="shared" si="1"/>
        <v>1.727514596</v>
      </c>
    </row>
    <row r="10829" ht="14.25" customHeight="1">
      <c r="A10829" s="2" t="s">
        <v>495</v>
      </c>
      <c r="B10829" s="2" t="s">
        <v>496</v>
      </c>
      <c r="C10829" s="2">
        <v>2005.0</v>
      </c>
      <c r="D10829" s="9">
        <v>90348.94</v>
      </c>
      <c r="E10829" s="10" t="str">
        <f t="array" ref="E10829">IFS(D10829&lt;=$G$3,'calculated data '!$A$3,D10829&lt;=$G$4,'calculated data '!$A$4,D10829&lt;=$G$6,'calculated data '!$A$5,D10829&gt;=$G$6,'calculated data '!$A$6)</f>
        <v>Outliers / Premium Tier</v>
      </c>
      <c r="F10829" s="10">
        <f t="shared" si="1"/>
        <v>1.728342464</v>
      </c>
    </row>
    <row r="10830" ht="14.25" customHeight="1">
      <c r="A10830" s="2" t="s">
        <v>491</v>
      </c>
      <c r="B10830" s="2" t="s">
        <v>492</v>
      </c>
      <c r="C10830" s="2">
        <v>1988.0</v>
      </c>
      <c r="D10830" s="9">
        <v>90378.96</v>
      </c>
      <c r="E10830" s="10" t="str">
        <f t="array" ref="E10830">IFS(D10830&lt;=$G$3,'calculated data '!$A$3,D10830&lt;=$G$4,'calculated data '!$A$4,D10830&lt;=$G$6,'calculated data '!$A$5,D10830&gt;=$G$6,'calculated data '!$A$6)</f>
        <v>Outliers / Premium Tier</v>
      </c>
      <c r="F10830" s="10">
        <f t="shared" si="1"/>
        <v>1.729137086</v>
      </c>
    </row>
    <row r="10831" ht="14.25" customHeight="1">
      <c r="A10831" s="2" t="s">
        <v>495</v>
      </c>
      <c r="B10831" s="2" t="s">
        <v>496</v>
      </c>
      <c r="C10831" s="2">
        <v>2001.0</v>
      </c>
      <c r="D10831" s="9">
        <v>90610.81</v>
      </c>
      <c r="E10831" s="10" t="str">
        <f t="array" ref="E10831">IFS(D10831&lt;=$G$3,'calculated data '!$A$3,D10831&lt;=$G$4,'calculated data '!$A$4,D10831&lt;=$G$6,'calculated data '!$A$5,D10831&gt;=$G$6,'calculated data '!$A$6)</f>
        <v>Outliers / Premium Tier</v>
      </c>
      <c r="F10831" s="10">
        <f t="shared" si="1"/>
        <v>1.735274098</v>
      </c>
    </row>
    <row r="10832" ht="14.25" customHeight="1">
      <c r="A10832" s="2" t="s">
        <v>463</v>
      </c>
      <c r="B10832" s="2" t="s">
        <v>464</v>
      </c>
      <c r="C10832" s="2">
        <v>1970.0</v>
      </c>
      <c r="D10832" s="9">
        <v>90725.36</v>
      </c>
      <c r="E10832" s="10" t="str">
        <f t="array" ref="E10832">IFS(D10832&lt;=$G$3,'calculated data '!$A$3,D10832&lt;=$G$4,'calculated data '!$A$4,D10832&lt;=$G$6,'calculated data '!$A$5,D10832&gt;=$G$6,'calculated data '!$A$6)</f>
        <v>Outliers / Premium Tier</v>
      </c>
      <c r="F10832" s="10">
        <f t="shared" si="1"/>
        <v>1.738306208</v>
      </c>
    </row>
    <row r="10833" ht="14.25" customHeight="1">
      <c r="A10833" s="2" t="s">
        <v>493</v>
      </c>
      <c r="B10833" s="2" t="s">
        <v>494</v>
      </c>
      <c r="C10833" s="2">
        <v>2019.0</v>
      </c>
      <c r="D10833" s="9">
        <v>90730.6</v>
      </c>
      <c r="E10833" s="10" t="str">
        <f t="array" ref="E10833">IFS(D10833&lt;=$G$3,'calculated data '!$A$3,D10833&lt;=$G$4,'calculated data '!$A$4,D10833&lt;=$G$6,'calculated data '!$A$5,D10833&gt;=$G$6,'calculated data '!$A$6)</f>
        <v>Outliers / Premium Tier</v>
      </c>
      <c r="F10833" s="10">
        <f t="shared" si="1"/>
        <v>1.738444909</v>
      </c>
    </row>
    <row r="10834" ht="14.25" customHeight="1">
      <c r="A10834" s="2" t="s">
        <v>493</v>
      </c>
      <c r="B10834" s="2" t="s">
        <v>494</v>
      </c>
      <c r="C10834" s="2">
        <v>1980.0</v>
      </c>
      <c r="D10834" s="9">
        <v>90785.91</v>
      </c>
      <c r="E10834" s="10" t="str">
        <f t="array" ref="E10834">IFS(D10834&lt;=$G$3,'calculated data '!$A$3,D10834&lt;=$G$4,'calculated data '!$A$4,D10834&lt;=$G$6,'calculated data '!$A$5,D10834&gt;=$G$6,'calculated data '!$A$6)</f>
        <v>Outliers / Premium Tier</v>
      </c>
      <c r="F10834" s="10">
        <f t="shared" si="1"/>
        <v>1.739908951</v>
      </c>
    </row>
    <row r="10835" ht="14.25" customHeight="1">
      <c r="A10835" s="2" t="s">
        <v>495</v>
      </c>
      <c r="B10835" s="2" t="s">
        <v>496</v>
      </c>
      <c r="C10835" s="2">
        <v>2002.0</v>
      </c>
      <c r="D10835" s="9">
        <v>90823.234</v>
      </c>
      <c r="E10835" s="10" t="str">
        <f t="array" ref="E10835">IFS(D10835&lt;=$G$3,'calculated data '!$A$3,D10835&lt;=$G$4,'calculated data '!$A$4,D10835&lt;=$G$6,'calculated data '!$A$5,D10835&gt;=$G$6,'calculated data '!$A$6)</f>
        <v>Outliers / Premium Tier</v>
      </c>
      <c r="F10835" s="10">
        <f t="shared" si="1"/>
        <v>1.740896908</v>
      </c>
    </row>
    <row r="10836" ht="14.25" customHeight="1">
      <c r="A10836" s="2" t="s">
        <v>441</v>
      </c>
      <c r="B10836" s="2" t="s">
        <v>442</v>
      </c>
      <c r="C10836" s="2">
        <v>1982.0</v>
      </c>
      <c r="D10836" s="9">
        <v>90869.26</v>
      </c>
      <c r="E10836" s="10" t="str">
        <f t="array" ref="E10836">IFS(D10836&lt;=$G$3,'calculated data '!$A$3,D10836&lt;=$G$4,'calculated data '!$A$4,D10836&lt;=$G$6,'calculated data '!$A$5,D10836&gt;=$G$6,'calculated data '!$A$6)</f>
        <v>Outliers / Premium Tier</v>
      </c>
      <c r="F10836" s="10">
        <f t="shared" si="1"/>
        <v>1.742115205</v>
      </c>
    </row>
    <row r="10837" ht="14.25" customHeight="1">
      <c r="A10837" s="2" t="s">
        <v>483</v>
      </c>
      <c r="B10837" s="2" t="s">
        <v>484</v>
      </c>
      <c r="C10837" s="2">
        <v>1981.0</v>
      </c>
      <c r="D10837" s="9">
        <v>90920.375</v>
      </c>
      <c r="E10837" s="10" t="str">
        <f t="array" ref="E10837">IFS(D10837&lt;=$G$3,'calculated data '!$A$3,D10837&lt;=$G$4,'calculated data '!$A$4,D10837&lt;=$G$6,'calculated data '!$A$5,D10837&gt;=$G$6,'calculated data '!$A$6)</f>
        <v>Outliers / Premium Tier</v>
      </c>
      <c r="F10837" s="10">
        <f t="shared" si="1"/>
        <v>1.743468206</v>
      </c>
    </row>
    <row r="10838" ht="14.25" customHeight="1">
      <c r="A10838" s="2" t="s">
        <v>491</v>
      </c>
      <c r="B10838" s="2" t="s">
        <v>492</v>
      </c>
      <c r="C10838" s="2">
        <v>1986.0</v>
      </c>
      <c r="D10838" s="9">
        <v>90936.586</v>
      </c>
      <c r="E10838" s="10" t="str">
        <f t="array" ref="E10838">IFS(D10838&lt;=$G$3,'calculated data '!$A$3,D10838&lt;=$G$4,'calculated data '!$A$4,D10838&lt;=$G$6,'calculated data '!$A$5,D10838&gt;=$G$6,'calculated data '!$A$6)</f>
        <v>Outliers / Premium Tier</v>
      </c>
      <c r="F10838" s="10">
        <f t="shared" si="1"/>
        <v>1.743897308</v>
      </c>
    </row>
    <row r="10839" ht="14.25" customHeight="1">
      <c r="A10839" s="2" t="s">
        <v>491</v>
      </c>
      <c r="B10839" s="2" t="s">
        <v>492</v>
      </c>
      <c r="C10839" s="2">
        <v>1994.0</v>
      </c>
      <c r="D10839" s="9">
        <v>90947.22</v>
      </c>
      <c r="E10839" s="10" t="str">
        <f t="array" ref="E10839">IFS(D10839&lt;=$G$3,'calculated data '!$A$3,D10839&lt;=$G$4,'calculated data '!$A$4,D10839&lt;=$G$6,'calculated data '!$A$5,D10839&gt;=$G$6,'calculated data '!$A$6)</f>
        <v>Outliers / Premium Tier</v>
      </c>
      <c r="F10839" s="10">
        <f t="shared" si="1"/>
        <v>1.744178787</v>
      </c>
    </row>
    <row r="10840" ht="14.25" customHeight="1">
      <c r="A10840" s="2" t="s">
        <v>495</v>
      </c>
      <c r="B10840" s="2" t="s">
        <v>496</v>
      </c>
      <c r="C10840" s="2">
        <v>1998.0</v>
      </c>
      <c r="D10840" s="9">
        <v>90968.04</v>
      </c>
      <c r="E10840" s="10" t="str">
        <f t="array" ref="E10840">IFS(D10840&lt;=$G$3,'calculated data '!$A$3,D10840&lt;=$G$4,'calculated data '!$A$4,D10840&lt;=$G$6,'calculated data '!$A$5,D10840&gt;=$G$6,'calculated data '!$A$6)</f>
        <v>Outliers / Premium Tier</v>
      </c>
      <c r="F10840" s="10">
        <f t="shared" si="1"/>
        <v>1.744729887</v>
      </c>
    </row>
    <row r="10841" ht="14.25" customHeight="1">
      <c r="A10841" s="2" t="s">
        <v>495</v>
      </c>
      <c r="B10841" s="2" t="s">
        <v>496</v>
      </c>
      <c r="C10841" s="2">
        <v>1997.0</v>
      </c>
      <c r="D10841" s="9">
        <v>90979.36</v>
      </c>
      <c r="E10841" s="10" t="str">
        <f t="array" ref="E10841">IFS(D10841&lt;=$G$3,'calculated data '!$A$3,D10841&lt;=$G$4,'calculated data '!$A$4,D10841&lt;=$G$6,'calculated data '!$A$5,D10841&gt;=$G$6,'calculated data '!$A$6)</f>
        <v>Outliers / Premium Tier</v>
      </c>
      <c r="F10841" s="10">
        <f t="shared" si="1"/>
        <v>1.745029525</v>
      </c>
    </row>
    <row r="10842" ht="14.25" customHeight="1">
      <c r="A10842" s="2" t="s">
        <v>493</v>
      </c>
      <c r="B10842" s="2" t="s">
        <v>494</v>
      </c>
      <c r="C10842" s="2">
        <v>2009.0</v>
      </c>
      <c r="D10842" s="9">
        <v>90980.36</v>
      </c>
      <c r="E10842" s="10" t="str">
        <f t="array" ref="E10842">IFS(D10842&lt;=$G$3,'calculated data '!$A$3,D10842&lt;=$G$4,'calculated data '!$A$4,D10842&lt;=$G$6,'calculated data '!$A$5,D10842&gt;=$G$6,'calculated data '!$A$6)</f>
        <v>Outliers / Premium Tier</v>
      </c>
      <c r="F10842" s="10">
        <f t="shared" si="1"/>
        <v>1.745055994</v>
      </c>
    </row>
    <row r="10843" ht="14.25" customHeight="1">
      <c r="A10843" s="2" t="s">
        <v>491</v>
      </c>
      <c r="B10843" s="2" t="s">
        <v>492</v>
      </c>
      <c r="C10843" s="2">
        <v>2009.0</v>
      </c>
      <c r="D10843" s="9">
        <v>91054.94</v>
      </c>
      <c r="E10843" s="10" t="str">
        <f t="array" ref="E10843">IFS(D10843&lt;=$G$3,'calculated data '!$A$3,D10843&lt;=$G$4,'calculated data '!$A$4,D10843&lt;=$G$6,'calculated data '!$A$5,D10843&gt;=$G$6,'calculated data '!$A$6)</f>
        <v>Outliers / Premium Tier</v>
      </c>
      <c r="F10843" s="10">
        <f t="shared" si="1"/>
        <v>1.747030108</v>
      </c>
    </row>
    <row r="10844" ht="14.25" customHeight="1">
      <c r="A10844" s="2" t="s">
        <v>491</v>
      </c>
      <c r="B10844" s="2" t="s">
        <v>492</v>
      </c>
      <c r="C10844" s="2">
        <v>1987.0</v>
      </c>
      <c r="D10844" s="9">
        <v>91097.39</v>
      </c>
      <c r="E10844" s="10" t="str">
        <f t="array" ref="E10844">IFS(D10844&lt;=$G$3,'calculated data '!$A$3,D10844&lt;=$G$4,'calculated data '!$A$4,D10844&lt;=$G$6,'calculated data '!$A$5,D10844&gt;=$G$6,'calculated data '!$A$6)</f>
        <v>Outliers / Premium Tier</v>
      </c>
      <c r="F10844" s="10">
        <f t="shared" si="1"/>
        <v>1.748153749</v>
      </c>
    </row>
    <row r="10845" ht="14.25" customHeight="1">
      <c r="A10845" s="2" t="s">
        <v>495</v>
      </c>
      <c r="B10845" s="2" t="s">
        <v>496</v>
      </c>
      <c r="C10845" s="2">
        <v>2004.0</v>
      </c>
      <c r="D10845" s="9">
        <v>91201.57</v>
      </c>
      <c r="E10845" s="10" t="str">
        <f t="array" ref="E10845">IFS(D10845&lt;=$G$3,'calculated data '!$A$3,D10845&lt;=$G$4,'calculated data '!$A$4,D10845&lt;=$G$6,'calculated data '!$A$5,D10845&gt;=$G$6,'calculated data '!$A$6)</f>
        <v>Outliers / Premium Tier</v>
      </c>
      <c r="F10845" s="10">
        <f t="shared" si="1"/>
        <v>1.750911368</v>
      </c>
    </row>
    <row r="10846" ht="14.25" customHeight="1">
      <c r="A10846" s="2" t="s">
        <v>495</v>
      </c>
      <c r="B10846" s="2" t="s">
        <v>496</v>
      </c>
      <c r="C10846" s="2">
        <v>1996.0</v>
      </c>
      <c r="D10846" s="9">
        <v>91245.39</v>
      </c>
      <c r="E10846" s="10" t="str">
        <f t="array" ref="E10846">IFS(D10846&lt;=$G$3,'calculated data '!$A$3,D10846&lt;=$G$4,'calculated data '!$A$4,D10846&lt;=$G$6,'calculated data '!$A$5,D10846&gt;=$G$6,'calculated data '!$A$6)</f>
        <v>Outliers / Premium Tier</v>
      </c>
      <c r="F10846" s="10">
        <f t="shared" si="1"/>
        <v>1.752071272</v>
      </c>
    </row>
    <row r="10847" ht="14.25" customHeight="1">
      <c r="A10847" s="2" t="s">
        <v>491</v>
      </c>
      <c r="B10847" s="2" t="s">
        <v>492</v>
      </c>
      <c r="C10847" s="2">
        <v>2008.0</v>
      </c>
      <c r="D10847" s="9">
        <v>91397.87</v>
      </c>
      <c r="E10847" s="10" t="str">
        <f t="array" ref="E10847">IFS(D10847&lt;=$G$3,'calculated data '!$A$3,D10847&lt;=$G$4,'calculated data '!$A$4,D10847&lt;=$G$6,'calculated data '!$A$5,D10847&gt;=$G$6,'calculated data '!$A$6)</f>
        <v>Outliers / Premium Tier</v>
      </c>
      <c r="F10847" s="10">
        <f t="shared" si="1"/>
        <v>1.75610738</v>
      </c>
    </row>
    <row r="10848" ht="14.25" customHeight="1">
      <c r="A10848" s="2" t="s">
        <v>493</v>
      </c>
      <c r="B10848" s="2" t="s">
        <v>494</v>
      </c>
      <c r="C10848" s="2">
        <v>2016.0</v>
      </c>
      <c r="D10848" s="9">
        <v>91504.08</v>
      </c>
      <c r="E10848" s="10" t="str">
        <f t="array" ref="E10848">IFS(D10848&lt;=$G$3,'calculated data '!$A$3,D10848&lt;=$G$4,'calculated data '!$A$4,D10848&lt;=$G$6,'calculated data '!$A$5,D10848&gt;=$G$6,'calculated data '!$A$6)</f>
        <v>Outliers / Premium Tier</v>
      </c>
      <c r="F10848" s="10">
        <f t="shared" si="1"/>
        <v>1.758918732</v>
      </c>
    </row>
    <row r="10849" ht="14.25" customHeight="1">
      <c r="A10849" s="2" t="s">
        <v>493</v>
      </c>
      <c r="B10849" s="2" t="s">
        <v>494</v>
      </c>
      <c r="C10849" s="2">
        <v>2017.0</v>
      </c>
      <c r="D10849" s="9">
        <v>91598.984</v>
      </c>
      <c r="E10849" s="10" t="str">
        <f t="array" ref="E10849">IFS(D10849&lt;=$G$3,'calculated data '!$A$3,D10849&lt;=$G$4,'calculated data '!$A$4,D10849&lt;=$G$6,'calculated data '!$A$5,D10849&gt;=$G$6,'calculated data '!$A$6)</f>
        <v>Outliers / Premium Tier</v>
      </c>
      <c r="F10849" s="10">
        <f t="shared" si="1"/>
        <v>1.761430818</v>
      </c>
    </row>
    <row r="10850" ht="14.25" customHeight="1">
      <c r="A10850" s="2" t="s">
        <v>495</v>
      </c>
      <c r="B10850" s="2" t="s">
        <v>496</v>
      </c>
      <c r="C10850" s="2">
        <v>1999.0</v>
      </c>
      <c r="D10850" s="9">
        <v>91794.805</v>
      </c>
      <c r="E10850" s="10" t="str">
        <f t="array" ref="E10850">IFS(D10850&lt;=$G$3,'calculated data '!$A$3,D10850&lt;=$G$4,'calculated data '!$A$4,D10850&lt;=$G$6,'calculated data '!$A$5,D10850&gt;=$G$6,'calculated data '!$A$6)</f>
        <v>Outliers / Premium Tier</v>
      </c>
      <c r="F10850" s="10">
        <f t="shared" si="1"/>
        <v>1.766614151</v>
      </c>
    </row>
    <row r="10851" ht="14.25" customHeight="1">
      <c r="A10851" s="2" t="s">
        <v>493</v>
      </c>
      <c r="B10851" s="2" t="s">
        <v>494</v>
      </c>
      <c r="C10851" s="2">
        <v>1994.0</v>
      </c>
      <c r="D10851" s="9">
        <v>91917.1</v>
      </c>
      <c r="E10851" s="10" t="str">
        <f t="array" ref="E10851">IFS(D10851&lt;=$G$3,'calculated data '!$A$3,D10851&lt;=$G$4,'calculated data '!$A$4,D10851&lt;=$G$6,'calculated data '!$A$5,D10851&gt;=$G$6,'calculated data '!$A$6)</f>
        <v>Outliers / Premium Tier</v>
      </c>
      <c r="F10851" s="10">
        <f t="shared" si="1"/>
        <v>1.769851269</v>
      </c>
    </row>
    <row r="10852" ht="14.25" customHeight="1">
      <c r="A10852" s="2" t="s">
        <v>495</v>
      </c>
      <c r="B10852" s="2" t="s">
        <v>496</v>
      </c>
      <c r="C10852" s="2">
        <v>1977.0</v>
      </c>
      <c r="D10852" s="9">
        <v>91948.49</v>
      </c>
      <c r="E10852" s="10" t="str">
        <f t="array" ref="E10852">IFS(D10852&lt;=$G$3,'calculated data '!$A$3,D10852&lt;=$G$4,'calculated data '!$A$4,D10852&lt;=$G$6,'calculated data '!$A$5,D10852&gt;=$G$6,'calculated data '!$A$6)</f>
        <v>Outliers / Premium Tier</v>
      </c>
      <c r="F10852" s="10">
        <f t="shared" si="1"/>
        <v>1.770682154</v>
      </c>
    </row>
    <row r="10853" ht="14.25" customHeight="1">
      <c r="A10853" s="2" t="s">
        <v>493</v>
      </c>
      <c r="B10853" s="2" t="s">
        <v>494</v>
      </c>
      <c r="C10853" s="2">
        <v>2010.0</v>
      </c>
      <c r="D10853" s="9">
        <v>92179.45</v>
      </c>
      <c r="E10853" s="10" t="str">
        <f t="array" ref="E10853">IFS(D10853&lt;=$G$3,'calculated data '!$A$3,D10853&lt;=$G$4,'calculated data '!$A$4,D10853&lt;=$G$6,'calculated data '!$A$5,D10853&gt;=$G$6,'calculated data '!$A$6)</f>
        <v>Outliers / Premium Tier</v>
      </c>
      <c r="F10853" s="10">
        <f t="shared" si="1"/>
        <v>1.776795608</v>
      </c>
    </row>
    <row r="10854" ht="14.25" customHeight="1">
      <c r="A10854" s="2" t="s">
        <v>495</v>
      </c>
      <c r="B10854" s="2" t="s">
        <v>496</v>
      </c>
      <c r="C10854" s="2">
        <v>1973.0</v>
      </c>
      <c r="D10854" s="9">
        <v>92202.75</v>
      </c>
      <c r="E10854" s="10" t="str">
        <f t="array" ref="E10854">IFS(D10854&lt;=$G$3,'calculated data '!$A$3,D10854&lt;=$G$4,'calculated data '!$A$4,D10854&lt;=$G$6,'calculated data '!$A$5,D10854&gt;=$G$6,'calculated data '!$A$6)</f>
        <v>Outliers / Premium Tier</v>
      </c>
      <c r="F10854" s="10">
        <f t="shared" si="1"/>
        <v>1.777412353</v>
      </c>
    </row>
    <row r="10855" ht="14.25" customHeight="1">
      <c r="A10855" s="2" t="s">
        <v>493</v>
      </c>
      <c r="B10855" s="2" t="s">
        <v>494</v>
      </c>
      <c r="C10855" s="2">
        <v>2018.0</v>
      </c>
      <c r="D10855" s="9">
        <v>92210.27</v>
      </c>
      <c r="E10855" s="10" t="str">
        <f t="array" ref="E10855">IFS(D10855&lt;=$G$3,'calculated data '!$A$3,D10855&lt;=$G$4,'calculated data '!$A$4,D10855&lt;=$G$6,'calculated data '!$A$5,D10855&gt;=$G$6,'calculated data '!$A$6)</f>
        <v>Outliers / Premium Tier</v>
      </c>
      <c r="F10855" s="10">
        <f t="shared" si="1"/>
        <v>1.777611406</v>
      </c>
    </row>
    <row r="10856" ht="14.25" customHeight="1">
      <c r="A10856" s="2" t="s">
        <v>493</v>
      </c>
      <c r="B10856" s="2" t="s">
        <v>494</v>
      </c>
      <c r="C10856" s="2">
        <v>1998.0</v>
      </c>
      <c r="D10856" s="9">
        <v>92507.54</v>
      </c>
      <c r="E10856" s="10" t="str">
        <f t="array" ref="E10856">IFS(D10856&lt;=$G$3,'calculated data '!$A$3,D10856&lt;=$G$4,'calculated data '!$A$4,D10856&lt;=$G$6,'calculated data '!$A$5,D10856&gt;=$G$6,'calculated data '!$A$6)</f>
        <v>Outliers / Premium Tier</v>
      </c>
      <c r="F10856" s="10">
        <f t="shared" si="1"/>
        <v>1.785480069</v>
      </c>
    </row>
    <row r="10857" ht="14.25" customHeight="1">
      <c r="A10857" s="2" t="s">
        <v>429</v>
      </c>
      <c r="B10857" s="2" t="s">
        <v>430</v>
      </c>
      <c r="C10857" s="2">
        <v>1992.0</v>
      </c>
      <c r="D10857" s="9">
        <v>92531.05</v>
      </c>
      <c r="E10857" s="10" t="str">
        <f t="array" ref="E10857">IFS(D10857&lt;=$G$3,'calculated data '!$A$3,D10857&lt;=$G$4,'calculated data '!$A$4,D10857&lt;=$G$6,'calculated data '!$A$5,D10857&gt;=$G$6,'calculated data '!$A$6)</f>
        <v>Outliers / Premium Tier</v>
      </c>
      <c r="F10857" s="10">
        <f t="shared" si="1"/>
        <v>1.786102372</v>
      </c>
    </row>
    <row r="10858" ht="14.25" customHeight="1">
      <c r="A10858" s="2" t="s">
        <v>495</v>
      </c>
      <c r="B10858" s="2" t="s">
        <v>496</v>
      </c>
      <c r="C10858" s="2">
        <v>1978.0</v>
      </c>
      <c r="D10858" s="9">
        <v>92610.305</v>
      </c>
      <c r="E10858" s="10" t="str">
        <f t="array" ref="E10858">IFS(D10858&lt;=$G$3,'calculated data '!$A$3,D10858&lt;=$G$4,'calculated data '!$A$4,D10858&lt;=$G$6,'calculated data '!$A$5,D10858&gt;=$G$6,'calculated data '!$A$6)</f>
        <v>Outliers / Premium Tier</v>
      </c>
      <c r="F10858" s="10">
        <f t="shared" si="1"/>
        <v>1.788200233</v>
      </c>
    </row>
    <row r="10859" ht="14.25" customHeight="1">
      <c r="A10859" s="2" t="s">
        <v>483</v>
      </c>
      <c r="B10859" s="2" t="s">
        <v>484</v>
      </c>
      <c r="C10859" s="2">
        <v>1989.0</v>
      </c>
      <c r="D10859" s="9">
        <v>92682.24</v>
      </c>
      <c r="E10859" s="10" t="str">
        <f t="array" ref="E10859">IFS(D10859&lt;=$G$3,'calculated data '!$A$3,D10859&lt;=$G$4,'calculated data '!$A$4,D10859&lt;=$G$6,'calculated data '!$A$5,D10859&gt;=$G$6,'calculated data '!$A$6)</f>
        <v>Outliers / Premium Tier</v>
      </c>
      <c r="F10859" s="10">
        <f t="shared" si="1"/>
        <v>1.790104334</v>
      </c>
    </row>
    <row r="10860" ht="14.25" customHeight="1">
      <c r="A10860" s="2" t="s">
        <v>495</v>
      </c>
      <c r="B10860" s="2" t="s">
        <v>496</v>
      </c>
      <c r="C10860" s="2">
        <v>1979.0</v>
      </c>
      <c r="D10860" s="9">
        <v>92727.3</v>
      </c>
      <c r="E10860" s="10" t="str">
        <f t="array" ref="E10860">IFS(D10860&lt;=$G$3,'calculated data '!$A$3,D10860&lt;=$G$4,'calculated data '!$A$4,D10860&lt;=$G$6,'calculated data '!$A$5,D10860&gt;=$G$6,'calculated data '!$A$6)</f>
        <v>Outliers / Premium Tier</v>
      </c>
      <c r="F10860" s="10">
        <f t="shared" si="1"/>
        <v>1.791297061</v>
      </c>
    </row>
    <row r="10861" ht="14.25" customHeight="1">
      <c r="A10861" s="2" t="s">
        <v>491</v>
      </c>
      <c r="B10861" s="2" t="s">
        <v>492</v>
      </c>
      <c r="C10861" s="2">
        <v>1984.0</v>
      </c>
      <c r="D10861" s="9">
        <v>92928.29</v>
      </c>
      <c r="E10861" s="10" t="str">
        <f t="array" ref="E10861">IFS(D10861&lt;=$G$3,'calculated data '!$A$3,D10861&lt;=$G$4,'calculated data '!$A$4,D10861&lt;=$G$6,'calculated data '!$A$5,D10861&gt;=$G$6,'calculated data '!$A$6)</f>
        <v>Outliers / Premium Tier</v>
      </c>
      <c r="F10861" s="10">
        <f t="shared" si="1"/>
        <v>1.796617216</v>
      </c>
    </row>
    <row r="10862" ht="14.25" customHeight="1">
      <c r="A10862" s="2" t="s">
        <v>493</v>
      </c>
      <c r="B10862" s="2" t="s">
        <v>494</v>
      </c>
      <c r="C10862" s="2">
        <v>2012.0</v>
      </c>
      <c r="D10862" s="9">
        <v>93125.08</v>
      </c>
      <c r="E10862" s="10" t="str">
        <f t="array" ref="E10862">IFS(D10862&lt;=$G$3,'calculated data '!$A$3,D10862&lt;=$G$4,'calculated data '!$A$4,D10862&lt;=$G$6,'calculated data '!$A$5,D10862&gt;=$G$6,'calculated data '!$A$6)</f>
        <v>Outliers / Premium Tier</v>
      </c>
      <c r="F10862" s="10">
        <f t="shared" si="1"/>
        <v>1.801826199</v>
      </c>
    </row>
    <row r="10863" ht="14.25" customHeight="1">
      <c r="A10863" s="2" t="s">
        <v>389</v>
      </c>
      <c r="B10863" s="2" t="s">
        <v>390</v>
      </c>
      <c r="C10863" s="2">
        <v>1977.0</v>
      </c>
      <c r="D10863" s="9">
        <v>93135.36</v>
      </c>
      <c r="E10863" s="10" t="str">
        <f t="array" ref="E10863">IFS(D10863&lt;=$G$3,'calculated data '!$A$3,D10863&lt;=$G$4,'calculated data '!$A$4,D10863&lt;=$G$6,'calculated data '!$A$5,D10863&gt;=$G$6,'calculated data '!$A$6)</f>
        <v>Outliers / Premium Tier</v>
      </c>
      <c r="F10863" s="10">
        <f t="shared" si="1"/>
        <v>1.802098308</v>
      </c>
    </row>
    <row r="10864" ht="14.25" customHeight="1">
      <c r="A10864" s="2" t="s">
        <v>491</v>
      </c>
      <c r="B10864" s="2" t="s">
        <v>492</v>
      </c>
      <c r="C10864" s="2">
        <v>2020.0</v>
      </c>
      <c r="D10864" s="9">
        <v>93147.79</v>
      </c>
      <c r="E10864" s="10" t="str">
        <f t="array" ref="E10864">IFS(D10864&lt;=$G$3,'calculated data '!$A$3,D10864&lt;=$G$4,'calculated data '!$A$4,D10864&lt;=$G$6,'calculated data '!$A$5,D10864&gt;=$G$6,'calculated data '!$A$6)</f>
        <v>Outliers / Premium Tier</v>
      </c>
      <c r="F10864" s="10">
        <f t="shared" si="1"/>
        <v>1.802427327</v>
      </c>
    </row>
    <row r="10865" ht="14.25" customHeight="1">
      <c r="A10865" s="2" t="s">
        <v>493</v>
      </c>
      <c r="B10865" s="2" t="s">
        <v>494</v>
      </c>
      <c r="C10865" s="2">
        <v>1995.0</v>
      </c>
      <c r="D10865" s="9">
        <v>93199.914</v>
      </c>
      <c r="E10865" s="10" t="str">
        <f t="array" ref="E10865">IFS(D10865&lt;=$G$3,'calculated data '!$A$3,D10865&lt;=$G$4,'calculated data '!$A$4,D10865&lt;=$G$6,'calculated data '!$A$5,D10865&gt;=$G$6,'calculated data '!$A$6)</f>
        <v>Outliers / Premium Tier</v>
      </c>
      <c r="F10865" s="10">
        <f t="shared" si="1"/>
        <v>1.803807036</v>
      </c>
    </row>
    <row r="10866" ht="14.25" customHeight="1">
      <c r="A10866" s="2" t="s">
        <v>493</v>
      </c>
      <c r="B10866" s="2" t="s">
        <v>494</v>
      </c>
      <c r="C10866" s="2">
        <v>1988.0</v>
      </c>
      <c r="D10866" s="9">
        <v>93240.35</v>
      </c>
      <c r="E10866" s="10" t="str">
        <f t="array" ref="E10866">IFS(D10866&lt;=$G$3,'calculated data '!$A$3,D10866&lt;=$G$4,'calculated data '!$A$4,D10866&lt;=$G$6,'calculated data '!$A$5,D10866&gt;=$G$6,'calculated data '!$A$6)</f>
        <v>Outliers / Premium Tier</v>
      </c>
      <c r="F10866" s="10">
        <f t="shared" si="1"/>
        <v>1.804877367</v>
      </c>
    </row>
    <row r="10867" ht="14.25" customHeight="1">
      <c r="A10867" s="2" t="s">
        <v>495</v>
      </c>
      <c r="B10867" s="2" t="s">
        <v>496</v>
      </c>
      <c r="C10867" s="2">
        <v>2000.0</v>
      </c>
      <c r="D10867" s="9">
        <v>93272.01</v>
      </c>
      <c r="E10867" s="10" t="str">
        <f t="array" ref="E10867">IFS(D10867&lt;=$G$3,'calculated data '!$A$3,D10867&lt;=$G$4,'calculated data '!$A$4,D10867&lt;=$G$6,'calculated data '!$A$5,D10867&gt;=$G$6,'calculated data '!$A$6)</f>
        <v>Outliers / Premium Tier</v>
      </c>
      <c r="F10867" s="10">
        <f t="shared" si="1"/>
        <v>1.805715399</v>
      </c>
    </row>
    <row r="10868" ht="14.25" customHeight="1">
      <c r="A10868" s="2" t="s">
        <v>493</v>
      </c>
      <c r="B10868" s="2" t="s">
        <v>494</v>
      </c>
      <c r="C10868" s="2">
        <v>2015.0</v>
      </c>
      <c r="D10868" s="9">
        <v>93599.93</v>
      </c>
      <c r="E10868" s="10" t="str">
        <f t="array" ref="E10868">IFS(D10868&lt;=$G$3,'calculated data '!$A$3,D10868&lt;=$G$4,'calculated data '!$A$4,D10868&lt;=$G$6,'calculated data '!$A$5,D10868&gt;=$G$6,'calculated data '!$A$6)</f>
        <v>Outliers / Premium Tier</v>
      </c>
      <c r="F10868" s="10">
        <f t="shared" si="1"/>
        <v>1.81439536</v>
      </c>
    </row>
    <row r="10869" ht="14.25" customHeight="1">
      <c r="A10869" s="2" t="s">
        <v>483</v>
      </c>
      <c r="B10869" s="2" t="s">
        <v>484</v>
      </c>
      <c r="C10869" s="2">
        <v>2011.0</v>
      </c>
      <c r="D10869" s="9">
        <v>93617.63</v>
      </c>
      <c r="E10869" s="10" t="str">
        <f t="array" ref="E10869">IFS(D10869&lt;=$G$3,'calculated data '!$A$3,D10869&lt;=$G$4,'calculated data '!$A$4,D10869&lt;=$G$6,'calculated data '!$A$5,D10869&gt;=$G$6,'calculated data '!$A$6)</f>
        <v>Outliers / Premium Tier</v>
      </c>
      <c r="F10869" s="10">
        <f t="shared" si="1"/>
        <v>1.814863874</v>
      </c>
    </row>
    <row r="10870" ht="14.25" customHeight="1">
      <c r="A10870" s="2" t="s">
        <v>399</v>
      </c>
      <c r="B10870" s="2" t="s">
        <v>400</v>
      </c>
      <c r="C10870" s="2">
        <v>1993.0</v>
      </c>
      <c r="D10870" s="9">
        <v>93886.76</v>
      </c>
      <c r="E10870" s="10" t="str">
        <f t="array" ref="E10870">IFS(D10870&lt;=$G$3,'calculated data '!$A$3,D10870&lt;=$G$4,'calculated data '!$A$4,D10870&lt;=$G$6,'calculated data '!$A$5,D10870&gt;=$G$6,'calculated data '!$A$6)</f>
        <v>Outliers / Premium Tier</v>
      </c>
      <c r="F10870" s="10">
        <f t="shared" si="1"/>
        <v>1.821987679</v>
      </c>
    </row>
    <row r="10871" ht="14.25" customHeight="1">
      <c r="A10871" s="2" t="s">
        <v>493</v>
      </c>
      <c r="B10871" s="2" t="s">
        <v>494</v>
      </c>
      <c r="C10871" s="2">
        <v>1997.0</v>
      </c>
      <c r="D10871" s="9">
        <v>93922.53</v>
      </c>
      <c r="E10871" s="10" t="str">
        <f t="array" ref="E10871">IFS(D10871&lt;=$G$3,'calculated data '!$A$3,D10871&lt;=$G$4,'calculated data '!$A$4,D10871&lt;=$G$6,'calculated data '!$A$5,D10871&gt;=$G$6,'calculated data '!$A$6)</f>
        <v>Outliers / Premium Tier</v>
      </c>
      <c r="F10871" s="10">
        <f t="shared" si="1"/>
        <v>1.822934502</v>
      </c>
    </row>
    <row r="10872" ht="14.25" customHeight="1">
      <c r="A10872" s="2" t="s">
        <v>493</v>
      </c>
      <c r="B10872" s="2" t="s">
        <v>494</v>
      </c>
      <c r="C10872" s="2">
        <v>1996.0</v>
      </c>
      <c r="D10872" s="9">
        <v>93946.04</v>
      </c>
      <c r="E10872" s="10" t="str">
        <f t="array" ref="E10872">IFS(D10872&lt;=$G$3,'calculated data '!$A$3,D10872&lt;=$G$4,'calculated data '!$A$4,D10872&lt;=$G$6,'calculated data '!$A$5,D10872&gt;=$G$6,'calculated data '!$A$6)</f>
        <v>Outliers / Premium Tier</v>
      </c>
      <c r="F10872" s="10">
        <f t="shared" si="1"/>
        <v>1.823556805</v>
      </c>
    </row>
    <row r="10873" ht="14.25" customHeight="1">
      <c r="A10873" s="2" t="s">
        <v>493</v>
      </c>
      <c r="B10873" s="2" t="s">
        <v>494</v>
      </c>
      <c r="C10873" s="2">
        <v>1989.0</v>
      </c>
      <c r="D10873" s="9">
        <v>94047.625</v>
      </c>
      <c r="E10873" s="10" t="str">
        <f t="array" ref="E10873">IFS(D10873&lt;=$G$3,'calculated data '!$A$3,D10873&lt;=$G$4,'calculated data '!$A$4,D10873&lt;=$G$6,'calculated data '!$A$5,D10873&gt;=$G$6,'calculated data '!$A$6)</f>
        <v>Outliers / Premium Tier</v>
      </c>
      <c r="F10873" s="10">
        <f t="shared" si="1"/>
        <v>1.826245735</v>
      </c>
    </row>
    <row r="10874" ht="14.25" customHeight="1">
      <c r="A10874" s="2" t="s">
        <v>487</v>
      </c>
      <c r="B10874" s="2" t="s">
        <v>488</v>
      </c>
      <c r="C10874" s="2">
        <v>2005.0</v>
      </c>
      <c r="D10874" s="9">
        <v>94131.76</v>
      </c>
      <c r="E10874" s="10" t="str">
        <f t="array" ref="E10874">IFS(D10874&lt;=$G$3,'calculated data '!$A$3,D10874&lt;=$G$4,'calculated data '!$A$4,D10874&lt;=$G$6,'calculated data '!$A$5,D10874&gt;=$G$6,'calculated data '!$A$6)</f>
        <v>Outliers / Premium Tier</v>
      </c>
      <c r="F10874" s="10">
        <f t="shared" si="1"/>
        <v>1.828472767</v>
      </c>
    </row>
    <row r="10875" ht="14.25" customHeight="1">
      <c r="A10875" s="2" t="s">
        <v>493</v>
      </c>
      <c r="B10875" s="2" t="s">
        <v>494</v>
      </c>
      <c r="C10875" s="2">
        <v>2011.0</v>
      </c>
      <c r="D10875" s="9">
        <v>94184.39</v>
      </c>
      <c r="E10875" s="10" t="str">
        <f t="array" ref="E10875">IFS(D10875&lt;=$G$3,'calculated data '!$A$3,D10875&lt;=$G$4,'calculated data '!$A$4,D10875&lt;=$G$6,'calculated data '!$A$5,D10875&gt;=$G$6,'calculated data '!$A$6)</f>
        <v>Outliers / Premium Tier</v>
      </c>
      <c r="F10875" s="10">
        <f t="shared" si="1"/>
        <v>1.82986587</v>
      </c>
    </row>
    <row r="10876" ht="14.25" customHeight="1">
      <c r="A10876" s="2" t="s">
        <v>493</v>
      </c>
      <c r="B10876" s="2" t="s">
        <v>494</v>
      </c>
      <c r="C10876" s="2">
        <v>2001.0</v>
      </c>
      <c r="D10876" s="9">
        <v>94302.734</v>
      </c>
      <c r="E10876" s="10" t="str">
        <f t="array" ref="E10876">IFS(D10876&lt;=$G$3,'calculated data '!$A$3,D10876&lt;=$G$4,'calculated data '!$A$4,D10876&lt;=$G$6,'calculated data '!$A$5,D10876&gt;=$G$6,'calculated data '!$A$6)</f>
        <v>Outliers / Premium Tier</v>
      </c>
      <c r="F10876" s="10">
        <f t="shared" si="1"/>
        <v>1.832998407</v>
      </c>
    </row>
    <row r="10877" ht="14.25" customHeight="1">
      <c r="A10877" s="2" t="s">
        <v>399</v>
      </c>
      <c r="B10877" s="2" t="s">
        <v>400</v>
      </c>
      <c r="C10877" s="2">
        <v>2005.0</v>
      </c>
      <c r="D10877" s="9">
        <v>94348.49</v>
      </c>
      <c r="E10877" s="10" t="str">
        <f t="array" ref="E10877">IFS(D10877&lt;=$G$3,'calculated data '!$A$3,D10877&lt;=$G$4,'calculated data '!$A$4,D10877&lt;=$G$6,'calculated data '!$A$5,D10877&gt;=$G$6,'calculated data '!$A$6)</f>
        <v>Outliers / Premium Tier</v>
      </c>
      <c r="F10877" s="10">
        <f t="shared" si="1"/>
        <v>1.834209557</v>
      </c>
    </row>
    <row r="10878" ht="14.25" customHeight="1">
      <c r="A10878" s="2" t="s">
        <v>493</v>
      </c>
      <c r="B10878" s="2" t="s">
        <v>494</v>
      </c>
      <c r="C10878" s="2">
        <v>1999.0</v>
      </c>
      <c r="D10878" s="9">
        <v>94381.57</v>
      </c>
      <c r="E10878" s="10" t="str">
        <f t="array" ref="E10878">IFS(D10878&lt;=$G$3,'calculated data '!$A$3,D10878&lt;=$G$4,'calculated data '!$A$4,D10878&lt;=$G$6,'calculated data '!$A$5,D10878&gt;=$G$6,'calculated data '!$A$6)</f>
        <v>Outliers / Premium Tier</v>
      </c>
      <c r="F10878" s="10">
        <f t="shared" si="1"/>
        <v>1.835085176</v>
      </c>
    </row>
    <row r="10879" ht="14.25" customHeight="1">
      <c r="A10879" s="2" t="s">
        <v>497</v>
      </c>
      <c r="B10879" s="2" t="s">
        <v>498</v>
      </c>
      <c r="C10879" s="2">
        <v>1990.0</v>
      </c>
      <c r="D10879" s="9">
        <v>94590.04</v>
      </c>
      <c r="E10879" s="10" t="str">
        <f t="array" ref="E10879">IFS(D10879&lt;=$G$3,'calculated data '!$A$3,D10879&lt;=$G$4,'calculated data '!$A$4,D10879&lt;=$G$6,'calculated data '!$A$5,D10879&gt;=$G$6,'calculated data '!$A$6)</f>
        <v>Outliers / Premium Tier</v>
      </c>
      <c r="F10879" s="10">
        <f t="shared" si="1"/>
        <v>1.840603325</v>
      </c>
    </row>
    <row r="10880" ht="14.25" customHeight="1">
      <c r="A10880" s="2" t="s">
        <v>493</v>
      </c>
      <c r="B10880" s="2" t="s">
        <v>494</v>
      </c>
      <c r="C10880" s="2">
        <v>2014.0</v>
      </c>
      <c r="D10880" s="9">
        <v>94638.45</v>
      </c>
      <c r="E10880" s="10" t="str">
        <f t="array" ref="E10880">IFS(D10880&lt;=$G$3,'calculated data '!$A$3,D10880&lt;=$G$4,'calculated data '!$A$4,D10880&lt;=$G$6,'calculated data '!$A$5,D10880&gt;=$G$6,'calculated data '!$A$6)</f>
        <v>Outliers / Premium Tier</v>
      </c>
      <c r="F10880" s="10">
        <f t="shared" si="1"/>
        <v>1.841884726</v>
      </c>
    </row>
    <row r="10881" ht="14.25" customHeight="1">
      <c r="A10881" s="2" t="s">
        <v>493</v>
      </c>
      <c r="B10881" s="2" t="s">
        <v>494</v>
      </c>
      <c r="C10881" s="2">
        <v>2013.0</v>
      </c>
      <c r="D10881" s="9">
        <v>94786.71</v>
      </c>
      <c r="E10881" s="10" t="str">
        <f t="array" ref="E10881">IFS(D10881&lt;=$G$3,'calculated data '!$A$3,D10881&lt;=$G$4,'calculated data '!$A$4,D10881&lt;=$G$6,'calculated data '!$A$5,D10881&gt;=$G$6,'calculated data '!$A$6)</f>
        <v>Outliers / Premium Tier</v>
      </c>
      <c r="F10881" s="10">
        <f t="shared" si="1"/>
        <v>1.845809131</v>
      </c>
    </row>
    <row r="10882" ht="14.25" customHeight="1">
      <c r="A10882" s="2" t="s">
        <v>483</v>
      </c>
      <c r="B10882" s="2" t="s">
        <v>484</v>
      </c>
      <c r="C10882" s="2">
        <v>2009.0</v>
      </c>
      <c r="D10882" s="9">
        <v>94822.82</v>
      </c>
      <c r="E10882" s="10" t="str">
        <f t="array" ref="E10882">IFS(D10882&lt;=$G$3,'calculated data '!$A$3,D10882&lt;=$G$4,'calculated data '!$A$4,D10882&lt;=$G$6,'calculated data '!$A$5,D10882&gt;=$G$6,'calculated data '!$A$6)</f>
        <v>Outliers / Premium Tier</v>
      </c>
      <c r="F10882" s="10">
        <f t="shared" si="1"/>
        <v>1.846764954</v>
      </c>
    </row>
    <row r="10883" ht="14.25" customHeight="1">
      <c r="A10883" s="2" t="s">
        <v>491</v>
      </c>
      <c r="B10883" s="2" t="s">
        <v>492</v>
      </c>
      <c r="C10883" s="2">
        <v>2021.0</v>
      </c>
      <c r="D10883" s="9">
        <v>95144.71</v>
      </c>
      <c r="E10883" s="10" t="str">
        <f t="array" ref="E10883">IFS(D10883&lt;=$G$3,'calculated data '!$A$3,D10883&lt;=$G$4,'calculated data '!$A$4,D10883&lt;=$G$6,'calculated data '!$A$5,D10883&gt;=$G$6,'calculated data '!$A$6)</f>
        <v>Outliers / Premium Tier</v>
      </c>
      <c r="F10883" s="10">
        <f t="shared" si="1"/>
        <v>1.855285302</v>
      </c>
    </row>
    <row r="10884" ht="14.25" customHeight="1">
      <c r="A10884" s="2" t="s">
        <v>463</v>
      </c>
      <c r="B10884" s="2" t="s">
        <v>464</v>
      </c>
      <c r="C10884" s="2">
        <v>2020.0</v>
      </c>
      <c r="D10884" s="9">
        <v>95383.5</v>
      </c>
      <c r="E10884" s="10" t="str">
        <f t="array" ref="E10884">IFS(D10884&lt;=$G$3,'calculated data '!$A$3,D10884&lt;=$G$4,'calculated data '!$A$4,D10884&lt;=$G$6,'calculated data '!$A$5,D10884&gt;=$G$6,'calculated data '!$A$6)</f>
        <v>Outliers / Premium Tier</v>
      </c>
      <c r="F10884" s="10">
        <f t="shared" si="1"/>
        <v>1.861606014</v>
      </c>
    </row>
    <row r="10885" ht="14.25" customHeight="1">
      <c r="A10885" s="2" t="s">
        <v>491</v>
      </c>
      <c r="B10885" s="2" t="s">
        <v>492</v>
      </c>
      <c r="C10885" s="2">
        <v>2023.0</v>
      </c>
      <c r="D10885" s="9">
        <v>95412.35</v>
      </c>
      <c r="E10885" s="10" t="str">
        <f t="array" ref="E10885">IFS(D10885&lt;=$G$3,'calculated data '!$A$3,D10885&lt;=$G$4,'calculated data '!$A$4,D10885&lt;=$G$6,'calculated data '!$A$5,D10885&gt;=$G$6,'calculated data '!$A$6)</f>
        <v>Outliers / Premium Tier</v>
      </c>
      <c r="F10885" s="10">
        <f t="shared" si="1"/>
        <v>1.862369666</v>
      </c>
    </row>
    <row r="10886" ht="14.25" customHeight="1">
      <c r="A10886" s="2" t="s">
        <v>469</v>
      </c>
      <c r="B10886" s="2" t="s">
        <v>470</v>
      </c>
      <c r="C10886" s="2">
        <v>2001.0</v>
      </c>
      <c r="D10886" s="9">
        <v>95787.3</v>
      </c>
      <c r="E10886" s="10" t="str">
        <f t="array" ref="E10886">IFS(D10886&lt;=$G$3,'calculated data '!$A$3,D10886&lt;=$G$4,'calculated data '!$A$4,D10886&lt;=$G$6,'calculated data '!$A$5,D10886&gt;=$G$6,'calculated data '!$A$6)</f>
        <v>Outliers / Premium Tier</v>
      </c>
      <c r="F10886" s="10">
        <f t="shared" si="1"/>
        <v>1.872294499</v>
      </c>
    </row>
    <row r="10887" ht="14.25" customHeight="1">
      <c r="A10887" s="2" t="s">
        <v>487</v>
      </c>
      <c r="B10887" s="2" t="s">
        <v>488</v>
      </c>
      <c r="C10887" s="2">
        <v>2013.0</v>
      </c>
      <c r="D10887" s="9">
        <v>95801.016</v>
      </c>
      <c r="E10887" s="10" t="str">
        <f t="array" ref="E10887">IFS(D10887&lt;=$G$3,'calculated data '!$A$3,D10887&lt;=$G$4,'calculated data '!$A$4,D10887&lt;=$G$6,'calculated data '!$A$5,D10887&gt;=$G$6,'calculated data '!$A$6)</f>
        <v>Outliers / Premium Tier</v>
      </c>
      <c r="F10887" s="10">
        <f t="shared" si="1"/>
        <v>1.872657558</v>
      </c>
    </row>
    <row r="10888" ht="14.25" customHeight="1">
      <c r="A10888" s="2" t="s">
        <v>493</v>
      </c>
      <c r="B10888" s="2" t="s">
        <v>494</v>
      </c>
      <c r="C10888" s="2">
        <v>2000.0</v>
      </c>
      <c r="D10888" s="9">
        <v>95859.055</v>
      </c>
      <c r="E10888" s="10" t="str">
        <f t="array" ref="E10888">IFS(D10888&lt;=$G$3,'calculated data '!$A$3,D10888&lt;=$G$4,'calculated data '!$A$4,D10888&lt;=$G$6,'calculated data '!$A$5,D10888&gt;=$G$6,'calculated data '!$A$6)</f>
        <v>Outliers / Premium Tier</v>
      </c>
      <c r="F10888" s="10">
        <f t="shared" si="1"/>
        <v>1.874193836</v>
      </c>
    </row>
    <row r="10889" ht="14.25" customHeight="1">
      <c r="A10889" s="2" t="s">
        <v>493</v>
      </c>
      <c r="B10889" s="2" t="s">
        <v>494</v>
      </c>
      <c r="C10889" s="2">
        <v>2006.0</v>
      </c>
      <c r="D10889" s="9">
        <v>96026.78</v>
      </c>
      <c r="E10889" s="10" t="str">
        <f t="array" ref="E10889">IFS(D10889&lt;=$G$3,'calculated data '!$A$3,D10889&lt;=$G$4,'calculated data '!$A$4,D10889&lt;=$G$6,'calculated data '!$A$5,D10889&gt;=$G$6,'calculated data '!$A$6)</f>
        <v>Outliers / Premium Tier</v>
      </c>
      <c r="F10889" s="10">
        <f t="shared" si="1"/>
        <v>1.878633475</v>
      </c>
    </row>
    <row r="10890" ht="14.25" customHeight="1">
      <c r="A10890" s="2" t="s">
        <v>493</v>
      </c>
      <c r="B10890" s="2" t="s">
        <v>494</v>
      </c>
      <c r="C10890" s="2">
        <v>2008.0</v>
      </c>
      <c r="D10890" s="9">
        <v>96038.555</v>
      </c>
      <c r="E10890" s="10" t="str">
        <f t="array" ref="E10890">IFS(D10890&lt;=$G$3,'calculated data '!$A$3,D10890&lt;=$G$4,'calculated data '!$A$4,D10890&lt;=$G$6,'calculated data '!$A$5,D10890&gt;=$G$6,'calculated data '!$A$6)</f>
        <v>Outliers / Premium Tier</v>
      </c>
      <c r="F10890" s="10">
        <f t="shared" si="1"/>
        <v>1.878945156</v>
      </c>
    </row>
    <row r="10891" ht="14.25" customHeight="1">
      <c r="A10891" s="2" t="s">
        <v>493</v>
      </c>
      <c r="B10891" s="2" t="s">
        <v>494</v>
      </c>
      <c r="C10891" s="2">
        <v>2002.0</v>
      </c>
      <c r="D10891" s="9">
        <v>96334.06</v>
      </c>
      <c r="E10891" s="10" t="str">
        <f t="array" ref="E10891">IFS(D10891&lt;=$G$3,'calculated data '!$A$3,D10891&lt;=$G$4,'calculated data '!$A$4,D10891&lt;=$G$6,'calculated data '!$A$5,D10891&gt;=$G$6,'calculated data '!$A$6)</f>
        <v>Outliers / Premium Tier</v>
      </c>
      <c r="F10891" s="10">
        <f t="shared" si="1"/>
        <v>1.8867671</v>
      </c>
    </row>
    <row r="10892" ht="14.25" customHeight="1">
      <c r="A10892" s="2" t="s">
        <v>483</v>
      </c>
      <c r="B10892" s="2" t="s">
        <v>484</v>
      </c>
      <c r="C10892" s="2">
        <v>1994.0</v>
      </c>
      <c r="D10892" s="9">
        <v>96472.516</v>
      </c>
      <c r="E10892" s="10" t="str">
        <f t="array" ref="E10892">IFS(D10892&lt;=$G$3,'calculated data '!$A$3,D10892&lt;=$G$4,'calculated data '!$A$4,D10892&lt;=$G$6,'calculated data '!$A$5,D10892&gt;=$G$6,'calculated data '!$A$6)</f>
        <v>Outliers / Premium Tier</v>
      </c>
      <c r="F10892" s="10">
        <f t="shared" si="1"/>
        <v>1.890431996</v>
      </c>
    </row>
    <row r="10893" ht="14.25" customHeight="1">
      <c r="A10893" s="2" t="s">
        <v>491</v>
      </c>
      <c r="B10893" s="2" t="s">
        <v>492</v>
      </c>
      <c r="C10893" s="2">
        <v>2024.0</v>
      </c>
      <c r="D10893" s="9">
        <v>96567.34</v>
      </c>
      <c r="E10893" s="10" t="str">
        <f t="array" ref="E10893">IFS(D10893&lt;=$G$3,'calculated data '!$A$3,D10893&lt;=$G$4,'calculated data '!$A$4,D10893&lt;=$G$6,'calculated data '!$A$5,D10893&gt;=$G$6,'calculated data '!$A$6)</f>
        <v>Outliers / Premium Tier</v>
      </c>
      <c r="F10893" s="10">
        <f t="shared" si="1"/>
        <v>1.892941963</v>
      </c>
    </row>
    <row r="10894" ht="14.25" customHeight="1">
      <c r="A10894" s="2" t="s">
        <v>491</v>
      </c>
      <c r="B10894" s="2" t="s">
        <v>492</v>
      </c>
      <c r="C10894" s="2">
        <v>2025.0</v>
      </c>
      <c r="D10894" s="9">
        <v>96633.45</v>
      </c>
      <c r="E10894" s="10" t="str">
        <f t="array" ref="E10894">IFS(D10894&lt;=$G$3,'calculated data '!$A$3,D10894&lt;=$G$4,'calculated data '!$A$4,D10894&lt;=$G$6,'calculated data '!$A$5,D10894&gt;=$G$6,'calculated data '!$A$6)</f>
        <v>Outliers / Premium Tier</v>
      </c>
      <c r="F10894" s="10">
        <f t="shared" si="1"/>
        <v>1.894691879</v>
      </c>
    </row>
    <row r="10895" ht="14.25" customHeight="1">
      <c r="A10895" s="2" t="s">
        <v>487</v>
      </c>
      <c r="B10895" s="2" t="s">
        <v>488</v>
      </c>
      <c r="C10895" s="2">
        <v>2009.0</v>
      </c>
      <c r="D10895" s="9">
        <v>96748.22</v>
      </c>
      <c r="E10895" s="10" t="str">
        <f t="array" ref="E10895">IFS(D10895&lt;=$G$3,'calculated data '!$A$3,D10895&lt;=$G$4,'calculated data '!$A$4,D10895&lt;=$G$6,'calculated data '!$A$5,D10895&gt;=$G$6,'calculated data '!$A$6)</f>
        <v>Outliers / Premium Tier</v>
      </c>
      <c r="F10895" s="10">
        <f t="shared" si="1"/>
        <v>1.897729812</v>
      </c>
    </row>
    <row r="10896" ht="14.25" customHeight="1">
      <c r="A10896" s="2" t="s">
        <v>399</v>
      </c>
      <c r="B10896" s="2" t="s">
        <v>400</v>
      </c>
      <c r="C10896" s="2">
        <v>1997.0</v>
      </c>
      <c r="D10896" s="9">
        <v>96856.82</v>
      </c>
      <c r="E10896" s="10" t="str">
        <f t="array" ref="E10896">IFS(D10896&lt;=$G$3,'calculated data '!$A$3,D10896&lt;=$G$4,'calculated data '!$A$4,D10896&lt;=$G$6,'calculated data '!$A$5,D10896&gt;=$G$6,'calculated data '!$A$6)</f>
        <v>Outliers / Premium Tier</v>
      </c>
      <c r="F10896" s="10">
        <f t="shared" si="1"/>
        <v>1.900604427</v>
      </c>
    </row>
    <row r="10897" ht="14.25" customHeight="1">
      <c r="A10897" s="2" t="s">
        <v>493</v>
      </c>
      <c r="B10897" s="2" t="s">
        <v>494</v>
      </c>
      <c r="C10897" s="2">
        <v>2005.0</v>
      </c>
      <c r="D10897" s="9">
        <v>96909.31</v>
      </c>
      <c r="E10897" s="10" t="str">
        <f t="array" ref="E10897">IFS(D10897&lt;=$G$3,'calculated data '!$A$3,D10897&lt;=$G$4,'calculated data '!$A$4,D10897&lt;=$G$6,'calculated data '!$A$5,D10897&gt;=$G$6,'calculated data '!$A$6)</f>
        <v>Outliers / Premium Tier</v>
      </c>
      <c r="F10897" s="10">
        <f t="shared" si="1"/>
        <v>1.901993824</v>
      </c>
    </row>
    <row r="10898" ht="14.25" customHeight="1">
      <c r="A10898" s="2" t="s">
        <v>483</v>
      </c>
      <c r="B10898" s="2" t="s">
        <v>484</v>
      </c>
      <c r="C10898" s="2">
        <v>1990.0</v>
      </c>
      <c r="D10898" s="9">
        <v>96965.055</v>
      </c>
      <c r="E10898" s="10" t="str">
        <f t="array" ref="E10898">IFS(D10898&lt;=$G$3,'calculated data '!$A$3,D10898&lt;=$G$4,'calculated data '!$A$4,D10898&lt;=$G$6,'calculated data '!$A$5,D10898&gt;=$G$6,'calculated data '!$A$6)</f>
        <v>Outliers / Premium Tier</v>
      </c>
      <c r="F10898" s="10">
        <f t="shared" si="1"/>
        <v>1.90346938</v>
      </c>
    </row>
    <row r="10899" ht="14.25" customHeight="1">
      <c r="A10899" s="2" t="s">
        <v>493</v>
      </c>
      <c r="B10899" s="2" t="s">
        <v>494</v>
      </c>
      <c r="C10899" s="2">
        <v>2003.0</v>
      </c>
      <c r="D10899" s="9">
        <v>96990.35</v>
      </c>
      <c r="E10899" s="10" t="str">
        <f t="array" ref="E10899">IFS(D10899&lt;=$G$3,'calculated data '!$A$3,D10899&lt;=$G$4,'calculated data '!$A$4,D10899&lt;=$G$6,'calculated data '!$A$5,D10899&gt;=$G$6,'calculated data '!$A$6)</f>
        <v>Outliers / Premium Tier</v>
      </c>
      <c r="F10899" s="10">
        <f t="shared" si="1"/>
        <v>1.904138933</v>
      </c>
    </row>
    <row r="10900" ht="14.25" customHeight="1">
      <c r="A10900" s="2" t="s">
        <v>483</v>
      </c>
      <c r="B10900" s="2" t="s">
        <v>484</v>
      </c>
      <c r="C10900" s="2">
        <v>2002.0</v>
      </c>
      <c r="D10900" s="9">
        <v>97088.04</v>
      </c>
      <c r="E10900" s="10" t="str">
        <f t="array" ref="E10900">IFS(D10900&lt;=$G$3,'calculated data '!$A$3,D10900&lt;=$G$4,'calculated data '!$A$4,D10900&lt;=$G$6,'calculated data '!$A$5,D10900&gt;=$G$6,'calculated data '!$A$6)</f>
        <v>Outliers / Premium Tier</v>
      </c>
      <c r="F10900" s="10">
        <f t="shared" si="1"/>
        <v>1.906724763</v>
      </c>
    </row>
    <row r="10901" ht="14.25" customHeight="1">
      <c r="A10901" s="2" t="s">
        <v>491</v>
      </c>
      <c r="B10901" s="2" t="s">
        <v>492</v>
      </c>
      <c r="C10901" s="2">
        <v>2022.0</v>
      </c>
      <c r="D10901" s="9">
        <v>97206.19</v>
      </c>
      <c r="E10901" s="10" t="str">
        <f t="array" ref="E10901">IFS(D10901&lt;=$G$3,'calculated data '!$A$3,D10901&lt;=$G$4,'calculated data '!$A$4,D10901&lt;=$G$6,'calculated data '!$A$5,D10901&gt;=$G$6,'calculated data '!$A$6)</f>
        <v>Outliers / Premium Tier</v>
      </c>
      <c r="F10901" s="10">
        <f t="shared" si="1"/>
        <v>1.909852164</v>
      </c>
    </row>
    <row r="10902" ht="14.25" customHeight="1">
      <c r="A10902" s="2" t="s">
        <v>491</v>
      </c>
      <c r="B10902" s="2" t="s">
        <v>492</v>
      </c>
      <c r="C10902" s="2">
        <v>2019.0</v>
      </c>
      <c r="D10902" s="9">
        <v>97414.62</v>
      </c>
      <c r="E10902" s="10" t="str">
        <f t="array" ref="E10902">IFS(D10902&lt;=$G$3,'calculated data '!$A$3,D10902&lt;=$G$4,'calculated data '!$A$4,D10902&lt;=$G$6,'calculated data '!$A$5,D10902&gt;=$G$6,'calculated data '!$A$6)</f>
        <v>Outliers / Premium Tier</v>
      </c>
      <c r="F10902" s="10">
        <f t="shared" si="1"/>
        <v>1.915369254</v>
      </c>
    </row>
    <row r="10903" ht="14.25" customHeight="1">
      <c r="A10903" s="2" t="s">
        <v>491</v>
      </c>
      <c r="B10903" s="2" t="s">
        <v>492</v>
      </c>
      <c r="C10903" s="2">
        <v>2010.0</v>
      </c>
      <c r="D10903" s="9">
        <v>97431.59</v>
      </c>
      <c r="E10903" s="10" t="str">
        <f t="array" ref="E10903">IFS(D10903&lt;=$G$3,'calculated data '!$A$3,D10903&lt;=$G$4,'calculated data '!$A$4,D10903&lt;=$G$6,'calculated data '!$A$5,D10903&gt;=$G$6,'calculated data '!$A$6)</f>
        <v>Outliers / Premium Tier</v>
      </c>
      <c r="F10903" s="10">
        <f t="shared" si="1"/>
        <v>1.915818446</v>
      </c>
    </row>
    <row r="10904" ht="14.25" customHeight="1">
      <c r="A10904" s="2" t="s">
        <v>491</v>
      </c>
      <c r="B10904" s="2" t="s">
        <v>492</v>
      </c>
      <c r="C10904" s="2">
        <v>2013.0</v>
      </c>
      <c r="D10904" s="9">
        <v>97447.6</v>
      </c>
      <c r="E10904" s="10" t="str">
        <f t="array" ref="E10904">IFS(D10904&lt;=$G$3,'calculated data '!$A$3,D10904&lt;=$G$4,'calculated data '!$A$4,D10904&lt;=$G$6,'calculated data '!$A$5,D10904&gt;=$G$6,'calculated data '!$A$6)</f>
        <v>Outliers / Premium Tier</v>
      </c>
      <c r="F10904" s="10">
        <f t="shared" si="1"/>
        <v>1.916242226</v>
      </c>
    </row>
    <row r="10905" ht="14.25" customHeight="1">
      <c r="A10905" s="2" t="s">
        <v>487</v>
      </c>
      <c r="B10905" s="2" t="s">
        <v>488</v>
      </c>
      <c r="C10905" s="2">
        <v>1989.0</v>
      </c>
      <c r="D10905" s="9">
        <v>97908.484</v>
      </c>
      <c r="E10905" s="10" t="str">
        <f t="array" ref="E10905">IFS(D10905&lt;=$G$3,'calculated data '!$A$3,D10905&lt;=$G$4,'calculated data '!$A$4,D10905&lt;=$G$6,'calculated data '!$A$5,D10905&gt;=$G$6,'calculated data '!$A$6)</f>
        <v>Outliers / Premium Tier</v>
      </c>
      <c r="F10905" s="10">
        <f t="shared" si="1"/>
        <v>1.928441711</v>
      </c>
    </row>
    <row r="10906" ht="14.25" customHeight="1">
      <c r="A10906" s="2" t="s">
        <v>491</v>
      </c>
      <c r="B10906" s="2" t="s">
        <v>492</v>
      </c>
      <c r="C10906" s="2">
        <v>2011.0</v>
      </c>
      <c r="D10906" s="9">
        <v>97958.99</v>
      </c>
      <c r="E10906" s="10" t="str">
        <f t="array" ref="E10906">IFS(D10906&lt;=$G$3,'calculated data '!$A$3,D10906&lt;=$G$4,'calculated data '!$A$4,D10906&lt;=$G$6,'calculated data '!$A$5,D10906&gt;=$G$6,'calculated data '!$A$6)</f>
        <v>Outliers / Premium Tier</v>
      </c>
      <c r="F10906" s="10">
        <f t="shared" si="1"/>
        <v>1.929778592</v>
      </c>
    </row>
    <row r="10907" ht="14.25" customHeight="1">
      <c r="A10907" s="2" t="s">
        <v>493</v>
      </c>
      <c r="B10907" s="2" t="s">
        <v>494</v>
      </c>
      <c r="C10907" s="2">
        <v>2004.0</v>
      </c>
      <c r="D10907" s="9">
        <v>98084.58</v>
      </c>
      <c r="E10907" s="10" t="str">
        <f t="array" ref="E10907">IFS(D10907&lt;=$G$3,'calculated data '!$A$3,D10907&lt;=$G$4,'calculated data '!$A$4,D10907&lt;=$G$6,'calculated data '!$A$5,D10907&gt;=$G$6,'calculated data '!$A$6)</f>
        <v>Outliers / Premium Tier</v>
      </c>
      <c r="F10907" s="10">
        <f t="shared" si="1"/>
        <v>1.933102928</v>
      </c>
    </row>
    <row r="10908" ht="14.25" customHeight="1">
      <c r="A10908" s="2" t="s">
        <v>483</v>
      </c>
      <c r="B10908" s="2" t="s">
        <v>484</v>
      </c>
      <c r="C10908" s="2">
        <v>2010.0</v>
      </c>
      <c r="D10908" s="9">
        <v>98095.85</v>
      </c>
      <c r="E10908" s="10" t="str">
        <f t="array" ref="E10908">IFS(D10908&lt;=$G$3,'calculated data '!$A$3,D10908&lt;=$G$4,'calculated data '!$A$4,D10908&lt;=$G$6,'calculated data '!$A$5,D10908&gt;=$G$6,'calculated data '!$A$6)</f>
        <v>Outliers / Premium Tier</v>
      </c>
      <c r="F10908" s="10">
        <f t="shared" si="1"/>
        <v>1.933401242</v>
      </c>
    </row>
    <row r="10909" ht="14.25" customHeight="1">
      <c r="A10909" s="2" t="s">
        <v>389</v>
      </c>
      <c r="B10909" s="2" t="s">
        <v>390</v>
      </c>
      <c r="C10909" s="2">
        <v>1969.0</v>
      </c>
      <c r="D10909" s="9">
        <v>98199.18</v>
      </c>
      <c r="E10909" s="10" t="str">
        <f t="array" ref="E10909">IFS(D10909&lt;=$G$3,'calculated data '!$A$3,D10909&lt;=$G$4,'calculated data '!$A$4,D10909&lt;=$G$6,'calculated data '!$A$5,D10909&gt;=$G$6,'calculated data '!$A$6)</f>
        <v>Outliers / Premium Tier</v>
      </c>
      <c r="F10909" s="10">
        <f t="shared" si="1"/>
        <v>1.936136362</v>
      </c>
    </row>
    <row r="10910" ht="14.25" customHeight="1">
      <c r="A10910" s="2" t="s">
        <v>429</v>
      </c>
      <c r="B10910" s="2" t="s">
        <v>430</v>
      </c>
      <c r="C10910" s="2">
        <v>1993.0</v>
      </c>
      <c r="D10910" s="9">
        <v>98307.08</v>
      </c>
      <c r="E10910" s="10" t="str">
        <f t="array" ref="E10910">IFS(D10910&lt;=$G$3,'calculated data '!$A$3,D10910&lt;=$G$4,'calculated data '!$A$4,D10910&lt;=$G$6,'calculated data '!$A$5,D10910&gt;=$G$6,'calculated data '!$A$6)</f>
        <v>Outliers / Premium Tier</v>
      </c>
      <c r="F10910" s="10">
        <f t="shared" si="1"/>
        <v>1.938992448</v>
      </c>
    </row>
    <row r="10911" ht="14.25" customHeight="1">
      <c r="A10911" s="2" t="s">
        <v>399</v>
      </c>
      <c r="B10911" s="2" t="s">
        <v>400</v>
      </c>
      <c r="C10911" s="2">
        <v>1995.0</v>
      </c>
      <c r="D10911" s="9">
        <v>98565.68</v>
      </c>
      <c r="E10911" s="10" t="str">
        <f t="array" ref="E10911">IFS(D10911&lt;=$G$3,'calculated data '!$A$3,D10911&lt;=$G$4,'calculated data '!$A$4,D10911&lt;=$G$6,'calculated data '!$A$5,D10911&gt;=$G$6,'calculated data '!$A$6)</f>
        <v>Outliers / Premium Tier</v>
      </c>
      <c r="F10911" s="10">
        <f t="shared" si="1"/>
        <v>1.945837526</v>
      </c>
    </row>
    <row r="10912" ht="14.25" customHeight="1">
      <c r="A10912" s="2" t="s">
        <v>493</v>
      </c>
      <c r="B10912" s="2" t="s">
        <v>494</v>
      </c>
      <c r="C10912" s="2">
        <v>2007.0</v>
      </c>
      <c r="D10912" s="9">
        <v>98796.18</v>
      </c>
      <c r="E10912" s="10" t="str">
        <f t="array" ref="E10912">IFS(D10912&lt;=$G$3,'calculated data '!$A$3,D10912&lt;=$G$4,'calculated data '!$A$4,D10912&lt;=$G$6,'calculated data '!$A$5,D10912&gt;=$G$6,'calculated data '!$A$6)</f>
        <v>Outliers / Premium Tier</v>
      </c>
      <c r="F10912" s="10">
        <f t="shared" si="1"/>
        <v>1.951938803</v>
      </c>
    </row>
    <row r="10913" ht="14.25" customHeight="1">
      <c r="A10913" s="2" t="s">
        <v>389</v>
      </c>
      <c r="B10913" s="2" t="s">
        <v>390</v>
      </c>
      <c r="C10913" s="2">
        <v>1970.0</v>
      </c>
      <c r="D10913" s="9">
        <v>99043.46</v>
      </c>
      <c r="E10913" s="10" t="str">
        <f t="array" ref="E10913">IFS(D10913&lt;=$G$3,'calculated data '!$A$3,D10913&lt;=$G$4,'calculated data '!$A$4,D10913&lt;=$G$6,'calculated data '!$A$5,D10913&gt;=$G$6,'calculated data '!$A$6)</f>
        <v>Outliers / Premium Tier</v>
      </c>
      <c r="F10913" s="10">
        <f t="shared" si="1"/>
        <v>1.958484243</v>
      </c>
    </row>
    <row r="10914" ht="14.25" customHeight="1">
      <c r="A10914" s="2" t="s">
        <v>399</v>
      </c>
      <c r="B10914" s="2" t="s">
        <v>400</v>
      </c>
      <c r="C10914" s="2">
        <v>2006.0</v>
      </c>
      <c r="D10914" s="9">
        <v>99214.5</v>
      </c>
      <c r="E10914" s="10" t="str">
        <f t="array" ref="E10914">IFS(D10914&lt;=$G$3,'calculated data '!$A$3,D10914&lt;=$G$4,'calculated data '!$A$4,D10914&lt;=$G$6,'calculated data '!$A$5,D10914&gt;=$G$6,'calculated data '!$A$6)</f>
        <v>Outliers / Premium Tier</v>
      </c>
      <c r="F10914" s="10">
        <f t="shared" si="1"/>
        <v>1.963011629</v>
      </c>
    </row>
    <row r="10915" ht="14.25" customHeight="1">
      <c r="A10915" s="2" t="s">
        <v>469</v>
      </c>
      <c r="B10915" s="2" t="s">
        <v>470</v>
      </c>
      <c r="C10915" s="2">
        <v>2025.0</v>
      </c>
      <c r="D10915" s="9">
        <v>99506.38</v>
      </c>
      <c r="E10915" s="10" t="str">
        <f t="array" ref="E10915">IFS(D10915&lt;=$G$3,'calculated data '!$A$3,D10915&lt;=$G$4,'calculated data '!$A$4,D10915&lt;=$G$6,'calculated data '!$A$5,D10915&gt;=$G$6,'calculated data '!$A$6)</f>
        <v>Outliers / Premium Tier</v>
      </c>
      <c r="F10915" s="10">
        <f t="shared" si="1"/>
        <v>1.97073762</v>
      </c>
    </row>
    <row r="10916" ht="14.25" customHeight="1">
      <c r="A10916" s="2" t="s">
        <v>441</v>
      </c>
      <c r="B10916" s="2" t="s">
        <v>442</v>
      </c>
      <c r="C10916" s="2">
        <v>1984.0</v>
      </c>
      <c r="D10916" s="9">
        <v>99689.62</v>
      </c>
      <c r="E10916" s="10" t="str">
        <f t="array" ref="E10916">IFS(D10916&lt;=$G$3,'calculated data '!$A$3,D10916&lt;=$G$4,'calculated data '!$A$4,D10916&lt;=$G$6,'calculated data '!$A$5,D10916&gt;=$G$6,'calculated data '!$A$6)</f>
        <v>Outliers / Premium Tier</v>
      </c>
      <c r="F10916" s="10">
        <f t="shared" si="1"/>
        <v>1.975587937</v>
      </c>
    </row>
    <row r="10917" ht="14.25" customHeight="1">
      <c r="A10917" s="2" t="s">
        <v>463</v>
      </c>
      <c r="B10917" s="2" t="s">
        <v>464</v>
      </c>
      <c r="C10917" s="2">
        <v>2019.0</v>
      </c>
      <c r="D10917" s="9">
        <v>99708.766</v>
      </c>
      <c r="E10917" s="10" t="str">
        <f t="array" ref="E10917">IFS(D10917&lt;=$G$3,'calculated data '!$A$3,D10917&lt;=$G$4,'calculated data '!$A$4,D10917&lt;=$G$6,'calculated data '!$A$5,D10917&gt;=$G$6,'calculated data '!$A$6)</f>
        <v>Outliers / Premium Tier</v>
      </c>
      <c r="F10917" s="10">
        <f t="shared" si="1"/>
        <v>1.976094727</v>
      </c>
    </row>
    <row r="10918" ht="14.25" customHeight="1">
      <c r="A10918" s="2" t="s">
        <v>441</v>
      </c>
      <c r="B10918" s="2" t="s">
        <v>442</v>
      </c>
      <c r="C10918" s="2">
        <v>1983.0</v>
      </c>
      <c r="D10918" s="9">
        <v>100233.97</v>
      </c>
      <c r="E10918" s="10" t="str">
        <f t="array" ref="E10918">IFS(D10918&lt;=$G$3,'calculated data '!$A$3,D10918&lt;=$G$4,'calculated data '!$A$4,D10918&lt;=$G$6,'calculated data '!$A$5,D10918&gt;=$G$6,'calculated data '!$A$6)</f>
        <v>Outliers / Premium Tier</v>
      </c>
      <c r="F10918" s="10">
        <f t="shared" si="1"/>
        <v>1.989996746</v>
      </c>
    </row>
    <row r="10919" ht="14.25" customHeight="1">
      <c r="A10919" s="2" t="s">
        <v>491</v>
      </c>
      <c r="B10919" s="2" t="s">
        <v>492</v>
      </c>
      <c r="C10919" s="2">
        <v>2012.0</v>
      </c>
      <c r="D10919" s="9">
        <v>100292.695</v>
      </c>
      <c r="E10919" s="10" t="str">
        <f t="array" ref="E10919">IFS(D10919&lt;=$G$3,'calculated data '!$A$3,D10919&lt;=$G$4,'calculated data '!$A$4,D10919&lt;=$G$6,'calculated data '!$A$5,D10919&gt;=$G$6,'calculated data '!$A$6)</f>
        <v>Outliers / Premium Tier</v>
      </c>
      <c r="F10919" s="10">
        <f t="shared" si="1"/>
        <v>1.991551182</v>
      </c>
    </row>
    <row r="10920" ht="14.25" customHeight="1">
      <c r="A10920" s="2" t="s">
        <v>483</v>
      </c>
      <c r="B10920" s="2" t="s">
        <v>484</v>
      </c>
      <c r="C10920" s="2">
        <v>2003.0</v>
      </c>
      <c r="D10920" s="9">
        <v>100687.37</v>
      </c>
      <c r="E10920" s="10" t="str">
        <f t="array" ref="E10920">IFS(D10920&lt;=$G$3,'calculated data '!$A$3,D10920&lt;=$G$4,'calculated data '!$A$4,D10920&lt;=$G$6,'calculated data '!$A$5,D10920&gt;=$G$6,'calculated data '!$A$6)</f>
        <v>Outliers / Premium Tier</v>
      </c>
      <c r="F10920" s="10">
        <f t="shared" si="1"/>
        <v>2.001998131</v>
      </c>
    </row>
    <row r="10921" ht="14.25" customHeight="1">
      <c r="A10921" s="2" t="s">
        <v>441</v>
      </c>
      <c r="B10921" s="2" t="s">
        <v>442</v>
      </c>
      <c r="C10921" s="2">
        <v>1980.0</v>
      </c>
      <c r="D10921" s="9">
        <v>100768.305</v>
      </c>
      <c r="E10921" s="10" t="str">
        <f t="array" ref="E10921">IFS(D10921&lt;=$G$3,'calculated data '!$A$3,D10921&lt;=$G$4,'calculated data '!$A$4,D10921&lt;=$G$6,'calculated data '!$A$5,D10921&gt;=$G$6,'calculated data '!$A$6)</f>
        <v>Outliers / Premium Tier</v>
      </c>
      <c r="F10921" s="10">
        <f t="shared" si="1"/>
        <v>2.004140461</v>
      </c>
    </row>
    <row r="10922" ht="14.25" customHeight="1">
      <c r="A10922" s="2" t="s">
        <v>441</v>
      </c>
      <c r="B10922" s="2" t="s">
        <v>442</v>
      </c>
      <c r="C10922" s="2">
        <v>1981.0</v>
      </c>
      <c r="D10922" s="9">
        <v>100818.61</v>
      </c>
      <c r="E10922" s="10" t="str">
        <f t="array" ref="E10922">IFS(D10922&lt;=$G$3,'calculated data '!$A$3,D10922&lt;=$G$4,'calculated data '!$A$4,D10922&lt;=$G$6,'calculated data '!$A$5,D10922&gt;=$G$6,'calculated data '!$A$6)</f>
        <v>Outliers / Premium Tier</v>
      </c>
      <c r="F10922" s="10">
        <f t="shared" si="1"/>
        <v>2.005472022</v>
      </c>
    </row>
    <row r="10923" ht="14.25" customHeight="1">
      <c r="A10923" s="2" t="s">
        <v>483</v>
      </c>
      <c r="B10923" s="2" t="s">
        <v>484</v>
      </c>
      <c r="C10923" s="2">
        <v>2008.0</v>
      </c>
      <c r="D10923" s="9">
        <v>100950.76</v>
      </c>
      <c r="E10923" s="10" t="str">
        <f t="array" ref="E10923">IFS(D10923&lt;=$G$3,'calculated data '!$A$3,D10923&lt;=$G$4,'calculated data '!$A$4,D10923&lt;=$G$6,'calculated data '!$A$5,D10923&gt;=$G$6,'calculated data '!$A$6)</f>
        <v>Outliers / Premium Tier</v>
      </c>
      <c r="F10923" s="10">
        <f t="shared" si="1"/>
        <v>2.008969999</v>
      </c>
    </row>
    <row r="10924" ht="14.25" customHeight="1">
      <c r="A10924" s="2" t="s">
        <v>491</v>
      </c>
      <c r="B10924" s="2" t="s">
        <v>492</v>
      </c>
      <c r="C10924" s="2">
        <v>2014.0</v>
      </c>
      <c r="D10924" s="9">
        <v>101097.52</v>
      </c>
      <c r="E10924" s="10" t="str">
        <f t="array" ref="E10924">IFS(D10924&lt;=$G$3,'calculated data '!$A$3,D10924&lt;=$G$4,'calculated data '!$A$4,D10924&lt;=$G$6,'calculated data '!$A$5,D10924&gt;=$G$6,'calculated data '!$A$6)</f>
        <v>Outliers / Premium Tier</v>
      </c>
      <c r="F10924" s="10">
        <f t="shared" si="1"/>
        <v>2.0128547</v>
      </c>
    </row>
    <row r="10925" ht="14.25" customHeight="1">
      <c r="A10925" s="2" t="s">
        <v>483</v>
      </c>
      <c r="B10925" s="2" t="s">
        <v>484</v>
      </c>
      <c r="C10925" s="2">
        <v>1993.0</v>
      </c>
      <c r="D10925" s="9">
        <v>101798.42</v>
      </c>
      <c r="E10925" s="10" t="str">
        <f t="array" ref="E10925">IFS(D10925&lt;=$G$3,'calculated data '!$A$3,D10925&lt;=$G$4,'calculated data '!$A$4,D10925&lt;=$G$6,'calculated data '!$A$5,D10925&gt;=$G$6,'calculated data '!$A$6)</f>
        <v>Outliers / Premium Tier</v>
      </c>
      <c r="F10925" s="10">
        <f t="shared" si="1"/>
        <v>2.031407348</v>
      </c>
    </row>
    <row r="10926" ht="14.25" customHeight="1">
      <c r="A10926" s="2" t="s">
        <v>483</v>
      </c>
      <c r="B10926" s="2" t="s">
        <v>484</v>
      </c>
      <c r="C10926" s="2">
        <v>1992.0</v>
      </c>
      <c r="D10926" s="9">
        <v>101803.016</v>
      </c>
      <c r="E10926" s="10" t="str">
        <f t="array" ref="E10926">IFS(D10926&lt;=$G$3,'calculated data '!$A$3,D10926&lt;=$G$4,'calculated data '!$A$4,D10926&lt;=$G$6,'calculated data '!$A$5,D10926&gt;=$G$6,'calculated data '!$A$6)</f>
        <v>Outliers / Premium Tier</v>
      </c>
      <c r="F10926" s="10">
        <f t="shared" si="1"/>
        <v>2.031529003</v>
      </c>
    </row>
    <row r="10927" ht="14.25" customHeight="1">
      <c r="A10927" s="2" t="s">
        <v>35</v>
      </c>
      <c r="B10927" s="2" t="s">
        <v>36</v>
      </c>
      <c r="C10927" s="2">
        <v>2016.0</v>
      </c>
      <c r="D10927" s="9">
        <v>101821.43</v>
      </c>
      <c r="E10927" s="10" t="str">
        <f t="array" ref="E10927">IFS(D10927&lt;=$G$3,'calculated data '!$A$3,D10927&lt;=$G$4,'calculated data '!$A$4,D10927&lt;=$G$6,'calculated data '!$A$5,D10927&gt;=$G$6,'calculated data '!$A$6)</f>
        <v>Outliers / Premium Tier</v>
      </c>
      <c r="F10927" s="10">
        <f t="shared" si="1"/>
        <v>2.032016417</v>
      </c>
    </row>
    <row r="10928" ht="14.25" customHeight="1">
      <c r="A10928" s="2" t="s">
        <v>491</v>
      </c>
      <c r="B10928" s="2" t="s">
        <v>492</v>
      </c>
      <c r="C10928" s="2">
        <v>2015.0</v>
      </c>
      <c r="D10928" s="9">
        <v>101970.09</v>
      </c>
      <c r="E10928" s="10" t="str">
        <f t="array" ref="E10928">IFS(D10928&lt;=$G$3,'calculated data '!$A$3,D10928&lt;=$G$4,'calculated data '!$A$4,D10928&lt;=$G$6,'calculated data '!$A$5,D10928&gt;=$G$6,'calculated data '!$A$6)</f>
        <v>Outliers / Premium Tier</v>
      </c>
      <c r="F10928" s="10">
        <f t="shared" si="1"/>
        <v>2.03595141</v>
      </c>
    </row>
    <row r="10929" ht="14.25" customHeight="1">
      <c r="A10929" s="2" t="s">
        <v>487</v>
      </c>
      <c r="B10929" s="2" t="s">
        <v>488</v>
      </c>
      <c r="C10929" s="2">
        <v>1987.0</v>
      </c>
      <c r="D10929" s="9">
        <v>102043.99</v>
      </c>
      <c r="E10929" s="10" t="str">
        <f t="array" ref="E10929">IFS(D10929&lt;=$G$3,'calculated data '!$A$3,D10929&lt;=$G$4,'calculated data '!$A$4,D10929&lt;=$G$6,'calculated data '!$A$5,D10929&gt;=$G$6,'calculated data '!$A$6)</f>
        <v>Outliers / Premium Tier</v>
      </c>
      <c r="F10929" s="10">
        <f t="shared" si="1"/>
        <v>2.037907525</v>
      </c>
    </row>
    <row r="10930" ht="14.25" customHeight="1">
      <c r="A10930" s="2" t="s">
        <v>491</v>
      </c>
      <c r="B10930" s="2" t="s">
        <v>492</v>
      </c>
      <c r="C10930" s="2">
        <v>2018.0</v>
      </c>
      <c r="D10930" s="9">
        <v>102137.164</v>
      </c>
      <c r="E10930" s="10" t="str">
        <f t="array" ref="E10930">IFS(D10930&lt;=$G$3,'calculated data '!$A$3,D10930&lt;=$G$4,'calculated data '!$A$4,D10930&lt;=$G$6,'calculated data '!$A$5,D10930&gt;=$G$6,'calculated data '!$A$6)</f>
        <v>Outliers / Premium Tier</v>
      </c>
      <c r="F10930" s="10">
        <f t="shared" si="1"/>
        <v>2.040373818</v>
      </c>
    </row>
    <row r="10931" ht="14.25" customHeight="1">
      <c r="A10931" s="2" t="s">
        <v>483</v>
      </c>
      <c r="B10931" s="2" t="s">
        <v>484</v>
      </c>
      <c r="C10931" s="2">
        <v>1991.0</v>
      </c>
      <c r="D10931" s="9">
        <v>102792.49</v>
      </c>
      <c r="E10931" s="10" t="str">
        <f t="array" ref="E10931">IFS(D10931&lt;=$G$3,'calculated data '!$A$3,D10931&lt;=$G$4,'calculated data '!$A$4,D10931&lt;=$G$6,'calculated data '!$A$5,D10931&gt;=$G$6,'calculated data '!$A$6)</f>
        <v>Outliers / Premium Tier</v>
      </c>
      <c r="F10931" s="10">
        <f t="shared" si="1"/>
        <v>2.057720134</v>
      </c>
    </row>
    <row r="10932" ht="14.25" customHeight="1">
      <c r="A10932" s="2" t="s">
        <v>487</v>
      </c>
      <c r="B10932" s="2" t="s">
        <v>488</v>
      </c>
      <c r="C10932" s="2">
        <v>1985.0</v>
      </c>
      <c r="D10932" s="9">
        <v>103014.47</v>
      </c>
      <c r="E10932" s="10" t="str">
        <f t="array" ref="E10932">IFS(D10932&lt;=$G$3,'calculated data '!$A$3,D10932&lt;=$G$4,'calculated data '!$A$4,D10932&lt;=$G$6,'calculated data '!$A$5,D10932&gt;=$G$6,'calculated data '!$A$6)</f>
        <v>Outliers / Premium Tier</v>
      </c>
      <c r="F10932" s="10">
        <f t="shared" si="1"/>
        <v>2.063595889</v>
      </c>
    </row>
    <row r="10933" ht="14.25" customHeight="1">
      <c r="A10933" s="2" t="s">
        <v>491</v>
      </c>
      <c r="B10933" s="2" t="s">
        <v>492</v>
      </c>
      <c r="C10933" s="2">
        <v>2017.0</v>
      </c>
      <c r="D10933" s="9">
        <v>103361.12</v>
      </c>
      <c r="E10933" s="10" t="str">
        <f t="array" ref="E10933">IFS(D10933&lt;=$G$3,'calculated data '!$A$3,D10933&lt;=$G$4,'calculated data '!$A$4,D10933&lt;=$G$6,'calculated data '!$A$5,D10933&gt;=$G$6,'calculated data '!$A$6)</f>
        <v>Outliers / Premium Tier</v>
      </c>
      <c r="F10933" s="10">
        <f t="shared" si="1"/>
        <v>2.072771628</v>
      </c>
    </row>
    <row r="10934" ht="14.25" customHeight="1">
      <c r="A10934" s="2" t="s">
        <v>491</v>
      </c>
      <c r="B10934" s="2" t="s">
        <v>492</v>
      </c>
      <c r="C10934" s="2">
        <v>2016.0</v>
      </c>
      <c r="D10934" s="9">
        <v>103515.445</v>
      </c>
      <c r="E10934" s="10" t="str">
        <f t="array" ref="E10934">IFS(D10934&lt;=$G$3,'calculated data '!$A$3,D10934&lt;=$G$4,'calculated data '!$A$4,D10934&lt;=$G$6,'calculated data '!$A$5,D10934&gt;=$G$6,'calculated data '!$A$6)</f>
        <v>Outliers / Premium Tier</v>
      </c>
      <c r="F10934" s="10">
        <f t="shared" si="1"/>
        <v>2.076856572</v>
      </c>
    </row>
    <row r="10935" ht="14.25" customHeight="1">
      <c r="A10935" s="2" t="s">
        <v>463</v>
      </c>
      <c r="B10935" s="2" t="s">
        <v>464</v>
      </c>
      <c r="C10935" s="2">
        <v>1998.0</v>
      </c>
      <c r="D10935" s="9">
        <v>103553.05</v>
      </c>
      <c r="E10935" s="10" t="str">
        <f t="array" ref="E10935">IFS(D10935&lt;=$G$3,'calculated data '!$A$3,D10935&lt;=$G$4,'calculated data '!$A$4,D10935&lt;=$G$6,'calculated data '!$A$5,D10935&gt;=$G$6,'calculated data '!$A$6)</f>
        <v>Outliers / Premium Tier</v>
      </c>
      <c r="F10935" s="10">
        <f t="shared" si="1"/>
        <v>2.077851967</v>
      </c>
    </row>
    <row r="10936" ht="14.25" customHeight="1">
      <c r="A10936" s="2" t="s">
        <v>483</v>
      </c>
      <c r="B10936" s="2" t="s">
        <v>484</v>
      </c>
      <c r="C10936" s="2">
        <v>2007.0</v>
      </c>
      <c r="D10936" s="9">
        <v>103578.83</v>
      </c>
      <c r="E10936" s="10" t="str">
        <f t="array" ref="E10936">IFS(D10936&lt;=$G$3,'calculated data '!$A$3,D10936&lt;=$G$4,'calculated data '!$A$4,D10936&lt;=$G$6,'calculated data '!$A$5,D10936&gt;=$G$6,'calculated data '!$A$6)</f>
        <v>Outliers / Premium Tier</v>
      </c>
      <c r="F10936" s="10">
        <f t="shared" si="1"/>
        <v>2.078534357</v>
      </c>
    </row>
    <row r="10937" ht="14.25" customHeight="1">
      <c r="A10937" s="2" t="s">
        <v>463</v>
      </c>
      <c r="B10937" s="2" t="s">
        <v>464</v>
      </c>
      <c r="C10937" s="2">
        <v>2023.0</v>
      </c>
      <c r="D10937" s="9">
        <v>103686.46</v>
      </c>
      <c r="E10937" s="10" t="str">
        <f t="array" ref="E10937">IFS(D10937&lt;=$G$3,'calculated data '!$A$3,D10937&lt;=$G$4,'calculated data '!$A$4,D10937&lt;=$G$6,'calculated data '!$A$5,D10937&gt;=$G$6,'calculated data '!$A$6)</f>
        <v>Outliers / Premium Tier</v>
      </c>
      <c r="F10937" s="10">
        <f t="shared" si="1"/>
        <v>2.081383297</v>
      </c>
    </row>
    <row r="10938" ht="14.25" customHeight="1">
      <c r="A10938" s="2" t="s">
        <v>457</v>
      </c>
      <c r="B10938" s="2" t="s">
        <v>458</v>
      </c>
      <c r="C10938" s="2">
        <v>1999.0</v>
      </c>
      <c r="D10938" s="9">
        <v>103790.02</v>
      </c>
      <c r="E10938" s="10" t="str">
        <f t="array" ref="E10938">IFS(D10938&lt;=$G$3,'calculated data '!$A$3,D10938&lt;=$G$4,'calculated data '!$A$4,D10938&lt;=$G$6,'calculated data '!$A$5,D10938&gt;=$G$6,'calculated data '!$A$6)</f>
        <v>Outliers / Premium Tier</v>
      </c>
      <c r="F10938" s="10">
        <f t="shared" si="1"/>
        <v>2.084124504</v>
      </c>
    </row>
    <row r="10939" ht="14.25" customHeight="1">
      <c r="A10939" s="2" t="s">
        <v>463</v>
      </c>
      <c r="B10939" s="2" t="s">
        <v>464</v>
      </c>
      <c r="C10939" s="2">
        <v>1999.0</v>
      </c>
      <c r="D10939" s="9">
        <v>104348.15</v>
      </c>
      <c r="E10939" s="10" t="str">
        <f t="array" ref="E10939">IFS(D10939&lt;=$G$3,'calculated data '!$A$3,D10939&lt;=$G$4,'calculated data '!$A$4,D10939&lt;=$G$6,'calculated data '!$A$5,D10939&gt;=$G$6,'calculated data '!$A$6)</f>
        <v>Outliers / Premium Tier</v>
      </c>
      <c r="F10939" s="10">
        <f t="shared" si="1"/>
        <v>2.098898066</v>
      </c>
    </row>
    <row r="10940" ht="14.25" customHeight="1">
      <c r="A10940" s="2" t="s">
        <v>35</v>
      </c>
      <c r="B10940" s="2" t="s">
        <v>36</v>
      </c>
      <c r="C10940" s="2">
        <v>2017.0</v>
      </c>
      <c r="D10940" s="9">
        <v>104354.24</v>
      </c>
      <c r="E10940" s="10" t="str">
        <f t="array" ref="E10940">IFS(D10940&lt;=$G$3,'calculated data '!$A$3,D10940&lt;=$G$4,'calculated data '!$A$4,D10940&lt;=$G$6,'calculated data '!$A$5,D10940&gt;=$G$6,'calculated data '!$A$6)</f>
        <v>Outliers / Premium Tier</v>
      </c>
      <c r="F10940" s="10">
        <f t="shared" si="1"/>
        <v>2.099059267</v>
      </c>
    </row>
    <row r="10941" ht="14.25" customHeight="1">
      <c r="A10941" s="2" t="s">
        <v>487</v>
      </c>
      <c r="B10941" s="2" t="s">
        <v>488</v>
      </c>
      <c r="C10941" s="2">
        <v>2012.0</v>
      </c>
      <c r="D10941" s="9">
        <v>104440.53</v>
      </c>
      <c r="E10941" s="10" t="str">
        <f t="array" ref="E10941">IFS(D10941&lt;=$G$3,'calculated data '!$A$3,D10941&lt;=$G$4,'calculated data '!$A$4,D10941&lt;=$G$6,'calculated data '!$A$5,D10941&gt;=$G$6,'calculated data '!$A$6)</f>
        <v>Outliers / Premium Tier</v>
      </c>
      <c r="F10941" s="10">
        <f t="shared" si="1"/>
        <v>2.101343342</v>
      </c>
    </row>
    <row r="10942" ht="14.25" customHeight="1">
      <c r="A10942" s="2" t="s">
        <v>429</v>
      </c>
      <c r="B10942" s="2" t="s">
        <v>430</v>
      </c>
      <c r="C10942" s="2">
        <v>1999.0</v>
      </c>
      <c r="D10942" s="9">
        <v>104444.734</v>
      </c>
      <c r="E10942" s="10" t="str">
        <f t="array" ref="E10942">IFS(D10942&lt;=$G$3,'calculated data '!$A$3,D10942&lt;=$G$4,'calculated data '!$A$4,D10942&lt;=$G$6,'calculated data '!$A$5,D10942&gt;=$G$6,'calculated data '!$A$6)</f>
        <v>Outliers / Premium Tier</v>
      </c>
      <c r="F10942" s="10">
        <f t="shared" si="1"/>
        <v>2.101454621</v>
      </c>
    </row>
    <row r="10943" ht="14.25" customHeight="1">
      <c r="A10943" s="2" t="s">
        <v>487</v>
      </c>
      <c r="B10943" s="2" t="s">
        <v>488</v>
      </c>
      <c r="C10943" s="2">
        <v>1983.0</v>
      </c>
      <c r="D10943" s="9">
        <v>104459.35</v>
      </c>
      <c r="E10943" s="10" t="str">
        <f t="array" ref="E10943">IFS(D10943&lt;=$G$3,'calculated data '!$A$3,D10943&lt;=$G$4,'calculated data '!$A$4,D10943&lt;=$G$6,'calculated data '!$A$5,D10943&gt;=$G$6,'calculated data '!$A$6)</f>
        <v>Outliers / Premium Tier</v>
      </c>
      <c r="F10943" s="10">
        <f t="shared" si="1"/>
        <v>2.101841503</v>
      </c>
    </row>
    <row r="10944" ht="14.25" customHeight="1">
      <c r="A10944" s="2" t="s">
        <v>463</v>
      </c>
      <c r="B10944" s="2" t="s">
        <v>464</v>
      </c>
      <c r="C10944" s="2">
        <v>2025.0</v>
      </c>
      <c r="D10944" s="9">
        <v>104857.31</v>
      </c>
      <c r="E10944" s="10" t="str">
        <f t="array" ref="E10944">IFS(D10944&lt;=$G$3,'calculated data '!$A$3,D10944&lt;=$G$4,'calculated data '!$A$4,D10944&lt;=$G$6,'calculated data '!$A$5,D10944&gt;=$G$6,'calculated data '!$A$6)</f>
        <v>Outliers / Premium Tier</v>
      </c>
      <c r="F10944" s="10">
        <f t="shared" si="1"/>
        <v>2.112375405</v>
      </c>
    </row>
    <row r="10945" ht="14.25" customHeight="1">
      <c r="A10945" s="2" t="s">
        <v>463</v>
      </c>
      <c r="B10945" s="2" t="s">
        <v>464</v>
      </c>
      <c r="C10945" s="2">
        <v>2022.0</v>
      </c>
      <c r="D10945" s="9">
        <v>105168.47</v>
      </c>
      <c r="E10945" s="10" t="str">
        <f t="array" ref="E10945">IFS(D10945&lt;=$G$3,'calculated data '!$A$3,D10945&lt;=$G$4,'calculated data '!$A$4,D10945&lt;=$G$6,'calculated data '!$A$5,D10945&gt;=$G$6,'calculated data '!$A$6)</f>
        <v>Outliers / Premium Tier</v>
      </c>
      <c r="F10945" s="10">
        <f t="shared" si="1"/>
        <v>2.120611732</v>
      </c>
    </row>
    <row r="10946" ht="14.25" customHeight="1">
      <c r="A10946" s="2" t="s">
        <v>283</v>
      </c>
      <c r="B10946" s="2" t="s">
        <v>284</v>
      </c>
      <c r="C10946" s="2">
        <v>1983.0</v>
      </c>
      <c r="D10946" s="9">
        <v>105653.945</v>
      </c>
      <c r="E10946" s="10" t="str">
        <f t="array" ref="E10946">IFS(D10946&lt;=$G$3,'calculated data '!$A$3,D10946&lt;=$G$4,'calculated data '!$A$4,D10946&lt;=$G$6,'calculated data '!$A$5,D10946&gt;=$G$6,'calculated data '!$A$6)</f>
        <v>Outliers / Premium Tier</v>
      </c>
      <c r="F10946" s="10">
        <f t="shared" si="1"/>
        <v>2.133462135</v>
      </c>
    </row>
    <row r="10947" ht="14.25" customHeight="1">
      <c r="A10947" s="2" t="s">
        <v>463</v>
      </c>
      <c r="B10947" s="2" t="s">
        <v>464</v>
      </c>
      <c r="C10947" s="2">
        <v>2024.0</v>
      </c>
      <c r="D10947" s="9">
        <v>105706.78</v>
      </c>
      <c r="E10947" s="10" t="str">
        <f t="array" ref="E10947">IFS(D10947&lt;=$G$3,'calculated data '!$A$3,D10947&lt;=$G$4,'calculated data '!$A$4,D10947&lt;=$G$6,'calculated data '!$A$5,D10947&gt;=$G$6,'calculated data '!$A$6)</f>
        <v>Outliers / Premium Tier</v>
      </c>
      <c r="F10947" s="10">
        <f t="shared" si="1"/>
        <v>2.134860664</v>
      </c>
    </row>
    <row r="10948" ht="14.25" customHeight="1">
      <c r="A10948" s="2" t="s">
        <v>463</v>
      </c>
      <c r="B10948" s="2" t="s">
        <v>464</v>
      </c>
      <c r="C10948" s="2">
        <v>2021.0</v>
      </c>
      <c r="D10948" s="9">
        <v>105732.08</v>
      </c>
      <c r="E10948" s="10" t="str">
        <f t="array" ref="E10948">IFS(D10948&lt;=$G$3,'calculated data '!$A$3,D10948&lt;=$G$4,'calculated data '!$A$4,D10948&lt;=$G$6,'calculated data '!$A$5,D10948&gt;=$G$6,'calculated data '!$A$6)</f>
        <v>Outliers / Premium Tier</v>
      </c>
      <c r="F10948" s="10">
        <f t="shared" si="1"/>
        <v>2.135530349</v>
      </c>
    </row>
    <row r="10949" ht="14.25" customHeight="1">
      <c r="A10949" s="2" t="s">
        <v>35</v>
      </c>
      <c r="B10949" s="2" t="s">
        <v>36</v>
      </c>
      <c r="C10949" s="2">
        <v>2020.0</v>
      </c>
      <c r="D10949" s="9">
        <v>105774.52</v>
      </c>
      <c r="E10949" s="10" t="str">
        <f t="array" ref="E10949">IFS(D10949&lt;=$G$3,'calculated data '!$A$3,D10949&lt;=$G$4,'calculated data '!$A$4,D10949&lt;=$G$6,'calculated data '!$A$5,D10949&gt;=$G$6,'calculated data '!$A$6)</f>
        <v>Outliers / Premium Tier</v>
      </c>
      <c r="F10949" s="10">
        <f t="shared" si="1"/>
        <v>2.136653725</v>
      </c>
    </row>
    <row r="10950" ht="14.25" customHeight="1">
      <c r="A10950" s="2" t="s">
        <v>469</v>
      </c>
      <c r="B10950" s="2" t="s">
        <v>470</v>
      </c>
      <c r="C10950" s="2">
        <v>2002.0</v>
      </c>
      <c r="D10950" s="9">
        <v>106064.53</v>
      </c>
      <c r="E10950" s="10" t="str">
        <f t="array" ref="E10950">IFS(D10950&lt;=$G$3,'calculated data '!$A$3,D10950&lt;=$G$4,'calculated data '!$A$4,D10950&lt;=$G$6,'calculated data '!$A$5,D10950&gt;=$G$6,'calculated data '!$A$6)</f>
        <v>Outliers / Premium Tier</v>
      </c>
      <c r="F10950" s="10">
        <f t="shared" si="1"/>
        <v>2.144330217</v>
      </c>
    </row>
    <row r="10951" ht="14.25" customHeight="1">
      <c r="A10951" s="2" t="s">
        <v>487</v>
      </c>
      <c r="B10951" s="2" t="s">
        <v>488</v>
      </c>
      <c r="C10951" s="2">
        <v>2014.0</v>
      </c>
      <c r="D10951" s="9">
        <v>106308.48</v>
      </c>
      <c r="E10951" s="10" t="str">
        <f t="array" ref="E10951">IFS(D10951&lt;=$G$3,'calculated data '!$A$3,D10951&lt;=$G$4,'calculated data '!$A$4,D10951&lt;=$G$6,'calculated data '!$A$5,D10951&gt;=$G$6,'calculated data '!$A$6)</f>
        <v>Outliers / Premium Tier</v>
      </c>
      <c r="F10951" s="10">
        <f t="shared" si="1"/>
        <v>2.150787513</v>
      </c>
    </row>
    <row r="10952" ht="14.25" customHeight="1">
      <c r="A10952" s="2" t="s">
        <v>283</v>
      </c>
      <c r="B10952" s="2" t="s">
        <v>284</v>
      </c>
      <c r="C10952" s="2">
        <v>1980.0</v>
      </c>
      <c r="D10952" s="9">
        <v>106483.45</v>
      </c>
      <c r="E10952" s="10" t="str">
        <f t="array" ref="E10952">IFS(D10952&lt;=$G$3,'calculated data '!$A$3,D10952&lt;=$G$4,'calculated data '!$A$4,D10952&lt;=$G$6,'calculated data '!$A$5,D10952&gt;=$G$6,'calculated data '!$A$6)</f>
        <v>Outliers / Premium Tier</v>
      </c>
      <c r="F10952" s="10">
        <f t="shared" si="1"/>
        <v>2.155418925</v>
      </c>
    </row>
    <row r="10953" ht="14.25" customHeight="1">
      <c r="A10953" s="2" t="s">
        <v>483</v>
      </c>
      <c r="B10953" s="2" t="s">
        <v>484</v>
      </c>
      <c r="C10953" s="2">
        <v>1980.0</v>
      </c>
      <c r="D10953" s="9">
        <v>106650.625</v>
      </c>
      <c r="E10953" s="10" t="str">
        <f t="array" ref="E10953">IFS(D10953&lt;=$G$3,'calculated data '!$A$3,D10953&lt;=$G$4,'calculated data '!$A$4,D10953&lt;=$G$6,'calculated data '!$A$5,D10953&gt;=$G$6,'calculated data '!$A$6)</f>
        <v>Outliers / Premium Tier</v>
      </c>
      <c r="F10953" s="10">
        <f t="shared" si="1"/>
        <v>2.159844006</v>
      </c>
    </row>
    <row r="10954" ht="14.25" customHeight="1">
      <c r="A10954" s="2" t="s">
        <v>429</v>
      </c>
      <c r="B10954" s="2" t="s">
        <v>430</v>
      </c>
      <c r="C10954" s="2">
        <v>1996.0</v>
      </c>
      <c r="D10954" s="9">
        <v>107089.75</v>
      </c>
      <c r="E10954" s="10" t="str">
        <f t="array" ref="E10954">IFS(D10954&lt;=$G$3,'calculated data '!$A$3,D10954&lt;=$G$4,'calculated data '!$A$4,D10954&lt;=$G$6,'calculated data '!$A$5,D10954&gt;=$G$6,'calculated data '!$A$6)</f>
        <v>Outliers / Premium Tier</v>
      </c>
      <c r="F10954" s="10">
        <f t="shared" si="1"/>
        <v>2.171467535</v>
      </c>
    </row>
    <row r="10955" ht="14.25" customHeight="1">
      <c r="A10955" s="2" t="s">
        <v>469</v>
      </c>
      <c r="B10955" s="2" t="s">
        <v>470</v>
      </c>
      <c r="C10955" s="2">
        <v>2024.0</v>
      </c>
      <c r="D10955" s="9">
        <v>107142.27</v>
      </c>
      <c r="E10955" s="10" t="str">
        <f t="array" ref="E10955">IFS(D10955&lt;=$G$3,'calculated data '!$A$3,D10955&lt;=$G$4,'calculated data '!$A$4,D10955&lt;=$G$6,'calculated data '!$A$5,D10955&gt;=$G$6,'calculated data '!$A$6)</f>
        <v>Outliers / Premium Tier</v>
      </c>
      <c r="F10955" s="10">
        <f t="shared" si="1"/>
        <v>2.172857727</v>
      </c>
    </row>
    <row r="10956" ht="14.25" customHeight="1">
      <c r="A10956" s="2" t="s">
        <v>429</v>
      </c>
      <c r="B10956" s="2" t="s">
        <v>430</v>
      </c>
      <c r="C10956" s="2">
        <v>1998.0</v>
      </c>
      <c r="D10956" s="9">
        <v>107260.9</v>
      </c>
      <c r="E10956" s="10" t="str">
        <f t="array" ref="E10956">IFS(D10956&lt;=$G$3,'calculated data '!$A$3,D10956&lt;=$G$4,'calculated data '!$A$4,D10956&lt;=$G$6,'calculated data '!$A$5,D10956&gt;=$G$6,'calculated data '!$A$6)</f>
        <v>Outliers / Premium Tier</v>
      </c>
      <c r="F10956" s="10">
        <f t="shared" si="1"/>
        <v>2.175997833</v>
      </c>
    </row>
    <row r="10957" ht="14.25" customHeight="1">
      <c r="A10957" s="2" t="s">
        <v>35</v>
      </c>
      <c r="B10957" s="2" t="s">
        <v>36</v>
      </c>
      <c r="C10957" s="2">
        <v>2022.0</v>
      </c>
      <c r="D10957" s="9">
        <v>107261.33</v>
      </c>
      <c r="E10957" s="10" t="str">
        <f t="array" ref="E10957">IFS(D10957&lt;=$G$3,'calculated data '!$A$3,D10957&lt;=$G$4,'calculated data '!$A$4,D10957&lt;=$G$6,'calculated data '!$A$5,D10957&gt;=$G$6,'calculated data '!$A$6)</f>
        <v>Outliers / Premium Tier</v>
      </c>
      <c r="F10957" s="10">
        <f t="shared" si="1"/>
        <v>2.176009215</v>
      </c>
    </row>
    <row r="10958" ht="14.25" customHeight="1">
      <c r="A10958" s="2" t="s">
        <v>35</v>
      </c>
      <c r="B10958" s="2" t="s">
        <v>36</v>
      </c>
      <c r="C10958" s="2">
        <v>2018.0</v>
      </c>
      <c r="D10958" s="9">
        <v>107600.914</v>
      </c>
      <c r="E10958" s="10" t="str">
        <f t="array" ref="E10958">IFS(D10958&lt;=$G$3,'calculated data '!$A$3,D10958&lt;=$G$4,'calculated data '!$A$4,D10958&lt;=$G$6,'calculated data '!$A$5,D10958&gt;=$G$6,'calculated data '!$A$6)</f>
        <v>Outliers / Premium Tier</v>
      </c>
      <c r="F10958" s="10">
        <f t="shared" si="1"/>
        <v>2.184997919</v>
      </c>
    </row>
    <row r="10959" ht="14.25" customHeight="1">
      <c r="A10959" s="2" t="s">
        <v>487</v>
      </c>
      <c r="B10959" s="2" t="s">
        <v>488</v>
      </c>
      <c r="C10959" s="2">
        <v>2010.0</v>
      </c>
      <c r="D10959" s="9">
        <v>108127.87</v>
      </c>
      <c r="E10959" s="10" t="str">
        <f t="array" ref="E10959">IFS(D10959&lt;=$G$3,'calculated data '!$A$3,D10959&lt;=$G$4,'calculated data '!$A$4,D10959&lt;=$G$6,'calculated data '!$A$5,D10959&gt;=$G$6,'calculated data '!$A$6)</f>
        <v>Outliers / Premium Tier</v>
      </c>
      <c r="F10959" s="10">
        <f t="shared" si="1"/>
        <v>2.198946313</v>
      </c>
    </row>
    <row r="10960" ht="14.25" customHeight="1">
      <c r="A10960" s="2" t="s">
        <v>483</v>
      </c>
      <c r="B10960" s="2" t="s">
        <v>484</v>
      </c>
      <c r="C10960" s="2">
        <v>2006.0</v>
      </c>
      <c r="D10960" s="9">
        <v>108415.46</v>
      </c>
      <c r="E10960" s="10" t="str">
        <f t="array" ref="E10960">IFS(D10960&lt;=$G$3,'calculated data '!$A$3,D10960&lt;=$G$4,'calculated data '!$A$4,D10960&lt;=$G$6,'calculated data '!$A$5,D10960&gt;=$G$6,'calculated data '!$A$6)</f>
        <v>Outliers / Premium Tier</v>
      </c>
      <c r="F10960" s="10">
        <f t="shared" si="1"/>
        <v>2.206558749</v>
      </c>
    </row>
    <row r="10961" ht="14.25" customHeight="1">
      <c r="A10961" s="2" t="s">
        <v>429</v>
      </c>
      <c r="B10961" s="2" t="s">
        <v>430</v>
      </c>
      <c r="C10961" s="2">
        <v>1997.0</v>
      </c>
      <c r="D10961" s="9">
        <v>108717.76</v>
      </c>
      <c r="E10961" s="10" t="str">
        <f t="array" ref="E10961">IFS(D10961&lt;=$G$3,'calculated data '!$A$3,D10961&lt;=$G$4,'calculated data '!$A$4,D10961&lt;=$G$6,'calculated data '!$A$5,D10961&gt;=$G$6,'calculated data '!$A$6)</f>
        <v>Outliers / Premium Tier</v>
      </c>
      <c r="F10961" s="10">
        <f t="shared" si="1"/>
        <v>2.214560555</v>
      </c>
    </row>
    <row r="10962" ht="14.25" customHeight="1">
      <c r="A10962" s="2" t="s">
        <v>441</v>
      </c>
      <c r="B10962" s="2" t="s">
        <v>442</v>
      </c>
      <c r="C10962" s="2">
        <v>1986.0</v>
      </c>
      <c r="D10962" s="9">
        <v>108772.445</v>
      </c>
      <c r="E10962" s="10" t="str">
        <f t="array" ref="E10962">IFS(D10962&lt;=$G$3,'calculated data '!$A$3,D10962&lt;=$G$4,'calculated data '!$A$4,D10962&lt;=$G$6,'calculated data '!$A$5,D10962&gt;=$G$6,'calculated data '!$A$6)</f>
        <v>Outliers / Premium Tier</v>
      </c>
      <c r="F10962" s="10">
        <f t="shared" si="1"/>
        <v>2.216008053</v>
      </c>
    </row>
    <row r="10963" ht="14.25" customHeight="1">
      <c r="A10963" s="2" t="s">
        <v>35</v>
      </c>
      <c r="B10963" s="2" t="s">
        <v>36</v>
      </c>
      <c r="C10963" s="2">
        <v>2012.0</v>
      </c>
      <c r="D10963" s="9">
        <v>108847.42</v>
      </c>
      <c r="E10963" s="10" t="str">
        <f t="array" ref="E10963">IFS(D10963&lt;=$G$3,'calculated data '!$A$3,D10963&lt;=$G$4,'calculated data '!$A$4,D10963&lt;=$G$6,'calculated data '!$A$5,D10963&gt;=$G$6,'calculated data '!$A$6)</f>
        <v>Outliers / Premium Tier</v>
      </c>
      <c r="F10963" s="10">
        <f t="shared" si="1"/>
        <v>2.217992623</v>
      </c>
    </row>
    <row r="10964" ht="14.25" customHeight="1">
      <c r="A10964" s="2" t="s">
        <v>469</v>
      </c>
      <c r="B10964" s="2" t="s">
        <v>470</v>
      </c>
      <c r="C10964" s="2">
        <v>2023.0</v>
      </c>
      <c r="D10964" s="9">
        <v>109061.51</v>
      </c>
      <c r="E10964" s="10" t="str">
        <f t="array" ref="E10964">IFS(D10964&lt;=$G$3,'calculated data '!$A$3,D10964&lt;=$G$4,'calculated data '!$A$4,D10964&lt;=$G$6,'calculated data '!$A$5,D10964&gt;=$G$6,'calculated data '!$A$6)</f>
        <v>Outliers / Premium Tier</v>
      </c>
      <c r="F10964" s="10">
        <f t="shared" si="1"/>
        <v>2.223659532</v>
      </c>
    </row>
    <row r="10965" ht="14.25" customHeight="1">
      <c r="A10965" s="2" t="s">
        <v>487</v>
      </c>
      <c r="B10965" s="2" t="s">
        <v>488</v>
      </c>
      <c r="C10965" s="2">
        <v>2011.0</v>
      </c>
      <c r="D10965" s="9">
        <v>109107.234</v>
      </c>
      <c r="E10965" s="10" t="str">
        <f t="array" ref="E10965">IFS(D10965&lt;=$G$3,'calculated data '!$A$3,D10965&lt;=$G$4,'calculated data '!$A$4,D10965&lt;=$G$6,'calculated data '!$A$5,D10965&gt;=$G$6,'calculated data '!$A$6)</f>
        <v>Outliers / Premium Tier</v>
      </c>
      <c r="F10965" s="10">
        <f t="shared" si="1"/>
        <v>2.224869834</v>
      </c>
    </row>
    <row r="10966" ht="14.25" customHeight="1">
      <c r="A10966" s="2" t="s">
        <v>429</v>
      </c>
      <c r="B10966" s="2" t="s">
        <v>430</v>
      </c>
      <c r="C10966" s="2">
        <v>1994.0</v>
      </c>
      <c r="D10966" s="9">
        <v>109146.79</v>
      </c>
      <c r="E10966" s="10" t="str">
        <f t="array" ref="E10966">IFS(D10966&lt;=$G$3,'calculated data '!$A$3,D10966&lt;=$G$4,'calculated data '!$A$4,D10966&lt;=$G$6,'calculated data '!$A$5,D10966&gt;=$G$6,'calculated data '!$A$6)</f>
        <v>Outliers / Premium Tier</v>
      </c>
      <c r="F10966" s="10">
        <f t="shared" si="1"/>
        <v>2.225916872</v>
      </c>
    </row>
    <row r="10967" ht="14.25" customHeight="1">
      <c r="A10967" s="2" t="s">
        <v>463</v>
      </c>
      <c r="B10967" s="2" t="s">
        <v>464</v>
      </c>
      <c r="C10967" s="2">
        <v>2001.0</v>
      </c>
      <c r="D10967" s="9">
        <v>109465.54</v>
      </c>
      <c r="E10967" s="10" t="str">
        <f t="array" ref="E10967">IFS(D10967&lt;=$G$3,'calculated data '!$A$3,D10967&lt;=$G$4,'calculated data '!$A$4,D10967&lt;=$G$6,'calculated data '!$A$5,D10967&gt;=$G$6,'calculated data '!$A$6)</f>
        <v>Outliers / Premium Tier</v>
      </c>
      <c r="F10967" s="10">
        <f t="shared" si="1"/>
        <v>2.234354105</v>
      </c>
    </row>
    <row r="10968" ht="14.25" customHeight="1">
      <c r="A10968" s="2" t="s">
        <v>429</v>
      </c>
      <c r="B10968" s="2" t="s">
        <v>430</v>
      </c>
      <c r="C10968" s="2">
        <v>2003.0</v>
      </c>
      <c r="D10968" s="9">
        <v>109755.26</v>
      </c>
      <c r="E10968" s="10" t="str">
        <f t="array" ref="E10968">IFS(D10968&lt;=$G$3,'calculated data '!$A$3,D10968&lt;=$G$4,'calculated data '!$A$4,D10968&lt;=$G$6,'calculated data '!$A$5,D10968&gt;=$G$6,'calculated data '!$A$6)</f>
        <v>Outliers / Premium Tier</v>
      </c>
      <c r="F10968" s="10">
        <f t="shared" si="1"/>
        <v>2.242022921</v>
      </c>
    </row>
    <row r="10969" ht="14.25" customHeight="1">
      <c r="A10969" s="2" t="s">
        <v>429</v>
      </c>
      <c r="B10969" s="2" t="s">
        <v>430</v>
      </c>
      <c r="C10969" s="2">
        <v>2000.0</v>
      </c>
      <c r="D10969" s="9">
        <v>109776.26</v>
      </c>
      <c r="E10969" s="10" t="str">
        <f t="array" ref="E10969">IFS(D10969&lt;=$G$3,'calculated data '!$A$3,D10969&lt;=$G$4,'calculated data '!$A$4,D10969&lt;=$G$6,'calculated data '!$A$5,D10969&gt;=$G$6,'calculated data '!$A$6)</f>
        <v>Outliers / Premium Tier</v>
      </c>
      <c r="F10969" s="10">
        <f t="shared" si="1"/>
        <v>2.242578786</v>
      </c>
    </row>
    <row r="10970" ht="14.25" customHeight="1">
      <c r="A10970" s="2" t="s">
        <v>483</v>
      </c>
      <c r="B10970" s="2" t="s">
        <v>484</v>
      </c>
      <c r="C10970" s="2">
        <v>1977.0</v>
      </c>
      <c r="D10970" s="9">
        <v>109883.69</v>
      </c>
      <c r="E10970" s="10" t="str">
        <f t="array" ref="E10970">IFS(D10970&lt;=$G$3,'calculated data '!$A$3,D10970&lt;=$G$4,'calculated data '!$A$4,D10970&lt;=$G$6,'calculated data '!$A$5,D10970&gt;=$G$6,'calculated data '!$A$6)</f>
        <v>Outliers / Premium Tier</v>
      </c>
      <c r="F10970" s="10">
        <f t="shared" si="1"/>
        <v>2.245422431</v>
      </c>
    </row>
    <row r="10971" ht="14.25" customHeight="1">
      <c r="A10971" s="2" t="s">
        <v>429</v>
      </c>
      <c r="B10971" s="2" t="s">
        <v>430</v>
      </c>
      <c r="C10971" s="2">
        <v>1995.0</v>
      </c>
      <c r="D10971" s="9">
        <v>110057.336</v>
      </c>
      <c r="E10971" s="10" t="str">
        <f t="array" ref="E10971">IFS(D10971&lt;=$G$3,'calculated data '!$A$3,D10971&lt;=$G$4,'calculated data '!$A$4,D10971&lt;=$G$6,'calculated data '!$A$5,D10971&gt;=$G$6,'calculated data '!$A$6)</f>
        <v>Outliers / Premium Tier</v>
      </c>
      <c r="F10971" s="10">
        <f t="shared" si="1"/>
        <v>2.250018798</v>
      </c>
    </row>
    <row r="10972" ht="14.25" customHeight="1">
      <c r="A10972" s="2" t="s">
        <v>35</v>
      </c>
      <c r="B10972" s="2" t="s">
        <v>36</v>
      </c>
      <c r="C10972" s="2">
        <v>1998.0</v>
      </c>
      <c r="D10972" s="9">
        <v>110287.2</v>
      </c>
      <c r="E10972" s="10" t="str">
        <f t="array" ref="E10972">IFS(D10972&lt;=$G$3,'calculated data '!$A$3,D10972&lt;=$G$4,'calculated data '!$A$4,D10972&lt;=$G$6,'calculated data '!$A$5,D10972&gt;=$G$6,'calculated data '!$A$6)</f>
        <v>Outliers / Premium Tier</v>
      </c>
      <c r="F10972" s="10">
        <f t="shared" si="1"/>
        <v>2.256103241</v>
      </c>
    </row>
    <row r="10973" ht="14.25" customHeight="1">
      <c r="A10973" s="2" t="s">
        <v>35</v>
      </c>
      <c r="B10973" s="2" t="s">
        <v>36</v>
      </c>
      <c r="C10973" s="2">
        <v>1997.0</v>
      </c>
      <c r="D10973" s="9">
        <v>110336.09</v>
      </c>
      <c r="E10973" s="10" t="str">
        <f t="array" ref="E10973">IFS(D10973&lt;=$G$3,'calculated data '!$A$3,D10973&lt;=$G$4,'calculated data '!$A$4,D10973&lt;=$G$6,'calculated data '!$A$5,D10973&gt;=$G$6,'calculated data '!$A$6)</f>
        <v>Outliers / Premium Tier</v>
      </c>
      <c r="F10973" s="10">
        <f t="shared" si="1"/>
        <v>2.257397347</v>
      </c>
    </row>
    <row r="10974" ht="14.25" customHeight="1">
      <c r="A10974" s="2" t="s">
        <v>35</v>
      </c>
      <c r="B10974" s="2" t="s">
        <v>36</v>
      </c>
      <c r="C10974" s="2">
        <v>1996.0</v>
      </c>
      <c r="D10974" s="9">
        <v>111067.82</v>
      </c>
      <c r="E10974" s="10" t="str">
        <f t="array" ref="E10974">IFS(D10974&lt;=$G$3,'calculated data '!$A$3,D10974&lt;=$G$4,'calculated data '!$A$4,D10974&lt;=$G$6,'calculated data '!$A$5,D10974&gt;=$G$6,'calculated data '!$A$6)</f>
        <v>Outliers / Premium Tier</v>
      </c>
      <c r="F10974" s="10">
        <f t="shared" si="1"/>
        <v>2.276766058</v>
      </c>
    </row>
    <row r="10975" ht="14.25" customHeight="1">
      <c r="A10975" s="2" t="s">
        <v>35</v>
      </c>
      <c r="B10975" s="2" t="s">
        <v>36</v>
      </c>
      <c r="C10975" s="2">
        <v>2019.0</v>
      </c>
      <c r="D10975" s="9">
        <v>111124.21</v>
      </c>
      <c r="E10975" s="10" t="str">
        <f t="array" ref="E10975">IFS(D10975&lt;=$G$3,'calculated data '!$A$3,D10975&lt;=$G$4,'calculated data '!$A$4,D10975&lt;=$G$6,'calculated data '!$A$5,D10975&gt;=$G$6,'calculated data '!$A$6)</f>
        <v>Outliers / Premium Tier</v>
      </c>
      <c r="F10975" s="10">
        <f t="shared" si="1"/>
        <v>2.278258687</v>
      </c>
    </row>
    <row r="10976" ht="14.25" customHeight="1">
      <c r="A10976" s="2" t="s">
        <v>389</v>
      </c>
      <c r="B10976" s="2" t="s">
        <v>390</v>
      </c>
      <c r="C10976" s="2">
        <v>1973.0</v>
      </c>
      <c r="D10976" s="9">
        <v>111341.18</v>
      </c>
      <c r="E10976" s="10" t="str">
        <f t="array" ref="E10976">IFS(D10976&lt;=$G$3,'calculated data '!$A$3,D10976&lt;=$G$4,'calculated data '!$A$4,D10976&lt;=$G$6,'calculated data '!$A$5,D10976&gt;=$G$6,'calculated data '!$A$6)</f>
        <v>Outliers / Premium Tier</v>
      </c>
      <c r="F10976" s="10">
        <f t="shared" si="1"/>
        <v>2.284001829</v>
      </c>
    </row>
    <row r="10977" ht="14.25" customHeight="1">
      <c r="A10977" s="2" t="s">
        <v>457</v>
      </c>
      <c r="B10977" s="2" t="s">
        <v>458</v>
      </c>
      <c r="C10977" s="2">
        <v>2000.0</v>
      </c>
      <c r="D10977" s="9">
        <v>111424.94</v>
      </c>
      <c r="E10977" s="10" t="str">
        <f t="array" ref="E10977">IFS(D10977&lt;=$G$3,'calculated data '!$A$3,D10977&lt;=$G$4,'calculated data '!$A$4,D10977&lt;=$G$6,'calculated data '!$A$5,D10977&gt;=$G$6,'calculated data '!$A$6)</f>
        <v>Outliers / Premium Tier</v>
      </c>
      <c r="F10977" s="10">
        <f t="shared" si="1"/>
        <v>2.286218935</v>
      </c>
    </row>
    <row r="10978" ht="14.25" customHeight="1">
      <c r="A10978" s="2" t="s">
        <v>463</v>
      </c>
      <c r="B10978" s="2" t="s">
        <v>464</v>
      </c>
      <c r="C10978" s="2">
        <v>2000.0</v>
      </c>
      <c r="D10978" s="9">
        <v>111608.15</v>
      </c>
      <c r="E10978" s="10" t="str">
        <f t="array" ref="E10978">IFS(D10978&lt;=$G$3,'calculated data '!$A$3,D10978&lt;=$G$4,'calculated data '!$A$4,D10978&lt;=$G$6,'calculated data '!$A$5,D10978&gt;=$G$6,'calculated data '!$A$6)</f>
        <v>Outliers / Premium Tier</v>
      </c>
      <c r="F10978" s="10">
        <f t="shared" si="1"/>
        <v>2.291068458</v>
      </c>
    </row>
    <row r="10979" ht="14.25" customHeight="1">
      <c r="A10979" s="2" t="s">
        <v>463</v>
      </c>
      <c r="B10979" s="2" t="s">
        <v>464</v>
      </c>
      <c r="C10979" s="2">
        <v>2018.0</v>
      </c>
      <c r="D10979" s="9">
        <v>111640.98</v>
      </c>
      <c r="E10979" s="10" t="str">
        <f t="array" ref="E10979">IFS(D10979&lt;=$G$3,'calculated data '!$A$3,D10979&lt;=$G$4,'calculated data '!$A$4,D10979&lt;=$G$6,'calculated data '!$A$5,D10979&gt;=$G$6,'calculated data '!$A$6)</f>
        <v>Outliers / Premium Tier</v>
      </c>
      <c r="F10979" s="10">
        <f t="shared" si="1"/>
        <v>2.29193746</v>
      </c>
    </row>
    <row r="10980" ht="14.25" customHeight="1">
      <c r="A10980" s="2" t="s">
        <v>499</v>
      </c>
      <c r="B10980" s="2" t="s">
        <v>500</v>
      </c>
      <c r="C10980" s="2">
        <v>1980.0</v>
      </c>
      <c r="D10980" s="9">
        <v>111908.305</v>
      </c>
      <c r="E10980" s="10" t="str">
        <f t="array" ref="E10980">IFS(D10980&lt;=$G$3,'calculated data '!$A$3,D10980&lt;=$G$4,'calculated data '!$A$4,D10980&lt;=$G$6,'calculated data '!$A$5,D10980&gt;=$G$6,'calculated data '!$A$6)</f>
        <v>Outliers / Premium Tier</v>
      </c>
      <c r="F10980" s="10">
        <f t="shared" si="1"/>
        <v>2.299013486</v>
      </c>
    </row>
    <row r="10981" ht="14.25" customHeight="1">
      <c r="A10981" s="2" t="s">
        <v>35</v>
      </c>
      <c r="B10981" s="2" t="s">
        <v>36</v>
      </c>
      <c r="C10981" s="2">
        <v>2021.0</v>
      </c>
      <c r="D10981" s="9">
        <v>112134.625</v>
      </c>
      <c r="E10981" s="10" t="str">
        <f t="array" ref="E10981">IFS(D10981&lt;=$G$3,'calculated data '!$A$3,D10981&lt;=$G$4,'calculated data '!$A$4,D10981&lt;=$G$6,'calculated data '!$A$5,D10981&gt;=$G$6,'calculated data '!$A$6)</f>
        <v>Outliers / Premium Tier</v>
      </c>
      <c r="F10981" s="10">
        <f t="shared" si="1"/>
        <v>2.30500412</v>
      </c>
    </row>
    <row r="10982" ht="14.25" customHeight="1">
      <c r="A10982" s="2" t="s">
        <v>483</v>
      </c>
      <c r="B10982" s="2" t="s">
        <v>484</v>
      </c>
      <c r="C10982" s="2">
        <v>2005.0</v>
      </c>
      <c r="D10982" s="9">
        <v>112259.24</v>
      </c>
      <c r="E10982" s="10" t="str">
        <f t="array" ref="E10982">IFS(D10982&lt;=$G$3,'calculated data '!$A$3,D10982&lt;=$G$4,'calculated data '!$A$4,D10982&lt;=$G$6,'calculated data '!$A$5,D10982&gt;=$G$6,'calculated data '!$A$6)</f>
        <v>Outliers / Premium Tier</v>
      </c>
      <c r="F10982" s="10">
        <f t="shared" si="1"/>
        <v>2.308302648</v>
      </c>
    </row>
    <row r="10983" ht="14.25" customHeight="1">
      <c r="A10983" s="2" t="s">
        <v>483</v>
      </c>
      <c r="B10983" s="2" t="s">
        <v>484</v>
      </c>
      <c r="C10983" s="2">
        <v>2004.0</v>
      </c>
      <c r="D10983" s="9">
        <v>112339.24</v>
      </c>
      <c r="E10983" s="10" t="str">
        <f t="array" ref="E10983">IFS(D10983&lt;=$G$3,'calculated data '!$A$3,D10983&lt;=$G$4,'calculated data '!$A$4,D10983&lt;=$G$6,'calculated data '!$A$5,D10983&gt;=$G$6,'calculated data '!$A$6)</f>
        <v>Outliers / Premium Tier</v>
      </c>
      <c r="F10983" s="10">
        <f t="shared" si="1"/>
        <v>2.310420228</v>
      </c>
    </row>
    <row r="10984" ht="14.25" customHeight="1">
      <c r="A10984" s="2" t="s">
        <v>463</v>
      </c>
      <c r="B10984" s="2" t="s">
        <v>464</v>
      </c>
      <c r="C10984" s="2">
        <v>2017.0</v>
      </c>
      <c r="D10984" s="9">
        <v>112380.73</v>
      </c>
      <c r="E10984" s="10" t="str">
        <f t="array" ref="E10984">IFS(D10984&lt;=$G$3,'calculated data '!$A$3,D10984&lt;=$G$4,'calculated data '!$A$4,D10984&lt;=$G$6,'calculated data '!$A$5,D10984&gt;=$G$6,'calculated data '!$A$6)</f>
        <v>Outliers / Premium Tier</v>
      </c>
      <c r="F10984" s="10">
        <f t="shared" si="1"/>
        <v>2.311518458</v>
      </c>
    </row>
    <row r="10985" ht="14.25" customHeight="1">
      <c r="A10985" s="2" t="s">
        <v>457</v>
      </c>
      <c r="B10985" s="2" t="s">
        <v>458</v>
      </c>
      <c r="C10985" s="2">
        <v>2003.0</v>
      </c>
      <c r="D10985" s="9">
        <v>112919.55</v>
      </c>
      <c r="E10985" s="10" t="str">
        <f t="array" ref="E10985">IFS(D10985&lt;=$G$3,'calculated data '!$A$3,D10985&lt;=$G$4,'calculated data '!$A$4,D10985&lt;=$G$6,'calculated data '!$A$5,D10985&gt;=$G$6,'calculated data '!$A$6)</f>
        <v>Outliers / Premium Tier</v>
      </c>
      <c r="F10985" s="10">
        <f t="shared" si="1"/>
        <v>2.325780889</v>
      </c>
    </row>
    <row r="10986" ht="14.25" customHeight="1">
      <c r="A10986" s="2" t="s">
        <v>35</v>
      </c>
      <c r="B10986" s="2" t="s">
        <v>36</v>
      </c>
      <c r="C10986" s="2">
        <v>1995.0</v>
      </c>
      <c r="D10986" s="9">
        <v>113028.07</v>
      </c>
      <c r="E10986" s="10" t="str">
        <f t="array" ref="E10986">IFS(D10986&lt;=$G$3,'calculated data '!$A$3,D10986&lt;=$G$4,'calculated data '!$A$4,D10986&lt;=$G$6,'calculated data '!$A$5,D10986&gt;=$G$6,'calculated data '!$A$6)</f>
        <v>Outliers / Premium Tier</v>
      </c>
      <c r="F10986" s="10">
        <f t="shared" si="1"/>
        <v>2.328653387</v>
      </c>
    </row>
    <row r="10987" ht="14.25" customHeight="1">
      <c r="A10987" s="2" t="s">
        <v>463</v>
      </c>
      <c r="B10987" s="2" t="s">
        <v>464</v>
      </c>
      <c r="C10987" s="2">
        <v>2002.0</v>
      </c>
      <c r="D10987" s="9">
        <v>113044.56</v>
      </c>
      <c r="E10987" s="10" t="str">
        <f t="array" ref="E10987">IFS(D10987&lt;=$G$3,'calculated data '!$A$3,D10987&lt;=$G$4,'calculated data '!$A$4,D10987&lt;=$G$6,'calculated data '!$A$5,D10987&gt;=$G$6,'calculated data '!$A$6)</f>
        <v>Outliers / Premium Tier</v>
      </c>
      <c r="F10987" s="10">
        <f t="shared" si="1"/>
        <v>2.329089873</v>
      </c>
    </row>
    <row r="10988" ht="14.25" customHeight="1">
      <c r="A10988" s="2" t="s">
        <v>35</v>
      </c>
      <c r="B10988" s="2" t="s">
        <v>36</v>
      </c>
      <c r="C10988" s="2">
        <v>1999.0</v>
      </c>
      <c r="D10988" s="9">
        <v>113298.61</v>
      </c>
      <c r="E10988" s="10" t="str">
        <f t="array" ref="E10988">IFS(D10988&lt;=$G$3,'calculated data '!$A$3,D10988&lt;=$G$4,'calculated data '!$A$4,D10988&lt;=$G$6,'calculated data '!$A$5,D10988&gt;=$G$6,'calculated data '!$A$6)</f>
        <v>Outliers / Premium Tier</v>
      </c>
      <c r="F10988" s="10">
        <f t="shared" si="1"/>
        <v>2.335814513</v>
      </c>
    </row>
    <row r="10989" ht="14.25" customHeight="1">
      <c r="A10989" s="2" t="s">
        <v>35</v>
      </c>
      <c r="B10989" s="2" t="s">
        <v>36</v>
      </c>
      <c r="C10989" s="2">
        <v>2023.0</v>
      </c>
      <c r="D10989" s="9">
        <v>113323.99</v>
      </c>
      <c r="E10989" s="10" t="str">
        <f t="array" ref="E10989">IFS(D10989&lt;=$G$3,'calculated data '!$A$3,D10989&lt;=$G$4,'calculated data '!$A$4,D10989&lt;=$G$6,'calculated data '!$A$5,D10989&gt;=$G$6,'calculated data '!$A$6)</f>
        <v>Outliers / Premium Tier</v>
      </c>
      <c r="F10989" s="10">
        <f t="shared" si="1"/>
        <v>2.336486316</v>
      </c>
    </row>
    <row r="10990" ht="14.25" customHeight="1">
      <c r="A10990" s="2" t="s">
        <v>483</v>
      </c>
      <c r="B10990" s="2" t="s">
        <v>484</v>
      </c>
      <c r="C10990" s="2">
        <v>1978.0</v>
      </c>
      <c r="D10990" s="9">
        <v>113472.07</v>
      </c>
      <c r="E10990" s="10" t="str">
        <f t="array" ref="E10990">IFS(D10990&lt;=$G$3,'calculated data '!$A$3,D10990&lt;=$G$4,'calculated data '!$A$4,D10990&lt;=$G$6,'calculated data '!$A$5,D10990&gt;=$G$6,'calculated data '!$A$6)</f>
        <v>Outliers / Premium Tier</v>
      </c>
      <c r="F10990" s="10">
        <f t="shared" si="1"/>
        <v>2.340405956</v>
      </c>
    </row>
    <row r="10991" ht="14.25" customHeight="1">
      <c r="A10991" s="2" t="s">
        <v>457</v>
      </c>
      <c r="B10991" s="2" t="s">
        <v>458</v>
      </c>
      <c r="C10991" s="2">
        <v>2001.0</v>
      </c>
      <c r="D10991" s="9">
        <v>113721.586</v>
      </c>
      <c r="E10991" s="10" t="str">
        <f t="array" ref="E10991">IFS(D10991&lt;=$G$3,'calculated data '!$A$3,D10991&lt;=$G$4,'calculated data '!$A$4,D10991&lt;=$G$6,'calculated data '!$A$5,D10991&gt;=$G$6,'calculated data '!$A$6)</f>
        <v>Outliers / Premium Tier</v>
      </c>
      <c r="F10991" s="10">
        <f t="shared" si="1"/>
        <v>2.347010583</v>
      </c>
    </row>
    <row r="10992" ht="14.25" customHeight="1">
      <c r="A10992" s="2" t="s">
        <v>469</v>
      </c>
      <c r="B10992" s="2" t="s">
        <v>470</v>
      </c>
      <c r="C10992" s="2">
        <v>2020.0</v>
      </c>
      <c r="D10992" s="9">
        <v>114324.0</v>
      </c>
      <c r="E10992" s="10" t="str">
        <f t="array" ref="E10992">IFS(D10992&lt;=$G$3,'calculated data '!$A$3,D10992&lt;=$G$4,'calculated data '!$A$4,D10992&lt;=$G$6,'calculated data '!$A$5,D10992&gt;=$G$6,'calculated data '!$A$6)</f>
        <v>Outliers / Premium Tier</v>
      </c>
      <c r="F10992" s="10">
        <f t="shared" si="1"/>
        <v>2.362956331</v>
      </c>
    </row>
    <row r="10993" ht="14.25" customHeight="1">
      <c r="A10993" s="2" t="s">
        <v>487</v>
      </c>
      <c r="B10993" s="2" t="s">
        <v>488</v>
      </c>
      <c r="C10993" s="2">
        <v>2023.0</v>
      </c>
      <c r="D10993" s="9">
        <v>114328.19</v>
      </c>
      <c r="E10993" s="10" t="str">
        <f t="array" ref="E10993">IFS(D10993&lt;=$G$3,'calculated data '!$A$3,D10993&lt;=$G$4,'calculated data '!$A$4,D10993&lt;=$G$6,'calculated data '!$A$5,D10993&gt;=$G$6,'calculated data '!$A$6)</f>
        <v>Outliers / Premium Tier</v>
      </c>
      <c r="F10993" s="10">
        <f t="shared" si="1"/>
        <v>2.363067239</v>
      </c>
    </row>
    <row r="10994" ht="14.25" customHeight="1">
      <c r="A10994" s="2" t="s">
        <v>283</v>
      </c>
      <c r="B10994" s="2" t="s">
        <v>284</v>
      </c>
      <c r="C10994" s="2">
        <v>1981.0</v>
      </c>
      <c r="D10994" s="9">
        <v>114494.5</v>
      </c>
      <c r="E10994" s="10" t="str">
        <f t="array" ref="E10994">IFS(D10994&lt;=$G$3,'calculated data '!$A$3,D10994&lt;=$G$4,'calculated data '!$A$4,D10994&lt;=$G$6,'calculated data '!$A$5,D10994&gt;=$G$6,'calculated data '!$A$6)</f>
        <v>Outliers / Premium Tier</v>
      </c>
      <c r="F10994" s="10">
        <f t="shared" si="1"/>
        <v>2.367469424</v>
      </c>
    </row>
    <row r="10995" ht="14.25" customHeight="1">
      <c r="A10995" s="2" t="s">
        <v>403</v>
      </c>
      <c r="B10995" s="2" t="s">
        <v>404</v>
      </c>
      <c r="C10995" s="2">
        <v>2023.0</v>
      </c>
      <c r="D10995" s="9">
        <v>114921.12</v>
      </c>
      <c r="E10995" s="10" t="str">
        <f t="array" ref="E10995">IFS(D10995&lt;=$G$3,'calculated data '!$A$3,D10995&lt;=$G$4,'calculated data '!$A$4,D10995&lt;=$G$6,'calculated data '!$A$5,D10995&gt;=$G$6,'calculated data '!$A$6)</f>
        <v>Outliers / Premium Tier</v>
      </c>
      <c r="F10995" s="10">
        <f t="shared" si="1"/>
        <v>2.378761949</v>
      </c>
    </row>
    <row r="10996" ht="14.25" customHeight="1">
      <c r="A10996" s="2" t="s">
        <v>457</v>
      </c>
      <c r="B10996" s="2" t="s">
        <v>458</v>
      </c>
      <c r="C10996" s="2">
        <v>2002.0</v>
      </c>
      <c r="D10996" s="9">
        <v>114977.97</v>
      </c>
      <c r="E10996" s="10" t="str">
        <f t="array" ref="E10996">IFS(D10996&lt;=$G$3,'calculated data '!$A$3,D10996&lt;=$G$4,'calculated data '!$A$4,D10996&lt;=$G$6,'calculated data '!$A$5,D10996&gt;=$G$6,'calculated data '!$A$6)</f>
        <v>Outliers / Premium Tier</v>
      </c>
      <c r="F10996" s="10">
        <f t="shared" si="1"/>
        <v>2.380266754</v>
      </c>
    </row>
    <row r="10997" ht="14.25" customHeight="1">
      <c r="A10997" s="2" t="s">
        <v>35</v>
      </c>
      <c r="B10997" s="2" t="s">
        <v>36</v>
      </c>
      <c r="C10997" s="2">
        <v>1994.0</v>
      </c>
      <c r="D10997" s="9">
        <v>115387.69</v>
      </c>
      <c r="E10997" s="10" t="str">
        <f t="array" ref="E10997">IFS(D10997&lt;=$G$3,'calculated data '!$A$3,D10997&lt;=$G$4,'calculated data '!$A$4,D10997&lt;=$G$6,'calculated data '!$A$5,D10997&gt;=$G$6,'calculated data '!$A$6)</f>
        <v>Outliers / Premium Tier</v>
      </c>
      <c r="F10997" s="10">
        <f t="shared" si="1"/>
        <v>2.391111941</v>
      </c>
    </row>
    <row r="10998" ht="14.25" customHeight="1">
      <c r="A10998" s="2" t="s">
        <v>469</v>
      </c>
      <c r="B10998" s="2" t="s">
        <v>470</v>
      </c>
      <c r="C10998" s="2">
        <v>2003.0</v>
      </c>
      <c r="D10998" s="9">
        <v>115617.05</v>
      </c>
      <c r="E10998" s="10" t="str">
        <f t="array" ref="E10998">IFS(D10998&lt;=$G$3,'calculated data '!$A$3,D10998&lt;=$G$4,'calculated data '!$A$4,D10998&lt;=$G$6,'calculated data '!$A$5,D10998&gt;=$G$6,'calculated data '!$A$6)</f>
        <v>Outliers / Premium Tier</v>
      </c>
      <c r="F10998" s="10">
        <f t="shared" si="1"/>
        <v>2.397183043</v>
      </c>
    </row>
    <row r="10999" ht="14.25" customHeight="1">
      <c r="A10999" s="2" t="s">
        <v>469</v>
      </c>
      <c r="B10999" s="2" t="s">
        <v>470</v>
      </c>
      <c r="C10999" s="2">
        <v>2022.0</v>
      </c>
      <c r="D10999" s="9">
        <v>115678.7</v>
      </c>
      <c r="E10999" s="10" t="str">
        <f t="array" ref="E10999">IFS(D10999&lt;=$G$3,'calculated data '!$A$3,D10999&lt;=$G$4,'calculated data '!$A$4,D10999&lt;=$G$6,'calculated data '!$A$5,D10999&gt;=$G$6,'calculated data '!$A$6)</f>
        <v>Outliers / Premium Tier</v>
      </c>
      <c r="F10999" s="10">
        <f t="shared" si="1"/>
        <v>2.398814903</v>
      </c>
    </row>
    <row r="11000" ht="14.25" customHeight="1">
      <c r="A11000" s="2" t="s">
        <v>487</v>
      </c>
      <c r="B11000" s="2" t="s">
        <v>488</v>
      </c>
      <c r="C11000" s="2">
        <v>2015.0</v>
      </c>
      <c r="D11000" s="9">
        <v>115953.25</v>
      </c>
      <c r="E11000" s="10" t="str">
        <f t="array" ref="E11000">IFS(D11000&lt;=$G$3,'calculated data '!$A$3,D11000&lt;=$G$4,'calculated data '!$A$4,D11000&lt;=$G$6,'calculated data '!$A$5,D11000&gt;=$G$6,'calculated data '!$A$6)</f>
        <v>Outliers / Premium Tier</v>
      </c>
      <c r="F11000" s="10">
        <f t="shared" si="1"/>
        <v>2.406082173</v>
      </c>
    </row>
    <row r="11001" ht="14.25" customHeight="1">
      <c r="A11001" s="2" t="s">
        <v>483</v>
      </c>
      <c r="B11001" s="2" t="s">
        <v>484</v>
      </c>
      <c r="C11001" s="2">
        <v>1979.0</v>
      </c>
      <c r="D11001" s="9">
        <v>116016.01</v>
      </c>
      <c r="E11001" s="10" t="str">
        <f t="array" ref="E11001">IFS(D11001&lt;=$G$3,'calculated data '!$A$3,D11001&lt;=$G$4,'calculated data '!$A$4,D11001&lt;=$G$6,'calculated data '!$A$5,D11001&gt;=$G$6,'calculated data '!$A$6)</f>
        <v>Outliers / Premium Tier</v>
      </c>
      <c r="F11001" s="10">
        <f t="shared" si="1"/>
        <v>2.407743414</v>
      </c>
    </row>
    <row r="11002" ht="14.25" customHeight="1">
      <c r="A11002" s="2" t="s">
        <v>35</v>
      </c>
      <c r="B11002" s="2" t="s">
        <v>36</v>
      </c>
      <c r="C11002" s="2">
        <v>2024.0</v>
      </c>
      <c r="D11002" s="9">
        <v>116114.69</v>
      </c>
      <c r="E11002" s="10" t="str">
        <f t="array" ref="E11002">IFS(D11002&lt;=$G$3,'calculated data '!$A$3,D11002&lt;=$G$4,'calculated data '!$A$4,D11002&lt;=$G$6,'calculated data '!$A$5,D11002&gt;=$G$6,'calculated data '!$A$6)</f>
        <v>Outliers / Premium Tier</v>
      </c>
      <c r="F11002" s="10">
        <f t="shared" si="1"/>
        <v>2.410355449</v>
      </c>
    </row>
    <row r="11003" ht="14.25" customHeight="1">
      <c r="A11003" s="2" t="s">
        <v>429</v>
      </c>
      <c r="B11003" s="2" t="s">
        <v>430</v>
      </c>
      <c r="C11003" s="2">
        <v>2002.0</v>
      </c>
      <c r="D11003" s="9">
        <v>116270.91</v>
      </c>
      <c r="E11003" s="10" t="str">
        <f t="array" ref="E11003">IFS(D11003&lt;=$G$3,'calculated data '!$A$3,D11003&lt;=$G$4,'calculated data '!$A$4,D11003&lt;=$G$6,'calculated data '!$A$5,D11003&gt;=$G$6,'calculated data '!$A$6)</f>
        <v>Outliers / Premium Tier</v>
      </c>
      <c r="F11003" s="10">
        <f t="shared" si="1"/>
        <v>2.414490554</v>
      </c>
    </row>
    <row r="11004" ht="14.25" customHeight="1">
      <c r="A11004" s="2" t="s">
        <v>469</v>
      </c>
      <c r="B11004" s="2" t="s">
        <v>470</v>
      </c>
      <c r="C11004" s="2">
        <v>2021.0</v>
      </c>
      <c r="D11004" s="9">
        <v>116362.484</v>
      </c>
      <c r="E11004" s="10" t="str">
        <f t="array" ref="E11004">IFS(D11004&lt;=$G$3,'calculated data '!$A$3,D11004&lt;=$G$4,'calculated data '!$A$4,D11004&lt;=$G$6,'calculated data '!$A$5,D11004&gt;=$G$6,'calculated data '!$A$6)</f>
        <v>Outliers / Premium Tier</v>
      </c>
      <c r="F11004" s="10">
        <f t="shared" si="1"/>
        <v>2.416914495</v>
      </c>
    </row>
    <row r="11005" ht="14.25" customHeight="1">
      <c r="A11005" s="2" t="s">
        <v>463</v>
      </c>
      <c r="B11005" s="2" t="s">
        <v>464</v>
      </c>
      <c r="C11005" s="2">
        <v>2016.0</v>
      </c>
      <c r="D11005" s="9">
        <v>116386.04</v>
      </c>
      <c r="E11005" s="10" t="str">
        <f t="array" ref="E11005">IFS(D11005&lt;=$G$3,'calculated data '!$A$3,D11005&lt;=$G$4,'calculated data '!$A$4,D11005&lt;=$G$6,'calculated data '!$A$5,D11005&gt;=$G$6,'calculated data '!$A$6)</f>
        <v>Outliers / Premium Tier</v>
      </c>
      <c r="F11005" s="10">
        <f t="shared" si="1"/>
        <v>2.417538016</v>
      </c>
    </row>
    <row r="11006" ht="14.25" customHeight="1">
      <c r="A11006" s="2" t="s">
        <v>283</v>
      </c>
      <c r="B11006" s="2" t="s">
        <v>284</v>
      </c>
      <c r="C11006" s="2">
        <v>1982.0</v>
      </c>
      <c r="D11006" s="9">
        <v>116570.62</v>
      </c>
      <c r="E11006" s="10" t="str">
        <f t="array" ref="E11006">IFS(D11006&lt;=$G$3,'calculated data '!$A$3,D11006&lt;=$G$4,'calculated data '!$A$4,D11006&lt;=$G$6,'calculated data '!$A$5,D11006&gt;=$G$6,'calculated data '!$A$6)</f>
        <v>Outliers / Premium Tier</v>
      </c>
      <c r="F11006" s="10">
        <f t="shared" si="1"/>
        <v>2.422423803</v>
      </c>
    </row>
    <row r="11007" ht="14.25" customHeight="1">
      <c r="A11007" s="2" t="s">
        <v>483</v>
      </c>
      <c r="B11007" s="2" t="s">
        <v>484</v>
      </c>
      <c r="C11007" s="2">
        <v>1967.0</v>
      </c>
      <c r="D11007" s="9">
        <v>117069.72</v>
      </c>
      <c r="E11007" s="10" t="str">
        <f t="array" ref="E11007">IFS(D11007&lt;=$G$3,'calculated data '!$A$3,D11007&lt;=$G$4,'calculated data '!$A$4,D11007&lt;=$G$6,'calculated data '!$A$5,D11007&gt;=$G$6,'calculated data '!$A$6)</f>
        <v>Outliers / Premium Tier</v>
      </c>
      <c r="F11007" s="10">
        <f t="shared" si="1"/>
        <v>2.435634856</v>
      </c>
    </row>
    <row r="11008" ht="14.25" customHeight="1">
      <c r="A11008" s="2" t="s">
        <v>457</v>
      </c>
      <c r="B11008" s="2" t="s">
        <v>458</v>
      </c>
      <c r="C11008" s="2">
        <v>2004.0</v>
      </c>
      <c r="D11008" s="9">
        <v>117286.33</v>
      </c>
      <c r="E11008" s="10" t="str">
        <f t="array" ref="E11008">IFS(D11008&lt;=$G$3,'calculated data '!$A$3,D11008&lt;=$G$4,'calculated data '!$A$4,D11008&lt;=$G$6,'calculated data '!$A$5,D11008&gt;=$G$6,'calculated data '!$A$6)</f>
        <v>Outliers / Premium Tier</v>
      </c>
      <c r="F11008" s="10">
        <f t="shared" si="1"/>
        <v>2.441368468</v>
      </c>
    </row>
    <row r="11009" ht="14.25" customHeight="1">
      <c r="A11009" s="2" t="s">
        <v>487</v>
      </c>
      <c r="B11009" s="2" t="s">
        <v>488</v>
      </c>
      <c r="C11009" s="2">
        <v>2022.0</v>
      </c>
      <c r="D11009" s="9">
        <v>118047.56</v>
      </c>
      <c r="E11009" s="10" t="str">
        <f t="array" ref="E11009">IFS(D11009&lt;=$G$3,'calculated data '!$A$3,D11009&lt;=$G$4,'calculated data '!$A$4,D11009&lt;=$G$6,'calculated data '!$A$5,D11009&gt;=$G$6,'calculated data '!$A$6)</f>
        <v>Outliers / Premium Tier</v>
      </c>
      <c r="F11009" s="10">
        <f t="shared" si="1"/>
        <v>2.461518037</v>
      </c>
    </row>
    <row r="11010" ht="14.25" customHeight="1">
      <c r="A11010" s="2" t="s">
        <v>35</v>
      </c>
      <c r="B11010" s="2" t="s">
        <v>36</v>
      </c>
      <c r="C11010" s="2">
        <v>1991.0</v>
      </c>
      <c r="D11010" s="9">
        <v>118414.77</v>
      </c>
      <c r="E11010" s="10" t="str">
        <f t="array" ref="E11010">IFS(D11010&lt;=$G$3,'calculated data '!$A$3,D11010&lt;=$G$4,'calculated data '!$A$4,D11010&lt;=$G$6,'calculated data '!$A$5,D11010&gt;=$G$6,'calculated data '!$A$6)</f>
        <v>Outliers / Premium Tier</v>
      </c>
      <c r="F11010" s="10">
        <f t="shared" si="1"/>
        <v>2.471237994</v>
      </c>
    </row>
    <row r="11011" ht="14.25" customHeight="1">
      <c r="A11011" s="2" t="s">
        <v>487</v>
      </c>
      <c r="B11011" s="2" t="s">
        <v>488</v>
      </c>
      <c r="C11011" s="2">
        <v>2017.0</v>
      </c>
      <c r="D11011" s="9">
        <v>118640.67</v>
      </c>
      <c r="E11011" s="10" t="str">
        <f t="array" ref="E11011">IFS(D11011&lt;=$G$3,'calculated data '!$A$3,D11011&lt;=$G$4,'calculated data '!$A$4,D11011&lt;=$G$6,'calculated data '!$A$5,D11011&gt;=$G$6,'calculated data '!$A$6)</f>
        <v>Outliers / Premium Tier</v>
      </c>
      <c r="F11011" s="10">
        <f t="shared" si="1"/>
        <v>2.477217511</v>
      </c>
    </row>
    <row r="11012" ht="14.25" customHeight="1">
      <c r="A11012" s="2" t="s">
        <v>483</v>
      </c>
      <c r="B11012" s="2" t="s">
        <v>484</v>
      </c>
      <c r="C11012" s="2">
        <v>1976.0</v>
      </c>
      <c r="D11012" s="9">
        <v>118757.42</v>
      </c>
      <c r="E11012" s="10" t="str">
        <f t="array" ref="E11012">IFS(D11012&lt;=$G$3,'calculated data '!$A$3,D11012&lt;=$G$4,'calculated data '!$A$4,D11012&lt;=$G$6,'calculated data '!$A$5,D11012&gt;=$G$6,'calculated data '!$A$6)</f>
        <v>Outliers / Premium Tier</v>
      </c>
      <c r="F11012" s="10">
        <f t="shared" si="1"/>
        <v>2.480307854</v>
      </c>
    </row>
    <row r="11013" ht="14.25" customHeight="1">
      <c r="A11013" s="2" t="s">
        <v>35</v>
      </c>
      <c r="B11013" s="2" t="s">
        <v>36</v>
      </c>
      <c r="C11013" s="2">
        <v>1992.0</v>
      </c>
      <c r="D11013" s="9">
        <v>118856.46</v>
      </c>
      <c r="E11013" s="10" t="str">
        <f t="array" ref="E11013">IFS(D11013&lt;=$G$3,'calculated data '!$A$3,D11013&lt;=$G$4,'calculated data '!$A$4,D11013&lt;=$G$6,'calculated data '!$A$5,D11013&gt;=$G$6,'calculated data '!$A$6)</f>
        <v>Outliers / Premium Tier</v>
      </c>
      <c r="F11013" s="10">
        <f t="shared" si="1"/>
        <v>2.482929418</v>
      </c>
    </row>
    <row r="11014" ht="14.25" customHeight="1">
      <c r="A11014" s="2" t="s">
        <v>35</v>
      </c>
      <c r="B11014" s="2" t="s">
        <v>36</v>
      </c>
      <c r="C11014" s="2">
        <v>1990.0</v>
      </c>
      <c r="D11014" s="9">
        <v>118998.55</v>
      </c>
      <c r="E11014" s="10" t="str">
        <f t="array" ref="E11014">IFS(D11014&lt;=$G$3,'calculated data '!$A$3,D11014&lt;=$G$4,'calculated data '!$A$4,D11014&lt;=$G$6,'calculated data '!$A$5,D11014&gt;=$G$6,'calculated data '!$A$6)</f>
        <v>Outliers / Premium Tier</v>
      </c>
      <c r="F11014" s="10">
        <f t="shared" si="1"/>
        <v>2.486690505</v>
      </c>
    </row>
    <row r="11015" ht="14.25" customHeight="1">
      <c r="A11015" s="2" t="s">
        <v>35</v>
      </c>
      <c r="B11015" s="2" t="s">
        <v>36</v>
      </c>
      <c r="C11015" s="2">
        <v>2014.0</v>
      </c>
      <c r="D11015" s="9">
        <v>119096.664</v>
      </c>
      <c r="E11015" s="10" t="str">
        <f t="array" ref="E11015">IFS(D11015&lt;=$G$3,'calculated data '!$A$3,D11015&lt;=$G$4,'calculated data '!$A$4,D11015&lt;=$G$6,'calculated data '!$A$5,D11015&gt;=$G$6,'calculated data '!$A$6)</f>
        <v>Outliers / Premium Tier</v>
      </c>
      <c r="F11015" s="10">
        <f t="shared" si="1"/>
        <v>2.489287559</v>
      </c>
    </row>
    <row r="11016" ht="14.25" customHeight="1">
      <c r="A11016" s="2" t="s">
        <v>483</v>
      </c>
      <c r="B11016" s="2" t="s">
        <v>484</v>
      </c>
      <c r="C11016" s="2">
        <v>1975.0</v>
      </c>
      <c r="D11016" s="9">
        <v>119171.86</v>
      </c>
      <c r="E11016" s="10" t="str">
        <f t="array" ref="E11016">IFS(D11016&lt;=$G$3,'calculated data '!$A$3,D11016&lt;=$G$4,'calculated data '!$A$4,D11016&lt;=$G$6,'calculated data '!$A$5,D11016&gt;=$G$6,'calculated data '!$A$6)</f>
        <v>Outliers / Premium Tier</v>
      </c>
      <c r="F11016" s="10">
        <f t="shared" si="1"/>
        <v>2.491277978</v>
      </c>
    </row>
    <row r="11017" ht="14.25" customHeight="1">
      <c r="A11017" s="2" t="s">
        <v>463</v>
      </c>
      <c r="B11017" s="2" t="s">
        <v>464</v>
      </c>
      <c r="C11017" s="2">
        <v>2014.0</v>
      </c>
      <c r="D11017" s="9">
        <v>119294.82</v>
      </c>
      <c r="E11017" s="10" t="str">
        <f t="array" ref="E11017">IFS(D11017&lt;=$G$3,'calculated data '!$A$3,D11017&lt;=$G$4,'calculated data '!$A$4,D11017&lt;=$G$6,'calculated data '!$A$5,D11017&gt;=$G$6,'calculated data '!$A$6)</f>
        <v>Outliers / Premium Tier</v>
      </c>
      <c r="F11017" s="10">
        <f t="shared" si="1"/>
        <v>2.494532698</v>
      </c>
    </row>
    <row r="11018" ht="14.25" customHeight="1">
      <c r="A11018" s="2" t="s">
        <v>35</v>
      </c>
      <c r="B11018" s="2" t="s">
        <v>36</v>
      </c>
      <c r="C11018" s="2">
        <v>1989.0</v>
      </c>
      <c r="D11018" s="9">
        <v>119556.055</v>
      </c>
      <c r="E11018" s="10" t="str">
        <f t="array" ref="E11018">IFS(D11018&lt;=$G$3,'calculated data '!$A$3,D11018&lt;=$G$4,'calculated data '!$A$4,D11018&lt;=$G$6,'calculated data '!$A$5,D11018&gt;=$G$6,'calculated data '!$A$6)</f>
        <v>Outliers / Premium Tier</v>
      </c>
      <c r="F11018" s="10">
        <f t="shared" si="1"/>
        <v>2.501447524</v>
      </c>
    </row>
    <row r="11019" ht="14.25" customHeight="1">
      <c r="A11019" s="2" t="s">
        <v>35</v>
      </c>
      <c r="B11019" s="2" t="s">
        <v>36</v>
      </c>
      <c r="C11019" s="2">
        <v>1993.0</v>
      </c>
      <c r="D11019" s="9">
        <v>119580.74</v>
      </c>
      <c r="E11019" s="10" t="str">
        <f t="array" ref="E11019">IFS(D11019&lt;=$G$3,'calculated data '!$A$3,D11019&lt;=$G$4,'calculated data '!$A$4,D11019&lt;=$G$6,'calculated data '!$A$5,D11019&gt;=$G$6,'calculated data '!$A$6)</f>
        <v>Outliers / Premium Tier</v>
      </c>
      <c r="F11019" s="10">
        <f t="shared" si="1"/>
        <v>2.50210093</v>
      </c>
    </row>
    <row r="11020" ht="14.25" customHeight="1">
      <c r="A11020" s="2" t="s">
        <v>487</v>
      </c>
      <c r="B11020" s="2" t="s">
        <v>488</v>
      </c>
      <c r="C11020" s="2">
        <v>2016.0</v>
      </c>
      <c r="D11020" s="9">
        <v>119606.8</v>
      </c>
      <c r="E11020" s="10" t="str">
        <f t="array" ref="E11020">IFS(D11020&lt;=$G$3,'calculated data '!$A$3,D11020&lt;=$G$4,'calculated data '!$A$4,D11020&lt;=$G$6,'calculated data '!$A$5,D11020&gt;=$G$6,'calculated data '!$A$6)</f>
        <v>Outliers / Premium Tier</v>
      </c>
      <c r="F11020" s="10">
        <f t="shared" si="1"/>
        <v>2.502790731</v>
      </c>
    </row>
    <row r="11021" ht="14.25" customHeight="1">
      <c r="A11021" s="2" t="s">
        <v>483</v>
      </c>
      <c r="B11021" s="2" t="s">
        <v>484</v>
      </c>
      <c r="C11021" s="2">
        <v>1966.0</v>
      </c>
      <c r="D11021" s="9">
        <v>119804.39</v>
      </c>
      <c r="E11021" s="10" t="str">
        <f t="array" ref="E11021">IFS(D11021&lt;=$G$3,'calculated data '!$A$3,D11021&lt;=$G$4,'calculated data '!$A$4,D11021&lt;=$G$6,'calculated data '!$A$5,D11021&gt;=$G$6,'calculated data '!$A$6)</f>
        <v>Outliers / Premium Tier</v>
      </c>
      <c r="F11021" s="10">
        <f t="shared" si="1"/>
        <v>2.508020889</v>
      </c>
    </row>
    <row r="11022" ht="14.25" customHeight="1">
      <c r="A11022" s="2" t="s">
        <v>399</v>
      </c>
      <c r="B11022" s="2" t="s">
        <v>400</v>
      </c>
      <c r="C11022" s="2">
        <v>2001.0</v>
      </c>
      <c r="D11022" s="9">
        <v>119991.83</v>
      </c>
      <c r="E11022" s="10" t="str">
        <f t="array" ref="E11022">IFS(D11022&lt;=$G$3,'calculated data '!$A$3,D11022&lt;=$G$4,'calculated data '!$A$4,D11022&lt;=$G$6,'calculated data '!$A$5,D11022&gt;=$G$6,'calculated data '!$A$6)</f>
        <v>Outliers / Premium Tier</v>
      </c>
      <c r="F11022" s="10">
        <f t="shared" si="1"/>
        <v>2.51298238</v>
      </c>
    </row>
    <row r="11023" ht="14.25" customHeight="1">
      <c r="A11023" s="2" t="s">
        <v>35</v>
      </c>
      <c r="B11023" s="2" t="s">
        <v>36</v>
      </c>
      <c r="C11023" s="2">
        <v>1988.0</v>
      </c>
      <c r="D11023" s="9">
        <v>120004.33</v>
      </c>
      <c r="E11023" s="10" t="str">
        <f t="array" ref="E11023">IFS(D11023&lt;=$G$3,'calculated data '!$A$3,D11023&lt;=$G$4,'calculated data '!$A$4,D11023&lt;=$G$6,'calculated data '!$A$5,D11023&gt;=$G$6,'calculated data '!$A$6)</f>
        <v>Outliers / Premium Tier</v>
      </c>
      <c r="F11023" s="10">
        <f t="shared" si="1"/>
        <v>2.513313251</v>
      </c>
    </row>
    <row r="11024" ht="14.25" customHeight="1">
      <c r="A11024" s="2" t="s">
        <v>35</v>
      </c>
      <c r="B11024" s="2" t="s">
        <v>36</v>
      </c>
      <c r="C11024" s="2">
        <v>2015.0</v>
      </c>
      <c r="D11024" s="9">
        <v>120024.13</v>
      </c>
      <c r="E11024" s="10" t="str">
        <f t="array" ref="E11024">IFS(D11024&lt;=$G$3,'calculated data '!$A$3,D11024&lt;=$G$4,'calculated data '!$A$4,D11024&lt;=$G$6,'calculated data '!$A$5,D11024&gt;=$G$6,'calculated data '!$A$6)</f>
        <v>Outliers / Premium Tier</v>
      </c>
      <c r="F11024" s="10">
        <f t="shared" si="1"/>
        <v>2.513837353</v>
      </c>
    </row>
    <row r="11025" ht="14.25" customHeight="1">
      <c r="A11025" s="2" t="s">
        <v>457</v>
      </c>
      <c r="B11025" s="2" t="s">
        <v>458</v>
      </c>
      <c r="C11025" s="2">
        <v>2005.0</v>
      </c>
      <c r="D11025" s="9">
        <v>120029.2</v>
      </c>
      <c r="E11025" s="10" t="str">
        <f t="array" ref="E11025">IFS(D11025&lt;=$G$3,'calculated data '!$A$3,D11025&lt;=$G$4,'calculated data '!$A$4,D11025&lt;=$G$6,'calculated data '!$A$5,D11025&gt;=$G$6,'calculated data '!$A$6)</f>
        <v>Outliers / Premium Tier</v>
      </c>
      <c r="F11025" s="10">
        <f t="shared" si="1"/>
        <v>2.513971554</v>
      </c>
    </row>
    <row r="11026" ht="14.25" customHeight="1">
      <c r="A11026" s="2" t="s">
        <v>283</v>
      </c>
      <c r="B11026" s="2" t="s">
        <v>284</v>
      </c>
      <c r="C11026" s="2">
        <v>2018.0</v>
      </c>
      <c r="D11026" s="9">
        <v>120976.695</v>
      </c>
      <c r="E11026" s="10" t="str">
        <f t="array" ref="E11026">IFS(D11026&lt;=$G$3,'calculated data '!$A$3,D11026&lt;=$G$4,'calculated data '!$A$4,D11026&lt;=$G$6,'calculated data '!$A$5,D11026&gt;=$G$6,'calculated data '!$A$6)</f>
        <v>Outliers / Premium Tier</v>
      </c>
      <c r="F11026" s="10">
        <f t="shared" si="1"/>
        <v>2.539051511</v>
      </c>
    </row>
    <row r="11027" ht="14.25" customHeight="1">
      <c r="A11027" s="2" t="s">
        <v>499</v>
      </c>
      <c r="B11027" s="2" t="s">
        <v>500</v>
      </c>
      <c r="C11027" s="2">
        <v>1984.0</v>
      </c>
      <c r="D11027" s="9">
        <v>121156.61</v>
      </c>
      <c r="E11027" s="10" t="str">
        <f t="array" ref="E11027">IFS(D11027&lt;=$G$3,'calculated data '!$A$3,D11027&lt;=$G$4,'calculated data '!$A$4,D11027&lt;=$G$6,'calculated data '!$A$5,D11027&gt;=$G$6,'calculated data '!$A$6)</f>
        <v>Outliers / Premium Tier</v>
      </c>
      <c r="F11027" s="10">
        <f t="shared" si="1"/>
        <v>2.543813816</v>
      </c>
    </row>
    <row r="11028" ht="14.25" customHeight="1">
      <c r="A11028" s="2" t="s">
        <v>463</v>
      </c>
      <c r="B11028" s="2" t="s">
        <v>464</v>
      </c>
      <c r="C11028" s="2">
        <v>1969.0</v>
      </c>
      <c r="D11028" s="9">
        <v>121336.45</v>
      </c>
      <c r="E11028" s="10" t="str">
        <f t="array" ref="E11028">IFS(D11028&lt;=$G$3,'calculated data '!$A$3,D11028&lt;=$G$4,'calculated data '!$A$4,D11028&lt;=$G$6,'calculated data '!$A$5,D11028&gt;=$G$6,'calculated data '!$A$6)</f>
        <v>Outliers / Premium Tier</v>
      </c>
      <c r="F11028" s="10">
        <f t="shared" si="1"/>
        <v>2.548574136</v>
      </c>
    </row>
    <row r="11029" ht="14.25" customHeight="1">
      <c r="A11029" s="2" t="s">
        <v>389</v>
      </c>
      <c r="B11029" s="2" t="s">
        <v>390</v>
      </c>
      <c r="C11029" s="2">
        <v>1975.0</v>
      </c>
      <c r="D11029" s="9">
        <v>121413.695</v>
      </c>
      <c r="E11029" s="10" t="str">
        <f t="array" ref="E11029">IFS(D11029&lt;=$G$3,'calculated data '!$A$3,D11029&lt;=$G$4,'calculated data '!$A$4,D11029&lt;=$G$6,'calculated data '!$A$5,D11029&gt;=$G$6,'calculated data '!$A$6)</f>
        <v>Outliers / Premium Tier</v>
      </c>
      <c r="F11029" s="10">
        <f t="shared" si="1"/>
        <v>2.550618792</v>
      </c>
    </row>
    <row r="11030" ht="14.25" customHeight="1">
      <c r="A11030" s="2" t="s">
        <v>429</v>
      </c>
      <c r="B11030" s="2" t="s">
        <v>430</v>
      </c>
      <c r="C11030" s="2">
        <v>2001.0</v>
      </c>
      <c r="D11030" s="9">
        <v>121628.62</v>
      </c>
      <c r="E11030" s="10" t="str">
        <f t="array" ref="E11030">IFS(D11030&lt;=$G$3,'calculated data '!$A$3,D11030&lt;=$G$4,'calculated data '!$A$4,D11030&lt;=$G$6,'calculated data '!$A$5,D11030&gt;=$G$6,'calculated data '!$A$6)</f>
        <v>Outliers / Premium Tier</v>
      </c>
      <c r="F11030" s="10">
        <f t="shared" si="1"/>
        <v>2.556307803</v>
      </c>
    </row>
    <row r="11031" ht="14.25" customHeight="1">
      <c r="A11031" s="2" t="s">
        <v>487</v>
      </c>
      <c r="B11031" s="2" t="s">
        <v>488</v>
      </c>
      <c r="C11031" s="2">
        <v>2019.0</v>
      </c>
      <c r="D11031" s="9">
        <v>121644.695</v>
      </c>
      <c r="E11031" s="10" t="str">
        <f t="array" ref="E11031">IFS(D11031&lt;=$G$3,'calculated data '!$A$3,D11031&lt;=$G$4,'calculated data '!$A$4,D11031&lt;=$G$6,'calculated data '!$A$5,D11031&gt;=$G$6,'calculated data '!$A$6)</f>
        <v>Outliers / Premium Tier</v>
      </c>
      <c r="F11031" s="10">
        <f t="shared" si="1"/>
        <v>2.556733304</v>
      </c>
    </row>
    <row r="11032" ht="14.25" customHeight="1">
      <c r="A11032" s="2" t="s">
        <v>487</v>
      </c>
      <c r="B11032" s="2" t="s">
        <v>488</v>
      </c>
      <c r="C11032" s="2">
        <v>2018.0</v>
      </c>
      <c r="D11032" s="9">
        <v>121695.086</v>
      </c>
      <c r="E11032" s="10" t="str">
        <f t="array" ref="E11032">IFS(D11032&lt;=$G$3,'calculated data '!$A$3,D11032&lt;=$G$4,'calculated data '!$A$4,D11032&lt;=$G$6,'calculated data '!$A$5,D11032&gt;=$G$6,'calculated data '!$A$6)</f>
        <v>Outliers / Premium Tier</v>
      </c>
      <c r="F11032" s="10">
        <f t="shared" si="1"/>
        <v>2.558067142</v>
      </c>
    </row>
    <row r="11033" ht="14.25" customHeight="1">
      <c r="A11033" s="2" t="s">
        <v>487</v>
      </c>
      <c r="B11033" s="2" t="s">
        <v>488</v>
      </c>
      <c r="C11033" s="2">
        <v>2024.0</v>
      </c>
      <c r="D11033" s="9">
        <v>121979.82</v>
      </c>
      <c r="E11033" s="10" t="str">
        <f t="array" ref="E11033">IFS(D11033&lt;=$G$3,'calculated data '!$A$3,D11033&lt;=$G$4,'calculated data '!$A$4,D11033&lt;=$G$6,'calculated data '!$A$5,D11033&gt;=$G$6,'calculated data '!$A$6)</f>
        <v>Outliers / Premium Tier</v>
      </c>
      <c r="F11033" s="10">
        <f t="shared" si="1"/>
        <v>2.56560398</v>
      </c>
    </row>
    <row r="11034" ht="14.25" customHeight="1">
      <c r="A11034" s="2" t="s">
        <v>463</v>
      </c>
      <c r="B11034" s="2" t="s">
        <v>464</v>
      </c>
      <c r="C11034" s="2">
        <v>2015.0</v>
      </c>
      <c r="D11034" s="9">
        <v>122228.836</v>
      </c>
      <c r="E11034" s="10" t="str">
        <f t="array" ref="E11034">IFS(D11034&lt;=$G$3,'calculated data '!$A$3,D11034&lt;=$G$4,'calculated data '!$A$4,D11034&lt;=$G$6,'calculated data '!$A$5,D11034&gt;=$G$6,'calculated data '!$A$6)</f>
        <v>Outliers / Premium Tier</v>
      </c>
      <c r="F11034" s="10">
        <f t="shared" si="1"/>
        <v>2.572195371</v>
      </c>
    </row>
    <row r="11035" ht="14.25" customHeight="1">
      <c r="A11035" s="2" t="s">
        <v>35</v>
      </c>
      <c r="B11035" s="2" t="s">
        <v>36</v>
      </c>
      <c r="C11035" s="2">
        <v>1986.0</v>
      </c>
      <c r="D11035" s="9">
        <v>122976.266</v>
      </c>
      <c r="E11035" s="10" t="str">
        <f t="array" ref="E11035">IFS(D11035&lt;=$G$3,'calculated data '!$A$3,D11035&lt;=$G$4,'calculated data '!$A$4,D11035&lt;=$G$6,'calculated data '!$A$5,D11035&gt;=$G$6,'calculated data '!$A$6)</f>
        <v>Outliers / Premium Tier</v>
      </c>
      <c r="F11035" s="10">
        <f t="shared" si="1"/>
        <v>2.591979657</v>
      </c>
    </row>
    <row r="11036" ht="14.25" customHeight="1">
      <c r="A11036" s="2" t="s">
        <v>35</v>
      </c>
      <c r="B11036" s="2" t="s">
        <v>36</v>
      </c>
      <c r="C11036" s="2">
        <v>1987.0</v>
      </c>
      <c r="D11036" s="9">
        <v>123000.0</v>
      </c>
      <c r="E11036" s="10" t="str">
        <f t="array" ref="E11036">IFS(D11036&lt;=$G$3,'calculated data '!$A$3,D11036&lt;=$G$4,'calculated data '!$A$4,D11036&lt;=$G$6,'calculated data '!$A$5,D11036&gt;=$G$6,'calculated data '!$A$6)</f>
        <v>Outliers / Premium Tier</v>
      </c>
      <c r="F11036" s="10">
        <f t="shared" si="1"/>
        <v>2.59260789</v>
      </c>
    </row>
    <row r="11037" ht="14.25" customHeight="1">
      <c r="A11037" s="2" t="s">
        <v>429</v>
      </c>
      <c r="B11037" s="2" t="s">
        <v>430</v>
      </c>
      <c r="C11037" s="2">
        <v>2004.0</v>
      </c>
      <c r="D11037" s="9">
        <v>123046.195</v>
      </c>
      <c r="E11037" s="10" t="str">
        <f t="array" ref="E11037">IFS(D11037&lt;=$G$3,'calculated data '!$A$3,D11037&lt;=$G$4,'calculated data '!$A$4,D11037&lt;=$G$6,'calculated data '!$A$5,D11037&gt;=$G$6,'calculated data '!$A$6)</f>
        <v>Outliers / Premium Tier</v>
      </c>
      <c r="F11037" s="10">
        <f t="shared" si="1"/>
        <v>2.59383066</v>
      </c>
    </row>
    <row r="11038" ht="14.25" customHeight="1">
      <c r="A11038" s="2" t="s">
        <v>487</v>
      </c>
      <c r="B11038" s="2" t="s">
        <v>488</v>
      </c>
      <c r="C11038" s="2">
        <v>2021.0</v>
      </c>
      <c r="D11038" s="9">
        <v>123425.125</v>
      </c>
      <c r="E11038" s="10" t="str">
        <f t="array" ref="E11038">IFS(D11038&lt;=$G$3,'calculated data '!$A$3,D11038&lt;=$G$4,'calculated data '!$A$4,D11038&lt;=$G$6,'calculated data '!$A$5,D11038&gt;=$G$6,'calculated data '!$A$6)</f>
        <v>Outliers / Premium Tier</v>
      </c>
      <c r="F11038" s="10">
        <f t="shared" si="1"/>
        <v>2.603860843</v>
      </c>
    </row>
    <row r="11039" ht="14.25" customHeight="1">
      <c r="A11039" s="2" t="s">
        <v>283</v>
      </c>
      <c r="B11039" s="2" t="s">
        <v>284</v>
      </c>
      <c r="C11039" s="2">
        <v>2021.0</v>
      </c>
      <c r="D11039" s="9">
        <v>123560.69</v>
      </c>
      <c r="E11039" s="10" t="str">
        <f t="array" ref="E11039">IFS(D11039&lt;=$G$3,'calculated data '!$A$3,D11039&lt;=$G$4,'calculated data '!$A$4,D11039&lt;=$G$6,'calculated data '!$A$5,D11039&gt;=$G$6,'calculated data '!$A$6)</f>
        <v>Outliers / Premium Tier</v>
      </c>
      <c r="F11039" s="10">
        <f t="shared" si="1"/>
        <v>2.607449215</v>
      </c>
    </row>
    <row r="11040" ht="14.25" customHeight="1">
      <c r="A11040" s="2" t="s">
        <v>35</v>
      </c>
      <c r="B11040" s="2" t="s">
        <v>36</v>
      </c>
      <c r="C11040" s="2">
        <v>1985.0</v>
      </c>
      <c r="D11040" s="9">
        <v>123628.89</v>
      </c>
      <c r="E11040" s="10" t="str">
        <f t="array" ref="E11040">IFS(D11040&lt;=$G$3,'calculated data '!$A$3,D11040&lt;=$G$4,'calculated data '!$A$4,D11040&lt;=$G$6,'calculated data '!$A$5,D11040&gt;=$G$6,'calculated data '!$A$6)</f>
        <v>Outliers / Premium Tier</v>
      </c>
      <c r="F11040" s="10">
        <f t="shared" si="1"/>
        <v>2.609254452</v>
      </c>
    </row>
    <row r="11041" ht="14.25" customHeight="1">
      <c r="A11041" s="2" t="s">
        <v>499</v>
      </c>
      <c r="B11041" s="2" t="s">
        <v>500</v>
      </c>
      <c r="C11041" s="2">
        <v>1981.0</v>
      </c>
      <c r="D11041" s="9">
        <v>123910.92</v>
      </c>
      <c r="E11041" s="10" t="str">
        <f t="array" ref="E11041">IFS(D11041&lt;=$G$3,'calculated data '!$A$3,D11041&lt;=$G$4,'calculated data '!$A$4,D11041&lt;=$G$6,'calculated data '!$A$5,D11041&gt;=$G$6,'calculated data '!$A$6)</f>
        <v>Outliers / Premium Tier</v>
      </c>
      <c r="F11041" s="10">
        <f t="shared" si="1"/>
        <v>2.616719716</v>
      </c>
    </row>
    <row r="11042" ht="14.25" customHeight="1">
      <c r="A11042" s="2" t="s">
        <v>283</v>
      </c>
      <c r="B11042" s="2" t="s">
        <v>284</v>
      </c>
      <c r="C11042" s="2">
        <v>2020.0</v>
      </c>
      <c r="D11042" s="9">
        <v>124379.3</v>
      </c>
      <c r="E11042" s="10" t="str">
        <f t="array" ref="E11042">IFS(D11042&lt;=$G$3,'calculated data '!$A$3,D11042&lt;=$G$4,'calculated data '!$A$4,D11042&lt;=$G$6,'calculated data '!$A$5,D11042&gt;=$G$6,'calculated data '!$A$6)</f>
        <v>Outliers / Premium Tier</v>
      </c>
      <c r="F11042" s="10">
        <f t="shared" si="1"/>
        <v>2.629117618</v>
      </c>
    </row>
    <row r="11043" ht="14.25" customHeight="1">
      <c r="A11043" s="2" t="s">
        <v>283</v>
      </c>
      <c r="B11043" s="2" t="s">
        <v>284</v>
      </c>
      <c r="C11043" s="2">
        <v>1984.0</v>
      </c>
      <c r="D11043" s="9">
        <v>124461.07</v>
      </c>
      <c r="E11043" s="10" t="str">
        <f t="array" ref="E11043">IFS(D11043&lt;=$G$3,'calculated data '!$A$3,D11043&lt;=$G$4,'calculated data '!$A$4,D11043&lt;=$G$6,'calculated data '!$A$5,D11043&gt;=$G$6,'calculated data '!$A$6)</f>
        <v>Outliers / Premium Tier</v>
      </c>
      <c r="F11043" s="10">
        <f t="shared" si="1"/>
        <v>2.631282049</v>
      </c>
    </row>
    <row r="11044" ht="14.25" customHeight="1">
      <c r="A11044" s="2" t="s">
        <v>35</v>
      </c>
      <c r="B11044" s="2" t="s">
        <v>36</v>
      </c>
      <c r="C11044" s="2">
        <v>1984.0</v>
      </c>
      <c r="D11044" s="9">
        <v>124752.16</v>
      </c>
      <c r="E11044" s="10" t="str">
        <f t="array" ref="E11044">IFS(D11044&lt;=$G$3,'calculated data '!$A$3,D11044&lt;=$G$4,'calculated data '!$A$4,D11044&lt;=$G$6,'calculated data '!$A$5,D11044&gt;=$G$6,'calculated data '!$A$6)</f>
        <v>Outliers / Premium Tier</v>
      </c>
      <c r="F11044" s="10">
        <f t="shared" si="1"/>
        <v>2.638987129</v>
      </c>
    </row>
    <row r="11045" ht="14.25" customHeight="1">
      <c r="A11045" s="2" t="s">
        <v>463</v>
      </c>
      <c r="B11045" s="2" t="s">
        <v>464</v>
      </c>
      <c r="C11045" s="2">
        <v>2009.0</v>
      </c>
      <c r="D11045" s="9">
        <v>125251.414</v>
      </c>
      <c r="E11045" s="10" t="str">
        <f t="array" ref="E11045">IFS(D11045&lt;=$G$3,'calculated data '!$A$3,D11045&lt;=$G$4,'calculated data '!$A$4,D11045&lt;=$G$6,'calculated data '!$A$5,D11045&gt;=$G$6,'calculated data '!$A$6)</f>
        <v>Outliers / Premium Tier</v>
      </c>
      <c r="F11045" s="10">
        <f t="shared" si="1"/>
        <v>2.652202258</v>
      </c>
    </row>
    <row r="11046" ht="14.25" customHeight="1">
      <c r="A11046" s="2" t="s">
        <v>35</v>
      </c>
      <c r="B11046" s="2" t="s">
        <v>36</v>
      </c>
      <c r="C11046" s="2">
        <v>1983.0</v>
      </c>
      <c r="D11046" s="9">
        <v>125316.99</v>
      </c>
      <c r="E11046" s="10" t="str">
        <f t="array" ref="E11046">IFS(D11046&lt;=$G$3,'calculated data '!$A$3,D11046&lt;=$G$4,'calculated data '!$A$4,D11046&lt;=$G$6,'calculated data '!$A$5,D11046&gt;=$G$6,'calculated data '!$A$6)</f>
        <v>Outliers / Premium Tier</v>
      </c>
      <c r="F11046" s="10">
        <f t="shared" si="1"/>
        <v>2.653938038</v>
      </c>
    </row>
    <row r="11047" ht="14.25" customHeight="1">
      <c r="A11047" s="2" t="s">
        <v>483</v>
      </c>
      <c r="B11047" s="2" t="s">
        <v>484</v>
      </c>
      <c r="C11047" s="2">
        <v>1968.0</v>
      </c>
      <c r="D11047" s="9">
        <v>126087.625</v>
      </c>
      <c r="E11047" s="10" t="str">
        <f t="array" ref="E11047">IFS(D11047&lt;=$G$3,'calculated data '!$A$3,D11047&lt;=$G$4,'calculated data '!$A$4,D11047&lt;=$G$6,'calculated data '!$A$5,D11047&gt;=$G$6,'calculated data '!$A$6)</f>
        <v>Outliers / Premium Tier</v>
      </c>
      <c r="F11047" s="10">
        <f t="shared" si="1"/>
        <v>2.674336555</v>
      </c>
    </row>
    <row r="11048" ht="14.25" customHeight="1">
      <c r="A11048" s="2" t="s">
        <v>469</v>
      </c>
      <c r="B11048" s="2" t="s">
        <v>470</v>
      </c>
      <c r="C11048" s="2">
        <v>2004.0</v>
      </c>
      <c r="D11048" s="9">
        <v>126170.49</v>
      </c>
      <c r="E11048" s="10" t="str">
        <f t="array" ref="E11048">IFS(D11048&lt;=$G$3,'calculated data '!$A$3,D11048&lt;=$G$4,'calculated data '!$A$4,D11048&lt;=$G$6,'calculated data '!$A$5,D11048&gt;=$G$6,'calculated data '!$A$6)</f>
        <v>Outliers / Premium Tier</v>
      </c>
      <c r="F11048" s="10">
        <f t="shared" si="1"/>
        <v>2.676529971</v>
      </c>
    </row>
    <row r="11049" ht="14.25" customHeight="1">
      <c r="A11049" s="2" t="s">
        <v>483</v>
      </c>
      <c r="B11049" s="2" t="s">
        <v>484</v>
      </c>
      <c r="C11049" s="2">
        <v>1965.0</v>
      </c>
      <c r="D11049" s="9">
        <v>126277.87</v>
      </c>
      <c r="E11049" s="10" t="str">
        <f t="array" ref="E11049">IFS(D11049&lt;=$G$3,'calculated data '!$A$3,D11049&lt;=$G$4,'calculated data '!$A$4,D11049&lt;=$G$6,'calculated data '!$A$5,D11049&gt;=$G$6,'calculated data '!$A$6)</f>
        <v>Outliers / Premium Tier</v>
      </c>
      <c r="F11049" s="10">
        <f t="shared" si="1"/>
        <v>2.679372293</v>
      </c>
    </row>
    <row r="11050" ht="14.25" customHeight="1">
      <c r="A11050" s="2" t="s">
        <v>35</v>
      </c>
      <c r="B11050" s="2" t="s">
        <v>36</v>
      </c>
      <c r="C11050" s="2">
        <v>1982.0</v>
      </c>
      <c r="D11050" s="9">
        <v>126334.484</v>
      </c>
      <c r="E11050" s="10" t="str">
        <f t="array" ref="E11050">IFS(D11050&lt;=$G$3,'calculated data '!$A$3,D11050&lt;=$G$4,'calculated data '!$A$4,D11050&lt;=$G$6,'calculated data '!$A$5,D11050&gt;=$G$6,'calculated data '!$A$6)</f>
        <v>Outliers / Premium Tier</v>
      </c>
      <c r="F11050" s="10">
        <f t="shared" si="1"/>
        <v>2.680870851</v>
      </c>
    </row>
    <row r="11051" ht="14.25" customHeight="1">
      <c r="A11051" s="2" t="s">
        <v>283</v>
      </c>
      <c r="B11051" s="2" t="s">
        <v>284</v>
      </c>
      <c r="C11051" s="2">
        <v>2022.0</v>
      </c>
      <c r="D11051" s="9">
        <v>126393.64</v>
      </c>
      <c r="E11051" s="10" t="str">
        <f t="array" ref="E11051">IFS(D11051&lt;=$G$3,'calculated data '!$A$3,D11051&lt;=$G$4,'calculated data '!$A$4,D11051&lt;=$G$6,'calculated data '!$A$5,D11051&gt;=$G$6,'calculated data '!$A$6)</f>
        <v>Outliers / Premium Tier</v>
      </c>
      <c r="F11051" s="10">
        <f t="shared" si="1"/>
        <v>2.682436696</v>
      </c>
    </row>
    <row r="11052" ht="14.25" customHeight="1">
      <c r="A11052" s="2" t="s">
        <v>463</v>
      </c>
      <c r="B11052" s="2" t="s">
        <v>464</v>
      </c>
      <c r="C11052" s="2">
        <v>2012.0</v>
      </c>
      <c r="D11052" s="9">
        <v>126676.29</v>
      </c>
      <c r="E11052" s="10" t="str">
        <f t="array" ref="E11052">IFS(D11052&lt;=$G$3,'calculated data '!$A$3,D11052&lt;=$G$4,'calculated data '!$A$4,D11052&lt;=$G$6,'calculated data '!$A$5,D11052&gt;=$G$6,'calculated data '!$A$6)</f>
        <v>Outliers / Premium Tier</v>
      </c>
      <c r="F11052" s="10">
        <f t="shared" si="1"/>
        <v>2.689918371</v>
      </c>
    </row>
    <row r="11053" ht="14.25" customHeight="1">
      <c r="A11053" s="2" t="s">
        <v>429</v>
      </c>
      <c r="B11053" s="2" t="s">
        <v>430</v>
      </c>
      <c r="C11053" s="2">
        <v>2005.0</v>
      </c>
      <c r="D11053" s="9">
        <v>127033.5</v>
      </c>
      <c r="E11053" s="10" t="str">
        <f t="array" ref="E11053">IFS(D11053&lt;=$G$3,'calculated data '!$A$3,D11053&lt;=$G$4,'calculated data '!$A$4,D11053&lt;=$G$6,'calculated data '!$A$5,D11053&gt;=$G$6,'calculated data '!$A$6)</f>
        <v>Outliers / Premium Tier</v>
      </c>
      <c r="F11053" s="10">
        <f t="shared" si="1"/>
        <v>2.699373631</v>
      </c>
    </row>
    <row r="11054" ht="14.25" customHeight="1">
      <c r="A11054" s="2" t="s">
        <v>463</v>
      </c>
      <c r="B11054" s="2" t="s">
        <v>464</v>
      </c>
      <c r="C11054" s="2">
        <v>2007.0</v>
      </c>
      <c r="D11054" s="9">
        <v>127467.93</v>
      </c>
      <c r="E11054" s="10" t="str">
        <f t="array" ref="E11054">IFS(D11054&lt;=$G$3,'calculated data '!$A$3,D11054&lt;=$G$4,'calculated data '!$A$4,D11054&lt;=$G$6,'calculated data '!$A$5,D11054&gt;=$G$6,'calculated data '!$A$6)</f>
        <v>Outliers / Premium Tier</v>
      </c>
      <c r="F11054" s="10">
        <f t="shared" si="1"/>
        <v>2.710872885</v>
      </c>
    </row>
    <row r="11055" ht="14.25" customHeight="1">
      <c r="A11055" s="2" t="s">
        <v>35</v>
      </c>
      <c r="B11055" s="2" t="s">
        <v>36</v>
      </c>
      <c r="C11055" s="2">
        <v>1981.0</v>
      </c>
      <c r="D11055" s="9">
        <v>127472.85</v>
      </c>
      <c r="E11055" s="10" t="str">
        <f t="array" ref="E11055">IFS(D11055&lt;=$G$3,'calculated data '!$A$3,D11055&lt;=$G$4,'calculated data '!$A$4,D11055&lt;=$G$6,'calculated data '!$A$5,D11055&gt;=$G$6,'calculated data '!$A$6)</f>
        <v>Outliers / Premium Tier</v>
      </c>
      <c r="F11055" s="10">
        <f t="shared" si="1"/>
        <v>2.711003116</v>
      </c>
    </row>
    <row r="11056" ht="14.25" customHeight="1">
      <c r="A11056" s="2" t="s">
        <v>499</v>
      </c>
      <c r="B11056" s="2" t="s">
        <v>500</v>
      </c>
      <c r="C11056" s="2">
        <v>1982.0</v>
      </c>
      <c r="D11056" s="9">
        <v>127530.78</v>
      </c>
      <c r="E11056" s="10" t="str">
        <f t="array" ref="E11056">IFS(D11056&lt;=$G$3,'calculated data '!$A$3,D11056&lt;=$G$4,'calculated data '!$A$4,D11056&lt;=$G$6,'calculated data '!$A$5,D11056&gt;=$G$6,'calculated data '!$A$6)</f>
        <v>Outliers / Premium Tier</v>
      </c>
      <c r="F11056" s="10">
        <f t="shared" si="1"/>
        <v>2.712536508</v>
      </c>
    </row>
    <row r="11057" ht="14.25" customHeight="1">
      <c r="A11057" s="2" t="s">
        <v>463</v>
      </c>
      <c r="B11057" s="2" t="s">
        <v>464</v>
      </c>
      <c r="C11057" s="2">
        <v>2013.0</v>
      </c>
      <c r="D11057" s="9">
        <v>127839.21</v>
      </c>
      <c r="E11057" s="10" t="str">
        <f t="array" ref="E11057">IFS(D11057&lt;=$G$3,'calculated data '!$A$3,D11057&lt;=$G$4,'calculated data '!$A$4,D11057&lt;=$G$6,'calculated data '!$A$5,D11057&gt;=$G$6,'calculated data '!$A$6)</f>
        <v>Outliers / Premium Tier</v>
      </c>
      <c r="F11057" s="10">
        <f t="shared" si="1"/>
        <v>2.720700574</v>
      </c>
    </row>
    <row r="11058" ht="14.25" customHeight="1">
      <c r="A11058" s="2" t="s">
        <v>283</v>
      </c>
      <c r="B11058" s="2" t="s">
        <v>284</v>
      </c>
      <c r="C11058" s="2">
        <v>2024.0</v>
      </c>
      <c r="D11058" s="9">
        <v>127934.94</v>
      </c>
      <c r="E11058" s="10" t="str">
        <f t="array" ref="E11058">IFS(D11058&lt;=$G$3,'calculated data '!$A$3,D11058&lt;=$G$4,'calculated data '!$A$4,D11058&lt;=$G$6,'calculated data '!$A$5,D11058&gt;=$G$6,'calculated data '!$A$6)</f>
        <v>Outliers / Premium Tier</v>
      </c>
      <c r="F11058" s="10">
        <f t="shared" si="1"/>
        <v>2.723234523</v>
      </c>
    </row>
    <row r="11059" ht="14.25" customHeight="1">
      <c r="A11059" s="2" t="s">
        <v>399</v>
      </c>
      <c r="B11059" s="2" t="s">
        <v>400</v>
      </c>
      <c r="C11059" s="2">
        <v>1983.0</v>
      </c>
      <c r="D11059" s="9">
        <v>128128.07</v>
      </c>
      <c r="E11059" s="10" t="str">
        <f t="array" ref="E11059">IFS(D11059&lt;=$G$3,'calculated data '!$A$3,D11059&lt;=$G$4,'calculated data '!$A$4,D11059&lt;=$G$6,'calculated data '!$A$5,D11059&gt;=$G$6,'calculated data '!$A$6)</f>
        <v>Outliers / Premium Tier</v>
      </c>
      <c r="F11059" s="10">
        <f t="shared" si="1"/>
        <v>2.728346626</v>
      </c>
    </row>
    <row r="11060" ht="14.25" customHeight="1">
      <c r="A11060" s="2" t="s">
        <v>283</v>
      </c>
      <c r="B11060" s="2" t="s">
        <v>284</v>
      </c>
      <c r="C11060" s="2">
        <v>2025.0</v>
      </c>
      <c r="D11060" s="9">
        <v>128664.914</v>
      </c>
      <c r="E11060" s="10" t="str">
        <f t="array" ref="E11060">IFS(D11060&lt;=$G$3,'calculated data '!$A$3,D11060&lt;=$G$4,'calculated data '!$A$4,D11060&lt;=$G$6,'calculated data '!$A$5,D11060&gt;=$G$6,'calculated data '!$A$6)</f>
        <v>Outliers / Premium Tier</v>
      </c>
      <c r="F11060" s="10">
        <f t="shared" si="1"/>
        <v>2.742556753</v>
      </c>
    </row>
    <row r="11061" ht="14.25" customHeight="1">
      <c r="A11061" s="2" t="s">
        <v>499</v>
      </c>
      <c r="B11061" s="2" t="s">
        <v>500</v>
      </c>
      <c r="C11061" s="2">
        <v>1992.0</v>
      </c>
      <c r="D11061" s="9">
        <v>128730.19</v>
      </c>
      <c r="E11061" s="10" t="str">
        <f t="array" ref="E11061">IFS(D11061&lt;=$G$3,'calculated data '!$A$3,D11061&lt;=$G$4,'calculated data '!$A$4,D11061&lt;=$G$6,'calculated data '!$A$5,D11061&gt;=$G$6,'calculated data '!$A$6)</f>
        <v>Outliers / Premium Tier</v>
      </c>
      <c r="F11061" s="10">
        <f t="shared" si="1"/>
        <v>2.744284592</v>
      </c>
    </row>
    <row r="11062" ht="14.25" customHeight="1">
      <c r="A11062" s="2" t="s">
        <v>463</v>
      </c>
      <c r="B11062" s="2" t="s">
        <v>464</v>
      </c>
      <c r="C11062" s="2">
        <v>1968.0</v>
      </c>
      <c r="D11062" s="9">
        <v>129087.234</v>
      </c>
      <c r="E11062" s="10" t="str">
        <f t="array" ref="E11062">IFS(D11062&lt;=$G$3,'calculated data '!$A$3,D11062&lt;=$G$4,'calculated data '!$A$4,D11062&lt;=$G$6,'calculated data '!$A$5,D11062&gt;=$G$6,'calculated data '!$A$6)</f>
        <v>Outliers / Premium Tier</v>
      </c>
      <c r="F11062" s="10">
        <f t="shared" si="1"/>
        <v>2.753735458</v>
      </c>
    </row>
    <row r="11063" ht="14.25" customHeight="1">
      <c r="A11063" s="2" t="s">
        <v>499</v>
      </c>
      <c r="B11063" s="2" t="s">
        <v>500</v>
      </c>
      <c r="C11063" s="2">
        <v>1983.0</v>
      </c>
      <c r="D11063" s="9">
        <v>129342.82</v>
      </c>
      <c r="E11063" s="10" t="str">
        <f t="array" ref="E11063">IFS(D11063&lt;=$G$3,'calculated data '!$A$3,D11063&lt;=$G$4,'calculated data '!$A$4,D11063&lt;=$G$6,'calculated data '!$A$5,D11063&gt;=$G$6,'calculated data '!$A$6)</f>
        <v>Outliers / Premium Tier</v>
      </c>
      <c r="F11063" s="10">
        <f t="shared" si="1"/>
        <v>2.760500756</v>
      </c>
    </row>
    <row r="11064" ht="14.25" customHeight="1">
      <c r="A11064" s="2" t="s">
        <v>283</v>
      </c>
      <c r="B11064" s="2" t="s">
        <v>284</v>
      </c>
      <c r="C11064" s="2">
        <v>2019.0</v>
      </c>
      <c r="D11064" s="9">
        <v>129364.93</v>
      </c>
      <c r="E11064" s="10" t="str">
        <f t="array" ref="E11064">IFS(D11064&lt;=$G$3,'calculated data '!$A$3,D11064&lt;=$G$4,'calculated data '!$A$4,D11064&lt;=$G$6,'calculated data '!$A$5,D11064&gt;=$G$6,'calculated data '!$A$6)</f>
        <v>Outliers / Premium Tier</v>
      </c>
      <c r="F11064" s="10">
        <f t="shared" si="1"/>
        <v>2.761086002</v>
      </c>
    </row>
    <row r="11065" ht="14.25" customHeight="1">
      <c r="A11065" s="2" t="s">
        <v>35</v>
      </c>
      <c r="B11065" s="2" t="s">
        <v>36</v>
      </c>
      <c r="C11065" s="2">
        <v>1980.0</v>
      </c>
      <c r="D11065" s="9">
        <v>129399.68</v>
      </c>
      <c r="E11065" s="10" t="str">
        <f t="array" ref="E11065">IFS(D11065&lt;=$G$3,'calculated data '!$A$3,D11065&lt;=$G$4,'calculated data '!$A$4,D11065&lt;=$G$6,'calculated data '!$A$5,D11065&gt;=$G$6,'calculated data '!$A$6)</f>
        <v>Outliers / Premium Tier</v>
      </c>
      <c r="F11065" s="10">
        <f t="shared" si="1"/>
        <v>2.762005826</v>
      </c>
    </row>
    <row r="11066" ht="14.25" customHeight="1">
      <c r="A11066" s="2" t="s">
        <v>487</v>
      </c>
      <c r="B11066" s="2" t="s">
        <v>488</v>
      </c>
      <c r="C11066" s="2">
        <v>1980.0</v>
      </c>
      <c r="D11066" s="9">
        <v>129630.03</v>
      </c>
      <c r="E11066" s="10" t="str">
        <f t="array" ref="E11066">IFS(D11066&lt;=$G$3,'calculated data '!$A$3,D11066&lt;=$G$4,'calculated data '!$A$4,D11066&lt;=$G$6,'calculated data '!$A$5,D11066&gt;=$G$6,'calculated data '!$A$6)</f>
        <v>Outliers / Premium Tier</v>
      </c>
      <c r="F11066" s="10">
        <f t="shared" si="1"/>
        <v>2.768103133</v>
      </c>
    </row>
    <row r="11067" ht="14.25" customHeight="1">
      <c r="A11067" s="2" t="s">
        <v>283</v>
      </c>
      <c r="B11067" s="2" t="s">
        <v>284</v>
      </c>
      <c r="C11067" s="2">
        <v>2023.0</v>
      </c>
      <c r="D11067" s="9">
        <v>129885.99</v>
      </c>
      <c r="E11067" s="10" t="str">
        <f t="array" ref="E11067">IFS(D11067&lt;=$G$3,'calculated data '!$A$3,D11067&lt;=$G$4,'calculated data '!$A$4,D11067&lt;=$G$6,'calculated data '!$A$5,D11067&gt;=$G$6,'calculated data '!$A$6)</f>
        <v>Outliers / Premium Tier</v>
      </c>
      <c r="F11067" s="10">
        <f t="shared" si="1"/>
        <v>2.774878331</v>
      </c>
    </row>
    <row r="11068" ht="14.25" customHeight="1">
      <c r="A11068" s="2" t="s">
        <v>487</v>
      </c>
      <c r="B11068" s="2" t="s">
        <v>488</v>
      </c>
      <c r="C11068" s="2">
        <v>1981.0</v>
      </c>
      <c r="D11068" s="9">
        <v>129935.69</v>
      </c>
      <c r="E11068" s="10" t="str">
        <f t="array" ref="E11068">IFS(D11068&lt;=$G$3,'calculated data '!$A$3,D11068&lt;=$G$4,'calculated data '!$A$4,D11068&lt;=$G$6,'calculated data '!$A$5,D11068&gt;=$G$6,'calculated data '!$A$6)</f>
        <v>Outliers / Premium Tier</v>
      </c>
      <c r="F11068" s="10">
        <f t="shared" si="1"/>
        <v>2.776193877</v>
      </c>
    </row>
    <row r="11069" ht="14.25" customHeight="1">
      <c r="A11069" s="2" t="s">
        <v>463</v>
      </c>
      <c r="B11069" s="2" t="s">
        <v>464</v>
      </c>
      <c r="C11069" s="2">
        <v>2008.0</v>
      </c>
      <c r="D11069" s="9">
        <v>130237.98</v>
      </c>
      <c r="E11069" s="10" t="str">
        <f t="array" ref="E11069">IFS(D11069&lt;=$G$3,'calculated data '!$A$3,D11069&lt;=$G$4,'calculated data '!$A$4,D11069&lt;=$G$6,'calculated data '!$A$5,D11069&gt;=$G$6,'calculated data '!$A$6)</f>
        <v>Outliers / Premium Tier</v>
      </c>
      <c r="F11069" s="10">
        <f t="shared" si="1"/>
        <v>2.784195418</v>
      </c>
    </row>
    <row r="11070" ht="14.25" customHeight="1">
      <c r="A11070" s="2" t="s">
        <v>463</v>
      </c>
      <c r="B11070" s="2" t="s">
        <v>464</v>
      </c>
      <c r="C11070" s="2">
        <v>2011.0</v>
      </c>
      <c r="D11070" s="9">
        <v>130830.06</v>
      </c>
      <c r="E11070" s="10" t="str">
        <f t="array" ref="E11070">IFS(D11070&lt;=$G$3,'calculated data '!$A$3,D11070&lt;=$G$4,'calculated data '!$A$4,D11070&lt;=$G$6,'calculated data '!$A$5,D11070&gt;=$G$6,'calculated data '!$A$6)</f>
        <v>Outliers / Premium Tier</v>
      </c>
      <c r="F11070" s="10">
        <f t="shared" si="1"/>
        <v>2.799867628</v>
      </c>
    </row>
    <row r="11071" ht="14.25" customHeight="1">
      <c r="A11071" s="2" t="s">
        <v>283</v>
      </c>
      <c r="B11071" s="2" t="s">
        <v>284</v>
      </c>
      <c r="C11071" s="2">
        <v>2017.0</v>
      </c>
      <c r="D11071" s="9">
        <v>131103.22</v>
      </c>
      <c r="E11071" s="10" t="str">
        <f t="array" ref="E11071">IFS(D11071&lt;=$G$3,'calculated data '!$A$3,D11071&lt;=$G$4,'calculated data '!$A$4,D11071&lt;=$G$6,'calculated data '!$A$5,D11071&gt;=$G$6,'calculated data '!$A$6)</f>
        <v>Outliers / Premium Tier</v>
      </c>
      <c r="F11071" s="10">
        <f t="shared" si="1"/>
        <v>2.807098105</v>
      </c>
    </row>
    <row r="11072" ht="14.25" customHeight="1">
      <c r="A11072" s="2" t="s">
        <v>487</v>
      </c>
      <c r="B11072" s="2" t="s">
        <v>488</v>
      </c>
      <c r="C11072" s="2">
        <v>2020.0</v>
      </c>
      <c r="D11072" s="9">
        <v>131241.23</v>
      </c>
      <c r="E11072" s="10" t="str">
        <f t="array" ref="E11072">IFS(D11072&lt;=$G$3,'calculated data '!$A$3,D11072&lt;=$G$4,'calculated data '!$A$4,D11072&lt;=$G$6,'calculated data '!$A$5,D11072&gt;=$G$6,'calculated data '!$A$6)</f>
        <v>Outliers / Premium Tier</v>
      </c>
      <c r="F11072" s="10">
        <f t="shared" si="1"/>
        <v>2.810751196</v>
      </c>
    </row>
    <row r="11073" ht="14.25" customHeight="1">
      <c r="A11073" s="2" t="s">
        <v>469</v>
      </c>
      <c r="B11073" s="2" t="s">
        <v>470</v>
      </c>
      <c r="C11073" s="2">
        <v>2019.0</v>
      </c>
      <c r="D11073" s="9">
        <v>131452.1</v>
      </c>
      <c r="E11073" s="10" t="str">
        <f t="array" ref="E11073">IFS(D11073&lt;=$G$3,'calculated data '!$A$3,D11073&lt;=$G$4,'calculated data '!$A$4,D11073&lt;=$G$6,'calculated data '!$A$5,D11073&gt;=$G$6,'calculated data '!$A$6)</f>
        <v>Outliers / Premium Tier</v>
      </c>
      <c r="F11073" s="10">
        <f t="shared" si="1"/>
        <v>2.816332872</v>
      </c>
    </row>
    <row r="11074" ht="14.25" customHeight="1">
      <c r="A11074" s="2" t="s">
        <v>463</v>
      </c>
      <c r="B11074" s="2" t="s">
        <v>464</v>
      </c>
      <c r="C11074" s="2">
        <v>2003.0</v>
      </c>
      <c r="D11074" s="9">
        <v>131814.34</v>
      </c>
      <c r="E11074" s="10" t="str">
        <f t="array" ref="E11074">IFS(D11074&lt;=$G$3,'calculated data '!$A$3,D11074&lt;=$G$4,'calculated data '!$A$4,D11074&lt;=$G$6,'calculated data '!$A$5,D11074&gt;=$G$6,'calculated data '!$A$6)</f>
        <v>Outliers / Premium Tier</v>
      </c>
      <c r="F11074" s="10">
        <f t="shared" si="1"/>
        <v>2.825921275</v>
      </c>
    </row>
    <row r="11075" ht="14.25" customHeight="1">
      <c r="A11075" s="2" t="s">
        <v>469</v>
      </c>
      <c r="B11075" s="2" t="s">
        <v>470</v>
      </c>
      <c r="C11075" s="2">
        <v>2018.0</v>
      </c>
      <c r="D11075" s="9">
        <v>131945.17</v>
      </c>
      <c r="E11075" s="10" t="str">
        <f t="array" ref="E11075">IFS(D11075&lt;=$G$3,'calculated data '!$A$3,D11075&lt;=$G$4,'calculated data '!$A$4,D11075&lt;=$G$6,'calculated data '!$A$5,D11075&gt;=$G$6,'calculated data '!$A$6)</f>
        <v>Outliers / Premium Tier</v>
      </c>
      <c r="F11075" s="10">
        <f t="shared" si="1"/>
        <v>2.829384312</v>
      </c>
    </row>
    <row r="11076" ht="14.25" customHeight="1">
      <c r="A11076" s="2" t="s">
        <v>399</v>
      </c>
      <c r="B11076" s="2" t="s">
        <v>400</v>
      </c>
      <c r="C11076" s="2">
        <v>1980.0</v>
      </c>
      <c r="D11076" s="9">
        <v>132917.83</v>
      </c>
      <c r="E11076" s="10" t="str">
        <f t="array" ref="E11076">IFS(D11076&lt;=$G$3,'calculated data '!$A$3,D11076&lt;=$G$4,'calculated data '!$A$4,D11076&lt;=$G$6,'calculated data '!$A$5,D11076&gt;=$G$6,'calculated data '!$A$6)</f>
        <v>Outliers / Premium Tier</v>
      </c>
      <c r="F11076" s="10">
        <f t="shared" si="1"/>
        <v>2.85513038</v>
      </c>
    </row>
    <row r="11077" ht="14.25" customHeight="1">
      <c r="A11077" s="2" t="s">
        <v>483</v>
      </c>
      <c r="B11077" s="2" t="s">
        <v>484</v>
      </c>
      <c r="C11077" s="2">
        <v>1971.0</v>
      </c>
      <c r="D11077" s="9">
        <v>133784.77</v>
      </c>
      <c r="E11077" s="10" t="str">
        <f t="array" ref="E11077">IFS(D11077&lt;=$G$3,'calculated data '!$A$3,D11077&lt;=$G$4,'calculated data '!$A$4,D11077&lt;=$G$6,'calculated data '!$A$5,D11077&gt;=$G$6,'calculated data '!$A$6)</f>
        <v>Outliers / Premium Tier</v>
      </c>
      <c r="F11077" s="10">
        <f t="shared" si="1"/>
        <v>2.878078066</v>
      </c>
    </row>
    <row r="11078" ht="14.25" customHeight="1">
      <c r="A11078" s="2" t="s">
        <v>463</v>
      </c>
      <c r="B11078" s="2" t="s">
        <v>464</v>
      </c>
      <c r="C11078" s="2">
        <v>1967.0</v>
      </c>
      <c r="D11078" s="9">
        <v>134306.47</v>
      </c>
      <c r="E11078" s="10" t="str">
        <f t="array" ref="E11078">IFS(D11078&lt;=$G$3,'calculated data '!$A$3,D11078&lt;=$G$4,'calculated data '!$A$4,D11078&lt;=$G$6,'calculated data '!$A$5,D11078&gt;=$G$6,'calculated data '!$A$6)</f>
        <v>Outliers / Premium Tier</v>
      </c>
      <c r="F11078" s="10">
        <f t="shared" si="1"/>
        <v>2.891887335</v>
      </c>
    </row>
    <row r="11079" ht="14.25" customHeight="1">
      <c r="A11079" s="2" t="s">
        <v>399</v>
      </c>
      <c r="B11079" s="2" t="s">
        <v>400</v>
      </c>
      <c r="C11079" s="2">
        <v>1994.0</v>
      </c>
      <c r="D11079" s="9">
        <v>134661.17</v>
      </c>
      <c r="E11079" s="10" t="str">
        <f t="array" ref="E11079">IFS(D11079&lt;=$G$3,'calculated data '!$A$3,D11079&lt;=$G$4,'calculated data '!$A$4,D11079&lt;=$G$6,'calculated data '!$A$5,D11079&gt;=$G$6,'calculated data '!$A$6)</f>
        <v>Outliers / Premium Tier</v>
      </c>
      <c r="F11079" s="10">
        <f t="shared" si="1"/>
        <v>2.901276156</v>
      </c>
    </row>
    <row r="11080" ht="14.25" customHeight="1">
      <c r="A11080" s="2" t="s">
        <v>483</v>
      </c>
      <c r="B11080" s="2" t="s">
        <v>484</v>
      </c>
      <c r="C11080" s="2">
        <v>1969.0</v>
      </c>
      <c r="D11080" s="9">
        <v>135297.69</v>
      </c>
      <c r="E11080" s="10" t="str">
        <f t="array" ref="E11080">IFS(D11080&lt;=$G$3,'calculated data '!$A$3,D11080&lt;=$G$4,'calculated data '!$A$4,D11080&lt;=$G$6,'calculated data '!$A$5,D11080&gt;=$G$6,'calculated data '!$A$6)</f>
        <v>Outliers / Premium Tier</v>
      </c>
      <c r="F11080" s="10">
        <f t="shared" si="1"/>
        <v>2.918124682</v>
      </c>
    </row>
    <row r="11081" ht="14.25" customHeight="1">
      <c r="A11081" s="2" t="s">
        <v>429</v>
      </c>
      <c r="B11081" s="2" t="s">
        <v>430</v>
      </c>
      <c r="C11081" s="2">
        <v>2006.0</v>
      </c>
      <c r="D11081" s="9">
        <v>135860.94</v>
      </c>
      <c r="E11081" s="10" t="str">
        <f t="array" ref="E11081">IFS(D11081&lt;=$G$3,'calculated data '!$A$3,D11081&lt;=$G$4,'calculated data '!$A$4,D11081&lt;=$G$6,'calculated data '!$A$5,D11081&gt;=$G$6,'calculated data '!$A$6)</f>
        <v>Outliers / Premium Tier</v>
      </c>
      <c r="F11081" s="10">
        <f t="shared" si="1"/>
        <v>2.933033769</v>
      </c>
    </row>
    <row r="11082" ht="14.25" customHeight="1">
      <c r="A11082" s="2" t="s">
        <v>441</v>
      </c>
      <c r="B11082" s="2" t="s">
        <v>442</v>
      </c>
      <c r="C11082" s="2">
        <v>1992.0</v>
      </c>
      <c r="D11082" s="9">
        <v>136082.45</v>
      </c>
      <c r="E11082" s="10" t="str">
        <f t="array" ref="E11082">IFS(D11082&lt;=$G$3,'calculated data '!$A$3,D11082&lt;=$G$4,'calculated data '!$A$4,D11082&lt;=$G$6,'calculated data '!$A$5,D11082&gt;=$G$6,'calculated data '!$A$6)</f>
        <v>Outliers / Premium Tier</v>
      </c>
      <c r="F11082" s="10">
        <f t="shared" si="1"/>
        <v>2.938897083</v>
      </c>
    </row>
    <row r="11083" ht="14.25" customHeight="1">
      <c r="A11083" s="2" t="s">
        <v>469</v>
      </c>
      <c r="B11083" s="2" t="s">
        <v>470</v>
      </c>
      <c r="C11083" s="2">
        <v>2016.0</v>
      </c>
      <c r="D11083" s="9">
        <v>136211.08</v>
      </c>
      <c r="E11083" s="10" t="str">
        <f t="array" ref="E11083">IFS(D11083&lt;=$G$3,'calculated data '!$A$3,D11083&lt;=$G$4,'calculated data '!$A$4,D11083&lt;=$G$6,'calculated data '!$A$5,D11083&gt;=$G$6,'calculated data '!$A$6)</f>
        <v>Outliers / Premium Tier</v>
      </c>
      <c r="F11083" s="10">
        <f t="shared" si="1"/>
        <v>2.942301887</v>
      </c>
    </row>
    <row r="11084" ht="14.25" customHeight="1">
      <c r="A11084" s="2" t="s">
        <v>399</v>
      </c>
      <c r="B11084" s="2" t="s">
        <v>400</v>
      </c>
      <c r="C11084" s="2">
        <v>1982.0</v>
      </c>
      <c r="D11084" s="9">
        <v>136262.64</v>
      </c>
      <c r="E11084" s="10" t="str">
        <f t="array" ref="E11084">IFS(D11084&lt;=$G$3,'calculated data '!$A$3,D11084&lt;=$G$4,'calculated data '!$A$4,D11084&lt;=$G$6,'calculated data '!$A$5,D11084&gt;=$G$6,'calculated data '!$A$6)</f>
        <v>Outliers / Premium Tier</v>
      </c>
      <c r="F11084" s="10">
        <f t="shared" si="1"/>
        <v>2.943666668</v>
      </c>
    </row>
    <row r="11085" ht="14.25" customHeight="1">
      <c r="A11085" s="2" t="s">
        <v>483</v>
      </c>
      <c r="B11085" s="2" t="s">
        <v>484</v>
      </c>
      <c r="C11085" s="2">
        <v>1972.0</v>
      </c>
      <c r="D11085" s="9">
        <v>136273.62</v>
      </c>
      <c r="E11085" s="10" t="str">
        <f t="array" ref="E11085">IFS(D11085&lt;=$G$3,'calculated data '!$A$3,D11085&lt;=$G$4,'calculated data '!$A$4,D11085&lt;=$G$6,'calculated data '!$A$5,D11085&gt;=$G$6,'calculated data '!$A$6)</f>
        <v>Outliers / Premium Tier</v>
      </c>
      <c r="F11085" s="10">
        <f t="shared" si="1"/>
        <v>2.943957306</v>
      </c>
    </row>
    <row r="11086" ht="14.25" customHeight="1">
      <c r="A11086" s="2" t="s">
        <v>499</v>
      </c>
      <c r="B11086" s="2" t="s">
        <v>500</v>
      </c>
      <c r="C11086" s="2">
        <v>1996.0</v>
      </c>
      <c r="D11086" s="9">
        <v>136899.3</v>
      </c>
      <c r="E11086" s="10" t="str">
        <f t="array" ref="E11086">IFS(D11086&lt;=$G$3,'calculated data '!$A$3,D11086&lt;=$G$4,'calculated data '!$A$4,D11086&lt;=$G$6,'calculated data '!$A$5,D11086&gt;=$G$6,'calculated data '!$A$6)</f>
        <v>Outliers / Premium Tier</v>
      </c>
      <c r="F11086" s="10">
        <f t="shared" si="1"/>
        <v>2.960518899</v>
      </c>
    </row>
    <row r="11087" ht="14.25" customHeight="1">
      <c r="A11087" s="2" t="s">
        <v>487</v>
      </c>
      <c r="B11087" s="2" t="s">
        <v>488</v>
      </c>
      <c r="C11087" s="2">
        <v>1982.0</v>
      </c>
      <c r="D11087" s="9">
        <v>137327.55</v>
      </c>
      <c r="E11087" s="10" t="str">
        <f t="array" ref="E11087">IFS(D11087&lt;=$G$3,'calculated data '!$A$3,D11087&lt;=$G$4,'calculated data '!$A$4,D11087&lt;=$G$6,'calculated data '!$A$5,D11087&gt;=$G$6,'calculated data '!$A$6)</f>
        <v>Outliers / Premium Tier</v>
      </c>
      <c r="F11087" s="10">
        <f t="shared" si="1"/>
        <v>2.97185457</v>
      </c>
    </row>
    <row r="11088" ht="14.25" customHeight="1">
      <c r="A11088" s="2" t="s">
        <v>463</v>
      </c>
      <c r="B11088" s="2" t="s">
        <v>464</v>
      </c>
      <c r="C11088" s="2">
        <v>2010.0</v>
      </c>
      <c r="D11088" s="9">
        <v>137626.34</v>
      </c>
      <c r="E11088" s="10" t="str">
        <f t="array" ref="E11088">IFS(D11088&lt;=$G$3,'calculated data '!$A$3,D11088&lt;=$G$4,'calculated data '!$A$4,D11088&lt;=$G$6,'calculated data '!$A$5,D11088&gt;=$G$6,'calculated data '!$A$6)</f>
        <v>Outliers / Premium Tier</v>
      </c>
      <c r="F11088" s="10">
        <f t="shared" si="1"/>
        <v>2.979763467</v>
      </c>
    </row>
    <row r="11089" ht="14.25" customHeight="1">
      <c r="A11089" s="2" t="s">
        <v>283</v>
      </c>
      <c r="B11089" s="2" t="s">
        <v>284</v>
      </c>
      <c r="C11089" s="2">
        <v>2014.0</v>
      </c>
      <c r="D11089" s="9">
        <v>137753.67</v>
      </c>
      <c r="E11089" s="10" t="str">
        <f t="array" ref="E11089">IFS(D11089&lt;=$G$3,'calculated data '!$A$3,D11089&lt;=$G$4,'calculated data '!$A$4,D11089&lt;=$G$6,'calculated data '!$A$5,D11089&gt;=$G$6,'calculated data '!$A$6)</f>
        <v>Outliers / Premium Tier</v>
      </c>
      <c r="F11089" s="10">
        <f t="shared" si="1"/>
        <v>2.983133861</v>
      </c>
    </row>
    <row r="11090" ht="14.25" customHeight="1">
      <c r="A11090" s="2" t="s">
        <v>499</v>
      </c>
      <c r="B11090" s="2" t="s">
        <v>500</v>
      </c>
      <c r="C11090" s="2">
        <v>1989.0</v>
      </c>
      <c r="D11090" s="9">
        <v>137958.86</v>
      </c>
      <c r="E11090" s="10" t="str">
        <f t="array" ref="E11090">IFS(D11090&lt;=$G$3,'calculated data '!$A$3,D11090&lt;=$G$4,'calculated data '!$A$4,D11090&lt;=$G$6,'calculated data '!$A$5,D11090&gt;=$G$6,'calculated data '!$A$6)</f>
        <v>Outliers / Premium Tier</v>
      </c>
      <c r="F11090" s="10">
        <f t="shared" si="1"/>
        <v>2.988565189</v>
      </c>
    </row>
    <row r="11091" ht="14.25" customHeight="1">
      <c r="A11091" s="2" t="s">
        <v>283</v>
      </c>
      <c r="B11091" s="2" t="s">
        <v>284</v>
      </c>
      <c r="C11091" s="2">
        <v>2009.0</v>
      </c>
      <c r="D11091" s="9">
        <v>137998.38</v>
      </c>
      <c r="E11091" s="10" t="str">
        <f t="array" ref="E11091">IFS(D11091&lt;=$G$3,'calculated data '!$A$3,D11091&lt;=$G$4,'calculated data '!$A$4,D11091&lt;=$G$6,'calculated data '!$A$5,D11091&gt;=$G$6,'calculated data '!$A$6)</f>
        <v>Outliers / Premium Tier</v>
      </c>
      <c r="F11091" s="10">
        <f t="shared" si="1"/>
        <v>2.989611273</v>
      </c>
    </row>
    <row r="11092" ht="14.25" customHeight="1">
      <c r="A11092" s="2" t="s">
        <v>469</v>
      </c>
      <c r="B11092" s="2" t="s">
        <v>470</v>
      </c>
      <c r="C11092" s="2">
        <v>2005.0</v>
      </c>
      <c r="D11092" s="9">
        <v>138474.27</v>
      </c>
      <c r="E11092" s="10" t="str">
        <f t="array" ref="E11092">IFS(D11092&lt;=$G$3,'calculated data '!$A$3,D11092&lt;=$G$4,'calculated data '!$A$4,D11092&lt;=$G$6,'calculated data '!$A$5,D11092&gt;=$G$6,'calculated data '!$A$6)</f>
        <v>Outliers / Premium Tier</v>
      </c>
      <c r="F11092" s="10">
        <f t="shared" si="1"/>
        <v>3.002207963</v>
      </c>
    </row>
    <row r="11093" ht="14.25" customHeight="1">
      <c r="A11093" s="2" t="s">
        <v>499</v>
      </c>
      <c r="B11093" s="2" t="s">
        <v>500</v>
      </c>
      <c r="C11093" s="2">
        <v>1985.0</v>
      </c>
      <c r="D11093" s="9">
        <v>138919.61</v>
      </c>
      <c r="E11093" s="10" t="str">
        <f t="array" ref="E11093">IFS(D11093&lt;=$G$3,'calculated data '!$A$3,D11093&lt;=$G$4,'calculated data '!$A$4,D11093&lt;=$G$6,'calculated data '!$A$5,D11093&gt;=$G$6,'calculated data '!$A$6)</f>
        <v>Outliers / Premium Tier</v>
      </c>
      <c r="F11093" s="10">
        <f t="shared" si="1"/>
        <v>3.013996002</v>
      </c>
    </row>
    <row r="11094" ht="14.25" customHeight="1">
      <c r="A11094" s="2" t="s">
        <v>463</v>
      </c>
      <c r="B11094" s="2" t="s">
        <v>464</v>
      </c>
      <c r="C11094" s="2">
        <v>2006.0</v>
      </c>
      <c r="D11094" s="9">
        <v>138972.2</v>
      </c>
      <c r="E11094" s="10" t="str">
        <f t="array" ref="E11094">IFS(D11094&lt;=$G$3,'calculated data '!$A$3,D11094&lt;=$G$4,'calculated data '!$A$4,D11094&lt;=$G$6,'calculated data '!$A$5,D11094&gt;=$G$6,'calculated data '!$A$6)</f>
        <v>Outliers / Premium Tier</v>
      </c>
      <c r="F11094" s="10">
        <f t="shared" si="1"/>
        <v>3.015388046</v>
      </c>
    </row>
    <row r="11095" ht="14.25" customHeight="1">
      <c r="A11095" s="2" t="s">
        <v>441</v>
      </c>
      <c r="B11095" s="2" t="s">
        <v>442</v>
      </c>
      <c r="C11095" s="2">
        <v>1987.0</v>
      </c>
      <c r="D11095" s="9">
        <v>139175.06</v>
      </c>
      <c r="E11095" s="10" t="str">
        <f t="array" ref="E11095">IFS(D11095&lt;=$G$3,'calculated data '!$A$3,D11095&lt;=$G$4,'calculated data '!$A$4,D11095&lt;=$G$6,'calculated data '!$A$5,D11095&gt;=$G$6,'calculated data '!$A$6)</f>
        <v>Outliers / Premium Tier</v>
      </c>
      <c r="F11095" s="10">
        <f t="shared" si="1"/>
        <v>3.0207577</v>
      </c>
    </row>
    <row r="11096" ht="14.25" customHeight="1">
      <c r="A11096" s="2" t="s">
        <v>441</v>
      </c>
      <c r="B11096" s="2" t="s">
        <v>442</v>
      </c>
      <c r="C11096" s="2">
        <v>1988.0</v>
      </c>
      <c r="D11096" s="9">
        <v>139492.97</v>
      </c>
      <c r="E11096" s="10" t="str">
        <f t="array" ref="E11096">IFS(D11096&lt;=$G$3,'calculated data '!$A$3,D11096&lt;=$G$4,'calculated data '!$A$4,D11096&lt;=$G$6,'calculated data '!$A$5,D11096&gt;=$G$6,'calculated data '!$A$6)</f>
        <v>Outliers / Premium Tier</v>
      </c>
      <c r="F11096" s="10">
        <f t="shared" si="1"/>
        <v>3.029172698</v>
      </c>
    </row>
    <row r="11097" ht="14.25" customHeight="1">
      <c r="A11097" s="2" t="s">
        <v>499</v>
      </c>
      <c r="B11097" s="2" t="s">
        <v>500</v>
      </c>
      <c r="C11097" s="2">
        <v>1988.0</v>
      </c>
      <c r="D11097" s="9">
        <v>139811.05</v>
      </c>
      <c r="E11097" s="10" t="str">
        <f t="array" ref="E11097">IFS(D11097&lt;=$G$3,'calculated data '!$A$3,D11097&lt;=$G$4,'calculated data '!$A$4,D11097&lt;=$G$6,'calculated data '!$A$5,D11097&gt;=$G$6,'calculated data '!$A$6)</f>
        <v>Outliers / Premium Tier</v>
      </c>
      <c r="F11097" s="10">
        <f t="shared" si="1"/>
        <v>3.037592197</v>
      </c>
    </row>
    <row r="11098" ht="14.25" customHeight="1">
      <c r="A11098" s="2" t="s">
        <v>483</v>
      </c>
      <c r="B11098" s="2" t="s">
        <v>484</v>
      </c>
      <c r="C11098" s="2">
        <v>1970.0</v>
      </c>
      <c r="D11098" s="9">
        <v>140015.72</v>
      </c>
      <c r="E11098" s="10" t="str">
        <f t="array" ref="E11098">IFS(D11098&lt;=$G$3,'calculated data '!$A$3,D11098&lt;=$G$4,'calculated data '!$A$4,D11098&lt;=$G$6,'calculated data '!$A$5,D11098&gt;=$G$6,'calculated data '!$A$6)</f>
        <v>Outliers / Premium Tier</v>
      </c>
      <c r="F11098" s="10">
        <f t="shared" si="1"/>
        <v>3.043009761</v>
      </c>
    </row>
    <row r="11099" ht="14.25" customHeight="1">
      <c r="A11099" s="2" t="s">
        <v>499</v>
      </c>
      <c r="B11099" s="2" t="s">
        <v>500</v>
      </c>
      <c r="C11099" s="2">
        <v>1995.0</v>
      </c>
      <c r="D11099" s="9">
        <v>140103.28</v>
      </c>
      <c r="E11099" s="10" t="str">
        <f t="array" ref="E11099">IFS(D11099&lt;=$G$3,'calculated data '!$A$3,D11099&lt;=$G$4,'calculated data '!$A$4,D11099&lt;=$G$6,'calculated data '!$A$5,D11099&gt;=$G$6,'calculated data '!$A$6)</f>
        <v>Outliers / Premium Tier</v>
      </c>
      <c r="F11099" s="10">
        <f t="shared" si="1"/>
        <v>3.045327452</v>
      </c>
    </row>
    <row r="11100" ht="14.25" customHeight="1">
      <c r="A11100" s="2" t="s">
        <v>283</v>
      </c>
      <c r="B11100" s="2" t="s">
        <v>284</v>
      </c>
      <c r="C11100" s="2">
        <v>2010.0</v>
      </c>
      <c r="D11100" s="9">
        <v>140156.66</v>
      </c>
      <c r="E11100" s="10" t="str">
        <f t="array" ref="E11100">IFS(D11100&lt;=$G$3,'calculated data '!$A$3,D11100&lt;=$G$4,'calculated data '!$A$4,D11100&lt;=$G$6,'calculated data '!$A$5,D11100&gt;=$G$6,'calculated data '!$A$6)</f>
        <v>Outliers / Premium Tier</v>
      </c>
      <c r="F11100" s="10">
        <f t="shared" si="1"/>
        <v>3.046740407</v>
      </c>
    </row>
    <row r="11101" ht="14.25" customHeight="1">
      <c r="A11101" s="2" t="s">
        <v>499</v>
      </c>
      <c r="B11101" s="2" t="s">
        <v>500</v>
      </c>
      <c r="C11101" s="2">
        <v>2017.0</v>
      </c>
      <c r="D11101" s="9">
        <v>140425.52</v>
      </c>
      <c r="E11101" s="10" t="str">
        <f t="array" ref="E11101">IFS(D11101&lt;=$G$3,'calculated data '!$A$3,D11101&lt;=$G$4,'calculated data '!$A$4,D11101&lt;=$G$6,'calculated data '!$A$5,D11101&gt;=$G$6,'calculated data '!$A$6)</f>
        <v>Outliers / Premium Tier</v>
      </c>
      <c r="F11101" s="10">
        <f t="shared" si="1"/>
        <v>3.053857065</v>
      </c>
    </row>
    <row r="11102" ht="14.25" customHeight="1">
      <c r="A11102" s="2" t="s">
        <v>283</v>
      </c>
      <c r="B11102" s="2" t="s">
        <v>284</v>
      </c>
      <c r="C11102" s="2">
        <v>2016.0</v>
      </c>
      <c r="D11102" s="9">
        <v>140517.12</v>
      </c>
      <c r="E11102" s="10" t="str">
        <f t="array" ref="E11102">IFS(D11102&lt;=$G$3,'calculated data '!$A$3,D11102&lt;=$G$4,'calculated data '!$A$4,D11102&lt;=$G$6,'calculated data '!$A$5,D11102&gt;=$G$6,'calculated data '!$A$6)</f>
        <v>Outliers / Premium Tier</v>
      </c>
      <c r="F11102" s="10">
        <f t="shared" si="1"/>
        <v>3.056281694</v>
      </c>
    </row>
    <row r="11103" ht="14.25" customHeight="1">
      <c r="A11103" s="2" t="s">
        <v>283</v>
      </c>
      <c r="B11103" s="2" t="s">
        <v>284</v>
      </c>
      <c r="C11103" s="2">
        <v>2015.0</v>
      </c>
      <c r="D11103" s="9">
        <v>140936.22</v>
      </c>
      <c r="E11103" s="10" t="str">
        <f t="array" ref="E11103">IFS(D11103&lt;=$G$3,'calculated data '!$A$3,D11103&lt;=$G$4,'calculated data '!$A$4,D11103&lt;=$G$6,'calculated data '!$A$5,D11103&gt;=$G$6,'calculated data '!$A$6)</f>
        <v>Outliers / Premium Tier</v>
      </c>
      <c r="F11103" s="10">
        <f t="shared" si="1"/>
        <v>3.067375166</v>
      </c>
    </row>
    <row r="11104" ht="14.25" customHeight="1">
      <c r="A11104" s="2" t="s">
        <v>429</v>
      </c>
      <c r="B11104" s="2" t="s">
        <v>430</v>
      </c>
      <c r="C11104" s="2">
        <v>2007.0</v>
      </c>
      <c r="D11104" s="9">
        <v>141064.86</v>
      </c>
      <c r="E11104" s="10" t="str">
        <f t="array" ref="E11104">IFS(D11104&lt;=$G$3,'calculated data '!$A$3,D11104&lt;=$G$4,'calculated data '!$A$4,D11104&lt;=$G$6,'calculated data '!$A$5,D11104&gt;=$G$6,'calculated data '!$A$6)</f>
        <v>Outliers / Premium Tier</v>
      </c>
      <c r="F11104" s="10">
        <f t="shared" si="1"/>
        <v>3.070780235</v>
      </c>
    </row>
    <row r="11105" ht="14.25" customHeight="1">
      <c r="A11105" s="2" t="s">
        <v>499</v>
      </c>
      <c r="B11105" s="2" t="s">
        <v>500</v>
      </c>
      <c r="C11105" s="2">
        <v>2011.0</v>
      </c>
      <c r="D11105" s="9">
        <v>141220.12</v>
      </c>
      <c r="E11105" s="10" t="str">
        <f t="array" ref="E11105">IFS(D11105&lt;=$G$3,'calculated data '!$A$3,D11105&lt;=$G$4,'calculated data '!$A$4,D11105&lt;=$G$6,'calculated data '!$A$5,D11105&gt;=$G$6,'calculated data '!$A$6)</f>
        <v>Outliers / Premium Tier</v>
      </c>
      <c r="F11105" s="10">
        <f t="shared" si="1"/>
        <v>3.074889929</v>
      </c>
    </row>
    <row r="11106" ht="14.25" customHeight="1">
      <c r="A11106" s="2" t="s">
        <v>499</v>
      </c>
      <c r="B11106" s="2" t="s">
        <v>500</v>
      </c>
      <c r="C11106" s="2">
        <v>2018.0</v>
      </c>
      <c r="D11106" s="9">
        <v>141234.8</v>
      </c>
      <c r="E11106" s="10" t="str">
        <f t="array" ref="E11106">IFS(D11106&lt;=$G$3,'calculated data '!$A$3,D11106&lt;=$G$4,'calculated data '!$A$4,D11106&lt;=$G$6,'calculated data '!$A$5,D11106&gt;=$G$6,'calculated data '!$A$6)</f>
        <v>Outliers / Premium Tier</v>
      </c>
      <c r="F11106" s="10">
        <f t="shared" si="1"/>
        <v>3.075278505</v>
      </c>
    </row>
    <row r="11107" ht="14.25" customHeight="1">
      <c r="A11107" s="2" t="s">
        <v>403</v>
      </c>
      <c r="B11107" s="2" t="s">
        <v>404</v>
      </c>
      <c r="C11107" s="2">
        <v>2024.0</v>
      </c>
      <c r="D11107" s="9">
        <v>141480.55</v>
      </c>
      <c r="E11107" s="10" t="str">
        <f t="array" ref="E11107">IFS(D11107&lt;=$G$3,'calculated data '!$A$3,D11107&lt;=$G$4,'calculated data '!$A$4,D11107&lt;=$G$6,'calculated data '!$A$5,D11107&gt;=$G$6,'calculated data '!$A$6)</f>
        <v>Outliers / Premium Tier</v>
      </c>
      <c r="F11107" s="10">
        <f t="shared" si="1"/>
        <v>3.081783446</v>
      </c>
    </row>
    <row r="11108" ht="14.25" customHeight="1">
      <c r="A11108" s="2" t="s">
        <v>283</v>
      </c>
      <c r="B11108" s="2" t="s">
        <v>284</v>
      </c>
      <c r="C11108" s="2">
        <v>2011.0</v>
      </c>
      <c r="D11108" s="9">
        <v>141802.06</v>
      </c>
      <c r="E11108" s="10" t="str">
        <f t="array" ref="E11108">IFS(D11108&lt;=$G$3,'calculated data '!$A$3,D11108&lt;=$G$4,'calculated data '!$A$4,D11108&lt;=$G$6,'calculated data '!$A$5,D11108&gt;=$G$6,'calculated data '!$A$6)</f>
        <v>Outliers / Premium Tier</v>
      </c>
      <c r="F11108" s="10">
        <f t="shared" si="1"/>
        <v>3.090293736</v>
      </c>
    </row>
    <row r="11109" ht="14.25" customHeight="1">
      <c r="A11109" s="2" t="s">
        <v>499</v>
      </c>
      <c r="B11109" s="2" t="s">
        <v>500</v>
      </c>
      <c r="C11109" s="2">
        <v>2010.0</v>
      </c>
      <c r="D11109" s="9">
        <v>141961.7</v>
      </c>
      <c r="E11109" s="10" t="str">
        <f t="array" ref="E11109">IFS(D11109&lt;=$G$3,'calculated data '!$A$3,D11109&lt;=$G$4,'calculated data '!$A$4,D11109&lt;=$G$6,'calculated data '!$A$5,D11109&gt;=$G$6,'calculated data '!$A$6)</f>
        <v>Outliers / Premium Tier</v>
      </c>
      <c r="F11109" s="10">
        <f t="shared" si="1"/>
        <v>3.094519367</v>
      </c>
    </row>
    <row r="11110" ht="14.25" customHeight="1">
      <c r="A11110" s="2" t="s">
        <v>499</v>
      </c>
      <c r="B11110" s="2" t="s">
        <v>500</v>
      </c>
      <c r="C11110" s="2">
        <v>2016.0</v>
      </c>
      <c r="D11110" s="9">
        <v>142093.94</v>
      </c>
      <c r="E11110" s="10" t="str">
        <f t="array" ref="E11110">IFS(D11110&lt;=$G$3,'calculated data '!$A$3,D11110&lt;=$G$4,'calculated data '!$A$4,D11110&lt;=$G$6,'calculated data '!$A$5,D11110&gt;=$G$6,'calculated data '!$A$6)</f>
        <v>Outliers / Premium Tier</v>
      </c>
      <c r="F11110" s="10">
        <f t="shared" si="1"/>
        <v>3.098019726</v>
      </c>
    </row>
    <row r="11111" ht="14.25" customHeight="1">
      <c r="A11111" s="2" t="s">
        <v>487</v>
      </c>
      <c r="B11111" s="2" t="s">
        <v>488</v>
      </c>
      <c r="C11111" s="2">
        <v>2006.0</v>
      </c>
      <c r="D11111" s="9">
        <v>142785.9</v>
      </c>
      <c r="E11111" s="10" t="str">
        <f t="array" ref="E11111">IFS(D11111&lt;=$G$3,'calculated data '!$A$3,D11111&lt;=$G$4,'calculated data '!$A$4,D11111&lt;=$G$6,'calculated data '!$A$5,D11111&gt;=$G$6,'calculated data '!$A$6)</f>
        <v>Outliers / Premium Tier</v>
      </c>
      <c r="F11111" s="10">
        <f t="shared" si="1"/>
        <v>3.116335735</v>
      </c>
    </row>
    <row r="11112" ht="14.25" customHeight="1">
      <c r="A11112" s="2" t="s">
        <v>483</v>
      </c>
      <c r="B11112" s="2" t="s">
        <v>484</v>
      </c>
      <c r="C11112" s="2">
        <v>1973.0</v>
      </c>
      <c r="D11112" s="9">
        <v>143229.27</v>
      </c>
      <c r="E11112" s="10" t="str">
        <f t="array" ref="E11112">IFS(D11112&lt;=$G$3,'calculated data '!$A$3,D11112&lt;=$G$4,'calculated data '!$A$4,D11112&lt;=$G$6,'calculated data '!$A$5,D11112&gt;=$G$6,'calculated data '!$A$6)</f>
        <v>Outliers / Premium Tier</v>
      </c>
      <c r="F11112" s="10">
        <f t="shared" si="1"/>
        <v>3.128071629</v>
      </c>
    </row>
    <row r="11113" ht="14.25" customHeight="1">
      <c r="A11113" s="2" t="s">
        <v>283</v>
      </c>
      <c r="B11113" s="2" t="s">
        <v>284</v>
      </c>
      <c r="C11113" s="2">
        <v>2012.0</v>
      </c>
      <c r="D11113" s="9">
        <v>143262.64</v>
      </c>
      <c r="E11113" s="10" t="str">
        <f t="array" ref="E11113">IFS(D11113&lt;=$G$3,'calculated data '!$A$3,D11113&lt;=$G$4,'calculated data '!$A$4,D11113&lt;=$G$6,'calculated data '!$A$5,D11113&gt;=$G$6,'calculated data '!$A$6)</f>
        <v>Outliers / Premium Tier</v>
      </c>
      <c r="F11113" s="10">
        <f t="shared" si="1"/>
        <v>3.128954924</v>
      </c>
    </row>
    <row r="11114" ht="14.25" customHeight="1">
      <c r="A11114" s="2" t="s">
        <v>469</v>
      </c>
      <c r="B11114" s="2" t="s">
        <v>470</v>
      </c>
      <c r="C11114" s="2">
        <v>2017.0</v>
      </c>
      <c r="D11114" s="9">
        <v>143265.48</v>
      </c>
      <c r="E11114" s="10" t="str">
        <f t="array" ref="E11114">IFS(D11114&lt;=$G$3,'calculated data '!$A$3,D11114&lt;=$G$4,'calculated data '!$A$4,D11114&lt;=$G$6,'calculated data '!$A$5,D11114&gt;=$G$6,'calculated data '!$A$6)</f>
        <v>Outliers / Premium Tier</v>
      </c>
      <c r="F11114" s="10">
        <f t="shared" si="1"/>
        <v>3.129030098</v>
      </c>
    </row>
    <row r="11115" ht="14.25" customHeight="1">
      <c r="A11115" s="2" t="s">
        <v>499</v>
      </c>
      <c r="B11115" s="2" t="s">
        <v>500</v>
      </c>
      <c r="C11115" s="2">
        <v>1994.0</v>
      </c>
      <c r="D11115" s="9">
        <v>143550.95</v>
      </c>
      <c r="E11115" s="10" t="str">
        <f t="array" ref="E11115">IFS(D11115&lt;=$G$3,'calculated data '!$A$3,D11115&lt;=$G$4,'calculated data '!$A$4,D11115&lt;=$G$6,'calculated data '!$A$5,D11115&gt;=$G$6,'calculated data '!$A$6)</f>
        <v>Outliers / Premium Tier</v>
      </c>
      <c r="F11115" s="10">
        <f t="shared" si="1"/>
        <v>3.136586418</v>
      </c>
    </row>
    <row r="11116" ht="14.25" customHeight="1">
      <c r="A11116" s="2" t="s">
        <v>463</v>
      </c>
      <c r="B11116" s="2" t="s">
        <v>464</v>
      </c>
      <c r="C11116" s="2">
        <v>2004.0</v>
      </c>
      <c r="D11116" s="9">
        <v>143647.47</v>
      </c>
      <c r="E11116" s="10" t="str">
        <f t="array" ref="E11116">IFS(D11116&lt;=$G$3,'calculated data '!$A$3,D11116&lt;=$G$4,'calculated data '!$A$4,D11116&lt;=$G$6,'calculated data '!$A$5,D11116&gt;=$G$6,'calculated data '!$A$6)</f>
        <v>Outliers / Premium Tier</v>
      </c>
      <c r="F11116" s="10">
        <f t="shared" si="1"/>
        <v>3.139141279</v>
      </c>
    </row>
    <row r="11117" ht="14.25" customHeight="1">
      <c r="A11117" s="2" t="s">
        <v>429</v>
      </c>
      <c r="B11117" s="2" t="s">
        <v>430</v>
      </c>
      <c r="C11117" s="2">
        <v>2008.0</v>
      </c>
      <c r="D11117" s="9">
        <v>143655.48</v>
      </c>
      <c r="E11117" s="10" t="str">
        <f t="array" ref="E11117">IFS(D11117&lt;=$G$3,'calculated data '!$A$3,D11117&lt;=$G$4,'calculated data '!$A$4,D11117&lt;=$G$6,'calculated data '!$A$5,D11117&gt;=$G$6,'calculated data '!$A$6)</f>
        <v>Outliers / Premium Tier</v>
      </c>
      <c r="F11117" s="10">
        <f t="shared" si="1"/>
        <v>3.139353301</v>
      </c>
    </row>
    <row r="11118" ht="14.25" customHeight="1">
      <c r="A11118" s="2" t="s">
        <v>499</v>
      </c>
      <c r="B11118" s="2" t="s">
        <v>500</v>
      </c>
      <c r="C11118" s="2">
        <v>2009.0</v>
      </c>
      <c r="D11118" s="9">
        <v>143941.16</v>
      </c>
      <c r="E11118" s="10" t="str">
        <f t="array" ref="E11118">IFS(D11118&lt;=$G$3,'calculated data '!$A$3,D11118&lt;=$G$4,'calculated data '!$A$4,D11118&lt;=$G$6,'calculated data '!$A$5,D11118&gt;=$G$6,'calculated data '!$A$6)</f>
        <v>Outliers / Premium Tier</v>
      </c>
      <c r="F11118" s="10">
        <f t="shared" si="1"/>
        <v>3.14691518</v>
      </c>
    </row>
    <row r="11119" ht="14.25" customHeight="1">
      <c r="A11119" s="2" t="s">
        <v>483</v>
      </c>
      <c r="B11119" s="2" t="s">
        <v>484</v>
      </c>
      <c r="C11119" s="2">
        <v>1974.0</v>
      </c>
      <c r="D11119" s="9">
        <v>144401.4</v>
      </c>
      <c r="E11119" s="10" t="str">
        <f t="array" ref="E11119">IFS(D11119&lt;=$G$3,'calculated data '!$A$3,D11119&lt;=$G$4,'calculated data '!$A$4,D11119&lt;=$G$6,'calculated data '!$A$5,D11119&gt;=$G$6,'calculated data '!$A$6)</f>
        <v>Outliers / Premium Tier</v>
      </c>
      <c r="F11119" s="10">
        <f t="shared" si="1"/>
        <v>3.159097618</v>
      </c>
    </row>
    <row r="11120" ht="14.25" customHeight="1">
      <c r="A11120" s="2" t="s">
        <v>283</v>
      </c>
      <c r="B11120" s="2" t="s">
        <v>284</v>
      </c>
      <c r="C11120" s="2">
        <v>2013.0</v>
      </c>
      <c r="D11120" s="9">
        <v>144500.89</v>
      </c>
      <c r="E11120" s="10" t="str">
        <f t="array" ref="E11120">IFS(D11120&lt;=$G$3,'calculated data '!$A$3,D11120&lt;=$G$4,'calculated data '!$A$4,D11120&lt;=$G$6,'calculated data '!$A$5,D11120&gt;=$G$6,'calculated data '!$A$6)</f>
        <v>Outliers / Premium Tier</v>
      </c>
      <c r="F11120" s="10">
        <f t="shared" si="1"/>
        <v>3.161731093</v>
      </c>
    </row>
    <row r="11121" ht="14.25" customHeight="1">
      <c r="A11121" s="2" t="s">
        <v>463</v>
      </c>
      <c r="B11121" s="2" t="s">
        <v>464</v>
      </c>
      <c r="C11121" s="2">
        <v>1966.0</v>
      </c>
      <c r="D11121" s="9">
        <v>144746.55</v>
      </c>
      <c r="E11121" s="10" t="str">
        <f t="array" ref="E11121">IFS(D11121&lt;=$G$3,'calculated data '!$A$3,D11121&lt;=$G$4,'calculated data '!$A$4,D11121&lt;=$G$6,'calculated data '!$A$5,D11121&gt;=$G$6,'calculated data '!$A$6)</f>
        <v>Outliers / Premium Tier</v>
      </c>
      <c r="F11121" s="10">
        <f t="shared" si="1"/>
        <v>3.168233652</v>
      </c>
    </row>
    <row r="11122" ht="14.25" customHeight="1">
      <c r="A11122" s="2" t="s">
        <v>499</v>
      </c>
      <c r="B11122" s="2" t="s">
        <v>500</v>
      </c>
      <c r="C11122" s="2">
        <v>1986.0</v>
      </c>
      <c r="D11122" s="9">
        <v>145118.92</v>
      </c>
      <c r="E11122" s="10" t="str">
        <f t="array" ref="E11122">IFS(D11122&lt;=$G$3,'calculated data '!$A$3,D11122&lt;=$G$4,'calculated data '!$A$4,D11122&lt;=$G$6,'calculated data '!$A$5,D11122&gt;=$G$6,'calculated data '!$A$6)</f>
        <v>Outliers / Premium Tier</v>
      </c>
      <c r="F11122" s="10">
        <f t="shared" si="1"/>
        <v>3.178090194</v>
      </c>
    </row>
    <row r="11123" ht="14.25" customHeight="1">
      <c r="A11123" s="2" t="s">
        <v>283</v>
      </c>
      <c r="B11123" s="2" t="s">
        <v>284</v>
      </c>
      <c r="C11123" s="2">
        <v>2001.0</v>
      </c>
      <c r="D11123" s="9">
        <v>145441.67</v>
      </c>
      <c r="E11123" s="10" t="str">
        <f t="array" ref="E11123">IFS(D11123&lt;=$G$3,'calculated data '!$A$3,D11123&lt;=$G$4,'calculated data '!$A$4,D11123&lt;=$G$6,'calculated data '!$A$5,D11123&gt;=$G$6,'calculated data '!$A$6)</f>
        <v>Outliers / Premium Tier</v>
      </c>
      <c r="F11123" s="10">
        <f t="shared" si="1"/>
        <v>3.186633306</v>
      </c>
    </row>
    <row r="11124" ht="14.25" customHeight="1">
      <c r="A11124" s="2" t="s">
        <v>283</v>
      </c>
      <c r="B11124" s="2" t="s">
        <v>284</v>
      </c>
      <c r="C11124" s="2">
        <v>2007.0</v>
      </c>
      <c r="D11124" s="9">
        <v>145495.73</v>
      </c>
      <c r="E11124" s="10" t="str">
        <f t="array" ref="E11124">IFS(D11124&lt;=$G$3,'calculated data '!$A$3,D11124&lt;=$G$4,'calculated data '!$A$4,D11124&lt;=$G$6,'calculated data '!$A$5,D11124&gt;=$G$6,'calculated data '!$A$6)</f>
        <v>Outliers / Premium Tier</v>
      </c>
      <c r="F11124" s="10">
        <f t="shared" si="1"/>
        <v>3.18806426</v>
      </c>
    </row>
    <row r="11125" ht="14.25" customHeight="1">
      <c r="A11125" s="2" t="s">
        <v>499</v>
      </c>
      <c r="B11125" s="2" t="s">
        <v>500</v>
      </c>
      <c r="C11125" s="2">
        <v>1990.0</v>
      </c>
      <c r="D11125" s="9">
        <v>145869.83</v>
      </c>
      <c r="E11125" s="10" t="str">
        <f t="array" ref="E11125">IFS(D11125&lt;=$G$3,'calculated data '!$A$3,D11125&lt;=$G$4,'calculated data '!$A$4,D11125&lt;=$G$6,'calculated data '!$A$5,D11125&gt;=$G$6,'calculated data '!$A$6)</f>
        <v>Outliers / Premium Tier</v>
      </c>
      <c r="F11125" s="10">
        <f t="shared" si="1"/>
        <v>3.197966594</v>
      </c>
    </row>
    <row r="11126" ht="14.25" customHeight="1">
      <c r="A11126" s="2" t="s">
        <v>283</v>
      </c>
      <c r="B11126" s="2" t="s">
        <v>284</v>
      </c>
      <c r="C11126" s="2">
        <v>1985.0</v>
      </c>
      <c r="D11126" s="9">
        <v>146332.03</v>
      </c>
      <c r="E11126" s="10" t="str">
        <f t="array" ref="E11126">IFS(D11126&lt;=$G$3,'calculated data '!$A$3,D11126&lt;=$G$4,'calculated data '!$A$4,D11126&lt;=$G$6,'calculated data '!$A$5,D11126&gt;=$G$6,'calculated data '!$A$6)</f>
        <v>Outliers / Premium Tier</v>
      </c>
      <c r="F11126" s="10">
        <f t="shared" si="1"/>
        <v>3.210200913</v>
      </c>
    </row>
    <row r="11127" ht="14.25" customHeight="1">
      <c r="A11127" s="2" t="s">
        <v>487</v>
      </c>
      <c r="B11127" s="2" t="s">
        <v>488</v>
      </c>
      <c r="C11127" s="2">
        <v>2007.0</v>
      </c>
      <c r="D11127" s="9">
        <v>147383.64</v>
      </c>
      <c r="E11127" s="10" t="str">
        <f t="array" ref="E11127">IFS(D11127&lt;=$G$3,'calculated data '!$A$3,D11127&lt;=$G$4,'calculated data '!$A$4,D11127&lt;=$G$6,'calculated data '!$A$5,D11127&gt;=$G$6,'calculated data '!$A$6)</f>
        <v>Outliers / Premium Tier</v>
      </c>
      <c r="F11127" s="10">
        <f t="shared" si="1"/>
        <v>3.238036768</v>
      </c>
    </row>
    <row r="11128" ht="14.25" customHeight="1">
      <c r="A11128" s="2" t="s">
        <v>283</v>
      </c>
      <c r="B11128" s="2" t="s">
        <v>284</v>
      </c>
      <c r="C11128" s="2">
        <v>2006.0</v>
      </c>
      <c r="D11128" s="9">
        <v>147989.08</v>
      </c>
      <c r="E11128" s="10" t="str">
        <f t="array" ref="E11128">IFS(D11128&lt;=$G$3,'calculated data '!$A$3,D11128&lt;=$G$4,'calculated data '!$A$4,D11128&lt;=$G$6,'calculated data '!$A$5,D11128&gt;=$G$6,'calculated data '!$A$6)</f>
        <v>Outliers / Premium Tier</v>
      </c>
      <c r="F11128" s="10">
        <f t="shared" si="1"/>
        <v>3.254062614</v>
      </c>
    </row>
    <row r="11129" ht="14.25" customHeight="1">
      <c r="A11129" s="2" t="s">
        <v>441</v>
      </c>
      <c r="B11129" s="2" t="s">
        <v>442</v>
      </c>
      <c r="C11129" s="2">
        <v>1991.0</v>
      </c>
      <c r="D11129" s="9">
        <v>148435.61</v>
      </c>
      <c r="E11129" s="10" t="str">
        <f t="array" ref="E11129">IFS(D11129&lt;=$G$3,'calculated data '!$A$3,D11129&lt;=$G$4,'calculated data '!$A$4,D11129&lt;=$G$6,'calculated data '!$A$5,D11129&gt;=$G$6,'calculated data '!$A$6)</f>
        <v>Outliers / Premium Tier</v>
      </c>
      <c r="F11129" s="10">
        <f t="shared" si="1"/>
        <v>3.265882152</v>
      </c>
    </row>
    <row r="11130" ht="14.25" customHeight="1">
      <c r="A11130" s="2" t="s">
        <v>487</v>
      </c>
      <c r="B11130" s="2" t="s">
        <v>488</v>
      </c>
      <c r="C11130" s="2">
        <v>2008.0</v>
      </c>
      <c r="D11130" s="9">
        <v>148600.3</v>
      </c>
      <c r="E11130" s="10" t="str">
        <f t="array" ref="E11130">IFS(D11130&lt;=$G$3,'calculated data '!$A$3,D11130&lt;=$G$4,'calculated data '!$A$4,D11130&lt;=$G$6,'calculated data '!$A$5,D11130&gt;=$G$6,'calculated data '!$A$6)</f>
        <v>Outliers / Premium Tier</v>
      </c>
      <c r="F11130" s="10">
        <f t="shared" si="1"/>
        <v>3.270241455</v>
      </c>
    </row>
    <row r="11131" ht="14.25" customHeight="1">
      <c r="A11131" s="2" t="s">
        <v>499</v>
      </c>
      <c r="B11131" s="2" t="s">
        <v>500</v>
      </c>
      <c r="C11131" s="2">
        <v>2015.0</v>
      </c>
      <c r="D11131" s="9">
        <v>148644.03</v>
      </c>
      <c r="E11131" s="10" t="str">
        <f t="array" ref="E11131">IFS(D11131&lt;=$G$3,'calculated data '!$A$3,D11131&lt;=$G$4,'calculated data '!$A$4,D11131&lt;=$G$6,'calculated data '!$A$5,D11131&gt;=$G$6,'calculated data '!$A$6)</f>
        <v>Outliers / Premium Tier</v>
      </c>
      <c r="F11131" s="10">
        <f t="shared" si="1"/>
        <v>3.271398977</v>
      </c>
    </row>
    <row r="11132" ht="14.25" customHeight="1">
      <c r="A11132" s="2" t="s">
        <v>283</v>
      </c>
      <c r="B11132" s="2" t="s">
        <v>284</v>
      </c>
      <c r="C11132" s="2">
        <v>2008.0</v>
      </c>
      <c r="D11132" s="9">
        <v>148889.39</v>
      </c>
      <c r="E11132" s="10" t="str">
        <f t="array" ref="E11132">IFS(D11132&lt;=$G$3,'calculated data '!$A$3,D11132&lt;=$G$4,'calculated data '!$A$4,D11132&lt;=$G$6,'calculated data '!$A$5,D11132&gt;=$G$6,'calculated data '!$A$6)</f>
        <v>Outliers / Premium Tier</v>
      </c>
      <c r="F11132" s="10">
        <f t="shared" si="1"/>
        <v>3.277893595</v>
      </c>
    </row>
    <row r="11133" ht="14.25" customHeight="1">
      <c r="A11133" s="2" t="s">
        <v>429</v>
      </c>
      <c r="B11133" s="2" t="s">
        <v>430</v>
      </c>
      <c r="C11133" s="2">
        <v>2009.0</v>
      </c>
      <c r="D11133" s="9">
        <v>149321.42</v>
      </c>
      <c r="E11133" s="10" t="str">
        <f t="array" ref="E11133">IFS(D11133&lt;=$G$3,'calculated data '!$A$3,D11133&lt;=$G$4,'calculated data '!$A$4,D11133&lt;=$G$6,'calculated data '!$A$5,D11133&gt;=$G$6,'calculated data '!$A$6)</f>
        <v>Outliers / Premium Tier</v>
      </c>
      <c r="F11133" s="10">
        <f t="shared" si="1"/>
        <v>3.289329322</v>
      </c>
    </row>
    <row r="11134" ht="14.25" customHeight="1">
      <c r="A11134" s="2" t="s">
        <v>283</v>
      </c>
      <c r="B11134" s="2" t="s">
        <v>284</v>
      </c>
      <c r="C11134" s="2">
        <v>2002.0</v>
      </c>
      <c r="D11134" s="9">
        <v>149537.2</v>
      </c>
      <c r="E11134" s="10" t="str">
        <f t="array" ref="E11134">IFS(D11134&lt;=$G$3,'calculated data '!$A$3,D11134&lt;=$G$4,'calculated data '!$A$4,D11134&lt;=$G$6,'calculated data '!$A$5,D11134&gt;=$G$6,'calculated data '!$A$6)</f>
        <v>Outliers / Premium Tier</v>
      </c>
      <c r="F11134" s="10">
        <f t="shared" si="1"/>
        <v>3.295040965</v>
      </c>
    </row>
    <row r="11135" ht="14.25" customHeight="1">
      <c r="A11135" s="2" t="s">
        <v>499</v>
      </c>
      <c r="B11135" s="2" t="s">
        <v>500</v>
      </c>
      <c r="C11135" s="2">
        <v>1993.0</v>
      </c>
      <c r="D11135" s="9">
        <v>149619.3</v>
      </c>
      <c r="E11135" s="10" t="str">
        <f t="array" ref="E11135">IFS(D11135&lt;=$G$3,'calculated data '!$A$3,D11135&lt;=$G$4,'calculated data '!$A$4,D11135&lt;=$G$6,'calculated data '!$A$5,D11135&gt;=$G$6,'calculated data '!$A$6)</f>
        <v>Outliers / Premium Tier</v>
      </c>
      <c r="F11135" s="10">
        <f t="shared" si="1"/>
        <v>3.297214131</v>
      </c>
    </row>
    <row r="11136" ht="14.25" customHeight="1">
      <c r="A11136" s="2" t="s">
        <v>499</v>
      </c>
      <c r="B11136" s="2" t="s">
        <v>500</v>
      </c>
      <c r="C11136" s="2">
        <v>2012.0</v>
      </c>
      <c r="D11136" s="9">
        <v>150511.94</v>
      </c>
      <c r="E11136" s="10" t="str">
        <f t="array" ref="E11136">IFS(D11136&lt;=$G$3,'calculated data '!$A$3,D11136&lt;=$G$4,'calculated data '!$A$4,D11136&lt;=$G$6,'calculated data '!$A$5,D11136&gt;=$G$6,'calculated data '!$A$6)</f>
        <v>Outliers / Premium Tier</v>
      </c>
      <c r="F11136" s="10">
        <f t="shared" si="1"/>
        <v>3.32084209</v>
      </c>
    </row>
    <row r="11137" ht="14.25" customHeight="1">
      <c r="A11137" s="2" t="s">
        <v>283</v>
      </c>
      <c r="B11137" s="2" t="s">
        <v>284</v>
      </c>
      <c r="C11137" s="2">
        <v>2003.0</v>
      </c>
      <c r="D11137" s="9">
        <v>150545.17</v>
      </c>
      <c r="E11137" s="10" t="str">
        <f t="array" ref="E11137">IFS(D11137&lt;=$G$3,'calculated data '!$A$3,D11137&lt;=$G$4,'calculated data '!$A$4,D11137&lt;=$G$6,'calculated data '!$A$5,D11137&gt;=$G$6,'calculated data '!$A$6)</f>
        <v>Outliers / Premium Tier</v>
      </c>
      <c r="F11137" s="10">
        <f t="shared" si="1"/>
        <v>3.32172168</v>
      </c>
    </row>
    <row r="11138" ht="14.25" customHeight="1">
      <c r="A11138" s="2" t="s">
        <v>283</v>
      </c>
      <c r="B11138" s="2" t="s">
        <v>284</v>
      </c>
      <c r="C11138" s="2">
        <v>2005.0</v>
      </c>
      <c r="D11138" s="9">
        <v>151045.81</v>
      </c>
      <c r="E11138" s="10" t="str">
        <f t="array" ref="E11138">IFS(D11138&lt;=$G$3,'calculated data '!$A$3,D11138&lt;=$G$4,'calculated data '!$A$4,D11138&lt;=$G$6,'calculated data '!$A$5,D11138&gt;=$G$6,'calculated data '!$A$6)</f>
        <v>Outliers / Premium Tier</v>
      </c>
      <c r="F11138" s="10">
        <f t="shared" si="1"/>
        <v>3.334973496</v>
      </c>
    </row>
    <row r="11139" ht="14.25" customHeight="1">
      <c r="A11139" s="2" t="s">
        <v>463</v>
      </c>
      <c r="B11139" s="2" t="s">
        <v>464</v>
      </c>
      <c r="C11139" s="2">
        <v>1965.0</v>
      </c>
      <c r="D11139" s="9">
        <v>152004.22</v>
      </c>
      <c r="E11139" s="10" t="str">
        <f t="array" ref="E11139">IFS(D11139&lt;=$G$3,'calculated data '!$A$3,D11139&lt;=$G$4,'calculated data '!$A$4,D11139&lt;=$G$6,'calculated data '!$A$5,D11139&gt;=$G$6,'calculated data '!$A$6)</f>
        <v>Outliers / Premium Tier</v>
      </c>
      <c r="F11139" s="10">
        <f t="shared" si="1"/>
        <v>3.36034237</v>
      </c>
    </row>
    <row r="11140" ht="14.25" customHeight="1">
      <c r="A11140" s="2" t="s">
        <v>499</v>
      </c>
      <c r="B11140" s="2" t="s">
        <v>500</v>
      </c>
      <c r="C11140" s="2">
        <v>2024.0</v>
      </c>
      <c r="D11140" s="9">
        <v>152038.3</v>
      </c>
      <c r="E11140" s="10" t="str">
        <f t="array" ref="E11140">IFS(D11140&lt;=$G$3,'calculated data '!$A$3,D11140&lt;=$G$4,'calculated data '!$A$4,D11140&lt;=$G$6,'calculated data '!$A$5,D11140&gt;=$G$6,'calculated data '!$A$6)</f>
        <v>Outliers / Premium Tier</v>
      </c>
      <c r="F11140" s="10">
        <f t="shared" si="1"/>
        <v>3.361244459</v>
      </c>
    </row>
    <row r="11141" ht="14.25" customHeight="1">
      <c r="A11141" s="2" t="s">
        <v>283</v>
      </c>
      <c r="B11141" s="2" t="s">
        <v>284</v>
      </c>
      <c r="C11141" s="2">
        <v>2004.0</v>
      </c>
      <c r="D11141" s="9">
        <v>152420.61</v>
      </c>
      <c r="E11141" s="10" t="str">
        <f t="array" ref="E11141">IFS(D11141&lt;=$G$3,'calculated data '!$A$3,D11141&lt;=$G$4,'calculated data '!$A$4,D11141&lt;=$G$6,'calculated data '!$A$5,D11141&gt;=$G$6,'calculated data '!$A$6)</f>
        <v>Outliers / Premium Tier</v>
      </c>
      <c r="F11141" s="10">
        <f t="shared" si="1"/>
        <v>3.371364109</v>
      </c>
    </row>
    <row r="11142" ht="14.25" customHeight="1">
      <c r="A11142" s="2" t="s">
        <v>463</v>
      </c>
      <c r="B11142" s="2" t="s">
        <v>464</v>
      </c>
      <c r="C11142" s="2">
        <v>2005.0</v>
      </c>
      <c r="D11142" s="9">
        <v>152611.67</v>
      </c>
      <c r="E11142" s="10" t="str">
        <f t="array" ref="E11142">IFS(D11142&lt;=$G$3,'calculated data '!$A$3,D11142&lt;=$G$4,'calculated data '!$A$4,D11142&lt;=$G$6,'calculated data '!$A$5,D11142&gt;=$G$6,'calculated data '!$A$6)</f>
        <v>Outliers / Premium Tier</v>
      </c>
      <c r="F11142" s="10">
        <f t="shared" si="1"/>
        <v>3.37642142</v>
      </c>
    </row>
    <row r="11143" ht="14.25" customHeight="1">
      <c r="A11143" s="2" t="s">
        <v>457</v>
      </c>
      <c r="B11143" s="2" t="s">
        <v>458</v>
      </c>
      <c r="C11143" s="2">
        <v>2006.0</v>
      </c>
      <c r="D11143" s="9">
        <v>153218.83</v>
      </c>
      <c r="E11143" s="10" t="str">
        <f t="array" ref="E11143">IFS(D11143&lt;=$G$3,'calculated data '!$A$3,D11143&lt;=$G$4,'calculated data '!$A$4,D11143&lt;=$G$6,'calculated data '!$A$5,D11143&gt;=$G$6,'calculated data '!$A$6)</f>
        <v>Outliers / Premium Tier</v>
      </c>
      <c r="F11143" s="10">
        <f t="shared" si="1"/>
        <v>3.392492794</v>
      </c>
    </row>
    <row r="11144" ht="14.25" customHeight="1">
      <c r="A11144" s="2" t="s">
        <v>283</v>
      </c>
      <c r="B11144" s="2" t="s">
        <v>284</v>
      </c>
      <c r="C11144" s="2">
        <v>2000.0</v>
      </c>
      <c r="D11144" s="9">
        <v>153361.7</v>
      </c>
      <c r="E11144" s="10" t="str">
        <f t="array" ref="E11144">IFS(D11144&lt;=$G$3,'calculated data '!$A$3,D11144&lt;=$G$4,'calculated data '!$A$4,D11144&lt;=$G$6,'calculated data '!$A$5,D11144&gt;=$G$6,'calculated data '!$A$6)</f>
        <v>Outliers / Premium Tier</v>
      </c>
      <c r="F11144" s="10">
        <f t="shared" si="1"/>
        <v>3.396274527</v>
      </c>
    </row>
    <row r="11145" ht="14.25" customHeight="1">
      <c r="A11145" s="2" t="s">
        <v>499</v>
      </c>
      <c r="B11145" s="2" t="s">
        <v>500</v>
      </c>
      <c r="C11145" s="2">
        <v>2004.0</v>
      </c>
      <c r="D11145" s="9">
        <v>153438.22</v>
      </c>
      <c r="E11145" s="10" t="str">
        <f t="array" ref="E11145">IFS(D11145&lt;=$G$3,'calculated data '!$A$3,D11145&lt;=$G$4,'calculated data '!$A$4,D11145&lt;=$G$6,'calculated data '!$A$5,D11145&gt;=$G$6,'calculated data '!$A$6)</f>
        <v>Outliers / Premium Tier</v>
      </c>
      <c r="F11145" s="10">
        <f t="shared" si="1"/>
        <v>3.398299993</v>
      </c>
    </row>
    <row r="11146" ht="14.25" customHeight="1">
      <c r="A11146" s="2" t="s">
        <v>499</v>
      </c>
      <c r="B11146" s="2" t="s">
        <v>500</v>
      </c>
      <c r="C11146" s="2">
        <v>2008.0</v>
      </c>
      <c r="D11146" s="9">
        <v>153545.77</v>
      </c>
      <c r="E11146" s="10" t="str">
        <f t="array" ref="E11146">IFS(D11146&lt;=$G$3,'calculated data '!$A$3,D11146&lt;=$G$4,'calculated data '!$A$4,D11146&lt;=$G$6,'calculated data '!$A$5,D11146&gt;=$G$6,'calculated data '!$A$6)</f>
        <v>Outliers / Premium Tier</v>
      </c>
      <c r="F11146" s="10">
        <f t="shared" si="1"/>
        <v>3.401146814</v>
      </c>
    </row>
    <row r="11147" ht="14.25" customHeight="1">
      <c r="A11147" s="2" t="s">
        <v>499</v>
      </c>
      <c r="B11147" s="2" t="s">
        <v>500</v>
      </c>
      <c r="C11147" s="2">
        <v>2014.0</v>
      </c>
      <c r="D11147" s="9">
        <v>153717.31</v>
      </c>
      <c r="E11147" s="10" t="str">
        <f t="array" ref="E11147">IFS(D11147&lt;=$G$3,'calculated data '!$A$3,D11147&lt;=$G$4,'calculated data '!$A$4,D11147&lt;=$G$6,'calculated data '!$A$5,D11147&gt;=$G$6,'calculated data '!$A$6)</f>
        <v>Outliers / Premium Tier</v>
      </c>
      <c r="F11147" s="10">
        <f t="shared" si="1"/>
        <v>3.405687435</v>
      </c>
    </row>
    <row r="11148" ht="14.25" customHeight="1">
      <c r="A11148" s="2" t="s">
        <v>499</v>
      </c>
      <c r="B11148" s="2" t="s">
        <v>500</v>
      </c>
      <c r="C11148" s="2">
        <v>2023.0</v>
      </c>
      <c r="D11148" s="9">
        <v>154090.9</v>
      </c>
      <c r="E11148" s="10" t="str">
        <f t="array" ref="E11148">IFS(D11148&lt;=$G$3,'calculated data '!$A$3,D11148&lt;=$G$4,'calculated data '!$A$4,D11148&lt;=$G$6,'calculated data '!$A$5,D11148&gt;=$G$6,'calculated data '!$A$6)</f>
        <v>Outliers / Premium Tier</v>
      </c>
      <c r="F11148" s="10">
        <f t="shared" si="1"/>
        <v>3.41557627</v>
      </c>
    </row>
    <row r="11149" ht="14.25" customHeight="1">
      <c r="A11149" s="2" t="s">
        <v>499</v>
      </c>
      <c r="B11149" s="2" t="s">
        <v>500</v>
      </c>
      <c r="C11149" s="2">
        <v>2020.0</v>
      </c>
      <c r="D11149" s="9">
        <v>154316.02</v>
      </c>
      <c r="E11149" s="10" t="str">
        <f t="array" ref="E11149">IFS(D11149&lt;=$G$3,'calculated data '!$A$3,D11149&lt;=$G$4,'calculated data '!$A$4,D11149&lt;=$G$6,'calculated data '!$A$5,D11149&gt;=$G$6,'calculated data '!$A$6)</f>
        <v>Outliers / Premium Tier</v>
      </c>
      <c r="F11149" s="10">
        <f t="shared" si="1"/>
        <v>3.42153514</v>
      </c>
    </row>
    <row r="11150" ht="14.25" customHeight="1">
      <c r="A11150" s="2" t="s">
        <v>499</v>
      </c>
      <c r="B11150" s="2" t="s">
        <v>500</v>
      </c>
      <c r="C11150" s="2">
        <v>2022.0</v>
      </c>
      <c r="D11150" s="9">
        <v>154504.28</v>
      </c>
      <c r="E11150" s="10" t="str">
        <f t="array" ref="E11150">IFS(D11150&lt;=$G$3,'calculated data '!$A$3,D11150&lt;=$G$4,'calculated data '!$A$4,D11150&lt;=$G$6,'calculated data '!$A$5,D11150&gt;=$G$6,'calculated data '!$A$6)</f>
        <v>Outliers / Premium Tier</v>
      </c>
      <c r="F11150" s="10">
        <f t="shared" si="1"/>
        <v>3.426518335</v>
      </c>
    </row>
    <row r="11151" ht="14.25" customHeight="1">
      <c r="A11151" s="2" t="s">
        <v>469</v>
      </c>
      <c r="B11151" s="2" t="s">
        <v>470</v>
      </c>
      <c r="C11151" s="2">
        <v>2015.0</v>
      </c>
      <c r="D11151" s="9">
        <v>155070.69</v>
      </c>
      <c r="E11151" s="10" t="str">
        <f t="array" ref="E11151">IFS(D11151&lt;=$G$3,'calculated data '!$A$3,D11151&lt;=$G$4,'calculated data '!$A$4,D11151&lt;=$G$6,'calculated data '!$A$5,D11151&gt;=$G$6,'calculated data '!$A$6)</f>
        <v>Outliers / Premium Tier</v>
      </c>
      <c r="F11151" s="10">
        <f t="shared" si="1"/>
        <v>3.441511067</v>
      </c>
    </row>
    <row r="11152" ht="14.25" customHeight="1">
      <c r="A11152" s="2" t="s">
        <v>499</v>
      </c>
      <c r="B11152" s="2" t="s">
        <v>500</v>
      </c>
      <c r="C11152" s="2">
        <v>2007.0</v>
      </c>
      <c r="D11152" s="9">
        <v>155404.36</v>
      </c>
      <c r="E11152" s="10" t="str">
        <f t="array" ref="E11152">IFS(D11152&lt;=$G$3,'calculated data '!$A$3,D11152&lt;=$G$4,'calculated data '!$A$4,D11152&lt;=$G$6,'calculated data '!$A$5,D11152&gt;=$G$6,'calculated data '!$A$6)</f>
        <v>Outliers / Premium Tier</v>
      </c>
      <c r="F11152" s="10">
        <f t="shared" si="1"/>
        <v>3.450343229</v>
      </c>
    </row>
    <row r="11153" ht="14.25" customHeight="1">
      <c r="A11153" s="2" t="s">
        <v>499</v>
      </c>
      <c r="B11153" s="2" t="s">
        <v>500</v>
      </c>
      <c r="C11153" s="2">
        <v>2019.0</v>
      </c>
      <c r="D11153" s="9">
        <v>155659.12</v>
      </c>
      <c r="E11153" s="10" t="str">
        <f t="array" ref="E11153">IFS(D11153&lt;=$G$3,'calculated data '!$A$3,D11153&lt;=$G$4,'calculated data '!$A$4,D11153&lt;=$G$6,'calculated data '!$A$5,D11153&gt;=$G$6,'calculated data '!$A$6)</f>
        <v>Outliers / Premium Tier</v>
      </c>
      <c r="F11153" s="10">
        <f t="shared" si="1"/>
        <v>3.457086662</v>
      </c>
    </row>
    <row r="11154" ht="14.25" customHeight="1">
      <c r="A11154" s="2" t="s">
        <v>469</v>
      </c>
      <c r="B11154" s="2" t="s">
        <v>470</v>
      </c>
      <c r="C11154" s="2">
        <v>2009.0</v>
      </c>
      <c r="D11154" s="9">
        <v>156978.36</v>
      </c>
      <c r="E11154" s="10" t="str">
        <f t="array" ref="E11154">IFS(D11154&lt;=$G$3,'calculated data '!$A$3,D11154&lt;=$G$4,'calculated data '!$A$4,D11154&lt;=$G$6,'calculated data '!$A$5,D11154&gt;=$G$6,'calculated data '!$A$6)</f>
        <v>Outliers / Premium Tier</v>
      </c>
      <c r="F11154" s="10">
        <f t="shared" si="1"/>
        <v>3.492006617</v>
      </c>
    </row>
    <row r="11155" ht="14.25" customHeight="1">
      <c r="A11155" s="2" t="s">
        <v>499</v>
      </c>
      <c r="B11155" s="2" t="s">
        <v>500</v>
      </c>
      <c r="C11155" s="2">
        <v>1997.0</v>
      </c>
      <c r="D11155" s="9">
        <v>157304.03</v>
      </c>
      <c r="E11155" s="10" t="str">
        <f t="array" ref="E11155">IFS(D11155&lt;=$G$3,'calculated data '!$A$3,D11155&lt;=$G$4,'calculated data '!$A$4,D11155&lt;=$G$6,'calculated data '!$A$5,D11155&gt;=$G$6,'calculated data '!$A$6)</f>
        <v>Outliers / Premium Tier</v>
      </c>
      <c r="F11155" s="10">
        <f t="shared" si="1"/>
        <v>3.50062702</v>
      </c>
    </row>
    <row r="11156" ht="14.25" customHeight="1">
      <c r="A11156" s="2" t="s">
        <v>499</v>
      </c>
      <c r="B11156" s="2" t="s">
        <v>500</v>
      </c>
      <c r="C11156" s="2">
        <v>1991.0</v>
      </c>
      <c r="D11156" s="9">
        <v>158023.72</v>
      </c>
      <c r="E11156" s="10" t="str">
        <f t="array" ref="E11156">IFS(D11156&lt;=$G$3,'calculated data '!$A$3,D11156&lt;=$G$4,'calculated data '!$A$4,D11156&lt;=$G$6,'calculated data '!$A$5,D11156&gt;=$G$6,'calculated data '!$A$6)</f>
        <v>Outliers / Premium Tier</v>
      </c>
      <c r="F11156" s="10">
        <f t="shared" si="1"/>
        <v>3.519677036</v>
      </c>
    </row>
    <row r="11157" ht="14.25" customHeight="1">
      <c r="A11157" s="2" t="s">
        <v>429</v>
      </c>
      <c r="B11157" s="2" t="s">
        <v>430</v>
      </c>
      <c r="C11157" s="2">
        <v>2013.0</v>
      </c>
      <c r="D11157" s="9">
        <v>158428.22</v>
      </c>
      <c r="E11157" s="10" t="str">
        <f t="array" ref="E11157">IFS(D11157&lt;=$G$3,'calculated data '!$A$3,D11157&lt;=$G$4,'calculated data '!$A$4,D11157&lt;=$G$6,'calculated data '!$A$5,D11157&gt;=$G$6,'calculated data '!$A$6)</f>
        <v>Outliers / Premium Tier</v>
      </c>
      <c r="F11157" s="10">
        <f t="shared" si="1"/>
        <v>3.53038405</v>
      </c>
    </row>
    <row r="11158" ht="14.25" customHeight="1">
      <c r="A11158" s="2" t="s">
        <v>441</v>
      </c>
      <c r="B11158" s="2" t="s">
        <v>442</v>
      </c>
      <c r="C11158" s="2">
        <v>1990.0</v>
      </c>
      <c r="D11158" s="9">
        <v>158576.66</v>
      </c>
      <c r="E11158" s="10" t="str">
        <f t="array" ref="E11158">IFS(D11158&lt;=$G$3,'calculated data '!$A$3,D11158&lt;=$G$4,'calculated data '!$A$4,D11158&lt;=$G$6,'calculated data '!$A$5,D11158&gt;=$G$6,'calculated data '!$A$6)</f>
        <v>Outliers / Premium Tier</v>
      </c>
      <c r="F11158" s="10">
        <f t="shared" si="1"/>
        <v>3.53431322</v>
      </c>
    </row>
    <row r="11159" ht="14.25" customHeight="1">
      <c r="A11159" s="2" t="s">
        <v>469</v>
      </c>
      <c r="B11159" s="2" t="s">
        <v>470</v>
      </c>
      <c r="C11159" s="2">
        <v>2008.0</v>
      </c>
      <c r="D11159" s="9">
        <v>158920.5</v>
      </c>
      <c r="E11159" s="10" t="str">
        <f t="array" ref="E11159">IFS(D11159&lt;=$G$3,'calculated data '!$A$3,D11159&lt;=$G$4,'calculated data '!$A$4,D11159&lt;=$G$6,'calculated data '!$A$5,D11159&gt;=$G$6,'calculated data '!$A$6)</f>
        <v>Outliers / Premium Tier</v>
      </c>
      <c r="F11159" s="10">
        <f t="shared" si="1"/>
        <v>3.543414579</v>
      </c>
    </row>
    <row r="11160" ht="14.25" customHeight="1">
      <c r="A11160" s="2" t="s">
        <v>499</v>
      </c>
      <c r="B11160" s="2" t="s">
        <v>500</v>
      </c>
      <c r="C11160" s="2">
        <v>2003.0</v>
      </c>
      <c r="D11160" s="9">
        <v>159109.16</v>
      </c>
      <c r="E11160" s="10" t="str">
        <f t="array" ref="E11160">IFS(D11160&lt;=$G$3,'calculated data '!$A$3,D11160&lt;=$G$4,'calculated data '!$A$4,D11160&lt;=$G$6,'calculated data '!$A$5,D11160&gt;=$G$6,'calculated data '!$A$6)</f>
        <v>Outliers / Premium Tier</v>
      </c>
      <c r="F11160" s="10">
        <f t="shared" si="1"/>
        <v>3.548408362</v>
      </c>
    </row>
    <row r="11161" ht="14.25" customHeight="1">
      <c r="A11161" s="2" t="s">
        <v>499</v>
      </c>
      <c r="B11161" s="2" t="s">
        <v>500</v>
      </c>
      <c r="C11161" s="2">
        <v>2021.0</v>
      </c>
      <c r="D11161" s="9">
        <v>159229.72</v>
      </c>
      <c r="E11161" s="10" t="str">
        <f t="array" ref="E11161">IFS(D11161&lt;=$G$3,'calculated data '!$A$3,D11161&lt;=$G$4,'calculated data '!$A$4,D11161&lt;=$G$6,'calculated data '!$A$5,D11161&gt;=$G$6,'calculated data '!$A$6)</f>
        <v>Outliers / Premium Tier</v>
      </c>
      <c r="F11161" s="10">
        <f t="shared" si="1"/>
        <v>3.551599555</v>
      </c>
    </row>
    <row r="11162" ht="14.25" customHeight="1">
      <c r="A11162" s="2" t="s">
        <v>429</v>
      </c>
      <c r="B11162" s="2" t="s">
        <v>430</v>
      </c>
      <c r="C11162" s="2">
        <v>2014.0</v>
      </c>
      <c r="D11162" s="9">
        <v>159504.17</v>
      </c>
      <c r="E11162" s="10" t="str">
        <f t="array" ref="E11162">IFS(D11162&lt;=$G$3,'calculated data '!$A$3,D11162&lt;=$G$4,'calculated data '!$A$4,D11162&lt;=$G$6,'calculated data '!$A$5,D11162&gt;=$G$6,'calculated data '!$A$6)</f>
        <v>Outliers / Premium Tier</v>
      </c>
      <c r="F11162" s="10">
        <f t="shared" si="1"/>
        <v>3.558864178</v>
      </c>
    </row>
    <row r="11163" ht="14.25" customHeight="1">
      <c r="A11163" s="2" t="s">
        <v>469</v>
      </c>
      <c r="B11163" s="2" t="s">
        <v>470</v>
      </c>
      <c r="C11163" s="2">
        <v>2006.0</v>
      </c>
      <c r="D11163" s="9">
        <v>159663.47</v>
      </c>
      <c r="E11163" s="10" t="str">
        <f t="array" ref="E11163">IFS(D11163&lt;=$G$3,'calculated data '!$A$3,D11163&lt;=$G$4,'calculated data '!$A$4,D11163&lt;=$G$6,'calculated data '!$A$5,D11163&gt;=$G$6,'calculated data '!$A$6)</f>
        <v>Outliers / Premium Tier</v>
      </c>
      <c r="F11163" s="10">
        <f t="shared" si="1"/>
        <v>3.56308081</v>
      </c>
    </row>
    <row r="11164" ht="14.25" customHeight="1">
      <c r="A11164" s="2" t="s">
        <v>429</v>
      </c>
      <c r="B11164" s="2" t="s">
        <v>430</v>
      </c>
      <c r="C11164" s="2">
        <v>2010.0</v>
      </c>
      <c r="D11164" s="9">
        <v>160692.52</v>
      </c>
      <c r="E11164" s="10" t="str">
        <f t="array" ref="E11164">IFS(D11164&lt;=$G$3,'calculated data '!$A$3,D11164&lt;=$G$4,'calculated data '!$A$4,D11164&lt;=$G$6,'calculated data '!$A$5,D11164&gt;=$G$6,'calculated data '!$A$6)</f>
        <v>Outliers / Premium Tier</v>
      </c>
      <c r="F11164" s="10">
        <f t="shared" si="1"/>
        <v>3.590319507</v>
      </c>
    </row>
    <row r="11165" ht="14.25" customHeight="1">
      <c r="A11165" s="2" t="s">
        <v>499</v>
      </c>
      <c r="B11165" s="2" t="s">
        <v>500</v>
      </c>
      <c r="C11165" s="2">
        <v>2005.0</v>
      </c>
      <c r="D11165" s="9">
        <v>160842.31</v>
      </c>
      <c r="E11165" s="10" t="str">
        <f t="array" ref="E11165">IFS(D11165&lt;=$G$3,'calculated data '!$A$3,D11165&lt;=$G$4,'calculated data '!$A$4,D11165&lt;=$G$6,'calculated data '!$A$5,D11165&gt;=$G$6,'calculated data '!$A$6)</f>
        <v>Outliers / Premium Tier</v>
      </c>
      <c r="F11165" s="10">
        <f t="shared" si="1"/>
        <v>3.594284411</v>
      </c>
    </row>
    <row r="11166" ht="14.25" customHeight="1">
      <c r="A11166" s="2" t="s">
        <v>469</v>
      </c>
      <c r="B11166" s="2" t="s">
        <v>470</v>
      </c>
      <c r="C11166" s="2">
        <v>2012.0</v>
      </c>
      <c r="D11166" s="9">
        <v>160914.61</v>
      </c>
      <c r="E11166" s="10" t="str">
        <f t="array" ref="E11166">IFS(D11166&lt;=$G$3,'calculated data '!$A$3,D11166&lt;=$G$4,'calculated data '!$A$4,D11166&lt;=$G$6,'calculated data '!$A$5,D11166&gt;=$G$6,'calculated data '!$A$6)</f>
        <v>Outliers / Premium Tier</v>
      </c>
      <c r="F11166" s="10">
        <f t="shared" si="1"/>
        <v>3.596198174</v>
      </c>
    </row>
    <row r="11167" ht="14.25" customHeight="1">
      <c r="A11167" s="2" t="s">
        <v>499</v>
      </c>
      <c r="B11167" s="2" t="s">
        <v>500</v>
      </c>
      <c r="C11167" s="2">
        <v>2006.0</v>
      </c>
      <c r="D11167" s="9">
        <v>160915.67</v>
      </c>
      <c r="E11167" s="10" t="str">
        <f t="array" ref="E11167">IFS(D11167&lt;=$G$3,'calculated data '!$A$3,D11167&lt;=$G$4,'calculated data '!$A$4,D11167&lt;=$G$6,'calculated data '!$A$5,D11167&gt;=$G$6,'calculated data '!$A$6)</f>
        <v>Outliers / Premium Tier</v>
      </c>
      <c r="F11167" s="10">
        <f t="shared" si="1"/>
        <v>3.596226232</v>
      </c>
    </row>
    <row r="11168" ht="14.25" customHeight="1">
      <c r="A11168" s="2" t="s">
        <v>469</v>
      </c>
      <c r="B11168" s="2" t="s">
        <v>470</v>
      </c>
      <c r="C11168" s="2">
        <v>2014.0</v>
      </c>
      <c r="D11168" s="9">
        <v>161014.8</v>
      </c>
      <c r="E11168" s="10" t="str">
        <f t="array" ref="E11168">IFS(D11168&lt;=$G$3,'calculated data '!$A$3,D11168&lt;=$G$4,'calculated data '!$A$4,D11168&lt;=$G$6,'calculated data '!$A$5,D11168&gt;=$G$6,'calculated data '!$A$6)</f>
        <v>Outliers / Premium Tier</v>
      </c>
      <c r="F11168" s="10">
        <f t="shared" si="1"/>
        <v>3.598850178</v>
      </c>
    </row>
    <row r="11169" ht="14.25" customHeight="1">
      <c r="A11169" s="2" t="s">
        <v>499</v>
      </c>
      <c r="B11169" s="2" t="s">
        <v>500</v>
      </c>
      <c r="C11169" s="2">
        <v>1998.0</v>
      </c>
      <c r="D11169" s="9">
        <v>161154.86</v>
      </c>
      <c r="E11169" s="10" t="str">
        <f t="array" ref="E11169">IFS(D11169&lt;=$G$3,'calculated data '!$A$3,D11169&lt;=$G$4,'calculated data '!$A$4,D11169&lt;=$G$6,'calculated data '!$A$5,D11169&gt;=$G$6,'calculated data '!$A$6)</f>
        <v>Outliers / Premium Tier</v>
      </c>
      <c r="F11169" s="10">
        <f t="shared" si="1"/>
        <v>3.602557531</v>
      </c>
    </row>
    <row r="11170" ht="14.25" customHeight="1">
      <c r="A11170" s="2" t="s">
        <v>429</v>
      </c>
      <c r="B11170" s="2" t="s">
        <v>430</v>
      </c>
      <c r="C11170" s="2">
        <v>2012.0</v>
      </c>
      <c r="D11170" s="9">
        <v>161276.17</v>
      </c>
      <c r="E11170" s="10" t="str">
        <f t="array" ref="E11170">IFS(D11170&lt;=$G$3,'calculated data '!$A$3,D11170&lt;=$G$4,'calculated data '!$A$4,D11170&lt;=$G$6,'calculated data '!$A$5,D11170&gt;=$G$6,'calculated data '!$A$6)</f>
        <v>Outliers / Premium Tier</v>
      </c>
      <c r="F11170" s="10">
        <f t="shared" si="1"/>
        <v>3.605768577</v>
      </c>
    </row>
    <row r="11171" ht="14.25" customHeight="1">
      <c r="A11171" s="2" t="s">
        <v>499</v>
      </c>
      <c r="B11171" s="2" t="s">
        <v>500</v>
      </c>
      <c r="C11171" s="2">
        <v>1999.0</v>
      </c>
      <c r="D11171" s="9">
        <v>161497.34</v>
      </c>
      <c r="E11171" s="10" t="str">
        <f t="array" ref="E11171">IFS(D11171&lt;=$G$3,'calculated data '!$A$3,D11171&lt;=$G$4,'calculated data '!$A$4,D11171&lt;=$G$6,'calculated data '!$A$5,D11171&gt;=$G$6,'calculated data '!$A$6)</f>
        <v>Outliers / Premium Tier</v>
      </c>
      <c r="F11171" s="10">
        <f t="shared" si="1"/>
        <v>3.611622892</v>
      </c>
    </row>
    <row r="11172" ht="14.25" customHeight="1">
      <c r="A11172" s="2" t="s">
        <v>429</v>
      </c>
      <c r="B11172" s="2" t="s">
        <v>430</v>
      </c>
      <c r="C11172" s="2">
        <v>2022.0</v>
      </c>
      <c r="D11172" s="9">
        <v>161799.95</v>
      </c>
      <c r="E11172" s="10" t="str">
        <f t="array" ref="E11172">IFS(D11172&lt;=$G$3,'calculated data '!$A$3,D11172&lt;=$G$4,'calculated data '!$A$4,D11172&lt;=$G$6,'calculated data '!$A$5,D11172&gt;=$G$6,'calculated data '!$A$6)</f>
        <v>Outliers / Premium Tier</v>
      </c>
      <c r="F11172" s="10">
        <f t="shared" si="1"/>
        <v>3.619632903</v>
      </c>
    </row>
    <row r="11173" ht="14.25" customHeight="1">
      <c r="A11173" s="2" t="s">
        <v>469</v>
      </c>
      <c r="B11173" s="2" t="s">
        <v>470</v>
      </c>
      <c r="C11173" s="2">
        <v>2013.0</v>
      </c>
      <c r="D11173" s="9">
        <v>161800.11</v>
      </c>
      <c r="E11173" s="10" t="str">
        <f t="array" ref="E11173">IFS(D11173&lt;=$G$3,'calculated data '!$A$3,D11173&lt;=$G$4,'calculated data '!$A$4,D11173&lt;=$G$6,'calculated data '!$A$5,D11173&gt;=$G$6,'calculated data '!$A$6)</f>
        <v>Outliers / Premium Tier</v>
      </c>
      <c r="F11173" s="10">
        <f t="shared" si="1"/>
        <v>3.619637138</v>
      </c>
    </row>
    <row r="11174" ht="14.25" customHeight="1">
      <c r="A11174" s="2" t="s">
        <v>499</v>
      </c>
      <c r="B11174" s="2" t="s">
        <v>500</v>
      </c>
      <c r="C11174" s="2">
        <v>2013.0</v>
      </c>
      <c r="D11174" s="9">
        <v>161939.02</v>
      </c>
      <c r="E11174" s="10" t="str">
        <f t="array" ref="E11174">IFS(D11174&lt;=$G$3,'calculated data '!$A$3,D11174&lt;=$G$4,'calculated data '!$A$4,D11174&lt;=$G$6,'calculated data '!$A$5,D11174&gt;=$G$6,'calculated data '!$A$6)</f>
        <v>Outliers / Premium Tier</v>
      </c>
      <c r="F11174" s="10">
        <f t="shared" si="1"/>
        <v>3.623314051</v>
      </c>
    </row>
    <row r="11175" ht="14.25" customHeight="1">
      <c r="A11175" s="2" t="s">
        <v>469</v>
      </c>
      <c r="B11175" s="2" t="s">
        <v>470</v>
      </c>
      <c r="C11175" s="2">
        <v>2007.0</v>
      </c>
      <c r="D11175" s="9">
        <v>162128.4</v>
      </c>
      <c r="E11175" s="10" t="str">
        <f t="array" ref="E11175">IFS(D11175&lt;=$G$3,'calculated data '!$A$3,D11175&lt;=$G$4,'calculated data '!$A$4,D11175&lt;=$G$6,'calculated data '!$A$5,D11175&gt;=$G$6,'calculated data '!$A$6)</f>
        <v>Outliers / Premium Tier</v>
      </c>
      <c r="F11175" s="10">
        <f t="shared" si="1"/>
        <v>3.628326893</v>
      </c>
    </row>
    <row r="11176" ht="14.25" customHeight="1">
      <c r="A11176" s="2" t="s">
        <v>429</v>
      </c>
      <c r="B11176" s="2" t="s">
        <v>430</v>
      </c>
      <c r="C11176" s="2">
        <v>2011.0</v>
      </c>
      <c r="D11176" s="9">
        <v>163588.22</v>
      </c>
      <c r="E11176" s="10" t="str">
        <f t="array" ref="E11176">IFS(D11176&lt;=$G$3,'calculated data '!$A$3,D11176&lt;=$G$4,'calculated data '!$A$4,D11176&lt;=$G$6,'calculated data '!$A$5,D11176&gt;=$G$6,'calculated data '!$A$6)</f>
        <v>Outliers / Premium Tier</v>
      </c>
      <c r="F11176" s="10">
        <f t="shared" si="1"/>
        <v>3.666967965</v>
      </c>
    </row>
    <row r="11177" ht="14.25" customHeight="1">
      <c r="A11177" s="2" t="s">
        <v>499</v>
      </c>
      <c r="B11177" s="2" t="s">
        <v>500</v>
      </c>
      <c r="C11177" s="2">
        <v>2002.0</v>
      </c>
      <c r="D11177" s="9">
        <v>164246.48</v>
      </c>
      <c r="E11177" s="10" t="str">
        <f t="array" ref="E11177">IFS(D11177&lt;=$G$3,'calculated data '!$A$3,D11177&lt;=$G$4,'calculated data '!$A$4,D11177&lt;=$G$6,'calculated data '!$A$5,D11177&gt;=$G$6,'calculated data '!$A$6)</f>
        <v>Outliers / Premium Tier</v>
      </c>
      <c r="F11177" s="10">
        <f t="shared" si="1"/>
        <v>3.684391943</v>
      </c>
    </row>
    <row r="11178" ht="14.25" customHeight="1">
      <c r="A11178" s="2" t="s">
        <v>283</v>
      </c>
      <c r="B11178" s="2" t="s">
        <v>284</v>
      </c>
      <c r="C11178" s="2">
        <v>1999.0</v>
      </c>
      <c r="D11178" s="9">
        <v>164839.9</v>
      </c>
      <c r="E11178" s="10" t="str">
        <f t="array" ref="E11178">IFS(D11178&lt;=$G$3,'calculated data '!$A$3,D11178&lt;=$G$4,'calculated data '!$A$4,D11178&lt;=$G$6,'calculated data '!$A$5,D11178&gt;=$G$6,'calculated data '!$A$6)</f>
        <v>Outliers / Premium Tier</v>
      </c>
      <c r="F11178" s="10">
        <f t="shared" si="1"/>
        <v>3.700099622</v>
      </c>
    </row>
    <row r="11179" ht="14.25" customHeight="1">
      <c r="A11179" s="2" t="s">
        <v>469</v>
      </c>
      <c r="B11179" s="2" t="s">
        <v>470</v>
      </c>
      <c r="C11179" s="2">
        <v>2011.0</v>
      </c>
      <c r="D11179" s="9">
        <v>165257.02</v>
      </c>
      <c r="E11179" s="10" t="str">
        <f t="array" ref="E11179">IFS(D11179&lt;=$G$3,'calculated data '!$A$3,D11179&lt;=$G$4,'calculated data '!$A$4,D11179&lt;=$G$6,'calculated data '!$A$5,D11179&gt;=$G$6,'calculated data '!$A$6)</f>
        <v>Outliers / Premium Tier</v>
      </c>
      <c r="F11179" s="10">
        <f t="shared" si="1"/>
        <v>3.711140685</v>
      </c>
    </row>
    <row r="11180" ht="14.25" customHeight="1">
      <c r="A11180" s="2" t="s">
        <v>499</v>
      </c>
      <c r="B11180" s="2" t="s">
        <v>500</v>
      </c>
      <c r="C11180" s="2">
        <v>2001.0</v>
      </c>
      <c r="D11180" s="9">
        <v>165423.17</v>
      </c>
      <c r="E11180" s="10" t="str">
        <f t="array" ref="E11180">IFS(D11180&lt;=$G$3,'calculated data '!$A$3,D11180&lt;=$G$4,'calculated data '!$A$4,D11180&lt;=$G$6,'calculated data '!$A$5,D11180&gt;=$G$6,'calculated data '!$A$6)</f>
        <v>Outliers / Premium Tier</v>
      </c>
      <c r="F11180" s="10">
        <f t="shared" si="1"/>
        <v>3.715538634</v>
      </c>
    </row>
    <row r="11181" ht="14.25" customHeight="1">
      <c r="A11181" s="2" t="s">
        <v>429</v>
      </c>
      <c r="B11181" s="2" t="s">
        <v>430</v>
      </c>
      <c r="C11181" s="2">
        <v>2020.0</v>
      </c>
      <c r="D11181" s="9">
        <v>165443.92</v>
      </c>
      <c r="E11181" s="10" t="str">
        <f t="array" ref="E11181">IFS(D11181&lt;=$G$3,'calculated data '!$A$3,D11181&lt;=$G$4,'calculated data '!$A$4,D11181&lt;=$G$6,'calculated data '!$A$5,D11181&gt;=$G$6,'calculated data '!$A$6)</f>
        <v>Outliers / Premium Tier</v>
      </c>
      <c r="F11181" s="10">
        <f t="shared" si="1"/>
        <v>3.716087881</v>
      </c>
    </row>
    <row r="11182" ht="14.25" customHeight="1">
      <c r="A11182" s="2" t="s">
        <v>283</v>
      </c>
      <c r="B11182" s="2" t="s">
        <v>284</v>
      </c>
      <c r="C11182" s="2">
        <v>1986.0</v>
      </c>
      <c r="D11182" s="9">
        <v>166545.97</v>
      </c>
      <c r="E11182" s="10" t="str">
        <f t="array" ref="E11182">IFS(D11182&lt;=$G$3,'calculated data '!$A$3,D11182&lt;=$G$4,'calculated data '!$A$4,D11182&lt;=$G$6,'calculated data '!$A$5,D11182&gt;=$G$6,'calculated data '!$A$6)</f>
        <v>Outliers / Premium Tier</v>
      </c>
      <c r="F11182" s="10">
        <f t="shared" si="1"/>
        <v>3.74525887</v>
      </c>
    </row>
    <row r="11183" ht="14.25" customHeight="1">
      <c r="A11183" s="2" t="s">
        <v>499</v>
      </c>
      <c r="B11183" s="2" t="s">
        <v>500</v>
      </c>
      <c r="C11183" s="2">
        <v>2000.0</v>
      </c>
      <c r="D11183" s="9">
        <v>167083.14</v>
      </c>
      <c r="E11183" s="10" t="str">
        <f t="array" ref="E11183">IFS(D11183&lt;=$G$3,'calculated data '!$A$3,D11183&lt;=$G$4,'calculated data '!$A$4,D11183&lt;=$G$6,'calculated data '!$A$5,D11183&gt;=$G$6,'calculated data '!$A$6)</f>
        <v>Outliers / Premium Tier</v>
      </c>
      <c r="F11183" s="10">
        <f t="shared" si="1"/>
        <v>3.759477627</v>
      </c>
    </row>
    <row r="11184" ht="14.25" customHeight="1">
      <c r="A11184" s="2" t="s">
        <v>429</v>
      </c>
      <c r="B11184" s="2" t="s">
        <v>430</v>
      </c>
      <c r="C11184" s="2">
        <v>2023.0</v>
      </c>
      <c r="D11184" s="9">
        <v>167261.97</v>
      </c>
      <c r="E11184" s="10" t="str">
        <f t="array" ref="E11184">IFS(D11184&lt;=$G$3,'calculated data '!$A$3,D11184&lt;=$G$4,'calculated data '!$A$4,D11184&lt;=$G$6,'calculated data '!$A$5,D11184&gt;=$G$6,'calculated data '!$A$6)</f>
        <v>Outliers / Premium Tier</v>
      </c>
      <c r="F11184" s="10">
        <f t="shared" si="1"/>
        <v>3.764211212</v>
      </c>
    </row>
    <row r="11185" ht="14.25" customHeight="1">
      <c r="A11185" s="2" t="s">
        <v>429</v>
      </c>
      <c r="B11185" s="2" t="s">
        <v>430</v>
      </c>
      <c r="C11185" s="2">
        <v>2021.0</v>
      </c>
      <c r="D11185" s="9">
        <v>167633.16</v>
      </c>
      <c r="E11185" s="10" t="str">
        <f t="array" ref="E11185">IFS(D11185&lt;=$G$3,'calculated data '!$A$3,D11185&lt;=$G$4,'calculated data '!$A$4,D11185&lt;=$G$6,'calculated data '!$A$5,D11185&gt;=$G$6,'calculated data '!$A$6)</f>
        <v>Outliers / Premium Tier</v>
      </c>
      <c r="F11185" s="10">
        <f t="shared" si="1"/>
        <v>3.774036519</v>
      </c>
    </row>
    <row r="11186" ht="14.25" customHeight="1">
      <c r="A11186" s="2" t="s">
        <v>499</v>
      </c>
      <c r="B11186" s="2" t="s">
        <v>500</v>
      </c>
      <c r="C11186" s="2">
        <v>1987.0</v>
      </c>
      <c r="D11186" s="9">
        <v>168309.12</v>
      </c>
      <c r="E11186" s="10" t="str">
        <f t="array" ref="E11186">IFS(D11186&lt;=$G$3,'calculated data '!$A$3,D11186&lt;=$G$4,'calculated data '!$A$4,D11186&lt;=$G$6,'calculated data '!$A$5,D11186&gt;=$G$6,'calculated data '!$A$6)</f>
        <v>Outliers / Premium Tier</v>
      </c>
      <c r="F11186" s="10">
        <f t="shared" si="1"/>
        <v>3.791929012</v>
      </c>
    </row>
    <row r="11187" ht="14.25" customHeight="1">
      <c r="A11187" s="2" t="s">
        <v>469</v>
      </c>
      <c r="B11187" s="2" t="s">
        <v>470</v>
      </c>
      <c r="C11187" s="2">
        <v>2010.0</v>
      </c>
      <c r="D11187" s="9">
        <v>168400.3</v>
      </c>
      <c r="E11187" s="10" t="str">
        <f t="array" ref="E11187">IFS(D11187&lt;=$G$3,'calculated data '!$A$3,D11187&lt;=$G$4,'calculated data '!$A$4,D11187&lt;=$G$6,'calculated data '!$A$5,D11187&gt;=$G$6,'calculated data '!$A$6)</f>
        <v>Outliers / Premium Tier</v>
      </c>
      <c r="F11187" s="10">
        <f t="shared" si="1"/>
        <v>3.794342524</v>
      </c>
    </row>
    <row r="11188" ht="14.25" customHeight="1">
      <c r="A11188" s="2" t="s">
        <v>441</v>
      </c>
      <c r="B11188" s="2" t="s">
        <v>442</v>
      </c>
      <c r="C11188" s="2">
        <v>1989.0</v>
      </c>
      <c r="D11188" s="9">
        <v>168647.36</v>
      </c>
      <c r="E11188" s="10" t="str">
        <f t="array" ref="E11188">IFS(D11188&lt;=$G$3,'calculated data '!$A$3,D11188&lt;=$G$4,'calculated data '!$A$4,D11188&lt;=$G$6,'calculated data '!$A$5,D11188&gt;=$G$6,'calculated data '!$A$6)</f>
        <v>Outliers / Premium Tier</v>
      </c>
      <c r="F11188" s="10">
        <f t="shared" si="1"/>
        <v>3.80088214</v>
      </c>
    </row>
    <row r="11189" ht="14.25" customHeight="1">
      <c r="A11189" s="2" t="s">
        <v>429</v>
      </c>
      <c r="B11189" s="2" t="s">
        <v>430</v>
      </c>
      <c r="C11189" s="2">
        <v>2015.0</v>
      </c>
      <c r="D11189" s="9">
        <v>169083.08</v>
      </c>
      <c r="E11189" s="10" t="str">
        <f t="array" ref="E11189">IFS(D11189&lt;=$G$3,'calculated data '!$A$3,D11189&lt;=$G$4,'calculated data '!$A$4,D11189&lt;=$G$6,'calculated data '!$A$5,D11189&gt;=$G$6,'calculated data '!$A$6)</f>
        <v>Outliers / Premium Tier</v>
      </c>
      <c r="F11189" s="10">
        <f t="shared" si="1"/>
        <v>3.81241554</v>
      </c>
    </row>
    <row r="11190" ht="14.25" customHeight="1">
      <c r="A11190" s="2" t="s">
        <v>283</v>
      </c>
      <c r="B11190" s="2" t="s">
        <v>284</v>
      </c>
      <c r="C11190" s="2">
        <v>1987.0</v>
      </c>
      <c r="D11190" s="9">
        <v>173464.0</v>
      </c>
      <c r="E11190" s="10" t="str">
        <f t="array" ref="E11190">IFS(D11190&lt;=$G$3,'calculated data '!$A$3,D11190&lt;=$G$4,'calculated data '!$A$4,D11190&lt;=$G$6,'calculated data '!$A$5,D11190&gt;=$G$6,'calculated data '!$A$6)</f>
        <v>Outliers / Premium Tier</v>
      </c>
      <c r="F11190" s="10">
        <f t="shared" si="1"/>
        <v>3.928377402</v>
      </c>
    </row>
    <row r="11191" ht="14.25" customHeight="1">
      <c r="A11191" s="2" t="s">
        <v>429</v>
      </c>
      <c r="B11191" s="2" t="s">
        <v>430</v>
      </c>
      <c r="C11191" s="2">
        <v>2016.0</v>
      </c>
      <c r="D11191" s="9">
        <v>173873.66</v>
      </c>
      <c r="E11191" s="10" t="str">
        <f t="array" ref="E11191">IFS(D11191&lt;=$G$3,'calculated data '!$A$3,D11191&lt;=$G$4,'calculated data '!$A$4,D11191&lt;=$G$6,'calculated data '!$A$5,D11191&gt;=$G$6,'calculated data '!$A$6)</f>
        <v>Outliers / Premium Tier</v>
      </c>
      <c r="F11191" s="10">
        <f t="shared" si="1"/>
        <v>3.939221</v>
      </c>
    </row>
    <row r="11192" ht="14.25" customHeight="1">
      <c r="A11192" s="2" t="s">
        <v>389</v>
      </c>
      <c r="B11192" s="2" t="s">
        <v>390</v>
      </c>
      <c r="C11192" s="2">
        <v>1981.0</v>
      </c>
      <c r="D11192" s="9">
        <v>173930.48</v>
      </c>
      <c r="E11192" s="10" t="str">
        <f t="array" ref="E11192">IFS(D11192&lt;=$G$3,'calculated data '!$A$3,D11192&lt;=$G$4,'calculated data '!$A$4,D11192&lt;=$G$6,'calculated data '!$A$5,D11192&gt;=$G$6,'calculated data '!$A$6)</f>
        <v>Outliers / Premium Tier</v>
      </c>
      <c r="F11192" s="10">
        <f t="shared" si="1"/>
        <v>3.940725011</v>
      </c>
    </row>
    <row r="11193" ht="14.25" customHeight="1">
      <c r="A11193" s="2" t="s">
        <v>429</v>
      </c>
      <c r="B11193" s="2" t="s">
        <v>430</v>
      </c>
      <c r="C11193" s="2">
        <v>2025.0</v>
      </c>
      <c r="D11193" s="9">
        <v>174382.44</v>
      </c>
      <c r="E11193" s="10" t="str">
        <f t="array" ref="E11193">IFS(D11193&lt;=$G$3,'calculated data '!$A$3,D11193&lt;=$G$4,'calculated data '!$A$4,D11193&lt;=$G$6,'calculated data '!$A$5,D11193&gt;=$G$6,'calculated data '!$A$6)</f>
        <v>Outliers / Premium Tier</v>
      </c>
      <c r="F11193" s="10">
        <f t="shared" si="1"/>
        <v>3.95268828</v>
      </c>
    </row>
    <row r="11194" ht="14.25" customHeight="1">
      <c r="A11194" s="2" t="s">
        <v>429</v>
      </c>
      <c r="B11194" s="2" t="s">
        <v>430</v>
      </c>
      <c r="C11194" s="2">
        <v>2019.0</v>
      </c>
      <c r="D11194" s="9">
        <v>175112.84</v>
      </c>
      <c r="E11194" s="10" t="str">
        <f t="array" ref="E11194">IFS(D11194&lt;=$G$3,'calculated data '!$A$3,D11194&lt;=$G$4,'calculated data '!$A$4,D11194&lt;=$G$6,'calculated data '!$A$5,D11194&gt;=$G$6,'calculated data '!$A$6)</f>
        <v>Outliers / Premium Tier</v>
      </c>
      <c r="F11194" s="10">
        <f t="shared" si="1"/>
        <v>3.972021786</v>
      </c>
    </row>
    <row r="11195" ht="14.25" customHeight="1">
      <c r="A11195" s="2" t="s">
        <v>429</v>
      </c>
      <c r="B11195" s="2" t="s">
        <v>430</v>
      </c>
      <c r="C11195" s="2">
        <v>2024.0</v>
      </c>
      <c r="D11195" s="9">
        <v>175199.02</v>
      </c>
      <c r="E11195" s="10" t="str">
        <f t="array" ref="E11195">IFS(D11195&lt;=$G$3,'calculated data '!$A$3,D11195&lt;=$G$4,'calculated data '!$A$4,D11195&lt;=$G$6,'calculated data '!$A$5,D11195&gt;=$G$6,'calculated data '!$A$6)</f>
        <v>Outliers / Premium Tier</v>
      </c>
      <c r="F11195" s="10">
        <f t="shared" si="1"/>
        <v>3.974302949</v>
      </c>
    </row>
    <row r="11196" ht="14.25" customHeight="1">
      <c r="A11196" s="2" t="s">
        <v>283</v>
      </c>
      <c r="B11196" s="2" t="s">
        <v>284</v>
      </c>
      <c r="C11196" s="2">
        <v>1998.0</v>
      </c>
      <c r="D11196" s="9">
        <v>175670.05</v>
      </c>
      <c r="E11196" s="10" t="str">
        <f t="array" ref="E11196">IFS(D11196&lt;=$G$3,'calculated data '!$A$3,D11196&lt;=$G$4,'calculated data '!$A$4,D11196&lt;=$G$6,'calculated data '!$A$5,D11196&gt;=$G$6,'calculated data '!$A$6)</f>
        <v>Outliers / Premium Tier</v>
      </c>
      <c r="F11196" s="10">
        <f t="shared" si="1"/>
        <v>3.986770996</v>
      </c>
    </row>
    <row r="11197" ht="14.25" customHeight="1">
      <c r="A11197" s="2" t="s">
        <v>389</v>
      </c>
      <c r="B11197" s="2" t="s">
        <v>390</v>
      </c>
      <c r="C11197" s="2">
        <v>1987.0</v>
      </c>
      <c r="D11197" s="9">
        <v>175947.08</v>
      </c>
      <c r="E11197" s="10" t="str">
        <f t="array" ref="E11197">IFS(D11197&lt;=$G$3,'calculated data '!$A$3,D11197&lt;=$G$4,'calculated data '!$A$4,D11197&lt;=$G$6,'calculated data '!$A$5,D11197&gt;=$G$6,'calculated data '!$A$6)</f>
        <v>Outliers / Premium Tier</v>
      </c>
      <c r="F11197" s="10">
        <f t="shared" si="1"/>
        <v>3.994103911</v>
      </c>
    </row>
    <row r="11198" ht="14.25" customHeight="1">
      <c r="A11198" s="2" t="s">
        <v>389</v>
      </c>
      <c r="B11198" s="2" t="s">
        <v>390</v>
      </c>
      <c r="C11198" s="2">
        <v>1988.0</v>
      </c>
      <c r="D11198" s="9">
        <v>178809.97</v>
      </c>
      <c r="E11198" s="10" t="str">
        <f t="array" ref="E11198">IFS(D11198&lt;=$G$3,'calculated data '!$A$3,D11198&lt;=$G$4,'calculated data '!$A$4,D11198&lt;=$G$6,'calculated data '!$A$5,D11198&gt;=$G$6,'calculated data '!$A$6)</f>
        <v>Outliers / Premium Tier</v>
      </c>
      <c r="F11198" s="10">
        <f t="shared" si="1"/>
        <v>4.069883896</v>
      </c>
    </row>
    <row r="11199" ht="14.25" customHeight="1">
      <c r="A11199" s="2" t="s">
        <v>389</v>
      </c>
      <c r="B11199" s="2" t="s">
        <v>390</v>
      </c>
      <c r="C11199" s="2">
        <v>1990.0</v>
      </c>
      <c r="D11199" s="9">
        <v>179101.61</v>
      </c>
      <c r="E11199" s="10" t="str">
        <f t="array" ref="E11199">IFS(D11199&lt;=$G$3,'calculated data '!$A$3,D11199&lt;=$G$4,'calculated data '!$A$4,D11199&lt;=$G$6,'calculated data '!$A$5,D11199&gt;=$G$6,'calculated data '!$A$6)</f>
        <v>Outliers / Premium Tier</v>
      </c>
      <c r="F11199" s="10">
        <f t="shared" si="1"/>
        <v>4.077603534</v>
      </c>
    </row>
    <row r="11200" ht="14.25" customHeight="1">
      <c r="A11200" s="2" t="s">
        <v>283</v>
      </c>
      <c r="B11200" s="2" t="s">
        <v>284</v>
      </c>
      <c r="C11200" s="2">
        <v>1988.0</v>
      </c>
      <c r="D11200" s="9">
        <v>179499.98</v>
      </c>
      <c r="E11200" s="10" t="str">
        <f t="array" ref="E11200">IFS(D11200&lt;=$G$3,'calculated data '!$A$3,D11200&lt;=$G$4,'calculated data '!$A$4,D11200&lt;=$G$6,'calculated data '!$A$5,D11200&gt;=$G$6,'calculated data '!$A$6)</f>
        <v>Outliers / Premium Tier</v>
      </c>
      <c r="F11200" s="10">
        <f t="shared" si="1"/>
        <v>4.088148289</v>
      </c>
    </row>
    <row r="11201" ht="14.25" customHeight="1">
      <c r="A11201" s="2" t="s">
        <v>429</v>
      </c>
      <c r="B11201" s="2" t="s">
        <v>430</v>
      </c>
      <c r="C11201" s="2">
        <v>2017.0</v>
      </c>
      <c r="D11201" s="9">
        <v>180222.98</v>
      </c>
      <c r="E11201" s="10" t="str">
        <f t="array" ref="E11201">IFS(D11201&lt;=$G$3,'calculated data '!$A$3,D11201&lt;=$G$4,'calculated data '!$A$4,D11201&lt;=$G$6,'calculated data '!$A$5,D11201&gt;=$G$6,'calculated data '!$A$6)</f>
        <v>Outliers / Premium Tier</v>
      </c>
      <c r="F11201" s="10">
        <f t="shared" si="1"/>
        <v>4.107285919</v>
      </c>
    </row>
    <row r="11202" ht="14.25" customHeight="1">
      <c r="A11202" s="2" t="s">
        <v>429</v>
      </c>
      <c r="B11202" s="2" t="s">
        <v>430</v>
      </c>
      <c r="C11202" s="2">
        <v>2018.0</v>
      </c>
      <c r="D11202" s="9">
        <v>180349.83</v>
      </c>
      <c r="E11202" s="10" t="str">
        <f t="array" ref="E11202">IFS(D11202&lt;=$G$3,'calculated data '!$A$3,D11202&lt;=$G$4,'calculated data '!$A$4,D11202&lt;=$G$6,'calculated data '!$A$5,D11202&gt;=$G$6,'calculated data '!$A$6)</f>
        <v>Outliers / Premium Tier</v>
      </c>
      <c r="F11202" s="10">
        <f t="shared" si="1"/>
        <v>4.110643607</v>
      </c>
    </row>
    <row r="11203" ht="14.25" customHeight="1">
      <c r="A11203" s="2" t="s">
        <v>389</v>
      </c>
      <c r="B11203" s="2" t="s">
        <v>390</v>
      </c>
      <c r="C11203" s="2">
        <v>1985.0</v>
      </c>
      <c r="D11203" s="9">
        <v>180653.14</v>
      </c>
      <c r="E11203" s="10" t="str">
        <f t="array" ref="E11203">IFS(D11203&lt;=$G$3,'calculated data '!$A$3,D11203&lt;=$G$4,'calculated data '!$A$4,D11203&lt;=$G$6,'calculated data '!$A$5,D11203&gt;=$G$6,'calculated data '!$A$6)</f>
        <v>Outliers / Premium Tier</v>
      </c>
      <c r="F11203" s="10">
        <f t="shared" si="1"/>
        <v>4.118672147</v>
      </c>
    </row>
    <row r="11204" ht="14.25" customHeight="1">
      <c r="A11204" s="2" t="s">
        <v>399</v>
      </c>
      <c r="B11204" s="2" t="s">
        <v>400</v>
      </c>
      <c r="C11204" s="2">
        <v>1981.0</v>
      </c>
      <c r="D11204" s="9">
        <v>181035.6</v>
      </c>
      <c r="E11204" s="10" t="str">
        <f t="array" ref="E11204">IFS(D11204&lt;=$G$3,'calculated data '!$A$3,D11204&lt;=$G$4,'calculated data '!$A$4,D11204&lt;=$G$6,'calculated data '!$A$5,D11204&gt;=$G$6,'calculated data '!$A$6)</f>
        <v>Outliers / Premium Tier</v>
      </c>
      <c r="F11204" s="10">
        <f t="shared" si="1"/>
        <v>4.128795768</v>
      </c>
    </row>
    <row r="11205" ht="14.25" customHeight="1">
      <c r="A11205" s="2" t="s">
        <v>283</v>
      </c>
      <c r="B11205" s="2" t="s">
        <v>284</v>
      </c>
      <c r="C11205" s="2">
        <v>1990.0</v>
      </c>
      <c r="D11205" s="9">
        <v>181724.3</v>
      </c>
      <c r="E11205" s="10" t="str">
        <f t="array" ref="E11205">IFS(D11205&lt;=$G$3,'calculated data '!$A$3,D11205&lt;=$G$4,'calculated data '!$A$4,D11205&lt;=$G$6,'calculated data '!$A$5,D11205&gt;=$G$6,'calculated data '!$A$6)</f>
        <v>Outliers / Premium Tier</v>
      </c>
      <c r="F11205" s="10">
        <f t="shared" si="1"/>
        <v>4.147025485</v>
      </c>
    </row>
    <row r="11206" ht="14.25" customHeight="1">
      <c r="A11206" s="2" t="s">
        <v>389</v>
      </c>
      <c r="B11206" s="2" t="s">
        <v>390</v>
      </c>
      <c r="C11206" s="2">
        <v>2009.0</v>
      </c>
      <c r="D11206" s="9">
        <v>181811.38</v>
      </c>
      <c r="E11206" s="10" t="str">
        <f t="array" ref="E11206">IFS(D11206&lt;=$G$3,'calculated data '!$A$3,D11206&lt;=$G$4,'calculated data '!$A$4,D11206&lt;=$G$6,'calculated data '!$A$5,D11206&gt;=$G$6,'calculated data '!$A$6)</f>
        <v>Outliers / Premium Tier</v>
      </c>
      <c r="F11206" s="10">
        <f t="shared" si="1"/>
        <v>4.149330471</v>
      </c>
    </row>
    <row r="11207" ht="14.25" customHeight="1">
      <c r="A11207" s="2" t="s">
        <v>389</v>
      </c>
      <c r="B11207" s="2" t="s">
        <v>390</v>
      </c>
      <c r="C11207" s="2">
        <v>1989.0</v>
      </c>
      <c r="D11207" s="9">
        <v>182647.88</v>
      </c>
      <c r="E11207" s="10" t="str">
        <f t="array" ref="E11207">IFS(D11207&lt;=$G$3,'calculated data '!$A$3,D11207&lt;=$G$4,'calculated data '!$A$4,D11207&lt;=$G$6,'calculated data '!$A$5,D11207&gt;=$G$6,'calculated data '!$A$6)</f>
        <v>Outliers / Premium Tier</v>
      </c>
      <c r="F11207" s="10">
        <f t="shared" si="1"/>
        <v>4.171472418</v>
      </c>
    </row>
    <row r="11208" ht="14.25" customHeight="1">
      <c r="A11208" s="2" t="s">
        <v>389</v>
      </c>
      <c r="B11208" s="2" t="s">
        <v>390</v>
      </c>
      <c r="C11208" s="2">
        <v>2020.0</v>
      </c>
      <c r="D11208" s="9">
        <v>183714.94</v>
      </c>
      <c r="E11208" s="10" t="str">
        <f t="array" ref="E11208">IFS(D11208&lt;=$G$3,'calculated data '!$A$3,D11208&lt;=$G$4,'calculated data '!$A$4,D11208&lt;=$G$6,'calculated data '!$A$5,D11208&gt;=$G$6,'calculated data '!$A$6)</f>
        <v>Outliers / Premium Tier</v>
      </c>
      <c r="F11208" s="10">
        <f t="shared" si="1"/>
        <v>4.19971723</v>
      </c>
    </row>
    <row r="11209" ht="14.25" customHeight="1">
      <c r="A11209" s="2" t="s">
        <v>457</v>
      </c>
      <c r="B11209" s="2" t="s">
        <v>458</v>
      </c>
      <c r="C11209" s="2">
        <v>2007.0</v>
      </c>
      <c r="D11209" s="9">
        <v>184248.58</v>
      </c>
      <c r="E11209" s="10" t="str">
        <f t="array" ref="E11209">IFS(D11209&lt;=$G$3,'calculated data '!$A$3,D11209&lt;=$G$4,'calculated data '!$A$4,D11209&lt;=$G$6,'calculated data '!$A$5,D11209&gt;=$G$6,'calculated data '!$A$6)</f>
        <v>Outliers / Premium Tier</v>
      </c>
      <c r="F11209" s="10">
        <f t="shared" si="1"/>
        <v>4.213842548</v>
      </c>
    </row>
    <row r="11210" ht="14.25" customHeight="1">
      <c r="A11210" s="2" t="s">
        <v>283</v>
      </c>
      <c r="B11210" s="2" t="s">
        <v>284</v>
      </c>
      <c r="C11210" s="2">
        <v>1997.0</v>
      </c>
      <c r="D11210" s="9">
        <v>185083.61</v>
      </c>
      <c r="E11210" s="10" t="str">
        <f t="array" ref="E11210">IFS(D11210&lt;=$G$3,'calculated data '!$A$3,D11210&lt;=$G$4,'calculated data '!$A$4,D11210&lt;=$G$6,'calculated data '!$A$5,D11210&gt;=$G$6,'calculated data '!$A$6)</f>
        <v>Outliers / Premium Tier</v>
      </c>
      <c r="F11210" s="10">
        <f t="shared" si="1"/>
        <v>4.235945584</v>
      </c>
    </row>
    <row r="11211" ht="14.25" customHeight="1">
      <c r="A11211" s="2" t="s">
        <v>389</v>
      </c>
      <c r="B11211" s="2" t="s">
        <v>390</v>
      </c>
      <c r="C11211" s="2">
        <v>1983.0</v>
      </c>
      <c r="D11211" s="9">
        <v>187596.62</v>
      </c>
      <c r="E11211" s="10" t="str">
        <f t="array" ref="E11211">IFS(D11211&lt;=$G$3,'calculated data '!$A$3,D11211&lt;=$G$4,'calculated data '!$A$4,D11211&lt;=$G$6,'calculated data '!$A$5,D11211&gt;=$G$6,'calculated data '!$A$6)</f>
        <v>Outliers / Premium Tier</v>
      </c>
      <c r="F11211" s="10">
        <f t="shared" si="1"/>
        <v>4.302464333</v>
      </c>
    </row>
    <row r="11212" ht="14.25" customHeight="1">
      <c r="A11212" s="2" t="s">
        <v>35</v>
      </c>
      <c r="B11212" s="2" t="s">
        <v>36</v>
      </c>
      <c r="C11212" s="2">
        <v>2011.0</v>
      </c>
      <c r="D11212" s="9">
        <v>188008.27</v>
      </c>
      <c r="E11212" s="10" t="str">
        <f t="array" ref="E11212">IFS(D11212&lt;=$G$3,'calculated data '!$A$3,D11212&lt;=$G$4,'calculated data '!$A$4,D11212&lt;=$G$6,'calculated data '!$A$5,D11212&gt;=$G$6,'calculated data '!$A$6)</f>
        <v>Outliers / Premium Tier</v>
      </c>
      <c r="F11212" s="10">
        <f t="shared" si="1"/>
        <v>4.313360606</v>
      </c>
    </row>
    <row r="11213" ht="14.25" customHeight="1">
      <c r="A11213" s="2" t="s">
        <v>389</v>
      </c>
      <c r="B11213" s="2" t="s">
        <v>390</v>
      </c>
      <c r="C11213" s="2">
        <v>1986.0</v>
      </c>
      <c r="D11213" s="9">
        <v>188457.31</v>
      </c>
      <c r="E11213" s="10" t="str">
        <f t="array" ref="E11213">IFS(D11213&lt;=$G$3,'calculated data '!$A$3,D11213&lt;=$G$4,'calculated data '!$A$4,D11213&lt;=$G$6,'calculated data '!$A$5,D11213&gt;=$G$6,'calculated data '!$A$6)</f>
        <v>Outliers / Premium Tier</v>
      </c>
      <c r="F11213" s="10">
        <f t="shared" si="1"/>
        <v>4.325246583</v>
      </c>
    </row>
    <row r="11214" ht="14.25" customHeight="1">
      <c r="A11214" s="2" t="s">
        <v>283</v>
      </c>
      <c r="B11214" s="2" t="s">
        <v>284</v>
      </c>
      <c r="C11214" s="2">
        <v>1989.0</v>
      </c>
      <c r="D11214" s="9">
        <v>190051.36</v>
      </c>
      <c r="E11214" s="10" t="str">
        <f t="array" ref="E11214">IFS(D11214&lt;=$G$3,'calculated data '!$A$3,D11214&lt;=$G$4,'calculated data '!$A$4,D11214&lt;=$G$6,'calculated data '!$A$5,D11214&gt;=$G$6,'calculated data '!$A$6)</f>
        <v>Outliers / Premium Tier</v>
      </c>
      <c r="F11214" s="10">
        <f t="shared" si="1"/>
        <v>4.367440689</v>
      </c>
    </row>
    <row r="11215" ht="14.25" customHeight="1">
      <c r="A11215" s="2" t="s">
        <v>389</v>
      </c>
      <c r="B11215" s="2" t="s">
        <v>390</v>
      </c>
      <c r="C11215" s="2">
        <v>1982.0</v>
      </c>
      <c r="D11215" s="9">
        <v>190448.25</v>
      </c>
      <c r="E11215" s="10" t="str">
        <f t="array" ref="E11215">IFS(D11215&lt;=$G$3,'calculated data '!$A$3,D11215&lt;=$G$4,'calculated data '!$A$4,D11215&lt;=$G$6,'calculated data '!$A$5,D11215&gt;=$G$6,'calculated data '!$A$6)</f>
        <v>Outliers / Premium Tier</v>
      </c>
      <c r="F11215" s="10">
        <f t="shared" si="1"/>
        <v>4.377946269</v>
      </c>
    </row>
    <row r="11216" ht="14.25" customHeight="1">
      <c r="A11216" s="2" t="s">
        <v>283</v>
      </c>
      <c r="B11216" s="2" t="s">
        <v>284</v>
      </c>
      <c r="C11216" s="2">
        <v>1993.0</v>
      </c>
      <c r="D11216" s="9">
        <v>190572.3</v>
      </c>
      <c r="E11216" s="10" t="str">
        <f t="array" ref="E11216">IFS(D11216&lt;=$G$3,'calculated data '!$A$3,D11216&lt;=$G$4,'calculated data '!$A$4,D11216&lt;=$G$6,'calculated data '!$A$5,D11216&gt;=$G$6,'calculated data '!$A$6)</f>
        <v>Outliers / Premium Tier</v>
      </c>
      <c r="F11216" s="10">
        <f t="shared" si="1"/>
        <v>4.381229841</v>
      </c>
    </row>
    <row r="11217" ht="14.25" customHeight="1">
      <c r="A11217" s="2" t="s">
        <v>389</v>
      </c>
      <c r="B11217" s="2" t="s">
        <v>390</v>
      </c>
      <c r="C11217" s="2">
        <v>2001.0</v>
      </c>
      <c r="D11217" s="9">
        <v>191210.3</v>
      </c>
      <c r="E11217" s="10" t="str">
        <f t="array" ref="E11217">IFS(D11217&lt;=$G$3,'calculated data '!$A$3,D11217&lt;=$G$4,'calculated data '!$A$4,D11217&lt;=$G$6,'calculated data '!$A$5,D11217&gt;=$G$6,'calculated data '!$A$6)</f>
        <v>Outliers / Premium Tier</v>
      </c>
      <c r="F11217" s="10">
        <f t="shared" si="1"/>
        <v>4.398117543</v>
      </c>
    </row>
    <row r="11218" ht="14.25" customHeight="1">
      <c r="A11218" s="2" t="s">
        <v>283</v>
      </c>
      <c r="B11218" s="2" t="s">
        <v>284</v>
      </c>
      <c r="C11218" s="2">
        <v>1992.0</v>
      </c>
      <c r="D11218" s="9">
        <v>192314.92</v>
      </c>
      <c r="E11218" s="10" t="str">
        <f t="array" ref="E11218">IFS(D11218&lt;=$G$3,'calculated data '!$A$3,D11218&lt;=$G$4,'calculated data '!$A$4,D11218&lt;=$G$6,'calculated data '!$A$5,D11218&gt;=$G$6,'calculated data '!$A$6)</f>
        <v>Outliers / Premium Tier</v>
      </c>
      <c r="F11218" s="10">
        <f t="shared" si="1"/>
        <v>4.427356559</v>
      </c>
    </row>
    <row r="11219" ht="14.25" customHeight="1">
      <c r="A11219" s="2" t="s">
        <v>283</v>
      </c>
      <c r="B11219" s="2" t="s">
        <v>284</v>
      </c>
      <c r="C11219" s="2">
        <v>1996.0</v>
      </c>
      <c r="D11219" s="9">
        <v>192367.45</v>
      </c>
      <c r="E11219" s="10" t="str">
        <f t="array" ref="E11219">IFS(D11219&lt;=$G$3,'calculated data '!$A$3,D11219&lt;=$G$4,'calculated data '!$A$4,D11219&lt;=$G$6,'calculated data '!$A$5,D11219&gt;=$G$6,'calculated data '!$A$6)</f>
        <v>Outliers / Premium Tier</v>
      </c>
      <c r="F11219" s="10">
        <f t="shared" si="1"/>
        <v>4.428747015</v>
      </c>
    </row>
    <row r="11220" ht="14.25" customHeight="1">
      <c r="A11220" s="2" t="s">
        <v>389</v>
      </c>
      <c r="B11220" s="2" t="s">
        <v>390</v>
      </c>
      <c r="C11220" s="2">
        <v>1980.0</v>
      </c>
      <c r="D11220" s="9">
        <v>193422.83</v>
      </c>
      <c r="E11220" s="10" t="str">
        <f t="array" ref="E11220">IFS(D11220&lt;=$G$3,'calculated data '!$A$3,D11220&lt;=$G$4,'calculated data '!$A$4,D11220&lt;=$G$6,'calculated data '!$A$5,D11220&gt;=$G$6,'calculated data '!$A$6)</f>
        <v>Outliers / Premium Tier</v>
      </c>
      <c r="F11220" s="10">
        <f t="shared" si="1"/>
        <v>4.456682661</v>
      </c>
    </row>
    <row r="11221" ht="14.25" customHeight="1">
      <c r="A11221" s="2" t="s">
        <v>389</v>
      </c>
      <c r="B11221" s="2" t="s">
        <v>390</v>
      </c>
      <c r="C11221" s="2">
        <v>2021.0</v>
      </c>
      <c r="D11221" s="9">
        <v>194003.69</v>
      </c>
      <c r="E11221" s="10" t="str">
        <f t="array" ref="E11221">IFS(D11221&lt;=$G$3,'calculated data '!$A$3,D11221&lt;=$G$4,'calculated data '!$A$4,D11221&lt;=$G$6,'calculated data '!$A$5,D11221&gt;=$G$6,'calculated data '!$A$6)</f>
        <v>Outliers / Premium Tier</v>
      </c>
      <c r="F11221" s="10">
        <f t="shared" si="1"/>
        <v>4.47205788</v>
      </c>
    </row>
    <row r="11222" ht="14.25" customHeight="1">
      <c r="A11222" s="2" t="s">
        <v>389</v>
      </c>
      <c r="B11222" s="2" t="s">
        <v>390</v>
      </c>
      <c r="C11222" s="2">
        <v>1979.0</v>
      </c>
      <c r="D11222" s="9">
        <v>194705.64</v>
      </c>
      <c r="E11222" s="10" t="str">
        <f t="array" ref="E11222">IFS(D11222&lt;=$G$3,'calculated data '!$A$3,D11222&lt;=$G$4,'calculated data '!$A$4,D11222&lt;=$G$6,'calculated data '!$A$5,D11222&gt;=$G$6,'calculated data '!$A$6)</f>
        <v>Outliers / Premium Tier</v>
      </c>
      <c r="F11222" s="10">
        <f t="shared" si="1"/>
        <v>4.490638322</v>
      </c>
    </row>
    <row r="11223" ht="14.25" customHeight="1">
      <c r="A11223" s="2" t="s">
        <v>389</v>
      </c>
      <c r="B11223" s="2" t="s">
        <v>390</v>
      </c>
      <c r="C11223" s="2">
        <v>2010.0</v>
      </c>
      <c r="D11223" s="9">
        <v>196225.34</v>
      </c>
      <c r="E11223" s="10" t="str">
        <f t="array" ref="E11223">IFS(D11223&lt;=$G$3,'calculated data '!$A$3,D11223&lt;=$G$4,'calculated data '!$A$4,D11223&lt;=$G$6,'calculated data '!$A$5,D11223&gt;=$G$6,'calculated data '!$A$6)</f>
        <v>Outliers / Premium Tier</v>
      </c>
      <c r="F11223" s="10">
        <f t="shared" si="1"/>
        <v>4.530864402</v>
      </c>
    </row>
    <row r="11224" ht="14.25" customHeight="1">
      <c r="A11224" s="2" t="s">
        <v>389</v>
      </c>
      <c r="B11224" s="2" t="s">
        <v>390</v>
      </c>
      <c r="C11224" s="2">
        <v>2022.0</v>
      </c>
      <c r="D11224" s="9">
        <v>196577.86</v>
      </c>
      <c r="E11224" s="10" t="str">
        <f t="array" ref="E11224">IFS(D11224&lt;=$G$3,'calculated data '!$A$3,D11224&lt;=$G$4,'calculated data '!$A$4,D11224&lt;=$G$6,'calculated data '!$A$5,D11224&gt;=$G$6,'calculated data '!$A$6)</f>
        <v>Outliers / Premium Tier</v>
      </c>
      <c r="F11224" s="10">
        <f t="shared" si="1"/>
        <v>4.540195519</v>
      </c>
    </row>
    <row r="11225" ht="14.25" customHeight="1">
      <c r="A11225" s="2" t="s">
        <v>283</v>
      </c>
      <c r="B11225" s="2" t="s">
        <v>284</v>
      </c>
      <c r="C11225" s="2">
        <v>1995.0</v>
      </c>
      <c r="D11225" s="9">
        <v>199152.9</v>
      </c>
      <c r="E11225" s="10" t="str">
        <f t="array" ref="E11225">IFS(D11225&lt;=$G$3,'calculated data '!$A$3,D11225&lt;=$G$4,'calculated data '!$A$4,D11225&lt;=$G$6,'calculated data '!$A$5,D11225&gt;=$G$6,'calculated data '!$A$6)</f>
        <v>Outliers / Premium Tier</v>
      </c>
      <c r="F11225" s="10">
        <f t="shared" si="1"/>
        <v>4.608356186</v>
      </c>
    </row>
    <row r="11226" ht="14.25" customHeight="1">
      <c r="A11226" s="2" t="s">
        <v>389</v>
      </c>
      <c r="B11226" s="2" t="s">
        <v>390</v>
      </c>
      <c r="C11226" s="2">
        <v>2025.0</v>
      </c>
      <c r="D11226" s="9">
        <v>199255.98</v>
      </c>
      <c r="E11226" s="10" t="str">
        <f t="array" ref="E11226">IFS(D11226&lt;=$G$3,'calculated data '!$A$3,D11226&lt;=$G$4,'calculated data '!$A$4,D11226&lt;=$G$6,'calculated data '!$A$5,D11226&gt;=$G$6,'calculated data '!$A$6)</f>
        <v>Outliers / Premium Tier</v>
      </c>
      <c r="F11226" s="10">
        <f t="shared" si="1"/>
        <v>4.611084688</v>
      </c>
    </row>
    <row r="11227" ht="14.25" customHeight="1">
      <c r="A11227" s="2" t="s">
        <v>283</v>
      </c>
      <c r="B11227" s="2" t="s">
        <v>284</v>
      </c>
      <c r="C11227" s="2">
        <v>1994.0</v>
      </c>
      <c r="D11227" s="9">
        <v>199585.92</v>
      </c>
      <c r="E11227" s="10" t="str">
        <f t="array" ref="E11227">IFS(D11227&lt;=$G$3,'calculated data '!$A$3,D11227&lt;=$G$4,'calculated data '!$A$4,D11227&lt;=$G$6,'calculated data '!$A$5,D11227&gt;=$G$6,'calculated data '!$A$6)</f>
        <v>Outliers / Premium Tier</v>
      </c>
      <c r="F11227" s="10">
        <f t="shared" si="1"/>
        <v>4.619818118</v>
      </c>
    </row>
    <row r="11228" ht="14.25" customHeight="1">
      <c r="A11228" s="2" t="s">
        <v>389</v>
      </c>
      <c r="B11228" s="2" t="s">
        <v>390</v>
      </c>
      <c r="C11228" s="2">
        <v>1991.0</v>
      </c>
      <c r="D11228" s="9">
        <v>199650.05</v>
      </c>
      <c r="E11228" s="10" t="str">
        <f t="array" ref="E11228">IFS(D11228&lt;=$G$3,'calculated data '!$A$3,D11228&lt;=$G$4,'calculated data '!$A$4,D11228&lt;=$G$6,'calculated data '!$A$5,D11228&gt;=$G$6,'calculated data '!$A$6)</f>
        <v>Outliers / Premium Tier</v>
      </c>
      <c r="F11228" s="10">
        <f t="shared" si="1"/>
        <v>4.621515623</v>
      </c>
    </row>
    <row r="11229" ht="14.25" customHeight="1">
      <c r="A11229" s="2" t="s">
        <v>389</v>
      </c>
      <c r="B11229" s="2" t="s">
        <v>390</v>
      </c>
      <c r="C11229" s="2">
        <v>2008.0</v>
      </c>
      <c r="D11229" s="9">
        <v>202220.7</v>
      </c>
      <c r="E11229" s="10" t="str">
        <f t="array" ref="E11229">IFS(D11229&lt;=$G$3,'calculated data '!$A$3,D11229&lt;=$G$4,'calculated data '!$A$4,D11229&lt;=$G$6,'calculated data '!$A$5,D11229&gt;=$G$6,'calculated data '!$A$6)</f>
        <v>Outliers / Premium Tier</v>
      </c>
      <c r="F11229" s="10">
        <f t="shared" si="1"/>
        <v>4.689560088</v>
      </c>
    </row>
    <row r="11230" ht="14.25" customHeight="1">
      <c r="A11230" s="2" t="s">
        <v>389</v>
      </c>
      <c r="B11230" s="2" t="s">
        <v>390</v>
      </c>
      <c r="C11230" s="2">
        <v>1984.0</v>
      </c>
      <c r="D11230" s="9">
        <v>202389.92</v>
      </c>
      <c r="E11230" s="10" t="str">
        <f t="array" ref="E11230">IFS(D11230&lt;=$G$3,'calculated data '!$A$3,D11230&lt;=$G$4,'calculated data '!$A$4,D11230&lt;=$G$6,'calculated data '!$A$5,D11230&gt;=$G$6,'calculated data '!$A$6)</f>
        <v>Outliers / Premium Tier</v>
      </c>
      <c r="F11230" s="10">
        <f t="shared" si="1"/>
        <v>4.6940393</v>
      </c>
    </row>
    <row r="11231" ht="14.25" customHeight="1">
      <c r="A11231" s="2" t="s">
        <v>389</v>
      </c>
      <c r="B11231" s="2" t="s">
        <v>390</v>
      </c>
      <c r="C11231" s="2">
        <v>2023.0</v>
      </c>
      <c r="D11231" s="9">
        <v>204881.44</v>
      </c>
      <c r="E11231" s="10" t="str">
        <f t="array" ref="E11231">IFS(D11231&lt;=$G$3,'calculated data '!$A$3,D11231&lt;=$G$4,'calculated data '!$A$4,D11231&lt;=$G$6,'calculated data '!$A$5,D11231&gt;=$G$6,'calculated data '!$A$6)</f>
        <v>Outliers / Premium Tier</v>
      </c>
      <c r="F11231" s="10">
        <f t="shared" si="1"/>
        <v>4.759989213</v>
      </c>
    </row>
    <row r="11232" ht="14.25" customHeight="1">
      <c r="A11232" s="2" t="s">
        <v>457</v>
      </c>
      <c r="B11232" s="2" t="s">
        <v>458</v>
      </c>
      <c r="C11232" s="2">
        <v>2025.0</v>
      </c>
      <c r="D11232" s="9">
        <v>206917.22</v>
      </c>
      <c r="E11232" s="10" t="str">
        <f t="array" ref="E11232">IFS(D11232&lt;=$G$3,'calculated data '!$A$3,D11232&lt;=$G$4,'calculated data '!$A$4,D11232&lt;=$G$6,'calculated data '!$A$5,D11232&gt;=$G$6,'calculated data '!$A$6)</f>
        <v>Outliers / Premium Tier</v>
      </c>
      <c r="F11232" s="10">
        <f t="shared" si="1"/>
        <v>4.813875803</v>
      </c>
    </row>
    <row r="11233" ht="14.25" customHeight="1">
      <c r="A11233" s="2" t="s">
        <v>389</v>
      </c>
      <c r="B11233" s="2" t="s">
        <v>390</v>
      </c>
      <c r="C11233" s="2">
        <v>2024.0</v>
      </c>
      <c r="D11233" s="9">
        <v>207339.44</v>
      </c>
      <c r="E11233" s="10" t="str">
        <f t="array" ref="E11233">IFS(D11233&lt;=$G$3,'calculated data '!$A$3,D11233&lt;=$G$4,'calculated data '!$A$4,D11233&lt;=$G$6,'calculated data '!$A$5,D11233&gt;=$G$6,'calculated data '!$A$6)</f>
        <v>Outliers / Premium Tier</v>
      </c>
      <c r="F11233" s="10">
        <f t="shared" si="1"/>
        <v>4.825051861</v>
      </c>
    </row>
    <row r="11234" ht="14.25" customHeight="1">
      <c r="A11234" s="2" t="s">
        <v>389</v>
      </c>
      <c r="B11234" s="2" t="s">
        <v>390</v>
      </c>
      <c r="C11234" s="2">
        <v>2018.0</v>
      </c>
      <c r="D11234" s="9">
        <v>207637.58</v>
      </c>
      <c r="E11234" s="10" t="str">
        <f t="array" ref="E11234">IFS(D11234&lt;=$G$3,'calculated data '!$A$3,D11234&lt;=$G$4,'calculated data '!$A$4,D11234&lt;=$G$6,'calculated data '!$A$5,D11234&gt;=$G$6,'calculated data '!$A$6)</f>
        <v>Outliers / Premium Tier</v>
      </c>
      <c r="F11234" s="10">
        <f t="shared" si="1"/>
        <v>4.832943553</v>
      </c>
    </row>
    <row r="11235" ht="14.25" customHeight="1">
      <c r="A11235" s="2" t="s">
        <v>389</v>
      </c>
      <c r="B11235" s="2" t="s">
        <v>390</v>
      </c>
      <c r="C11235" s="2">
        <v>2019.0</v>
      </c>
      <c r="D11235" s="9">
        <v>208364.12</v>
      </c>
      <c r="E11235" s="10" t="str">
        <f t="array" ref="E11235">IFS(D11235&lt;=$G$3,'calculated data '!$A$3,D11235&lt;=$G$4,'calculated data '!$A$4,D11235&lt;=$G$6,'calculated data '!$A$5,D11235&gt;=$G$6,'calculated data '!$A$6)</f>
        <v>Outliers / Premium Tier</v>
      </c>
      <c r="F11235" s="10">
        <f t="shared" si="1"/>
        <v>4.852174886</v>
      </c>
    </row>
    <row r="11236" ht="14.25" customHeight="1">
      <c r="A11236" s="2" t="s">
        <v>389</v>
      </c>
      <c r="B11236" s="2" t="s">
        <v>390</v>
      </c>
      <c r="C11236" s="2">
        <v>2017.0</v>
      </c>
      <c r="D11236" s="9">
        <v>208383.89</v>
      </c>
      <c r="E11236" s="10" t="str">
        <f t="array" ref="E11236">IFS(D11236&lt;=$G$3,'calculated data '!$A$3,D11236&lt;=$G$4,'calculated data '!$A$4,D11236&lt;=$G$6,'calculated data '!$A$5,D11236&gt;=$G$6,'calculated data '!$A$6)</f>
        <v>Outliers / Premium Tier</v>
      </c>
      <c r="F11236" s="10">
        <f t="shared" si="1"/>
        <v>4.852698193</v>
      </c>
    </row>
    <row r="11237" ht="14.25" customHeight="1">
      <c r="A11237" s="2" t="s">
        <v>389</v>
      </c>
      <c r="B11237" s="2" t="s">
        <v>390</v>
      </c>
      <c r="C11237" s="2">
        <v>2000.0</v>
      </c>
      <c r="D11237" s="9">
        <v>209063.48</v>
      </c>
      <c r="E11237" s="10" t="str">
        <f t="array" ref="E11237">IFS(D11237&lt;=$G$3,'calculated data '!$A$3,D11237&lt;=$G$4,'calculated data '!$A$4,D11237&lt;=$G$6,'calculated data '!$A$5,D11237&gt;=$G$6,'calculated data '!$A$6)</f>
        <v>Outliers / Premium Tier</v>
      </c>
      <c r="F11237" s="10">
        <f t="shared" si="1"/>
        <v>4.870686771</v>
      </c>
    </row>
    <row r="11238" ht="14.25" customHeight="1">
      <c r="A11238" s="2" t="s">
        <v>283</v>
      </c>
      <c r="B11238" s="2" t="s">
        <v>284</v>
      </c>
      <c r="C11238" s="2">
        <v>1991.0</v>
      </c>
      <c r="D11238" s="9">
        <v>209723.48</v>
      </c>
      <c r="E11238" s="10" t="str">
        <f t="array" ref="E11238">IFS(D11238&lt;=$G$3,'calculated data '!$A$3,D11238&lt;=$G$4,'calculated data '!$A$4,D11238&lt;=$G$6,'calculated data '!$A$5,D11238&gt;=$G$6,'calculated data '!$A$6)</f>
        <v>Outliers / Premium Tier</v>
      </c>
      <c r="F11238" s="10">
        <f t="shared" si="1"/>
        <v>4.888156806</v>
      </c>
    </row>
    <row r="11239" ht="14.25" customHeight="1">
      <c r="A11239" s="2" t="s">
        <v>457</v>
      </c>
      <c r="B11239" s="2" t="s">
        <v>458</v>
      </c>
      <c r="C11239" s="2">
        <v>2010.0</v>
      </c>
      <c r="D11239" s="9">
        <v>210081.47</v>
      </c>
      <c r="E11239" s="10" t="str">
        <f t="array" ref="E11239">IFS(D11239&lt;=$G$3,'calculated data '!$A$3,D11239&lt;=$G$4,'calculated data '!$A$4,D11239&lt;=$G$6,'calculated data '!$A$5,D11239&gt;=$G$6,'calculated data '!$A$6)</f>
        <v>Outliers / Premium Tier</v>
      </c>
      <c r="F11239" s="10">
        <f t="shared" si="1"/>
        <v>4.897632712</v>
      </c>
    </row>
    <row r="11240" ht="14.25" customHeight="1">
      <c r="A11240" s="2" t="s">
        <v>457</v>
      </c>
      <c r="B11240" s="2" t="s">
        <v>458</v>
      </c>
      <c r="C11240" s="2">
        <v>2008.0</v>
      </c>
      <c r="D11240" s="9">
        <v>211079.11</v>
      </c>
      <c r="E11240" s="10" t="str">
        <f t="array" ref="E11240">IFS(D11240&lt;=$G$3,'calculated data '!$A$3,D11240&lt;=$G$4,'calculated data '!$A$4,D11240&lt;=$G$6,'calculated data '!$A$5,D11240&gt;=$G$6,'calculated data '!$A$6)</f>
        <v>Outliers / Premium Tier</v>
      </c>
      <c r="F11240" s="10">
        <f t="shared" si="1"/>
        <v>4.924039995</v>
      </c>
    </row>
    <row r="11241" ht="14.25" customHeight="1">
      <c r="A11241" s="2" t="s">
        <v>37</v>
      </c>
      <c r="B11241" s="2" t="s">
        <v>38</v>
      </c>
      <c r="C11241" s="2">
        <v>1993.0</v>
      </c>
      <c r="D11241" s="9">
        <v>214098.16</v>
      </c>
      <c r="E11241" s="10" t="str">
        <f t="array" ref="E11241">IFS(D11241&lt;=$G$3,'calculated data '!$A$3,D11241&lt;=$G$4,'calculated data '!$A$4,D11241&lt;=$G$6,'calculated data '!$A$5,D11241&gt;=$G$6,'calculated data '!$A$6)</f>
        <v>Outliers / Premium Tier</v>
      </c>
      <c r="F11241" s="10">
        <f t="shared" si="1"/>
        <v>5.003953496</v>
      </c>
    </row>
    <row r="11242" ht="14.25" customHeight="1">
      <c r="A11242" s="2" t="s">
        <v>37</v>
      </c>
      <c r="B11242" s="2" t="s">
        <v>38</v>
      </c>
      <c r="C11242" s="2">
        <v>1992.0</v>
      </c>
      <c r="D11242" s="9">
        <v>214297.38</v>
      </c>
      <c r="E11242" s="10" t="str">
        <f t="array" ref="E11242">IFS(D11242&lt;=$G$3,'calculated data '!$A$3,D11242&lt;=$G$4,'calculated data '!$A$4,D11242&lt;=$G$6,'calculated data '!$A$5,D11242&gt;=$G$6,'calculated data '!$A$6)</f>
        <v>Outliers / Premium Tier</v>
      </c>
      <c r="F11242" s="10">
        <f t="shared" si="1"/>
        <v>5.0092268</v>
      </c>
    </row>
    <row r="11243" ht="14.25" customHeight="1">
      <c r="A11243" s="2" t="s">
        <v>457</v>
      </c>
      <c r="B11243" s="2" t="s">
        <v>458</v>
      </c>
      <c r="C11243" s="2">
        <v>2011.0</v>
      </c>
      <c r="D11243" s="9">
        <v>216089.42</v>
      </c>
      <c r="E11243" s="10" t="str">
        <f t="array" ref="E11243">IFS(D11243&lt;=$G$3,'calculated data '!$A$3,D11243&lt;=$G$4,'calculated data '!$A$4,D11243&lt;=$G$6,'calculated data '!$A$5,D11243&gt;=$G$6,'calculated data '!$A$6)</f>
        <v>Outliers / Premium Tier</v>
      </c>
      <c r="F11243" s="10">
        <f t="shared" si="1"/>
        <v>5.056661652</v>
      </c>
    </row>
    <row r="11244" ht="14.25" customHeight="1">
      <c r="A11244" s="2" t="s">
        <v>389</v>
      </c>
      <c r="B11244" s="2" t="s">
        <v>390</v>
      </c>
      <c r="C11244" s="2">
        <v>2011.0</v>
      </c>
      <c r="D11244" s="9">
        <v>217095.31</v>
      </c>
      <c r="E11244" s="10" t="str">
        <f t="array" ref="E11244">IFS(D11244&lt;=$G$3,'calculated data '!$A$3,D11244&lt;=$G$4,'calculated data '!$A$4,D11244&lt;=$G$6,'calculated data '!$A$5,D11244&gt;=$G$6,'calculated data '!$A$6)</f>
        <v>Outliers / Premium Tier</v>
      </c>
      <c r="F11244" s="10">
        <f t="shared" si="1"/>
        <v>5.08328731</v>
      </c>
    </row>
    <row r="11245" ht="14.25" customHeight="1">
      <c r="A11245" s="2" t="s">
        <v>37</v>
      </c>
      <c r="B11245" s="2" t="s">
        <v>38</v>
      </c>
      <c r="C11245" s="2">
        <v>1991.0</v>
      </c>
      <c r="D11245" s="9">
        <v>217450.16</v>
      </c>
      <c r="E11245" s="10" t="str">
        <f t="array" ref="E11245">IFS(D11245&lt;=$G$3,'calculated data '!$A$3,D11245&lt;=$G$4,'calculated data '!$A$4,D11245&lt;=$G$6,'calculated data '!$A$5,D11245&gt;=$G$6,'calculated data '!$A$6)</f>
        <v>Outliers / Premium Tier</v>
      </c>
      <c r="F11245" s="10">
        <f t="shared" si="1"/>
        <v>5.092680101</v>
      </c>
    </row>
    <row r="11246" ht="14.25" customHeight="1">
      <c r="A11246" s="2" t="s">
        <v>389</v>
      </c>
      <c r="B11246" s="2" t="s">
        <v>390</v>
      </c>
      <c r="C11246" s="2">
        <v>1996.0</v>
      </c>
      <c r="D11246" s="9">
        <v>217682.23</v>
      </c>
      <c r="E11246" s="10" t="str">
        <f t="array" ref="E11246">IFS(D11246&lt;=$G$3,'calculated data '!$A$3,D11246&lt;=$G$4,'calculated data '!$A$4,D11246&lt;=$G$6,'calculated data '!$A$5,D11246&gt;=$G$6,'calculated data '!$A$6)</f>
        <v>Outliers / Premium Tier</v>
      </c>
      <c r="F11246" s="10">
        <f t="shared" si="1"/>
        <v>5.098822936</v>
      </c>
    </row>
    <row r="11247" ht="14.25" customHeight="1">
      <c r="A11247" s="2" t="s">
        <v>389</v>
      </c>
      <c r="B11247" s="2" t="s">
        <v>390</v>
      </c>
      <c r="C11247" s="2">
        <v>2003.0</v>
      </c>
      <c r="D11247" s="9">
        <v>219715.36</v>
      </c>
      <c r="E11247" s="10" t="str">
        <f t="array" ref="E11247">IFS(D11247&lt;=$G$3,'calculated data '!$A$3,D11247&lt;=$G$4,'calculated data '!$A$4,D11247&lt;=$G$6,'calculated data '!$A$5,D11247&gt;=$G$6,'calculated data '!$A$6)</f>
        <v>Outliers / Premium Tier</v>
      </c>
      <c r="F11247" s="10">
        <f t="shared" si="1"/>
        <v>5.152639381</v>
      </c>
    </row>
    <row r="11248" ht="14.25" customHeight="1">
      <c r="A11248" s="2" t="s">
        <v>457</v>
      </c>
      <c r="B11248" s="2" t="s">
        <v>458</v>
      </c>
      <c r="C11248" s="2">
        <v>2021.0</v>
      </c>
      <c r="D11248" s="9">
        <v>220229.38</v>
      </c>
      <c r="E11248" s="10" t="str">
        <f t="array" ref="E11248">IFS(D11248&lt;=$G$3,'calculated data '!$A$3,D11248&lt;=$G$4,'calculated data '!$A$4,D11248&lt;=$G$6,'calculated data '!$A$5,D11248&gt;=$G$6,'calculated data '!$A$6)</f>
        <v>Outliers / Premium Tier</v>
      </c>
      <c r="F11248" s="10">
        <f t="shared" si="1"/>
        <v>5.166245363</v>
      </c>
    </row>
    <row r="11249" ht="14.25" customHeight="1">
      <c r="A11249" s="2" t="s">
        <v>457</v>
      </c>
      <c r="B11249" s="2" t="s">
        <v>458</v>
      </c>
      <c r="C11249" s="2">
        <v>2024.0</v>
      </c>
      <c r="D11249" s="9">
        <v>220265.36</v>
      </c>
      <c r="E11249" s="10" t="str">
        <f t="array" ref="E11249">IFS(D11249&lt;=$G$3,'calculated data '!$A$3,D11249&lt;=$G$4,'calculated data '!$A$4,D11249&lt;=$G$6,'calculated data '!$A$5,D11249&gt;=$G$6,'calculated data '!$A$6)</f>
        <v>Outliers / Premium Tier</v>
      </c>
      <c r="F11249" s="10">
        <f t="shared" si="1"/>
        <v>5.167197744</v>
      </c>
    </row>
    <row r="11250" ht="14.25" customHeight="1">
      <c r="A11250" s="2" t="s">
        <v>457</v>
      </c>
      <c r="B11250" s="2" t="s">
        <v>458</v>
      </c>
      <c r="C11250" s="2">
        <v>2020.0</v>
      </c>
      <c r="D11250" s="9">
        <v>221610.64</v>
      </c>
      <c r="E11250" s="10" t="str">
        <f t="array" ref="E11250">IFS(D11250&lt;=$G$3,'calculated data '!$A$3,D11250&lt;=$G$4,'calculated data '!$A$4,D11250&lt;=$G$6,'calculated data '!$A$5,D11250&gt;=$G$6,'calculated data '!$A$6)</f>
        <v>Outliers / Premium Tier</v>
      </c>
      <c r="F11250" s="10">
        <f t="shared" si="1"/>
        <v>5.202806971</v>
      </c>
    </row>
    <row r="11251" ht="14.25" customHeight="1">
      <c r="A11251" s="2" t="s">
        <v>37</v>
      </c>
      <c r="B11251" s="2" t="s">
        <v>38</v>
      </c>
      <c r="C11251" s="2">
        <v>1994.0</v>
      </c>
      <c r="D11251" s="9">
        <v>221886.38</v>
      </c>
      <c r="E11251" s="10" t="str">
        <f t="array" ref="E11251">IFS(D11251&lt;=$G$3,'calculated data '!$A$3,D11251&lt;=$G$4,'calculated data '!$A$4,D11251&lt;=$G$6,'calculated data '!$A$5,D11251&gt;=$G$6,'calculated data '!$A$6)</f>
        <v>Outliers / Premium Tier</v>
      </c>
      <c r="F11251" s="10">
        <f t="shared" si="1"/>
        <v>5.21010574</v>
      </c>
    </row>
    <row r="11252" ht="14.25" customHeight="1">
      <c r="A11252" s="2" t="s">
        <v>457</v>
      </c>
      <c r="B11252" s="2" t="s">
        <v>458</v>
      </c>
      <c r="C11252" s="2">
        <v>2009.0</v>
      </c>
      <c r="D11252" s="9">
        <v>223935.23</v>
      </c>
      <c r="E11252" s="10" t="str">
        <f t="array" ref="E11252">IFS(D11252&lt;=$G$3,'calculated data '!$A$3,D11252&lt;=$G$4,'calculated data '!$A$4,D11252&lt;=$G$6,'calculated data '!$A$5,D11252&gt;=$G$6,'calculated data '!$A$6)</f>
        <v>Outliers / Premium Tier</v>
      </c>
      <c r="F11252" s="10">
        <f t="shared" si="1"/>
        <v>5.264338289</v>
      </c>
    </row>
    <row r="11253" ht="14.25" customHeight="1">
      <c r="A11253" s="2" t="s">
        <v>457</v>
      </c>
      <c r="B11253" s="2" t="s">
        <v>458</v>
      </c>
      <c r="C11253" s="2">
        <v>2023.0</v>
      </c>
      <c r="D11253" s="9">
        <v>223971.5</v>
      </c>
      <c r="E11253" s="10" t="str">
        <f t="array" ref="E11253">IFS(D11253&lt;=$G$3,'calculated data '!$A$3,D11253&lt;=$G$4,'calculated data '!$A$4,D11253&lt;=$G$6,'calculated data '!$A$5,D11253&gt;=$G$6,'calculated data '!$A$6)</f>
        <v>Outliers / Premium Tier</v>
      </c>
      <c r="F11253" s="10">
        <f t="shared" si="1"/>
        <v>5.265298347</v>
      </c>
    </row>
    <row r="11254" ht="14.25" customHeight="1">
      <c r="A11254" s="2" t="s">
        <v>457</v>
      </c>
      <c r="B11254" s="2" t="s">
        <v>458</v>
      </c>
      <c r="C11254" s="2">
        <v>2022.0</v>
      </c>
      <c r="D11254" s="9">
        <v>225474.33</v>
      </c>
      <c r="E11254" s="10" t="str">
        <f t="array" ref="E11254">IFS(D11254&lt;=$G$3,'calculated data '!$A$3,D11254&lt;=$G$4,'calculated data '!$A$4,D11254&lt;=$G$6,'calculated data '!$A$5,D11254&gt;=$G$6,'calculated data '!$A$6)</f>
        <v>Outliers / Premium Tier</v>
      </c>
      <c r="F11254" s="10">
        <f t="shared" si="1"/>
        <v>5.305077883</v>
      </c>
    </row>
    <row r="11255" ht="14.25" customHeight="1">
      <c r="A11255" s="2" t="s">
        <v>389</v>
      </c>
      <c r="B11255" s="2" t="s">
        <v>390</v>
      </c>
      <c r="C11255" s="2">
        <v>2016.0</v>
      </c>
      <c r="D11255" s="9">
        <v>225623.38</v>
      </c>
      <c r="E11255" s="10" t="str">
        <f t="array" ref="E11255">IFS(D11255&lt;=$G$3,'calculated data '!$A$3,D11255&lt;=$G$4,'calculated data '!$A$4,D11255&lt;=$G$6,'calculated data '!$A$5,D11255&gt;=$G$6,'calculated data '!$A$6)</f>
        <v>Outliers / Premium Tier</v>
      </c>
      <c r="F11255" s="10">
        <f t="shared" si="1"/>
        <v>5.309023199</v>
      </c>
    </row>
    <row r="11256" ht="14.25" customHeight="1">
      <c r="A11256" s="2" t="s">
        <v>457</v>
      </c>
      <c r="B11256" s="2" t="s">
        <v>458</v>
      </c>
      <c r="C11256" s="2">
        <v>2015.0</v>
      </c>
      <c r="D11256" s="9">
        <v>226416.12</v>
      </c>
      <c r="E11256" s="10" t="str">
        <f t="array" ref="E11256">IFS(D11256&lt;=$G$3,'calculated data '!$A$3,D11256&lt;=$G$4,'calculated data '!$A$4,D11256&lt;=$G$6,'calculated data '!$A$5,D11256&gt;=$G$6,'calculated data '!$A$6)</f>
        <v>Outliers / Premium Tier</v>
      </c>
      <c r="F11256" s="10">
        <f t="shared" si="1"/>
        <v>5.330006829</v>
      </c>
    </row>
    <row r="11257" ht="14.25" customHeight="1">
      <c r="A11257" s="2" t="s">
        <v>37</v>
      </c>
      <c r="B11257" s="2" t="s">
        <v>38</v>
      </c>
      <c r="C11257" s="2">
        <v>1988.0</v>
      </c>
      <c r="D11257" s="9">
        <v>227400.9</v>
      </c>
      <c r="E11257" s="10" t="str">
        <f t="array" ref="E11257">IFS(D11257&lt;=$G$3,'calculated data '!$A$3,D11257&lt;=$G$4,'calculated data '!$A$4,D11257&lt;=$G$6,'calculated data '!$A$5,D11257&gt;=$G$6,'calculated data '!$A$6)</f>
        <v>Outliers / Premium Tier</v>
      </c>
      <c r="F11257" s="10">
        <f t="shared" si="1"/>
        <v>5.356073711</v>
      </c>
    </row>
    <row r="11258" ht="14.25" customHeight="1">
      <c r="A11258" s="2" t="s">
        <v>389</v>
      </c>
      <c r="B11258" s="2" t="s">
        <v>390</v>
      </c>
      <c r="C11258" s="2">
        <v>2002.0</v>
      </c>
      <c r="D11258" s="9">
        <v>227637.84</v>
      </c>
      <c r="E11258" s="10" t="str">
        <f t="array" ref="E11258">IFS(D11258&lt;=$G$3,'calculated data '!$A$3,D11258&lt;=$G$4,'calculated data '!$A$4,D11258&lt;=$G$6,'calculated data '!$A$5,D11258&gt;=$G$6,'calculated data '!$A$6)</f>
        <v>Outliers / Premium Tier</v>
      </c>
      <c r="F11258" s="10">
        <f t="shared" si="1"/>
        <v>5.362345454</v>
      </c>
    </row>
    <row r="11259" ht="14.25" customHeight="1">
      <c r="A11259" s="2" t="s">
        <v>457</v>
      </c>
      <c r="B11259" s="2" t="s">
        <v>458</v>
      </c>
      <c r="C11259" s="2">
        <v>2016.0</v>
      </c>
      <c r="D11259" s="9">
        <v>227933.03</v>
      </c>
      <c r="E11259" s="10" t="str">
        <f t="array" ref="E11259">IFS(D11259&lt;=$G$3,'calculated data '!$A$3,D11259&lt;=$G$4,'calculated data '!$A$4,D11259&lt;=$G$6,'calculated data '!$A$5,D11259&gt;=$G$6,'calculated data '!$A$6)</f>
        <v>Outliers / Premium Tier</v>
      </c>
      <c r="F11259" s="10">
        <f t="shared" si="1"/>
        <v>5.370159059</v>
      </c>
    </row>
    <row r="11260" ht="14.25" customHeight="1">
      <c r="A11260" s="2" t="s">
        <v>389</v>
      </c>
      <c r="B11260" s="2" t="s">
        <v>390</v>
      </c>
      <c r="C11260" s="2">
        <v>1997.0</v>
      </c>
      <c r="D11260" s="9">
        <v>228679.56</v>
      </c>
      <c r="E11260" s="10" t="str">
        <f t="array" ref="E11260">IFS(D11260&lt;=$G$3,'calculated data '!$A$3,D11260&lt;=$G$4,'calculated data '!$A$4,D11260&lt;=$G$6,'calculated data '!$A$5,D11260&gt;=$G$6,'calculated data '!$A$6)</f>
        <v>Outliers / Premium Tier</v>
      </c>
      <c r="F11260" s="10">
        <f t="shared" si="1"/>
        <v>5.389919523</v>
      </c>
    </row>
    <row r="11261" ht="14.25" customHeight="1">
      <c r="A11261" s="2" t="s">
        <v>37</v>
      </c>
      <c r="B11261" s="2" t="s">
        <v>38</v>
      </c>
      <c r="C11261" s="2">
        <v>1990.0</v>
      </c>
      <c r="D11261" s="9">
        <v>229233.31</v>
      </c>
      <c r="E11261" s="10" t="str">
        <f t="array" ref="E11261">IFS(D11261&lt;=$G$3,'calculated data '!$A$3,D11261&lt;=$G$4,'calculated data '!$A$4,D11261&lt;=$G$6,'calculated data '!$A$5,D11261&gt;=$G$6,'calculated data '!$A$6)</f>
        <v>Outliers / Premium Tier</v>
      </c>
      <c r="F11261" s="10">
        <f t="shared" si="1"/>
        <v>5.404577147</v>
      </c>
    </row>
    <row r="11262" ht="14.25" customHeight="1">
      <c r="A11262" s="2" t="s">
        <v>457</v>
      </c>
      <c r="B11262" s="2" t="s">
        <v>458</v>
      </c>
      <c r="C11262" s="2">
        <v>2012.0</v>
      </c>
      <c r="D11262" s="9">
        <v>230007.89</v>
      </c>
      <c r="E11262" s="10" t="str">
        <f t="array" ref="E11262">IFS(D11262&lt;=$G$3,'calculated data '!$A$3,D11262&lt;=$G$4,'calculated data '!$A$4,D11262&lt;=$G$6,'calculated data '!$A$5,D11262&gt;=$G$6,'calculated data '!$A$6)</f>
        <v>Outliers / Premium Tier</v>
      </c>
      <c r="F11262" s="10">
        <f t="shared" si="1"/>
        <v>5.425080087</v>
      </c>
    </row>
    <row r="11263" ht="14.25" customHeight="1">
      <c r="A11263" s="2" t="s">
        <v>457</v>
      </c>
      <c r="B11263" s="2" t="s">
        <v>458</v>
      </c>
      <c r="C11263" s="2">
        <v>2014.0</v>
      </c>
      <c r="D11263" s="9">
        <v>230205.44</v>
      </c>
      <c r="E11263" s="10" t="str">
        <f t="array" ref="E11263">IFS(D11263&lt;=$G$3,'calculated data '!$A$3,D11263&lt;=$G$4,'calculated data '!$A$4,D11263&lt;=$G$6,'calculated data '!$A$5,D11263&gt;=$G$6,'calculated data '!$A$6)</f>
        <v>Outliers / Premium Tier</v>
      </c>
      <c r="F11263" s="10">
        <f t="shared" si="1"/>
        <v>5.430309186</v>
      </c>
    </row>
    <row r="11264" ht="14.25" customHeight="1">
      <c r="A11264" s="2" t="s">
        <v>457</v>
      </c>
      <c r="B11264" s="2" t="s">
        <v>458</v>
      </c>
      <c r="C11264" s="2">
        <v>2017.0</v>
      </c>
      <c r="D11264" s="9">
        <v>230728.02</v>
      </c>
      <c r="E11264" s="10" t="str">
        <f t="array" ref="E11264">IFS(D11264&lt;=$G$3,'calculated data '!$A$3,D11264&lt;=$G$4,'calculated data '!$A$4,D11264&lt;=$G$6,'calculated data '!$A$5,D11264&gt;=$G$6,'calculated data '!$A$6)</f>
        <v>Outliers / Premium Tier</v>
      </c>
      <c r="F11264" s="10">
        <f t="shared" si="1"/>
        <v>5.444141749</v>
      </c>
    </row>
    <row r="11265" ht="14.25" customHeight="1">
      <c r="A11265" s="2" t="s">
        <v>389</v>
      </c>
      <c r="B11265" s="2" t="s">
        <v>390</v>
      </c>
      <c r="C11265" s="2">
        <v>2007.0</v>
      </c>
      <c r="D11265" s="9">
        <v>231557.1</v>
      </c>
      <c r="E11265" s="10" t="str">
        <f t="array" ref="E11265">IFS(D11265&lt;=$G$3,'calculated data '!$A$3,D11265&lt;=$G$4,'calculated data '!$A$4,D11265&lt;=$G$6,'calculated data '!$A$5,D11265&gt;=$G$6,'calculated data '!$A$6)</f>
        <v>Outliers / Premium Tier</v>
      </c>
      <c r="F11265" s="10">
        <f t="shared" si="1"/>
        <v>5.46608729</v>
      </c>
    </row>
    <row r="11266" ht="14.25" customHeight="1">
      <c r="A11266" s="2" t="s">
        <v>457</v>
      </c>
      <c r="B11266" s="2" t="s">
        <v>458</v>
      </c>
      <c r="C11266" s="2">
        <v>2013.0</v>
      </c>
      <c r="D11266" s="9">
        <v>232280.77</v>
      </c>
      <c r="E11266" s="10" t="str">
        <f t="array" ref="E11266">IFS(D11266&lt;=$G$3,'calculated data '!$A$3,D11266&lt;=$G$4,'calculated data '!$A$4,D11266&lt;=$G$6,'calculated data '!$A$5,D11266&gt;=$G$6,'calculated data '!$A$6)</f>
        <v>Outliers / Premium Tier</v>
      </c>
      <c r="F11266" s="10">
        <f t="shared" si="1"/>
        <v>5.485242654</v>
      </c>
    </row>
    <row r="11267" ht="14.25" customHeight="1">
      <c r="A11267" s="2" t="s">
        <v>389</v>
      </c>
      <c r="B11267" s="2" t="s">
        <v>390</v>
      </c>
      <c r="C11267" s="2">
        <v>2014.0</v>
      </c>
      <c r="D11267" s="9">
        <v>233118.03</v>
      </c>
      <c r="E11267" s="10" t="str">
        <f t="array" ref="E11267">IFS(D11267&lt;=$G$3,'calculated data '!$A$3,D11267&lt;=$G$4,'calculated data '!$A$4,D11267&lt;=$G$6,'calculated data '!$A$5,D11267&gt;=$G$6,'calculated data '!$A$6)</f>
        <v>Outliers / Premium Tier</v>
      </c>
      <c r="F11267" s="10">
        <f t="shared" si="1"/>
        <v>5.507404718</v>
      </c>
    </row>
    <row r="11268" ht="14.25" customHeight="1">
      <c r="A11268" s="2" t="s">
        <v>389</v>
      </c>
      <c r="B11268" s="2" t="s">
        <v>390</v>
      </c>
      <c r="C11268" s="2">
        <v>1998.0</v>
      </c>
      <c r="D11268" s="9">
        <v>233498.3</v>
      </c>
      <c r="E11268" s="10" t="str">
        <f t="array" ref="E11268">IFS(D11268&lt;=$G$3,'calculated data '!$A$3,D11268&lt;=$G$4,'calculated data '!$A$4,D11268&lt;=$G$6,'calculated data '!$A$5,D11268&gt;=$G$6,'calculated data '!$A$6)</f>
        <v>Outliers / Premium Tier</v>
      </c>
      <c r="F11268" s="10">
        <f t="shared" si="1"/>
        <v>5.51747037</v>
      </c>
    </row>
    <row r="11269" ht="14.25" customHeight="1">
      <c r="A11269" s="2" t="s">
        <v>389</v>
      </c>
      <c r="B11269" s="2" t="s">
        <v>390</v>
      </c>
      <c r="C11269" s="2">
        <v>2012.0</v>
      </c>
      <c r="D11269" s="9">
        <v>235142.61</v>
      </c>
      <c r="E11269" s="10" t="str">
        <f t="array" ref="E11269">IFS(D11269&lt;=$G$3,'calculated data '!$A$3,D11269&lt;=$G$4,'calculated data '!$A$4,D11269&lt;=$G$6,'calculated data '!$A$5,D11269&gt;=$G$6,'calculated data '!$A$6)</f>
        <v>Outliers / Premium Tier</v>
      </c>
      <c r="F11269" s="10">
        <f t="shared" si="1"/>
        <v>5.560994846</v>
      </c>
    </row>
    <row r="11270" ht="14.25" customHeight="1">
      <c r="A11270" s="2" t="s">
        <v>37</v>
      </c>
      <c r="B11270" s="2" t="s">
        <v>38</v>
      </c>
      <c r="C11270" s="2">
        <v>1989.0</v>
      </c>
      <c r="D11270" s="9">
        <v>235901.12</v>
      </c>
      <c r="E11270" s="10" t="str">
        <f t="array" ref="E11270">IFS(D11270&lt;=$G$3,'calculated data '!$A$3,D11270&lt;=$G$4,'calculated data '!$A$4,D11270&lt;=$G$6,'calculated data '!$A$5,D11270&gt;=$G$6,'calculated data '!$A$6)</f>
        <v>Outliers / Premium Tier</v>
      </c>
      <c r="F11270" s="10">
        <f t="shared" si="1"/>
        <v>5.581072417</v>
      </c>
    </row>
    <row r="11271" ht="14.25" customHeight="1">
      <c r="A11271" s="2" t="s">
        <v>37</v>
      </c>
      <c r="B11271" s="2" t="s">
        <v>38</v>
      </c>
      <c r="C11271" s="2">
        <v>1996.0</v>
      </c>
      <c r="D11271" s="9">
        <v>237091.33</v>
      </c>
      <c r="E11271" s="10" t="str">
        <f t="array" ref="E11271">IFS(D11271&lt;=$G$3,'calculated data '!$A$3,D11271&lt;=$G$4,'calculated data '!$A$4,D11271&lt;=$G$6,'calculated data '!$A$5,D11271&gt;=$G$6,'calculated data '!$A$6)</f>
        <v>Outliers / Premium Tier</v>
      </c>
      <c r="F11271" s="10">
        <f t="shared" si="1"/>
        <v>5.612576979</v>
      </c>
    </row>
    <row r="11272" ht="14.25" customHeight="1">
      <c r="A11272" s="2" t="s">
        <v>37</v>
      </c>
      <c r="B11272" s="2" t="s">
        <v>38</v>
      </c>
      <c r="C11272" s="2">
        <v>1995.0</v>
      </c>
      <c r="D11272" s="9">
        <v>237517.25</v>
      </c>
      <c r="E11272" s="10" t="str">
        <f t="array" ref="E11272">IFS(D11272&lt;=$G$3,'calculated data '!$A$3,D11272&lt;=$G$4,'calculated data '!$A$4,D11272&lt;=$G$6,'calculated data '!$A$5,D11272&gt;=$G$6,'calculated data '!$A$6)</f>
        <v>Outliers / Premium Tier</v>
      </c>
      <c r="F11272" s="10">
        <f t="shared" si="1"/>
        <v>5.623850976</v>
      </c>
    </row>
    <row r="11273" ht="14.25" customHeight="1">
      <c r="A11273" s="2" t="s">
        <v>389</v>
      </c>
      <c r="B11273" s="2" t="s">
        <v>390</v>
      </c>
      <c r="C11273" s="2">
        <v>2013.0</v>
      </c>
      <c r="D11273" s="9">
        <v>237969.36</v>
      </c>
      <c r="E11273" s="10" t="str">
        <f t="array" ref="E11273">IFS(D11273&lt;=$G$3,'calculated data '!$A$3,D11273&lt;=$G$4,'calculated data '!$A$4,D11273&lt;=$G$6,'calculated data '!$A$5,D11273&gt;=$G$6,'calculated data '!$A$6)</f>
        <v>Outliers / Premium Tier</v>
      </c>
      <c r="F11273" s="10">
        <f t="shared" si="1"/>
        <v>5.635818215</v>
      </c>
    </row>
    <row r="11274" ht="14.25" customHeight="1">
      <c r="A11274" s="2" t="s">
        <v>457</v>
      </c>
      <c r="B11274" s="2" t="s">
        <v>458</v>
      </c>
      <c r="C11274" s="2">
        <v>2019.0</v>
      </c>
      <c r="D11274" s="9">
        <v>239145.2</v>
      </c>
      <c r="E11274" s="10" t="str">
        <f t="array" ref="E11274">IFS(D11274&lt;=$G$3,'calculated data '!$A$3,D11274&lt;=$G$4,'calculated data '!$A$4,D11274&lt;=$G$6,'calculated data '!$A$5,D11274&gt;=$G$6,'calculated data '!$A$6)</f>
        <v>Outliers / Premium Tier</v>
      </c>
      <c r="F11274" s="10">
        <f t="shared" si="1"/>
        <v>5.666942407</v>
      </c>
    </row>
    <row r="11275" ht="14.25" customHeight="1">
      <c r="A11275" s="2" t="s">
        <v>37</v>
      </c>
      <c r="B11275" s="2" t="s">
        <v>38</v>
      </c>
      <c r="C11275" s="2">
        <v>1987.0</v>
      </c>
      <c r="D11275" s="9">
        <v>243208.31</v>
      </c>
      <c r="E11275" s="10" t="str">
        <f t="array" ref="E11275">IFS(D11275&lt;=$G$3,'calculated data '!$A$3,D11275&lt;=$G$4,'calculated data '!$A$4,D11275&lt;=$G$6,'calculated data '!$A$5,D11275&gt;=$G$6,'calculated data '!$A$6)</f>
        <v>Outliers / Premium Tier</v>
      </c>
      <c r="F11275" s="10">
        <f t="shared" si="1"/>
        <v>5.774491916</v>
      </c>
    </row>
    <row r="11276" ht="14.25" customHeight="1">
      <c r="A11276" s="2" t="s">
        <v>37</v>
      </c>
      <c r="B11276" s="2" t="s">
        <v>38</v>
      </c>
      <c r="C11276" s="2">
        <v>1986.0</v>
      </c>
      <c r="D11276" s="9">
        <v>244976.39</v>
      </c>
      <c r="E11276" s="10" t="str">
        <f t="array" ref="E11276">IFS(D11276&lt;=$G$3,'calculated data '!$A$3,D11276&lt;=$G$4,'calculated data '!$A$4,D11276&lt;=$G$6,'calculated data '!$A$5,D11276&gt;=$G$6,'calculated data '!$A$6)</f>
        <v>Outliers / Premium Tier</v>
      </c>
      <c r="F11276" s="10">
        <f t="shared" si="1"/>
        <v>5.821292554</v>
      </c>
    </row>
    <row r="11277" ht="14.25" customHeight="1">
      <c r="A11277" s="2" t="s">
        <v>389</v>
      </c>
      <c r="B11277" s="2" t="s">
        <v>390</v>
      </c>
      <c r="C11277" s="2">
        <v>2015.0</v>
      </c>
      <c r="D11277" s="9">
        <v>245282.55</v>
      </c>
      <c r="E11277" s="10" t="str">
        <f t="array" ref="E11277">IFS(D11277&lt;=$G$3,'calculated data '!$A$3,D11277&lt;=$G$4,'calculated data '!$A$4,D11277&lt;=$G$6,'calculated data '!$A$5,D11277&gt;=$G$6,'calculated data '!$A$6)</f>
        <v>Outliers / Premium Tier</v>
      </c>
      <c r="F11277" s="10">
        <f t="shared" si="1"/>
        <v>5.829396533</v>
      </c>
    </row>
    <row r="11278" ht="14.25" customHeight="1">
      <c r="A11278" s="2" t="s">
        <v>389</v>
      </c>
      <c r="B11278" s="2" t="s">
        <v>390</v>
      </c>
      <c r="C11278" s="2">
        <v>1999.0</v>
      </c>
      <c r="D11278" s="9">
        <v>246359.9</v>
      </c>
      <c r="E11278" s="10" t="str">
        <f t="array" ref="E11278">IFS(D11278&lt;=$G$3,'calculated data '!$A$3,D11278&lt;=$G$4,'calculated data '!$A$4,D11278&lt;=$G$6,'calculated data '!$A$5,D11278&gt;=$G$6,'calculated data '!$A$6)</f>
        <v>Outliers / Premium Tier</v>
      </c>
      <c r="F11278" s="10">
        <f t="shared" si="1"/>
        <v>5.857913719</v>
      </c>
    </row>
    <row r="11279" ht="14.25" customHeight="1">
      <c r="A11279" s="2" t="s">
        <v>457</v>
      </c>
      <c r="B11279" s="2" t="s">
        <v>458</v>
      </c>
      <c r="C11279" s="2">
        <v>2018.0</v>
      </c>
      <c r="D11279" s="9">
        <v>251017.61</v>
      </c>
      <c r="E11279" s="10" t="str">
        <f t="array" ref="E11279">IFS(D11279&lt;=$G$3,'calculated data '!$A$3,D11279&lt;=$G$4,'calculated data '!$A$4,D11279&lt;=$G$6,'calculated data '!$A$5,D11279&gt;=$G$6,'calculated data '!$A$6)</f>
        <v>Outliers / Premium Tier</v>
      </c>
      <c r="F11279" s="10">
        <f t="shared" si="1"/>
        <v>5.981202142</v>
      </c>
    </row>
    <row r="11280" ht="14.25" customHeight="1">
      <c r="A11280" s="2" t="s">
        <v>389</v>
      </c>
      <c r="B11280" s="2" t="s">
        <v>390</v>
      </c>
      <c r="C11280" s="2">
        <v>2006.0</v>
      </c>
      <c r="D11280" s="9">
        <v>252214.66</v>
      </c>
      <c r="E11280" s="10" t="str">
        <f t="array" ref="E11280">IFS(D11280&lt;=$G$3,'calculated data '!$A$3,D11280&lt;=$G$4,'calculated data '!$A$4,D11280&lt;=$G$6,'calculated data '!$A$5,D11280&gt;=$G$6,'calculated data '!$A$6)</f>
        <v>Outliers / Premium Tier</v>
      </c>
      <c r="F11280" s="10">
        <f t="shared" si="1"/>
        <v>6.012887758</v>
      </c>
    </row>
    <row r="11281" ht="14.25" customHeight="1">
      <c r="A11281" s="2" t="s">
        <v>37</v>
      </c>
      <c r="B11281" s="2" t="s">
        <v>38</v>
      </c>
      <c r="C11281" s="2">
        <v>1985.0</v>
      </c>
      <c r="D11281" s="9">
        <v>253276.48</v>
      </c>
      <c r="E11281" s="10" t="str">
        <f t="array" ref="E11281">IFS(D11281&lt;=$G$3,'calculated data '!$A$3,D11281&lt;=$G$4,'calculated data '!$A$4,D11281&lt;=$G$6,'calculated data '!$A$5,D11281&gt;=$G$6,'calculated data '!$A$6)</f>
        <v>Outliers / Premium Tier</v>
      </c>
      <c r="F11281" s="10">
        <f t="shared" si="1"/>
        <v>6.040993869</v>
      </c>
    </row>
    <row r="11282" ht="14.25" customHeight="1">
      <c r="A11282" s="2" t="s">
        <v>37</v>
      </c>
      <c r="B11282" s="2" t="s">
        <v>38</v>
      </c>
      <c r="C11282" s="2">
        <v>1997.0</v>
      </c>
      <c r="D11282" s="9">
        <v>254401.52</v>
      </c>
      <c r="E11282" s="10" t="str">
        <f t="array" ref="E11282">IFS(D11282&lt;=$G$3,'calculated data '!$A$3,D11282&lt;=$G$4,'calculated data '!$A$4,D11282&lt;=$G$6,'calculated data '!$A$5,D11282&gt;=$G$6,'calculated data '!$A$6)</f>
        <v>Outliers / Premium Tier</v>
      </c>
      <c r="F11282" s="10">
        <f t="shared" si="1"/>
        <v>6.070773397</v>
      </c>
    </row>
    <row r="11283" ht="14.25" customHeight="1">
      <c r="A11283" s="2" t="s">
        <v>389</v>
      </c>
      <c r="B11283" s="2" t="s">
        <v>390</v>
      </c>
      <c r="C11283" s="2">
        <v>2004.0</v>
      </c>
      <c r="D11283" s="9">
        <v>255475.86</v>
      </c>
      <c r="E11283" s="10" t="str">
        <f t="array" ref="E11283">IFS(D11283&lt;=$G$3,'calculated data '!$A$3,D11283&lt;=$G$4,'calculated data '!$A$4,D11283&lt;=$G$6,'calculated data '!$A$5,D11283&gt;=$G$6,'calculated data '!$A$6)</f>
        <v>Outliers / Premium Tier</v>
      </c>
      <c r="F11283" s="10">
        <f t="shared" si="1"/>
        <v>6.09921091</v>
      </c>
    </row>
    <row r="11284" ht="14.25" customHeight="1">
      <c r="A11284" s="2" t="s">
        <v>37</v>
      </c>
      <c r="B11284" s="2" t="s">
        <v>38</v>
      </c>
      <c r="C11284" s="2">
        <v>1999.0</v>
      </c>
      <c r="D11284" s="9">
        <v>257968.92</v>
      </c>
      <c r="E11284" s="10" t="str">
        <f t="array" ref="E11284">IFS(D11284&lt;=$G$3,'calculated data '!$A$3,D11284&lt;=$G$4,'calculated data '!$A$4,D11284&lt;=$G$6,'calculated data '!$A$5,D11284&gt;=$G$6,'calculated data '!$A$6)</f>
        <v>Outliers / Premium Tier</v>
      </c>
      <c r="F11284" s="10">
        <f t="shared" si="1"/>
        <v>6.165201587</v>
      </c>
    </row>
    <row r="11285" ht="14.25" customHeight="1">
      <c r="A11285" s="2" t="s">
        <v>37</v>
      </c>
      <c r="B11285" s="2" t="s">
        <v>38</v>
      </c>
      <c r="C11285" s="2">
        <v>2010.0</v>
      </c>
      <c r="D11285" s="9">
        <v>259121.89</v>
      </c>
      <c r="E11285" s="10" t="str">
        <f t="array" ref="E11285">IFS(D11285&lt;=$G$3,'calculated data '!$A$3,D11285&lt;=$G$4,'calculated data '!$A$4,D11285&lt;=$G$6,'calculated data '!$A$5,D11285&gt;=$G$6,'calculated data '!$A$6)</f>
        <v>Outliers / Premium Tier</v>
      </c>
      <c r="F11285" s="10">
        <f t="shared" si="1"/>
        <v>6.195720416</v>
      </c>
    </row>
    <row r="11286" ht="14.25" customHeight="1">
      <c r="A11286" s="2" t="s">
        <v>37</v>
      </c>
      <c r="B11286" s="2" t="s">
        <v>38</v>
      </c>
      <c r="C11286" s="2">
        <v>1998.0</v>
      </c>
      <c r="D11286" s="9">
        <v>260984.8</v>
      </c>
      <c r="E11286" s="10" t="str">
        <f t="array" ref="E11286">IFS(D11286&lt;=$G$3,'calculated data '!$A$3,D11286&lt;=$G$4,'calculated data '!$A$4,D11286&lt;=$G$6,'calculated data '!$A$5,D11286&gt;=$G$6,'calculated data '!$A$6)</f>
        <v>Outliers / Premium Tier</v>
      </c>
      <c r="F11286" s="10">
        <f t="shared" si="1"/>
        <v>6.245031179</v>
      </c>
    </row>
    <row r="11287" ht="14.25" customHeight="1">
      <c r="A11287" s="2" t="s">
        <v>389</v>
      </c>
      <c r="B11287" s="2" t="s">
        <v>390</v>
      </c>
      <c r="C11287" s="2">
        <v>2005.0</v>
      </c>
      <c r="D11287" s="9">
        <v>270980.62</v>
      </c>
      <c r="E11287" s="10" t="str">
        <f t="array" ref="E11287">IFS(D11287&lt;=$G$3,'calculated data '!$A$3,D11287&lt;=$G$4,'calculated data '!$A$4,D11287&lt;=$G$6,'calculated data '!$A$5,D11287&gt;=$G$6,'calculated data '!$A$6)</f>
        <v>Outliers / Premium Tier</v>
      </c>
      <c r="F11287" s="10">
        <f t="shared" si="1"/>
        <v>6.509618045</v>
      </c>
    </row>
    <row r="11288" ht="14.25" customHeight="1">
      <c r="A11288" s="2" t="s">
        <v>35</v>
      </c>
      <c r="B11288" s="2" t="s">
        <v>36</v>
      </c>
      <c r="C11288" s="2">
        <v>2010.0</v>
      </c>
      <c r="D11288" s="9">
        <v>281506.28</v>
      </c>
      <c r="E11288" s="10" t="str">
        <f t="array" ref="E11288">IFS(D11288&lt;=$G$3,'calculated data '!$A$3,D11288&lt;=$G$4,'calculated data '!$A$4,D11288&lt;=$G$6,'calculated data '!$A$5,D11288&gt;=$G$6,'calculated data '!$A$6)</f>
        <v>Outliers / Premium Tier</v>
      </c>
      <c r="F11288" s="10">
        <f t="shared" si="1"/>
        <v>6.788229644</v>
      </c>
    </row>
    <row r="11289" ht="14.25" customHeight="1">
      <c r="A11289" s="2" t="s">
        <v>37</v>
      </c>
      <c r="B11289" s="2" t="s">
        <v>38</v>
      </c>
      <c r="C11289" s="2">
        <v>2003.0</v>
      </c>
      <c r="D11289" s="9">
        <v>301655.4</v>
      </c>
      <c r="E11289" s="10" t="str">
        <f t="array" ref="E11289">IFS(D11289&lt;=$G$3,'calculated data '!$A$3,D11289&lt;=$G$4,'calculated data '!$A$4,D11289&lt;=$G$6,'calculated data '!$A$5,D11289&gt;=$G$6,'calculated data '!$A$6)</f>
        <v>Outliers / Premium Tier</v>
      </c>
      <c r="F11289" s="10">
        <f t="shared" si="1"/>
        <v>7.321571832</v>
      </c>
    </row>
    <row r="11290" ht="14.25" customHeight="1">
      <c r="A11290" s="2" t="s">
        <v>389</v>
      </c>
      <c r="B11290" s="2" t="s">
        <v>390</v>
      </c>
      <c r="C11290" s="2">
        <v>1995.0</v>
      </c>
      <c r="D11290" s="9">
        <v>303592.56</v>
      </c>
      <c r="E11290" s="10" t="str">
        <f t="array" ref="E11290">IFS(D11290&lt;=$G$3,'calculated data '!$A$3,D11290&lt;=$G$4,'calculated data '!$A$4,D11290&lt;=$G$6,'calculated data '!$A$5,D11290&gt;=$G$6,'calculated data '!$A$6)</f>
        <v>Outliers / Premium Tier</v>
      </c>
      <c r="F11290" s="10">
        <f t="shared" si="1"/>
        <v>7.372847974</v>
      </c>
    </row>
    <row r="11291" ht="14.25" customHeight="1">
      <c r="A11291" s="2" t="s">
        <v>37</v>
      </c>
      <c r="B11291" s="2" t="s">
        <v>38</v>
      </c>
      <c r="C11291" s="2">
        <v>2009.0</v>
      </c>
      <c r="D11291" s="9">
        <v>304311.12</v>
      </c>
      <c r="E11291" s="10" t="str">
        <f t="array" ref="E11291">IFS(D11291&lt;=$G$3,'calculated data '!$A$3,D11291&lt;=$G$4,'calculated data '!$A$4,D11291&lt;=$G$6,'calculated data '!$A$5,D11291&gt;=$G$6,'calculated data '!$A$6)</f>
        <v>Outliers / Premium Tier</v>
      </c>
      <c r="F11291" s="10">
        <f t="shared" si="1"/>
        <v>7.391868079</v>
      </c>
    </row>
    <row r="11292" ht="14.25" customHeight="1">
      <c r="A11292" s="2" t="s">
        <v>37</v>
      </c>
      <c r="B11292" s="2" t="s">
        <v>38</v>
      </c>
      <c r="C11292" s="2">
        <v>2002.0</v>
      </c>
      <c r="D11292" s="9">
        <v>306022.25</v>
      </c>
      <c r="E11292" s="10" t="str">
        <f t="array" ref="E11292">IFS(D11292&lt;=$G$3,'calculated data '!$A$3,D11292&lt;=$G$4,'calculated data '!$A$4,D11292&lt;=$G$6,'calculated data '!$A$5,D11292&gt;=$G$6,'calculated data '!$A$6)</f>
        <v>Outliers / Premium Tier</v>
      </c>
      <c r="F11292" s="10">
        <f t="shared" si="1"/>
        <v>7.437161264</v>
      </c>
    </row>
    <row r="11293" ht="14.25" customHeight="1">
      <c r="A11293" s="2" t="s">
        <v>37</v>
      </c>
      <c r="B11293" s="2" t="s">
        <v>38</v>
      </c>
      <c r="C11293" s="2">
        <v>2000.0</v>
      </c>
      <c r="D11293" s="9">
        <v>306620.94</v>
      </c>
      <c r="E11293" s="10" t="str">
        <f t="array" ref="E11293">IFS(D11293&lt;=$G$3,'calculated data '!$A$3,D11293&lt;=$G$4,'calculated data '!$A$4,D11293&lt;=$G$6,'calculated data '!$A$5,D11293&gt;=$G$6,'calculated data '!$A$6)</f>
        <v>Outliers / Premium Tier</v>
      </c>
      <c r="F11293" s="10">
        <f t="shared" si="1"/>
        <v>7.453008439</v>
      </c>
    </row>
    <row r="11294" ht="14.25" customHeight="1">
      <c r="A11294" s="2" t="s">
        <v>37</v>
      </c>
      <c r="B11294" s="2" t="s">
        <v>38</v>
      </c>
      <c r="C11294" s="2">
        <v>1984.0</v>
      </c>
      <c r="D11294" s="9">
        <v>307076.1</v>
      </c>
      <c r="E11294" s="10" t="str">
        <f t="array" ref="E11294">IFS(D11294&lt;=$G$3,'calculated data '!$A$3,D11294&lt;=$G$4,'calculated data '!$A$4,D11294&lt;=$G$6,'calculated data '!$A$5,D11294&gt;=$G$6,'calculated data '!$A$6)</f>
        <v>Outliers / Premium Tier</v>
      </c>
      <c r="F11294" s="10">
        <f t="shared" si="1"/>
        <v>7.465056411</v>
      </c>
    </row>
    <row r="11295" ht="14.25" customHeight="1">
      <c r="A11295" s="2" t="s">
        <v>389</v>
      </c>
      <c r="B11295" s="2" t="s">
        <v>390</v>
      </c>
      <c r="C11295" s="2">
        <v>1992.0</v>
      </c>
      <c r="D11295" s="9">
        <v>307229.72</v>
      </c>
      <c r="E11295" s="10" t="str">
        <f t="array" ref="E11295">IFS(D11295&lt;=$G$3,'calculated data '!$A$3,D11295&lt;=$G$4,'calculated data '!$A$4,D11295&lt;=$G$6,'calculated data '!$A$5,D11295&gt;=$G$6,'calculated data '!$A$6)</f>
        <v>Outliers / Premium Tier</v>
      </c>
      <c r="F11295" s="10">
        <f t="shared" si="1"/>
        <v>7.469122694</v>
      </c>
    </row>
    <row r="11296" ht="14.25" customHeight="1">
      <c r="A11296" s="2" t="s">
        <v>37</v>
      </c>
      <c r="B11296" s="2" t="s">
        <v>38</v>
      </c>
      <c r="C11296" s="2">
        <v>2004.0</v>
      </c>
      <c r="D11296" s="9">
        <v>309793.7</v>
      </c>
      <c r="E11296" s="10" t="str">
        <f t="array" ref="E11296">IFS(D11296&lt;=$G$3,'calculated data '!$A$3,D11296&lt;=$G$4,'calculated data '!$A$4,D11296&lt;=$G$6,'calculated data '!$A$5,D11296&gt;=$G$6,'calculated data '!$A$6)</f>
        <v>Outliers / Premium Tier</v>
      </c>
      <c r="F11296" s="10">
        <f t="shared" si="1"/>
        <v>7.536990606</v>
      </c>
    </row>
    <row r="11297" ht="14.25" customHeight="1">
      <c r="A11297" s="2" t="s">
        <v>35</v>
      </c>
      <c r="B11297" s="2" t="s">
        <v>36</v>
      </c>
      <c r="C11297" s="2">
        <v>2009.0</v>
      </c>
      <c r="D11297" s="9">
        <v>309834.34</v>
      </c>
      <c r="E11297" s="10" t="str">
        <f t="array" ref="E11297">IFS(D11297&lt;=$G$3,'calculated data '!$A$3,D11297&lt;=$G$4,'calculated data '!$A$4,D11297&lt;=$G$6,'calculated data '!$A$5,D11297&gt;=$G$6,'calculated data '!$A$6)</f>
        <v>Outliers / Premium Tier</v>
      </c>
      <c r="F11297" s="10">
        <f t="shared" si="1"/>
        <v>7.538066336</v>
      </c>
    </row>
    <row r="11298" ht="14.25" customHeight="1">
      <c r="A11298" s="2" t="s">
        <v>389</v>
      </c>
      <c r="B11298" s="2" t="s">
        <v>390</v>
      </c>
      <c r="C11298" s="2">
        <v>1994.0</v>
      </c>
      <c r="D11298" s="9">
        <v>313668.4</v>
      </c>
      <c r="E11298" s="10" t="str">
        <f t="array" ref="E11298">IFS(D11298&lt;=$G$3,'calculated data '!$A$3,D11298&lt;=$G$4,'calculated data '!$A$4,D11298&lt;=$G$6,'calculated data '!$A$5,D11298&gt;=$G$6,'calculated data '!$A$6)</f>
        <v>Outliers / Premium Tier</v>
      </c>
      <c r="F11298" s="10">
        <f t="shared" si="1"/>
        <v>7.63955295</v>
      </c>
    </row>
    <row r="11299" ht="14.25" customHeight="1">
      <c r="A11299" s="2" t="s">
        <v>37</v>
      </c>
      <c r="B11299" s="2" t="s">
        <v>38</v>
      </c>
      <c r="C11299" s="2">
        <v>2006.0</v>
      </c>
      <c r="D11299" s="9">
        <v>314900.1</v>
      </c>
      <c r="E11299" s="10" t="str">
        <f t="array" ref="E11299">IFS(D11299&lt;=$G$3,'calculated data '!$A$3,D11299&lt;=$G$4,'calculated data '!$A$4,D11299&lt;=$G$6,'calculated data '!$A$5,D11299&gt;=$G$6,'calculated data '!$A$6)</f>
        <v>Outliers / Premium Tier</v>
      </c>
      <c r="F11299" s="10">
        <f t="shared" si="1"/>
        <v>7.672155742</v>
      </c>
    </row>
    <row r="11300" ht="14.25" customHeight="1">
      <c r="A11300" s="2" t="s">
        <v>37</v>
      </c>
      <c r="B11300" s="2" t="s">
        <v>38</v>
      </c>
      <c r="C11300" s="2">
        <v>2001.0</v>
      </c>
      <c r="D11300" s="9">
        <v>315762.6</v>
      </c>
      <c r="E11300" s="10" t="str">
        <f t="array" ref="E11300">IFS(D11300&lt;=$G$3,'calculated data '!$A$3,D11300&lt;=$G$4,'calculated data '!$A$4,D11300&lt;=$G$6,'calculated data '!$A$5,D11300&gt;=$G$6,'calculated data '!$A$6)</f>
        <v>Outliers / Premium Tier</v>
      </c>
      <c r="F11300" s="10">
        <f t="shared" si="1"/>
        <v>7.694985902</v>
      </c>
    </row>
    <row r="11301" ht="14.25" customHeight="1">
      <c r="A11301" s="2" t="s">
        <v>37</v>
      </c>
      <c r="B11301" s="2" t="s">
        <v>38</v>
      </c>
      <c r="C11301" s="2">
        <v>2005.0</v>
      </c>
      <c r="D11301" s="9">
        <v>317213.72</v>
      </c>
      <c r="E11301" s="10" t="str">
        <f t="array" ref="E11301">IFS(D11301&lt;=$G$3,'calculated data '!$A$3,D11301&lt;=$G$4,'calculated data '!$A$4,D11301&lt;=$G$6,'calculated data '!$A$5,D11301&gt;=$G$6,'calculated data '!$A$6)</f>
        <v>Outliers / Premium Tier</v>
      </c>
      <c r="F11301" s="10">
        <f t="shared" si="1"/>
        <v>7.733396687</v>
      </c>
    </row>
    <row r="11302" ht="14.25" customHeight="1">
      <c r="A11302" s="2" t="s">
        <v>389</v>
      </c>
      <c r="B11302" s="2" t="s">
        <v>390</v>
      </c>
      <c r="C11302" s="2">
        <v>1993.0</v>
      </c>
      <c r="D11302" s="9">
        <v>318559.7</v>
      </c>
      <c r="E11302" s="10" t="str">
        <f t="array" ref="E11302">IFS(D11302&lt;=$G$3,'calculated data '!$A$3,D11302&lt;=$G$4,'calculated data '!$A$4,D11302&lt;=$G$6,'calculated data '!$A$5,D11302&gt;=$G$6,'calculated data '!$A$6)</f>
        <v>Outliers / Premium Tier</v>
      </c>
      <c r="F11302" s="10">
        <f t="shared" si="1"/>
        <v>7.769024442</v>
      </c>
    </row>
    <row r="11303" ht="14.25" customHeight="1">
      <c r="A11303" s="2" t="s">
        <v>37</v>
      </c>
      <c r="B11303" s="2" t="s">
        <v>38</v>
      </c>
      <c r="C11303" s="2">
        <v>2008.0</v>
      </c>
      <c r="D11303" s="9">
        <v>321933.1</v>
      </c>
      <c r="E11303" s="10" t="str">
        <f t="array" ref="E11303">IFS(D11303&lt;=$G$3,'calculated data '!$A$3,D11303&lt;=$G$4,'calculated data '!$A$4,D11303&lt;=$G$6,'calculated data '!$A$5,D11303&gt;=$G$6,'calculated data '!$A$6)</f>
        <v>Outliers / Premium Tier</v>
      </c>
      <c r="F11303" s="10">
        <f t="shared" si="1"/>
        <v>7.8583175</v>
      </c>
    </row>
    <row r="11304" ht="14.25" customHeight="1">
      <c r="A11304" s="2" t="s">
        <v>37</v>
      </c>
      <c r="B11304" s="2" t="s">
        <v>38</v>
      </c>
      <c r="C11304" s="2">
        <v>1983.0</v>
      </c>
      <c r="D11304" s="9">
        <v>323668.28</v>
      </c>
      <c r="E11304" s="10" t="str">
        <f t="array" ref="E11304">IFS(D11304&lt;=$G$3,'calculated data '!$A$3,D11304&lt;=$G$4,'calculated data '!$A$4,D11304&lt;=$G$6,'calculated data '!$A$5,D11304&gt;=$G$6,'calculated data '!$A$6)</f>
        <v>Outliers / Premium Tier</v>
      </c>
      <c r="F11304" s="10">
        <f t="shared" si="1"/>
        <v>7.904247283</v>
      </c>
    </row>
    <row r="11305" ht="14.25" customHeight="1">
      <c r="A11305" s="2" t="s">
        <v>37</v>
      </c>
      <c r="B11305" s="2" t="s">
        <v>38</v>
      </c>
      <c r="C11305" s="2">
        <v>2007.0</v>
      </c>
      <c r="D11305" s="9">
        <v>327822.25</v>
      </c>
      <c r="E11305" s="10" t="str">
        <f t="array" ref="E11305">IFS(D11305&lt;=$G$3,'calculated data '!$A$3,D11305&lt;=$G$4,'calculated data '!$A$4,D11305&lt;=$G$6,'calculated data '!$A$5,D11305&gt;=$G$6,'calculated data '!$A$6)</f>
        <v>Outliers / Premium Tier</v>
      </c>
      <c r="F11305" s="10">
        <f t="shared" si="1"/>
        <v>8.014201834</v>
      </c>
    </row>
    <row r="11306" ht="14.25" customHeight="1">
      <c r="A11306" s="2" t="s">
        <v>37</v>
      </c>
      <c r="B11306" s="2" t="s">
        <v>38</v>
      </c>
      <c r="C11306" s="2">
        <v>1982.0</v>
      </c>
      <c r="D11306" s="9">
        <v>348593.53</v>
      </c>
      <c r="E11306" s="10" t="str">
        <f t="array" ref="E11306">IFS(D11306&lt;=$G$3,'calculated data '!$A$3,D11306&lt;=$G$4,'calculated data '!$A$4,D11306&lt;=$G$6,'calculated data '!$A$5,D11306&gt;=$G$6,'calculated data '!$A$6)</f>
        <v>Outliers / Premium Tier</v>
      </c>
      <c r="F11306" s="10">
        <f t="shared" si="1"/>
        <v>8.564012442</v>
      </c>
    </row>
    <row r="11307" ht="14.25" customHeight="1">
      <c r="A11307" s="2" t="s">
        <v>35</v>
      </c>
      <c r="B11307" s="2" t="s">
        <v>36</v>
      </c>
      <c r="C11307" s="2">
        <v>2008.0</v>
      </c>
      <c r="D11307" s="9">
        <v>354278.56</v>
      </c>
      <c r="E11307" s="10" t="str">
        <f t="array" ref="E11307">IFS(D11307&lt;=$G$3,'calculated data '!$A$3,D11307&lt;=$G$4,'calculated data '!$A$4,D11307&lt;=$G$6,'calculated data '!$A$5,D11307&gt;=$G$6,'calculated data '!$A$6)</f>
        <v>Outliers / Premium Tier</v>
      </c>
      <c r="F11307" s="10">
        <f t="shared" si="1"/>
        <v>8.71449377</v>
      </c>
    </row>
    <row r="11308" ht="14.25" customHeight="1">
      <c r="A11308" s="2" t="s">
        <v>35</v>
      </c>
      <c r="B11308" s="2" t="s">
        <v>36</v>
      </c>
      <c r="C11308" s="2">
        <v>2000.0</v>
      </c>
      <c r="D11308" s="9">
        <v>358436.47</v>
      </c>
      <c r="E11308" s="10" t="str">
        <f t="array" ref="E11308">IFS(D11308&lt;=$G$3,'calculated data '!$A$3,D11308&lt;=$G$4,'calculated data '!$A$4,D11308&lt;=$G$6,'calculated data '!$A$5,D11308&gt;=$G$6,'calculated data '!$A$6)</f>
        <v>Outliers / Premium Tier</v>
      </c>
      <c r="F11308" s="10">
        <f t="shared" si="1"/>
        <v>8.824552612</v>
      </c>
    </row>
    <row r="11309" ht="14.25" customHeight="1">
      <c r="A11309" s="2" t="s">
        <v>37</v>
      </c>
      <c r="B11309" s="2" t="s">
        <v>38</v>
      </c>
      <c r="C11309" s="2">
        <v>1981.0</v>
      </c>
      <c r="D11309" s="9">
        <v>370182.5</v>
      </c>
      <c r="E11309" s="10" t="str">
        <f t="array" ref="E11309">IFS(D11309&lt;=$G$3,'calculated data '!$A$3,D11309&lt;=$G$4,'calculated data '!$A$4,D11309&lt;=$G$6,'calculated data '!$A$5,D11309&gt;=$G$6,'calculated data '!$A$6)</f>
        <v>Outliers / Premium Tier</v>
      </c>
      <c r="F11309" s="10">
        <f t="shared" si="1"/>
        <v>9.135467101</v>
      </c>
    </row>
    <row r="11310" ht="14.25" customHeight="1">
      <c r="A11310" s="2" t="s">
        <v>37</v>
      </c>
      <c r="B11310" s="2" t="s">
        <v>38</v>
      </c>
      <c r="C11310" s="2">
        <v>1980.0</v>
      </c>
      <c r="D11310" s="9">
        <v>408208.56</v>
      </c>
      <c r="E11310" s="10" t="str">
        <f t="array" ref="E11310">IFS(D11310&lt;=$G$3,'calculated data '!$A$3,D11310&lt;=$G$4,'calculated data '!$A$4,D11310&lt;=$G$6,'calculated data '!$A$5,D11310&gt;=$G$6,'calculated data '!$A$6)</f>
        <v>Outliers / Premium Tier</v>
      </c>
      <c r="F11310" s="10">
        <f t="shared" si="1"/>
        <v>10.14200744</v>
      </c>
    </row>
    <row r="11311" ht="14.25" customHeight="1">
      <c r="A11311" s="2" t="s">
        <v>35</v>
      </c>
      <c r="B11311" s="2" t="s">
        <v>36</v>
      </c>
      <c r="C11311" s="2">
        <v>2002.0</v>
      </c>
      <c r="D11311" s="9">
        <v>514122.53</v>
      </c>
      <c r="E11311" s="10" t="str">
        <f t="array" ref="E11311">IFS(D11311&lt;=$G$3,'calculated data '!$A$3,D11311&lt;=$G$4,'calculated data '!$A$4,D11311&lt;=$G$6,'calculated data '!$A$5,D11311&gt;=$G$6,'calculated data '!$A$6)</f>
        <v>Outliers / Premium Tier</v>
      </c>
      <c r="F11311" s="10">
        <f t="shared" si="1"/>
        <v>12.94552384</v>
      </c>
    </row>
    <row r="11312" ht="14.25" customHeight="1">
      <c r="A11312" s="2" t="s">
        <v>35</v>
      </c>
      <c r="B11312" s="2" t="s">
        <v>36</v>
      </c>
      <c r="C11312" s="2">
        <v>2001.0</v>
      </c>
      <c r="D11312" s="9">
        <v>519102.12</v>
      </c>
      <c r="E11312" s="10" t="str">
        <f t="array" ref="E11312">IFS(D11312&lt;=$G$3,'calculated data '!$A$3,D11312&lt;=$G$4,'calculated data '!$A$4,D11312&lt;=$G$6,'calculated data '!$A$5,D11312&gt;=$G$6,'calculated data '!$A$6)</f>
        <v>Outliers / Premium Tier</v>
      </c>
      <c r="F11312" s="10">
        <f t="shared" si="1"/>
        <v>13.07733235</v>
      </c>
    </row>
    <row r="11313" ht="14.25" customHeight="1">
      <c r="A11313" s="2" t="s">
        <v>35</v>
      </c>
      <c r="B11313" s="2" t="s">
        <v>36</v>
      </c>
      <c r="C11313" s="2">
        <v>2003.0</v>
      </c>
      <c r="D11313" s="9">
        <v>606772.7</v>
      </c>
      <c r="E11313" s="10" t="str">
        <f t="array" ref="E11313">IFS(D11313&lt;=$G$3,'calculated data '!$A$3,D11313&lt;=$G$4,'calculated data '!$A$4,D11313&lt;=$G$6,'calculated data '!$A$5,D11313&gt;=$G$6,'calculated data '!$A$6)</f>
        <v>Outliers / Premium Tier</v>
      </c>
      <c r="F11313" s="10">
        <f t="shared" si="1"/>
        <v>15.39795077</v>
      </c>
    </row>
    <row r="11314" ht="14.25" customHeight="1">
      <c r="A11314" s="2" t="s">
        <v>35</v>
      </c>
      <c r="B11314" s="2" t="s">
        <v>36</v>
      </c>
      <c r="C11314" s="2">
        <v>2007.0</v>
      </c>
      <c r="D11314" s="9">
        <v>609783.56</v>
      </c>
      <c r="E11314" s="10" t="str">
        <f t="array" ref="E11314">IFS(D11314&lt;=$G$3,'calculated data '!$A$3,D11314&lt;=$G$4,'calculated data '!$A$4,D11314&lt;=$G$6,'calculated data '!$A$5,D11314&gt;=$G$6,'calculated data '!$A$6)</f>
        <v>Outliers / Premium Tier</v>
      </c>
      <c r="F11314" s="10">
        <f t="shared" si="1"/>
        <v>15.47764748</v>
      </c>
    </row>
    <row r="11315" ht="14.25" customHeight="1">
      <c r="A11315" s="2" t="s">
        <v>35</v>
      </c>
      <c r="B11315" s="2" t="s">
        <v>36</v>
      </c>
      <c r="C11315" s="2">
        <v>2005.0</v>
      </c>
      <c r="D11315" s="9">
        <v>611706.44</v>
      </c>
      <c r="E11315" s="10" t="str">
        <f t="array" ref="E11315">IFS(D11315&lt;=$G$3,'calculated data '!$A$3,D11315&lt;=$G$4,'calculated data '!$A$4,D11315&lt;=$G$6,'calculated data '!$A$5,D11315&gt;=$G$6,'calculated data '!$A$6)</f>
        <v>Outliers / Premium Tier</v>
      </c>
      <c r="F11315" s="10">
        <f t="shared" si="1"/>
        <v>15.52854564</v>
      </c>
    </row>
    <row r="11316" ht="14.25" customHeight="1">
      <c r="A11316" s="2" t="s">
        <v>35</v>
      </c>
      <c r="B11316" s="2" t="s">
        <v>36</v>
      </c>
      <c r="C11316" s="2">
        <v>2004.0</v>
      </c>
      <c r="D11316" s="9">
        <v>624022.56</v>
      </c>
      <c r="E11316" s="10" t="str">
        <f t="array" ref="E11316">IFS(D11316&lt;=$G$3,'calculated data '!$A$3,D11316&lt;=$G$4,'calculated data '!$A$4,D11316&lt;=$G$6,'calculated data '!$A$5,D11316&gt;=$G$6,'calculated data '!$A$6)</f>
        <v>Outliers / Premium Tier</v>
      </c>
      <c r="F11316" s="10">
        <f t="shared" si="1"/>
        <v>15.85455027</v>
      </c>
    </row>
    <row r="11317" ht="14.25" customHeight="1">
      <c r="A11317" s="2" t="s">
        <v>35</v>
      </c>
      <c r="B11317" s="2" t="s">
        <v>36</v>
      </c>
      <c r="C11317" s="2">
        <v>2006.0</v>
      </c>
      <c r="D11317" s="9">
        <v>651836.56</v>
      </c>
      <c r="E11317" s="10" t="str">
        <f t="array" ref="E11317">IFS(D11317&lt;=$G$3,'calculated data '!$A$3,D11317&lt;=$G$4,'calculated data '!$A$4,D11317&lt;=$G$6,'calculated data '!$A$5,D11317&gt;=$G$6,'calculated data '!$A$6)</f>
        <v>Outliers / Premium Tier</v>
      </c>
      <c r="F11317" s="10">
        <f t="shared" si="1"/>
        <v>16.59077992</v>
      </c>
    </row>
  </sheetData>
  <customSheetViews>
    <customSheetView guid="{70120C03-5D33-4B72-841F-E311CAEF5316}" filter="1" showAutoFilter="1">
      <autoFilter ref="$A$1:$F$11317"/>
    </customSheetView>
    <customSheetView guid="{70120C03-5D33-4B72-841F-E311CAEF5316}" filter="1" showAutoFilter="1">
      <autoFilter ref="$A$1:$F$11317"/>
    </customSheetView>
    <customSheetView guid="{EF14152D-3269-4482-9F67-5986A1D327CD}" filter="1" showAutoFilter="1">
      <autoFilter ref="$A$1:$F$11317"/>
    </customSheetView>
  </customSheetViews>
  <dataValidations>
    <dataValidation type="custom" allowBlank="1" showDropDown="1" sqref="D2:D11317">
      <formula1>AND(ISNUMBER(D2),(NOT(OR(NOT(ISERROR(DATEVALUE(D2))), AND(ISNUMBER(D2), LEFT(CELL("format", D2))="D")))))</formula1>
    </dataValidation>
  </dataValidations>
  <printOptions/>
  <pageMargins bottom="1.0" footer="0.0" header="0.0" left="0.75" right="0.75" top="1.0"/>
  <pageSetup orientation="landscape"/>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1.57"/>
    <col customWidth="1" min="2" max="2" width="25.0"/>
    <col customWidth="1" min="3" max="3" width="24.29"/>
    <col customWidth="1" min="4" max="4" width="31.29"/>
    <col customWidth="1" min="5" max="5" width="53.86"/>
    <col customWidth="1" min="6" max="6" width="20.0"/>
  </cols>
  <sheetData>
    <row r="2">
      <c r="A2" s="1" t="s">
        <v>0</v>
      </c>
      <c r="B2" s="1" t="s">
        <v>1</v>
      </c>
      <c r="C2" s="1" t="s">
        <v>2</v>
      </c>
      <c r="D2" s="1" t="s">
        <v>3</v>
      </c>
      <c r="E2" s="1" t="s">
        <v>4</v>
      </c>
    </row>
    <row r="3">
      <c r="A3" s="2" t="s">
        <v>5</v>
      </c>
      <c r="B3" s="2">
        <f>COUNTIFS('primary energy use data '!$D:$D,"&lt;"&amp;'primary energy use data '!G3)</f>
        <v>2829</v>
      </c>
      <c r="C3" s="3">
        <f>AVERAGEIFS('primary energy use data '!$D:$D,'primary energy use data '!$D:$D,"&gt;"&amp;'primary energy use data '!G3)</f>
        <v>33029.33939</v>
      </c>
      <c r="D3" s="4">
        <f t="array" ref="D3">MEDIAN(IF('primary energy use data '!$D$2:$D$7324&lt;'primary energy use data '!G3,'primary energy use data '!$D$2:$D$7324))</f>
        <v>970.93774</v>
      </c>
      <c r="E3" s="5">
        <f t="array" ref="E3">STDEV(IF('primary energy use data '!$D:$D&lt;'primary energy use data '!$G$3,'primary energy use data '!$D:$D))</f>
        <v>801.0806551</v>
      </c>
    </row>
    <row r="4">
      <c r="A4" s="2" t="s">
        <v>6</v>
      </c>
      <c r="B4" s="2">
        <f>COUNTIFS('primary energy use data '!$D:$D,"&gt;="&amp;'primary energy use data '!G3,'primary energy use data '!$D:$D,"&lt;="&amp;'primary energy use data '!G4)</f>
        <v>5658</v>
      </c>
      <c r="C4" s="3">
        <f>AVERAGEIFS('primary energy use data '!$D:$D,'primary energy use data '!$D:$D,"&gt;="&amp;'primary energy use data '!G3,'primary energy use data '!$D:$D,"&lt;="&amp;'primary energy use data '!G4)</f>
        <v>14613.88785</v>
      </c>
      <c r="D4" s="3">
        <f t="array" ref="D4">MEDIAN(IFS('primary energy use data '!$D$2:$D$7324&gt;='primary energy use data '!G3,'primary energy use data '!$D$2:$D$7324,'primary energy use data '!$D$2:$D$7324&lt;='primary energy use data '!G4,'primary energy use data '!$D$2:$D$7324))</f>
        <v>4656.814</v>
      </c>
      <c r="E4" s="5">
        <f t="array" ref="E4">STDEV(IF(('primary energy use data '!$D:$D&gt;='primary energy use data '!$G$3)*('primary energy use data '!$D:$D&lt;='primary energy use data '!$G$4),'primary energy use data '!$D:$D))</f>
        <v>9299.550598</v>
      </c>
    </row>
    <row r="5">
      <c r="A5" s="2" t="s">
        <v>7</v>
      </c>
      <c r="B5" s="2">
        <f>COUNTIFS('primary energy use data '!$D:$D,"&lt;"&amp;'primary energy use data '!G6,'primary energy use data '!$D:$D,"&gt;"&amp;'primary energy use data '!G4)</f>
        <v>2255</v>
      </c>
      <c r="C5" s="3">
        <f>AVERAGEIFS('primary energy use data '!$D:$D,'primary energy use data '!$D:$D,"&gt;"&amp;'primary energy use data '!G4,'primary energy use data '!$D:$D,"&lt;"&amp;'primary energy use data '!G6)</f>
        <v>50642.47219</v>
      </c>
      <c r="D5" s="3">
        <f t="array" ref="D5">MEDIAN(IFS('primary energy use data '!$D$2:$D$7324&gt;='primary energy use data '!G4,'primary energy use data '!$D$2:$D$7324,'primary energy use data '!$D$2:$D$7324&lt;'primary energy use data '!G6,'primary energy use data '!$D$2:$D$7324))</f>
        <v>4656.814</v>
      </c>
      <c r="E5" s="5">
        <f t="array" ref="E5">STDEV(IF(('primary energy use data '!$D:$D&gt;'primary energy use data '!$G$4)*('primary energy use data '!$D:$D&lt;'primary energy use data '!$G$6),'primary energy use data '!$D:$D))</f>
        <v>11619.31211</v>
      </c>
    </row>
    <row r="6">
      <c r="A6" s="2" t="s">
        <v>8</v>
      </c>
      <c r="B6" s="2">
        <f>COUNTIFS('primary energy use data '!$D:$D,"&gt;="&amp;'primary energy use data '!G6)</f>
        <v>574</v>
      </c>
      <c r="C6" s="3">
        <f>AVERAGEIFS('primary energy use data '!$D:$D,'primary energy use data '!$D:$D,"&gt;="&amp;'primary energy use data '!G6)</f>
        <v>145358.6257</v>
      </c>
      <c r="D6" s="3">
        <v>121636.6575</v>
      </c>
      <c r="E6" s="5">
        <f t="array" ref="E6">STDEV(IF('primary energy use data '!$D:$D&gt;'primary energy use data '!$G$6,'primary energy use data '!$D:$D))</f>
        <v>76275.21011</v>
      </c>
    </row>
    <row r="12" ht="22.5" customHeight="1">
      <c r="A12" s="6" t="s">
        <v>9</v>
      </c>
      <c r="B12" s="6" t="s">
        <v>10</v>
      </c>
      <c r="C12" s="6" t="s">
        <v>11</v>
      </c>
      <c r="D12" s="6" t="s">
        <v>12</v>
      </c>
      <c r="E12" s="6" t="s">
        <v>13</v>
      </c>
      <c r="F12" s="6" t="s">
        <v>14</v>
      </c>
    </row>
    <row r="13" ht="22.5" customHeight="1">
      <c r="A13" s="7">
        <f>QUARTILE('primary energy use data '!$D:$D,1)</f>
        <v>2815.5126</v>
      </c>
      <c r="B13" s="7">
        <f>QUARTILE('primary energy use data '!$D:$D,3)</f>
        <v>35183.46175</v>
      </c>
      <c r="C13" s="7">
        <f>B13-A13</f>
        <v>32367.94915</v>
      </c>
      <c r="D13" s="7">
        <f>B13+1.5*C13</f>
        <v>83735.38548</v>
      </c>
      <c r="E13" s="7">
        <f>A13-1.5*C13</f>
        <v>-45736.41113</v>
      </c>
      <c r="F13" s="7">
        <f>AVERAGE('primary energy use data '!$D:$D)</f>
        <v>25053.9371</v>
      </c>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sheetData>
  <customSheetViews>
    <customSheetView guid="{08760490-4481-4B0B-AB70-FD363AC6D758}" filter="1" showAutoFilter="1">
      <autoFilter ref="$A$2:$E$6"/>
    </customSheetView>
    <customSheetView guid="{70120C03-5D33-4B72-841F-E311CAEF5316}" filter="1" showAutoFilter="1">
      <autoFilter ref="$A$3:$A$6"/>
    </customSheetView>
  </customSheetViews>
  <dataValidations>
    <dataValidation type="custom" allowBlank="1" showDropDown="1" sqref="C3:E6 A13:B13 F13">
      <formula1>AND(ISNUMBER(A3),(NOT(OR(NOT(ISERROR(DATEVALUE(A3))), AND(ISNUMBER(A3), LEFT(CELL("format", A3))="D")))))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23.71"/>
    <col customWidth="1" min="2" max="2" width="29.86"/>
    <col customWidth="1" min="3" max="3" width="16.43"/>
    <col customWidth="1" min="4" max="46" width="8.86"/>
  </cols>
  <sheetData>
    <row r="1" ht="14.25" customHeight="1"/>
    <row r="2" ht="14.25" customHeight="1"/>
    <row r="3" ht="14.25" customHeight="1"/>
    <row r="4" ht="14.25" customHeight="1"/>
    <row r="5" ht="14.25" customHeight="1"/>
    <row r="6" ht="14.25" customHeight="1"/>
    <row r="7" ht="14.25" customHeight="1"/>
    <row r="8" ht="14.25" customHeight="1"/>
    <row r="9" ht="14.25" customHeight="1">
      <c r="A9" s="12"/>
      <c r="B9" s="12"/>
      <c r="C9" s="12"/>
    </row>
    <row r="10" ht="14.25" customHeight="1" outlineLevel="1">
      <c r="A10" s="12"/>
      <c r="B10" s="12"/>
      <c r="C10" s="12"/>
    </row>
    <row r="11" ht="14.25" customHeight="1" outlineLevel="1">
      <c r="C11" s="12"/>
    </row>
    <row r="12" ht="14.25" customHeight="1" outlineLevel="1">
      <c r="C12" s="12"/>
    </row>
    <row r="13" ht="14.25" customHeight="1" outlineLevel="1">
      <c r="C13" s="12"/>
    </row>
    <row r="14" ht="14.25" customHeight="1" outlineLevel="1">
      <c r="C14" s="12"/>
    </row>
    <row r="15" ht="14.25" customHeight="1" outlineLevel="1">
      <c r="C15" s="12"/>
      <c r="L15" s="14"/>
    </row>
    <row r="16" ht="14.25" customHeight="1" outlineLevel="1">
      <c r="C16" s="12"/>
    </row>
    <row r="17" ht="14.25" customHeight="1" outlineLevel="1">
      <c r="A17" s="12"/>
      <c r="B17" s="12"/>
      <c r="C17" s="12"/>
    </row>
    <row r="18" ht="14.25" customHeight="1" outlineLevel="1"/>
    <row r="19" ht="14.25" customHeight="1" outlineLevel="1"/>
    <row r="20" ht="14.25" customHeight="1" outlineLevel="1"/>
    <row r="21" ht="14.25" customHeight="1" outlineLevel="1"/>
    <row r="22" ht="14.25" customHeight="1" outlineLevel="1"/>
    <row r="23" ht="14.25" customHeight="1" outlineLevel="1"/>
    <row r="24" ht="14.25" customHeight="1" outlineLevel="1">
      <c r="A24" s="11" t="s">
        <v>21</v>
      </c>
      <c r="B24" s="11" t="s">
        <v>22</v>
      </c>
      <c r="C24" s="11">
        <v>1965.0</v>
      </c>
      <c r="D24" s="11">
        <v>0.0</v>
      </c>
      <c r="E24" s="15" t="s">
        <v>5</v>
      </c>
      <c r="F24" s="15">
        <v>-0.6631714748893962</v>
      </c>
    </row>
    <row r="25" ht="14.25" customHeight="1" outlineLevel="1">
      <c r="A25" s="11" t="s">
        <v>21</v>
      </c>
      <c r="B25" s="11" t="s">
        <v>22</v>
      </c>
      <c r="C25" s="11">
        <v>1966.0</v>
      </c>
      <c r="D25" s="11">
        <v>0.0</v>
      </c>
      <c r="E25" s="15" t="s">
        <v>5</v>
      </c>
      <c r="F25" s="15">
        <v>-0.6631714748893962</v>
      </c>
    </row>
    <row r="26" ht="14.25" customHeight="1" outlineLevel="1">
      <c r="A26" s="11" t="s">
        <v>21</v>
      </c>
      <c r="B26" s="11" t="s">
        <v>22</v>
      </c>
      <c r="C26" s="11">
        <v>1967.0</v>
      </c>
      <c r="D26" s="11">
        <v>0.0</v>
      </c>
      <c r="E26" s="15" t="s">
        <v>5</v>
      </c>
      <c r="F26" s="15">
        <v>-0.6631714748893962</v>
      </c>
    </row>
    <row r="27" ht="14.25" customHeight="1" outlineLevel="1">
      <c r="A27" s="11" t="s">
        <v>21</v>
      </c>
      <c r="B27" s="11" t="s">
        <v>22</v>
      </c>
      <c r="C27" s="11">
        <v>1968.0</v>
      </c>
      <c r="D27" s="11">
        <v>0.0</v>
      </c>
      <c r="E27" s="15" t="s">
        <v>5</v>
      </c>
      <c r="F27" s="15">
        <v>-0.6631714748893962</v>
      </c>
    </row>
    <row r="28" ht="14.25" customHeight="1" outlineLevel="1">
      <c r="A28" s="11" t="s">
        <v>21</v>
      </c>
      <c r="B28" s="11" t="s">
        <v>22</v>
      </c>
      <c r="C28" s="11">
        <v>1969.0</v>
      </c>
      <c r="D28" s="11">
        <v>0.0</v>
      </c>
      <c r="E28" s="15" t="s">
        <v>5</v>
      </c>
      <c r="F28" s="15">
        <v>-0.6631714748893962</v>
      </c>
    </row>
    <row r="29" ht="14.25" customHeight="1" outlineLevel="1">
      <c r="A29" s="11" t="s">
        <v>21</v>
      </c>
      <c r="B29" s="11" t="s">
        <v>22</v>
      </c>
      <c r="C29" s="11">
        <v>1970.0</v>
      </c>
      <c r="D29" s="11">
        <v>0.0</v>
      </c>
      <c r="E29" s="15" t="s">
        <v>5</v>
      </c>
      <c r="F29" s="15">
        <v>-0.6631714748893962</v>
      </c>
    </row>
    <row r="30" ht="14.25" customHeight="1" outlineLevel="1">
      <c r="A30" s="11" t="s">
        <v>28</v>
      </c>
      <c r="B30" s="11" t="s">
        <v>29</v>
      </c>
      <c r="C30" s="11">
        <v>2012.0</v>
      </c>
      <c r="D30" s="11">
        <v>0.0</v>
      </c>
      <c r="E30" s="15" t="s">
        <v>5</v>
      </c>
      <c r="F30" s="15">
        <v>-0.6631714748893962</v>
      </c>
    </row>
    <row r="31" ht="14.25" customHeight="1" outlineLevel="1">
      <c r="A31" s="11" t="s">
        <v>28</v>
      </c>
      <c r="B31" s="11" t="s">
        <v>29</v>
      </c>
      <c r="C31" s="11">
        <v>2013.0</v>
      </c>
      <c r="D31" s="11">
        <v>0.0</v>
      </c>
      <c r="E31" s="15" t="s">
        <v>5</v>
      </c>
      <c r="F31" s="15">
        <v>-0.6631714748893962</v>
      </c>
    </row>
    <row r="32" ht="14.25" customHeight="1" outlineLevel="1">
      <c r="A32" s="11" t="s">
        <v>28</v>
      </c>
      <c r="B32" s="11" t="s">
        <v>29</v>
      </c>
      <c r="C32" s="11">
        <v>2014.0</v>
      </c>
      <c r="D32" s="11">
        <v>0.0</v>
      </c>
      <c r="E32" s="15" t="s">
        <v>5</v>
      </c>
      <c r="F32" s="15">
        <v>-0.6631714748893962</v>
      </c>
    </row>
    <row r="33" ht="14.25" customHeight="1" outlineLevel="1">
      <c r="A33" s="11" t="s">
        <v>35</v>
      </c>
      <c r="B33" s="11" t="s">
        <v>36</v>
      </c>
      <c r="C33" s="11">
        <v>2008.0</v>
      </c>
      <c r="D33" s="11">
        <v>354278.56</v>
      </c>
      <c r="E33" s="15" t="s">
        <v>8</v>
      </c>
      <c r="F33" s="15">
        <v>8.714493770347335</v>
      </c>
    </row>
    <row r="34" ht="14.25" customHeight="1" outlineLevel="1">
      <c r="A34" s="11" t="s">
        <v>35</v>
      </c>
      <c r="B34" s="11" t="s">
        <v>36</v>
      </c>
      <c r="C34" s="11">
        <v>2000.0</v>
      </c>
      <c r="D34" s="11">
        <v>358436.47</v>
      </c>
      <c r="E34" s="15" t="s">
        <v>8</v>
      </c>
      <c r="F34" s="15">
        <v>8.824552612462483</v>
      </c>
    </row>
    <row r="35" ht="14.25" customHeight="1" outlineLevel="1">
      <c r="A35" s="11" t="s">
        <v>37</v>
      </c>
      <c r="B35" s="11" t="s">
        <v>38</v>
      </c>
      <c r="C35" s="11">
        <v>1981.0</v>
      </c>
      <c r="D35" s="11">
        <v>370182.5</v>
      </c>
      <c r="E35" s="15" t="s">
        <v>8</v>
      </c>
      <c r="F35" s="15">
        <v>9.135467101051654</v>
      </c>
    </row>
    <row r="36" ht="14.25" customHeight="1" outlineLevel="1">
      <c r="A36" s="11" t="s">
        <v>37</v>
      </c>
      <c r="B36" s="11" t="s">
        <v>38</v>
      </c>
      <c r="C36" s="11">
        <v>1980.0</v>
      </c>
      <c r="D36" s="11">
        <v>408208.56</v>
      </c>
      <c r="E36" s="15" t="s">
        <v>8</v>
      </c>
      <c r="F36" s="15">
        <v>10.142007438336774</v>
      </c>
    </row>
    <row r="37" ht="14.25" customHeight="1" outlineLevel="1">
      <c r="A37" s="11" t="s">
        <v>35</v>
      </c>
      <c r="B37" s="11" t="s">
        <v>36</v>
      </c>
      <c r="C37" s="11">
        <v>2002.0</v>
      </c>
      <c r="D37" s="11">
        <v>514122.53</v>
      </c>
      <c r="E37" s="15" t="s">
        <v>8</v>
      </c>
      <c r="F37" s="15">
        <v>12.945523844901276</v>
      </c>
    </row>
    <row r="38" ht="14.25" customHeight="1" outlineLevel="1">
      <c r="A38" s="11" t="s">
        <v>35</v>
      </c>
      <c r="B38" s="11" t="s">
        <v>36</v>
      </c>
      <c r="C38" s="11">
        <v>2001.0</v>
      </c>
      <c r="D38" s="11">
        <v>519102.12</v>
      </c>
      <c r="E38" s="15" t="s">
        <v>8</v>
      </c>
      <c r="F38" s="15">
        <v>13.077332351965683</v>
      </c>
    </row>
    <row r="39" ht="14.25" customHeight="1" outlineLevel="1">
      <c r="A39" s="11" t="s">
        <v>35</v>
      </c>
      <c r="B39" s="11" t="s">
        <v>36</v>
      </c>
      <c r="C39" s="11">
        <v>2003.0</v>
      </c>
      <c r="D39" s="11">
        <v>606772.7</v>
      </c>
      <c r="E39" s="15" t="s">
        <v>8</v>
      </c>
      <c r="F39" s="15">
        <v>15.397950768998163</v>
      </c>
    </row>
    <row r="40" ht="14.25" customHeight="1" outlineLevel="1">
      <c r="A40" s="11" t="s">
        <v>35</v>
      </c>
      <c r="B40" s="11" t="s">
        <v>36</v>
      </c>
      <c r="C40" s="11">
        <v>2007.0</v>
      </c>
      <c r="D40" s="11">
        <v>609783.56</v>
      </c>
      <c r="E40" s="15" t="s">
        <v>8</v>
      </c>
      <c r="F40" s="15">
        <v>15.477647483301942</v>
      </c>
    </row>
    <row r="41" ht="14.25" customHeight="1" outlineLevel="1">
      <c r="A41" s="11" t="s">
        <v>35</v>
      </c>
      <c r="B41" s="11" t="s">
        <v>36</v>
      </c>
      <c r="C41" s="11">
        <v>2005.0</v>
      </c>
      <c r="D41" s="11">
        <v>611706.44</v>
      </c>
      <c r="E41" s="15" t="s">
        <v>8</v>
      </c>
      <c r="F41" s="15">
        <v>15.528545637982145</v>
      </c>
    </row>
    <row r="42" ht="14.25" customHeight="1" outlineLevel="1">
      <c r="A42" s="11" t="s">
        <v>35</v>
      </c>
      <c r="B42" s="11" t="s">
        <v>36</v>
      </c>
      <c r="C42" s="11">
        <v>2004.0</v>
      </c>
      <c r="D42" s="11">
        <v>624022.56</v>
      </c>
      <c r="E42" s="15" t="s">
        <v>8</v>
      </c>
      <c r="F42" s="15">
        <v>15.854550266882539</v>
      </c>
    </row>
    <row r="43" ht="14.25" customHeight="1" outlineLevel="1">
      <c r="A43" s="11" t="s">
        <v>35</v>
      </c>
      <c r="B43" s="11" t="s">
        <v>36</v>
      </c>
      <c r="C43" s="11">
        <v>2006.0</v>
      </c>
      <c r="D43" s="11">
        <v>651836.56</v>
      </c>
      <c r="E43" s="15" t="s">
        <v>8</v>
      </c>
      <c r="F43" s="15">
        <v>16.590779919422097</v>
      </c>
    </row>
    <row r="44" ht="14.25" customHeight="1" outlineLevel="1"/>
    <row r="45" ht="14.25" customHeight="1" outlineLevel="1"/>
    <row r="46" ht="14.25" customHeight="1" outlineLevel="1"/>
    <row r="47" ht="14.25" customHeight="1" outlineLevel="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conditionalFormatting sqref="A7:H46">
    <cfRule type="notContainsBlanks" dxfId="8" priority="1">
      <formula>LEN(TRIM(A7))&gt;0</formula>
    </cfRule>
  </conditionalFormatting>
  <printOptions/>
  <pageMargins bottom="1.0" footer="0.0" header="0.0" left="0.75" right="0.75" top="1.0"/>
  <pageSetup orientation="landscape"/>
  <drawing r:id="rId2"/>
  <extLst>
    <ext uri="{3A4CF648-6AED-40f4-86FF-DC5316D8AED3}">
      <x14:slicerList>
        <x14:slicer r:id="rId3"/>
      </x14:slicerList>
    </ext>
  </extLst>
</worksheet>
</file>